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mike/rpm_tracker/docs/excel/"/>
    </mc:Choice>
  </mc:AlternateContent>
  <xr:revisionPtr revIDLastSave="0" documentId="13_ncr:2001_{228965E6-95BB-F944-AD68-3C56C0F65FBA}" xr6:coauthVersionLast="47" xr6:coauthVersionMax="47" xr10:uidLastSave="{00000000-0000-0000-0000-000000000000}"/>
  <bookViews>
    <workbookView xWindow="420" yWindow="600" windowWidth="28040" windowHeight="15960" activeTab="3" xr2:uid="{87995038-EF6D-3648-B83D-90EF52130973}"/>
  </bookViews>
  <sheets>
    <sheet name="Overview" sheetId="1" r:id="rId1"/>
    <sheet name="Lists" sheetId="14" r:id="rId2"/>
    <sheet name="Findings" sheetId="13" r:id="rId3"/>
    <sheet name="RPM" sheetId="8" r:id="rId4"/>
    <sheet name="Menu_Performance" sheetId="9" r:id="rId5"/>
    <sheet name="Ingredient_Cost" sheetId="10" r:id="rId6"/>
    <sheet name="KPI_Reporting" sheetId="11" r:id="rId7"/>
    <sheet name="Export_Log" sheetId="6" r:id="rId8"/>
    <sheet name="raw_menu_profitability" sheetId="2" r:id="rId9"/>
    <sheet name="raw_menu_engineering" sheetId="3" r:id="rId10"/>
    <sheet name="raw_location_price_variance" sheetId="5" r:id="rId11"/>
    <sheet name="raw_location_month_performance" sheetId="4" r:id="rId12"/>
  </sheets>
  <definedNames>
    <definedName name="_xlchart.v2.20" hidden="1">Menu_Performance!$C$33:$G$33</definedName>
    <definedName name="_xlchart.v2.21" hidden="1">Menu_Performance!$C$36:$G$36</definedName>
    <definedName name="_xlchart.v7.0" hidden="1">Menu_Performance!$F$1</definedName>
    <definedName name="_xlchart.v7.1" hidden="1">Menu_Performance!$I$50:$I$67</definedName>
    <definedName name="_xlchart.v7.10" hidden="1">Menu_Performance!$L$50:$L$56</definedName>
    <definedName name="_xlchart.v7.11" hidden="1">Menu_Performance!$L$7</definedName>
    <definedName name="_xlchart.v7.12" hidden="1">Menu_Performance!$F$1</definedName>
    <definedName name="_xlchart.v7.13" hidden="1">Menu_Performance!$I$50:$I$67</definedName>
    <definedName name="_xlchart.v7.14" hidden="1">Menu_Performance!$J$50:$J$67</definedName>
    <definedName name="_xlchart.v7.15" hidden="1">Menu_Performance!$L$6</definedName>
    <definedName name="_xlchart.v7.16" hidden="1">Menu_Performance!$F$1</definedName>
    <definedName name="_xlchart.v7.17" hidden="1">Menu_Performance!$I$50:$I$67</definedName>
    <definedName name="_xlchart.v7.18" hidden="1">Menu_Performance!$J$50:$J$67</definedName>
    <definedName name="_xlchart.v7.19" hidden="1">Menu_Performance!$L$6</definedName>
    <definedName name="_xlchart.v7.2" hidden="1">Menu_Performance!$J$50:$J$67</definedName>
    <definedName name="_xlchart.v7.22" hidden="1">Menu_Performance!$F$1</definedName>
    <definedName name="_xlchart.v7.23" hidden="1">Menu_Performance!$I$50:$I$67</definedName>
    <definedName name="_xlchart.v7.24" hidden="1">Menu_Performance!$J$50:$J$67</definedName>
    <definedName name="_xlchart.v7.25" hidden="1">Menu_Performance!$L$6</definedName>
    <definedName name="_xlchart.v7.26" hidden="1">Menu_Performance!$F$1</definedName>
    <definedName name="_xlchart.v7.27" hidden="1">Menu_Performance!$I$50:$I$67</definedName>
    <definedName name="_xlchart.v7.28" hidden="1">Menu_Performance!$J$50:$J$67</definedName>
    <definedName name="_xlchart.v7.29" hidden="1">Menu_Performance!$L$6</definedName>
    <definedName name="_xlchart.v7.3" hidden="1">Menu_Performance!$L$50:$L$51</definedName>
    <definedName name="_xlchart.v7.30" hidden="1">Menu_Performance!$F$1</definedName>
    <definedName name="_xlchart.v7.31" hidden="1">Menu_Performance!$I$50:$I$67</definedName>
    <definedName name="_xlchart.v7.32" hidden="1">Menu_Performance!$J$50:$J$67</definedName>
    <definedName name="_xlchart.v7.33" hidden="1">Menu_Performance!$L$50:$L$51</definedName>
    <definedName name="_xlchart.v7.34" hidden="1">Menu_Performance!$L$50:$L$56</definedName>
    <definedName name="_xlchart.v7.35" hidden="1">Menu_Performance!$L$7</definedName>
    <definedName name="_xlchart.v7.36" hidden="1">Menu_Performance!$F$1</definedName>
    <definedName name="_xlchart.v7.37" hidden="1">Menu_Performance!$I$50:$I$67</definedName>
    <definedName name="_xlchart.v7.38" hidden="1">Menu_Performance!$J$50:$J$67</definedName>
    <definedName name="_xlchart.v7.39" hidden="1">Menu_Performance!$L$50:$L$51</definedName>
    <definedName name="_xlchart.v7.4" hidden="1">Menu_Performance!$L$50:$L$56</definedName>
    <definedName name="_xlchart.v7.40" hidden="1">Menu_Performance!$L$50:$L$56</definedName>
    <definedName name="_xlchart.v7.41" hidden="1">Menu_Performance!$L$7</definedName>
    <definedName name="_xlchart.v7.5" hidden="1">Menu_Performance!$L$7</definedName>
    <definedName name="_xlchart.v7.6" hidden="1">Menu_Performance!$F$1</definedName>
    <definedName name="_xlchart.v7.7" hidden="1">Menu_Performance!$I$50:$I$67</definedName>
    <definedName name="_xlchart.v7.8" hidden="1">Menu_Performance!$J$50:$J$67</definedName>
    <definedName name="_xlchart.v7.9" hidden="1">Menu_Performance!$L$50:$L$51</definedName>
    <definedName name="location" localSheetId="1">Lists!$A$1:$C$9</definedName>
    <definedName name="location_price_variance" localSheetId="10">raw_location_price_variance!$A$1:$L$8016</definedName>
    <definedName name="menu_engineering" localSheetId="9">raw_menu_engineering!$A$1:$K$2638</definedName>
    <definedName name="menu_profitability_by_location" localSheetId="8">raw_menu_profitability!$A$1:$I$132</definedName>
    <definedName name="menu_profitability_by_location_1" localSheetId="8">raw_menu_profitability!$A$1:$I$132</definedName>
    <definedName name="menu_profitability_by_location_2" localSheetId="8">raw_menu_profitability!$A$1:$H$132</definedName>
    <definedName name="_xlnm.Print_Area" localSheetId="4">Menu_Performance!$B$1:$N$31,Menu_Performance!$I$75:$M$100,Menu_Performance!$A$48:$H$104,Menu_Performance!$B$33:$H$47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1" i="8" l="1"/>
  <c r="O12" i="8"/>
  <c r="O13" i="8"/>
  <c r="O14" i="8"/>
  <c r="O15" i="8"/>
  <c r="O16" i="8"/>
  <c r="O17" i="8"/>
  <c r="O10" i="8"/>
  <c r="N18" i="8"/>
  <c r="N11" i="8"/>
  <c r="N12" i="8"/>
  <c r="N13" i="8"/>
  <c r="N14" i="8"/>
  <c r="N15" i="8"/>
  <c r="N16" i="8"/>
  <c r="N17" i="8"/>
  <c r="N10" i="8"/>
  <c r="M18" i="8"/>
  <c r="M11" i="8"/>
  <c r="M12" i="8"/>
  <c r="M13" i="8"/>
  <c r="M14" i="8"/>
  <c r="M15" i="8"/>
  <c r="M16" i="8"/>
  <c r="M17" i="8"/>
  <c r="M10" i="8"/>
  <c r="L10" i="8" a="1"/>
  <c r="J1" i="8"/>
  <c r="G4" i="6"/>
  <c r="E2" i="8"/>
  <c r="L3" i="2"/>
  <c r="N3" i="3"/>
  <c r="H5" i="6" s="1"/>
  <c r="I5" i="6" s="1"/>
  <c r="N45" i="13"/>
  <c r="O45" i="13" s="1"/>
  <c r="P45" i="13" s="1"/>
  <c r="K45" i="13"/>
  <c r="N44" i="13"/>
  <c r="O44" i="13" s="1"/>
  <c r="P44" i="13" s="1"/>
  <c r="K44" i="13"/>
  <c r="N43" i="13"/>
  <c r="O43" i="13" s="1"/>
  <c r="P43" i="13" s="1"/>
  <c r="K43" i="13"/>
  <c r="K42" i="13"/>
  <c r="N41" i="13"/>
  <c r="O41" i="13" s="1"/>
  <c r="P41" i="13" s="1"/>
  <c r="K41" i="13"/>
  <c r="N40" i="13"/>
  <c r="O40" i="13" s="1"/>
  <c r="P40" i="13" s="1"/>
  <c r="K40" i="13"/>
  <c r="K39" i="13"/>
  <c r="N38" i="13"/>
  <c r="O38" i="13" s="1"/>
  <c r="P38" i="13" s="1"/>
  <c r="P46" i="13" s="1"/>
  <c r="K38" i="13"/>
  <c r="F38" i="13" a="1"/>
  <c r="K17" i="13"/>
  <c r="K18" i="13"/>
  <c r="K19" i="13"/>
  <c r="K20" i="13"/>
  <c r="K21" i="13"/>
  <c r="K22" i="13"/>
  <c r="K23" i="13"/>
  <c r="K16" i="13"/>
  <c r="N23" i="13"/>
  <c r="O23" i="13" s="1"/>
  <c r="P23" i="13" s="1"/>
  <c r="N22" i="13"/>
  <c r="O22" i="13" s="1"/>
  <c r="P22" i="13" s="1"/>
  <c r="N21" i="13"/>
  <c r="O21" i="13" s="1"/>
  <c r="P21" i="13" s="1"/>
  <c r="N19" i="13"/>
  <c r="O19" i="13" s="1"/>
  <c r="P19" i="13" s="1"/>
  <c r="O17" i="13"/>
  <c r="N17" i="13"/>
  <c r="N16" i="13"/>
  <c r="O16" i="13" s="1"/>
  <c r="P16" i="13" s="1"/>
  <c r="P24" i="13" s="1"/>
  <c r="F16" i="13" a="1"/>
  <c r="F1" i="9"/>
  <c r="I75" i="9"/>
  <c r="I79" i="9" a="1"/>
  <c r="J77" i="9"/>
  <c r="D6" i="9"/>
  <c r="C4" i="9"/>
  <c r="E2" i="14"/>
  <c r="E3" i="14"/>
  <c r="E4" i="14"/>
  <c r="E5" i="14"/>
  <c r="E6" i="14"/>
  <c r="E7" i="14"/>
  <c r="E8" i="14"/>
  <c r="E9" i="14"/>
  <c r="E10" i="14"/>
  <c r="E11" i="14"/>
  <c r="E12" i="14"/>
  <c r="E13" i="14"/>
  <c r="E14" i="14"/>
  <c r="E15" i="14"/>
  <c r="E16" i="14"/>
  <c r="E17" i="14"/>
  <c r="E18" i="14"/>
  <c r="E19" i="14"/>
  <c r="E20" i="14"/>
  <c r="E21" i="14"/>
  <c r="G13" i="14"/>
  <c r="C26" i="9"/>
  <c r="C25" i="9"/>
  <c r="C24" i="9"/>
  <c r="C23" i="9"/>
  <c r="C22" i="9"/>
  <c r="C21" i="9"/>
  <c r="C20" i="9"/>
  <c r="C19" i="9"/>
  <c r="C18" i="9"/>
  <c r="C17" i="9"/>
  <c r="C16" i="9"/>
  <c r="C15" i="9"/>
  <c r="C14" i="9"/>
  <c r="C13" i="9"/>
  <c r="C12" i="9"/>
  <c r="C11" i="9"/>
  <c r="C10" i="9"/>
  <c r="C9" i="9"/>
  <c r="K50" i="9" s="1" a="1"/>
  <c r="F5" i="9"/>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 i="3"/>
  <c r="H7" i="6"/>
  <c r="H6" i="6"/>
  <c r="I6" i="6"/>
  <c r="I7" i="6"/>
  <c r="H4" i="6"/>
  <c r="J2"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5" i="8"/>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2" i="2"/>
  <c r="D11" i="8" s="1"/>
  <c r="D164" i="4"/>
  <c r="N3" i="5"/>
  <c r="B6" i="1"/>
  <c r="B5" i="1"/>
  <c r="B4" i="1"/>
  <c r="B3" i="1"/>
  <c r="I4" i="6" l="1"/>
  <c r="G9" i="8"/>
  <c r="G10" i="8"/>
  <c r="G12" i="8"/>
  <c r="G14" i="8"/>
  <c r="G16" i="8"/>
  <c r="G18" i="8"/>
  <c r="G20" i="8"/>
  <c r="G22" i="8"/>
  <c r="G26" i="8"/>
  <c r="G29" i="8"/>
  <c r="G32" i="8"/>
  <c r="G33" i="8"/>
  <c r="G36" i="8"/>
  <c r="G39" i="8"/>
  <c r="G42" i="8"/>
  <c r="G45" i="8"/>
  <c r="G48" i="8"/>
  <c r="G50" i="8"/>
  <c r="G53" i="8"/>
  <c r="G56" i="8"/>
  <c r="G59" i="8"/>
  <c r="G61" i="8"/>
  <c r="G65" i="8"/>
  <c r="G68" i="8"/>
  <c r="G72" i="8"/>
  <c r="G74" i="8"/>
  <c r="G77" i="8"/>
  <c r="G80" i="8"/>
  <c r="G82" i="8"/>
  <c r="G85" i="8"/>
  <c r="G88" i="8"/>
  <c r="G91" i="8"/>
  <c r="G94" i="8"/>
  <c r="G96" i="8"/>
  <c r="G98" i="8"/>
  <c r="G101" i="8"/>
  <c r="G104" i="8"/>
  <c r="G107" i="8"/>
  <c r="G110" i="8"/>
  <c r="G113" i="8"/>
  <c r="G116" i="8"/>
  <c r="G119" i="8"/>
  <c r="G122" i="8"/>
  <c r="G125" i="8"/>
  <c r="G128" i="8"/>
  <c r="G131" i="8"/>
  <c r="G134" i="8"/>
  <c r="G6" i="8"/>
  <c r="G11" i="8"/>
  <c r="G13" i="8"/>
  <c r="G15" i="8"/>
  <c r="G17" i="8"/>
  <c r="G21" i="8"/>
  <c r="G25" i="8"/>
  <c r="G28" i="8"/>
  <c r="G31" i="8"/>
  <c r="G34" i="8"/>
  <c r="G37" i="8"/>
  <c r="G40" i="8"/>
  <c r="G43" i="8"/>
  <c r="G46" i="8"/>
  <c r="G49" i="8"/>
  <c r="G52" i="8"/>
  <c r="G54" i="8"/>
  <c r="G57" i="8"/>
  <c r="G60" i="8"/>
  <c r="G63" i="8"/>
  <c r="G66" i="8"/>
  <c r="G69" i="8"/>
  <c r="G71" i="8"/>
  <c r="G75" i="8"/>
  <c r="G78" i="8"/>
  <c r="G81" i="8"/>
  <c r="G84" i="8"/>
  <c r="G86" i="8"/>
  <c r="G90" i="8"/>
  <c r="G93" i="8"/>
  <c r="G97" i="8"/>
  <c r="G100" i="8"/>
  <c r="G102" i="8"/>
  <c r="G105" i="8"/>
  <c r="G108" i="8"/>
  <c r="G111" i="8"/>
  <c r="G115" i="8"/>
  <c r="G118" i="8"/>
  <c r="G121" i="8"/>
  <c r="G124" i="8"/>
  <c r="G130" i="8"/>
  <c r="G133" i="8"/>
  <c r="G126" i="8"/>
  <c r="G127" i="8"/>
  <c r="G7" i="8"/>
  <c r="G19" i="8"/>
  <c r="G23" i="8"/>
  <c r="G27" i="8"/>
  <c r="G30" i="8"/>
  <c r="G35" i="8"/>
  <c r="G38" i="8"/>
  <c r="G41" i="8"/>
  <c r="G44" i="8"/>
  <c r="G47" i="8"/>
  <c r="G51" i="8"/>
  <c r="G55" i="8"/>
  <c r="G58" i="8"/>
  <c r="G62" i="8"/>
  <c r="G64" i="8"/>
  <c r="G67" i="8"/>
  <c r="G70" i="8"/>
  <c r="G73" i="8"/>
  <c r="G76" i="8"/>
  <c r="G79" i="8"/>
  <c r="G83" i="8"/>
  <c r="G87" i="8"/>
  <c r="G89" i="8"/>
  <c r="G92" i="8"/>
  <c r="G95" i="8"/>
  <c r="G99" i="8"/>
  <c r="G103" i="8"/>
  <c r="G106" i="8"/>
  <c r="G109" i="8"/>
  <c r="G112" i="8"/>
  <c r="G114" i="8"/>
  <c r="G117" i="8"/>
  <c r="G120" i="8"/>
  <c r="G123" i="8"/>
  <c r="G129" i="8"/>
  <c r="G132" i="8"/>
  <c r="G135" i="8"/>
  <c r="D23" i="8"/>
  <c r="D5" i="8"/>
  <c r="G5" i="8"/>
  <c r="D8" i="8"/>
  <c r="G8" i="8"/>
  <c r="D24" i="8"/>
  <c r="G24" i="8"/>
  <c r="I3" i="9"/>
  <c r="J4" i="9" s="1"/>
  <c r="E9" i="9"/>
  <c r="K80" i="9"/>
  <c r="K83" i="9"/>
  <c r="K86" i="9"/>
  <c r="K88" i="9"/>
  <c r="K92" i="9"/>
  <c r="K97" i="9"/>
  <c r="J80" i="9"/>
  <c r="J87" i="9"/>
  <c r="J88" i="9"/>
  <c r="L88" i="9" s="1"/>
  <c r="M88" i="9" s="1"/>
  <c r="J90" i="9"/>
  <c r="J93" i="9"/>
  <c r="J94" i="9"/>
  <c r="J95" i="9"/>
  <c r="J96" i="9"/>
  <c r="K82" i="9"/>
  <c r="K87" i="9"/>
  <c r="K91" i="9"/>
  <c r="K93" i="9"/>
  <c r="K95" i="9"/>
  <c r="K96" i="9"/>
  <c r="K79" i="9"/>
  <c r="J83" i="9"/>
  <c r="L83" i="9" s="1"/>
  <c r="M83" i="9" s="1"/>
  <c r="J86" i="9"/>
  <c r="K84" i="9"/>
  <c r="K90" i="9"/>
  <c r="K98" i="9"/>
  <c r="J82" i="9"/>
  <c r="J98" i="9"/>
  <c r="J85" i="9"/>
  <c r="K81" i="9"/>
  <c r="K85" i="9"/>
  <c r="K89" i="9"/>
  <c r="K94" i="9"/>
  <c r="J81" i="9"/>
  <c r="J84" i="9"/>
  <c r="J89" i="9"/>
  <c r="L89" i="9" s="1"/>
  <c r="M89" i="9" s="1"/>
  <c r="J91" i="9"/>
  <c r="J92" i="9"/>
  <c r="L92" i="9" s="1"/>
  <c r="M92" i="9" s="1"/>
  <c r="J97" i="9"/>
  <c r="J79" i="9"/>
  <c r="I5" i="9"/>
  <c r="J5" i="9" s="1"/>
  <c r="G14" i="14"/>
  <c r="G2" i="14"/>
  <c r="E29" i="9"/>
  <c r="F26" i="9"/>
  <c r="F25" i="9"/>
  <c r="F24" i="9"/>
  <c r="F23" i="9"/>
  <c r="F22" i="9"/>
  <c r="F21" i="9"/>
  <c r="F20" i="9"/>
  <c r="F19" i="9"/>
  <c r="F18" i="9"/>
  <c r="F17" i="9"/>
  <c r="F16" i="9"/>
  <c r="F15" i="9"/>
  <c r="F14" i="9"/>
  <c r="F13" i="9"/>
  <c r="F12" i="9"/>
  <c r="E11" i="9"/>
  <c r="E10" i="9"/>
  <c r="F29" i="9"/>
  <c r="D26" i="9"/>
  <c r="D25" i="9"/>
  <c r="D24" i="9"/>
  <c r="D23" i="9"/>
  <c r="D22" i="9"/>
  <c r="D21" i="9"/>
  <c r="D20" i="9"/>
  <c r="D19" i="9"/>
  <c r="D18" i="9"/>
  <c r="D17" i="9"/>
  <c r="D16" i="9"/>
  <c r="D15" i="9"/>
  <c r="D14" i="9"/>
  <c r="D13" i="9"/>
  <c r="D12" i="9"/>
  <c r="D11" i="9"/>
  <c r="D10" i="9"/>
  <c r="D9" i="9"/>
  <c r="D29" i="9"/>
  <c r="E26" i="9"/>
  <c r="E25" i="9"/>
  <c r="E24" i="9"/>
  <c r="E23" i="9"/>
  <c r="E22" i="9"/>
  <c r="E21" i="9"/>
  <c r="E20" i="9"/>
  <c r="E19" i="9"/>
  <c r="E18" i="9"/>
  <c r="E17" i="9"/>
  <c r="E16" i="9"/>
  <c r="E15" i="9"/>
  <c r="E14" i="9"/>
  <c r="E13" i="9"/>
  <c r="E12" i="9"/>
  <c r="F11" i="9"/>
  <c r="F10" i="9"/>
  <c r="F9" i="9"/>
  <c r="E116" i="8"/>
  <c r="E100" i="8"/>
  <c r="E68" i="8"/>
  <c r="E44" i="8"/>
  <c r="E20" i="8"/>
  <c r="D128" i="8"/>
  <c r="D112" i="8"/>
  <c r="D88" i="8"/>
  <c r="D64" i="8"/>
  <c r="D56" i="8"/>
  <c r="D48" i="8"/>
  <c r="D32" i="8"/>
  <c r="D135" i="8"/>
  <c r="D119" i="8"/>
  <c r="D111" i="8"/>
  <c r="D103" i="8"/>
  <c r="D87" i="8"/>
  <c r="D71" i="8"/>
  <c r="D55" i="8"/>
  <c r="D39" i="8"/>
  <c r="D18" i="8"/>
  <c r="E132" i="8"/>
  <c r="E108" i="8"/>
  <c r="E36" i="8"/>
  <c r="E12" i="8"/>
  <c r="D120" i="8"/>
  <c r="D104" i="8"/>
  <c r="D72" i="8"/>
  <c r="D16" i="8"/>
  <c r="D127" i="8"/>
  <c r="D95" i="8"/>
  <c r="D79" i="8"/>
  <c r="D63" i="8"/>
  <c r="D47" i="8"/>
  <c r="D31" i="8"/>
  <c r="E118" i="8"/>
  <c r="E78" i="8"/>
  <c r="D130" i="8"/>
  <c r="D122" i="8"/>
  <c r="D114" i="8"/>
  <c r="D106" i="8"/>
  <c r="D98" i="8"/>
  <c r="D90" i="8"/>
  <c r="D82" i="8"/>
  <c r="D74" i="8"/>
  <c r="D66" i="8"/>
  <c r="D58" i="8"/>
  <c r="D50" i="8"/>
  <c r="D42" i="8"/>
  <c r="D34" i="8"/>
  <c r="D26" i="8"/>
  <c r="D10" i="8"/>
  <c r="E109" i="8"/>
  <c r="F101" i="8"/>
  <c r="F53" i="8"/>
  <c r="F45" i="8"/>
  <c r="F37" i="8"/>
  <c r="F29" i="8"/>
  <c r="F21" i="8"/>
  <c r="F13" i="8"/>
  <c r="F128" i="8"/>
  <c r="D129" i="8"/>
  <c r="D121" i="8"/>
  <c r="D113" i="8"/>
  <c r="D105" i="8"/>
  <c r="D97" i="8"/>
  <c r="D89" i="8"/>
  <c r="D81" i="8"/>
  <c r="D73" i="8"/>
  <c r="D65" i="8"/>
  <c r="D57" i="8"/>
  <c r="D49" i="8"/>
  <c r="D41" i="8"/>
  <c r="D33" i="8"/>
  <c r="D25" i="8"/>
  <c r="D17" i="8"/>
  <c r="D9" i="8"/>
  <c r="E76" i="8"/>
  <c r="E84" i="8"/>
  <c r="D96" i="8"/>
  <c r="D40" i="8"/>
  <c r="D7" i="8"/>
  <c r="D80" i="8"/>
  <c r="D6" i="8"/>
  <c r="D22" i="8"/>
  <c r="E129" i="8"/>
  <c r="E113" i="8"/>
  <c r="E97" i="8"/>
  <c r="E81" i="8"/>
  <c r="E65" i="8"/>
  <c r="E49" i="8"/>
  <c r="E33" i="8"/>
  <c r="E17" i="8"/>
  <c r="D133" i="8"/>
  <c r="D125" i="8"/>
  <c r="D117" i="8"/>
  <c r="D109" i="8"/>
  <c r="D101" i="8"/>
  <c r="D93" i="8"/>
  <c r="D85" i="8"/>
  <c r="D77" i="8"/>
  <c r="D69" i="8"/>
  <c r="D61" i="8"/>
  <c r="D53" i="8"/>
  <c r="D45" i="8"/>
  <c r="D37" i="8"/>
  <c r="D29" i="8"/>
  <c r="D21" i="8"/>
  <c r="D13" i="8"/>
  <c r="D134" i="8"/>
  <c r="D14" i="8"/>
  <c r="F96" i="8"/>
  <c r="F64" i="8"/>
  <c r="F32" i="8"/>
  <c r="D132" i="8"/>
  <c r="D124" i="8"/>
  <c r="D116" i="8"/>
  <c r="D108" i="8"/>
  <c r="D100" i="8"/>
  <c r="D92" i="8"/>
  <c r="D84" i="8"/>
  <c r="D76" i="8"/>
  <c r="D68" i="8"/>
  <c r="D60" i="8"/>
  <c r="D52" i="8"/>
  <c r="D44" i="8"/>
  <c r="D36" i="8"/>
  <c r="D28" i="8"/>
  <c r="D20" i="8"/>
  <c r="D12" i="8"/>
  <c r="D15" i="8"/>
  <c r="D126" i="8"/>
  <c r="D118" i="8"/>
  <c r="D110" i="8"/>
  <c r="D102" i="8"/>
  <c r="D94" i="8"/>
  <c r="D86" i="8"/>
  <c r="D78" i="8"/>
  <c r="D70" i="8"/>
  <c r="D62" i="8"/>
  <c r="D54" i="8"/>
  <c r="D46" i="8"/>
  <c r="D38" i="8"/>
  <c r="D30" i="8"/>
  <c r="F135" i="8"/>
  <c r="F127" i="8"/>
  <c r="F119" i="8"/>
  <c r="F103" i="8"/>
  <c r="F95" i="8"/>
  <c r="F87" i="8"/>
  <c r="F71" i="8"/>
  <c r="F63" i="8"/>
  <c r="F55" i="8"/>
  <c r="F39" i="8"/>
  <c r="F31" i="8"/>
  <c r="F23" i="8"/>
  <c r="D131" i="8"/>
  <c r="D123" i="8"/>
  <c r="D115" i="8"/>
  <c r="D107" i="8"/>
  <c r="D99" i="8"/>
  <c r="D91" i="8"/>
  <c r="D83" i="8"/>
  <c r="D75" i="8"/>
  <c r="D67" i="8"/>
  <c r="D59" i="8"/>
  <c r="D51" i="8"/>
  <c r="D43" i="8"/>
  <c r="D35" i="8"/>
  <c r="D27" i="8"/>
  <c r="D19" i="8"/>
  <c r="E37" i="8"/>
  <c r="E45" i="8"/>
  <c r="E14" i="8"/>
  <c r="H14" i="8" s="1"/>
  <c r="E60" i="8"/>
  <c r="E13" i="8"/>
  <c r="E124" i="8"/>
  <c r="E38" i="8"/>
  <c r="E86" i="8"/>
  <c r="F6" i="8"/>
  <c r="E22" i="8"/>
  <c r="F125" i="8"/>
  <c r="F93" i="8"/>
  <c r="E93" i="8"/>
  <c r="F69" i="8"/>
  <c r="E69" i="8"/>
  <c r="E125" i="8"/>
  <c r="F129" i="8"/>
  <c r="F97" i="8"/>
  <c r="F65" i="8"/>
  <c r="F33" i="8"/>
  <c r="F77" i="8"/>
  <c r="F61" i="8"/>
  <c r="F115" i="8"/>
  <c r="F91" i="8"/>
  <c r="F67" i="8"/>
  <c r="F43" i="8"/>
  <c r="F27" i="8"/>
  <c r="F11" i="8"/>
  <c r="E77" i="8"/>
  <c r="F121" i="8"/>
  <c r="E73" i="8"/>
  <c r="F73" i="8"/>
  <c r="E57" i="8"/>
  <c r="F57" i="8"/>
  <c r="E41" i="8"/>
  <c r="F41" i="8"/>
  <c r="E5" i="8"/>
  <c r="F5" i="8"/>
  <c r="E128" i="8"/>
  <c r="E120" i="8"/>
  <c r="F120" i="8"/>
  <c r="E112" i="8"/>
  <c r="E104" i="8"/>
  <c r="F104" i="8"/>
  <c r="E96" i="8"/>
  <c r="E88" i="8"/>
  <c r="F88" i="8"/>
  <c r="E80" i="8"/>
  <c r="E72" i="8"/>
  <c r="F72" i="8"/>
  <c r="E64" i="8"/>
  <c r="E56" i="8"/>
  <c r="F56" i="8"/>
  <c r="E48" i="8"/>
  <c r="E40" i="8"/>
  <c r="F40" i="8"/>
  <c r="E32" i="8"/>
  <c r="E24" i="8"/>
  <c r="F24" i="8"/>
  <c r="E16" i="8"/>
  <c r="E8" i="8"/>
  <c r="F8" i="8"/>
  <c r="E102" i="8"/>
  <c r="E61" i="8"/>
  <c r="F113" i="8"/>
  <c r="F81" i="8"/>
  <c r="F49" i="8"/>
  <c r="F17" i="8"/>
  <c r="F133" i="8"/>
  <c r="E133" i="8"/>
  <c r="F117" i="8"/>
  <c r="E117" i="8"/>
  <c r="F85" i="8"/>
  <c r="E85" i="8"/>
  <c r="F123" i="8"/>
  <c r="F99" i="8"/>
  <c r="F75" i="8"/>
  <c r="F59" i="8"/>
  <c r="F35" i="8"/>
  <c r="F19" i="8"/>
  <c r="E105" i="8"/>
  <c r="F105" i="8"/>
  <c r="F25" i="8"/>
  <c r="E9" i="8"/>
  <c r="F9" i="8"/>
  <c r="F7" i="8"/>
  <c r="E101" i="8"/>
  <c r="F112" i="8"/>
  <c r="F80" i="8"/>
  <c r="F48" i="8"/>
  <c r="F16" i="8"/>
  <c r="F109" i="8"/>
  <c r="F131" i="8"/>
  <c r="F107" i="8"/>
  <c r="F83" i="8"/>
  <c r="F51" i="8"/>
  <c r="E89" i="8"/>
  <c r="F89" i="8"/>
  <c r="E134" i="8"/>
  <c r="F134" i="8"/>
  <c r="F126" i="8"/>
  <c r="E126" i="8"/>
  <c r="F118" i="8"/>
  <c r="E110" i="8"/>
  <c r="F110" i="8"/>
  <c r="F102" i="8"/>
  <c r="F94" i="8"/>
  <c r="E94" i="8"/>
  <c r="F86" i="8"/>
  <c r="F78" i="8"/>
  <c r="E70" i="8"/>
  <c r="F70" i="8"/>
  <c r="F62" i="8"/>
  <c r="E62" i="8"/>
  <c r="F54" i="8"/>
  <c r="E54" i="8"/>
  <c r="F111" i="8"/>
  <c r="F79" i="8"/>
  <c r="F47" i="8"/>
  <c r="F15" i="8"/>
  <c r="E130" i="8"/>
  <c r="E122" i="8"/>
  <c r="E114" i="8"/>
  <c r="E106" i="8"/>
  <c r="E98" i="8"/>
  <c r="E90" i="8"/>
  <c r="E82" i="8"/>
  <c r="E74" i="8"/>
  <c r="E66" i="8"/>
  <c r="E58" i="8"/>
  <c r="E50" i="8"/>
  <c r="E42" i="8"/>
  <c r="E34" i="8"/>
  <c r="E26" i="8"/>
  <c r="E18" i="8"/>
  <c r="E10" i="8"/>
  <c r="E21" i="8"/>
  <c r="F38" i="8"/>
  <c r="F22" i="8"/>
  <c r="E53" i="8"/>
  <c r="E30" i="8"/>
  <c r="F46" i="8"/>
  <c r="F30" i="8"/>
  <c r="F14" i="8"/>
  <c r="E52" i="8"/>
  <c r="E29" i="8"/>
  <c r="E6" i="8"/>
  <c r="F132" i="8"/>
  <c r="F124" i="8"/>
  <c r="F116" i="8"/>
  <c r="F108" i="8"/>
  <c r="F100" i="8"/>
  <c r="F92" i="8"/>
  <c r="F84" i="8"/>
  <c r="F76" i="8"/>
  <c r="F68" i="8"/>
  <c r="F60" i="8"/>
  <c r="F52" i="8"/>
  <c r="F44" i="8"/>
  <c r="F36" i="8"/>
  <c r="F28" i="8"/>
  <c r="F20" i="8"/>
  <c r="F12" i="8"/>
  <c r="E92" i="8"/>
  <c r="E46" i="8"/>
  <c r="E28" i="8"/>
  <c r="E131" i="8"/>
  <c r="E99" i="8"/>
  <c r="E83" i="8"/>
  <c r="E59" i="8"/>
  <c r="E51" i="8"/>
  <c r="E43" i="8"/>
  <c r="E27" i="8"/>
  <c r="E19" i="8"/>
  <c r="E11" i="8"/>
  <c r="E135" i="8"/>
  <c r="E127" i="8"/>
  <c r="E119" i="8"/>
  <c r="E111" i="8"/>
  <c r="E103" i="8"/>
  <c r="E95" i="8"/>
  <c r="E87" i="8"/>
  <c r="E79" i="8"/>
  <c r="E71" i="8"/>
  <c r="E63" i="8"/>
  <c r="E55" i="8"/>
  <c r="E47" i="8"/>
  <c r="E39" i="8"/>
  <c r="E31" i="8"/>
  <c r="E23" i="8"/>
  <c r="E15" i="8"/>
  <c r="E7" i="8"/>
  <c r="F130" i="8"/>
  <c r="F122" i="8"/>
  <c r="F114" i="8"/>
  <c r="F106" i="8"/>
  <c r="F98" i="8"/>
  <c r="F90" i="8"/>
  <c r="F82" i="8"/>
  <c r="F74" i="8"/>
  <c r="F66" i="8"/>
  <c r="F58" i="8"/>
  <c r="F50" i="8"/>
  <c r="F42" i="8"/>
  <c r="F34" i="8"/>
  <c r="F26" i="8"/>
  <c r="F18" i="8"/>
  <c r="F10" i="8"/>
  <c r="E123" i="8"/>
  <c r="E91" i="8"/>
  <c r="E67" i="8"/>
  <c r="E35" i="8"/>
  <c r="E107" i="8"/>
  <c r="E75" i="8"/>
  <c r="E121" i="8"/>
  <c r="E25" i="8"/>
  <c r="E115" i="8"/>
  <c r="H68" i="8" l="1"/>
  <c r="I68" i="8" s="1"/>
  <c r="J68" i="8" s="1"/>
  <c r="H33" i="8"/>
  <c r="I33" i="8" s="1"/>
  <c r="J33" i="8" s="1"/>
  <c r="H20" i="8"/>
  <c r="I20" i="8" s="1"/>
  <c r="J20" i="8" s="1"/>
  <c r="H79" i="8"/>
  <c r="I79" i="8" s="1"/>
  <c r="J79" i="8" s="1"/>
  <c r="H12" i="8"/>
  <c r="I12" i="8" s="1"/>
  <c r="J12" i="8" s="1"/>
  <c r="H65" i="8"/>
  <c r="I65" i="8" s="1"/>
  <c r="J65" i="8" s="1"/>
  <c r="H131" i="8"/>
  <c r="I131" i="8" s="1"/>
  <c r="J131" i="8" s="1"/>
  <c r="H99" i="8"/>
  <c r="I99" i="8" s="1"/>
  <c r="J99" i="8" s="1"/>
  <c r="H71" i="8"/>
  <c r="I71" i="8" s="1"/>
  <c r="J71" i="8" s="1"/>
  <c r="H15" i="8"/>
  <c r="I15" i="8" s="1"/>
  <c r="J15" i="8" s="1"/>
  <c r="H5" i="8"/>
  <c r="I5" i="8" s="1"/>
  <c r="J5" i="8" s="1"/>
  <c r="H89" i="8"/>
  <c r="I89" i="8" s="1"/>
  <c r="J89" i="8" s="1"/>
  <c r="H70" i="8"/>
  <c r="I70" i="8" s="1"/>
  <c r="J70" i="8" s="1"/>
  <c r="H78" i="8"/>
  <c r="I78" i="8" s="1"/>
  <c r="J78" i="8" s="1"/>
  <c r="H76" i="8"/>
  <c r="I76" i="8" s="1"/>
  <c r="J76" i="8" s="1"/>
  <c r="H28" i="8"/>
  <c r="I28" i="8" s="1"/>
  <c r="J28" i="8" s="1"/>
  <c r="H43" i="8"/>
  <c r="H44" i="8"/>
  <c r="H132" i="8"/>
  <c r="H118" i="8"/>
  <c r="H116" i="8"/>
  <c r="H100" i="8"/>
  <c r="H108" i="8"/>
  <c r="H36" i="8"/>
  <c r="H84" i="8"/>
  <c r="H113" i="8"/>
  <c r="H49" i="8"/>
  <c r="H109" i="8"/>
  <c r="H81" i="8"/>
  <c r="H45" i="8"/>
  <c r="H13" i="8"/>
  <c r="H86" i="8"/>
  <c r="H27" i="8"/>
  <c r="H102" i="8"/>
  <c r="H61" i="8"/>
  <c r="H85" i="8"/>
  <c r="H134" i="8"/>
  <c r="H54" i="8"/>
  <c r="H91" i="8"/>
  <c r="H75" i="8"/>
  <c r="H121" i="8"/>
  <c r="H25" i="8"/>
  <c r="G29" i="9"/>
  <c r="H29" i="9" s="1"/>
  <c r="L97" i="9"/>
  <c r="M97" i="9" s="1"/>
  <c r="L84" i="9"/>
  <c r="M84" i="9" s="1"/>
  <c r="L87" i="9"/>
  <c r="M87" i="9" s="1"/>
  <c r="L91" i="9"/>
  <c r="M91" i="9" s="1"/>
  <c r="L95" i="9"/>
  <c r="M95" i="9" s="1"/>
  <c r="L94" i="9"/>
  <c r="M94" i="9" s="1"/>
  <c r="L98" i="9"/>
  <c r="M98" i="9" s="1"/>
  <c r="L82" i="9"/>
  <c r="M82" i="9" s="1"/>
  <c r="L90" i="9"/>
  <c r="M90" i="9" s="1"/>
  <c r="L86" i="9"/>
  <c r="M86" i="9" s="1"/>
  <c r="L96" i="9"/>
  <c r="M96" i="9" s="1"/>
  <c r="K99" i="9"/>
  <c r="L81" i="9"/>
  <c r="M81" i="9" s="1"/>
  <c r="L85" i="9"/>
  <c r="M85" i="9" s="1"/>
  <c r="L93" i="9"/>
  <c r="M93" i="9" s="1"/>
  <c r="L79" i="9"/>
  <c r="J99" i="9"/>
  <c r="L80" i="9"/>
  <c r="M80" i="9" s="1"/>
  <c r="G11" i="9"/>
  <c r="G10" i="9"/>
  <c r="G9" i="9"/>
  <c r="G26" i="9"/>
  <c r="G25" i="9"/>
  <c r="G24" i="9"/>
  <c r="G23" i="9"/>
  <c r="G22" i="9"/>
  <c r="G21" i="9"/>
  <c r="G20" i="9"/>
  <c r="G19" i="9"/>
  <c r="G18" i="9"/>
  <c r="G17" i="9"/>
  <c r="G16" i="9"/>
  <c r="G15" i="9"/>
  <c r="H15" i="9" s="1"/>
  <c r="G14" i="9"/>
  <c r="G13" i="9"/>
  <c r="G12" i="9"/>
  <c r="G3" i="14"/>
  <c r="G15" i="14"/>
  <c r="E28" i="9"/>
  <c r="F28" i="9"/>
  <c r="F30" i="9" s="1"/>
  <c r="L5" i="9"/>
  <c r="D28" i="9"/>
  <c r="D30" i="9" s="1"/>
  <c r="H17" i="8"/>
  <c r="H21" i="8"/>
  <c r="H129" i="8"/>
  <c r="H37" i="8"/>
  <c r="I37" i="8" s="1"/>
  <c r="J37" i="8" s="1"/>
  <c r="H97" i="8"/>
  <c r="H47" i="8"/>
  <c r="H111" i="8"/>
  <c r="I111" i="8" s="1"/>
  <c r="J111" i="8" s="1"/>
  <c r="H53" i="8"/>
  <c r="H57" i="8"/>
  <c r="H77" i="8"/>
  <c r="I77" i="8" s="1"/>
  <c r="J77" i="8" s="1"/>
  <c r="H127" i="8"/>
  <c r="H59" i="8"/>
  <c r="H51" i="8"/>
  <c r="H107" i="8"/>
  <c r="I107" i="8" s="1"/>
  <c r="J107" i="8" s="1"/>
  <c r="H101" i="8"/>
  <c r="H7" i="8"/>
  <c r="H94" i="8"/>
  <c r="H92" i="8"/>
  <c r="H123" i="8"/>
  <c r="I123" i="8" s="1"/>
  <c r="J123" i="8" s="1"/>
  <c r="H55" i="8"/>
  <c r="H119" i="8"/>
  <c r="I119" i="8" s="1"/>
  <c r="J119" i="8" s="1"/>
  <c r="H124" i="8"/>
  <c r="H6" i="8"/>
  <c r="I6" i="8" s="1"/>
  <c r="J6" i="8" s="1"/>
  <c r="H9" i="8"/>
  <c r="H130" i="8"/>
  <c r="I130" i="8" s="1"/>
  <c r="J130" i="8" s="1"/>
  <c r="H83" i="8"/>
  <c r="H115" i="8"/>
  <c r="H87" i="8"/>
  <c r="H60" i="8"/>
  <c r="I60" i="8" s="1"/>
  <c r="J60" i="8" s="1"/>
  <c r="H105" i="8"/>
  <c r="I105" i="8" s="1"/>
  <c r="J105" i="8" s="1"/>
  <c r="H29" i="8"/>
  <c r="H135" i="8"/>
  <c r="H23" i="8"/>
  <c r="H35" i="8"/>
  <c r="H11" i="8"/>
  <c r="I11" i="8" s="1"/>
  <c r="J11" i="8" s="1"/>
  <c r="H16" i="8"/>
  <c r="H40" i="8"/>
  <c r="H8" i="8"/>
  <c r="I8" i="8" s="1"/>
  <c r="J8" i="8" s="1"/>
  <c r="H112" i="8"/>
  <c r="I112" i="8" s="1"/>
  <c r="J112" i="8" s="1"/>
  <c r="H67" i="8"/>
  <c r="I67" i="8" s="1"/>
  <c r="J67" i="8" s="1"/>
  <c r="H39" i="8"/>
  <c r="I39" i="8" s="1"/>
  <c r="J39" i="8" s="1"/>
  <c r="H103" i="8"/>
  <c r="I103" i="8" s="1"/>
  <c r="J103" i="8" s="1"/>
  <c r="H96" i="8"/>
  <c r="I96" i="8" s="1"/>
  <c r="J96" i="8" s="1"/>
  <c r="H120" i="8"/>
  <c r="I120" i="8" s="1"/>
  <c r="J120" i="8" s="1"/>
  <c r="H41" i="8"/>
  <c r="I41" i="8" s="1"/>
  <c r="J41" i="8" s="1"/>
  <c r="H22" i="8"/>
  <c r="H38" i="8"/>
  <c r="H62" i="8"/>
  <c r="H126" i="8"/>
  <c r="H63" i="8"/>
  <c r="H26" i="8"/>
  <c r="H58" i="8"/>
  <c r="H90" i="8"/>
  <c r="H122" i="8"/>
  <c r="H64" i="8"/>
  <c r="H88" i="8"/>
  <c r="H93" i="8"/>
  <c r="I14" i="8"/>
  <c r="J14" i="8" s="1"/>
  <c r="H66" i="8"/>
  <c r="H117" i="8"/>
  <c r="H48" i="8"/>
  <c r="H72" i="8"/>
  <c r="H52" i="8"/>
  <c r="H98" i="8"/>
  <c r="H110" i="8"/>
  <c r="H31" i="8"/>
  <c r="H95" i="8"/>
  <c r="H10" i="8"/>
  <c r="H42" i="8"/>
  <c r="H74" i="8"/>
  <c r="H106" i="8"/>
  <c r="H24" i="8"/>
  <c r="H128" i="8"/>
  <c r="H46" i="8"/>
  <c r="H19" i="8"/>
  <c r="H133" i="8"/>
  <c r="H80" i="8"/>
  <c r="H104" i="8"/>
  <c r="H125" i="8"/>
  <c r="H34" i="8"/>
  <c r="H30" i="8"/>
  <c r="H18" i="8"/>
  <c r="H50" i="8"/>
  <c r="H82" i="8"/>
  <c r="H114" i="8"/>
  <c r="H32" i="8"/>
  <c r="H56" i="8"/>
  <c r="H73" i="8"/>
  <c r="H69" i="8"/>
  <c r="I43" i="8" l="1"/>
  <c r="J43" i="8" s="1"/>
  <c r="I44" i="8"/>
  <c r="J44" i="8" s="1"/>
  <c r="I132" i="8"/>
  <c r="J132" i="8" s="1"/>
  <c r="I118" i="8"/>
  <c r="J118" i="8" s="1"/>
  <c r="I57" i="8"/>
  <c r="J57" i="8" s="1"/>
  <c r="I116" i="8"/>
  <c r="J116" i="8" s="1"/>
  <c r="I100" i="8"/>
  <c r="J100" i="8" s="1"/>
  <c r="I84" i="8"/>
  <c r="J84" i="8" s="1"/>
  <c r="I86" i="8"/>
  <c r="J86" i="8" s="1"/>
  <c r="I102" i="8"/>
  <c r="J102" i="8" s="1"/>
  <c r="I108" i="8"/>
  <c r="J108" i="8" s="1"/>
  <c r="I36" i="8"/>
  <c r="J36" i="8" s="1"/>
  <c r="I113" i="8"/>
  <c r="J113" i="8" s="1"/>
  <c r="I49" i="8"/>
  <c r="J49" i="8" s="1"/>
  <c r="I109" i="8"/>
  <c r="J109" i="8" s="1"/>
  <c r="I81" i="8"/>
  <c r="J81" i="8" s="1"/>
  <c r="I45" i="8"/>
  <c r="J45" i="8" s="1"/>
  <c r="I13" i="8"/>
  <c r="J13" i="8" s="1"/>
  <c r="I27" i="8"/>
  <c r="J27" i="8" s="1"/>
  <c r="I61" i="8"/>
  <c r="J61" i="8" s="1"/>
  <c r="I85" i="8"/>
  <c r="J85" i="8" s="1"/>
  <c r="I134" i="8"/>
  <c r="J134" i="8" s="1"/>
  <c r="I54" i="8"/>
  <c r="J54" i="8" s="1"/>
  <c r="I91" i="8"/>
  <c r="J91" i="8" s="1"/>
  <c r="I75" i="8"/>
  <c r="J75" i="8" s="1"/>
  <c r="I121" i="8"/>
  <c r="J121" i="8" s="1"/>
  <c r="I25" i="8"/>
  <c r="J25" i="8" s="1"/>
  <c r="I17" i="8"/>
  <c r="J17" i="8" s="1"/>
  <c r="I97" i="8"/>
  <c r="J97" i="8" s="1"/>
  <c r="I127" i="8"/>
  <c r="J127" i="8" s="1"/>
  <c r="N12" i="9"/>
  <c r="K23" i="9"/>
  <c r="H23" i="9"/>
  <c r="K26" i="9"/>
  <c r="H26" i="9"/>
  <c r="H19" i="9"/>
  <c r="K19" i="9"/>
  <c r="H16" i="9"/>
  <c r="K16" i="9"/>
  <c r="H14" i="9"/>
  <c r="K14" i="9"/>
  <c r="H13" i="9"/>
  <c r="K13" i="9"/>
  <c r="L99" i="9"/>
  <c r="M79" i="9"/>
  <c r="K11" i="9"/>
  <c r="H11" i="9"/>
  <c r="K17" i="9"/>
  <c r="H17" i="9"/>
  <c r="N15" i="9"/>
  <c r="K15" i="9"/>
  <c r="I15" i="9"/>
  <c r="I12" i="9"/>
  <c r="N11" i="9"/>
  <c r="N10" i="9"/>
  <c r="N9" i="9"/>
  <c r="N26" i="9"/>
  <c r="N25" i="9"/>
  <c r="N24" i="9"/>
  <c r="N23" i="9"/>
  <c r="N21" i="9"/>
  <c r="N19" i="9"/>
  <c r="N17" i="9"/>
  <c r="N16" i="9"/>
  <c r="N13" i="9"/>
  <c r="N18" i="9"/>
  <c r="N20" i="9"/>
  <c r="N22" i="9"/>
  <c r="N14" i="9"/>
  <c r="I11" i="9"/>
  <c r="I10" i="9"/>
  <c r="I26" i="9"/>
  <c r="I24" i="9"/>
  <c r="I21" i="9"/>
  <c r="I18" i="9"/>
  <c r="I17" i="9"/>
  <c r="I14" i="9"/>
  <c r="I13" i="9"/>
  <c r="I16" i="9"/>
  <c r="I25" i="9"/>
  <c r="I20" i="9"/>
  <c r="I19" i="9"/>
  <c r="I9" i="9"/>
  <c r="I23" i="9"/>
  <c r="I22" i="9"/>
  <c r="D31" i="9"/>
  <c r="H10" i="9"/>
  <c r="K10" i="9"/>
  <c r="G4" i="14"/>
  <c r="G16" i="14"/>
  <c r="H22" i="9"/>
  <c r="K22" i="9"/>
  <c r="H18" i="9"/>
  <c r="K18" i="9"/>
  <c r="H20" i="9"/>
  <c r="K20" i="9"/>
  <c r="H21" i="9"/>
  <c r="K21" i="9"/>
  <c r="H12" i="9"/>
  <c r="K12" i="9"/>
  <c r="F31" i="9"/>
  <c r="H24" i="9"/>
  <c r="K24" i="9"/>
  <c r="E31" i="9"/>
  <c r="E30" i="9"/>
  <c r="K25" i="9"/>
  <c r="H25" i="9"/>
  <c r="L6" i="9"/>
  <c r="K9" i="9"/>
  <c r="H9" i="9"/>
  <c r="G28" i="9"/>
  <c r="I21" i="8"/>
  <c r="J21" i="8" s="1"/>
  <c r="I129" i="8"/>
  <c r="J129" i="8" s="1"/>
  <c r="I51" i="8"/>
  <c r="J51" i="8" s="1"/>
  <c r="I47" i="8"/>
  <c r="J47" i="8" s="1"/>
  <c r="I101" i="8"/>
  <c r="J101" i="8" s="1"/>
  <c r="I53" i="8"/>
  <c r="J53" i="8" s="1"/>
  <c r="I9" i="8"/>
  <c r="J9" i="8" s="1"/>
  <c r="I59" i="8"/>
  <c r="J59" i="8" s="1"/>
  <c r="I7" i="8"/>
  <c r="J7" i="8" s="1"/>
  <c r="I94" i="8"/>
  <c r="J94" i="8" s="1"/>
  <c r="I135" i="8"/>
  <c r="J135" i="8" s="1"/>
  <c r="I40" i="8"/>
  <c r="J40" i="8" s="1"/>
  <c r="I35" i="8"/>
  <c r="J35" i="8" s="1"/>
  <c r="I92" i="8"/>
  <c r="J92" i="8" s="1"/>
  <c r="I23" i="8"/>
  <c r="J23" i="8" s="1"/>
  <c r="I16" i="8"/>
  <c r="J16" i="8" s="1"/>
  <c r="I87" i="8"/>
  <c r="J87" i="8" s="1"/>
  <c r="I115" i="8"/>
  <c r="J115" i="8" s="1"/>
  <c r="I55" i="8"/>
  <c r="J55" i="8" s="1"/>
  <c r="I124" i="8"/>
  <c r="J124" i="8" s="1"/>
  <c r="I38" i="8"/>
  <c r="J38" i="8" s="1"/>
  <c r="I22" i="8"/>
  <c r="J22" i="8" s="1"/>
  <c r="I83" i="8"/>
  <c r="J83" i="8" s="1"/>
  <c r="I29" i="8"/>
  <c r="J29" i="8" s="1"/>
  <c r="I32" i="8"/>
  <c r="J32" i="8" s="1"/>
  <c r="I10" i="8"/>
  <c r="J10" i="8" s="1"/>
  <c r="I114" i="8"/>
  <c r="J114" i="8" s="1"/>
  <c r="I125" i="8"/>
  <c r="J125" i="8" s="1"/>
  <c r="I128" i="8"/>
  <c r="J128" i="8" s="1"/>
  <c r="I95" i="8"/>
  <c r="J95" i="8" s="1"/>
  <c r="I62" i="8"/>
  <c r="J62" i="8" s="1"/>
  <c r="I24" i="8"/>
  <c r="J24" i="8" s="1"/>
  <c r="I80" i="8"/>
  <c r="J80" i="8" s="1"/>
  <c r="I122" i="8"/>
  <c r="J122" i="8" s="1"/>
  <c r="I133" i="8"/>
  <c r="J133" i="8" s="1"/>
  <c r="I90" i="8"/>
  <c r="J90" i="8" s="1"/>
  <c r="I19" i="8"/>
  <c r="J19" i="8" s="1"/>
  <c r="I106" i="8"/>
  <c r="J106" i="8" s="1"/>
  <c r="I52" i="8"/>
  <c r="J52" i="8" s="1"/>
  <c r="I66" i="8"/>
  <c r="J66" i="8" s="1"/>
  <c r="I58" i="8"/>
  <c r="J58" i="8" s="1"/>
  <c r="I63" i="8"/>
  <c r="J63" i="8" s="1"/>
  <c r="I64" i="8"/>
  <c r="J64" i="8" s="1"/>
  <c r="I50" i="8"/>
  <c r="J50" i="8" s="1"/>
  <c r="I18" i="8"/>
  <c r="J18" i="8" s="1"/>
  <c r="I98" i="8"/>
  <c r="J98" i="8" s="1"/>
  <c r="I69" i="8"/>
  <c r="J69" i="8" s="1"/>
  <c r="I30" i="8"/>
  <c r="J30" i="8" s="1"/>
  <c r="I74" i="8"/>
  <c r="J74" i="8" s="1"/>
  <c r="I72" i="8"/>
  <c r="J72" i="8" s="1"/>
  <c r="I93" i="8"/>
  <c r="J93" i="8" s="1"/>
  <c r="I26" i="8"/>
  <c r="J26" i="8" s="1"/>
  <c r="I126" i="8"/>
  <c r="J126" i="8" s="1"/>
  <c r="I82" i="8"/>
  <c r="J82" i="8" s="1"/>
  <c r="I34" i="8"/>
  <c r="J34" i="8" s="1"/>
  <c r="I104" i="8"/>
  <c r="J104" i="8" s="1"/>
  <c r="I31" i="8"/>
  <c r="J31" i="8" s="1"/>
  <c r="I117" i="8"/>
  <c r="J117" i="8" s="1"/>
  <c r="I73" i="8"/>
  <c r="J73" i="8" s="1"/>
  <c r="I46" i="8"/>
  <c r="J46" i="8" s="1"/>
  <c r="I56" i="8"/>
  <c r="J56" i="8" s="1"/>
  <c r="I42" i="8"/>
  <c r="J42" i="8" s="1"/>
  <c r="I110" i="8"/>
  <c r="J110" i="8" s="1"/>
  <c r="I48" i="8"/>
  <c r="J48" i="8" s="1"/>
  <c r="I88" i="8"/>
  <c r="J88" i="8" s="1"/>
  <c r="J50" i="9" l="1" a="1"/>
  <c r="M51" i="9" s="1" a="1"/>
  <c r="I50" i="9" a="1"/>
  <c r="L55" i="9" s="1" a="1"/>
  <c r="L51" i="9"/>
  <c r="L50" i="9"/>
  <c r="O86" i="9"/>
  <c r="O95" i="9"/>
  <c r="O80" i="9"/>
  <c r="O84" i="9"/>
  <c r="O88" i="9"/>
  <c r="O93" i="9"/>
  <c r="O98" i="9"/>
  <c r="O85" i="9"/>
  <c r="O87" i="9"/>
  <c r="O92" i="9"/>
  <c r="O96" i="9"/>
  <c r="O79" i="9"/>
  <c r="O82" i="9"/>
  <c r="O83" i="9"/>
  <c r="O90" i="9"/>
  <c r="O91" i="9"/>
  <c r="O97" i="9"/>
  <c r="O89" i="9"/>
  <c r="O94" i="9"/>
  <c r="O81" i="9"/>
  <c r="N83" i="9"/>
  <c r="N85" i="9"/>
  <c r="N88" i="9"/>
  <c r="N91" i="9"/>
  <c r="N95" i="9"/>
  <c r="N98" i="9"/>
  <c r="N80" i="9"/>
  <c r="N93" i="9"/>
  <c r="N79" i="9"/>
  <c r="N81" i="9"/>
  <c r="N84" i="9"/>
  <c r="N87" i="9"/>
  <c r="N89" i="9"/>
  <c r="N92" i="9"/>
  <c r="N96" i="9"/>
  <c r="N82" i="9"/>
  <c r="N86" i="9"/>
  <c r="N90" i="9"/>
  <c r="N94" i="9"/>
  <c r="N97" i="9"/>
  <c r="J24" i="9"/>
  <c r="J21" i="9"/>
  <c r="J11" i="9"/>
  <c r="J26" i="9"/>
  <c r="J10" i="9"/>
  <c r="J18" i="9"/>
  <c r="J17" i="9"/>
  <c r="J14" i="9"/>
  <c r="J13" i="9"/>
  <c r="J15" i="9"/>
  <c r="J12" i="9"/>
  <c r="J19" i="9"/>
  <c r="J9" i="9"/>
  <c r="J23" i="9"/>
  <c r="J22" i="9"/>
  <c r="J16" i="9"/>
  <c r="J25" i="9"/>
  <c r="J20" i="9"/>
  <c r="G17" i="14"/>
  <c r="G5" i="14"/>
  <c r="G30" i="9"/>
  <c r="G31" i="9" s="1"/>
  <c r="F6" i="9" s="1"/>
  <c r="H28" i="9"/>
  <c r="H30" i="9" s="1"/>
  <c r="L7" i="9"/>
  <c r="H2" i="8"/>
  <c r="M55" i="9" l="1"/>
  <c r="M54" i="9"/>
  <c r="M29" i="9" a="1"/>
  <c r="J29" i="9" a="1"/>
  <c r="G6" i="14"/>
  <c r="G18" i="14"/>
  <c r="J27" i="9"/>
  <c r="L16" i="9"/>
  <c r="M16" i="9" s="1"/>
  <c r="L18" i="9"/>
  <c r="M18" i="9" s="1"/>
  <c r="L19" i="9"/>
  <c r="M19" i="9" s="1"/>
  <c r="L10" i="9"/>
  <c r="M10" i="9" s="1"/>
  <c r="L11" i="9"/>
  <c r="M11" i="9" s="1"/>
  <c r="L17" i="9"/>
  <c r="M17" i="9" s="1"/>
  <c r="L13" i="9"/>
  <c r="M13" i="9" s="1"/>
  <c r="L23" i="9"/>
  <c r="M23" i="9" s="1"/>
  <c r="L9" i="9"/>
  <c r="L24" i="9"/>
  <c r="M24" i="9" s="1"/>
  <c r="L22" i="9"/>
  <c r="M22" i="9" s="1"/>
  <c r="L26" i="9"/>
  <c r="M26" i="9" s="1"/>
  <c r="L21" i="9"/>
  <c r="M21" i="9" s="1"/>
  <c r="L20" i="9"/>
  <c r="M20" i="9" s="1"/>
  <c r="L14" i="9"/>
  <c r="M14" i="9" s="1"/>
  <c r="L15" i="9"/>
  <c r="M15" i="9" s="1"/>
  <c r="L12" i="9"/>
  <c r="M12" i="9" s="1"/>
  <c r="L25" i="9"/>
  <c r="M25" i="9" s="1"/>
  <c r="G7" i="14" l="1"/>
  <c r="G19" i="14"/>
  <c r="L27" i="9"/>
  <c r="M9" i="9"/>
  <c r="C39" i="9" l="1" a="1"/>
  <c r="G37" i="9"/>
  <c r="D35" i="9"/>
  <c r="F37" i="9"/>
  <c r="F35" i="9"/>
  <c r="E37" i="9"/>
  <c r="C37" i="9"/>
  <c r="G35" i="9"/>
  <c r="C35" i="9"/>
  <c r="D37" i="9"/>
  <c r="E35" i="9"/>
  <c r="G20" i="14"/>
  <c r="G8" i="14"/>
  <c r="F39" i="9" a="1"/>
  <c r="G34" i="9"/>
  <c r="E34" i="9"/>
  <c r="E39" i="9" a="1"/>
  <c r="G39" i="9" a="1"/>
  <c r="F34" i="9"/>
  <c r="D34" i="9"/>
  <c r="C34" i="9"/>
  <c r="D39" i="9" a="1"/>
  <c r="H35" i="9" l="1"/>
  <c r="I35" i="9" s="1"/>
  <c r="G21" i="14"/>
  <c r="G9" i="14"/>
  <c r="H34" i="9"/>
  <c r="G36" i="9" l="1"/>
  <c r="C36" i="9"/>
  <c r="E36" i="9"/>
  <c r="D36" i="9"/>
  <c r="F36" i="9"/>
  <c r="H37" i="9"/>
  <c r="I37" i="9" s="1"/>
  <c r="G10" i="14"/>
  <c r="H36" i="9" l="1"/>
  <c r="E38" i="9"/>
  <c r="C38" i="9"/>
  <c r="D38" i="9"/>
  <c r="F38" i="9"/>
  <c r="G38" i="9"/>
  <c r="G12" i="14"/>
  <c r="G11" i="14"/>
  <c r="H38" i="9" l="1"/>
  <c r="E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8C29F7-D80C-A441-9C92-B88646F058CE}" name="location_price_variance" type="6" refreshedVersion="8" background="1" saveData="1">
    <textPr sourceFile="/Users/mike/rpm_tracker/docs/excel/location_price_variance.csv" tab="0" comma="1">
      <textFields count="12">
        <textField/>
        <textField/>
        <textField/>
        <textField/>
        <textField/>
        <textField/>
        <textField/>
        <textField/>
        <textField/>
        <textField/>
        <textField/>
        <textField/>
      </textFields>
    </textPr>
  </connection>
  <connection id="2" xr16:uid="{715214F3-5882-C74C-A832-7CC9C23380C9}" name="location1" type="6" refreshedVersion="8" background="1" saveData="1">
    <textPr sourceFile="/Users/mike/rpm_tracker/docs/excel/location.csv" tab="0" comma="1">
      <textFields count="3">
        <textField/>
        <textField type="text"/>
        <textField/>
      </textFields>
    </textPr>
  </connection>
  <connection id="3" xr16:uid="{634E0F10-5558-F347-8235-AE373CE354A4}" name="menu_engineering" type="6" refreshedVersion="8" background="1" saveData="1">
    <textPr sourceFile="/Users/mike/rpm_tracker/docs/excel/menu_engineering.csv" tab="0" comma="1">
      <textFields count="11">
        <textField/>
        <textField/>
        <textField/>
        <textField/>
        <textField/>
        <textField/>
        <textField/>
        <textField/>
        <textField/>
        <textField/>
        <textField/>
      </textFields>
    </textPr>
  </connection>
  <connection id="4" xr16:uid="{30E8174A-1EDA-1A4D-BF88-82AFB87DB86B}" name="menu_profitability_by_location" type="6" refreshedVersion="8" background="1" saveData="1">
    <textPr codePage="10000" sourceFile="/Users/mike/rpm_tracker/docs/excel/menu_profitability_by_location.csv" tab="0" comma="1">
      <textFields count="11">
        <textField/>
        <textField type="text"/>
        <textField/>
        <textField type="text"/>
        <textField/>
        <textField/>
        <textField/>
        <textField/>
        <textField/>
        <textField/>
        <textField/>
      </textFields>
    </textPr>
  </connection>
  <connection id="5" xr16:uid="{997CFB2A-F087-0A4A-B2E1-2DEEF46034F7}" name="menu_profitability_by_location1" type="6" refreshedVersion="8" background="1" saveData="1">
    <textPr codePage="10000" sourceFile="/Users/mike/rpm_tracker/docs/excel/menu_profitability_by_location.csv" tab="0" comma="1">
      <textFields count="11">
        <textField/>
        <textField type="text"/>
        <textField/>
        <textField type="text"/>
        <textField/>
        <textField/>
        <textField/>
        <textField/>
        <textField/>
        <textField/>
        <textField/>
      </textFields>
    </textPr>
  </connection>
  <connection id="6" xr16:uid="{3A81103A-EA30-DD43-A798-49EF281A5CF2}" name="menu_profitability_by_location21" type="6" refreshedVersion="8" background="1" saveData="1">
    <textPr codePage="10000" sourceFile="/Users/mike/rpm_tracker/docs/excel/menu_profitability_by_location.csv" tab="0" comma="1">
      <textFields count="9">
        <textField/>
        <textField type="text"/>
        <textField/>
        <textField type="text"/>
        <textField/>
        <textField/>
        <textField/>
        <textField/>
        <textField/>
      </textFields>
    </textP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<sst xmlns="http://schemas.openxmlformats.org/spreadsheetml/2006/main" count="30169" uniqueCount="269">
  <si>
    <t>Sheet</t>
  </si>
  <si>
    <t>Question</t>
  </si>
  <si>
    <t>Source</t>
  </si>
  <si>
    <t>Main Measures</t>
  </si>
  <si>
    <t>Posting Line</t>
  </si>
  <si>
    <t>Support the development, costing review, and maintenance of RPMs (Recipes, Pricing, and Margins)</t>
  </si>
  <si>
    <t>What does each active dish cost, sell for and earn per serving at each location?</t>
  </si>
  <si>
    <t>menu_profitability_by_location</t>
  </si>
  <si>
    <t>menu price, cost per serving, gross profit per unit, margin percent</t>
  </si>
  <si>
    <t>menu_engineering</t>
  </si>
  <si>
    <t>Monitor ingredient cost fluctuations</t>
  </si>
  <si>
    <t>location_price_variance</t>
  </si>
  <si>
    <t>location_monthly_performance</t>
  </si>
  <si>
    <t>sales_dollars, actual food cost, theoretical food cost</t>
  </si>
  <si>
    <t>Which locations keep the highest share of sales after food cost?</t>
  </si>
  <si>
    <t>How does each ingredient’s price per location move month to month?</t>
  </si>
  <si>
    <t>average price paid, quantity purchased, purchase dollars, and min and max price</t>
  </si>
  <si>
    <t>Export</t>
  </si>
  <si>
    <t>Filter</t>
  </si>
  <si>
    <t>Rows</t>
  </si>
  <si>
    <t>Control Total</t>
  </si>
  <si>
    <t>menu_engineering.csv</t>
  </si>
  <si>
    <t>month window above</t>
  </si>
  <si>
    <t>Note: records have been filtered from 2025-02-01 to but not including 2026-10-01</t>
  </si>
  <si>
    <t>menu_profitability_by_location.csv</t>
  </si>
  <si>
    <t>-</t>
  </si>
  <si>
    <t>location_price_variance.csv</t>
  </si>
  <si>
    <t>location_monthly_performance.csv</t>
  </si>
  <si>
    <t>location_id</t>
  </si>
  <si>
    <t>location_name</t>
  </si>
  <si>
    <t>recipe_id</t>
  </si>
  <si>
    <t>recipe_name</t>
  </si>
  <si>
    <t>recipe_status</t>
  </si>
  <si>
    <t>menu_price</t>
  </si>
  <si>
    <t>cost_per_serving</t>
  </si>
  <si>
    <t>gross_profit_per_unit</t>
  </si>
  <si>
    <t>profit_margin_pct</t>
  </si>
  <si>
    <t>Eataly Flatiron</t>
  </si>
  <si>
    <t>Spaghetti alla Carbonara</t>
  </si>
  <si>
    <t>ACTIVE</t>
  </si>
  <si>
    <t>Margherita Pizza</t>
  </si>
  <si>
    <t>Risotto alla Milanese</t>
  </si>
  <si>
    <t>Caprese Salad</t>
  </si>
  <si>
    <t>Prosciutto e Melone</t>
  </si>
  <si>
    <t>Bucatini all'Amatriciana</t>
  </si>
  <si>
    <t>Tiramisu</t>
  </si>
  <si>
    <t>Focaccia Genovese</t>
  </si>
  <si>
    <t>Osso Buco</t>
  </si>
  <si>
    <t>Cacio e Pepe</t>
  </si>
  <si>
    <t>Pesto alla Genovese</t>
  </si>
  <si>
    <t>Quattro Formaggi Pizza</t>
  </si>
  <si>
    <t>Porchetta</t>
  </si>
  <si>
    <t>Pollo alla Griglia</t>
  </si>
  <si>
    <t>Cannoli</t>
  </si>
  <si>
    <t>Pistachio Gelato</t>
  </si>
  <si>
    <t>Insalata di Mare</t>
  </si>
  <si>
    <t>Eataly Downtown NYC</t>
  </si>
  <si>
    <t>Panzanella</t>
  </si>
  <si>
    <t>Eataly Boston</t>
  </si>
  <si>
    <t>Eataly Chicago</t>
  </si>
  <si>
    <t>Eataly Los Angeles</t>
  </si>
  <si>
    <t>Eataly Las Vegas</t>
  </si>
  <si>
    <t>Eataly Dallas</t>
  </si>
  <si>
    <t>Eataly San Jose</t>
  </si>
  <si>
    <t>month_start</t>
  </si>
  <si>
    <t>revenue_dollars</t>
  </si>
  <si>
    <t>quantity_sold</t>
  </si>
  <si>
    <t>cost_per_item</t>
  </si>
  <si>
    <t>cost_dollars</t>
  </si>
  <si>
    <t>gross_profit_dollars</t>
  </si>
  <si>
    <t>has_unconverted_ingredient</t>
  </si>
  <si>
    <t>ingredient_id</t>
  </si>
  <si>
    <t>ingredient_name</t>
  </si>
  <si>
    <t>ingredient_category</t>
  </si>
  <si>
    <t>quantity_purchased</t>
  </si>
  <si>
    <t>purchase_dollars</t>
  </si>
  <si>
    <t>avg_price_paid</t>
  </si>
  <si>
    <t>max_purchase_price</t>
  </si>
  <si>
    <t>min_purchase_price</t>
  </si>
  <si>
    <t>total_orders</t>
  </si>
  <si>
    <t>Extra Virgin Olive Oil</t>
  </si>
  <si>
    <t>Oil</t>
  </si>
  <si>
    <t>Parmigiano Reggiano</t>
  </si>
  <si>
    <t>Dairy</t>
  </si>
  <si>
    <t>All-Purpose Flour</t>
  </si>
  <si>
    <t>Grain</t>
  </si>
  <si>
    <t>Guanciale</t>
  </si>
  <si>
    <t>Meat</t>
  </si>
  <si>
    <t>Fresh Eggs</t>
  </si>
  <si>
    <t>San Marzano Tomatoes (Canned)</t>
  </si>
  <si>
    <t>Pantry</t>
  </si>
  <si>
    <t>Fresh Basil</t>
  </si>
  <si>
    <t>Produce</t>
  </si>
  <si>
    <t>Mozzarella di Bufala</t>
  </si>
  <si>
    <t>Arborio Rice</t>
  </si>
  <si>
    <t>Pecorino Romano</t>
  </si>
  <si>
    <t>Prosciutto di Parma</t>
  </si>
  <si>
    <t>Dried Spaghetti</t>
  </si>
  <si>
    <t>Pasta</t>
  </si>
  <si>
    <t>Balsamic Vinegar</t>
  </si>
  <si>
    <t>Garlic</t>
  </si>
  <si>
    <t>Yellow Onion</t>
  </si>
  <si>
    <t>Chianti Wine</t>
  </si>
  <si>
    <t>Beverage</t>
  </si>
  <si>
    <t>Espresso Beans</t>
  </si>
  <si>
    <t>Active Dry Yeast</t>
  </si>
  <si>
    <t>Baking</t>
  </si>
  <si>
    <t>Saffron Threads</t>
  </si>
  <si>
    <t>Spice</t>
  </si>
  <si>
    <t>Unsalted Butter</t>
  </si>
  <si>
    <t>Chicken Stock</t>
  </si>
  <si>
    <t>Cantaloupe</t>
  </si>
  <si>
    <t>Mascarpone Cheese</t>
  </si>
  <si>
    <t>Ladyfingers</t>
  </si>
  <si>
    <t>Bakery</t>
  </si>
  <si>
    <t>Cocoa Powder</t>
  </si>
  <si>
    <t>Granulated Sugar</t>
  </si>
  <si>
    <t>Fresh Rosemary</t>
  </si>
  <si>
    <t>Veal Shank</t>
  </si>
  <si>
    <t>Carrots</t>
  </si>
  <si>
    <t>Celery</t>
  </si>
  <si>
    <t>Fresh Parsley</t>
  </si>
  <si>
    <t>Lemon</t>
  </si>
  <si>
    <t>Rustic Bread</t>
  </si>
  <si>
    <t>Red Wine Vinegar</t>
  </si>
  <si>
    <t>Dried Bucatini</t>
  </si>
  <si>
    <t>Pine Nuts</t>
  </si>
  <si>
    <t>Gorgonzola</t>
  </si>
  <si>
    <t>Pork Belly</t>
  </si>
  <si>
    <t>Fennel Seeds</t>
  </si>
  <si>
    <t>Chicken Breast</t>
  </si>
  <si>
    <t>Ricotta</t>
  </si>
  <si>
    <t>Powdered Sugar</t>
  </si>
  <si>
    <t>Pistachios</t>
  </si>
  <si>
    <t>Whole Milk</t>
  </si>
  <si>
    <t>Black Pepper</t>
  </si>
  <si>
    <t>Fresh Tomatoes</t>
  </si>
  <si>
    <t>Shrimp</t>
  </si>
  <si>
    <t>Seafood</t>
  </si>
  <si>
    <t>Calamari</t>
  </si>
  <si>
    <t>Mussels</t>
  </si>
  <si>
    <t>Vegetable Oil</t>
  </si>
  <si>
    <t>Kosher Salt</t>
  </si>
  <si>
    <t>Dry White Wine</t>
  </si>
  <si>
    <t>Marsala Wine</t>
  </si>
  <si>
    <t>Heavy Cream</t>
  </si>
  <si>
    <t>Clams</t>
  </si>
  <si>
    <t>sales_dollars</t>
  </si>
  <si>
    <t>year_over_year_change_pct</t>
  </si>
  <si>
    <t>tickets</t>
  </si>
  <si>
    <t>average_ticket_dollars</t>
  </si>
  <si>
    <t>actual_food_cost_dollars</t>
  </si>
  <si>
    <t>actual_food_cost_pct</t>
  </si>
  <si>
    <t>theoretical_food_cost_dollars</t>
  </si>
  <si>
    <t>theoretical_food_cost_pct</t>
  </si>
  <si>
    <t>purchase_food_cost_dollars</t>
  </si>
  <si>
    <t>purchase_food_cost_pct</t>
  </si>
  <si>
    <t>purchase_cost_gap_dollars</t>
  </si>
  <si>
    <t>purchase_cost_gap_pct</t>
  </si>
  <si>
    <t>actual_cost_gap_dollars</t>
  </si>
  <si>
    <t>actual_cost_gap_pct</t>
  </si>
  <si>
    <t>estimated_price_ingredient_count</t>
  </si>
  <si>
    <t>unconverted_recipe_count</t>
  </si>
  <si>
    <t>quantity sold, profit dollars, cost dollars, gross profit dollars</t>
  </si>
  <si>
    <t>Difference</t>
  </si>
  <si>
    <t>sum of revenue_dollars</t>
  </si>
  <si>
    <t>sum of purchase_dollars</t>
  </si>
  <si>
    <t>sum of sales_dollars</t>
  </si>
  <si>
    <t>Helper</t>
  </si>
  <si>
    <t>Target Margin</t>
  </si>
  <si>
    <t>margin_flag</t>
  </si>
  <si>
    <t>count under target</t>
  </si>
  <si>
    <t>Note:</t>
  </si>
  <si>
    <t>prices are today's menu price</t>
  </si>
  <si>
    <t>margin is price - cost</t>
  </si>
  <si>
    <t>Target Margin is an assumption</t>
  </si>
  <si>
    <t>Margin doesn't include overhead</t>
  </si>
  <si>
    <t>RPM data rows</t>
  </si>
  <si>
    <t>Raw data rows</t>
  </si>
  <si>
    <t>units are all-time</t>
  </si>
  <si>
    <t>costs are most recent</t>
  </si>
  <si>
    <t>Sum of revenue_dollars</t>
  </si>
  <si>
    <t>Sum of purchase_dollars</t>
  </si>
  <si>
    <t>Sum of sales_dollars</t>
  </si>
  <si>
    <t>MySQL</t>
  </si>
  <si>
    <t>CSV</t>
  </si>
  <si>
    <t>Export Date: 10/19/2026</t>
  </si>
  <si>
    <t>Records: 2/1/25 to but not including 10/1/26</t>
  </si>
  <si>
    <t>start_month</t>
  </si>
  <si>
    <t>end_month</t>
  </si>
  <si>
    <t>margin_pct</t>
  </si>
  <si>
    <t>total</t>
  </si>
  <si>
    <t>SUMIFS_total</t>
  </si>
  <si>
    <t>status</t>
  </si>
  <si>
    <t>month_count</t>
  </si>
  <si>
    <t>half a cent per month</t>
  </si>
  <si>
    <t>overall_status</t>
  </si>
  <si>
    <t>units_share</t>
  </si>
  <si>
    <t>popularity</t>
  </si>
  <si>
    <t>threshold</t>
  </si>
  <si>
    <t>pct_of_even_split</t>
  </si>
  <si>
    <t>pop_count</t>
  </si>
  <si>
    <t>diff_tolerance</t>
  </si>
  <si>
    <t>num_items_with_sales</t>
  </si>
  <si>
    <t>profitable?</t>
  </si>
  <si>
    <t>profitable_count</t>
  </si>
  <si>
    <t>category</t>
  </si>
  <si>
    <t>NOTE:</t>
  </si>
  <si>
    <t>Dishes are compared to others within the selected time window and location</t>
  </si>
  <si>
    <t>Location</t>
  </si>
  <si>
    <t>share_of_units</t>
  </si>
  <si>
    <t>profit_per_plate</t>
  </si>
  <si>
    <t>PLOWHORSE</t>
  </si>
  <si>
    <t>DOG</t>
  </si>
  <si>
    <t>benchmark</t>
  </si>
  <si>
    <t>DROPPED</t>
  </si>
  <si>
    <t>pct_of_threshold</t>
  </si>
  <si>
    <t>pct_of_benchmark</t>
  </si>
  <si>
    <t>NOT ON MENU</t>
  </si>
  <si>
    <t>profit_difference</t>
  </si>
  <si>
    <t>loss_dollars</t>
  </si>
  <si>
    <t>Menu Performance</t>
  </si>
  <si>
    <t>region_id</t>
  </si>
  <si>
    <t>units_sold</t>
  </si>
  <si>
    <t>total_shortfall</t>
  </si>
  <si>
    <t>Evidence</t>
  </si>
  <si>
    <t>rank</t>
  </si>
  <si>
    <t>month</t>
  </si>
  <si>
    <t>year</t>
  </si>
  <si>
    <t>top_grossing</t>
  </si>
  <si>
    <t>least_grossing</t>
  </si>
  <si>
    <t>unconverted_ingredient_count</t>
  </si>
  <si>
    <t>Which dish earns the most and the least profit per location per time window?</t>
  </si>
  <si>
    <t>revenue</t>
  </si>
  <si>
    <t>gross_profit</t>
  </si>
  <si>
    <t>STAR</t>
  </si>
  <si>
    <t>PUZZLE</t>
  </si>
  <si>
    <t>no_sales</t>
  </si>
  <si>
    <t>count</t>
  </si>
  <si>
    <t>revenue_share_of_total</t>
  </si>
  <si>
    <t>profit_share_of_total</t>
  </si>
  <si>
    <t>cost</t>
  </si>
  <si>
    <t>DISHES</t>
  </si>
  <si>
    <t>Monitor and analyze virtual menu performance</t>
  </si>
  <si>
    <t>Generate forecasting, KPI, operational reports and magin trends</t>
  </si>
  <si>
    <t>Dish</t>
  </si>
  <si>
    <t>TOTAL</t>
  </si>
  <si>
    <t>chart_max</t>
  </si>
  <si>
    <t>chart_min</t>
  </si>
  <si>
    <t>chart_x</t>
  </si>
  <si>
    <t>chart_y</t>
  </si>
  <si>
    <t>chart_threshold_x</t>
  </si>
  <si>
    <t>chart_threshold_y</t>
  </si>
  <si>
    <t>chart_benchmak_x</t>
  </si>
  <si>
    <t>chart_benchmark_y</t>
  </si>
  <si>
    <t>chart_label</t>
  </si>
  <si>
    <t>Proscuitto e Melone</t>
  </si>
  <si>
    <r>
      <rPr>
        <b/>
        <sz val="12"/>
        <color theme="1"/>
        <rFont val="Aptos Narrow"/>
        <scheme val="minor"/>
      </rPr>
      <t>Proscuitto e Melone Findings
What I saw:</t>
    </r>
    <r>
      <rPr>
        <sz val="12"/>
        <color theme="1"/>
        <rFont val="Aptos Narrow"/>
        <scheme val="minor"/>
      </rPr>
      <t xml:space="preserve">
 Out of the 5 locations that Proscuitto e Melone is served, 3 locations have it marked as DOG. In all 5 locations, profit was steadily between 6 - 11%, or $0.98 to $1.76 below the benchmark and the popularity varied greatly, from 19.77% below the threshold to 13.98% above the threshold. The dish was least popular in locations 7 and 8 and most popular in locations Flatiron and Boston. 
</t>
    </r>
    <r>
      <rPr>
        <b/>
        <sz val="12"/>
        <color theme="1"/>
        <rFont val="Aptos Narrow"/>
        <scheme val="minor"/>
      </rPr>
      <t xml:space="preserve">Why it matters: </t>
    </r>
    <r>
      <rPr>
        <sz val="12"/>
        <color theme="1"/>
        <rFont val="Aptos Narrow"/>
        <scheme val="minor"/>
      </rPr>
      <t xml:space="preserve">
The shortfall is $0.98 to $1.76 per plate, about $7,200 of profit over 20 months across Flatiron and Chicago locations, $12,300 across all locations, excluding Downtown NYC.
</t>
    </r>
    <r>
      <rPr>
        <b/>
        <sz val="12"/>
        <color theme="1"/>
        <rFont val="Aptos Narrow"/>
        <scheme val="minor"/>
      </rPr>
      <t>Recommended Action:</t>
    </r>
    <r>
      <rPr>
        <sz val="12"/>
        <color theme="1"/>
        <rFont val="Aptos Narrow"/>
        <scheme val="minor"/>
      </rPr>
      <t xml:space="preserve">
 I would consider replacing the dish on the menu in Dallas and San Jose because the popularity is 18-20% below the threshold. This assumes the replacement sells at least as well, which this data cannot test. I would review the food cost for the ingredients for this dish and raise prices if needed to close that gap.
</t>
    </r>
    <r>
      <rPr>
        <b/>
        <sz val="12"/>
        <color theme="1"/>
        <rFont val="Aptos Narrow"/>
        <scheme val="minor"/>
      </rPr>
      <t xml:space="preserve">Caveat: </t>
    </r>
    <r>
      <rPr>
        <sz val="12"/>
        <color theme="1"/>
        <rFont val="Aptos Narrow"/>
        <scheme val="minor"/>
      </rPr>
      <t xml:space="preserve">
Please note that the recipe cost does not include overhead and labor costs, therefore the profits may differ.
</t>
    </r>
  </si>
  <si>
    <t>profit_above_benchmark</t>
  </si>
  <si>
    <t>total_profit_above_benchmark</t>
  </si>
  <si>
    <r>
      <rPr>
        <b/>
        <sz val="12"/>
        <color theme="1"/>
        <rFont val="Aptos Narrow"/>
        <scheme val="minor"/>
      </rPr>
      <t>Osso Buco Findings
What I saw:</t>
    </r>
    <r>
      <rPr>
        <sz val="12"/>
        <color theme="1"/>
        <rFont val="Aptos Narrow"/>
        <scheme val="minor"/>
      </rPr>
      <t xml:space="preserve">
 Out of the 6 locations that Osso Buco is served, the dish is below its location's threshold. The popularity ranges from 27% to 48% below the threshold. In Boston, this dish is furthest below its threshold and closest to its threshold in  Las Vegas. Despite selling relatively few units between February 2025 and September 2026, the dish remains highly profitable. The profit ranges from 91.13% above the benchmark in San Jose to 104.19% in Dallas. Osso Buco has profited about $92,500 above the benchmark across all locations that it is sold between February 2025 and September 2026, making it a highly profitable dish.
</t>
    </r>
    <r>
      <rPr>
        <b/>
        <sz val="12"/>
        <color theme="1"/>
        <rFont val="Aptos Narrow"/>
        <scheme val="minor"/>
      </rPr>
      <t xml:space="preserve">Why it matters: </t>
    </r>
    <r>
      <rPr>
        <sz val="12"/>
        <color theme="1"/>
        <rFont val="Aptos Narrow"/>
        <scheme val="minor"/>
      </rPr>
      <t xml:space="preserve">
Each plate profits between $13 and $16 above the benchmark. If more plates sold, each plate would carry that.
</t>
    </r>
    <r>
      <rPr>
        <b/>
        <sz val="12"/>
        <color theme="1"/>
        <rFont val="Aptos Narrow"/>
        <scheme val="minor"/>
      </rPr>
      <t>Recommended Action:</t>
    </r>
    <r>
      <rPr>
        <sz val="12"/>
        <color theme="1"/>
        <rFont val="Aptos Narrow"/>
        <scheme val="minor"/>
      </rPr>
      <t xml:space="preserve">
I would consider having the servers push the dish through suggestion at the Las Vegas location and track the dishes current share and threshold. I recommend also tracking the total gross profit to determine if increased Osso Buco sales result in a better dish losing sales.
</t>
    </r>
    <r>
      <rPr>
        <b/>
        <sz val="12"/>
        <color theme="1"/>
        <rFont val="Aptos Narrow"/>
        <scheme val="minor"/>
      </rPr>
      <t xml:space="preserve">Caveat: </t>
    </r>
    <r>
      <rPr>
        <sz val="12"/>
        <color theme="1"/>
        <rFont val="Aptos Narrow"/>
        <scheme val="minor"/>
      </rPr>
      <t xml:space="preserve">
Please note that the recipe cost does not include overhead and labor costs, therefore the profits may differ.
Osso Buco is has the lowest margin % in the RPM sheet at about 60% to 65% but remains highly profitable across locations due to it's high menu price.
</t>
    </r>
  </si>
  <si>
    <t>prices were constant over the window in this data, so the differences between locations come from price levels and ingredient costs, not price changes.</t>
  </si>
  <si>
    <t>check_sum_menu_price</t>
  </si>
  <si>
    <t>raw_check_sum</t>
  </si>
  <si>
    <t>sum of menu_prices</t>
  </si>
  <si>
    <t>check_sum</t>
  </si>
  <si>
    <t>dish_count</t>
  </si>
  <si>
    <t>flag_count</t>
  </si>
  <si>
    <t>pct_under_margin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</si>
</sst>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_(&quot;$&quot;* #,##0.000_);_(&quot;$&quot;* \(#,##0.000\);_(&quot;$&quot;* &quot;-&quot;??_);_(@_)"/>
    <numFmt numFmtId="166" formatCode="&quot;$&quot;#,##0.000000"/>
    <numFmt numFmtId="167" formatCode="mmm\ yyyy"/>
    <numFmt numFmtId="168" formatCode="0.000000000000000000000000000000"/>
  </numFmts>
  <fonts count="12">
    <font>
      <sz val="12"/>
      <color theme="1"/>
      <name val="Aptos Narrow"/>
      <family val="2"/>
      <scheme val="minor"/>
    </font>
    <font>
      <b/>
      <sz val="12"/>
      <color theme="1"/>
      <name val="Aptos Narrow"/>
      <scheme val="minor"/>
    </font>
    <font>
      <u/>
      <sz val="12"/>
      <color theme="10"/>
      <name val="Aptos Narrow"/>
      <family val="2"/>
      <scheme val="minor"/>
    </font>
    <font>
      <sz val="12"/>
      <color rgb="FF0B0B0B"/>
      <name val="Aptos Narrow"/>
    </font>
    <font>
      <sz val="12"/>
      <color theme="1"/>
      <name val="Aptos Narrow"/>
      <family val="2"/>
      <scheme val="minor"/>
    </font>
    <font>
      <sz val="12"/>
      <color theme="1"/>
      <name val="Aptos Narrow"/>
      <scheme val="minor"/>
    </font>
    <font>
      <sz val="12"/>
      <color rgb="FF000000"/>
      <name val="Aptos Narrow"/>
      <family val="2"/>
      <scheme val="minor"/>
    </font>
    <font>
      <b/>
      <sz val="12"/>
      <color rgb="FF000000"/>
      <name val="Aptos Narrow"/>
      <scheme val="minor"/>
    </font>
    <font>
      <sz val="12"/>
      <color rgb="FFFF0000"/>
      <name val="Aptos Narrow"/>
      <scheme val="minor"/>
    </font>
    <font>
      <sz val="12"/>
      <color rgb="FFFF0000"/>
      <name val="Aptos Narrow"/>
      <family val="2"/>
      <scheme val="minor"/>
    </font>
    <font>
      <b/>
      <sz val="12"/>
      <color rgb="FFFF0000"/>
      <name val="Aptos Narrow"/>
      <scheme val="minor"/>
    </font>
    <font>
      <b/>
      <sz val="12"/>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2" fillId="0" borderId="0" applyNumberFormat="0" applyFill="0" applyBorder="0" applyAlignment="0" applyProtection="0"/>
    <xf numFmtId="9" fontId="4" fillId="0" borderId="0" applyFont="0" applyFill="0" applyBorder="0" applyAlignment="0" applyProtection="0"/>
    <xf numFmtId="44" fontId="4" fillId="0" borderId="0" applyFont="0" applyFill="0" applyBorder="0" applyAlignment="0" applyProtection="0"/>
  </cellStyleXfs>
  <cellXfs count="10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Border="1" applyAlignment="1">
      <alignment horizontal="center" vertical="center" wrapText="1"/>
    </xf>
    <xf numFmtId="0" fontId="2" fillId="0" borderId="3" xfId="1" applyBorder="1" applyAlignment="1">
      <alignment horizontal="center" vertical="center" wrapText="1"/>
    </xf>
    <xf numFmtId="0" fontId="3" fillId="0" borderId="1" xfId="0" applyFont="1" applyBorder="1" applyAlignment="1">
      <alignment horizontal="center" vertical="center" wrapText="1"/>
    </xf>
    <xf numFmtId="0" fontId="2" fillId="0" borderId="1" xfId="1" applyBorder="1" applyAlignment="1">
      <alignment horizontal="center" vertical="center" wrapText="1"/>
    </xf>
    <xf numFmtId="14" fontId="0" fillId="0" borderId="0" xfId="0" applyNumberFormat="1"/>
    <xf numFmtId="0" fontId="1" fillId="0" borderId="0" xfId="0" applyFont="1"/>
    <xf numFmtId="14" fontId="1" fillId="0" borderId="0" xfId="0" applyNumberFormat="1" applyFont="1"/>
    <xf numFmtId="0" fontId="1" fillId="0" borderId="0" xfId="0" applyFont="1" applyAlignment="1">
      <alignment horizontal="center" vertical="center" wrapText="1"/>
    </xf>
    <xf numFmtId="10" fontId="0" fillId="0" borderId="0" xfId="0" applyNumberFormat="1"/>
    <xf numFmtId="9" fontId="0" fillId="0" borderId="0" xfId="2" applyFont="1"/>
    <xf numFmtId="49" fontId="1" fillId="0" borderId="0" xfId="0" applyNumberFormat="1" applyFont="1"/>
    <xf numFmtId="49" fontId="0" fillId="0" borderId="0" xfId="0" applyNumberFormat="1"/>
    <xf numFmtId="164" fontId="1" fillId="0" borderId="0" xfId="0" applyNumberFormat="1" applyFont="1"/>
    <xf numFmtId="164" fontId="0" fillId="0" borderId="0" xfId="0" applyNumberForma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5" fillId="0" borderId="0" xfId="0" applyFont="1"/>
    <xf numFmtId="44" fontId="1" fillId="0" borderId="0" xfId="3" applyFont="1"/>
    <xf numFmtId="44" fontId="5" fillId="0" borderId="0" xfId="3" applyFont="1"/>
    <xf numFmtId="44" fontId="0" fillId="0" borderId="0" xfId="3" applyFont="1"/>
    <xf numFmtId="44" fontId="0" fillId="0" borderId="0" xfId="0" applyNumberFormat="1"/>
    <xf numFmtId="10" fontId="0" fillId="0" borderId="0" xfId="2" applyNumberFormat="1" applyFont="1"/>
    <xf numFmtId="0" fontId="1" fillId="0" borderId="0" xfId="0" applyFont="1" applyAlignment="1">
      <alignment horizontal="right"/>
    </xf>
    <xf numFmtId="9" fontId="0" fillId="0" borderId="0" xfId="2" applyFont="1" applyAlignment="1">
      <alignment horizontal="center"/>
    </xf>
    <xf numFmtId="0" fontId="0" fillId="0" borderId="0" xfId="0" applyAlignment="1">
      <alignment horizontal="center"/>
    </xf>
    <xf numFmtId="0" fontId="1" fillId="0" borderId="1" xfId="0" applyFont="1" applyBorder="1" applyAlignment="1">
      <alignment horizontal="center" vertical="center" wrapText="1"/>
    </xf>
    <xf numFmtId="164" fontId="5" fillId="0" borderId="0" xfId="0" applyNumberFormat="1" applyFont="1"/>
    <xf numFmtId="164" fontId="5" fillId="0" borderId="0" xfId="0" applyNumberFormat="1" applyFont="1" applyAlignment="1">
      <alignment horizontal="left"/>
    </xf>
    <xf numFmtId="44" fontId="0" fillId="0" borderId="1" xfId="3" applyFont="1" applyBorder="1" applyAlignment="1">
      <alignment horizontal="center" vertical="center" wrapText="1"/>
    </xf>
    <xf numFmtId="44" fontId="0" fillId="0" borderId="1" xfId="0" applyNumberFormat="1" applyBorder="1" applyAlignment="1">
      <alignment horizontal="center" vertical="center" wrapText="1"/>
    </xf>
    <xf numFmtId="0" fontId="7" fillId="0" borderId="0" xfId="0" applyFont="1"/>
    <xf numFmtId="165" fontId="0" fillId="0" borderId="0" xfId="0" applyNumberFormat="1"/>
    <xf numFmtId="0" fontId="8" fillId="0" borderId="0" xfId="0" applyFont="1" applyAlignment="1">
      <alignment horizontal="right"/>
    </xf>
    <xf numFmtId="166" fontId="0" fillId="0" borderId="0" xfId="0" applyNumberFormat="1"/>
    <xf numFmtId="0" fontId="5" fillId="0" borderId="0" xfId="0" applyFont="1" applyAlignment="1">
      <alignment horizontal="left" vertical="top" wrapText="1"/>
    </xf>
    <xf numFmtId="0" fontId="1" fillId="0" borderId="0" xfId="0" applyFont="1" applyAlignment="1">
      <alignment horizontal="right" indent="2"/>
    </xf>
    <xf numFmtId="49" fontId="0" fillId="0" borderId="0" xfId="0" applyNumberFormat="1" applyAlignment="1">
      <alignment horizontal="right" indent="2"/>
    </xf>
    <xf numFmtId="0" fontId="0" fillId="0" borderId="0" xfId="0" applyAlignment="1">
      <alignment horizontal="right" indent="2"/>
    </xf>
    <xf numFmtId="167" fontId="0" fillId="0" borderId="0" xfId="0" applyNumberFormat="1"/>
    <xf numFmtId="167" fontId="6" fillId="0" borderId="0" xfId="0" applyNumberFormat="1" applyFont="1"/>
    <xf numFmtId="0" fontId="0" fillId="0" borderId="0" xfId="0" applyAlignment="1">
      <alignment wrapText="1"/>
    </xf>
    <xf numFmtId="0" fontId="0" fillId="0" borderId="4" xfId="0" applyBorder="1"/>
    <xf numFmtId="0" fontId="9" fillId="0" borderId="0" xfId="0" applyFont="1" applyAlignment="1">
      <alignment horizontal="center" vertical="center" wrapText="1"/>
    </xf>
    <xf numFmtId="0" fontId="9" fillId="0" borderId="1" xfId="0" applyFont="1" applyBorder="1"/>
    <xf numFmtId="0" fontId="1" fillId="0" borderId="0" xfId="0" applyFont="1" applyAlignment="1">
      <alignment wrapText="1"/>
    </xf>
    <xf numFmtId="168" fontId="0" fillId="0" borderId="0" xfId="0" applyNumberFormat="1"/>
    <xf numFmtId="0" fontId="8" fillId="0" borderId="0" xfId="0" applyFont="1"/>
    <xf numFmtId="0" fontId="0" fillId="0" borderId="0" xfId="0"/>
    <xf numFmtId="0" fontId="1" fillId="0" borderId="0" xfId="0" applyFont="1" applyAlignment="1">
      <alignment horizontal="right" wrapText="1"/>
    </xf>
    <xf numFmtId="0" fontId="8" fillId="0" borderId="0" xfId="0" applyFont="1"/>
    <xf numFmtId="0" fontId="0" fillId="0" borderId="0" xfId="0" applyAlignment="1"/>
    <xf numFmtId="164" fontId="0" fillId="0" borderId="1" xfId="0" applyNumberFormat="1" applyBorder="1"/>
    <xf numFmtId="0" fontId="1" fillId="0" borderId="1" xfId="0" applyFont="1" applyBorder="1"/>
    <xf numFmtId="0" fontId="0" fillId="0" borderId="1" xfId="0" applyBorder="1"/>
    <xf numFmtId="164" fontId="1" fillId="0" borderId="1" xfId="0" applyNumberFormat="1" applyFont="1" applyBorder="1"/>
    <xf numFmtId="167" fontId="1" fillId="0" borderId="1" xfId="0" applyNumberFormat="1" applyFont="1" applyBorder="1"/>
    <xf numFmtId="167" fontId="5" fillId="0" borderId="1" xfId="0" applyNumberFormat="1" applyFont="1" applyBorder="1"/>
    <xf numFmtId="44" fontId="0" fillId="0" borderId="1" xfId="3" applyFont="1" applyBorder="1"/>
    <xf numFmtId="44" fontId="0" fillId="0" borderId="1" xfId="0" applyNumberFormat="1" applyBorder="1"/>
    <xf numFmtId="10" fontId="0" fillId="0" borderId="1" xfId="2" applyNumberFormat="1" applyFont="1" applyBorder="1"/>
    <xf numFmtId="167" fontId="5" fillId="0" borderId="1" xfId="3" applyNumberFormat="1" applyFont="1" applyBorder="1"/>
    <xf numFmtId="44" fontId="0" fillId="0" borderId="1" xfId="2" applyNumberFormat="1" applyFont="1" applyBorder="1"/>
    <xf numFmtId="44" fontId="1" fillId="0" borderId="1" xfId="2" applyNumberFormat="1" applyFont="1" applyBorder="1"/>
    <xf numFmtId="0" fontId="1" fillId="0" borderId="1" xfId="0" applyFont="1" applyBorder="1" applyAlignment="1">
      <alignment wrapText="1"/>
    </xf>
    <xf numFmtId="0" fontId="0" fillId="0" borderId="1" xfId="0" applyBorder="1" applyAlignment="1">
      <alignment horizontal="center"/>
    </xf>
    <xf numFmtId="44" fontId="0" fillId="0" borderId="1" xfId="3" applyFont="1" applyBorder="1" applyAlignment="1">
      <alignment horizontal="center"/>
    </xf>
    <xf numFmtId="14" fontId="1" fillId="0" borderId="1" xfId="0" applyNumberFormat="1" applyFont="1" applyBorder="1" applyAlignment="1">
      <alignment wrapText="1"/>
    </xf>
    <xf numFmtId="9" fontId="0" fillId="0" borderId="1" xfId="2" applyFont="1" applyBorder="1" applyAlignment="1">
      <alignment horizontal="center"/>
    </xf>
    <xf numFmtId="44" fontId="0" fillId="0" borderId="1" xfId="0" applyNumberFormat="1" applyBorder="1" applyAlignment="1">
      <alignment horizontal="center"/>
    </xf>
    <xf numFmtId="0" fontId="5" fillId="0" borderId="1" xfId="0" applyFont="1" applyBorder="1"/>
    <xf numFmtId="14" fontId="0" fillId="0" borderId="1" xfId="0" applyNumberFormat="1" applyBorder="1"/>
    <xf numFmtId="0" fontId="7" fillId="0" borderId="1" xfId="0" applyFont="1" applyBorder="1"/>
    <xf numFmtId="1" fontId="0" fillId="0" borderId="1" xfId="0" applyNumberFormat="1" applyBorder="1"/>
    <xf numFmtId="0" fontId="0" fillId="0" borderId="1" xfId="0" applyBorder="1" applyAlignment="1"/>
    <xf numFmtId="14" fontId="1" fillId="0" borderId="1" xfId="0" applyNumberFormat="1" applyFont="1" applyBorder="1"/>
    <xf numFmtId="10" fontId="0" fillId="0" borderId="1" xfId="0" applyNumberFormat="1" applyBorder="1"/>
    <xf numFmtId="0" fontId="0" fillId="0" borderId="5" xfId="0" applyBorder="1"/>
    <xf numFmtId="10" fontId="0" fillId="0" borderId="5" xfId="2" applyNumberFormat="1" applyFont="1" applyBorder="1"/>
    <xf numFmtId="0" fontId="0" fillId="0" borderId="6" xfId="0" applyBorder="1" applyAlignment="1"/>
    <xf numFmtId="0" fontId="0" fillId="0" borderId="7" xfId="0" applyBorder="1" applyAlignment="1"/>
    <xf numFmtId="0" fontId="0" fillId="0" borderId="6" xfId="0" applyBorder="1"/>
    <xf numFmtId="0" fontId="0" fillId="0" borderId="0" xfId="0" applyBorder="1" applyAlignment="1">
      <alignment horizontal="center"/>
    </xf>
    <xf numFmtId="0" fontId="0" fillId="0" borderId="0" xfId="0" applyBorder="1" applyAlignment="1"/>
    <xf numFmtId="0" fontId="0" fillId="0" borderId="0" xfId="0" applyBorder="1"/>
    <xf numFmtId="0" fontId="1" fillId="0" borderId="6" xfId="0" applyFont="1" applyBorder="1"/>
    <xf numFmtId="0" fontId="1" fillId="0" borderId="5" xfId="0" applyFont="1" applyBorder="1"/>
    <xf numFmtId="0" fontId="0" fillId="0" borderId="1" xfId="0" applyFill="1" applyBorder="1"/>
    <xf numFmtId="44" fontId="0" fillId="0" borderId="1" xfId="3" applyFont="1" applyFill="1" applyBorder="1"/>
    <xf numFmtId="1" fontId="0" fillId="0" borderId="1" xfId="0" applyNumberFormat="1" applyFill="1" applyBorder="1"/>
    <xf numFmtId="44" fontId="0" fillId="0" borderId="1" xfId="0" applyNumberFormat="1" applyFill="1" applyBorder="1"/>
    <xf numFmtId="10" fontId="0" fillId="0" borderId="1" xfId="2" applyNumberFormat="1" applyFont="1" applyFill="1" applyBorder="1"/>
    <xf numFmtId="164" fontId="1" fillId="0" borderId="0" xfId="0" applyNumberFormat="1" applyFont="1" applyAlignment="1">
      <alignment wrapText="1"/>
    </xf>
    <xf numFmtId="0" fontId="5" fillId="0" borderId="1" xfId="0" applyFont="1" applyBorder="1" applyAlignment="1">
      <alignment horizontal="left" vertical="top" wrapText="1"/>
    </xf>
    <xf numFmtId="0" fontId="5" fillId="0" borderId="8" xfId="0" applyFont="1" applyBorder="1" applyAlignment="1">
      <alignment horizontal="left" vertical="top" wrapText="1"/>
    </xf>
    <xf numFmtId="0" fontId="5" fillId="0" borderId="0" xfId="0" applyFont="1" applyBorder="1" applyAlignment="1">
      <alignment horizontal="left" vertical="top" wrapText="1"/>
    </xf>
    <xf numFmtId="0" fontId="9" fillId="0" borderId="0" xfId="0" applyFont="1" applyAlignment="1">
      <alignment horizontal="center" vertical="center" wrapText="1"/>
    </xf>
    <xf numFmtId="0" fontId="0" fillId="0" borderId="0" xfId="0" applyFill="1"/>
    <xf numFmtId="0" fontId="9" fillId="0" borderId="0" xfId="0" applyFont="1" applyAlignment="1">
      <alignment wrapText="1"/>
    </xf>
    <xf numFmtId="0" fontId="10" fillId="0" borderId="0" xfId="0" applyFont="1" applyAlignment="1">
      <alignment horizontal="left"/>
    </xf>
    <xf numFmtId="10" fontId="1" fillId="0" borderId="0" xfId="2" applyNumberFormat="1" applyFont="1"/>
    <xf numFmtId="0" fontId="11" fillId="0" borderId="0" xfId="0" applyFont="1"/>
  </cellXfs>
  <cellStyles count="4">
    <cellStyle name="Currency" xfId="3" builtinId="4"/>
    <cellStyle name="Hyperlink" xfId="1" builtinId="8"/>
    <cellStyle name="Normal" xfId="0" builtinId="0"/>
    <cellStyle name="Percent" xfId="2" builtinId="5"/>
  </cellStyles>
  <dxfs count="24">
    <dxf>
      <font>
        <color rgb="FF9C0006"/>
      </font>
      <fill>
        <patternFill>
          <bgColor rgb="FFFFC7CE"/>
        </patternFill>
      </fill>
    </dxf>
    <dxf>
      <font>
        <color rgb="FF006100"/>
      </font>
      <fill>
        <patternFill>
          <bgColor rgb="FFC6EFCE"/>
        </patternFill>
      </fill>
    </dxf>
    <dxf>
      <font>
        <color theme="0"/>
      </font>
    </dxf>
    <dxf>
      <font>
        <color theme="0"/>
      </font>
    </dxf>
    <dxf>
      <font>
        <strike val="0"/>
        <color theme="0"/>
      </font>
      <fill>
        <patternFill>
          <bgColor theme="0"/>
        </patternFill>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Menu_Performance!$I$75</c:f>
          <c:strCache>
            <c:ptCount val="1"/>
            <c:pt idx="0">
              <c:v>Eataly Dallas (Feb 2025 - Sep 2026) - Margherita Pizza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Margin %</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Menu_Performance!$I$79:$I$98</c:f>
              <c:numCache>
                <c:formatCode>mmm\ yyyy</c:formatCode>
                <c:ptCount val="20"/>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pt idx="12">
                  <c:v>46054</c:v>
                </c:pt>
                <c:pt idx="13">
                  <c:v>46082</c:v>
                </c:pt>
                <c:pt idx="14">
                  <c:v>46113</c:v>
                </c:pt>
                <c:pt idx="15">
                  <c:v>46143</c:v>
                </c:pt>
                <c:pt idx="16">
                  <c:v>46174</c:v>
                </c:pt>
                <c:pt idx="17">
                  <c:v>46204</c:v>
                </c:pt>
                <c:pt idx="18">
                  <c:v>46235</c:v>
                </c:pt>
                <c:pt idx="19">
                  <c:v>46266</c:v>
                </c:pt>
              </c:numCache>
            </c:numRef>
          </c:cat>
          <c:val>
            <c:numRef>
              <c:f>Menu_Performance!$M$79:$M$98</c:f>
              <c:numCache>
                <c:formatCode>0.00%</c:formatCode>
                <c:ptCount val="20"/>
                <c:pt idx="0">
                  <c:v>0.68929153745238092</c:v>
                </c:pt>
                <c:pt idx="1">
                  <c:v>0.68822418903081239</c:v>
                </c:pt>
                <c:pt idx="2">
                  <c:v>0.68430346124369756</c:v>
                </c:pt>
                <c:pt idx="3">
                  <c:v>0.68810396524338646</c:v>
                </c:pt>
                <c:pt idx="4">
                  <c:v>0.68724438915966424</c:v>
                </c:pt>
                <c:pt idx="5">
                  <c:v>0.68785494477777787</c:v>
                </c:pt>
                <c:pt idx="6">
                  <c:v>0.68960420048179516</c:v>
                </c:pt>
                <c:pt idx="7">
                  <c:v>0.68708983244973554</c:v>
                </c:pt>
                <c:pt idx="8">
                  <c:v>0.6864148097142857</c:v>
                </c:pt>
                <c:pt idx="9">
                  <c:v>0.68657685222619047</c:v>
                </c:pt>
                <c:pt idx="10">
                  <c:v>0.68492644147619042</c:v>
                </c:pt>
                <c:pt idx="11">
                  <c:v>0.6837385354550265</c:v>
                </c:pt>
                <c:pt idx="12">
                  <c:v>0.68403768324404768</c:v>
                </c:pt>
                <c:pt idx="13">
                  <c:v>0.68261415277248849</c:v>
                </c:pt>
                <c:pt idx="14">
                  <c:v>0.68466376129411965</c:v>
                </c:pt>
                <c:pt idx="15">
                  <c:v>0.6859388140784336</c:v>
                </c:pt>
                <c:pt idx="16">
                  <c:v>0.68618042173545002</c:v>
                </c:pt>
                <c:pt idx="17">
                  <c:v>0.68668648982010727</c:v>
                </c:pt>
                <c:pt idx="18">
                  <c:v>0.68490719718767779</c:v>
                </c:pt>
                <c:pt idx="19">
                  <c:v>0.67963633119888178</c:v>
                </c:pt>
              </c:numCache>
            </c:numRef>
          </c:val>
          <c:smooth val="0"/>
          <c:extLst>
            <c:ext xmlns:c16="http://schemas.microsoft.com/office/drawing/2014/chart" uri="{C3380CC4-5D6E-409C-BE32-E72D297353CC}">
              <c16:uniqueId val="{00000000-ED62-BA45-A629-720EDCE79ACF}"/>
            </c:ext>
          </c:extLst>
        </c:ser>
        <c:ser>
          <c:idx val="1"/>
          <c:order val="1"/>
          <c:tx>
            <c:v>MAX</c:v>
          </c:tx>
          <c:spPr>
            <a:ln w="28575" cap="rnd">
              <a:noFill/>
              <a:round/>
            </a:ln>
            <a:effectLst/>
          </c:spPr>
          <c:marker>
            <c:symbol val="circle"/>
            <c:size val="5"/>
            <c:spPr>
              <a:solidFill>
                <a:schemeClr val="tx1"/>
              </a:solidFill>
              <a:ln w="63500">
                <a:solidFill>
                  <a:srgbClr val="00B050"/>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Menu_Performance!$I$79:$I$98</c:f>
              <c:numCache>
                <c:formatCode>mmm\ yyyy</c:formatCode>
                <c:ptCount val="20"/>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pt idx="12">
                  <c:v>46054</c:v>
                </c:pt>
                <c:pt idx="13">
                  <c:v>46082</c:v>
                </c:pt>
                <c:pt idx="14">
                  <c:v>46113</c:v>
                </c:pt>
                <c:pt idx="15">
                  <c:v>46143</c:v>
                </c:pt>
                <c:pt idx="16">
                  <c:v>46174</c:v>
                </c:pt>
                <c:pt idx="17">
                  <c:v>46204</c:v>
                </c:pt>
                <c:pt idx="18">
                  <c:v>46235</c:v>
                </c:pt>
                <c:pt idx="19">
                  <c:v>46266</c:v>
                </c:pt>
              </c:numCache>
            </c:numRef>
          </c:cat>
          <c:val>
            <c:numRef>
              <c:f>Menu_Performance!$N$79:$N$98</c:f>
              <c:numCache>
                <c:formatCode>0.00%</c:formatCode>
                <c:ptCount val="20"/>
                <c:pt idx="0">
                  <c:v>#N/A</c:v>
                </c:pt>
                <c:pt idx="1">
                  <c:v>#N/A</c:v>
                </c:pt>
                <c:pt idx="2">
                  <c:v>#N/A</c:v>
                </c:pt>
                <c:pt idx="3">
                  <c:v>#N/A</c:v>
                </c:pt>
                <c:pt idx="4">
                  <c:v>#N/A</c:v>
                </c:pt>
                <c:pt idx="5">
                  <c:v>#N/A</c:v>
                </c:pt>
                <c:pt idx="6">
                  <c:v>0.68960420048179516</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4-ED62-BA45-A629-720EDCE79ACF}"/>
            </c:ext>
          </c:extLst>
        </c:ser>
        <c:ser>
          <c:idx val="2"/>
          <c:order val="2"/>
          <c:tx>
            <c:v>MIN</c:v>
          </c:tx>
          <c:spPr>
            <a:ln w="28575" cap="rnd">
              <a:noFill/>
              <a:round/>
            </a:ln>
            <a:effectLst/>
          </c:spPr>
          <c:marker>
            <c:symbol val="circle"/>
            <c:size val="5"/>
            <c:spPr>
              <a:solidFill>
                <a:schemeClr val="tx1"/>
              </a:solidFill>
              <a:ln w="63500">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Menu_Performance!$I$79:$I$98</c:f>
              <c:numCache>
                <c:formatCode>mmm\ yyyy</c:formatCode>
                <c:ptCount val="20"/>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pt idx="12">
                  <c:v>46054</c:v>
                </c:pt>
                <c:pt idx="13">
                  <c:v>46082</c:v>
                </c:pt>
                <c:pt idx="14">
                  <c:v>46113</c:v>
                </c:pt>
                <c:pt idx="15">
                  <c:v>46143</c:v>
                </c:pt>
                <c:pt idx="16">
                  <c:v>46174</c:v>
                </c:pt>
                <c:pt idx="17">
                  <c:v>46204</c:v>
                </c:pt>
                <c:pt idx="18">
                  <c:v>46235</c:v>
                </c:pt>
                <c:pt idx="19">
                  <c:v>46266</c:v>
                </c:pt>
              </c:numCache>
            </c:numRef>
          </c:cat>
          <c:val>
            <c:numRef>
              <c:f>Menu_Performance!$O$79:$O$98</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0.67963633119888178</c:v>
                </c:pt>
              </c:numCache>
            </c:numRef>
          </c:val>
          <c:smooth val="0"/>
          <c:extLst>
            <c:ext xmlns:c16="http://schemas.microsoft.com/office/drawing/2014/chart" uri="{C3380CC4-5D6E-409C-BE32-E72D297353CC}">
              <c16:uniqueId val="{00000005-ED62-BA45-A629-720EDCE79ACF}"/>
            </c:ext>
          </c:extLst>
        </c:ser>
        <c:dLbls>
          <c:showLegendKey val="0"/>
          <c:showVal val="0"/>
          <c:showCatName val="0"/>
          <c:showSerName val="0"/>
          <c:showPercent val="0"/>
          <c:showBubbleSize val="0"/>
        </c:dLbls>
        <c:marker val="1"/>
        <c:smooth val="0"/>
        <c:axId val="93036863"/>
        <c:axId val="93031935"/>
      </c:lineChart>
      <c:dateAx>
        <c:axId val="93036863"/>
        <c:scaling>
          <c:orientation val="minMax"/>
          <c:min val="45689"/>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1"/>
        <c:majorTickMark val="cross"/>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1935"/>
        <c:crosses val="autoZero"/>
        <c:auto val="0"/>
        <c:lblOffset val="100"/>
        <c:baseTimeUnit val="days"/>
        <c:majorUnit val="1"/>
        <c:majorTimeUnit val="months"/>
        <c:minorUnit val="6"/>
        <c:minorTimeUnit val="months"/>
      </c:dateAx>
      <c:valAx>
        <c:axId val="93031935"/>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in"/>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6863"/>
        <c:crosses val="autoZero"/>
        <c:crossBetween val="between"/>
        <c:majorUnit val="5.000000000000001E-2"/>
        <c:minorUnit val="1.0000000000000002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dish/category</c:v>
          </c:tx>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6373A421-583D-B045-B1B6-36DA0C27B9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352-B742-9FE7-B72BC2000FCA}"/>
                </c:ext>
              </c:extLst>
            </c:dLbl>
            <c:dLbl>
              <c:idx val="1"/>
              <c:tx>
                <c:rich>
                  <a:bodyPr/>
                  <a:lstStyle/>
                  <a:p>
                    <a:fld id="{F1E1E7EA-9F98-3A43-9E86-932FEC0F286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52-B742-9FE7-B72BC2000FCA}"/>
                </c:ext>
              </c:extLst>
            </c:dLbl>
            <c:dLbl>
              <c:idx val="2"/>
              <c:tx>
                <c:rich>
                  <a:bodyPr/>
                  <a:lstStyle/>
                  <a:p>
                    <a:fld id="{1B64F852-FA68-114B-A87B-91D57096B95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352-B742-9FE7-B72BC2000FCA}"/>
                </c:ext>
              </c:extLst>
            </c:dLbl>
            <c:dLbl>
              <c:idx val="3"/>
              <c:tx>
                <c:rich>
                  <a:bodyPr/>
                  <a:lstStyle/>
                  <a:p>
                    <a:fld id="{23A8F5B9-6E12-1543-8571-DBBC1237051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352-B742-9FE7-B72BC2000FCA}"/>
                </c:ext>
              </c:extLst>
            </c:dLbl>
            <c:dLbl>
              <c:idx val="4"/>
              <c:tx>
                <c:rich>
                  <a:bodyPr/>
                  <a:lstStyle/>
                  <a:p>
                    <a:fld id="{D38880C3-A9FD-564B-8283-8B4E4850D83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352-B742-9FE7-B72BC2000FCA}"/>
                </c:ext>
              </c:extLst>
            </c:dLbl>
            <c:dLbl>
              <c:idx val="5"/>
              <c:tx>
                <c:rich>
                  <a:bodyPr/>
                  <a:lstStyle/>
                  <a:p>
                    <a:fld id="{8D6F7919-EF37-7A45-B406-5268413ADB6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352-B742-9FE7-B72BC2000FCA}"/>
                </c:ext>
              </c:extLst>
            </c:dLbl>
            <c:dLbl>
              <c:idx val="6"/>
              <c:tx>
                <c:rich>
                  <a:bodyPr/>
                  <a:lstStyle/>
                  <a:p>
                    <a:fld id="{A8A5D115-A0D2-D841-B47C-84DF2631AE3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352-B742-9FE7-B72BC2000FCA}"/>
                </c:ext>
              </c:extLst>
            </c:dLbl>
            <c:dLbl>
              <c:idx val="7"/>
              <c:tx>
                <c:rich>
                  <a:bodyPr/>
                  <a:lstStyle/>
                  <a:p>
                    <a:fld id="{9F2684DF-73B0-BF4A-A027-CE3D6ABAC18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352-B742-9FE7-B72BC2000FCA}"/>
                </c:ext>
              </c:extLst>
            </c:dLbl>
            <c:dLbl>
              <c:idx val="8"/>
              <c:tx>
                <c:rich>
                  <a:bodyPr/>
                  <a:lstStyle/>
                  <a:p>
                    <a:fld id="{C3473C26-BEBA-AC4D-9FE5-90E8ED39910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352-B742-9FE7-B72BC2000FCA}"/>
                </c:ext>
              </c:extLst>
            </c:dLbl>
            <c:dLbl>
              <c:idx val="9"/>
              <c:tx>
                <c:rich>
                  <a:bodyPr/>
                  <a:lstStyle/>
                  <a:p>
                    <a:fld id="{700559E9-10B8-4E4A-ADE6-D61E6E32279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352-B742-9FE7-B72BC2000FCA}"/>
                </c:ext>
              </c:extLst>
            </c:dLbl>
            <c:dLbl>
              <c:idx val="10"/>
              <c:tx>
                <c:rich>
                  <a:bodyPr/>
                  <a:lstStyle/>
                  <a:p>
                    <a:fld id="{592A7C7F-472D-9B4A-B105-2205A41E912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352-B742-9FE7-B72BC2000FCA}"/>
                </c:ext>
              </c:extLst>
            </c:dLbl>
            <c:dLbl>
              <c:idx val="11"/>
              <c:tx>
                <c:rich>
                  <a:bodyPr/>
                  <a:lstStyle/>
                  <a:p>
                    <a:fld id="{924F397F-85B9-8E4F-9D04-44A5F1894DE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352-B742-9FE7-B72BC2000FCA}"/>
                </c:ext>
              </c:extLst>
            </c:dLbl>
            <c:dLbl>
              <c:idx val="12"/>
              <c:tx>
                <c:rich>
                  <a:bodyPr/>
                  <a:lstStyle/>
                  <a:p>
                    <a:fld id="{86F43C4A-4ABA-8C47-8606-8C6D5DA6023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352-B742-9FE7-B72BC2000FCA}"/>
                </c:ext>
              </c:extLst>
            </c:dLbl>
            <c:dLbl>
              <c:idx val="13"/>
              <c:tx>
                <c:rich>
                  <a:bodyPr/>
                  <a:lstStyle/>
                  <a:p>
                    <a:fld id="{3E700E21-78CA-BD48-81CA-7E02202A49B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352-B742-9FE7-B72BC2000FCA}"/>
                </c:ext>
              </c:extLst>
            </c:dLbl>
            <c:dLbl>
              <c:idx val="14"/>
              <c:tx>
                <c:rich>
                  <a:bodyPr/>
                  <a:lstStyle/>
                  <a:p>
                    <a:fld id="{9CA46ECC-3CA6-A84C-B15E-70FAFA602F5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352-B742-9FE7-B72BC2000FCA}"/>
                </c:ext>
              </c:extLst>
            </c:dLbl>
            <c:dLbl>
              <c:idx val="15"/>
              <c:tx>
                <c:rich>
                  <a:bodyPr/>
                  <a:lstStyle/>
                  <a:p>
                    <a:fld id="{F0F670B3-991F-2741-BEB2-9E1F6DB2D00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352-B742-9FE7-B72BC2000FCA}"/>
                </c:ext>
              </c:extLst>
            </c:dLbl>
            <c:dLbl>
              <c:idx val="16"/>
              <c:tx>
                <c:rich>
                  <a:bodyPr/>
                  <a:lstStyle/>
                  <a:p>
                    <a:fld id="{CFD3EECD-37E3-5845-95DF-72567B27693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352-B742-9FE7-B72BC2000FCA}"/>
                </c:ext>
              </c:extLst>
            </c:dLbl>
            <c:dLbl>
              <c:idx val="17"/>
              <c:tx>
                <c:rich>
                  <a:bodyPr/>
                  <a:lstStyle/>
                  <a:p>
                    <a:fld id="{ECACD6E1-12A7-9042-9E4D-72960ABE45C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352-B742-9FE7-B72BC2000F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Menu_Performance!$I$50:$I$67</c:f>
              <c:numCache>
                <c:formatCode>0.00%</c:formatCode>
                <c:ptCount val="18"/>
                <c:pt idx="0">
                  <c:v>8.8273573241361356E-2</c:v>
                </c:pt>
                <c:pt idx="1">
                  <c:v>9.1982820329277029E-2</c:v>
                </c:pt>
                <c:pt idx="2">
                  <c:v>3.7547992451356801E-2</c:v>
                </c:pt>
                <c:pt idx="3">
                  <c:v>6.1104965185136979E-2</c:v>
                </c:pt>
                <c:pt idx="4">
                  <c:v>3.2016659074640463E-2</c:v>
                </c:pt>
                <c:pt idx="5">
                  <c:v>5.6842584759549682E-2</c:v>
                </c:pt>
                <c:pt idx="6">
                  <c:v>8.0301945727858398E-2</c:v>
                </c:pt>
                <c:pt idx="7">
                  <c:v>4.6170365068002865E-2</c:v>
                </c:pt>
                <c:pt idx="8">
                  <c:v>2.1019066831522094E-2</c:v>
                </c:pt>
                <c:pt idx="9">
                  <c:v>3.4945012038784411E-2</c:v>
                </c:pt>
                <c:pt idx="10">
                  <c:v>7.0020173098197441E-2</c:v>
                </c:pt>
                <c:pt idx="11">
                  <c:v>4.0053361098457731E-2</c:v>
                </c:pt>
                <c:pt idx="12">
                  <c:v>7.0443157415240445E-2</c:v>
                </c:pt>
                <c:pt idx="13">
                  <c:v>4.6137827812845707E-2</c:v>
                </c:pt>
                <c:pt idx="14">
                  <c:v>8.5215071256588795E-2</c:v>
                </c:pt>
                <c:pt idx="15">
                  <c:v>4.8578121949632326E-2</c:v>
                </c:pt>
                <c:pt idx="16">
                  <c:v>6.1332725971237068E-2</c:v>
                </c:pt>
                <c:pt idx="17">
                  <c:v>2.8014576690310405E-2</c:v>
                </c:pt>
              </c:numCache>
            </c:numRef>
          </c:xVal>
          <c:yVal>
            <c:numRef>
              <c:f>Menu_Performance!$J$50:$J$67</c:f>
              <c:numCache>
                <c:formatCode>_("$"* #,##0.00_);_("$"* \(#,##0.00\);_("$"* "-"??_);_(@_)</c:formatCode>
                <c:ptCount val="18"/>
                <c:pt idx="0">
                  <c:v>15.269732252043818</c:v>
                </c:pt>
                <c:pt idx="1">
                  <c:v>14.401650095152212</c:v>
                </c:pt>
                <c:pt idx="2">
                  <c:v>18.613670935389361</c:v>
                </c:pt>
                <c:pt idx="3">
                  <c:v>10.95704748884439</c:v>
                </c:pt>
                <c:pt idx="4">
                  <c:v>12.221058691574537</c:v>
                </c:pt>
                <c:pt idx="5">
                  <c:v>15.003364197912289</c:v>
                </c:pt>
                <c:pt idx="6">
                  <c:v>6.2021328526485151</c:v>
                </c:pt>
                <c:pt idx="7">
                  <c:v>10.332265118383017</c:v>
                </c:pt>
                <c:pt idx="8">
                  <c:v>27.536238520800051</c:v>
                </c:pt>
                <c:pt idx="9">
                  <c:v>9.9431573675779763</c:v>
                </c:pt>
                <c:pt idx="10">
                  <c:v>16.455934276961713</c:v>
                </c:pt>
                <c:pt idx="11">
                  <c:v>16.4433728475619</c:v>
                </c:pt>
                <c:pt idx="12">
                  <c:v>12.803478710710817</c:v>
                </c:pt>
                <c:pt idx="13">
                  <c:v>20.657165789850989</c:v>
                </c:pt>
                <c:pt idx="14">
                  <c:v>18.583745049775775</c:v>
                </c:pt>
                <c:pt idx="15">
                  <c:v>6.0826945201588414</c:v>
                </c:pt>
                <c:pt idx="16">
                  <c:v>5.6146056572335281</c:v>
                </c:pt>
                <c:pt idx="17">
                  <c:v>14.638682446153011</c:v>
                </c:pt>
              </c:numCache>
            </c:numRef>
          </c:yVal>
          <c:smooth val="0"/>
          <c:extLst>
            <c:ext xmlns:c15="http://schemas.microsoft.com/office/drawing/2012/chart" uri="{02D57815-91ED-43cb-92C2-25804820EDAC}">
              <c15:datalabelsRange>
                <c15:f>Menu_Performance!$K$50:$K$67</c15:f>
                <c15:dlblRangeCache>
                  <c:ptCount val="18"/>
                  <c:pt idx="0">
                    <c:v>Spaghetti alla Carbonara</c:v>
                  </c:pt>
                  <c:pt idx="1">
                    <c:v>Margherita Pizza</c:v>
                  </c:pt>
                  <c:pt idx="2">
                    <c:v>Risotto alla Milanese</c:v>
                  </c:pt>
                  <c:pt idx="3">
                    <c:v>Caprese Salad</c:v>
                  </c:pt>
                  <c:pt idx="4">
                    <c:v>Prosciutto e Melone</c:v>
                  </c:pt>
                  <c:pt idx="5">
                    <c:v>Bucatini all'Amatriciana</c:v>
                  </c:pt>
                  <c:pt idx="6">
                    <c:v>Tiramisu</c:v>
                  </c:pt>
                  <c:pt idx="7">
                    <c:v>Focaccia Genovese</c:v>
                  </c:pt>
                  <c:pt idx="8">
                    <c:v>Osso Buco</c:v>
                  </c:pt>
                  <c:pt idx="9">
                    <c:v>Panzanella</c:v>
                  </c:pt>
                  <c:pt idx="10">
                    <c:v>Cacio e Pepe</c:v>
                  </c:pt>
                  <c:pt idx="11">
                    <c:v>Pesto alla Genovese</c:v>
                  </c:pt>
                  <c:pt idx="12">
                    <c:v>Quattro Formaggi Pizza</c:v>
                  </c:pt>
                  <c:pt idx="13">
                    <c:v>Porchetta</c:v>
                  </c:pt>
                  <c:pt idx="14">
                    <c:v>Pollo alla Griglia</c:v>
                  </c:pt>
                  <c:pt idx="15">
                    <c:v>Cannoli</c:v>
                  </c:pt>
                  <c:pt idx="16">
                    <c:v>Pistachio Gelato</c:v>
                  </c:pt>
                  <c:pt idx="17">
                    <c:v>Insalata di Mare</c:v>
                  </c:pt>
                </c15:dlblRangeCache>
              </c15:datalabelsRange>
            </c:ext>
            <c:ext xmlns:c16="http://schemas.microsoft.com/office/drawing/2014/chart" uri="{C3380CC4-5D6E-409C-BE32-E72D297353CC}">
              <c16:uniqueId val="{00000000-5352-B742-9FE7-B72BC2000FCA}"/>
            </c:ext>
          </c:extLst>
        </c:ser>
        <c:ser>
          <c:idx val="1"/>
          <c:order val="1"/>
          <c:tx>
            <c:v>threshold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Menu_Performance!$L$50:$L$51</c:f>
              <c:numCache>
                <c:formatCode>0.00%</c:formatCode>
                <c:ptCount val="2"/>
                <c:pt idx="0">
                  <c:v>3.8888888888888883E-2</c:v>
                </c:pt>
                <c:pt idx="1">
                  <c:v>3.8888888888888883E-2</c:v>
                </c:pt>
              </c:numCache>
            </c:numRef>
          </c:xVal>
          <c:yVal>
            <c:numRef>
              <c:f>Menu_Performance!$M$50:$M$51</c:f>
              <c:numCache>
                <c:formatCode>_("$"* #,##0.00_);_("$"* \(#,##0.00\);_("$"* "-"??_);_(@_)</c:formatCode>
                <c:ptCount val="2"/>
                <c:pt idx="0" formatCode="General">
                  <c:v>0</c:v>
                </c:pt>
                <c:pt idx="1">
                  <c:v>32.536238520800055</c:v>
                </c:pt>
              </c:numCache>
            </c:numRef>
          </c:yVal>
          <c:smooth val="1"/>
          <c:extLst>
            <c:ext xmlns:c16="http://schemas.microsoft.com/office/drawing/2014/chart" uri="{C3380CC4-5D6E-409C-BE32-E72D297353CC}">
              <c16:uniqueId val="{00000008-5352-B742-9FE7-B72BC2000FCA}"/>
            </c:ext>
          </c:extLst>
        </c:ser>
        <c:ser>
          <c:idx val="2"/>
          <c:order val="2"/>
          <c:tx>
            <c:v>benchmark</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Menu_Performance!$L$54:$L$55</c:f>
              <c:numCache>
                <c:formatCode>0.00%</c:formatCode>
                <c:ptCount val="2"/>
                <c:pt idx="0" formatCode="General">
                  <c:v>0</c:v>
                </c:pt>
                <c:pt idx="1">
                  <c:v>0.10198282032927702</c:v>
                </c:pt>
              </c:numCache>
            </c:numRef>
          </c:xVal>
          <c:yVal>
            <c:numRef>
              <c:f>Menu_Performance!$M$54:$M$55</c:f>
              <c:numCache>
                <c:formatCode>_("$"* #,##0.00_);_("$"* \(#,##0.00\);_("$"* "-"??_);_(@_)</c:formatCode>
                <c:ptCount val="2"/>
                <c:pt idx="0">
                  <c:v>13.485909791798328</c:v>
                </c:pt>
                <c:pt idx="1">
                  <c:v>13.485909791798328</c:v>
                </c:pt>
              </c:numCache>
            </c:numRef>
          </c:yVal>
          <c:smooth val="0"/>
          <c:extLst>
            <c:ext xmlns:c16="http://schemas.microsoft.com/office/drawing/2014/chart" uri="{C3380CC4-5D6E-409C-BE32-E72D297353CC}">
              <c16:uniqueId val="{0000000A-5352-B742-9FE7-B72BC2000FCA}"/>
            </c:ext>
          </c:extLst>
        </c:ser>
        <c:dLbls>
          <c:dLblPos val="t"/>
          <c:showLegendKey val="0"/>
          <c:showVal val="0"/>
          <c:showCatName val="0"/>
          <c:showSerName val="0"/>
          <c:showPercent val="0"/>
          <c:showBubbleSize val="0"/>
        </c:dLbls>
        <c:axId val="1276046272"/>
        <c:axId val="1276042240"/>
      </c:scatterChart>
      <c:valAx>
        <c:axId val="1276046272"/>
        <c:scaling>
          <c:orientation val="minMax"/>
          <c:max val="0.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0"/>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42240"/>
        <c:crosses val="autoZero"/>
        <c:crossBetween val="midCat"/>
      </c:valAx>
      <c:valAx>
        <c:axId val="1276042240"/>
        <c:scaling>
          <c:orientation val="minMax"/>
          <c:max val="28"/>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46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Menu_Performance!$C$33:$G$33</c:f>
              <c:strCache>
                <c:ptCount val="5"/>
                <c:pt idx="0">
                  <c:v>STAR</c:v>
                </c:pt>
                <c:pt idx="1">
                  <c:v>PUZZLE</c:v>
                </c:pt>
                <c:pt idx="2">
                  <c:v>PLOWHORSE</c:v>
                </c:pt>
                <c:pt idx="3">
                  <c:v>DOG</c:v>
                </c:pt>
                <c:pt idx="4">
                  <c:v>no_sales</c:v>
                </c:pt>
              </c:strCache>
            </c:strRef>
          </c:cat>
          <c:val>
            <c:numRef>
              <c:f>Menu_Performance!$C$36:$G$36</c:f>
              <c:numCache>
                <c:formatCode>0.00%</c:formatCode>
                <c:ptCount val="5"/>
                <c:pt idx="0">
                  <c:v>0.55369053924711698</c:v>
                </c:pt>
                <c:pt idx="1">
                  <c:v>0.13161328092330851</c:v>
                </c:pt>
                <c:pt idx="2">
                  <c:v>0.25691133970802782</c:v>
                </c:pt>
                <c:pt idx="3">
                  <c:v>5.7784840121546652E-2</c:v>
                </c:pt>
                <c:pt idx="4">
                  <c:v>0</c:v>
                </c:pt>
              </c:numCache>
            </c:numRef>
          </c:val>
          <c:extLst>
            <c:ext xmlns:c16="http://schemas.microsoft.com/office/drawing/2014/chart" uri="{C3380CC4-5D6E-409C-BE32-E72D297353CC}">
              <c16:uniqueId val="{00000000-88E9-684B-8CB4-3ED4BC9DB146}"/>
            </c:ext>
          </c:extLst>
        </c:ser>
        <c:dLbls>
          <c:showLegendKey val="0"/>
          <c:showVal val="0"/>
          <c:showCatName val="0"/>
          <c:showSerName val="0"/>
          <c:showPercent val="0"/>
          <c:showBubbleSize val="0"/>
        </c:dLbls>
        <c:gapWidth val="150"/>
        <c:axId val="1172866816"/>
        <c:axId val="1172865024"/>
      </c:barChart>
      <c:catAx>
        <c:axId val="117286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865024"/>
        <c:crosses val="autoZero"/>
        <c:auto val="1"/>
        <c:lblAlgn val="ctr"/>
        <c:lblOffset val="100"/>
        <c:noMultiLvlLbl val="0"/>
      </c:catAx>
      <c:valAx>
        <c:axId val="117286502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Share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in"/>
        <c:minorTickMark val="in"/>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866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12959</xdr:colOff>
      <xdr:row>73</xdr:row>
      <xdr:rowOff>59932</xdr:rowOff>
    </xdr:from>
    <xdr:to>
      <xdr:col>7</xdr:col>
      <xdr:colOff>673877</xdr:colOff>
      <xdr:row>103</xdr:row>
      <xdr:rowOff>90713</xdr:rowOff>
    </xdr:to>
    <xdr:graphicFrame macro="">
      <xdr:nvGraphicFramePr>
        <xdr:cNvPr id="2" name="Chart 1">
          <a:extLst>
            <a:ext uri="{FF2B5EF4-FFF2-40B4-BE49-F238E27FC236}">
              <a16:creationId xmlns:a16="http://schemas.microsoft.com/office/drawing/2014/main" id="{920613EF-07B5-241E-B8A6-628798036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5442</xdr:colOff>
      <xdr:row>47</xdr:row>
      <xdr:rowOff>74387</xdr:rowOff>
    </xdr:from>
    <xdr:to>
      <xdr:col>7</xdr:col>
      <xdr:colOff>653142</xdr:colOff>
      <xdr:row>72</xdr:row>
      <xdr:rowOff>167434</xdr:rowOff>
    </xdr:to>
    <xdr:graphicFrame macro="">
      <xdr:nvGraphicFramePr>
        <xdr:cNvPr id="4" name="Chart 3">
          <a:extLst>
            <a:ext uri="{FF2B5EF4-FFF2-40B4-BE49-F238E27FC236}">
              <a16:creationId xmlns:a16="http://schemas.microsoft.com/office/drawing/2014/main" id="{156B7BE7-9614-143D-F53D-19D6CEAEA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42332</xdr:colOff>
      <xdr:row>105</xdr:row>
      <xdr:rowOff>93132</xdr:rowOff>
    </xdr:from>
    <xdr:to>
      <xdr:col>7</xdr:col>
      <xdr:colOff>694266</xdr:colOff>
      <xdr:row>133</xdr:row>
      <xdr:rowOff>118533</xdr:rowOff>
    </xdr:to>
    <xdr:graphicFrame macro="">
      <xdr:nvGraphicFramePr>
        <xdr:cNvPr id="6" name="Chart 5">
          <a:extLst>
            <a:ext uri="{FF2B5EF4-FFF2-40B4-BE49-F238E27FC236}">
              <a16:creationId xmlns:a16="http://schemas.microsoft.com/office/drawing/2014/main" id="{AB310E10-762B-3676-B656-3561B2243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0.89483</cdr:x>
      <cdr:y>0.04976</cdr:y>
    </cdr:from>
    <cdr:to>
      <cdr:x>0.94918</cdr:x>
      <cdr:y>0.10133</cdr:y>
    </cdr:to>
    <cdr:sp macro="" textlink="">
      <cdr:nvSpPr>
        <cdr:cNvPr id="2" name="TextBox 1">
          <a:extLst xmlns:a="http://schemas.openxmlformats.org/drawingml/2006/main">
            <a:ext uri="{FF2B5EF4-FFF2-40B4-BE49-F238E27FC236}">
              <a16:creationId xmlns:a16="http://schemas.microsoft.com/office/drawing/2014/main" id="{2ACA8F81-E9AB-8FCD-D342-B93E328BC157}"/>
            </a:ext>
          </a:extLst>
        </cdr:cNvPr>
        <cdr:cNvSpPr txBox="1"/>
      </cdr:nvSpPr>
      <cdr:spPr>
        <a:xfrm xmlns:a="http://schemas.openxmlformats.org/drawingml/2006/main">
          <a:off x="8534659" y="262553"/>
          <a:ext cx="518367" cy="27214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kern="1200">
              <a:solidFill>
                <a:srgbClr val="FF0000"/>
              </a:solidFill>
            </a:rPr>
            <a:t>STAR</a:t>
          </a:r>
        </a:p>
      </cdr:txBody>
    </cdr:sp>
  </cdr:relSizeAnchor>
  <cdr:relSizeAnchor xmlns:cdr="http://schemas.openxmlformats.org/drawingml/2006/chartDrawing">
    <cdr:from>
      <cdr:x>0.85407</cdr:x>
      <cdr:y>0.76359</cdr:y>
    </cdr:from>
    <cdr:to>
      <cdr:x>0.94829</cdr:x>
      <cdr:y>0.82337</cdr:y>
    </cdr:to>
    <cdr:sp macro="" textlink="">
      <cdr:nvSpPr>
        <cdr:cNvPr id="3" name="TextBox 1">
          <a:extLst xmlns:a="http://schemas.openxmlformats.org/drawingml/2006/main">
            <a:ext uri="{FF2B5EF4-FFF2-40B4-BE49-F238E27FC236}">
              <a16:creationId xmlns:a16="http://schemas.microsoft.com/office/drawing/2014/main" id="{354F8897-C45F-D5C6-38F0-A7B53081627F}"/>
            </a:ext>
          </a:extLst>
        </cdr:cNvPr>
        <cdr:cNvSpPr txBox="1"/>
      </cdr:nvSpPr>
      <cdr:spPr>
        <a:xfrm xmlns:a="http://schemas.openxmlformats.org/drawingml/2006/main">
          <a:off x="8145884" y="4029268"/>
          <a:ext cx="898589" cy="31542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solidFill>
                <a:srgbClr val="FF0000"/>
              </a:solidFill>
            </a:rPr>
            <a:t>PLOWHORSE</a:t>
          </a:r>
        </a:p>
      </cdr:txBody>
    </cdr:sp>
  </cdr:relSizeAnchor>
  <cdr:relSizeAnchor xmlns:cdr="http://schemas.openxmlformats.org/drawingml/2006/chartDrawing">
    <cdr:from>
      <cdr:x>0.0719</cdr:x>
      <cdr:y>0.04401</cdr:y>
    </cdr:from>
    <cdr:to>
      <cdr:x>0.12625</cdr:x>
      <cdr:y>0.09558</cdr:y>
    </cdr:to>
    <cdr:sp macro="" textlink="">
      <cdr:nvSpPr>
        <cdr:cNvPr id="4" name="TextBox 1">
          <a:extLst xmlns:a="http://schemas.openxmlformats.org/drawingml/2006/main">
            <a:ext uri="{FF2B5EF4-FFF2-40B4-BE49-F238E27FC236}">
              <a16:creationId xmlns:a16="http://schemas.microsoft.com/office/drawing/2014/main" id="{354F8897-C45F-D5C6-38F0-A7B53081627F}"/>
            </a:ext>
          </a:extLst>
        </cdr:cNvPr>
        <cdr:cNvSpPr txBox="1"/>
      </cdr:nvSpPr>
      <cdr:spPr>
        <a:xfrm xmlns:a="http://schemas.openxmlformats.org/drawingml/2006/main">
          <a:off x="685800" y="232228"/>
          <a:ext cx="518367" cy="27214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solidFill>
                <a:srgbClr val="FF0000"/>
              </a:solidFill>
            </a:rPr>
            <a:t>PUZZLE</a:t>
          </a:r>
        </a:p>
      </cdr:txBody>
    </cdr:sp>
  </cdr:relSizeAnchor>
  <cdr:relSizeAnchor xmlns:cdr="http://schemas.openxmlformats.org/drawingml/2006/chartDrawing">
    <cdr:from>
      <cdr:x>0.07462</cdr:x>
      <cdr:y>0.82008</cdr:y>
    </cdr:from>
    <cdr:to>
      <cdr:x>0.12897</cdr:x>
      <cdr:y>0.87165</cdr:y>
    </cdr:to>
    <cdr:sp macro="" textlink="">
      <cdr:nvSpPr>
        <cdr:cNvPr id="5" name="TextBox 1">
          <a:extLst xmlns:a="http://schemas.openxmlformats.org/drawingml/2006/main">
            <a:ext uri="{FF2B5EF4-FFF2-40B4-BE49-F238E27FC236}">
              <a16:creationId xmlns:a16="http://schemas.microsoft.com/office/drawing/2014/main" id="{354F8897-C45F-D5C6-38F0-A7B53081627F}"/>
            </a:ext>
          </a:extLst>
        </cdr:cNvPr>
        <cdr:cNvSpPr txBox="1"/>
      </cdr:nvSpPr>
      <cdr:spPr>
        <a:xfrm xmlns:a="http://schemas.openxmlformats.org/drawingml/2006/main">
          <a:off x="711718" y="4327331"/>
          <a:ext cx="518367" cy="27214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solidFill>
                <a:srgbClr val="FF0000"/>
              </a:solidFill>
            </a:rPr>
            <a:t>DOG</a:t>
          </a:r>
        </a:p>
      </cdr:txBody>
    </cdr:sp>
  </cdr:relSizeAnchor>
</c:userShape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ocation" connectionId="2" xr16:uid="{A08DDE30-91A1-A543-9522-4A3D86B2667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menu_profitability_by_location_2" connectionId="6" xr16:uid="{FC78A564-2051-8248-B857-F235B98566C7}"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menu_profitability_by_location_1" connectionId="5" xr16:uid="{AB05BA33-B22E-EC4D-ADB4-E7B9C8E5B7FD}"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menu_profitability_by_location" connectionId="4" xr16:uid="{2A7A507D-9AAE-1242-A875-18053E17899E}"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menu_engineering" connectionId="3" xr16:uid="{57D732BA-DCF8-1946-AABB-2406812EB9CF}"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location_price_variance" connectionId="1" xr16:uid="{311456EE-9393-9E4D-98C0-FD4E1E0A8C0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FA1D5C-1910-084C-BE34-9DB218BF9C45}">
  <we:reference id="wa200010725" version="1.0.0.1" store="en-US" storeType="OMEX"/>
  <we:alternateReferences>
    <we:reference id="WA200010725" version="1.0.0.1" store="" storeType="OMEX"/>
  </we:alternateReferences>
  <we:properties>
    <we:property name="claude.fileId" value="&quot;d8436397-0ebd-4857-bdc1-18dd9f02b6bb&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queryTable" Target="../queryTables/queryTable3.xml"/><Relationship Id="rId1" Type="http://schemas.openxmlformats.org/officeDocument/2006/relationships/queryTable" Target="../queryTables/queryTable2.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BB2D-B849-2D4D-A322-A8F518068A01}">
  <dimension ref="A1:G6"/>
  <sheetViews>
    <sheetView workbookViewId="0">
      <selection activeCell="D3" sqref="D3"/>
    </sheetView>
  </sheetViews>
  <sheetFormatPr baseColWidth="10" defaultColWidth="16.1640625" defaultRowHeight="16"/>
  <cols>
    <col min="1" max="1" width="2.6640625" style="1" customWidth="1"/>
    <col min="2" max="2" width="17" style="1" bestFit="1" customWidth="1"/>
    <col min="3" max="3" width="16" style="1" bestFit="1" customWidth="1"/>
    <col min="4" max="5" width="16.33203125" style="1" bestFit="1" customWidth="1"/>
    <col min="6" max="6" width="15.5" style="2" bestFit="1" customWidth="1"/>
    <col min="7" max="16384" width="16.1640625" style="2"/>
  </cols>
  <sheetData>
    <row r="1" spans="1:7">
      <c r="A1" s="2"/>
      <c r="B1" s="49"/>
      <c r="C1" s="2"/>
      <c r="D1" s="2"/>
      <c r="E1" s="2"/>
    </row>
    <row r="2" spans="1:7" ht="18" thickBot="1">
      <c r="A2" s="2"/>
      <c r="B2" s="5" t="s">
        <v>0</v>
      </c>
      <c r="C2" s="5" t="s">
        <v>4</v>
      </c>
      <c r="D2" s="5" t="s">
        <v>1</v>
      </c>
      <c r="E2" s="5" t="s">
        <v>2</v>
      </c>
      <c r="F2" s="5" t="s">
        <v>3</v>
      </c>
    </row>
    <row r="3" spans="1:7" ht="119">
      <c r="B3" s="6" t="str">
        <f>HYPERLINK("#RPM!A1", "RPM")</f>
        <v>RPM</v>
      </c>
      <c r="C3" s="4" t="s">
        <v>5</v>
      </c>
      <c r="D3" s="4" t="s">
        <v>6</v>
      </c>
      <c r="E3" s="4" t="s">
        <v>7</v>
      </c>
      <c r="F3" s="4" t="s">
        <v>8</v>
      </c>
    </row>
    <row r="4" spans="1:7" ht="102">
      <c r="B4" s="8" t="str">
        <f>HYPERLINK("#Menu_Performance!A1", "Menu_Performance")</f>
        <v>Menu_Performance</v>
      </c>
      <c r="C4" s="3" t="s">
        <v>243</v>
      </c>
      <c r="D4" s="1" t="s">
        <v>232</v>
      </c>
      <c r="E4" s="3" t="s">
        <v>9</v>
      </c>
      <c r="F4" s="3" t="s">
        <v>163</v>
      </c>
      <c r="G4" s="49" t="s">
        <v>23</v>
      </c>
    </row>
    <row r="5" spans="1:7" ht="102">
      <c r="B5" s="8" t="str">
        <f>HYPERLINK("#Ingredient_Cost!A1", "Ingredient_Cost")</f>
        <v>Ingredient_Cost</v>
      </c>
      <c r="C5" s="3" t="s">
        <v>10</v>
      </c>
      <c r="D5" s="7" t="s">
        <v>15</v>
      </c>
      <c r="E5" s="3" t="s">
        <v>11</v>
      </c>
      <c r="F5" s="3" t="s">
        <v>16</v>
      </c>
      <c r="G5" s="49" t="s">
        <v>23</v>
      </c>
    </row>
    <row r="6" spans="1:7" ht="102">
      <c r="B6" s="8" t="str">
        <f>HYPERLINK("#KPI_Reporting!A1", "KPI_Reporting")</f>
        <v>KPI_Reporting</v>
      </c>
      <c r="C6" s="3" t="s">
        <v>244</v>
      </c>
      <c r="D6" s="7" t="s">
        <v>14</v>
      </c>
      <c r="E6" s="3" t="s">
        <v>12</v>
      </c>
      <c r="F6" s="3" t="s">
        <v>13</v>
      </c>
      <c r="G6" s="49" t="s">
        <v>23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513E-1B0B-0C48-AA5D-5CB15DFD1FC8}">
  <dimension ref="A1:G25"/>
  <sheetViews>
    <sheetView workbookViewId="0">
      <selection activeCell="G2" sqref="G2"/>
    </sheetView>
  </sheetViews>
  <sheetFormatPr baseColWidth="10" defaultRowHeight="16"/>
  <cols>
    <col min="1" max="1" width="19.33203125" bestFit="1" customWidth="1"/>
    <col min="2" max="2" width="10.1640625" bestFit="1" customWidth="1"/>
    <col min="3" max="3" width="8.5" bestFit="1" customWidth="1"/>
  </cols>
  <sheetData>
    <row r="1" spans="1:7">
      <c r="A1" s="15" t="s">
        <v>29</v>
      </c>
      <c r="B1" s="10" t="s">
        <v>28</v>
      </c>
      <c r="C1" s="10" t="s">
        <v>222</v>
      </c>
      <c r="E1" s="10" t="s">
        <v>227</v>
      </c>
      <c r="F1" s="10" t="s">
        <v>228</v>
      </c>
      <c r="G1" s="10" t="s">
        <v>64</v>
      </c>
    </row>
    <row r="2" spans="1:7">
      <c r="A2" s="16" t="s">
        <v>37</v>
      </c>
      <c r="B2">
        <v>1</v>
      </c>
      <c r="C2">
        <v>1</v>
      </c>
      <c r="E2">
        <f>MOD(ROW()-1,12)+1</f>
        <v>2</v>
      </c>
      <c r="F2">
        <v>2025</v>
      </c>
      <c r="G2" s="45">
        <f>DATE(F2, E2, 1)</f>
        <v>45689</v>
      </c>
    </row>
    <row r="3" spans="1:7">
      <c r="A3" s="16" t="s">
        <v>56</v>
      </c>
      <c r="B3">
        <v>2</v>
      </c>
      <c r="C3">
        <v>1</v>
      </c>
      <c r="E3">
        <f t="shared" ref="E3:E21" si="0">MOD(ROW()-1,12)+1</f>
        <v>3</v>
      </c>
      <c r="F3">
        <v>2025</v>
      </c>
      <c r="G3" s="45">
        <f t="shared" ref="G3:G21" si="1">DATE(F3, E3, 1)</f>
        <v>45717</v>
      </c>
    </row>
    <row r="4" spans="1:7">
      <c r="A4" s="16" t="s">
        <v>58</v>
      </c>
      <c r="B4">
        <v>3</v>
      </c>
      <c r="C4">
        <v>1</v>
      </c>
      <c r="E4">
        <f t="shared" si="0"/>
        <v>4</v>
      </c>
      <c r="F4">
        <v>2025</v>
      </c>
      <c r="G4" s="45">
        <f t="shared" si="1"/>
        <v>45748</v>
      </c>
    </row>
    <row r="5" spans="1:7">
      <c r="A5" s="16" t="s">
        <v>59</v>
      </c>
      <c r="B5">
        <v>4</v>
      </c>
      <c r="C5">
        <v>2</v>
      </c>
      <c r="E5">
        <f t="shared" si="0"/>
        <v>5</v>
      </c>
      <c r="F5">
        <v>2025</v>
      </c>
      <c r="G5" s="45">
        <f t="shared" si="1"/>
        <v>45778</v>
      </c>
    </row>
    <row r="6" spans="1:7">
      <c r="A6" s="16" t="s">
        <v>60</v>
      </c>
      <c r="B6">
        <v>5</v>
      </c>
      <c r="C6">
        <v>3</v>
      </c>
      <c r="E6">
        <f t="shared" si="0"/>
        <v>6</v>
      </c>
      <c r="F6">
        <v>2025</v>
      </c>
      <c r="G6" s="45">
        <f t="shared" si="1"/>
        <v>45809</v>
      </c>
    </row>
    <row r="7" spans="1:7">
      <c r="A7" s="16" t="s">
        <v>61</v>
      </c>
      <c r="B7">
        <v>6</v>
      </c>
      <c r="C7">
        <v>3</v>
      </c>
      <c r="E7">
        <f t="shared" si="0"/>
        <v>7</v>
      </c>
      <c r="F7">
        <v>2025</v>
      </c>
      <c r="G7" s="45">
        <f t="shared" si="1"/>
        <v>45839</v>
      </c>
    </row>
    <row r="8" spans="1:7">
      <c r="A8" s="16" t="s">
        <v>62</v>
      </c>
      <c r="B8">
        <v>7</v>
      </c>
      <c r="C8">
        <v>4</v>
      </c>
      <c r="E8">
        <f t="shared" si="0"/>
        <v>8</v>
      </c>
      <c r="F8">
        <v>2025</v>
      </c>
      <c r="G8" s="45">
        <f t="shared" si="1"/>
        <v>45870</v>
      </c>
    </row>
    <row r="9" spans="1:7">
      <c r="A9" s="16" t="s">
        <v>63</v>
      </c>
      <c r="B9">
        <v>8</v>
      </c>
      <c r="C9">
        <v>3</v>
      </c>
      <c r="E9">
        <f t="shared" si="0"/>
        <v>9</v>
      </c>
      <c r="F9">
        <v>2025</v>
      </c>
      <c r="G9" s="45">
        <f t="shared" si="1"/>
        <v>45901</v>
      </c>
    </row>
    <row r="10" spans="1:7">
      <c r="E10">
        <f t="shared" si="0"/>
        <v>10</v>
      </c>
      <c r="F10">
        <v>2025</v>
      </c>
      <c r="G10" s="45">
        <f t="shared" si="1"/>
        <v>45931</v>
      </c>
    </row>
    <row r="11" spans="1:7">
      <c r="E11">
        <f t="shared" si="0"/>
        <v>11</v>
      </c>
      <c r="F11">
        <v>2025</v>
      </c>
      <c r="G11" s="45">
        <f t="shared" si="1"/>
        <v>45962</v>
      </c>
    </row>
    <row r="12" spans="1:7">
      <c r="E12">
        <f t="shared" si="0"/>
        <v>12</v>
      </c>
      <c r="F12">
        <v>2025</v>
      </c>
      <c r="G12" s="45">
        <f t="shared" si="1"/>
        <v>45992</v>
      </c>
    </row>
    <row r="13" spans="1:7">
      <c r="E13">
        <f t="shared" si="0"/>
        <v>1</v>
      </c>
      <c r="F13">
        <v>2026</v>
      </c>
      <c r="G13" s="45">
        <f t="shared" si="1"/>
        <v>46023</v>
      </c>
    </row>
    <row r="14" spans="1:7">
      <c r="E14">
        <f t="shared" si="0"/>
        <v>2</v>
      </c>
      <c r="F14">
        <v>2026</v>
      </c>
      <c r="G14" s="45">
        <f t="shared" si="1"/>
        <v>46054</v>
      </c>
    </row>
    <row r="15" spans="1:7">
      <c r="E15">
        <f t="shared" si="0"/>
        <v>3</v>
      </c>
      <c r="F15">
        <v>2026</v>
      </c>
      <c r="G15" s="45">
        <f t="shared" si="1"/>
        <v>46082</v>
      </c>
    </row>
    <row r="16" spans="1:7">
      <c r="E16">
        <f t="shared" si="0"/>
        <v>4</v>
      </c>
      <c r="F16">
        <v>2026</v>
      </c>
      <c r="G16" s="45">
        <f t="shared" si="1"/>
        <v>46113</v>
      </c>
    </row>
    <row r="17" spans="5:7">
      <c r="E17">
        <f t="shared" si="0"/>
        <v>5</v>
      </c>
      <c r="F17">
        <v>2026</v>
      </c>
      <c r="G17" s="45">
        <f t="shared" si="1"/>
        <v>46143</v>
      </c>
    </row>
    <row r="18" spans="5:7">
      <c r="E18">
        <f t="shared" si="0"/>
        <v>6</v>
      </c>
      <c r="F18">
        <v>2026</v>
      </c>
      <c r="G18" s="45">
        <f t="shared" si="1"/>
        <v>46174</v>
      </c>
    </row>
    <row r="19" spans="5:7">
      <c r="E19">
        <f t="shared" si="0"/>
        <v>7</v>
      </c>
      <c r="F19">
        <v>2026</v>
      </c>
      <c r="G19" s="45">
        <f t="shared" si="1"/>
        <v>46204</v>
      </c>
    </row>
    <row r="20" spans="5:7">
      <c r="E20">
        <f t="shared" si="0"/>
        <v>8</v>
      </c>
      <c r="F20">
        <v>2026</v>
      </c>
      <c r="G20" s="45">
        <f t="shared" si="1"/>
        <v>46235</v>
      </c>
    </row>
    <row r="21" spans="5:7">
      <c r="E21">
        <f t="shared" si="0"/>
        <v>9</v>
      </c>
      <c r="F21">
        <v>2026</v>
      </c>
      <c r="G21" s="45">
        <f t="shared" si="1"/>
        <v>46266</v>
      </c>
    </row>
    <row r="23" spans="5:7">
      <c r="G23" s="9"/>
    </row>
    <row r="24" spans="5:7">
      <c r="G24" s="9"/>
    </row>
    <row r="25" spans="5:7">
      <c r="G25" s="9"/>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8004-C6B7-A845-8556-80701AB466E5}">
  <dimension ref="A1:P48"/>
  <sheetViews>
    <sheetView zoomScale="113" workbookViewId="0">
      <selection activeCell="B4" sqref="B4:E24"/>
    </sheetView>
  </sheetViews>
  <sheetFormatPr baseColWidth="10" defaultRowHeight="16"/>
  <cols>
    <col min="1" max="1" width="3.5" customWidth="1"/>
    <col min="2" max="2" width="17" bestFit="1" customWidth="1"/>
    <col min="3" max="3" width="9" bestFit="1" customWidth="1"/>
    <col min="4" max="4" width="33.83203125" customWidth="1"/>
    <col min="5" max="6" width="21.5" bestFit="1" customWidth="1"/>
    <col min="7" max="7" width="13" bestFit="1" customWidth="1"/>
    <col min="8" max="8" width="9" bestFit="1" customWidth="1"/>
    <col min="9" max="9" width="9.6640625" bestFit="1" customWidth="1"/>
    <col min="10" max="10" width="13.33203125" bestFit="1" customWidth="1"/>
    <col min="11" max="11" width="15" bestFit="1" customWidth="1"/>
    <col min="12" max="12" width="10.5" bestFit="1" customWidth="1"/>
    <col min="13" max="13" width="14.1640625" bestFit="1" customWidth="1"/>
    <col min="14" max="14" width="16.6640625" bestFit="1" customWidth="1"/>
    <col min="15" max="15" width="15.83203125" customWidth="1"/>
    <col min="16" max="16" width="21.83203125" bestFit="1" customWidth="1"/>
  </cols>
  <sheetData>
    <row r="1" spans="1:16" ht="85" customHeight="1">
      <c r="B1" s="102" t="s">
        <v>23</v>
      </c>
      <c r="C1" s="102"/>
      <c r="D1" s="104" t="s">
        <v>261</v>
      </c>
    </row>
    <row r="2" spans="1:16">
      <c r="B2" s="10" t="s">
        <v>221</v>
      </c>
    </row>
    <row r="3" spans="1:16">
      <c r="B3" s="10"/>
    </row>
    <row r="4" spans="1:16" ht="17" customHeight="1">
      <c r="B4" s="99" t="s">
        <v>257</v>
      </c>
      <c r="C4" s="99"/>
      <c r="D4" s="99"/>
      <c r="E4" s="99"/>
    </row>
    <row r="5" spans="1:16">
      <c r="A5" s="41"/>
      <c r="B5" s="99"/>
      <c r="C5" s="99"/>
      <c r="D5" s="99"/>
      <c r="E5" s="99"/>
    </row>
    <row r="6" spans="1:16">
      <c r="A6" s="41"/>
      <c r="B6" s="99"/>
      <c r="C6" s="99"/>
      <c r="D6" s="99"/>
      <c r="E6" s="99"/>
    </row>
    <row r="7" spans="1:16">
      <c r="A7" s="41"/>
      <c r="B7" s="99"/>
      <c r="C7" s="99"/>
      <c r="D7" s="99"/>
      <c r="E7" s="99"/>
    </row>
    <row r="8" spans="1:16">
      <c r="A8" s="41"/>
      <c r="B8" s="99"/>
      <c r="C8" s="99"/>
      <c r="D8" s="99"/>
      <c r="E8" s="99"/>
    </row>
    <row r="9" spans="1:16">
      <c r="A9" s="41"/>
      <c r="B9" s="99"/>
      <c r="C9" s="99"/>
      <c r="D9" s="99"/>
      <c r="E9" s="99"/>
    </row>
    <row r="10" spans="1:16">
      <c r="A10" s="41"/>
      <c r="B10" s="99"/>
      <c r="C10" s="99"/>
      <c r="D10" s="99"/>
      <c r="E10" s="99"/>
    </row>
    <row r="11" spans="1:16">
      <c r="A11" s="41"/>
      <c r="B11" s="99"/>
      <c r="C11" s="99"/>
      <c r="D11" s="99"/>
      <c r="E11" s="99"/>
    </row>
    <row r="12" spans="1:16">
      <c r="A12" s="41"/>
      <c r="B12" s="99"/>
      <c r="C12" s="99"/>
      <c r="D12" s="99"/>
      <c r="E12" s="99"/>
    </row>
    <row r="13" spans="1:16">
      <c r="A13" s="41"/>
      <c r="B13" s="99"/>
      <c r="C13" s="99"/>
      <c r="D13" s="99"/>
      <c r="E13" s="99"/>
      <c r="F13" s="10" t="s">
        <v>256</v>
      </c>
    </row>
    <row r="14" spans="1:16">
      <c r="A14" s="41"/>
      <c r="B14" s="99"/>
      <c r="C14" s="99"/>
      <c r="D14" s="99"/>
      <c r="E14" s="99"/>
      <c r="F14" s="10" t="s">
        <v>225</v>
      </c>
    </row>
    <row r="15" spans="1:16">
      <c r="A15" s="41"/>
      <c r="B15" s="99"/>
      <c r="C15" s="99"/>
      <c r="D15" s="99"/>
      <c r="E15" s="99"/>
      <c r="F15" s="42" t="s">
        <v>209</v>
      </c>
      <c r="G15" s="10" t="s">
        <v>206</v>
      </c>
      <c r="H15" s="10" t="s">
        <v>199</v>
      </c>
      <c r="I15" s="10" t="s">
        <v>223</v>
      </c>
      <c r="J15" s="10" t="s">
        <v>210</v>
      </c>
      <c r="K15" s="17" t="s">
        <v>216</v>
      </c>
      <c r="L15" s="17" t="s">
        <v>214</v>
      </c>
      <c r="M15" s="10" t="s">
        <v>211</v>
      </c>
      <c r="N15" s="17" t="s">
        <v>217</v>
      </c>
      <c r="O15" s="17" t="s">
        <v>219</v>
      </c>
      <c r="P15" s="17" t="s">
        <v>220</v>
      </c>
    </row>
    <row r="16" spans="1:16">
      <c r="A16" s="41"/>
      <c r="B16" s="99"/>
      <c r="C16" s="99"/>
      <c r="D16" s="99"/>
      <c r="E16" s="99"/>
      <c r="F16" s="43" t="str" cm="1">
        <f t="array" ref="F16:F23">Lists!$A$2:$A$9</f>
        <v>Eataly Flatiron</v>
      </c>
      <c r="G16" t="s">
        <v>212</v>
      </c>
      <c r="H16" s="28">
        <v>3.8888888888888883E-2</v>
      </c>
      <c r="I16">
        <v>2714</v>
      </c>
      <c r="J16" s="28">
        <v>4.432684926584677E-2</v>
      </c>
      <c r="K16" s="28">
        <f>IF(G16="NO SALE", "-", IF(G16="NOT ON MENU", "-", (J16-H16)/H16))</f>
        <v>0.13983326683605998</v>
      </c>
      <c r="L16" s="26">
        <v>16.130947370972944</v>
      </c>
      <c r="M16" s="26">
        <v>14.375910585160286</v>
      </c>
      <c r="N16" s="28">
        <f>(M16-L16)/L16</f>
        <v>-0.10879936221047892</v>
      </c>
      <c r="O16" s="40">
        <f>L16*N16</f>
        <v>-1.7550367858126581</v>
      </c>
      <c r="P16" s="26">
        <f>I16*O16</f>
        <v>-4763.1698366955543</v>
      </c>
    </row>
    <row r="17" spans="1:16">
      <c r="A17" s="41"/>
      <c r="B17" s="99"/>
      <c r="C17" s="99"/>
      <c r="D17" s="99"/>
      <c r="E17" s="99"/>
      <c r="F17" s="44" t="str">
        <v>Eataly Downtown NYC</v>
      </c>
      <c r="G17" t="s">
        <v>215</v>
      </c>
      <c r="H17" s="28">
        <v>4.3749999999999997E-2</v>
      </c>
      <c r="I17">
        <v>491</v>
      </c>
      <c r="J17" s="28">
        <v>1.0200000000000001E-2</v>
      </c>
      <c r="K17" s="28">
        <f t="shared" ref="K17:K23" si="0">IF(G17="NO SALE", "-", IF(G17="NOT ON MENU", "-", (J17-H17)/H17))</f>
        <v>-0.76685714285714279</v>
      </c>
      <c r="L17" s="26">
        <v>15.837498514089441</v>
      </c>
      <c r="M17" s="26">
        <v>14.61</v>
      </c>
      <c r="N17" s="28">
        <f t="shared" ref="N17:N23" si="1">(M17-L17)/L17</f>
        <v>-7.7505832944352163E-2</v>
      </c>
      <c r="O17" s="40">
        <f t="shared" ref="O17:O23" si="2">L17*N17</f>
        <v>-1.2274985140894419</v>
      </c>
      <c r="P17" s="26" t="s">
        <v>25</v>
      </c>
    </row>
    <row r="18" spans="1:16">
      <c r="A18" s="41"/>
      <c r="B18" s="99"/>
      <c r="C18" s="99"/>
      <c r="D18" s="99"/>
      <c r="E18" s="99"/>
      <c r="F18" s="44" t="str">
        <v>Eataly Boston</v>
      </c>
      <c r="G18" t="s">
        <v>218</v>
      </c>
      <c r="H18" s="28" t="s">
        <v>25</v>
      </c>
      <c r="I18" t="s">
        <v>25</v>
      </c>
      <c r="J18" s="28" t="s">
        <v>25</v>
      </c>
      <c r="K18" s="28" t="str">
        <f t="shared" si="0"/>
        <v>-</v>
      </c>
      <c r="L18" s="26" t="s">
        <v>25</v>
      </c>
      <c r="M18" s="26">
        <v>0</v>
      </c>
      <c r="N18" s="28" t="s">
        <v>25</v>
      </c>
      <c r="O18" s="18" t="s">
        <v>25</v>
      </c>
      <c r="P18" s="26" t="s">
        <v>25</v>
      </c>
    </row>
    <row r="19" spans="1:16">
      <c r="A19" s="41"/>
      <c r="B19" s="99"/>
      <c r="C19" s="99"/>
      <c r="D19" s="99"/>
      <c r="E19" s="99"/>
      <c r="F19" s="44" t="str">
        <v>Eataly Chicago</v>
      </c>
      <c r="G19" t="s">
        <v>212</v>
      </c>
      <c r="H19" s="28">
        <v>4.3749999999999997E-2</v>
      </c>
      <c r="I19">
        <v>1798</v>
      </c>
      <c r="J19" s="28">
        <v>4.9399999999999999E-2</v>
      </c>
      <c r="K19" s="28">
        <f t="shared" si="0"/>
        <v>0.1291428571428572</v>
      </c>
      <c r="L19" s="26">
        <v>15.53263114726864</v>
      </c>
      <c r="M19" s="26">
        <v>14.16</v>
      </c>
      <c r="N19" s="28">
        <f t="shared" ref="N19:N24" si="3">(M19-L19)/L19</f>
        <v>-8.8370806868095397E-2</v>
      </c>
      <c r="O19" s="40">
        <f t="shared" ref="O19:O24" si="4">L19*N19</f>
        <v>-1.3726311472686401</v>
      </c>
      <c r="P19" s="26">
        <f>I19*O19</f>
        <v>-2467.9908027890151</v>
      </c>
    </row>
    <row r="20" spans="1:16">
      <c r="A20" s="41"/>
      <c r="B20" s="99"/>
      <c r="C20" s="99"/>
      <c r="D20" s="99"/>
      <c r="E20" s="99"/>
      <c r="F20" s="44" t="str">
        <v>Eataly Los Angeles</v>
      </c>
      <c r="G20" t="s">
        <v>218</v>
      </c>
      <c r="H20" s="28" t="s">
        <v>25</v>
      </c>
      <c r="I20" t="s">
        <v>25</v>
      </c>
      <c r="J20" s="28" t="s">
        <v>25</v>
      </c>
      <c r="K20" s="28" t="str">
        <f t="shared" si="0"/>
        <v>-</v>
      </c>
      <c r="L20" s="26" t="s">
        <v>25</v>
      </c>
      <c r="M20" s="26">
        <v>0</v>
      </c>
      <c r="N20" s="28" t="s">
        <v>25</v>
      </c>
      <c r="O20" s="18" t="s">
        <v>25</v>
      </c>
      <c r="P20" s="26" t="s">
        <v>25</v>
      </c>
    </row>
    <row r="21" spans="1:16">
      <c r="A21" s="41"/>
      <c r="B21" s="99"/>
      <c r="C21" s="99"/>
      <c r="D21" s="99"/>
      <c r="E21" s="99"/>
      <c r="F21" s="44" t="str">
        <v>Eataly Las Vegas</v>
      </c>
      <c r="G21" t="s">
        <v>213</v>
      </c>
      <c r="H21" s="28">
        <v>3.8888888888888883E-2</v>
      </c>
      <c r="I21">
        <v>1954</v>
      </c>
      <c r="J21" s="28">
        <v>3.7199999999999997E-2</v>
      </c>
      <c r="K21" s="28">
        <f t="shared" si="0"/>
        <v>-4.3428571428571351E-2</v>
      </c>
      <c r="L21" s="26">
        <v>16.695704654072134</v>
      </c>
      <c r="M21" s="26">
        <v>15.07</v>
      </c>
      <c r="N21" s="28">
        <f t="shared" ref="N21:N24" si="5">(M21-L21)/L21</f>
        <v>-9.7372628933970723E-2</v>
      </c>
      <c r="O21" s="40">
        <f t="shared" ref="O21:O24" si="6">L21*N21</f>
        <v>-1.625704654072134</v>
      </c>
      <c r="P21" s="26">
        <f>I21*O21</f>
        <v>-3176.6268940569498</v>
      </c>
    </row>
    <row r="22" spans="1:16">
      <c r="A22" s="41"/>
      <c r="B22" s="99"/>
      <c r="C22" s="99"/>
      <c r="D22" s="99"/>
      <c r="E22" s="99"/>
      <c r="F22" s="44" t="str">
        <v>Eataly Dallas</v>
      </c>
      <c r="G22" t="s">
        <v>213</v>
      </c>
      <c r="H22" s="28">
        <v>3.8888888888888883E-2</v>
      </c>
      <c r="I22">
        <v>984</v>
      </c>
      <c r="J22" s="28">
        <v>3.2000000000000001E-2</v>
      </c>
      <c r="K22" s="28">
        <f t="shared" si="0"/>
        <v>-0.17714285714285699</v>
      </c>
      <c r="L22" s="26">
        <v>13.485909791798328</v>
      </c>
      <c r="M22" s="26">
        <v>12.22</v>
      </c>
      <c r="N22" s="28">
        <f t="shared" si="5"/>
        <v>-9.3869068631039665E-2</v>
      </c>
      <c r="O22" s="40">
        <f t="shared" si="6"/>
        <v>-1.2659097917983271</v>
      </c>
      <c r="P22" s="26">
        <f>I22*O22</f>
        <v>-1245.6552351295538</v>
      </c>
    </row>
    <row r="23" spans="1:16">
      <c r="A23" s="41"/>
      <c r="B23" s="99"/>
      <c r="C23" s="99"/>
      <c r="D23" s="99"/>
      <c r="E23" s="99"/>
      <c r="F23" s="44" t="str">
        <v>Eataly San Jose</v>
      </c>
      <c r="G23" t="s">
        <v>213</v>
      </c>
      <c r="H23" s="28">
        <v>3.8888888888888883E-2</v>
      </c>
      <c r="I23">
        <v>623</v>
      </c>
      <c r="J23" s="28">
        <v>3.1199999999999999E-2</v>
      </c>
      <c r="K23" s="28">
        <f t="shared" si="0"/>
        <v>-0.19771428571428562</v>
      </c>
      <c r="L23" s="26">
        <v>15.200190012587591</v>
      </c>
      <c r="M23" s="26">
        <v>14.22</v>
      </c>
      <c r="N23" s="28">
        <f t="shared" si="5"/>
        <v>-6.4485378918018421E-2</v>
      </c>
      <c r="O23" s="40">
        <f t="shared" si="6"/>
        <v>-0.98019001258758998</v>
      </c>
      <c r="P23" s="26">
        <f>I23*O23</f>
        <v>-610.6583778420686</v>
      </c>
    </row>
    <row r="24" spans="1:16">
      <c r="A24" s="41"/>
      <c r="B24" s="99"/>
      <c r="C24" s="99"/>
      <c r="D24" s="99"/>
      <c r="E24" s="99"/>
      <c r="K24" s="18"/>
      <c r="L24" s="22"/>
      <c r="M24" s="18"/>
      <c r="N24" s="18"/>
      <c r="O24" s="17" t="s">
        <v>224</v>
      </c>
      <c r="P24" s="27">
        <f>SUM(P16:P23)</f>
        <v>-12264.101146513141</v>
      </c>
    </row>
    <row r="25" spans="1:16">
      <c r="A25" s="41"/>
      <c r="B25" s="41"/>
      <c r="C25" s="41"/>
      <c r="D25" s="41"/>
    </row>
    <row r="26" spans="1:16" ht="16" customHeight="1">
      <c r="B26" s="100" t="s">
        <v>260</v>
      </c>
      <c r="C26" s="100"/>
      <c r="D26" s="100"/>
      <c r="E26" s="100"/>
    </row>
    <row r="27" spans="1:16">
      <c r="A27" s="41"/>
      <c r="B27" s="101"/>
      <c r="C27" s="101"/>
      <c r="D27" s="101"/>
      <c r="E27" s="101"/>
    </row>
    <row r="28" spans="1:16">
      <c r="A28" s="41"/>
      <c r="B28" s="101"/>
      <c r="C28" s="101"/>
      <c r="D28" s="101"/>
      <c r="E28" s="101"/>
    </row>
    <row r="29" spans="1:16">
      <c r="A29" s="41"/>
      <c r="B29" s="101"/>
      <c r="C29" s="101"/>
      <c r="D29" s="101"/>
      <c r="E29" s="101"/>
    </row>
    <row r="30" spans="1:16">
      <c r="A30" s="41"/>
      <c r="B30" s="101"/>
      <c r="C30" s="101"/>
      <c r="D30" s="101"/>
      <c r="E30" s="101"/>
    </row>
    <row r="31" spans="1:16">
      <c r="A31" s="41"/>
      <c r="B31" s="101"/>
      <c r="C31" s="101"/>
      <c r="D31" s="101"/>
      <c r="E31" s="101"/>
    </row>
    <row r="32" spans="1:16">
      <c r="A32" s="41"/>
      <c r="B32" s="101"/>
      <c r="C32" s="101"/>
      <c r="D32" s="101"/>
      <c r="E32" s="101"/>
    </row>
    <row r="33" spans="1:16">
      <c r="A33" s="41"/>
      <c r="B33" s="101"/>
      <c r="C33" s="101"/>
      <c r="D33" s="101"/>
      <c r="E33" s="101"/>
    </row>
    <row r="34" spans="1:16">
      <c r="A34" s="41"/>
      <c r="B34" s="101"/>
      <c r="C34" s="101"/>
      <c r="D34" s="101"/>
      <c r="E34" s="101"/>
    </row>
    <row r="35" spans="1:16">
      <c r="A35" s="41"/>
      <c r="B35" s="101"/>
      <c r="C35" s="101"/>
      <c r="D35" s="101"/>
      <c r="E35" s="101"/>
      <c r="F35" s="10" t="s">
        <v>47</v>
      </c>
    </row>
    <row r="36" spans="1:16">
      <c r="A36" s="41"/>
      <c r="B36" s="101"/>
      <c r="C36" s="101"/>
      <c r="D36" s="101"/>
      <c r="E36" s="101"/>
      <c r="F36" s="10" t="s">
        <v>225</v>
      </c>
    </row>
    <row r="37" spans="1:16">
      <c r="A37" s="41"/>
      <c r="B37" s="101"/>
      <c r="C37" s="101"/>
      <c r="D37" s="101"/>
      <c r="E37" s="101"/>
      <c r="F37" s="42" t="s">
        <v>209</v>
      </c>
      <c r="G37" s="10" t="s">
        <v>206</v>
      </c>
      <c r="H37" s="10" t="s">
        <v>199</v>
      </c>
      <c r="I37" s="10" t="s">
        <v>223</v>
      </c>
      <c r="J37" s="10" t="s">
        <v>210</v>
      </c>
      <c r="K37" s="17" t="s">
        <v>216</v>
      </c>
      <c r="L37" s="17" t="s">
        <v>214</v>
      </c>
      <c r="M37" s="10" t="s">
        <v>211</v>
      </c>
      <c r="N37" s="17" t="s">
        <v>217</v>
      </c>
      <c r="O37" s="17" t="s">
        <v>219</v>
      </c>
      <c r="P37" s="17" t="s">
        <v>258</v>
      </c>
    </row>
    <row r="38" spans="1:16">
      <c r="A38" s="41"/>
      <c r="B38" s="101"/>
      <c r="C38" s="101"/>
      <c r="D38" s="101"/>
      <c r="E38" s="101"/>
      <c r="F38" s="43" t="str" cm="1">
        <f t="array" ref="F38:F45">Lists!$A$2:$A$9</f>
        <v>Eataly Flatiron</v>
      </c>
      <c r="G38" t="s">
        <v>236</v>
      </c>
      <c r="H38" s="28">
        <v>3.8888888888888883E-2</v>
      </c>
      <c r="I38">
        <v>1561</v>
      </c>
      <c r="J38" s="28">
        <v>2.5495288026524246E-2</v>
      </c>
      <c r="K38" s="28">
        <f>IF(G38="NO SALE", "-", IF(G38="NOT ON MENU", "-", (J38-H38)/H38))</f>
        <v>-0.34440687931794783</v>
      </c>
      <c r="L38" s="26">
        <v>16.130947370972944</v>
      </c>
      <c r="M38" s="26">
        <v>31.5528567704878</v>
      </c>
      <c r="N38" s="28">
        <f>(M38-L38)/L38</f>
        <v>0.95604486487049256</v>
      </c>
      <c r="O38" s="26">
        <f>L38*N38</f>
        <v>15.421909399514856</v>
      </c>
      <c r="P38" s="26">
        <f>I38*O38</f>
        <v>24073.600572642692</v>
      </c>
    </row>
    <row r="39" spans="1:16">
      <c r="A39" s="41"/>
      <c r="B39" s="101"/>
      <c r="C39" s="101"/>
      <c r="D39" s="101"/>
      <c r="E39" s="101"/>
      <c r="F39" s="44" t="str">
        <v>Eataly Downtown NYC</v>
      </c>
      <c r="G39" t="s">
        <v>218</v>
      </c>
      <c r="H39" s="28" t="s">
        <v>25</v>
      </c>
      <c r="I39" t="s">
        <v>25</v>
      </c>
      <c r="J39" s="28" t="s">
        <v>25</v>
      </c>
      <c r="K39" s="28" t="str">
        <f t="shared" ref="K39:K45" si="7">IF(G39="NO SALE", "-", IF(G39="NOT ON MENU", "-", (J39-H39)/H39))</f>
        <v>-</v>
      </c>
      <c r="L39" s="26" t="s">
        <v>25</v>
      </c>
      <c r="M39" s="26" t="s">
        <v>25</v>
      </c>
      <c r="N39" s="28" t="s">
        <v>25</v>
      </c>
      <c r="O39" s="26" t="s">
        <v>25</v>
      </c>
      <c r="P39" s="26" t="s">
        <v>25</v>
      </c>
    </row>
    <row r="40" spans="1:16">
      <c r="A40" s="41"/>
      <c r="B40" s="101"/>
      <c r="C40" s="101"/>
      <c r="D40" s="101"/>
      <c r="E40" s="101"/>
      <c r="F40" s="44" t="str">
        <v>Eataly Boston</v>
      </c>
      <c r="G40" t="s">
        <v>236</v>
      </c>
      <c r="H40" s="28">
        <v>0.05</v>
      </c>
      <c r="I40">
        <v>881</v>
      </c>
      <c r="J40" s="28">
        <v>2.5946105139154765E-2</v>
      </c>
      <c r="K40" s="28">
        <f t="shared" si="7"/>
        <v>-0.48107789721690475</v>
      </c>
      <c r="L40" s="26">
        <v>15.18</v>
      </c>
      <c r="M40" s="26">
        <v>29.756244443239538</v>
      </c>
      <c r="N40" s="28">
        <f t="shared" ref="N40:N46" si="8">(M40-L40)/L40</f>
        <v>0.96022690666927135</v>
      </c>
      <c r="O40" s="26">
        <f t="shared" ref="O40:O46" si="9">L40*N40</f>
        <v>14.576244443239538</v>
      </c>
      <c r="P40" s="26">
        <f>I40*O40</f>
        <v>12841.671354494034</v>
      </c>
    </row>
    <row r="41" spans="1:16">
      <c r="A41" s="41"/>
      <c r="B41" s="101"/>
      <c r="C41" s="101"/>
      <c r="D41" s="101"/>
      <c r="E41" s="101"/>
      <c r="F41" s="44" t="str">
        <v>Eataly Chicago</v>
      </c>
      <c r="G41" t="s">
        <v>236</v>
      </c>
      <c r="H41" s="28">
        <v>4.3749999999999997E-2</v>
      </c>
      <c r="I41">
        <v>1091</v>
      </c>
      <c r="J41" s="28">
        <v>2.9997250481165794E-2</v>
      </c>
      <c r="K41" s="28">
        <f t="shared" si="7"/>
        <v>-0.31434856043049608</v>
      </c>
      <c r="L41" s="26">
        <v>15.53263114726864</v>
      </c>
      <c r="M41" s="26">
        <v>30.875002984991756</v>
      </c>
      <c r="N41" s="28">
        <f t="shared" si="8"/>
        <v>0.98775099287804946</v>
      </c>
      <c r="O41" s="26">
        <f t="shared" si="9"/>
        <v>15.342371837723116</v>
      </c>
      <c r="P41" s="26">
        <f>I41*O41</f>
        <v>16738.52767495592</v>
      </c>
    </row>
    <row r="42" spans="1:16">
      <c r="A42" s="41"/>
      <c r="B42" s="101"/>
      <c r="C42" s="101"/>
      <c r="D42" s="101"/>
      <c r="E42" s="101"/>
      <c r="F42" s="44" t="str">
        <v>Eataly Los Angeles</v>
      </c>
      <c r="G42" t="s">
        <v>218</v>
      </c>
      <c r="H42" s="28" t="s">
        <v>25</v>
      </c>
      <c r="I42" t="s">
        <v>25</v>
      </c>
      <c r="J42" s="28" t="s">
        <v>25</v>
      </c>
      <c r="K42" s="28" t="str">
        <f t="shared" si="7"/>
        <v>-</v>
      </c>
      <c r="L42" s="26" t="s">
        <v>25</v>
      </c>
      <c r="M42" s="26" t="s">
        <v>25</v>
      </c>
      <c r="N42" s="28" t="s">
        <v>25</v>
      </c>
      <c r="O42" s="26" t="s">
        <v>25</v>
      </c>
      <c r="P42" s="26" t="s">
        <v>25</v>
      </c>
    </row>
    <row r="43" spans="1:16">
      <c r="A43" s="41"/>
      <c r="B43" s="101"/>
      <c r="C43" s="101"/>
      <c r="D43" s="101"/>
      <c r="E43" s="101"/>
      <c r="F43" s="44" t="str">
        <v>Eataly Las Vegas</v>
      </c>
      <c r="G43" t="s">
        <v>236</v>
      </c>
      <c r="H43" s="28">
        <v>3.8888888888888883E-2</v>
      </c>
      <c r="I43">
        <v>1494</v>
      </c>
      <c r="J43" s="28">
        <v>2.8462564297961516E-2</v>
      </c>
      <c r="K43" s="28">
        <f t="shared" si="7"/>
        <v>-0.2681054894809895</v>
      </c>
      <c r="L43" s="26">
        <v>16.695704654072134</v>
      </c>
      <c r="M43" s="26">
        <v>32.80429939195151</v>
      </c>
      <c r="N43" s="28">
        <f t="shared" ref="N43:N46" si="10">(M43-L43)/L43</f>
        <v>0.96483467284805136</v>
      </c>
      <c r="O43" s="26">
        <f t="shared" ref="O43:O46" si="11">L43*N43</f>
        <v>16.108594737879375</v>
      </c>
      <c r="P43" s="26">
        <f>I43*O43</f>
        <v>24066.240538391787</v>
      </c>
    </row>
    <row r="44" spans="1:16">
      <c r="A44" s="41"/>
      <c r="B44" s="101"/>
      <c r="C44" s="101"/>
      <c r="D44" s="101"/>
      <c r="E44" s="101"/>
      <c r="F44" s="44" t="str">
        <v>Eataly Dallas</v>
      </c>
      <c r="G44" t="s">
        <v>236</v>
      </c>
      <c r="H44" s="28">
        <v>3.8888888888888883E-2</v>
      </c>
      <c r="I44">
        <v>646</v>
      </c>
      <c r="J44" s="28">
        <v>2.1019066831522094E-2</v>
      </c>
      <c r="K44" s="28">
        <f t="shared" si="7"/>
        <v>-0.45950971004657465</v>
      </c>
      <c r="L44" s="26">
        <v>13.485909791798328</v>
      </c>
      <c r="M44" s="26">
        <v>27.536238520800051</v>
      </c>
      <c r="N44" s="28">
        <f t="shared" si="10"/>
        <v>1.0418524924100157</v>
      </c>
      <c r="O44" s="26">
        <f t="shared" si="11"/>
        <v>14.050328729001723</v>
      </c>
      <c r="P44" s="26">
        <f>I44*O44</f>
        <v>9076.5123589351133</v>
      </c>
    </row>
    <row r="45" spans="1:16">
      <c r="A45" s="41"/>
      <c r="B45" s="101"/>
      <c r="C45" s="101"/>
      <c r="D45" s="101"/>
      <c r="E45" s="101"/>
      <c r="F45" s="44" t="str">
        <v>Eataly San Jose</v>
      </c>
      <c r="G45" t="s">
        <v>236</v>
      </c>
      <c r="H45" s="28">
        <v>3.8888888888888883E-2</v>
      </c>
      <c r="I45">
        <v>410</v>
      </c>
      <c r="J45" s="28">
        <v>2.0521547625006256E-2</v>
      </c>
      <c r="K45" s="28">
        <f t="shared" si="7"/>
        <v>-0.47230306107126763</v>
      </c>
      <c r="L45" s="26">
        <v>15.200190012587591</v>
      </c>
      <c r="M45" s="26">
        <v>29.051793073769367</v>
      </c>
      <c r="N45" s="28">
        <f t="shared" si="10"/>
        <v>0.91127828334454886</v>
      </c>
      <c r="O45" s="26">
        <f t="shared" si="11"/>
        <v>13.851603061181777</v>
      </c>
      <c r="P45" s="26">
        <f>I45*O45</f>
        <v>5679.1572550845285</v>
      </c>
    </row>
    <row r="46" spans="1:16" ht="34">
      <c r="A46" s="41"/>
      <c r="B46" s="101"/>
      <c r="C46" s="101"/>
      <c r="D46" s="101"/>
      <c r="E46" s="101"/>
      <c r="K46" s="18"/>
      <c r="L46" s="22"/>
      <c r="M46" s="18"/>
      <c r="N46" s="18"/>
      <c r="O46" s="98" t="s">
        <v>259</v>
      </c>
      <c r="P46" s="27">
        <f>SUM(P38:P45)</f>
        <v>92475.709754504074</v>
      </c>
    </row>
    <row r="47" spans="1:16">
      <c r="B47" s="101"/>
      <c r="C47" s="101"/>
      <c r="D47" s="101"/>
      <c r="E47" s="101"/>
    </row>
    <row r="48" spans="1:16">
      <c r="B48" s="101"/>
      <c r="C48" s="101"/>
      <c r="D48" s="101"/>
      <c r="E48" s="101"/>
    </row>
  </sheetData>
  <mergeCells count="3">
    <mergeCell ref="B1:C1"/>
    <mergeCell ref="B4:E24"/>
    <mergeCell ref="B26:E4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B7FA-AFCB-3D43-B475-F3A6C9EC0B9A}">
  <dimension ref="A1:O135"/>
  <sheetViews>
    <sheetView tabSelected="1" workbookViewId="0">
      <pane ySplit="4" topLeftCell="A5" activePane="bottomLeft" state="frozen"/>
      <selection pane="bottomLeft" activeCell="O22" sqref="O22"/>
    </sheetView>
  </sheetViews>
  <sheetFormatPr baseColWidth="10" defaultRowHeight="16"/>
  <cols>
    <col min="1" max="1" width="10.1640625" customWidth="1"/>
    <col min="2" max="2" width="10.5" customWidth="1"/>
    <col min="3" max="3" width="6.6640625" customWidth="1"/>
    <col min="4" max="4" width="21.5" bestFit="1" customWidth="1"/>
    <col min="5" max="5" width="12.1640625" style="26" bestFit="1" customWidth="1"/>
    <col min="6" max="6" width="21.5" bestFit="1" customWidth="1"/>
    <col min="7" max="7" width="16.6640625" style="26" bestFit="1" customWidth="1"/>
    <col min="8" max="8" width="18.83203125" bestFit="1" customWidth="1"/>
    <col min="9" max="9" width="15.83203125" bestFit="1" customWidth="1"/>
    <col min="11" max="11" width="3.83203125" customWidth="1"/>
    <col min="12" max="12" width="27.5" bestFit="1" customWidth="1"/>
    <col min="13" max="13" width="15.33203125" bestFit="1" customWidth="1"/>
    <col min="15" max="15" width="16" bestFit="1" customWidth="1"/>
  </cols>
  <sheetData>
    <row r="1" spans="1:15" ht="16" customHeight="1">
      <c r="D1" s="10" t="s">
        <v>262</v>
      </c>
      <c r="E1" s="27">
        <f ca="1">SUM(E:E)</f>
        <v>2704.65</v>
      </c>
      <c r="G1" s="29" t="s">
        <v>169</v>
      </c>
      <c r="H1" s="30">
        <v>0.65</v>
      </c>
      <c r="I1" s="29" t="s">
        <v>177</v>
      </c>
      <c r="J1" s="31">
        <f>COUNTA(A:A) - 1</f>
        <v>131</v>
      </c>
      <c r="L1" s="105" t="s">
        <v>172</v>
      </c>
    </row>
    <row r="2" spans="1:15">
      <c r="D2" s="10" t="s">
        <v>263</v>
      </c>
      <c r="E2" s="26">
        <f>raw_menu_profitability!L3</f>
        <v>2692</v>
      </c>
      <c r="G2" s="29" t="s">
        <v>171</v>
      </c>
      <c r="H2" s="31">
        <f>COUNTIF(J:J, 1)</f>
        <v>12</v>
      </c>
      <c r="I2" s="29" t="s">
        <v>178</v>
      </c>
      <c r="J2" s="31">
        <f>COUNTA(raw_menu_profitability!A:A) -1</f>
        <v>131</v>
      </c>
      <c r="L2" s="53" t="s">
        <v>180</v>
      </c>
    </row>
    <row r="3" spans="1:15">
      <c r="F3" s="51"/>
      <c r="G3"/>
      <c r="L3" s="53" t="s">
        <v>173</v>
      </c>
    </row>
    <row r="4" spans="1:15" s="10" customFormat="1">
      <c r="A4" s="10" t="s">
        <v>28</v>
      </c>
      <c r="B4" s="10" t="s">
        <v>30</v>
      </c>
      <c r="C4" s="10" t="s">
        <v>168</v>
      </c>
      <c r="D4" s="10" t="s">
        <v>29</v>
      </c>
      <c r="E4" s="24" t="s">
        <v>33</v>
      </c>
      <c r="F4" s="10" t="s">
        <v>31</v>
      </c>
      <c r="G4" s="24" t="s">
        <v>34</v>
      </c>
      <c r="H4" s="17" t="s">
        <v>35</v>
      </c>
      <c r="I4" s="19" t="s">
        <v>36</v>
      </c>
      <c r="J4" s="10" t="s">
        <v>170</v>
      </c>
      <c r="L4" s="53" t="s">
        <v>179</v>
      </c>
    </row>
    <row r="5" spans="1:15">
      <c r="A5">
        <v>1</v>
      </c>
      <c r="B5">
        <v>1</v>
      </c>
      <c r="C5" t="str">
        <f>(A5&amp;", "&amp; B5)</f>
        <v>1, 1</v>
      </c>
      <c r="D5" t="str">
        <f>INDEX(raw_menu_profitability!$B:$B, MATCH(C5, raw_menu_profitability!$J:$J, 0))</f>
        <v>Eataly Flatiron</v>
      </c>
      <c r="E5" s="25">
        <f>INDEX(raw_menu_profitability!$F:$F, MATCH(C5, raw_menu_profitability!$J:$J, 0))</f>
        <v>22</v>
      </c>
      <c r="F5" t="str">
        <f>INDEX(raw_menu_profitability!$D:$D, MATCH(C5, raw_menu_profitability!$J:$J, 0))</f>
        <v>Spaghetti alla Carbonara</v>
      </c>
      <c r="G5" s="26">
        <f>INDEX(raw_menu_profitability!$G:$G, MATCH(C5, raw_menu_profitability!$J:$J, 0))</f>
        <v>3.9925000000000002</v>
      </c>
      <c r="H5" s="27">
        <f>E5-G5</f>
        <v>18.0075</v>
      </c>
      <c r="I5" s="28">
        <f>H5/E5</f>
        <v>0.81852272727272724</v>
      </c>
      <c r="J5">
        <f>IF(I5&lt;$H$1, 1, 0)</f>
        <v>0</v>
      </c>
      <c r="L5" s="53" t="s">
        <v>174</v>
      </c>
    </row>
    <row r="6" spans="1:15">
      <c r="A6">
        <v>1</v>
      </c>
      <c r="B6">
        <v>2</v>
      </c>
      <c r="C6" t="str">
        <f t="shared" ref="C6:C69" si="0">(A6&amp;", "&amp; B6)</f>
        <v>1, 2</v>
      </c>
      <c r="D6" t="str">
        <f>INDEX(raw_menu_profitability!$B:$B, MATCH(C6, raw_menu_profitability!$J:$J, 0))</f>
        <v>Eataly Flatiron</v>
      </c>
      <c r="E6" s="25">
        <f>INDEX(raw_menu_profitability!$F:$F, MATCH(C6, raw_menu_profitability!$J:$J, 0))</f>
        <v>24</v>
      </c>
      <c r="F6" t="str">
        <f>INDEX(raw_menu_profitability!$D:$D, MATCH(C6, raw_menu_profitability!$J:$J, 0))</f>
        <v>Margherita Pizza</v>
      </c>
      <c r="G6" s="26">
        <f>INDEX(raw_menu_profitability!$G:$G, MATCH(C6, raw_menu_profitability!$J:$J, 0))</f>
        <v>6.7649999999999997</v>
      </c>
      <c r="H6" s="27">
        <f>E6-G6</f>
        <v>17.234999999999999</v>
      </c>
      <c r="I6" s="28">
        <f>H6/E6</f>
        <v>0.71812500000000001</v>
      </c>
      <c r="J6">
        <f>IF(I6&lt;$H$1, 1, 0)</f>
        <v>0</v>
      </c>
      <c r="L6" s="53" t="s">
        <v>175</v>
      </c>
    </row>
    <row r="7" spans="1:15">
      <c r="A7">
        <v>1</v>
      </c>
      <c r="B7">
        <v>3</v>
      </c>
      <c r="C7" t="str">
        <f t="shared" si="0"/>
        <v>1, 3</v>
      </c>
      <c r="D7" t="str">
        <f>INDEX(raw_menu_profitability!$B:$B, MATCH(C7, raw_menu_profitability!$J:$J, 0))</f>
        <v>Eataly Flatiron</v>
      </c>
      <c r="E7" s="25">
        <f>INDEX(raw_menu_profitability!$F:$F, MATCH(C7, raw_menu_profitability!$J:$J, 0))</f>
        <v>25.5</v>
      </c>
      <c r="F7" t="str">
        <f>INDEX(raw_menu_profitability!$D:$D, MATCH(C7, raw_menu_profitability!$J:$J, 0))</f>
        <v>Risotto alla Milanese</v>
      </c>
      <c r="G7" s="26">
        <f>INDEX(raw_menu_profitability!$G:$G, MATCH(C7, raw_menu_profitability!$J:$J, 0))</f>
        <v>3.66</v>
      </c>
      <c r="H7" s="27">
        <f>E7-G7</f>
        <v>21.84</v>
      </c>
      <c r="I7" s="28">
        <f>H7/E7</f>
        <v>0.85647058823529409</v>
      </c>
      <c r="J7">
        <f>IF(I7&lt;$H$1, 1, 0)</f>
        <v>0</v>
      </c>
      <c r="L7" s="53" t="s">
        <v>176</v>
      </c>
    </row>
    <row r="8" spans="1:15">
      <c r="A8">
        <v>1</v>
      </c>
      <c r="B8">
        <v>4</v>
      </c>
      <c r="C8" t="str">
        <f t="shared" si="0"/>
        <v>1, 4</v>
      </c>
      <c r="D8" t="str">
        <f>INDEX(raw_menu_profitability!$B:$B, MATCH(C8, raw_menu_profitability!$J:$J, 0))</f>
        <v>Eataly Flatiron</v>
      </c>
      <c r="E8" s="25">
        <f>INDEX(raw_menu_profitability!$F:$F, MATCH(C8, raw_menu_profitability!$J:$J, 0))</f>
        <v>21</v>
      </c>
      <c r="F8" t="str">
        <f>INDEX(raw_menu_profitability!$D:$D, MATCH(C8, raw_menu_profitability!$J:$J, 0))</f>
        <v>Caprese Salad</v>
      </c>
      <c r="G8" s="26">
        <f>INDEX(raw_menu_profitability!$G:$G, MATCH(C8, raw_menu_profitability!$J:$J, 0))</f>
        <v>6.99</v>
      </c>
      <c r="H8" s="27">
        <f>E8-G8</f>
        <v>14.01</v>
      </c>
      <c r="I8" s="28">
        <f>H8/E8</f>
        <v>0.66714285714285715</v>
      </c>
      <c r="J8">
        <f>IF(I8&lt;$H$1, 1, 0)</f>
        <v>0</v>
      </c>
    </row>
    <row r="9" spans="1:15">
      <c r="A9">
        <v>1</v>
      </c>
      <c r="B9">
        <v>5</v>
      </c>
      <c r="C9" t="str">
        <f t="shared" si="0"/>
        <v>1, 5</v>
      </c>
      <c r="D9" t="str">
        <f>INDEX(raw_menu_profitability!$B:$B, MATCH(C9, raw_menu_profitability!$J:$J, 0))</f>
        <v>Eataly Flatiron</v>
      </c>
      <c r="E9" s="25">
        <f>INDEX(raw_menu_profitability!$F:$F, MATCH(C9, raw_menu_profitability!$J:$J, 0))</f>
        <v>21</v>
      </c>
      <c r="F9" t="str">
        <f>INDEX(raw_menu_profitability!$D:$D, MATCH(C9, raw_menu_profitability!$J:$J, 0))</f>
        <v>Prosciutto e Melone</v>
      </c>
      <c r="G9" s="26">
        <f>INDEX(raw_menu_profitability!$G:$G, MATCH(C9, raw_menu_profitability!$J:$J, 0))</f>
        <v>6.95</v>
      </c>
      <c r="H9" s="27">
        <f>E9-G9</f>
        <v>14.05</v>
      </c>
      <c r="I9" s="28">
        <f>H9/E9</f>
        <v>0.66904761904761911</v>
      </c>
      <c r="J9">
        <f>IF(I9&lt;$H$1, 1, 0)</f>
        <v>0</v>
      </c>
      <c r="L9" s="107" t="s">
        <v>29</v>
      </c>
      <c r="M9" s="10" t="s">
        <v>266</v>
      </c>
      <c r="N9" s="10" t="s">
        <v>267</v>
      </c>
      <c r="O9" s="10" t="s">
        <v>268</v>
      </c>
    </row>
    <row r="10" spans="1:15">
      <c r="A10">
        <v>1</v>
      </c>
      <c r="B10">
        <v>6</v>
      </c>
      <c r="C10" t="str">
        <f t="shared" si="0"/>
        <v>1, 6</v>
      </c>
      <c r="D10" t="str">
        <f>INDEX(raw_menu_profitability!$B:$B, MATCH(C10, raw_menu_profitability!$J:$J, 0))</f>
        <v>Eataly Flatiron</v>
      </c>
      <c r="E10" s="25">
        <f>INDEX(raw_menu_profitability!$F:$F, MATCH(C10, raw_menu_profitability!$J:$J, 0))</f>
        <v>23</v>
      </c>
      <c r="F10" t="str">
        <f>INDEX(raw_menu_profitability!$D:$D, MATCH(C10, raw_menu_profitability!$J:$J, 0))</f>
        <v>Bucatini all'Amatriciana</v>
      </c>
      <c r="G10" s="26">
        <f>INDEX(raw_menu_profitability!$G:$G, MATCH(C10, raw_menu_profitability!$J:$J, 0))</f>
        <v>4.7575000000000003</v>
      </c>
      <c r="H10" s="27">
        <f>E10-G10</f>
        <v>18.2425</v>
      </c>
      <c r="I10" s="28">
        <f>H10/E10</f>
        <v>0.79315217391304349</v>
      </c>
      <c r="J10">
        <f>IF(I10&lt;$H$1, 1, 0)</f>
        <v>0</v>
      </c>
      <c r="L10" s="16" t="str" cm="1">
        <f t="array" ref="L10:L17">Lists!$A$2:$A$9</f>
        <v>Eataly Flatiron</v>
      </c>
      <c r="M10">
        <f>COUNTIF($D:$D,L10)</f>
        <v>17</v>
      </c>
      <c r="N10">
        <f>SUMIFS($J$5:$J$135, $D$5:$D$135, "="&amp; L10)</f>
        <v>1</v>
      </c>
      <c r="O10" s="28">
        <f>N10/M10</f>
        <v>5.8823529411764705E-2</v>
      </c>
    </row>
    <row r="11" spans="1:15">
      <c r="A11">
        <v>1</v>
      </c>
      <c r="B11">
        <v>7</v>
      </c>
      <c r="C11" t="str">
        <f t="shared" si="0"/>
        <v>1, 7</v>
      </c>
      <c r="D11" t="str">
        <f>INDEX(raw_menu_profitability!$B:$B, MATCH(C11, raw_menu_profitability!$J:$J, 0))</f>
        <v>Eataly Flatiron</v>
      </c>
      <c r="E11" s="25">
        <f>INDEX(raw_menu_profitability!$F:$F, MATCH(C11, raw_menu_profitability!$J:$J, 0))</f>
        <v>10.5</v>
      </c>
      <c r="F11" t="str">
        <f>INDEX(raw_menu_profitability!$D:$D, MATCH(C11, raw_menu_profitability!$J:$J, 0))</f>
        <v>Tiramisu</v>
      </c>
      <c r="G11" s="26">
        <f>INDEX(raw_menu_profitability!$G:$G, MATCH(C11, raw_menu_profitability!$J:$J, 0))</f>
        <v>2.895</v>
      </c>
      <c r="H11" s="27">
        <f>E11-G11</f>
        <v>7.6050000000000004</v>
      </c>
      <c r="I11" s="28">
        <f>H11/E11</f>
        <v>0.72428571428571431</v>
      </c>
      <c r="J11">
        <f>IF(I11&lt;$H$1, 1, 0)</f>
        <v>0</v>
      </c>
      <c r="L11" t="str">
        <v>Eataly Downtown NYC</v>
      </c>
      <c r="M11">
        <f t="shared" ref="M11:M17" si="1">COUNTIF($D:$D,L11)</f>
        <v>15</v>
      </c>
      <c r="N11">
        <f t="shared" ref="N11:N17" si="2">SUMIFS($J$5:$J$135, $D$5:$D$135, "="&amp; L11)</f>
        <v>0</v>
      </c>
      <c r="O11" s="28">
        <f t="shared" ref="O11:O17" si="3">N11/M11</f>
        <v>0</v>
      </c>
    </row>
    <row r="12" spans="1:15">
      <c r="A12">
        <v>1</v>
      </c>
      <c r="B12">
        <v>8</v>
      </c>
      <c r="C12" t="str">
        <f t="shared" si="0"/>
        <v>1, 8</v>
      </c>
      <c r="D12" t="str">
        <f>INDEX(raw_menu_profitability!$B:$B, MATCH(C12, raw_menu_profitability!$J:$J, 0))</f>
        <v>Eataly Flatiron</v>
      </c>
      <c r="E12" s="25">
        <f>INDEX(raw_menu_profitability!$F:$F, MATCH(C12, raw_menu_profitability!$J:$J, 0))</f>
        <v>12.5</v>
      </c>
      <c r="F12" t="str">
        <f>INDEX(raw_menu_profitability!$D:$D, MATCH(C12, raw_menu_profitability!$J:$J, 0))</f>
        <v>Focaccia Genovese</v>
      </c>
      <c r="G12" s="26">
        <f>INDEX(raw_menu_profitability!$G:$G, MATCH(C12, raw_menu_profitability!$J:$J, 0))</f>
        <v>0.68166700000000002</v>
      </c>
      <c r="H12" s="27">
        <f>E12-G12</f>
        <v>11.818332999999999</v>
      </c>
      <c r="I12" s="28">
        <f>H12/E12</f>
        <v>0.94546663999999991</v>
      </c>
      <c r="J12">
        <f>IF(I12&lt;$H$1, 1, 0)</f>
        <v>0</v>
      </c>
      <c r="L12" t="str">
        <v>Eataly Boston</v>
      </c>
      <c r="M12">
        <f t="shared" si="1"/>
        <v>14</v>
      </c>
      <c r="N12">
        <f t="shared" si="2"/>
        <v>1</v>
      </c>
      <c r="O12" s="28">
        <f t="shared" si="3"/>
        <v>7.1428571428571425E-2</v>
      </c>
    </row>
    <row r="13" spans="1:15">
      <c r="A13">
        <v>1</v>
      </c>
      <c r="B13">
        <v>9</v>
      </c>
      <c r="C13" t="str">
        <f t="shared" si="0"/>
        <v>1, 9</v>
      </c>
      <c r="D13" t="str">
        <f>INDEX(raw_menu_profitability!$B:$B, MATCH(C13, raw_menu_profitability!$J:$J, 0))</f>
        <v>Eataly Flatiron</v>
      </c>
      <c r="E13" s="25">
        <f>INDEX(raw_menu_profitability!$F:$F, MATCH(C13, raw_menu_profitability!$J:$J, 0))</f>
        <v>49.5</v>
      </c>
      <c r="F13" t="str">
        <f>INDEX(raw_menu_profitability!$D:$D, MATCH(C13, raw_menu_profitability!$J:$J, 0))</f>
        <v>Osso Buco</v>
      </c>
      <c r="G13" s="26">
        <f>INDEX(raw_menu_profitability!$G:$G, MATCH(C13, raw_menu_profitability!$J:$J, 0))</f>
        <v>18.25</v>
      </c>
      <c r="H13" s="27">
        <f>E13-G13</f>
        <v>31.25</v>
      </c>
      <c r="I13" s="28">
        <f>H13/E13</f>
        <v>0.63131313131313127</v>
      </c>
      <c r="J13">
        <f>IF(I13&lt;$H$1, 1, 0)</f>
        <v>1</v>
      </c>
      <c r="L13" t="str">
        <v>Eataly Chicago</v>
      </c>
      <c r="M13">
        <f t="shared" si="1"/>
        <v>16</v>
      </c>
      <c r="N13">
        <f t="shared" si="2"/>
        <v>1</v>
      </c>
      <c r="O13" s="28">
        <f t="shared" si="3"/>
        <v>6.25E-2</v>
      </c>
    </row>
    <row r="14" spans="1:15">
      <c r="A14">
        <v>1</v>
      </c>
      <c r="B14">
        <v>11</v>
      </c>
      <c r="C14" t="str">
        <f t="shared" si="0"/>
        <v>1, 11</v>
      </c>
      <c r="D14" t="str">
        <f>INDEX(raw_menu_profitability!$B:$B, MATCH(C14, raw_menu_profitability!$J:$J, 0))</f>
        <v>Eataly Flatiron</v>
      </c>
      <c r="E14" s="25">
        <f>INDEX(raw_menu_profitability!$F:$F, MATCH(C14, raw_menu_profitability!$J:$J, 0))</f>
        <v>21</v>
      </c>
      <c r="F14" t="str">
        <f>INDEX(raw_menu_profitability!$D:$D, MATCH(C14, raw_menu_profitability!$J:$J, 0))</f>
        <v>Cacio e Pepe</v>
      </c>
      <c r="G14" s="26">
        <f>INDEX(raw_menu_profitability!$G:$G, MATCH(C14, raw_menu_profitability!$J:$J, 0))</f>
        <v>1.9750000000000001</v>
      </c>
      <c r="H14" s="27">
        <f>E14-G14</f>
        <v>19.024999999999999</v>
      </c>
      <c r="I14" s="28">
        <f>H14/E14</f>
        <v>0.90595238095238084</v>
      </c>
      <c r="J14">
        <f>IF(I14&lt;$H$1, 1, 0)</f>
        <v>0</v>
      </c>
      <c r="L14" t="str">
        <v>Eataly Los Angeles</v>
      </c>
      <c r="M14">
        <f t="shared" si="1"/>
        <v>15</v>
      </c>
      <c r="N14">
        <f t="shared" si="2"/>
        <v>1</v>
      </c>
      <c r="O14" s="28">
        <f t="shared" si="3"/>
        <v>6.6666666666666666E-2</v>
      </c>
    </row>
    <row r="15" spans="1:15">
      <c r="A15">
        <v>1</v>
      </c>
      <c r="B15">
        <v>12</v>
      </c>
      <c r="C15" t="str">
        <f t="shared" si="0"/>
        <v>1, 12</v>
      </c>
      <c r="D15" t="str">
        <f>INDEX(raw_menu_profitability!$B:$B, MATCH(C15, raw_menu_profitability!$J:$J, 0))</f>
        <v>Eataly Flatiron</v>
      </c>
      <c r="E15" s="25">
        <f>INDEX(raw_menu_profitability!$F:$F, MATCH(C15, raw_menu_profitability!$J:$J, 0))</f>
        <v>22</v>
      </c>
      <c r="F15" t="str">
        <f>INDEX(raw_menu_profitability!$D:$D, MATCH(C15, raw_menu_profitability!$J:$J, 0))</f>
        <v>Pesto alla Genovese</v>
      </c>
      <c r="G15" s="26">
        <f>INDEX(raw_menu_profitability!$G:$G, MATCH(C15, raw_menu_profitability!$J:$J, 0))</f>
        <v>2.5825</v>
      </c>
      <c r="H15" s="27">
        <f>E15-G15</f>
        <v>19.4175</v>
      </c>
      <c r="I15" s="28">
        <f>H15/E15</f>
        <v>0.88261363636363643</v>
      </c>
      <c r="J15">
        <f>IF(I15&lt;$H$1, 1, 0)</f>
        <v>0</v>
      </c>
      <c r="L15" t="str">
        <v>Eataly Las Vegas</v>
      </c>
      <c r="M15">
        <f t="shared" si="1"/>
        <v>18</v>
      </c>
      <c r="N15">
        <f t="shared" si="2"/>
        <v>2</v>
      </c>
      <c r="O15" s="28">
        <f t="shared" si="3"/>
        <v>0.1111111111111111</v>
      </c>
    </row>
    <row r="16" spans="1:15">
      <c r="A16">
        <v>1</v>
      </c>
      <c r="B16">
        <v>13</v>
      </c>
      <c r="C16" t="str">
        <f t="shared" si="0"/>
        <v>1, 13</v>
      </c>
      <c r="D16" t="str">
        <f>INDEX(raw_menu_profitability!$B:$B, MATCH(C16, raw_menu_profitability!$J:$J, 0))</f>
        <v>Eataly Flatiron</v>
      </c>
      <c r="E16" s="25">
        <f>INDEX(raw_menu_profitability!$F:$F, MATCH(C16, raw_menu_profitability!$J:$J, 0))</f>
        <v>23</v>
      </c>
      <c r="F16" t="str">
        <f>INDEX(raw_menu_profitability!$D:$D, MATCH(C16, raw_menu_profitability!$J:$J, 0))</f>
        <v>Quattro Formaggi Pizza</v>
      </c>
      <c r="G16" s="26">
        <f>INDEX(raw_menu_profitability!$G:$G, MATCH(C16, raw_menu_profitability!$J:$J, 0))</f>
        <v>6.8650000000000002</v>
      </c>
      <c r="H16" s="27">
        <f>E16-G16</f>
        <v>16.134999999999998</v>
      </c>
      <c r="I16" s="28">
        <f>H16/E16</f>
        <v>0.7015217391304347</v>
      </c>
      <c r="J16">
        <f>IF(I16&lt;$H$1, 1, 0)</f>
        <v>0</v>
      </c>
      <c r="L16" t="str">
        <v>Eataly Dallas</v>
      </c>
      <c r="M16">
        <f t="shared" si="1"/>
        <v>18</v>
      </c>
      <c r="N16">
        <f t="shared" si="2"/>
        <v>4</v>
      </c>
      <c r="O16" s="28">
        <f t="shared" si="3"/>
        <v>0.22222222222222221</v>
      </c>
    </row>
    <row r="17" spans="1:15">
      <c r="A17">
        <v>1</v>
      </c>
      <c r="B17">
        <v>14</v>
      </c>
      <c r="C17" t="str">
        <f t="shared" si="0"/>
        <v>1, 14</v>
      </c>
      <c r="D17" t="str">
        <f>INDEX(raw_menu_profitability!$B:$B, MATCH(C17, raw_menu_profitability!$J:$J, 0))</f>
        <v>Eataly Flatiron</v>
      </c>
      <c r="E17" s="25">
        <f>INDEX(raw_menu_profitability!$F:$F, MATCH(C17, raw_menu_profitability!$J:$J, 0))</f>
        <v>28</v>
      </c>
      <c r="F17" t="str">
        <f>INDEX(raw_menu_profitability!$D:$D, MATCH(C17, raw_menu_profitability!$J:$J, 0))</f>
        <v>Porchetta</v>
      </c>
      <c r="G17" s="26">
        <f>INDEX(raw_menu_profitability!$G:$G, MATCH(C17, raw_menu_profitability!$J:$J, 0))</f>
        <v>4.0766669999999996</v>
      </c>
      <c r="H17" s="27">
        <f>E17-G17</f>
        <v>23.923333</v>
      </c>
      <c r="I17" s="28">
        <f>H17/E17</f>
        <v>0.85440474999999994</v>
      </c>
      <c r="J17">
        <f>IF(I17&lt;$H$1, 1, 0)</f>
        <v>0</v>
      </c>
      <c r="L17" t="str">
        <v>Eataly San Jose</v>
      </c>
      <c r="M17">
        <f t="shared" si="1"/>
        <v>18</v>
      </c>
      <c r="N17">
        <f t="shared" si="2"/>
        <v>2</v>
      </c>
      <c r="O17" s="28">
        <f t="shared" si="3"/>
        <v>0.1111111111111111</v>
      </c>
    </row>
    <row r="18" spans="1:15">
      <c r="A18">
        <v>1</v>
      </c>
      <c r="B18">
        <v>15</v>
      </c>
      <c r="C18" t="str">
        <f t="shared" si="0"/>
        <v>1, 15</v>
      </c>
      <c r="D18" t="str">
        <f>INDEX(raw_menu_profitability!$B:$B, MATCH(C18, raw_menu_profitability!$J:$J, 0))</f>
        <v>Eataly Flatiron</v>
      </c>
      <c r="E18" s="25">
        <f>INDEX(raw_menu_profitability!$F:$F, MATCH(C18, raw_menu_profitability!$J:$J, 0))</f>
        <v>25</v>
      </c>
      <c r="F18" t="str">
        <f>INDEX(raw_menu_profitability!$D:$D, MATCH(C18, raw_menu_profitability!$J:$J, 0))</f>
        <v>Pollo alla Griglia</v>
      </c>
      <c r="G18" s="26">
        <f>INDEX(raw_menu_profitability!$G:$G, MATCH(C18, raw_menu_profitability!$J:$J, 0))</f>
        <v>2.7149999999999999</v>
      </c>
      <c r="H18" s="27">
        <f>E18-G18</f>
        <v>22.285</v>
      </c>
      <c r="I18" s="28">
        <f>H18/E18</f>
        <v>0.89139999999999997</v>
      </c>
      <c r="J18">
        <f>IF(I18&lt;$H$1, 1, 0)</f>
        <v>0</v>
      </c>
      <c r="L18" t="s">
        <v>191</v>
      </c>
      <c r="M18">
        <f>SUM(M10:M17)</f>
        <v>131</v>
      </c>
      <c r="N18">
        <f>SUM(N10:N17)</f>
        <v>12</v>
      </c>
    </row>
    <row r="19" spans="1:15">
      <c r="A19">
        <v>1</v>
      </c>
      <c r="B19">
        <v>16</v>
      </c>
      <c r="C19" t="str">
        <f t="shared" si="0"/>
        <v>1, 16</v>
      </c>
      <c r="D19" t="str">
        <f>INDEX(raw_menu_profitability!$B:$B, MATCH(C19, raw_menu_profitability!$J:$J, 0))</f>
        <v>Eataly Flatiron</v>
      </c>
      <c r="E19" s="25">
        <f>INDEX(raw_menu_profitability!$F:$F, MATCH(C19, raw_menu_profitability!$J:$J, 0))</f>
        <v>9</v>
      </c>
      <c r="F19" t="str">
        <f>INDEX(raw_menu_profitability!$D:$D, MATCH(C19, raw_menu_profitability!$J:$J, 0))</f>
        <v>Cannoli</v>
      </c>
      <c r="G19" s="26">
        <f>INDEX(raw_menu_profitability!$G:$G, MATCH(C19, raw_menu_profitability!$J:$J, 0))</f>
        <v>1.5608329999999999</v>
      </c>
      <c r="H19" s="27">
        <f>E19-G19</f>
        <v>7.4391670000000003</v>
      </c>
      <c r="I19" s="28">
        <f>H19/E19</f>
        <v>0.82657411111111112</v>
      </c>
      <c r="J19">
        <f>IF(I19&lt;$H$1, 1, 0)</f>
        <v>0</v>
      </c>
    </row>
    <row r="20" spans="1:15">
      <c r="A20">
        <v>1</v>
      </c>
      <c r="B20">
        <v>17</v>
      </c>
      <c r="C20" t="str">
        <f t="shared" si="0"/>
        <v>1, 17</v>
      </c>
      <c r="D20" t="str">
        <f>INDEX(raw_menu_profitability!$B:$B, MATCH(C20, raw_menu_profitability!$J:$J, 0))</f>
        <v>Eataly Flatiron</v>
      </c>
      <c r="E20" s="25">
        <f>INDEX(raw_menu_profitability!$F:$F, MATCH(C20, raw_menu_profitability!$J:$J, 0))</f>
        <v>8</v>
      </c>
      <c r="F20" t="str">
        <f>INDEX(raw_menu_profitability!$D:$D, MATCH(C20, raw_menu_profitability!$J:$J, 0))</f>
        <v>Pistachio Gelato</v>
      </c>
      <c r="G20" s="26">
        <f>INDEX(raw_menu_profitability!$G:$G, MATCH(C20, raw_menu_profitability!$J:$J, 0))</f>
        <v>1.4037500000000001</v>
      </c>
      <c r="H20" s="27">
        <f>E20-G20</f>
        <v>6.5962499999999995</v>
      </c>
      <c r="I20" s="28">
        <f>H20/E20</f>
        <v>0.82453124999999994</v>
      </c>
      <c r="J20">
        <f>IF(I20&lt;$H$1, 1, 0)</f>
        <v>0</v>
      </c>
    </row>
    <row r="21" spans="1:15">
      <c r="A21">
        <v>1</v>
      </c>
      <c r="B21">
        <v>18</v>
      </c>
      <c r="C21" t="str">
        <f t="shared" si="0"/>
        <v>1, 18</v>
      </c>
      <c r="D21" t="str">
        <f>INDEX(raw_menu_profitability!$B:$B, MATCH(C21, raw_menu_profitability!$J:$J, 0))</f>
        <v>Eataly Flatiron</v>
      </c>
      <c r="E21" s="25">
        <f>INDEX(raw_menu_profitability!$F:$F, MATCH(C21, raw_menu_profitability!$J:$J, 0))</f>
        <v>23.5</v>
      </c>
      <c r="F21" t="str">
        <f>INDEX(raw_menu_profitability!$D:$D, MATCH(C21, raw_menu_profitability!$J:$J, 0))</f>
        <v>Insalata di Mare</v>
      </c>
      <c r="G21" s="26">
        <f>INDEX(raw_menu_profitability!$G:$G, MATCH(C21, raw_menu_profitability!$J:$J, 0))</f>
        <v>5.93</v>
      </c>
      <c r="H21" s="27">
        <f>E21-G21</f>
        <v>17.57</v>
      </c>
      <c r="I21" s="28">
        <f>H21/E21</f>
        <v>0.74765957446808506</v>
      </c>
      <c r="J21">
        <f>IF(I21&lt;$H$1, 1, 0)</f>
        <v>0</v>
      </c>
    </row>
    <row r="22" spans="1:15">
      <c r="A22">
        <v>2</v>
      </c>
      <c r="B22">
        <v>1</v>
      </c>
      <c r="C22" t="str">
        <f t="shared" si="0"/>
        <v>2, 1</v>
      </c>
      <c r="D22" t="str">
        <f>INDEX(raw_menu_profitability!$B:$B, MATCH(C22, raw_menu_profitability!$J:$J, 0))</f>
        <v>Eataly Downtown NYC</v>
      </c>
      <c r="E22" s="25">
        <f>INDEX(raw_menu_profitability!$F:$F, MATCH(C22, raw_menu_profitability!$J:$J, 0))</f>
        <v>22</v>
      </c>
      <c r="F22" t="str">
        <f>INDEX(raw_menu_profitability!$D:$D, MATCH(C22, raw_menu_profitability!$J:$J, 0))</f>
        <v>Spaghetti alla Carbonara</v>
      </c>
      <c r="G22" s="26">
        <f>INDEX(raw_menu_profitability!$G:$G, MATCH(C22, raw_menu_profitability!$J:$J, 0))</f>
        <v>3.96</v>
      </c>
      <c r="H22" s="27">
        <f>E22-G22</f>
        <v>18.04</v>
      </c>
      <c r="I22" s="28">
        <f>H22/E22</f>
        <v>0.82</v>
      </c>
      <c r="J22">
        <f>IF(I22&lt;$H$1, 1, 0)</f>
        <v>0</v>
      </c>
    </row>
    <row r="23" spans="1:15">
      <c r="A23">
        <v>2</v>
      </c>
      <c r="B23">
        <v>2</v>
      </c>
      <c r="C23" t="str">
        <f t="shared" si="0"/>
        <v>2, 2</v>
      </c>
      <c r="D23" t="str">
        <f>INDEX(raw_menu_profitability!$B:$B, MATCH(C23, raw_menu_profitability!$J:$J, 0))</f>
        <v>Eataly Downtown NYC</v>
      </c>
      <c r="E23" s="25">
        <f>INDEX(raw_menu_profitability!$F:$F, MATCH(C23, raw_menu_profitability!$J:$J, 0))</f>
        <v>24</v>
      </c>
      <c r="F23" t="str">
        <f>INDEX(raw_menu_profitability!$D:$D, MATCH(C23, raw_menu_profitability!$J:$J, 0))</f>
        <v>Margherita Pizza</v>
      </c>
      <c r="G23" s="26">
        <f>INDEX(raw_menu_profitability!$G:$G, MATCH(C23, raw_menu_profitability!$J:$J, 0))</f>
        <v>6.6950000000000003</v>
      </c>
      <c r="H23" s="27">
        <f>E23-G23</f>
        <v>17.305</v>
      </c>
      <c r="I23" s="28">
        <f>H23/E23</f>
        <v>0.72104166666666669</v>
      </c>
      <c r="J23">
        <f>IF(I23&lt;$H$1, 1, 0)</f>
        <v>0</v>
      </c>
    </row>
    <row r="24" spans="1:15">
      <c r="A24">
        <v>2</v>
      </c>
      <c r="B24">
        <v>3</v>
      </c>
      <c r="C24" t="str">
        <f t="shared" si="0"/>
        <v>2, 3</v>
      </c>
      <c r="D24" t="str">
        <f>INDEX(raw_menu_profitability!$B:$B, MATCH(C24, raw_menu_profitability!$J:$J, 0))</f>
        <v>Eataly Downtown NYC</v>
      </c>
      <c r="E24" s="25">
        <f>INDEX(raw_menu_profitability!$F:$F, MATCH(C24, raw_menu_profitability!$J:$J, 0))</f>
        <v>25.5</v>
      </c>
      <c r="F24" t="str">
        <f>INDEX(raw_menu_profitability!$D:$D, MATCH(C24, raw_menu_profitability!$J:$J, 0))</f>
        <v>Risotto alla Milanese</v>
      </c>
      <c r="G24" s="26">
        <f>INDEX(raw_menu_profitability!$G:$G, MATCH(C24, raw_menu_profitability!$J:$J, 0))</f>
        <v>3.7124999999999999</v>
      </c>
      <c r="H24" s="27">
        <f>E24-G24</f>
        <v>21.787500000000001</v>
      </c>
      <c r="I24" s="28">
        <f>H24/E24</f>
        <v>0.85441176470588243</v>
      </c>
      <c r="J24">
        <f>IF(I24&lt;$H$1, 1, 0)</f>
        <v>0</v>
      </c>
    </row>
    <row r="25" spans="1:15">
      <c r="A25">
        <v>2</v>
      </c>
      <c r="B25">
        <v>4</v>
      </c>
      <c r="C25" t="str">
        <f t="shared" si="0"/>
        <v>2, 4</v>
      </c>
      <c r="D25" t="str">
        <f>INDEX(raw_menu_profitability!$B:$B, MATCH(C25, raw_menu_profitability!$J:$J, 0))</f>
        <v>Eataly Downtown NYC</v>
      </c>
      <c r="E25" s="25">
        <f>INDEX(raw_menu_profitability!$F:$F, MATCH(C25, raw_menu_profitability!$J:$J, 0))</f>
        <v>21</v>
      </c>
      <c r="F25" t="str">
        <f>INDEX(raw_menu_profitability!$D:$D, MATCH(C25, raw_menu_profitability!$J:$J, 0))</f>
        <v>Caprese Salad</v>
      </c>
      <c r="G25" s="26">
        <f>INDEX(raw_menu_profitability!$G:$G, MATCH(C25, raw_menu_profitability!$J:$J, 0))</f>
        <v>6.89</v>
      </c>
      <c r="H25" s="27">
        <f>E25-G25</f>
        <v>14.11</v>
      </c>
      <c r="I25" s="28">
        <f>H25/E25</f>
        <v>0.67190476190476189</v>
      </c>
      <c r="J25">
        <f>IF(I25&lt;$H$1, 1, 0)</f>
        <v>0</v>
      </c>
    </row>
    <row r="26" spans="1:15">
      <c r="A26">
        <v>2</v>
      </c>
      <c r="B26">
        <v>6</v>
      </c>
      <c r="C26" t="str">
        <f t="shared" si="0"/>
        <v>2, 6</v>
      </c>
      <c r="D26" t="str">
        <f>INDEX(raw_menu_profitability!$B:$B, MATCH(C26, raw_menu_profitability!$J:$J, 0))</f>
        <v>Eataly Downtown NYC</v>
      </c>
      <c r="E26" s="25">
        <f>INDEX(raw_menu_profitability!$F:$F, MATCH(C26, raw_menu_profitability!$J:$J, 0))</f>
        <v>23</v>
      </c>
      <c r="F26" t="str">
        <f>INDEX(raw_menu_profitability!$D:$D, MATCH(C26, raw_menu_profitability!$J:$J, 0))</f>
        <v>Bucatini all'Amatriciana</v>
      </c>
      <c r="G26" s="26">
        <f>INDEX(raw_menu_profitability!$G:$G, MATCH(C26, raw_menu_profitability!$J:$J, 0))</f>
        <v>4.67</v>
      </c>
      <c r="H26" s="27">
        <f>E26-G26</f>
        <v>18.329999999999998</v>
      </c>
      <c r="I26" s="28">
        <f>H26/E26</f>
        <v>0.79695652173913034</v>
      </c>
      <c r="J26">
        <f>IF(I26&lt;$H$1, 1, 0)</f>
        <v>0</v>
      </c>
    </row>
    <row r="27" spans="1:15">
      <c r="A27">
        <v>2</v>
      </c>
      <c r="B27">
        <v>8</v>
      </c>
      <c r="C27" t="str">
        <f t="shared" si="0"/>
        <v>2, 8</v>
      </c>
      <c r="D27" t="str">
        <f>INDEX(raw_menu_profitability!$B:$B, MATCH(C27, raw_menu_profitability!$J:$J, 0))</f>
        <v>Eataly Downtown NYC</v>
      </c>
      <c r="E27" s="25">
        <f>INDEX(raw_menu_profitability!$F:$F, MATCH(C27, raw_menu_profitability!$J:$J, 0))</f>
        <v>12.5</v>
      </c>
      <c r="F27" t="str">
        <f>INDEX(raw_menu_profitability!$D:$D, MATCH(C27, raw_menu_profitability!$J:$J, 0))</f>
        <v>Focaccia Genovese</v>
      </c>
      <c r="G27" s="26">
        <f>INDEX(raw_menu_profitability!$G:$G, MATCH(C27, raw_menu_profitability!$J:$J, 0))</f>
        <v>0.66166700000000001</v>
      </c>
      <c r="H27" s="27">
        <f>E27-G27</f>
        <v>11.838333</v>
      </c>
      <c r="I27" s="28">
        <f>H27/E27</f>
        <v>0.94706664000000007</v>
      </c>
      <c r="J27">
        <f>IF(I27&lt;$H$1, 1, 0)</f>
        <v>0</v>
      </c>
    </row>
    <row r="28" spans="1:15">
      <c r="A28">
        <v>2</v>
      </c>
      <c r="B28">
        <v>10</v>
      </c>
      <c r="C28" t="str">
        <f t="shared" si="0"/>
        <v>2, 10</v>
      </c>
      <c r="D28" t="str">
        <f>INDEX(raw_menu_profitability!$B:$B, MATCH(C28, raw_menu_profitability!$J:$J, 0))</f>
        <v>Eataly Downtown NYC</v>
      </c>
      <c r="E28" s="25">
        <f>INDEX(raw_menu_profitability!$F:$F, MATCH(C28, raw_menu_profitability!$J:$J, 0))</f>
        <v>14</v>
      </c>
      <c r="F28" t="str">
        <f>INDEX(raw_menu_profitability!$D:$D, MATCH(C28, raw_menu_profitability!$J:$J, 0))</f>
        <v>Panzanella</v>
      </c>
      <c r="G28" s="26">
        <f>INDEX(raw_menu_profitability!$G:$G, MATCH(C28, raw_menu_profitability!$J:$J, 0))</f>
        <v>1.9475</v>
      </c>
      <c r="H28" s="27">
        <f>E28-G28</f>
        <v>12.0525</v>
      </c>
      <c r="I28" s="28">
        <f>H28/E28</f>
        <v>0.86089285714285713</v>
      </c>
      <c r="J28">
        <f>IF(I28&lt;$H$1, 1, 0)</f>
        <v>0</v>
      </c>
    </row>
    <row r="29" spans="1:15">
      <c r="A29">
        <v>2</v>
      </c>
      <c r="B29">
        <v>11</v>
      </c>
      <c r="C29" t="str">
        <f t="shared" si="0"/>
        <v>2, 11</v>
      </c>
      <c r="D29" t="str">
        <f>INDEX(raw_menu_profitability!$B:$B, MATCH(C29, raw_menu_profitability!$J:$J, 0))</f>
        <v>Eataly Downtown NYC</v>
      </c>
      <c r="E29" s="25">
        <f>INDEX(raw_menu_profitability!$F:$F, MATCH(C29, raw_menu_profitability!$J:$J, 0))</f>
        <v>21</v>
      </c>
      <c r="F29" t="str">
        <f>INDEX(raw_menu_profitability!$D:$D, MATCH(C29, raw_menu_profitability!$J:$J, 0))</f>
        <v>Cacio e Pepe</v>
      </c>
      <c r="G29" s="26">
        <f>INDEX(raw_menu_profitability!$G:$G, MATCH(C29, raw_menu_profitability!$J:$J, 0))</f>
        <v>1.9724999999999999</v>
      </c>
      <c r="H29" s="27">
        <f>E29-G29</f>
        <v>19.0275</v>
      </c>
      <c r="I29" s="28">
        <f>H29/E29</f>
        <v>0.90607142857142853</v>
      </c>
      <c r="J29">
        <f>IF(I29&lt;$H$1, 1, 0)</f>
        <v>0</v>
      </c>
    </row>
    <row r="30" spans="1:15">
      <c r="A30">
        <v>2</v>
      </c>
      <c r="B30">
        <v>12</v>
      </c>
      <c r="C30" t="str">
        <f t="shared" si="0"/>
        <v>2, 12</v>
      </c>
      <c r="D30" t="str">
        <f>INDEX(raw_menu_profitability!$B:$B, MATCH(C30, raw_menu_profitability!$J:$J, 0))</f>
        <v>Eataly Downtown NYC</v>
      </c>
      <c r="E30" s="25">
        <f>INDEX(raw_menu_profitability!$F:$F, MATCH(C30, raw_menu_profitability!$J:$J, 0))</f>
        <v>22</v>
      </c>
      <c r="F30" t="str">
        <f>INDEX(raw_menu_profitability!$D:$D, MATCH(C30, raw_menu_profitability!$J:$J, 0))</f>
        <v>Pesto alla Genovese</v>
      </c>
      <c r="G30" s="26">
        <f>INDEX(raw_menu_profitability!$G:$G, MATCH(C30, raw_menu_profitability!$J:$J, 0))</f>
        <v>2.5249999999999999</v>
      </c>
      <c r="H30" s="27">
        <f>E30-G30</f>
        <v>19.475000000000001</v>
      </c>
      <c r="I30" s="28">
        <f>H30/E30</f>
        <v>0.88522727272727275</v>
      </c>
      <c r="J30">
        <f>IF(I30&lt;$H$1, 1, 0)</f>
        <v>0</v>
      </c>
    </row>
    <row r="31" spans="1:15">
      <c r="A31">
        <v>2</v>
      </c>
      <c r="B31">
        <v>13</v>
      </c>
      <c r="C31" t="str">
        <f t="shared" si="0"/>
        <v>2, 13</v>
      </c>
      <c r="D31" t="str">
        <f>INDEX(raw_menu_profitability!$B:$B, MATCH(C31, raw_menu_profitability!$J:$J, 0))</f>
        <v>Eataly Downtown NYC</v>
      </c>
      <c r="E31" s="25">
        <f>INDEX(raw_menu_profitability!$F:$F, MATCH(C31, raw_menu_profitability!$J:$J, 0))</f>
        <v>23</v>
      </c>
      <c r="F31" t="str">
        <f>INDEX(raw_menu_profitability!$D:$D, MATCH(C31, raw_menu_profitability!$J:$J, 0))</f>
        <v>Quattro Formaggi Pizza</v>
      </c>
      <c r="G31" s="26">
        <f>INDEX(raw_menu_profitability!$G:$G, MATCH(C31, raw_menu_profitability!$J:$J, 0))</f>
        <v>6.7949999999999999</v>
      </c>
      <c r="H31" s="27">
        <f>E31-G31</f>
        <v>16.204999999999998</v>
      </c>
      <c r="I31" s="28">
        <f>H31/E31</f>
        <v>0.70456521739130429</v>
      </c>
      <c r="J31">
        <f>IF(I31&lt;$H$1, 1, 0)</f>
        <v>0</v>
      </c>
    </row>
    <row r="32" spans="1:15">
      <c r="A32">
        <v>2</v>
      </c>
      <c r="B32">
        <v>14</v>
      </c>
      <c r="C32" t="str">
        <f t="shared" si="0"/>
        <v>2, 14</v>
      </c>
      <c r="D32" t="str">
        <f>INDEX(raw_menu_profitability!$B:$B, MATCH(C32, raw_menu_profitability!$J:$J, 0))</f>
        <v>Eataly Downtown NYC</v>
      </c>
      <c r="E32" s="25">
        <f>INDEX(raw_menu_profitability!$F:$F, MATCH(C32, raw_menu_profitability!$J:$J, 0))</f>
        <v>28</v>
      </c>
      <c r="F32" t="str">
        <f>INDEX(raw_menu_profitability!$D:$D, MATCH(C32, raw_menu_profitability!$J:$J, 0))</f>
        <v>Porchetta</v>
      </c>
      <c r="G32" s="26">
        <f>INDEX(raw_menu_profitability!$G:$G, MATCH(C32, raw_menu_profitability!$J:$J, 0))</f>
        <v>3.983333</v>
      </c>
      <c r="H32" s="27">
        <f>E32-G32</f>
        <v>24.016666999999998</v>
      </c>
      <c r="I32" s="28">
        <f>H32/E32</f>
        <v>0.85773810714285703</v>
      </c>
      <c r="J32">
        <f>IF(I32&lt;$H$1, 1, 0)</f>
        <v>0</v>
      </c>
    </row>
    <row r="33" spans="1:10">
      <c r="A33">
        <v>2</v>
      </c>
      <c r="B33">
        <v>15</v>
      </c>
      <c r="C33" t="str">
        <f t="shared" si="0"/>
        <v>2, 15</v>
      </c>
      <c r="D33" t="str">
        <f>INDEX(raw_menu_profitability!$B:$B, MATCH(C33, raw_menu_profitability!$J:$J, 0))</f>
        <v>Eataly Downtown NYC</v>
      </c>
      <c r="E33" s="25">
        <f>INDEX(raw_menu_profitability!$F:$F, MATCH(C33, raw_menu_profitability!$J:$J, 0))</f>
        <v>25</v>
      </c>
      <c r="F33" t="str">
        <f>INDEX(raw_menu_profitability!$D:$D, MATCH(C33, raw_menu_profitability!$J:$J, 0))</f>
        <v>Pollo alla Griglia</v>
      </c>
      <c r="G33" s="26">
        <f>INDEX(raw_menu_profitability!$G:$G, MATCH(C33, raw_menu_profitability!$J:$J, 0))</f>
        <v>2.7149999999999999</v>
      </c>
      <c r="H33" s="27">
        <f>E33-G33</f>
        <v>22.285</v>
      </c>
      <c r="I33" s="28">
        <f>H33/E33</f>
        <v>0.89139999999999997</v>
      </c>
      <c r="J33">
        <f>IF(I33&lt;$H$1, 1, 0)</f>
        <v>0</v>
      </c>
    </row>
    <row r="34" spans="1:10">
      <c r="A34">
        <v>2</v>
      </c>
      <c r="B34">
        <v>16</v>
      </c>
      <c r="C34" t="str">
        <f t="shared" si="0"/>
        <v>2, 16</v>
      </c>
      <c r="D34" t="str">
        <f>INDEX(raw_menu_profitability!$B:$B, MATCH(C34, raw_menu_profitability!$J:$J, 0))</f>
        <v>Eataly Downtown NYC</v>
      </c>
      <c r="E34" s="25">
        <f>INDEX(raw_menu_profitability!$F:$F, MATCH(C34, raw_menu_profitability!$J:$J, 0))</f>
        <v>9</v>
      </c>
      <c r="F34" t="str">
        <f>INDEX(raw_menu_profitability!$D:$D, MATCH(C34, raw_menu_profitability!$J:$J, 0))</f>
        <v>Cannoli</v>
      </c>
      <c r="G34" s="26">
        <f>INDEX(raw_menu_profitability!$G:$G, MATCH(C34, raw_menu_profitability!$J:$J, 0))</f>
        <v>1.6541669999999999</v>
      </c>
      <c r="H34" s="27">
        <f>E34-G34</f>
        <v>7.3458329999999998</v>
      </c>
      <c r="I34" s="28">
        <f>H34/E34</f>
        <v>0.81620366666666666</v>
      </c>
      <c r="J34">
        <f>IF(I34&lt;$H$1, 1, 0)</f>
        <v>0</v>
      </c>
    </row>
    <row r="35" spans="1:10">
      <c r="A35">
        <v>2</v>
      </c>
      <c r="B35">
        <v>17</v>
      </c>
      <c r="C35" t="str">
        <f t="shared" si="0"/>
        <v>2, 17</v>
      </c>
      <c r="D35" t="str">
        <f>INDEX(raw_menu_profitability!$B:$B, MATCH(C35, raw_menu_profitability!$J:$J, 0))</f>
        <v>Eataly Downtown NYC</v>
      </c>
      <c r="E35" s="25">
        <f>INDEX(raw_menu_profitability!$F:$F, MATCH(C35, raw_menu_profitability!$J:$J, 0))</f>
        <v>8</v>
      </c>
      <c r="F35" t="str">
        <f>INDEX(raw_menu_profitability!$D:$D, MATCH(C35, raw_menu_profitability!$J:$J, 0))</f>
        <v>Pistachio Gelato</v>
      </c>
      <c r="G35" s="26">
        <f>INDEX(raw_menu_profitability!$G:$G, MATCH(C35, raw_menu_profitability!$J:$J, 0))</f>
        <v>1.365</v>
      </c>
      <c r="H35" s="27">
        <f>E35-G35</f>
        <v>6.6349999999999998</v>
      </c>
      <c r="I35" s="28">
        <f>H35/E35</f>
        <v>0.82937499999999997</v>
      </c>
      <c r="J35">
        <f>IF(I35&lt;$H$1, 1, 0)</f>
        <v>0</v>
      </c>
    </row>
    <row r="36" spans="1:10">
      <c r="A36">
        <v>2</v>
      </c>
      <c r="B36">
        <v>18</v>
      </c>
      <c r="C36" t="str">
        <f t="shared" si="0"/>
        <v>2, 18</v>
      </c>
      <c r="D36" t="str">
        <f>INDEX(raw_menu_profitability!$B:$B, MATCH(C36, raw_menu_profitability!$J:$J, 0))</f>
        <v>Eataly Downtown NYC</v>
      </c>
      <c r="E36" s="25">
        <f>INDEX(raw_menu_profitability!$F:$F, MATCH(C36, raw_menu_profitability!$J:$J, 0))</f>
        <v>23.5</v>
      </c>
      <c r="F36" t="str">
        <f>INDEX(raw_menu_profitability!$D:$D, MATCH(C36, raw_menu_profitability!$J:$J, 0))</f>
        <v>Insalata di Mare</v>
      </c>
      <c r="G36" s="26">
        <f>INDEX(raw_menu_profitability!$G:$G, MATCH(C36, raw_menu_profitability!$J:$J, 0))</f>
        <v>5.9</v>
      </c>
      <c r="H36" s="27">
        <f>E36-G36</f>
        <v>17.600000000000001</v>
      </c>
      <c r="I36" s="28">
        <f>H36/E36</f>
        <v>0.74893617021276604</v>
      </c>
      <c r="J36">
        <f>IF(I36&lt;$H$1, 1, 0)</f>
        <v>0</v>
      </c>
    </row>
    <row r="37" spans="1:10">
      <c r="A37">
        <v>3</v>
      </c>
      <c r="B37">
        <v>1</v>
      </c>
      <c r="C37" t="str">
        <f t="shared" si="0"/>
        <v>3, 1</v>
      </c>
      <c r="D37" t="str">
        <f>INDEX(raw_menu_profitability!$B:$B, MATCH(C37, raw_menu_profitability!$J:$J, 0))</f>
        <v>Eataly Boston</v>
      </c>
      <c r="E37" s="25">
        <f>INDEX(raw_menu_profitability!$F:$F, MATCH(C37, raw_menu_profitability!$J:$J, 0))</f>
        <v>21</v>
      </c>
      <c r="F37" t="str">
        <f>INDEX(raw_menu_profitability!$D:$D, MATCH(C37, raw_menu_profitability!$J:$J, 0))</f>
        <v>Spaghetti alla Carbonara</v>
      </c>
      <c r="G37" s="26">
        <f>INDEX(raw_menu_profitability!$G:$G, MATCH(C37, raw_menu_profitability!$J:$J, 0))</f>
        <v>4.0724999999999998</v>
      </c>
      <c r="H37" s="27">
        <f>E37-G37</f>
        <v>16.927500000000002</v>
      </c>
      <c r="I37" s="28">
        <f>H37/E37</f>
        <v>0.80607142857142866</v>
      </c>
      <c r="J37">
        <f>IF(I37&lt;$H$1, 1, 0)</f>
        <v>0</v>
      </c>
    </row>
    <row r="38" spans="1:10">
      <c r="A38">
        <v>3</v>
      </c>
      <c r="B38">
        <v>2</v>
      </c>
      <c r="C38" t="str">
        <f t="shared" si="0"/>
        <v>3, 2</v>
      </c>
      <c r="D38" t="str">
        <f>INDEX(raw_menu_profitability!$B:$B, MATCH(C38, raw_menu_profitability!$J:$J, 0))</f>
        <v>Eataly Boston</v>
      </c>
      <c r="E38" s="25">
        <f>INDEX(raw_menu_profitability!$F:$F, MATCH(C38, raw_menu_profitability!$J:$J, 0))</f>
        <v>23</v>
      </c>
      <c r="F38" t="str">
        <f>INDEX(raw_menu_profitability!$D:$D, MATCH(C38, raw_menu_profitability!$J:$J, 0))</f>
        <v>Margherita Pizza</v>
      </c>
      <c r="G38" s="26">
        <f>INDEX(raw_menu_profitability!$G:$G, MATCH(C38, raw_menu_profitability!$J:$J, 0))</f>
        <v>6.76</v>
      </c>
      <c r="H38" s="27">
        <f>E38-G38</f>
        <v>16.240000000000002</v>
      </c>
      <c r="I38" s="28">
        <f>H38/E38</f>
        <v>0.70608695652173925</v>
      </c>
      <c r="J38">
        <f>IF(I38&lt;$H$1, 1, 0)</f>
        <v>0</v>
      </c>
    </row>
    <row r="39" spans="1:10">
      <c r="A39">
        <v>3</v>
      </c>
      <c r="B39">
        <v>4</v>
      </c>
      <c r="C39" t="str">
        <f t="shared" si="0"/>
        <v>3, 4</v>
      </c>
      <c r="D39" t="str">
        <f>INDEX(raw_menu_profitability!$B:$B, MATCH(C39, raw_menu_profitability!$J:$J, 0))</f>
        <v>Eataly Boston</v>
      </c>
      <c r="E39" s="25">
        <f>INDEX(raw_menu_profitability!$F:$F, MATCH(C39, raw_menu_profitability!$J:$J, 0))</f>
        <v>20</v>
      </c>
      <c r="F39" t="str">
        <f>INDEX(raw_menu_profitability!$D:$D, MATCH(C39, raw_menu_profitability!$J:$J, 0))</f>
        <v>Caprese Salad</v>
      </c>
      <c r="G39" s="26">
        <f>INDEX(raw_menu_profitability!$G:$G, MATCH(C39, raw_menu_profitability!$J:$J, 0))</f>
        <v>6.91</v>
      </c>
      <c r="H39" s="27">
        <f>E39-G39</f>
        <v>13.09</v>
      </c>
      <c r="I39" s="28">
        <f>H39/E39</f>
        <v>0.65449999999999997</v>
      </c>
      <c r="J39">
        <f>IF(I39&lt;$H$1, 1, 0)</f>
        <v>0</v>
      </c>
    </row>
    <row r="40" spans="1:10">
      <c r="A40">
        <v>3</v>
      </c>
      <c r="B40">
        <v>6</v>
      </c>
      <c r="C40" t="str">
        <f t="shared" si="0"/>
        <v>3, 6</v>
      </c>
      <c r="D40" t="str">
        <f>INDEX(raw_menu_profitability!$B:$B, MATCH(C40, raw_menu_profitability!$J:$J, 0))</f>
        <v>Eataly Boston</v>
      </c>
      <c r="E40" s="25">
        <f>INDEX(raw_menu_profitability!$F:$F, MATCH(C40, raw_menu_profitability!$J:$J, 0))</f>
        <v>22</v>
      </c>
      <c r="F40" t="str">
        <f>INDEX(raw_menu_profitability!$D:$D, MATCH(C40, raw_menu_profitability!$J:$J, 0))</f>
        <v>Bucatini all'Amatriciana</v>
      </c>
      <c r="G40" s="26">
        <f>INDEX(raw_menu_profitability!$G:$G, MATCH(C40, raw_menu_profitability!$J:$J, 0))</f>
        <v>4.84</v>
      </c>
      <c r="H40" s="27">
        <f>E40-G40</f>
        <v>17.16</v>
      </c>
      <c r="I40" s="28">
        <f>H40/E40</f>
        <v>0.78</v>
      </c>
      <c r="J40">
        <f>IF(I40&lt;$H$1, 1, 0)</f>
        <v>0</v>
      </c>
    </row>
    <row r="41" spans="1:10">
      <c r="A41">
        <v>3</v>
      </c>
      <c r="B41">
        <v>7</v>
      </c>
      <c r="C41" t="str">
        <f t="shared" si="0"/>
        <v>3, 7</v>
      </c>
      <c r="D41" t="str">
        <f>INDEX(raw_menu_profitability!$B:$B, MATCH(C41, raw_menu_profitability!$J:$J, 0))</f>
        <v>Eataly Boston</v>
      </c>
      <c r="E41" s="25">
        <f>INDEX(raw_menu_profitability!$F:$F, MATCH(C41, raw_menu_profitability!$J:$J, 0))</f>
        <v>10</v>
      </c>
      <c r="F41" t="str">
        <f>INDEX(raw_menu_profitability!$D:$D, MATCH(C41, raw_menu_profitability!$J:$J, 0))</f>
        <v>Tiramisu</v>
      </c>
      <c r="G41" s="26">
        <f>INDEX(raw_menu_profitability!$G:$G, MATCH(C41, raw_menu_profitability!$J:$J, 0))</f>
        <v>2.9325000000000001</v>
      </c>
      <c r="H41" s="27">
        <f>E41-G41</f>
        <v>7.0674999999999999</v>
      </c>
      <c r="I41" s="28">
        <f>H41/E41</f>
        <v>0.70674999999999999</v>
      </c>
      <c r="J41">
        <f>IF(I41&lt;$H$1, 1, 0)</f>
        <v>0</v>
      </c>
    </row>
    <row r="42" spans="1:10">
      <c r="A42">
        <v>3</v>
      </c>
      <c r="B42">
        <v>9</v>
      </c>
      <c r="C42" t="str">
        <f t="shared" si="0"/>
        <v>3, 9</v>
      </c>
      <c r="D42" t="str">
        <f>INDEX(raw_menu_profitability!$B:$B, MATCH(C42, raw_menu_profitability!$J:$J, 0))</f>
        <v>Eataly Boston</v>
      </c>
      <c r="E42" s="25">
        <f>INDEX(raw_menu_profitability!$F:$F, MATCH(C42, raw_menu_profitability!$J:$J, 0))</f>
        <v>47.5</v>
      </c>
      <c r="F42" t="str">
        <f>INDEX(raw_menu_profitability!$D:$D, MATCH(C42, raw_menu_profitability!$J:$J, 0))</f>
        <v>Osso Buco</v>
      </c>
      <c r="G42" s="26">
        <f>INDEX(raw_menu_profitability!$G:$G, MATCH(C42, raw_menu_profitability!$J:$J, 0))</f>
        <v>17.899999999999999</v>
      </c>
      <c r="H42" s="27">
        <f>E42-G42</f>
        <v>29.6</v>
      </c>
      <c r="I42" s="28">
        <f>H42/E42</f>
        <v>0.62315789473684213</v>
      </c>
      <c r="J42">
        <f>IF(I42&lt;$H$1, 1, 0)</f>
        <v>1</v>
      </c>
    </row>
    <row r="43" spans="1:10">
      <c r="A43">
        <v>3</v>
      </c>
      <c r="B43">
        <v>11</v>
      </c>
      <c r="C43" t="str">
        <f t="shared" si="0"/>
        <v>3, 11</v>
      </c>
      <c r="D43" t="str">
        <f>INDEX(raw_menu_profitability!$B:$B, MATCH(C43, raw_menu_profitability!$J:$J, 0))</f>
        <v>Eataly Boston</v>
      </c>
      <c r="E43" s="25">
        <f>INDEX(raw_menu_profitability!$F:$F, MATCH(C43, raw_menu_profitability!$J:$J, 0))</f>
        <v>20</v>
      </c>
      <c r="F43" t="str">
        <f>INDEX(raw_menu_profitability!$D:$D, MATCH(C43, raw_menu_profitability!$J:$J, 0))</f>
        <v>Cacio e Pepe</v>
      </c>
      <c r="G43" s="26">
        <f>INDEX(raw_menu_profitability!$G:$G, MATCH(C43, raw_menu_profitability!$J:$J, 0))</f>
        <v>2.0099999999999998</v>
      </c>
      <c r="H43" s="27">
        <f>E43-G43</f>
        <v>17.990000000000002</v>
      </c>
      <c r="I43" s="28">
        <f>H43/E43</f>
        <v>0.89950000000000008</v>
      </c>
      <c r="J43">
        <f>IF(I43&lt;$H$1, 1, 0)</f>
        <v>0</v>
      </c>
    </row>
    <row r="44" spans="1:10">
      <c r="A44">
        <v>3</v>
      </c>
      <c r="B44">
        <v>12</v>
      </c>
      <c r="C44" t="str">
        <f t="shared" si="0"/>
        <v>3, 12</v>
      </c>
      <c r="D44" t="str">
        <f>INDEX(raw_menu_profitability!$B:$B, MATCH(C44, raw_menu_profitability!$J:$J, 0))</f>
        <v>Eataly Boston</v>
      </c>
      <c r="E44" s="25">
        <f>INDEX(raw_menu_profitability!$F:$F, MATCH(C44, raw_menu_profitability!$J:$J, 0))</f>
        <v>21</v>
      </c>
      <c r="F44" t="str">
        <f>INDEX(raw_menu_profitability!$D:$D, MATCH(C44, raw_menu_profitability!$J:$J, 0))</f>
        <v>Pesto alla Genovese</v>
      </c>
      <c r="G44" s="26">
        <f>INDEX(raw_menu_profitability!$G:$G, MATCH(C44, raw_menu_profitability!$J:$J, 0))</f>
        <v>2.5299999999999998</v>
      </c>
      <c r="H44" s="27">
        <f>E44-G44</f>
        <v>18.47</v>
      </c>
      <c r="I44" s="28">
        <f>H44/E44</f>
        <v>0.87952380952380949</v>
      </c>
      <c r="J44">
        <f>IF(I44&lt;$H$1, 1, 0)</f>
        <v>0</v>
      </c>
    </row>
    <row r="45" spans="1:10">
      <c r="A45">
        <v>3</v>
      </c>
      <c r="B45">
        <v>13</v>
      </c>
      <c r="C45" t="str">
        <f t="shared" si="0"/>
        <v>3, 13</v>
      </c>
      <c r="D45" t="str">
        <f>INDEX(raw_menu_profitability!$B:$B, MATCH(C45, raw_menu_profitability!$J:$J, 0))</f>
        <v>Eataly Boston</v>
      </c>
      <c r="E45" s="25">
        <f>INDEX(raw_menu_profitability!$F:$F, MATCH(C45, raw_menu_profitability!$J:$J, 0))</f>
        <v>22</v>
      </c>
      <c r="F45" t="str">
        <f>INDEX(raw_menu_profitability!$D:$D, MATCH(C45, raw_menu_profitability!$J:$J, 0))</f>
        <v>Quattro Formaggi Pizza</v>
      </c>
      <c r="G45" s="26">
        <f>INDEX(raw_menu_profitability!$G:$G, MATCH(C45, raw_menu_profitability!$J:$J, 0))</f>
        <v>6.94</v>
      </c>
      <c r="H45" s="27">
        <f>E45-G45</f>
        <v>15.059999999999999</v>
      </c>
      <c r="I45" s="28">
        <f>H45/E45</f>
        <v>0.68454545454545446</v>
      </c>
      <c r="J45">
        <f>IF(I45&lt;$H$1, 1, 0)</f>
        <v>0</v>
      </c>
    </row>
    <row r="46" spans="1:10">
      <c r="A46">
        <v>3</v>
      </c>
      <c r="B46">
        <v>14</v>
      </c>
      <c r="C46" t="str">
        <f t="shared" si="0"/>
        <v>3, 14</v>
      </c>
      <c r="D46" t="str">
        <f>INDEX(raw_menu_profitability!$B:$B, MATCH(C46, raw_menu_profitability!$J:$J, 0))</f>
        <v>Eataly Boston</v>
      </c>
      <c r="E46" s="25">
        <f>INDEX(raw_menu_profitability!$F:$F, MATCH(C46, raw_menu_profitability!$J:$J, 0))</f>
        <v>27</v>
      </c>
      <c r="F46" t="str">
        <f>INDEX(raw_menu_profitability!$D:$D, MATCH(C46, raw_menu_profitability!$J:$J, 0))</f>
        <v>Porchetta</v>
      </c>
      <c r="G46" s="26">
        <f>INDEX(raw_menu_profitability!$G:$G, MATCH(C46, raw_menu_profitability!$J:$J, 0))</f>
        <v>4.0816670000000004</v>
      </c>
      <c r="H46" s="27">
        <f>E46-G46</f>
        <v>22.918333000000001</v>
      </c>
      <c r="I46" s="28">
        <f>H46/E46</f>
        <v>0.84882714814814819</v>
      </c>
      <c r="J46">
        <f>IF(I46&lt;$H$1, 1, 0)</f>
        <v>0</v>
      </c>
    </row>
    <row r="47" spans="1:10">
      <c r="A47">
        <v>3</v>
      </c>
      <c r="B47">
        <v>15</v>
      </c>
      <c r="C47" t="str">
        <f t="shared" si="0"/>
        <v>3, 15</v>
      </c>
      <c r="D47" t="str">
        <f>INDEX(raw_menu_profitability!$B:$B, MATCH(C47, raw_menu_profitability!$J:$J, 0))</f>
        <v>Eataly Boston</v>
      </c>
      <c r="E47" s="25">
        <f>INDEX(raw_menu_profitability!$F:$F, MATCH(C47, raw_menu_profitability!$J:$J, 0))</f>
        <v>23.5</v>
      </c>
      <c r="F47" t="str">
        <f>INDEX(raw_menu_profitability!$D:$D, MATCH(C47, raw_menu_profitability!$J:$J, 0))</f>
        <v>Pollo alla Griglia</v>
      </c>
      <c r="G47" s="26">
        <f>INDEX(raw_menu_profitability!$G:$G, MATCH(C47, raw_menu_profitability!$J:$J, 0))</f>
        <v>2.7050000000000001</v>
      </c>
      <c r="H47" s="27">
        <f>E47-G47</f>
        <v>20.795000000000002</v>
      </c>
      <c r="I47" s="28">
        <f>H47/E47</f>
        <v>0.88489361702127667</v>
      </c>
      <c r="J47">
        <f>IF(I47&lt;$H$1, 1, 0)</f>
        <v>0</v>
      </c>
    </row>
    <row r="48" spans="1:10">
      <c r="A48">
        <v>3</v>
      </c>
      <c r="B48">
        <v>16</v>
      </c>
      <c r="C48" t="str">
        <f t="shared" si="0"/>
        <v>3, 16</v>
      </c>
      <c r="D48" t="str">
        <f>INDEX(raw_menu_profitability!$B:$B, MATCH(C48, raw_menu_profitability!$J:$J, 0))</f>
        <v>Eataly Boston</v>
      </c>
      <c r="E48" s="25">
        <f>INDEX(raw_menu_profitability!$F:$F, MATCH(C48, raw_menu_profitability!$J:$J, 0))</f>
        <v>8.5</v>
      </c>
      <c r="F48" t="str">
        <f>INDEX(raw_menu_profitability!$D:$D, MATCH(C48, raw_menu_profitability!$J:$J, 0))</f>
        <v>Cannoli</v>
      </c>
      <c r="G48" s="26">
        <f>INDEX(raw_menu_profitability!$G:$G, MATCH(C48, raw_menu_profitability!$J:$J, 0))</f>
        <v>1.5649999999999999</v>
      </c>
      <c r="H48" s="27">
        <f>E48-G48</f>
        <v>6.9350000000000005</v>
      </c>
      <c r="I48" s="28">
        <f>H48/E48</f>
        <v>0.8158823529411765</v>
      </c>
      <c r="J48">
        <f>IF(I48&lt;$H$1, 1, 0)</f>
        <v>0</v>
      </c>
    </row>
    <row r="49" spans="1:10">
      <c r="A49">
        <v>3</v>
      </c>
      <c r="B49">
        <v>17</v>
      </c>
      <c r="C49" t="str">
        <f t="shared" si="0"/>
        <v>3, 17</v>
      </c>
      <c r="D49" t="str">
        <f>INDEX(raw_menu_profitability!$B:$B, MATCH(C49, raw_menu_profitability!$J:$J, 0))</f>
        <v>Eataly Boston</v>
      </c>
      <c r="E49" s="25">
        <f>INDEX(raw_menu_profitability!$F:$F, MATCH(C49, raw_menu_profitability!$J:$J, 0))</f>
        <v>7.5</v>
      </c>
      <c r="F49" t="str">
        <f>INDEX(raw_menu_profitability!$D:$D, MATCH(C49, raw_menu_profitability!$J:$J, 0))</f>
        <v>Pistachio Gelato</v>
      </c>
      <c r="G49" s="26">
        <f>INDEX(raw_menu_profitability!$G:$G, MATCH(C49, raw_menu_profitability!$J:$J, 0))</f>
        <v>1.4087499999999999</v>
      </c>
      <c r="H49" s="27">
        <f>E49-G49</f>
        <v>6.0912500000000005</v>
      </c>
      <c r="I49" s="28">
        <f>H49/E49</f>
        <v>0.8121666666666667</v>
      </c>
      <c r="J49">
        <f>IF(I49&lt;$H$1, 1, 0)</f>
        <v>0</v>
      </c>
    </row>
    <row r="50" spans="1:10">
      <c r="A50">
        <v>3</v>
      </c>
      <c r="B50">
        <v>18</v>
      </c>
      <c r="C50" t="str">
        <f t="shared" si="0"/>
        <v>3, 18</v>
      </c>
      <c r="D50" t="str">
        <f>INDEX(raw_menu_profitability!$B:$B, MATCH(C50, raw_menu_profitability!$J:$J, 0))</f>
        <v>Eataly Boston</v>
      </c>
      <c r="E50" s="25">
        <f>INDEX(raw_menu_profitability!$F:$F, MATCH(C50, raw_menu_profitability!$J:$J, 0))</f>
        <v>23</v>
      </c>
      <c r="F50" t="str">
        <f>INDEX(raw_menu_profitability!$D:$D, MATCH(C50, raw_menu_profitability!$J:$J, 0))</f>
        <v>Insalata di Mare</v>
      </c>
      <c r="G50" s="26">
        <f>INDEX(raw_menu_profitability!$G:$G, MATCH(C50, raw_menu_profitability!$J:$J, 0))</f>
        <v>5.7050000000000001</v>
      </c>
      <c r="H50" s="27">
        <f>E50-G50</f>
        <v>17.295000000000002</v>
      </c>
      <c r="I50" s="28">
        <f>H50/E50</f>
        <v>0.75195652173913052</v>
      </c>
      <c r="J50">
        <f>IF(I50&lt;$H$1, 1, 0)</f>
        <v>0</v>
      </c>
    </row>
    <row r="51" spans="1:10">
      <c r="A51">
        <v>4</v>
      </c>
      <c r="B51">
        <v>1</v>
      </c>
      <c r="C51" t="str">
        <f t="shared" si="0"/>
        <v>4, 1</v>
      </c>
      <c r="D51" t="str">
        <f>INDEX(raw_menu_profitability!$B:$B, MATCH(C51, raw_menu_profitability!$J:$J, 0))</f>
        <v>Eataly Chicago</v>
      </c>
      <c r="E51" s="25">
        <f>INDEX(raw_menu_profitability!$F:$F, MATCH(C51, raw_menu_profitability!$J:$J, 0))</f>
        <v>21</v>
      </c>
      <c r="F51" t="str">
        <f>INDEX(raw_menu_profitability!$D:$D, MATCH(C51, raw_menu_profitability!$J:$J, 0))</f>
        <v>Spaghetti alla Carbonara</v>
      </c>
      <c r="G51" s="26">
        <f>INDEX(raw_menu_profitability!$G:$G, MATCH(C51, raw_menu_profitability!$J:$J, 0))</f>
        <v>3.7850000000000001</v>
      </c>
      <c r="H51" s="27">
        <f>E51-G51</f>
        <v>17.215</v>
      </c>
      <c r="I51" s="28">
        <f>H51/E51</f>
        <v>0.8197619047619048</v>
      </c>
      <c r="J51">
        <f>IF(I51&lt;$H$1, 1, 0)</f>
        <v>0</v>
      </c>
    </row>
    <row r="52" spans="1:10">
      <c r="A52">
        <v>4</v>
      </c>
      <c r="B52">
        <v>2</v>
      </c>
      <c r="C52" t="str">
        <f t="shared" si="0"/>
        <v>4, 2</v>
      </c>
      <c r="D52" t="str">
        <f>INDEX(raw_menu_profitability!$B:$B, MATCH(C52, raw_menu_profitability!$J:$J, 0))</f>
        <v>Eataly Chicago</v>
      </c>
      <c r="E52" s="25">
        <f>INDEX(raw_menu_profitability!$F:$F, MATCH(C52, raw_menu_profitability!$J:$J, 0))</f>
        <v>23</v>
      </c>
      <c r="F52" t="str">
        <f>INDEX(raw_menu_profitability!$D:$D, MATCH(C52, raw_menu_profitability!$J:$J, 0))</f>
        <v>Margherita Pizza</v>
      </c>
      <c r="G52" s="26">
        <f>INDEX(raw_menu_profitability!$G:$G, MATCH(C52, raw_menu_profitability!$J:$J, 0))</f>
        <v>6.2850000000000001</v>
      </c>
      <c r="H52" s="27">
        <f>E52-G52</f>
        <v>16.715</v>
      </c>
      <c r="I52" s="28">
        <f>H52/E52</f>
        <v>0.72673913043478255</v>
      </c>
      <c r="J52">
        <f>IF(I52&lt;$H$1, 1, 0)</f>
        <v>0</v>
      </c>
    </row>
    <row r="53" spans="1:10">
      <c r="A53">
        <v>4</v>
      </c>
      <c r="B53">
        <v>3</v>
      </c>
      <c r="C53" t="str">
        <f t="shared" si="0"/>
        <v>4, 3</v>
      </c>
      <c r="D53" t="str">
        <f>INDEX(raw_menu_profitability!$B:$B, MATCH(C53, raw_menu_profitability!$J:$J, 0))</f>
        <v>Eataly Chicago</v>
      </c>
      <c r="E53" s="25">
        <f>INDEX(raw_menu_profitability!$F:$F, MATCH(C53, raw_menu_profitability!$J:$J, 0))</f>
        <v>24.5</v>
      </c>
      <c r="F53" t="str">
        <f>INDEX(raw_menu_profitability!$D:$D, MATCH(C53, raw_menu_profitability!$J:$J, 0))</f>
        <v>Risotto alla Milanese</v>
      </c>
      <c r="G53" s="26">
        <f>INDEX(raw_menu_profitability!$G:$G, MATCH(C53, raw_menu_profitability!$J:$J, 0))</f>
        <v>3.16</v>
      </c>
      <c r="H53" s="27">
        <f>E53-G53</f>
        <v>21.34</v>
      </c>
      <c r="I53" s="28">
        <f>H53/E53</f>
        <v>0.87102040816326531</v>
      </c>
      <c r="J53">
        <f>IF(I53&lt;$H$1, 1, 0)</f>
        <v>0</v>
      </c>
    </row>
    <row r="54" spans="1:10">
      <c r="A54">
        <v>4</v>
      </c>
      <c r="B54">
        <v>5</v>
      </c>
      <c r="C54" t="str">
        <f t="shared" si="0"/>
        <v>4, 5</v>
      </c>
      <c r="D54" t="str">
        <f>INDEX(raw_menu_profitability!$B:$B, MATCH(C54, raw_menu_profitability!$J:$J, 0))</f>
        <v>Eataly Chicago</v>
      </c>
      <c r="E54" s="25">
        <f>INDEX(raw_menu_profitability!$F:$F, MATCH(C54, raw_menu_profitability!$J:$J, 0))</f>
        <v>20</v>
      </c>
      <c r="F54" t="str">
        <f>INDEX(raw_menu_profitability!$D:$D, MATCH(C54, raw_menu_profitability!$J:$J, 0))</f>
        <v>Prosciutto e Melone</v>
      </c>
      <c r="G54" s="26">
        <f>INDEX(raw_menu_profitability!$G:$G, MATCH(C54, raw_menu_profitability!$J:$J, 0))</f>
        <v>6.09</v>
      </c>
      <c r="H54" s="27">
        <f>E54-G54</f>
        <v>13.91</v>
      </c>
      <c r="I54" s="28">
        <f>H54/E54</f>
        <v>0.69550000000000001</v>
      </c>
      <c r="J54">
        <f>IF(I54&lt;$H$1, 1, 0)</f>
        <v>0</v>
      </c>
    </row>
    <row r="55" spans="1:10">
      <c r="A55">
        <v>4</v>
      </c>
      <c r="B55">
        <v>6</v>
      </c>
      <c r="C55" t="str">
        <f t="shared" si="0"/>
        <v>4, 6</v>
      </c>
      <c r="D55" t="str">
        <f>INDEX(raw_menu_profitability!$B:$B, MATCH(C55, raw_menu_profitability!$J:$J, 0))</f>
        <v>Eataly Chicago</v>
      </c>
      <c r="E55" s="25">
        <f>INDEX(raw_menu_profitability!$F:$F, MATCH(C55, raw_menu_profitability!$J:$J, 0))</f>
        <v>22</v>
      </c>
      <c r="F55" t="str">
        <f>INDEX(raw_menu_profitability!$D:$D, MATCH(C55, raw_menu_profitability!$J:$J, 0))</f>
        <v>Bucatini all'Amatriciana</v>
      </c>
      <c r="G55" s="26">
        <f>INDEX(raw_menu_profitability!$G:$G, MATCH(C55, raw_menu_profitability!$J:$J, 0))</f>
        <v>4.7474999999999996</v>
      </c>
      <c r="H55" s="27">
        <f>E55-G55</f>
        <v>17.252500000000001</v>
      </c>
      <c r="I55" s="28">
        <f>H55/E55</f>
        <v>0.78420454545454554</v>
      </c>
      <c r="J55">
        <f>IF(I55&lt;$H$1, 1, 0)</f>
        <v>0</v>
      </c>
    </row>
    <row r="56" spans="1:10">
      <c r="A56">
        <v>4</v>
      </c>
      <c r="B56">
        <v>8</v>
      </c>
      <c r="C56" t="str">
        <f t="shared" si="0"/>
        <v>4, 8</v>
      </c>
      <c r="D56" t="str">
        <f>INDEX(raw_menu_profitability!$B:$B, MATCH(C56, raw_menu_profitability!$J:$J, 0))</f>
        <v>Eataly Chicago</v>
      </c>
      <c r="E56" s="25">
        <f>INDEX(raw_menu_profitability!$F:$F, MATCH(C56, raw_menu_profitability!$J:$J, 0))</f>
        <v>11.5</v>
      </c>
      <c r="F56" t="str">
        <f>INDEX(raw_menu_profitability!$D:$D, MATCH(C56, raw_menu_profitability!$J:$J, 0))</f>
        <v>Focaccia Genovese</v>
      </c>
      <c r="G56" s="26">
        <f>INDEX(raw_menu_profitability!$G:$G, MATCH(C56, raw_menu_profitability!$J:$J, 0))</f>
        <v>0.64333300000000004</v>
      </c>
      <c r="H56" s="27">
        <f>E56-G56</f>
        <v>10.856667</v>
      </c>
      <c r="I56" s="28">
        <f>H56/E56</f>
        <v>0.94405799999999995</v>
      </c>
      <c r="J56">
        <f>IF(I56&lt;$H$1, 1, 0)</f>
        <v>0</v>
      </c>
    </row>
    <row r="57" spans="1:10">
      <c r="A57">
        <v>4</v>
      </c>
      <c r="B57">
        <v>9</v>
      </c>
      <c r="C57" t="str">
        <f t="shared" si="0"/>
        <v>4, 9</v>
      </c>
      <c r="D57" t="str">
        <f>INDEX(raw_menu_profitability!$B:$B, MATCH(C57, raw_menu_profitability!$J:$J, 0))</f>
        <v>Eataly Chicago</v>
      </c>
      <c r="E57" s="25">
        <f>INDEX(raw_menu_profitability!$F:$F, MATCH(C57, raw_menu_profitability!$J:$J, 0))</f>
        <v>47.5</v>
      </c>
      <c r="F57" t="str">
        <f>INDEX(raw_menu_profitability!$D:$D, MATCH(C57, raw_menu_profitability!$J:$J, 0))</f>
        <v>Osso Buco</v>
      </c>
      <c r="G57" s="26">
        <f>INDEX(raw_menu_profitability!$G:$G, MATCH(C57, raw_menu_profitability!$J:$J, 0))</f>
        <v>17.16</v>
      </c>
      <c r="H57" s="27">
        <f>E57-G57</f>
        <v>30.34</v>
      </c>
      <c r="I57" s="28">
        <f>H57/E57</f>
        <v>0.63873684210526316</v>
      </c>
      <c r="J57">
        <f>IF(I57&lt;$H$1, 1, 0)</f>
        <v>1</v>
      </c>
    </row>
    <row r="58" spans="1:10">
      <c r="A58">
        <v>4</v>
      </c>
      <c r="B58">
        <v>10</v>
      </c>
      <c r="C58" t="str">
        <f t="shared" si="0"/>
        <v>4, 10</v>
      </c>
      <c r="D58" t="str">
        <f>INDEX(raw_menu_profitability!$B:$B, MATCH(C58, raw_menu_profitability!$J:$J, 0))</f>
        <v>Eataly Chicago</v>
      </c>
      <c r="E58" s="25">
        <f>INDEX(raw_menu_profitability!$F:$F, MATCH(C58, raw_menu_profitability!$J:$J, 0))</f>
        <v>13.5</v>
      </c>
      <c r="F58" t="str">
        <f>INDEX(raw_menu_profitability!$D:$D, MATCH(C58, raw_menu_profitability!$J:$J, 0))</f>
        <v>Panzanella</v>
      </c>
      <c r="G58" s="26">
        <f>INDEX(raw_menu_profitability!$G:$G, MATCH(C58, raw_menu_profitability!$J:$J, 0))</f>
        <v>2.0625</v>
      </c>
      <c r="H58" s="27">
        <f>E58-G58</f>
        <v>11.4375</v>
      </c>
      <c r="I58" s="28">
        <f>H58/E58</f>
        <v>0.84722222222222221</v>
      </c>
      <c r="J58">
        <f>IF(I58&lt;$H$1, 1, 0)</f>
        <v>0</v>
      </c>
    </row>
    <row r="59" spans="1:10">
      <c r="A59">
        <v>4</v>
      </c>
      <c r="B59">
        <v>11</v>
      </c>
      <c r="C59" t="str">
        <f t="shared" si="0"/>
        <v>4, 11</v>
      </c>
      <c r="D59" t="str">
        <f>INDEX(raw_menu_profitability!$B:$B, MATCH(C59, raw_menu_profitability!$J:$J, 0))</f>
        <v>Eataly Chicago</v>
      </c>
      <c r="E59" s="25">
        <f>INDEX(raw_menu_profitability!$F:$F, MATCH(C59, raw_menu_profitability!$J:$J, 0))</f>
        <v>20</v>
      </c>
      <c r="F59" t="str">
        <f>INDEX(raw_menu_profitability!$D:$D, MATCH(C59, raw_menu_profitability!$J:$J, 0))</f>
        <v>Cacio e Pepe</v>
      </c>
      <c r="G59" s="26">
        <f>INDEX(raw_menu_profitability!$G:$G, MATCH(C59, raw_menu_profitability!$J:$J, 0))</f>
        <v>1.8174999999999999</v>
      </c>
      <c r="H59" s="27">
        <f>E59-G59</f>
        <v>18.182500000000001</v>
      </c>
      <c r="I59" s="28">
        <f>H59/E59</f>
        <v>0.90912500000000007</v>
      </c>
      <c r="J59">
        <f>IF(I59&lt;$H$1, 1, 0)</f>
        <v>0</v>
      </c>
    </row>
    <row r="60" spans="1:10">
      <c r="A60">
        <v>4</v>
      </c>
      <c r="B60">
        <v>12</v>
      </c>
      <c r="C60" t="str">
        <f t="shared" si="0"/>
        <v>4, 12</v>
      </c>
      <c r="D60" t="str">
        <f>INDEX(raw_menu_profitability!$B:$B, MATCH(C60, raw_menu_profitability!$J:$J, 0))</f>
        <v>Eataly Chicago</v>
      </c>
      <c r="E60" s="25">
        <f>INDEX(raw_menu_profitability!$F:$F, MATCH(C60, raw_menu_profitability!$J:$J, 0))</f>
        <v>21</v>
      </c>
      <c r="F60" t="str">
        <f>INDEX(raw_menu_profitability!$D:$D, MATCH(C60, raw_menu_profitability!$J:$J, 0))</f>
        <v>Pesto alla Genovese</v>
      </c>
      <c r="G60" s="26">
        <f>INDEX(raw_menu_profitability!$G:$G, MATCH(C60, raw_menu_profitability!$J:$J, 0))</f>
        <v>2.5299999999999998</v>
      </c>
      <c r="H60" s="27">
        <f>E60-G60</f>
        <v>18.47</v>
      </c>
      <c r="I60" s="28">
        <f>H60/E60</f>
        <v>0.87952380952380949</v>
      </c>
      <c r="J60">
        <f>IF(I60&lt;$H$1, 1, 0)</f>
        <v>0</v>
      </c>
    </row>
    <row r="61" spans="1:10">
      <c r="A61">
        <v>4</v>
      </c>
      <c r="B61">
        <v>13</v>
      </c>
      <c r="C61" t="str">
        <f t="shared" si="0"/>
        <v>4, 13</v>
      </c>
      <c r="D61" t="str">
        <f>INDEX(raw_menu_profitability!$B:$B, MATCH(C61, raw_menu_profitability!$J:$J, 0))</f>
        <v>Eataly Chicago</v>
      </c>
      <c r="E61" s="25">
        <f>INDEX(raw_menu_profitability!$F:$F, MATCH(C61, raw_menu_profitability!$J:$J, 0))</f>
        <v>22</v>
      </c>
      <c r="F61" t="str">
        <f>INDEX(raw_menu_profitability!$D:$D, MATCH(C61, raw_menu_profitability!$J:$J, 0))</f>
        <v>Quattro Formaggi Pizza</v>
      </c>
      <c r="G61" s="26">
        <f>INDEX(raw_menu_profitability!$G:$G, MATCH(C61, raw_menu_profitability!$J:$J, 0))</f>
        <v>6.165</v>
      </c>
      <c r="H61" s="27">
        <f>E61-G61</f>
        <v>15.835000000000001</v>
      </c>
      <c r="I61" s="28">
        <f>H61/E61</f>
        <v>0.71977272727272734</v>
      </c>
      <c r="J61">
        <f>IF(I61&lt;$H$1, 1, 0)</f>
        <v>0</v>
      </c>
    </row>
    <row r="62" spans="1:10">
      <c r="A62">
        <v>4</v>
      </c>
      <c r="B62">
        <v>14</v>
      </c>
      <c r="C62" t="str">
        <f t="shared" si="0"/>
        <v>4, 14</v>
      </c>
      <c r="D62" t="str">
        <f>INDEX(raw_menu_profitability!$B:$B, MATCH(C62, raw_menu_profitability!$J:$J, 0))</f>
        <v>Eataly Chicago</v>
      </c>
      <c r="E62" s="25">
        <f>INDEX(raw_menu_profitability!$F:$F, MATCH(C62, raw_menu_profitability!$J:$J, 0))</f>
        <v>27</v>
      </c>
      <c r="F62" t="str">
        <f>INDEX(raw_menu_profitability!$D:$D, MATCH(C62, raw_menu_profitability!$J:$J, 0))</f>
        <v>Porchetta</v>
      </c>
      <c r="G62" s="26">
        <f>INDEX(raw_menu_profitability!$G:$G, MATCH(C62, raw_menu_profitability!$J:$J, 0))</f>
        <v>3.871667</v>
      </c>
      <c r="H62" s="27">
        <f>E62-G62</f>
        <v>23.128333000000001</v>
      </c>
      <c r="I62" s="28">
        <f>H62/E62</f>
        <v>0.85660492592592596</v>
      </c>
      <c r="J62">
        <f>IF(I62&lt;$H$1, 1, 0)</f>
        <v>0</v>
      </c>
    </row>
    <row r="63" spans="1:10">
      <c r="A63">
        <v>4</v>
      </c>
      <c r="B63">
        <v>15</v>
      </c>
      <c r="C63" t="str">
        <f t="shared" si="0"/>
        <v>4, 15</v>
      </c>
      <c r="D63" t="str">
        <f>INDEX(raw_menu_profitability!$B:$B, MATCH(C63, raw_menu_profitability!$J:$J, 0))</f>
        <v>Eataly Chicago</v>
      </c>
      <c r="E63" s="25">
        <f>INDEX(raw_menu_profitability!$F:$F, MATCH(C63, raw_menu_profitability!$J:$J, 0))</f>
        <v>23.5</v>
      </c>
      <c r="F63" t="str">
        <f>INDEX(raw_menu_profitability!$D:$D, MATCH(C63, raw_menu_profitability!$J:$J, 0))</f>
        <v>Pollo alla Griglia</v>
      </c>
      <c r="G63" s="26">
        <f>INDEX(raw_menu_profitability!$G:$G, MATCH(C63, raw_menu_profitability!$J:$J, 0))</f>
        <v>2.7075</v>
      </c>
      <c r="H63" s="27">
        <f>E63-G63</f>
        <v>20.7925</v>
      </c>
      <c r="I63" s="28">
        <f>H63/E63</f>
        <v>0.88478723404255322</v>
      </c>
      <c r="J63">
        <f>IF(I63&lt;$H$1, 1, 0)</f>
        <v>0</v>
      </c>
    </row>
    <row r="64" spans="1:10">
      <c r="A64">
        <v>4</v>
      </c>
      <c r="B64">
        <v>16</v>
      </c>
      <c r="C64" t="str">
        <f t="shared" si="0"/>
        <v>4, 16</v>
      </c>
      <c r="D64" t="str">
        <f>INDEX(raw_menu_profitability!$B:$B, MATCH(C64, raw_menu_profitability!$J:$J, 0))</f>
        <v>Eataly Chicago</v>
      </c>
      <c r="E64" s="25">
        <f>INDEX(raw_menu_profitability!$F:$F, MATCH(C64, raw_menu_profitability!$J:$J, 0))</f>
        <v>8.5</v>
      </c>
      <c r="F64" t="str">
        <f>INDEX(raw_menu_profitability!$D:$D, MATCH(C64, raw_menu_profitability!$J:$J, 0))</f>
        <v>Cannoli</v>
      </c>
      <c r="G64" s="26">
        <f>INDEX(raw_menu_profitability!$G:$G, MATCH(C64, raw_menu_profitability!$J:$J, 0))</f>
        <v>1.306667</v>
      </c>
      <c r="H64" s="27">
        <f>E64-G64</f>
        <v>7.193333</v>
      </c>
      <c r="I64" s="28">
        <f>H64/E64</f>
        <v>0.84627447058823524</v>
      </c>
      <c r="J64">
        <f>IF(I64&lt;$H$1, 1, 0)</f>
        <v>0</v>
      </c>
    </row>
    <row r="65" spans="1:10">
      <c r="A65">
        <v>4</v>
      </c>
      <c r="B65">
        <v>17</v>
      </c>
      <c r="C65" t="str">
        <f t="shared" si="0"/>
        <v>4, 17</v>
      </c>
      <c r="D65" t="str">
        <f>INDEX(raw_menu_profitability!$B:$B, MATCH(C65, raw_menu_profitability!$J:$J, 0))</f>
        <v>Eataly Chicago</v>
      </c>
      <c r="E65" s="25">
        <f>INDEX(raw_menu_profitability!$F:$F, MATCH(C65, raw_menu_profitability!$J:$J, 0))</f>
        <v>7.5</v>
      </c>
      <c r="F65" t="str">
        <f>INDEX(raw_menu_profitability!$D:$D, MATCH(C65, raw_menu_profitability!$J:$J, 0))</f>
        <v>Pistachio Gelato</v>
      </c>
      <c r="G65" s="26">
        <f>INDEX(raw_menu_profitability!$G:$G, MATCH(C65, raw_menu_profitability!$J:$J, 0))</f>
        <v>1.2575000000000001</v>
      </c>
      <c r="H65" s="27">
        <f>E65-G65</f>
        <v>6.2424999999999997</v>
      </c>
      <c r="I65" s="28">
        <f>H65/E65</f>
        <v>0.83233333333333326</v>
      </c>
      <c r="J65">
        <f>IF(I65&lt;$H$1, 1, 0)</f>
        <v>0</v>
      </c>
    </row>
    <row r="66" spans="1:10">
      <c r="A66">
        <v>4</v>
      </c>
      <c r="B66">
        <v>18</v>
      </c>
      <c r="C66" t="str">
        <f t="shared" si="0"/>
        <v>4, 18</v>
      </c>
      <c r="D66" t="str">
        <f>INDEX(raw_menu_profitability!$B:$B, MATCH(C66, raw_menu_profitability!$J:$J, 0))</f>
        <v>Eataly Chicago</v>
      </c>
      <c r="E66" s="25">
        <f>INDEX(raw_menu_profitability!$F:$F, MATCH(C66, raw_menu_profitability!$J:$J, 0))</f>
        <v>23</v>
      </c>
      <c r="F66" t="str">
        <f>INDEX(raw_menu_profitability!$D:$D, MATCH(C66, raw_menu_profitability!$J:$J, 0))</f>
        <v>Insalata di Mare</v>
      </c>
      <c r="G66" s="26">
        <f>INDEX(raw_menu_profitability!$G:$G, MATCH(C66, raw_menu_profitability!$J:$J, 0))</f>
        <v>6.4950000000000001</v>
      </c>
      <c r="H66" s="27">
        <f>E66-G66</f>
        <v>16.504999999999999</v>
      </c>
      <c r="I66" s="28">
        <f>H66/E66</f>
        <v>0.71760869565217389</v>
      </c>
      <c r="J66">
        <f>IF(I66&lt;$H$1, 1, 0)</f>
        <v>0</v>
      </c>
    </row>
    <row r="67" spans="1:10">
      <c r="A67">
        <v>5</v>
      </c>
      <c r="B67">
        <v>1</v>
      </c>
      <c r="C67" t="str">
        <f t="shared" si="0"/>
        <v>5, 1</v>
      </c>
      <c r="D67" t="str">
        <f>INDEX(raw_menu_profitability!$B:$B, MATCH(C67, raw_menu_profitability!$J:$J, 0))</f>
        <v>Eataly Los Angeles</v>
      </c>
      <c r="E67" s="25">
        <f>INDEX(raw_menu_profitability!$F:$F, MATCH(C67, raw_menu_profitability!$J:$J, 0))</f>
        <v>21.5</v>
      </c>
      <c r="F67" t="str">
        <f>INDEX(raw_menu_profitability!$D:$D, MATCH(C67, raw_menu_profitability!$J:$J, 0))</f>
        <v>Spaghetti alla Carbonara</v>
      </c>
      <c r="G67" s="26">
        <f>INDEX(raw_menu_profitability!$G:$G, MATCH(C67, raw_menu_profitability!$J:$J, 0))</f>
        <v>4.4024999999999999</v>
      </c>
      <c r="H67" s="27">
        <f>E67-G67</f>
        <v>17.0975</v>
      </c>
      <c r="I67" s="28">
        <f>H67/E67</f>
        <v>0.79523255813953486</v>
      </c>
      <c r="J67">
        <f>IF(I67&lt;$H$1, 1, 0)</f>
        <v>0</v>
      </c>
    </row>
    <row r="68" spans="1:10">
      <c r="A68">
        <v>5</v>
      </c>
      <c r="B68">
        <v>2</v>
      </c>
      <c r="C68" t="str">
        <f t="shared" si="0"/>
        <v>5, 2</v>
      </c>
      <c r="D68" t="str">
        <f>INDEX(raw_menu_profitability!$B:$B, MATCH(C68, raw_menu_profitability!$J:$J, 0))</f>
        <v>Eataly Los Angeles</v>
      </c>
      <c r="E68" s="25">
        <f>INDEX(raw_menu_profitability!$F:$F, MATCH(C68, raw_menu_profitability!$J:$J, 0))</f>
        <v>24</v>
      </c>
      <c r="F68" t="str">
        <f>INDEX(raw_menu_profitability!$D:$D, MATCH(C68, raw_menu_profitability!$J:$J, 0))</f>
        <v>Margherita Pizza</v>
      </c>
      <c r="G68" s="26">
        <f>INDEX(raw_menu_profitability!$G:$G, MATCH(C68, raw_menu_profitability!$J:$J, 0))</f>
        <v>7.39</v>
      </c>
      <c r="H68" s="27">
        <f>E68-G68</f>
        <v>16.61</v>
      </c>
      <c r="I68" s="28">
        <f>H68/E68</f>
        <v>0.69208333333333327</v>
      </c>
      <c r="J68">
        <f>IF(I68&lt;$H$1, 1, 0)</f>
        <v>0</v>
      </c>
    </row>
    <row r="69" spans="1:10">
      <c r="A69">
        <v>5</v>
      </c>
      <c r="B69">
        <v>3</v>
      </c>
      <c r="C69" t="str">
        <f t="shared" si="0"/>
        <v>5, 3</v>
      </c>
      <c r="D69" t="str">
        <f>INDEX(raw_menu_profitability!$B:$B, MATCH(C69, raw_menu_profitability!$J:$J, 0))</f>
        <v>Eataly Los Angeles</v>
      </c>
      <c r="E69" s="25">
        <f>INDEX(raw_menu_profitability!$F:$F, MATCH(C69, raw_menu_profitability!$J:$J, 0))</f>
        <v>25</v>
      </c>
      <c r="F69" t="str">
        <f>INDEX(raw_menu_profitability!$D:$D, MATCH(C69, raw_menu_profitability!$J:$J, 0))</f>
        <v>Risotto alla Milanese</v>
      </c>
      <c r="G69" s="26">
        <f>INDEX(raw_menu_profitability!$G:$G, MATCH(C69, raw_menu_profitability!$J:$J, 0))</f>
        <v>3.5550000000000002</v>
      </c>
      <c r="H69" s="27">
        <f>E69-G69</f>
        <v>21.445</v>
      </c>
      <c r="I69" s="28">
        <f>H69/E69</f>
        <v>0.85780000000000001</v>
      </c>
      <c r="J69">
        <f>IF(I69&lt;$H$1, 1, 0)</f>
        <v>0</v>
      </c>
    </row>
    <row r="70" spans="1:10">
      <c r="A70">
        <v>5</v>
      </c>
      <c r="B70">
        <v>4</v>
      </c>
      <c r="C70" t="str">
        <f t="shared" ref="C70:C133" si="4">(A70&amp;", "&amp; B70)</f>
        <v>5, 4</v>
      </c>
      <c r="D70" t="str">
        <f>INDEX(raw_menu_profitability!$B:$B, MATCH(C70, raw_menu_profitability!$J:$J, 0))</f>
        <v>Eataly Los Angeles</v>
      </c>
      <c r="E70" s="25">
        <f>INDEX(raw_menu_profitability!$F:$F, MATCH(C70, raw_menu_profitability!$J:$J, 0))</f>
        <v>20.5</v>
      </c>
      <c r="F70" t="str">
        <f>INDEX(raw_menu_profitability!$D:$D, MATCH(C70, raw_menu_profitability!$J:$J, 0))</f>
        <v>Caprese Salad</v>
      </c>
      <c r="G70" s="26">
        <f>INDEX(raw_menu_profitability!$G:$G, MATCH(C70, raw_menu_profitability!$J:$J, 0))</f>
        <v>7.46</v>
      </c>
      <c r="H70" s="27">
        <f>E70-G70</f>
        <v>13.04</v>
      </c>
      <c r="I70" s="28">
        <f>H70/E70</f>
        <v>0.63609756097560977</v>
      </c>
      <c r="J70">
        <f>IF(I70&lt;$H$1, 1, 0)</f>
        <v>1</v>
      </c>
    </row>
    <row r="71" spans="1:10">
      <c r="A71">
        <v>5</v>
      </c>
      <c r="B71">
        <v>7</v>
      </c>
      <c r="C71" t="str">
        <f t="shared" si="4"/>
        <v>5, 7</v>
      </c>
      <c r="D71" t="str">
        <f>INDEX(raw_menu_profitability!$B:$B, MATCH(C71, raw_menu_profitability!$J:$J, 0))</f>
        <v>Eataly Los Angeles</v>
      </c>
      <c r="E71" s="25">
        <f>INDEX(raw_menu_profitability!$F:$F, MATCH(C71, raw_menu_profitability!$J:$J, 0))</f>
        <v>10.5</v>
      </c>
      <c r="F71" t="str">
        <f>INDEX(raw_menu_profitability!$D:$D, MATCH(C71, raw_menu_profitability!$J:$J, 0))</f>
        <v>Tiramisu</v>
      </c>
      <c r="G71" s="26">
        <f>INDEX(raw_menu_profitability!$G:$G, MATCH(C71, raw_menu_profitability!$J:$J, 0))</f>
        <v>2.9975000000000001</v>
      </c>
      <c r="H71" s="27">
        <f>E71-G71</f>
        <v>7.5024999999999995</v>
      </c>
      <c r="I71" s="28">
        <f>H71/E71</f>
        <v>0.71452380952380945</v>
      </c>
      <c r="J71">
        <f>IF(I71&lt;$H$1, 1, 0)</f>
        <v>0</v>
      </c>
    </row>
    <row r="72" spans="1:10">
      <c r="A72">
        <v>5</v>
      </c>
      <c r="B72">
        <v>8</v>
      </c>
      <c r="C72" t="str">
        <f t="shared" si="4"/>
        <v>5, 8</v>
      </c>
      <c r="D72" t="str">
        <f>INDEX(raw_menu_profitability!$B:$B, MATCH(C72, raw_menu_profitability!$J:$J, 0))</f>
        <v>Eataly Los Angeles</v>
      </c>
      <c r="E72" s="25">
        <f>INDEX(raw_menu_profitability!$F:$F, MATCH(C72, raw_menu_profitability!$J:$J, 0))</f>
        <v>12</v>
      </c>
      <c r="F72" t="str">
        <f>INDEX(raw_menu_profitability!$D:$D, MATCH(C72, raw_menu_profitability!$J:$J, 0))</f>
        <v>Focaccia Genovese</v>
      </c>
      <c r="G72" s="26">
        <f>INDEX(raw_menu_profitability!$G:$G, MATCH(C72, raw_menu_profitability!$J:$J, 0))</f>
        <v>0.66333299999999995</v>
      </c>
      <c r="H72" s="27">
        <f>E72-G72</f>
        <v>11.336667</v>
      </c>
      <c r="I72" s="28">
        <f>H72/E72</f>
        <v>0.94472224999999999</v>
      </c>
      <c r="J72">
        <f>IF(I72&lt;$H$1, 1, 0)</f>
        <v>0</v>
      </c>
    </row>
    <row r="73" spans="1:10">
      <c r="A73">
        <v>5</v>
      </c>
      <c r="B73">
        <v>10</v>
      </c>
      <c r="C73" t="str">
        <f t="shared" si="4"/>
        <v>5, 10</v>
      </c>
      <c r="D73" t="str">
        <f>INDEX(raw_menu_profitability!$B:$B, MATCH(C73, raw_menu_profitability!$J:$J, 0))</f>
        <v>Eataly Los Angeles</v>
      </c>
      <c r="E73" s="25">
        <f>INDEX(raw_menu_profitability!$F:$F, MATCH(C73, raw_menu_profitability!$J:$J, 0))</f>
        <v>14</v>
      </c>
      <c r="F73" t="str">
        <f>INDEX(raw_menu_profitability!$D:$D, MATCH(C73, raw_menu_profitability!$J:$J, 0))</f>
        <v>Panzanella</v>
      </c>
      <c r="G73" s="26">
        <f>INDEX(raw_menu_profitability!$G:$G, MATCH(C73, raw_menu_profitability!$J:$J, 0))</f>
        <v>1.91</v>
      </c>
      <c r="H73" s="27">
        <f>E73-G73</f>
        <v>12.09</v>
      </c>
      <c r="I73" s="28">
        <f>H73/E73</f>
        <v>0.86357142857142855</v>
      </c>
      <c r="J73">
        <f>IF(I73&lt;$H$1, 1, 0)</f>
        <v>0</v>
      </c>
    </row>
    <row r="74" spans="1:10">
      <c r="A74">
        <v>5</v>
      </c>
      <c r="B74">
        <v>11</v>
      </c>
      <c r="C74" t="str">
        <f t="shared" si="4"/>
        <v>5, 11</v>
      </c>
      <c r="D74" t="str">
        <f>INDEX(raw_menu_profitability!$B:$B, MATCH(C74, raw_menu_profitability!$J:$J, 0))</f>
        <v>Eataly Los Angeles</v>
      </c>
      <c r="E74" s="25">
        <f>INDEX(raw_menu_profitability!$F:$F, MATCH(C74, raw_menu_profitability!$J:$J, 0))</f>
        <v>21</v>
      </c>
      <c r="F74" t="str">
        <f>INDEX(raw_menu_profitability!$D:$D, MATCH(C74, raw_menu_profitability!$J:$J, 0))</f>
        <v>Cacio e Pepe</v>
      </c>
      <c r="G74" s="26">
        <f>INDEX(raw_menu_profitability!$G:$G, MATCH(C74, raw_menu_profitability!$J:$J, 0))</f>
        <v>2.1549999999999998</v>
      </c>
      <c r="H74" s="27">
        <f>E74-G74</f>
        <v>18.844999999999999</v>
      </c>
      <c r="I74" s="28">
        <f>H74/E74</f>
        <v>0.89738095238095228</v>
      </c>
      <c r="J74">
        <f>IF(I74&lt;$H$1, 1, 0)</f>
        <v>0</v>
      </c>
    </row>
    <row r="75" spans="1:10">
      <c r="A75">
        <v>5</v>
      </c>
      <c r="B75">
        <v>12</v>
      </c>
      <c r="C75" t="str">
        <f t="shared" si="4"/>
        <v>5, 12</v>
      </c>
      <c r="D75" t="str">
        <f>INDEX(raw_menu_profitability!$B:$B, MATCH(C75, raw_menu_profitability!$J:$J, 0))</f>
        <v>Eataly Los Angeles</v>
      </c>
      <c r="E75" s="25">
        <f>INDEX(raw_menu_profitability!$F:$F, MATCH(C75, raw_menu_profitability!$J:$J, 0))</f>
        <v>21.5</v>
      </c>
      <c r="F75" t="str">
        <f>INDEX(raw_menu_profitability!$D:$D, MATCH(C75, raw_menu_profitability!$J:$J, 0))</f>
        <v>Pesto alla Genovese</v>
      </c>
      <c r="G75" s="26">
        <f>INDEX(raw_menu_profitability!$G:$G, MATCH(C75, raw_menu_profitability!$J:$J, 0))</f>
        <v>2.5775000000000001</v>
      </c>
      <c r="H75" s="27">
        <f>E75-G75</f>
        <v>18.922499999999999</v>
      </c>
      <c r="I75" s="28">
        <f>H75/E75</f>
        <v>0.88011627906976742</v>
      </c>
      <c r="J75">
        <f>IF(I75&lt;$H$1, 1, 0)</f>
        <v>0</v>
      </c>
    </row>
    <row r="76" spans="1:10">
      <c r="A76">
        <v>5</v>
      </c>
      <c r="B76">
        <v>13</v>
      </c>
      <c r="C76" t="str">
        <f t="shared" si="4"/>
        <v>5, 13</v>
      </c>
      <c r="D76" t="str">
        <f>INDEX(raw_menu_profitability!$B:$B, MATCH(C76, raw_menu_profitability!$J:$J, 0))</f>
        <v>Eataly Los Angeles</v>
      </c>
      <c r="E76" s="25">
        <f>INDEX(raw_menu_profitability!$F:$F, MATCH(C76, raw_menu_profitability!$J:$J, 0))</f>
        <v>22.5</v>
      </c>
      <c r="F76" t="str">
        <f>INDEX(raw_menu_profitability!$D:$D, MATCH(C76, raw_menu_profitability!$J:$J, 0))</f>
        <v>Quattro Formaggi Pizza</v>
      </c>
      <c r="G76" s="26">
        <f>INDEX(raw_menu_profitability!$G:$G, MATCH(C76, raw_menu_profitability!$J:$J, 0))</f>
        <v>7.33</v>
      </c>
      <c r="H76" s="27">
        <f>E76-G76</f>
        <v>15.17</v>
      </c>
      <c r="I76" s="28">
        <f>H76/E76</f>
        <v>0.67422222222222217</v>
      </c>
      <c r="J76">
        <f>IF(I76&lt;$H$1, 1, 0)</f>
        <v>0</v>
      </c>
    </row>
    <row r="77" spans="1:10">
      <c r="A77">
        <v>5</v>
      </c>
      <c r="B77">
        <v>14</v>
      </c>
      <c r="C77" t="str">
        <f t="shared" si="4"/>
        <v>5, 14</v>
      </c>
      <c r="D77" t="str">
        <f>INDEX(raw_menu_profitability!$B:$B, MATCH(C77, raw_menu_profitability!$J:$J, 0))</f>
        <v>Eataly Los Angeles</v>
      </c>
      <c r="E77" s="25">
        <f>INDEX(raw_menu_profitability!$F:$F, MATCH(C77, raw_menu_profitability!$J:$J, 0))</f>
        <v>27.5</v>
      </c>
      <c r="F77" t="str">
        <f>INDEX(raw_menu_profitability!$D:$D, MATCH(C77, raw_menu_profitability!$J:$J, 0))</f>
        <v>Porchetta</v>
      </c>
      <c r="G77" s="26">
        <f>INDEX(raw_menu_profitability!$G:$G, MATCH(C77, raw_menu_profitability!$J:$J, 0))</f>
        <v>4.1633329999999997</v>
      </c>
      <c r="H77" s="27">
        <f>E77-G77</f>
        <v>23.336666999999998</v>
      </c>
      <c r="I77" s="28">
        <f>H77/E77</f>
        <v>0.84860607272727262</v>
      </c>
      <c r="J77">
        <f>IF(I77&lt;$H$1, 1, 0)</f>
        <v>0</v>
      </c>
    </row>
    <row r="78" spans="1:10">
      <c r="A78">
        <v>5</v>
      </c>
      <c r="B78">
        <v>15</v>
      </c>
      <c r="C78" t="str">
        <f t="shared" si="4"/>
        <v>5, 15</v>
      </c>
      <c r="D78" t="str">
        <f>INDEX(raw_menu_profitability!$B:$B, MATCH(C78, raw_menu_profitability!$J:$J, 0))</f>
        <v>Eataly Los Angeles</v>
      </c>
      <c r="E78" s="25">
        <f>INDEX(raw_menu_profitability!$F:$F, MATCH(C78, raw_menu_profitability!$J:$J, 0))</f>
        <v>24</v>
      </c>
      <c r="F78" t="str">
        <f>INDEX(raw_menu_profitability!$D:$D, MATCH(C78, raw_menu_profitability!$J:$J, 0))</f>
        <v>Pollo alla Griglia</v>
      </c>
      <c r="G78" s="26">
        <f>INDEX(raw_menu_profitability!$G:$G, MATCH(C78, raw_menu_profitability!$J:$J, 0))</f>
        <v>2.7574999999999998</v>
      </c>
      <c r="H78" s="27">
        <f>E78-G78</f>
        <v>21.2425</v>
      </c>
      <c r="I78" s="28">
        <f>H78/E78</f>
        <v>0.88510416666666669</v>
      </c>
      <c r="J78">
        <f>IF(I78&lt;$H$1, 1, 0)</f>
        <v>0</v>
      </c>
    </row>
    <row r="79" spans="1:10">
      <c r="A79">
        <v>5</v>
      </c>
      <c r="B79">
        <v>16</v>
      </c>
      <c r="C79" t="str">
        <f t="shared" si="4"/>
        <v>5, 16</v>
      </c>
      <c r="D79" t="str">
        <f>INDEX(raw_menu_profitability!$B:$B, MATCH(C79, raw_menu_profitability!$J:$J, 0))</f>
        <v>Eataly Los Angeles</v>
      </c>
      <c r="E79" s="25">
        <f>INDEX(raw_menu_profitability!$F:$F, MATCH(C79, raw_menu_profitability!$J:$J, 0))</f>
        <v>9</v>
      </c>
      <c r="F79" t="str">
        <f>INDEX(raw_menu_profitability!$D:$D, MATCH(C79, raw_menu_profitability!$J:$J, 0))</f>
        <v>Cannoli</v>
      </c>
      <c r="G79" s="26">
        <f>INDEX(raw_menu_profitability!$G:$G, MATCH(C79, raw_menu_profitability!$J:$J, 0))</f>
        <v>1.6274999999999999</v>
      </c>
      <c r="H79" s="27">
        <f>E79-G79</f>
        <v>7.3725000000000005</v>
      </c>
      <c r="I79" s="28">
        <f>H79/E79</f>
        <v>0.81916666666666671</v>
      </c>
      <c r="J79">
        <f>IF(I79&lt;$H$1, 1, 0)</f>
        <v>0</v>
      </c>
    </row>
    <row r="80" spans="1:10">
      <c r="A80">
        <v>5</v>
      </c>
      <c r="B80">
        <v>17</v>
      </c>
      <c r="C80" t="str">
        <f t="shared" si="4"/>
        <v>5, 17</v>
      </c>
      <c r="D80" t="str">
        <f>INDEX(raw_menu_profitability!$B:$B, MATCH(C80, raw_menu_profitability!$J:$J, 0))</f>
        <v>Eataly Los Angeles</v>
      </c>
      <c r="E80" s="25">
        <f>INDEX(raw_menu_profitability!$F:$F, MATCH(C80, raw_menu_profitability!$J:$J, 0))</f>
        <v>7.5</v>
      </c>
      <c r="F80" t="str">
        <f>INDEX(raw_menu_profitability!$D:$D, MATCH(C80, raw_menu_profitability!$J:$J, 0))</f>
        <v>Pistachio Gelato</v>
      </c>
      <c r="G80" s="26">
        <f>INDEX(raw_menu_profitability!$G:$G, MATCH(C80, raw_menu_profitability!$J:$J, 0))</f>
        <v>1.5024999999999999</v>
      </c>
      <c r="H80" s="27">
        <f>E80-G80</f>
        <v>5.9975000000000005</v>
      </c>
      <c r="I80" s="28">
        <f>H80/E80</f>
        <v>0.79966666666666675</v>
      </c>
      <c r="J80">
        <f>IF(I80&lt;$H$1, 1, 0)</f>
        <v>0</v>
      </c>
    </row>
    <row r="81" spans="1:10">
      <c r="A81">
        <v>5</v>
      </c>
      <c r="B81">
        <v>18</v>
      </c>
      <c r="C81" t="str">
        <f t="shared" si="4"/>
        <v>5, 18</v>
      </c>
      <c r="D81" t="str">
        <f>INDEX(raw_menu_profitability!$B:$B, MATCH(C81, raw_menu_profitability!$J:$J, 0))</f>
        <v>Eataly Los Angeles</v>
      </c>
      <c r="E81" s="25">
        <f>INDEX(raw_menu_profitability!$F:$F, MATCH(C81, raw_menu_profitability!$J:$J, 0))</f>
        <v>23</v>
      </c>
      <c r="F81" t="str">
        <f>INDEX(raw_menu_profitability!$D:$D, MATCH(C81, raw_menu_profitability!$J:$J, 0))</f>
        <v>Insalata di Mare</v>
      </c>
      <c r="G81" s="26">
        <f>INDEX(raw_menu_profitability!$G:$G, MATCH(C81, raw_menu_profitability!$J:$J, 0))</f>
        <v>6.2350000000000003</v>
      </c>
      <c r="H81" s="27">
        <f>E81-G81</f>
        <v>16.765000000000001</v>
      </c>
      <c r="I81" s="28">
        <f>H81/E81</f>
        <v>0.72891304347826091</v>
      </c>
      <c r="J81">
        <f>IF(I81&lt;$H$1, 1, 0)</f>
        <v>0</v>
      </c>
    </row>
    <row r="82" spans="1:10">
      <c r="A82">
        <v>6</v>
      </c>
      <c r="B82">
        <v>1</v>
      </c>
      <c r="C82" t="str">
        <f t="shared" si="4"/>
        <v>6, 1</v>
      </c>
      <c r="D82" t="str">
        <f>INDEX(raw_menu_profitability!$B:$B, MATCH(C82, raw_menu_profitability!$J:$J, 0))</f>
        <v>Eataly Las Vegas</v>
      </c>
      <c r="E82" s="25">
        <f>INDEX(raw_menu_profitability!$F:$F, MATCH(C82, raw_menu_profitability!$J:$J, 0))</f>
        <v>23</v>
      </c>
      <c r="F82" t="str">
        <f>INDEX(raw_menu_profitability!$D:$D, MATCH(C82, raw_menu_profitability!$J:$J, 0))</f>
        <v>Spaghetti alla Carbonara</v>
      </c>
      <c r="G82" s="26">
        <f>INDEX(raw_menu_profitability!$G:$G, MATCH(C82, raw_menu_profitability!$J:$J, 0))</f>
        <v>4.6924999999999999</v>
      </c>
      <c r="H82" s="27">
        <f>E82-G82</f>
        <v>18.307500000000001</v>
      </c>
      <c r="I82" s="28">
        <f>H82/E82</f>
        <v>0.79597826086956525</v>
      </c>
      <c r="J82">
        <f>IF(I82&lt;$H$1, 1, 0)</f>
        <v>0</v>
      </c>
    </row>
    <row r="83" spans="1:10">
      <c r="A83">
        <v>6</v>
      </c>
      <c r="B83">
        <v>2</v>
      </c>
      <c r="C83" t="str">
        <f t="shared" si="4"/>
        <v>6, 2</v>
      </c>
      <c r="D83" t="str">
        <f>INDEX(raw_menu_profitability!$B:$B, MATCH(C83, raw_menu_profitability!$J:$J, 0))</f>
        <v>Eataly Las Vegas</v>
      </c>
      <c r="E83" s="25">
        <f>INDEX(raw_menu_profitability!$F:$F, MATCH(C83, raw_menu_profitability!$J:$J, 0))</f>
        <v>25.5</v>
      </c>
      <c r="F83" t="str">
        <f>INDEX(raw_menu_profitability!$D:$D, MATCH(C83, raw_menu_profitability!$J:$J, 0))</f>
        <v>Margherita Pizza</v>
      </c>
      <c r="G83" s="26">
        <f>INDEX(raw_menu_profitability!$G:$G, MATCH(C83, raw_menu_profitability!$J:$J, 0))</f>
        <v>7.93</v>
      </c>
      <c r="H83" s="27">
        <f>E83-G83</f>
        <v>17.57</v>
      </c>
      <c r="I83" s="28">
        <f>H83/E83</f>
        <v>0.68901960784313732</v>
      </c>
      <c r="J83">
        <f>IF(I83&lt;$H$1, 1, 0)</f>
        <v>0</v>
      </c>
    </row>
    <row r="84" spans="1:10">
      <c r="A84">
        <v>6</v>
      </c>
      <c r="B84">
        <v>3</v>
      </c>
      <c r="C84" t="str">
        <f t="shared" si="4"/>
        <v>6, 3</v>
      </c>
      <c r="D84" t="str">
        <f>INDEX(raw_menu_profitability!$B:$B, MATCH(C84, raw_menu_profitability!$J:$J, 0))</f>
        <v>Eataly Las Vegas</v>
      </c>
      <c r="E84" s="25">
        <f>INDEX(raw_menu_profitability!$F:$F, MATCH(C84, raw_menu_profitability!$J:$J, 0))</f>
        <v>27</v>
      </c>
      <c r="F84" t="str">
        <f>INDEX(raw_menu_profitability!$D:$D, MATCH(C84, raw_menu_profitability!$J:$J, 0))</f>
        <v>Risotto alla Milanese</v>
      </c>
      <c r="G84" s="26">
        <f>INDEX(raw_menu_profitability!$G:$G, MATCH(C84, raw_menu_profitability!$J:$J, 0))</f>
        <v>3.7225000000000001</v>
      </c>
      <c r="H84" s="27">
        <f>E84-G84</f>
        <v>23.2775</v>
      </c>
      <c r="I84" s="28">
        <f>H84/E84</f>
        <v>0.86212962962962958</v>
      </c>
      <c r="J84">
        <f>IF(I84&lt;$H$1, 1, 0)</f>
        <v>0</v>
      </c>
    </row>
    <row r="85" spans="1:10">
      <c r="A85">
        <v>6</v>
      </c>
      <c r="B85">
        <v>4</v>
      </c>
      <c r="C85" t="str">
        <f t="shared" si="4"/>
        <v>6, 4</v>
      </c>
      <c r="D85" t="str">
        <f>INDEX(raw_menu_profitability!$B:$B, MATCH(C85, raw_menu_profitability!$J:$J, 0))</f>
        <v>Eataly Las Vegas</v>
      </c>
      <c r="E85" s="25">
        <f>INDEX(raw_menu_profitability!$F:$F, MATCH(C85, raw_menu_profitability!$J:$J, 0))</f>
        <v>22</v>
      </c>
      <c r="F85" t="str">
        <f>INDEX(raw_menu_profitability!$D:$D, MATCH(C85, raw_menu_profitability!$J:$J, 0))</f>
        <v>Caprese Salad</v>
      </c>
      <c r="G85" s="26">
        <f>INDEX(raw_menu_profitability!$G:$G, MATCH(C85, raw_menu_profitability!$J:$J, 0))</f>
        <v>7.9749999999999996</v>
      </c>
      <c r="H85" s="27">
        <f>E85-G85</f>
        <v>14.025</v>
      </c>
      <c r="I85" s="28">
        <f>H85/E85</f>
        <v>0.63750000000000007</v>
      </c>
      <c r="J85">
        <f>IF(I85&lt;$H$1, 1, 0)</f>
        <v>1</v>
      </c>
    </row>
    <row r="86" spans="1:10">
      <c r="A86">
        <v>6</v>
      </c>
      <c r="B86">
        <v>5</v>
      </c>
      <c r="C86" t="str">
        <f t="shared" si="4"/>
        <v>6, 5</v>
      </c>
      <c r="D86" t="str">
        <f>INDEX(raw_menu_profitability!$B:$B, MATCH(C86, raw_menu_profitability!$J:$J, 0))</f>
        <v>Eataly Las Vegas</v>
      </c>
      <c r="E86" s="25">
        <f>INDEX(raw_menu_profitability!$F:$F, MATCH(C86, raw_menu_profitability!$J:$J, 0))</f>
        <v>22</v>
      </c>
      <c r="F86" t="str">
        <f>INDEX(raw_menu_profitability!$D:$D, MATCH(C86, raw_menu_profitability!$J:$J, 0))</f>
        <v>Prosciutto e Melone</v>
      </c>
      <c r="G86" s="26">
        <f>INDEX(raw_menu_profitability!$G:$G, MATCH(C86, raw_menu_profitability!$J:$J, 0))</f>
        <v>7.01</v>
      </c>
      <c r="H86" s="27">
        <f>E86-G86</f>
        <v>14.99</v>
      </c>
      <c r="I86" s="28">
        <f>H86/E86</f>
        <v>0.68136363636363639</v>
      </c>
      <c r="J86">
        <f>IF(I86&lt;$H$1, 1, 0)</f>
        <v>0</v>
      </c>
    </row>
    <row r="87" spans="1:10">
      <c r="A87">
        <v>6</v>
      </c>
      <c r="B87">
        <v>6</v>
      </c>
      <c r="C87" t="str">
        <f t="shared" si="4"/>
        <v>6, 6</v>
      </c>
      <c r="D87" t="str">
        <f>INDEX(raw_menu_profitability!$B:$B, MATCH(C87, raw_menu_profitability!$J:$J, 0))</f>
        <v>Eataly Las Vegas</v>
      </c>
      <c r="E87" s="25">
        <f>INDEX(raw_menu_profitability!$F:$F, MATCH(C87, raw_menu_profitability!$J:$J, 0))</f>
        <v>24</v>
      </c>
      <c r="F87" t="str">
        <f>INDEX(raw_menu_profitability!$D:$D, MATCH(C87, raw_menu_profitability!$J:$J, 0))</f>
        <v>Bucatini all'Amatriciana</v>
      </c>
      <c r="G87" s="26">
        <f>INDEX(raw_menu_profitability!$G:$G, MATCH(C87, raw_menu_profitability!$J:$J, 0))</f>
        <v>5.6025</v>
      </c>
      <c r="H87" s="27">
        <f>E87-G87</f>
        <v>18.397500000000001</v>
      </c>
      <c r="I87" s="28">
        <f>H87/E87</f>
        <v>0.76656250000000004</v>
      </c>
      <c r="J87">
        <f>IF(I87&lt;$H$1, 1, 0)</f>
        <v>0</v>
      </c>
    </row>
    <row r="88" spans="1:10">
      <c r="A88">
        <v>6</v>
      </c>
      <c r="B88">
        <v>7</v>
      </c>
      <c r="C88" t="str">
        <f t="shared" si="4"/>
        <v>6, 7</v>
      </c>
      <c r="D88" t="str">
        <f>INDEX(raw_menu_profitability!$B:$B, MATCH(C88, raw_menu_profitability!$J:$J, 0))</f>
        <v>Eataly Las Vegas</v>
      </c>
      <c r="E88" s="25">
        <f>INDEX(raw_menu_profitability!$F:$F, MATCH(C88, raw_menu_profitability!$J:$J, 0))</f>
        <v>11</v>
      </c>
      <c r="F88" t="str">
        <f>INDEX(raw_menu_profitability!$D:$D, MATCH(C88, raw_menu_profitability!$J:$J, 0))</f>
        <v>Tiramisu</v>
      </c>
      <c r="G88" s="26">
        <f>INDEX(raw_menu_profitability!$G:$G, MATCH(C88, raw_menu_profitability!$J:$J, 0))</f>
        <v>3.2650000000000001</v>
      </c>
      <c r="H88" s="27">
        <f>E88-G88</f>
        <v>7.7349999999999994</v>
      </c>
      <c r="I88" s="28">
        <f>H88/E88</f>
        <v>0.70318181818181813</v>
      </c>
      <c r="J88">
        <f>IF(I88&lt;$H$1, 1, 0)</f>
        <v>0</v>
      </c>
    </row>
    <row r="89" spans="1:10">
      <c r="A89">
        <v>6</v>
      </c>
      <c r="B89">
        <v>8</v>
      </c>
      <c r="C89" t="str">
        <f t="shared" si="4"/>
        <v>6, 8</v>
      </c>
      <c r="D89" t="str">
        <f>INDEX(raw_menu_profitability!$B:$B, MATCH(C89, raw_menu_profitability!$J:$J, 0))</f>
        <v>Eataly Las Vegas</v>
      </c>
      <c r="E89" s="25">
        <f>INDEX(raw_menu_profitability!$F:$F, MATCH(C89, raw_menu_profitability!$J:$J, 0))</f>
        <v>13</v>
      </c>
      <c r="F89" t="str">
        <f>INDEX(raw_menu_profitability!$D:$D, MATCH(C89, raw_menu_profitability!$J:$J, 0))</f>
        <v>Focaccia Genovese</v>
      </c>
      <c r="G89" s="26">
        <f>INDEX(raw_menu_profitability!$G:$G, MATCH(C89, raw_menu_profitability!$J:$J, 0))</f>
        <v>0.69166700000000003</v>
      </c>
      <c r="H89" s="27">
        <f>E89-G89</f>
        <v>12.308332999999999</v>
      </c>
      <c r="I89" s="28">
        <f>H89/E89</f>
        <v>0.94679484615384613</v>
      </c>
      <c r="J89">
        <f>IF(I89&lt;$H$1, 1, 0)</f>
        <v>0</v>
      </c>
    </row>
    <row r="90" spans="1:10">
      <c r="A90">
        <v>6</v>
      </c>
      <c r="B90">
        <v>9</v>
      </c>
      <c r="C90" t="str">
        <f t="shared" si="4"/>
        <v>6, 9</v>
      </c>
      <c r="D90" t="str">
        <f>INDEX(raw_menu_profitability!$B:$B, MATCH(C90, raw_menu_profitability!$J:$J, 0))</f>
        <v>Eataly Las Vegas</v>
      </c>
      <c r="E90" s="25">
        <f>INDEX(raw_menu_profitability!$F:$F, MATCH(C90, raw_menu_profitability!$J:$J, 0))</f>
        <v>52</v>
      </c>
      <c r="F90" t="str">
        <f>INDEX(raw_menu_profitability!$D:$D, MATCH(C90, raw_menu_profitability!$J:$J, 0))</f>
        <v>Osso Buco</v>
      </c>
      <c r="G90" s="26">
        <f>INDEX(raw_menu_profitability!$G:$G, MATCH(C90, raw_menu_profitability!$J:$J, 0))</f>
        <v>19.704999999999998</v>
      </c>
      <c r="H90" s="27">
        <f>E90-G90</f>
        <v>32.295000000000002</v>
      </c>
      <c r="I90" s="28">
        <f>H90/E90</f>
        <v>0.62105769230769237</v>
      </c>
      <c r="J90">
        <f>IF(I90&lt;$H$1, 1, 0)</f>
        <v>1</v>
      </c>
    </row>
    <row r="91" spans="1:10">
      <c r="A91">
        <v>6</v>
      </c>
      <c r="B91">
        <v>10</v>
      </c>
      <c r="C91" t="str">
        <f t="shared" si="4"/>
        <v>6, 10</v>
      </c>
      <c r="D91" t="str">
        <f>INDEX(raw_menu_profitability!$B:$B, MATCH(C91, raw_menu_profitability!$J:$J, 0))</f>
        <v>Eataly Las Vegas</v>
      </c>
      <c r="E91" s="25">
        <f>INDEX(raw_menu_profitability!$F:$F, MATCH(C91, raw_menu_profitability!$J:$J, 0))</f>
        <v>15</v>
      </c>
      <c r="F91" t="str">
        <f>INDEX(raw_menu_profitability!$D:$D, MATCH(C91, raw_menu_profitability!$J:$J, 0))</f>
        <v>Panzanella</v>
      </c>
      <c r="G91" s="26">
        <f>INDEX(raw_menu_profitability!$G:$G, MATCH(C91, raw_menu_profitability!$J:$J, 0))</f>
        <v>1.95</v>
      </c>
      <c r="H91" s="27">
        <f>E91-G91</f>
        <v>13.05</v>
      </c>
      <c r="I91" s="28">
        <f>H91/E91</f>
        <v>0.87</v>
      </c>
      <c r="J91">
        <f>IF(I91&lt;$H$1, 1, 0)</f>
        <v>0</v>
      </c>
    </row>
    <row r="92" spans="1:10">
      <c r="A92">
        <v>6</v>
      </c>
      <c r="B92">
        <v>11</v>
      </c>
      <c r="C92" t="str">
        <f t="shared" si="4"/>
        <v>6, 11</v>
      </c>
      <c r="D92" t="str">
        <f>INDEX(raw_menu_profitability!$B:$B, MATCH(C92, raw_menu_profitability!$J:$J, 0))</f>
        <v>Eataly Las Vegas</v>
      </c>
      <c r="E92" s="25">
        <f>INDEX(raw_menu_profitability!$F:$F, MATCH(C92, raw_menu_profitability!$J:$J, 0))</f>
        <v>22</v>
      </c>
      <c r="F92" t="str">
        <f>INDEX(raw_menu_profitability!$D:$D, MATCH(C92, raw_menu_profitability!$J:$J, 0))</f>
        <v>Cacio e Pepe</v>
      </c>
      <c r="G92" s="26">
        <f>INDEX(raw_menu_profitability!$G:$G, MATCH(C92, raw_menu_profitability!$J:$J, 0))</f>
        <v>2.27</v>
      </c>
      <c r="H92" s="27">
        <f>E92-G92</f>
        <v>19.73</v>
      </c>
      <c r="I92" s="28">
        <f>H92/E92</f>
        <v>0.89681818181818185</v>
      </c>
      <c r="J92">
        <f>IF(I92&lt;$H$1, 1, 0)</f>
        <v>0</v>
      </c>
    </row>
    <row r="93" spans="1:10">
      <c r="A93">
        <v>6</v>
      </c>
      <c r="B93">
        <v>12</v>
      </c>
      <c r="C93" t="str">
        <f t="shared" si="4"/>
        <v>6, 12</v>
      </c>
      <c r="D93" t="str">
        <f>INDEX(raw_menu_profitability!$B:$B, MATCH(C93, raw_menu_profitability!$J:$J, 0))</f>
        <v>Eataly Las Vegas</v>
      </c>
      <c r="E93" s="25">
        <f>INDEX(raw_menu_profitability!$F:$F, MATCH(C93, raw_menu_profitability!$J:$J, 0))</f>
        <v>23</v>
      </c>
      <c r="F93" t="str">
        <f>INDEX(raw_menu_profitability!$D:$D, MATCH(C93, raw_menu_profitability!$J:$J, 0))</f>
        <v>Pesto alla Genovese</v>
      </c>
      <c r="G93" s="26">
        <f>INDEX(raw_menu_profitability!$G:$G, MATCH(C93, raw_menu_profitability!$J:$J, 0))</f>
        <v>2.7749999999999999</v>
      </c>
      <c r="H93" s="27">
        <f>E93-G93</f>
        <v>20.225000000000001</v>
      </c>
      <c r="I93" s="28">
        <f>H93/E93</f>
        <v>0.87934782608695661</v>
      </c>
      <c r="J93">
        <f>IF(I93&lt;$H$1, 1, 0)</f>
        <v>0</v>
      </c>
    </row>
    <row r="94" spans="1:10">
      <c r="A94">
        <v>6</v>
      </c>
      <c r="B94">
        <v>13</v>
      </c>
      <c r="C94" t="str">
        <f t="shared" si="4"/>
        <v>6, 13</v>
      </c>
      <c r="D94" t="str">
        <f>INDEX(raw_menu_profitability!$B:$B, MATCH(C94, raw_menu_profitability!$J:$J, 0))</f>
        <v>Eataly Las Vegas</v>
      </c>
      <c r="E94" s="25">
        <f>INDEX(raw_menu_profitability!$F:$F, MATCH(C94, raw_menu_profitability!$J:$J, 0))</f>
        <v>24</v>
      </c>
      <c r="F94" t="str">
        <f>INDEX(raw_menu_profitability!$D:$D, MATCH(C94, raw_menu_profitability!$J:$J, 0))</f>
        <v>Quattro Formaggi Pizza</v>
      </c>
      <c r="G94" s="26">
        <f>INDEX(raw_menu_profitability!$G:$G, MATCH(C94, raw_menu_profitability!$J:$J, 0))</f>
        <v>7.99</v>
      </c>
      <c r="H94" s="27">
        <f>E94-G94</f>
        <v>16.009999999999998</v>
      </c>
      <c r="I94" s="28">
        <f>H94/E94</f>
        <v>0.66708333333333325</v>
      </c>
      <c r="J94">
        <f>IF(I94&lt;$H$1, 1, 0)</f>
        <v>0</v>
      </c>
    </row>
    <row r="95" spans="1:10">
      <c r="A95">
        <v>6</v>
      </c>
      <c r="B95">
        <v>14</v>
      </c>
      <c r="C95" t="str">
        <f t="shared" si="4"/>
        <v>6, 14</v>
      </c>
      <c r="D95" t="str">
        <f>INDEX(raw_menu_profitability!$B:$B, MATCH(C95, raw_menu_profitability!$J:$J, 0))</f>
        <v>Eataly Las Vegas</v>
      </c>
      <c r="E95" s="25">
        <f>INDEX(raw_menu_profitability!$F:$F, MATCH(C95, raw_menu_profitability!$J:$J, 0))</f>
        <v>29.5</v>
      </c>
      <c r="F95" t="str">
        <f>INDEX(raw_menu_profitability!$D:$D, MATCH(C95, raw_menu_profitability!$J:$J, 0))</f>
        <v>Porchetta</v>
      </c>
      <c r="G95" s="26">
        <f>INDEX(raw_menu_profitability!$G:$G, MATCH(C95, raw_menu_profitability!$J:$J, 0))</f>
        <v>4.4816669999999998</v>
      </c>
      <c r="H95" s="27">
        <f>E95-G95</f>
        <v>25.018332999999998</v>
      </c>
      <c r="I95" s="28">
        <f>H95/E95</f>
        <v>0.84807908474576266</v>
      </c>
      <c r="J95">
        <f>IF(I95&lt;$H$1, 1, 0)</f>
        <v>0</v>
      </c>
    </row>
    <row r="96" spans="1:10">
      <c r="A96">
        <v>6</v>
      </c>
      <c r="B96">
        <v>15</v>
      </c>
      <c r="C96" t="str">
        <f t="shared" si="4"/>
        <v>6, 15</v>
      </c>
      <c r="D96" t="str">
        <f>INDEX(raw_menu_profitability!$B:$B, MATCH(C96, raw_menu_profitability!$J:$J, 0))</f>
        <v>Eataly Las Vegas</v>
      </c>
      <c r="E96" s="25">
        <f>INDEX(raw_menu_profitability!$F:$F, MATCH(C96, raw_menu_profitability!$J:$J, 0))</f>
        <v>25.5</v>
      </c>
      <c r="F96" t="str">
        <f>INDEX(raw_menu_profitability!$D:$D, MATCH(C96, raw_menu_profitability!$J:$J, 0))</f>
        <v>Pollo alla Griglia</v>
      </c>
      <c r="G96" s="26">
        <f>INDEX(raw_menu_profitability!$G:$G, MATCH(C96, raw_menu_profitability!$J:$J, 0))</f>
        <v>2.8374999999999999</v>
      </c>
      <c r="H96" s="27">
        <f>E96-G96</f>
        <v>22.662500000000001</v>
      </c>
      <c r="I96" s="28">
        <f>H96/E96</f>
        <v>0.88872549019607849</v>
      </c>
      <c r="J96">
        <f>IF(I96&lt;$H$1, 1, 0)</f>
        <v>0</v>
      </c>
    </row>
    <row r="97" spans="1:10">
      <c r="A97">
        <v>6</v>
      </c>
      <c r="B97">
        <v>16</v>
      </c>
      <c r="C97" t="str">
        <f t="shared" si="4"/>
        <v>6, 16</v>
      </c>
      <c r="D97" t="str">
        <f>INDEX(raw_menu_profitability!$B:$B, MATCH(C97, raw_menu_profitability!$J:$J, 0))</f>
        <v>Eataly Las Vegas</v>
      </c>
      <c r="E97" s="25">
        <f>INDEX(raw_menu_profitability!$F:$F, MATCH(C97, raw_menu_profitability!$J:$J, 0))</f>
        <v>9</v>
      </c>
      <c r="F97" t="str">
        <f>INDEX(raw_menu_profitability!$D:$D, MATCH(C97, raw_menu_profitability!$J:$J, 0))</f>
        <v>Cannoli</v>
      </c>
      <c r="G97" s="26">
        <f>INDEX(raw_menu_profitability!$G:$G, MATCH(C97, raw_menu_profitability!$J:$J, 0))</f>
        <v>1.7275</v>
      </c>
      <c r="H97" s="27">
        <f>E97-G97</f>
        <v>7.2725</v>
      </c>
      <c r="I97" s="28">
        <f>H97/E97</f>
        <v>0.80805555555555553</v>
      </c>
      <c r="J97">
        <f>IF(I97&lt;$H$1, 1, 0)</f>
        <v>0</v>
      </c>
    </row>
    <row r="98" spans="1:10">
      <c r="A98">
        <v>6</v>
      </c>
      <c r="B98">
        <v>17</v>
      </c>
      <c r="C98" t="str">
        <f t="shared" si="4"/>
        <v>6, 17</v>
      </c>
      <c r="D98" t="str">
        <f>INDEX(raw_menu_profitability!$B:$B, MATCH(C98, raw_menu_profitability!$J:$J, 0))</f>
        <v>Eataly Las Vegas</v>
      </c>
      <c r="E98" s="25">
        <f>INDEX(raw_menu_profitability!$F:$F, MATCH(C98, raw_menu_profitability!$J:$J, 0))</f>
        <v>8.5</v>
      </c>
      <c r="F98" t="str">
        <f>INDEX(raw_menu_profitability!$D:$D, MATCH(C98, raw_menu_profitability!$J:$J, 0))</f>
        <v>Pistachio Gelato</v>
      </c>
      <c r="G98" s="26">
        <f>INDEX(raw_menu_profitability!$G:$G, MATCH(C98, raw_menu_profitability!$J:$J, 0))</f>
        <v>1.5774999999999999</v>
      </c>
      <c r="H98" s="27">
        <f>E98-G98</f>
        <v>6.9225000000000003</v>
      </c>
      <c r="I98" s="28">
        <f>H98/E98</f>
        <v>0.81441176470588239</v>
      </c>
      <c r="J98">
        <f>IF(I98&lt;$H$1, 1, 0)</f>
        <v>0</v>
      </c>
    </row>
    <row r="99" spans="1:10">
      <c r="A99">
        <v>6</v>
      </c>
      <c r="B99">
        <v>18</v>
      </c>
      <c r="C99" t="str">
        <f t="shared" si="4"/>
        <v>6, 18</v>
      </c>
      <c r="D99" t="str">
        <f>INDEX(raw_menu_profitability!$B:$B, MATCH(C99, raw_menu_profitability!$J:$J, 0))</f>
        <v>Eataly Las Vegas</v>
      </c>
      <c r="E99" s="25">
        <f>INDEX(raw_menu_profitability!$F:$F, MATCH(C99, raw_menu_profitability!$J:$J, 0))</f>
        <v>25</v>
      </c>
      <c r="F99" t="str">
        <f>INDEX(raw_menu_profitability!$D:$D, MATCH(C99, raw_menu_profitability!$J:$J, 0))</f>
        <v>Insalata di Mare</v>
      </c>
      <c r="G99" s="26">
        <f>INDEX(raw_menu_profitability!$G:$G, MATCH(C99, raw_menu_profitability!$J:$J, 0))</f>
        <v>6.2374999999999998</v>
      </c>
      <c r="H99" s="27">
        <f>E99-G99</f>
        <v>18.762499999999999</v>
      </c>
      <c r="I99" s="28">
        <f>H99/E99</f>
        <v>0.75049999999999994</v>
      </c>
      <c r="J99">
        <f>IF(I99&lt;$H$1, 1, 0)</f>
        <v>0</v>
      </c>
    </row>
    <row r="100" spans="1:10">
      <c r="A100">
        <v>7</v>
      </c>
      <c r="B100">
        <v>1</v>
      </c>
      <c r="C100" t="str">
        <f t="shared" si="4"/>
        <v>7, 1</v>
      </c>
      <c r="D100" t="str">
        <f>INDEX(raw_menu_profitability!$B:$B, MATCH(C100, raw_menu_profitability!$J:$J, 0))</f>
        <v>Eataly Dallas</v>
      </c>
      <c r="E100" s="25">
        <f>INDEX(raw_menu_profitability!$F:$F, MATCH(C100, raw_menu_profitability!$J:$J, 0))</f>
        <v>19</v>
      </c>
      <c r="F100" t="str">
        <f>INDEX(raw_menu_profitability!$D:$D, MATCH(C100, raw_menu_profitability!$J:$J, 0))</f>
        <v>Spaghetti alla Carbonara</v>
      </c>
      <c r="G100" s="26">
        <f>INDEX(raw_menu_profitability!$G:$G, MATCH(C100, raw_menu_profitability!$J:$J, 0))</f>
        <v>3.81</v>
      </c>
      <c r="H100" s="27">
        <f>E100-G100</f>
        <v>15.19</v>
      </c>
      <c r="I100" s="28">
        <f>H100/E100</f>
        <v>0.79947368421052634</v>
      </c>
      <c r="J100">
        <f>IF(I100&lt;$H$1, 1, 0)</f>
        <v>0</v>
      </c>
    </row>
    <row r="101" spans="1:10">
      <c r="A101">
        <v>7</v>
      </c>
      <c r="B101">
        <v>2</v>
      </c>
      <c r="C101" t="str">
        <f t="shared" si="4"/>
        <v>7, 2</v>
      </c>
      <c r="D101" t="str">
        <f>INDEX(raw_menu_profitability!$B:$B, MATCH(C101, raw_menu_profitability!$J:$J, 0))</f>
        <v>Eataly Dallas</v>
      </c>
      <c r="E101" s="25">
        <f>INDEX(raw_menu_profitability!$F:$F, MATCH(C101, raw_menu_profitability!$J:$J, 0))</f>
        <v>21</v>
      </c>
      <c r="F101" t="str">
        <f>INDEX(raw_menu_profitability!$D:$D, MATCH(C101, raw_menu_profitability!$J:$J, 0))</f>
        <v>Margherita Pizza</v>
      </c>
      <c r="G101" s="26">
        <f>INDEX(raw_menu_profitability!$G:$G, MATCH(C101, raw_menu_profitability!$J:$J, 0))</f>
        <v>6.51</v>
      </c>
      <c r="H101" s="27">
        <f>E101-G101</f>
        <v>14.49</v>
      </c>
      <c r="I101" s="28">
        <f>H101/E101</f>
        <v>0.69000000000000006</v>
      </c>
      <c r="J101">
        <f>IF(I101&lt;$H$1, 1, 0)</f>
        <v>0</v>
      </c>
    </row>
    <row r="102" spans="1:10">
      <c r="A102">
        <v>7</v>
      </c>
      <c r="B102">
        <v>3</v>
      </c>
      <c r="C102" t="str">
        <f t="shared" si="4"/>
        <v>7, 3</v>
      </c>
      <c r="D102" t="str">
        <f>INDEX(raw_menu_profitability!$B:$B, MATCH(C102, raw_menu_profitability!$J:$J, 0))</f>
        <v>Eataly Dallas</v>
      </c>
      <c r="E102" s="25">
        <f>INDEX(raw_menu_profitability!$F:$F, MATCH(C102, raw_menu_profitability!$J:$J, 0))</f>
        <v>22</v>
      </c>
      <c r="F102" t="str">
        <f>INDEX(raw_menu_profitability!$D:$D, MATCH(C102, raw_menu_profitability!$J:$J, 0))</f>
        <v>Risotto alla Milanese</v>
      </c>
      <c r="G102" s="26">
        <f>INDEX(raw_menu_profitability!$G:$G, MATCH(C102, raw_menu_profitability!$J:$J, 0))</f>
        <v>3.41</v>
      </c>
      <c r="H102" s="27">
        <f>E102-G102</f>
        <v>18.59</v>
      </c>
      <c r="I102" s="28">
        <f>H102/E102</f>
        <v>0.84499999999999997</v>
      </c>
      <c r="J102">
        <f>IF(I102&lt;$H$1, 1, 0)</f>
        <v>0</v>
      </c>
    </row>
    <row r="103" spans="1:10">
      <c r="A103">
        <v>7</v>
      </c>
      <c r="B103">
        <v>4</v>
      </c>
      <c r="C103" t="str">
        <f t="shared" si="4"/>
        <v>7, 4</v>
      </c>
      <c r="D103" t="str">
        <f>INDEX(raw_menu_profitability!$B:$B, MATCH(C103, raw_menu_profitability!$J:$J, 0))</f>
        <v>Eataly Dallas</v>
      </c>
      <c r="E103" s="25">
        <f>INDEX(raw_menu_profitability!$F:$F, MATCH(C103, raw_menu_profitability!$J:$J, 0))</f>
        <v>18</v>
      </c>
      <c r="F103" t="str">
        <f>INDEX(raw_menu_profitability!$D:$D, MATCH(C103, raw_menu_profitability!$J:$J, 0))</f>
        <v>Caprese Salad</v>
      </c>
      <c r="G103" s="26">
        <f>INDEX(raw_menu_profitability!$G:$G, MATCH(C103, raw_menu_profitability!$J:$J, 0))</f>
        <v>6.8550000000000004</v>
      </c>
      <c r="H103" s="27">
        <f>E103-G103</f>
        <v>11.145</v>
      </c>
      <c r="I103" s="28">
        <f>H103/E103</f>
        <v>0.61916666666666664</v>
      </c>
      <c r="J103">
        <f>IF(I103&lt;$H$1, 1, 0)</f>
        <v>1</v>
      </c>
    </row>
    <row r="104" spans="1:10">
      <c r="A104">
        <v>7</v>
      </c>
      <c r="B104">
        <v>5</v>
      </c>
      <c r="C104" t="str">
        <f t="shared" si="4"/>
        <v>7, 5</v>
      </c>
      <c r="D104" t="str">
        <f>INDEX(raw_menu_profitability!$B:$B, MATCH(C104, raw_menu_profitability!$J:$J, 0))</f>
        <v>Eataly Dallas</v>
      </c>
      <c r="E104" s="25">
        <f>INDEX(raw_menu_profitability!$F:$F, MATCH(C104, raw_menu_profitability!$J:$J, 0))</f>
        <v>18.5</v>
      </c>
      <c r="F104" t="str">
        <f>INDEX(raw_menu_profitability!$D:$D, MATCH(C104, raw_menu_profitability!$J:$J, 0))</f>
        <v>Prosciutto e Melone</v>
      </c>
      <c r="G104" s="26">
        <f>INDEX(raw_menu_profitability!$G:$G, MATCH(C104, raw_menu_profitability!$J:$J, 0))</f>
        <v>6.55</v>
      </c>
      <c r="H104" s="27">
        <f>E104-G104</f>
        <v>11.95</v>
      </c>
      <c r="I104" s="28">
        <f>H104/E104</f>
        <v>0.6459459459459459</v>
      </c>
      <c r="J104">
        <f>IF(I104&lt;$H$1, 1, 0)</f>
        <v>1</v>
      </c>
    </row>
    <row r="105" spans="1:10">
      <c r="A105">
        <v>7</v>
      </c>
      <c r="B105">
        <v>6</v>
      </c>
      <c r="C105" t="str">
        <f t="shared" si="4"/>
        <v>7, 6</v>
      </c>
      <c r="D105" t="str">
        <f>INDEX(raw_menu_profitability!$B:$B, MATCH(C105, raw_menu_profitability!$J:$J, 0))</f>
        <v>Eataly Dallas</v>
      </c>
      <c r="E105" s="25">
        <f>INDEX(raw_menu_profitability!$F:$F, MATCH(C105, raw_menu_profitability!$J:$J, 0))</f>
        <v>19.5</v>
      </c>
      <c r="F105" t="str">
        <f>INDEX(raw_menu_profitability!$D:$D, MATCH(C105, raw_menu_profitability!$J:$J, 0))</f>
        <v>Bucatini all'Amatriciana</v>
      </c>
      <c r="G105" s="26">
        <f>INDEX(raw_menu_profitability!$G:$G, MATCH(C105, raw_menu_profitability!$J:$J, 0))</f>
        <v>4.5750000000000002</v>
      </c>
      <c r="H105" s="27">
        <f>E105-G105</f>
        <v>14.925000000000001</v>
      </c>
      <c r="I105" s="28">
        <f>H105/E105</f>
        <v>0.76538461538461544</v>
      </c>
      <c r="J105">
        <f>IF(I105&lt;$H$1, 1, 0)</f>
        <v>0</v>
      </c>
    </row>
    <row r="106" spans="1:10">
      <c r="A106">
        <v>7</v>
      </c>
      <c r="B106">
        <v>7</v>
      </c>
      <c r="C106" t="str">
        <f t="shared" si="4"/>
        <v>7, 7</v>
      </c>
      <c r="D106" t="str">
        <f>INDEX(raw_menu_profitability!$B:$B, MATCH(C106, raw_menu_profitability!$J:$J, 0))</f>
        <v>Eataly Dallas</v>
      </c>
      <c r="E106" s="25">
        <f>INDEX(raw_menu_profitability!$F:$F, MATCH(C106, raw_menu_profitability!$J:$J, 0))</f>
        <v>9</v>
      </c>
      <c r="F106" t="str">
        <f>INDEX(raw_menu_profitability!$D:$D, MATCH(C106, raw_menu_profitability!$J:$J, 0))</f>
        <v>Tiramisu</v>
      </c>
      <c r="G106" s="26">
        <f>INDEX(raw_menu_profitability!$G:$G, MATCH(C106, raw_menu_profitability!$J:$J, 0))</f>
        <v>2.8774999999999999</v>
      </c>
      <c r="H106" s="27">
        <f>E106-G106</f>
        <v>6.1225000000000005</v>
      </c>
      <c r="I106" s="28">
        <f>H106/E106</f>
        <v>0.68027777777777787</v>
      </c>
      <c r="J106">
        <f>IF(I106&lt;$H$1, 1, 0)</f>
        <v>0</v>
      </c>
    </row>
    <row r="107" spans="1:10">
      <c r="A107">
        <v>7</v>
      </c>
      <c r="B107">
        <v>8</v>
      </c>
      <c r="C107" t="str">
        <f t="shared" si="4"/>
        <v>7, 8</v>
      </c>
      <c r="D107" t="str">
        <f>INDEX(raw_menu_profitability!$B:$B, MATCH(C107, raw_menu_profitability!$J:$J, 0))</f>
        <v>Eataly Dallas</v>
      </c>
      <c r="E107" s="25">
        <f>INDEX(raw_menu_profitability!$F:$F, MATCH(C107, raw_menu_profitability!$J:$J, 0))</f>
        <v>11</v>
      </c>
      <c r="F107" t="str">
        <f>INDEX(raw_menu_profitability!$D:$D, MATCH(C107, raw_menu_profitability!$J:$J, 0))</f>
        <v>Focaccia Genovese</v>
      </c>
      <c r="G107" s="26">
        <f>INDEX(raw_menu_profitability!$G:$G, MATCH(C107, raw_menu_profitability!$J:$J, 0))</f>
        <v>0.64500000000000002</v>
      </c>
      <c r="H107" s="27">
        <f>E107-G107</f>
        <v>10.355</v>
      </c>
      <c r="I107" s="28">
        <f>H107/E107</f>
        <v>0.9413636363636364</v>
      </c>
      <c r="J107">
        <f>IF(I107&lt;$H$1, 1, 0)</f>
        <v>0</v>
      </c>
    </row>
    <row r="108" spans="1:10">
      <c r="A108">
        <v>7</v>
      </c>
      <c r="B108">
        <v>9</v>
      </c>
      <c r="C108" t="str">
        <f t="shared" si="4"/>
        <v>7, 9</v>
      </c>
      <c r="D108" t="str">
        <f>INDEX(raw_menu_profitability!$B:$B, MATCH(C108, raw_menu_profitability!$J:$J, 0))</f>
        <v>Eataly Dallas</v>
      </c>
      <c r="E108" s="25">
        <f>INDEX(raw_menu_profitability!$F:$F, MATCH(C108, raw_menu_profitability!$J:$J, 0))</f>
        <v>43</v>
      </c>
      <c r="F108" t="str">
        <f>INDEX(raw_menu_profitability!$D:$D, MATCH(C108, raw_menu_profitability!$J:$J, 0))</f>
        <v>Osso Buco</v>
      </c>
      <c r="G108" s="26">
        <f>INDEX(raw_menu_profitability!$G:$G, MATCH(C108, raw_menu_profitability!$J:$J, 0))</f>
        <v>15.8575</v>
      </c>
      <c r="H108" s="27">
        <f>E108-G108</f>
        <v>27.142499999999998</v>
      </c>
      <c r="I108" s="28">
        <f>H108/E108</f>
        <v>0.6312209302325581</v>
      </c>
      <c r="J108">
        <f>IF(I108&lt;$H$1, 1, 0)</f>
        <v>1</v>
      </c>
    </row>
    <row r="109" spans="1:10">
      <c r="A109">
        <v>7</v>
      </c>
      <c r="B109">
        <v>10</v>
      </c>
      <c r="C109" t="str">
        <f t="shared" si="4"/>
        <v>7, 10</v>
      </c>
      <c r="D109" t="str">
        <f>INDEX(raw_menu_profitability!$B:$B, MATCH(C109, raw_menu_profitability!$J:$J, 0))</f>
        <v>Eataly Dallas</v>
      </c>
      <c r="E109" s="25">
        <f>INDEX(raw_menu_profitability!$F:$F, MATCH(C109, raw_menu_profitability!$J:$J, 0))</f>
        <v>12</v>
      </c>
      <c r="F109" t="str">
        <f>INDEX(raw_menu_profitability!$D:$D, MATCH(C109, raw_menu_profitability!$J:$J, 0))</f>
        <v>Panzanella</v>
      </c>
      <c r="G109" s="26">
        <f>INDEX(raw_menu_profitability!$G:$G, MATCH(C109, raw_menu_profitability!$J:$J, 0))</f>
        <v>1.9850000000000001</v>
      </c>
      <c r="H109" s="27">
        <f>E109-G109</f>
        <v>10.015000000000001</v>
      </c>
      <c r="I109" s="28">
        <f>H109/E109</f>
        <v>0.83458333333333334</v>
      </c>
      <c r="J109">
        <f>IF(I109&lt;$H$1, 1, 0)</f>
        <v>0</v>
      </c>
    </row>
    <row r="110" spans="1:10">
      <c r="A110">
        <v>7</v>
      </c>
      <c r="B110">
        <v>11</v>
      </c>
      <c r="C110" t="str">
        <f t="shared" si="4"/>
        <v>7, 11</v>
      </c>
      <c r="D110" t="str">
        <f>INDEX(raw_menu_profitability!$B:$B, MATCH(C110, raw_menu_profitability!$J:$J, 0))</f>
        <v>Eataly Dallas</v>
      </c>
      <c r="E110" s="25">
        <f>INDEX(raw_menu_profitability!$F:$F, MATCH(C110, raw_menu_profitability!$J:$J, 0))</f>
        <v>18.5</v>
      </c>
      <c r="F110" t="str">
        <f>INDEX(raw_menu_profitability!$D:$D, MATCH(C110, raw_menu_profitability!$J:$J, 0))</f>
        <v>Cacio e Pepe</v>
      </c>
      <c r="G110" s="26">
        <f>INDEX(raw_menu_profitability!$G:$G, MATCH(C110, raw_menu_profitability!$J:$J, 0))</f>
        <v>2.1074999999999999</v>
      </c>
      <c r="H110" s="27">
        <f>E110-G110</f>
        <v>16.392499999999998</v>
      </c>
      <c r="I110" s="28">
        <f>H110/E110</f>
        <v>0.88608108108108097</v>
      </c>
      <c r="J110">
        <f>IF(I110&lt;$H$1, 1, 0)</f>
        <v>0</v>
      </c>
    </row>
    <row r="111" spans="1:10">
      <c r="A111">
        <v>7</v>
      </c>
      <c r="B111">
        <v>12</v>
      </c>
      <c r="C111" t="str">
        <f t="shared" si="4"/>
        <v>7, 12</v>
      </c>
      <c r="D111" t="str">
        <f>INDEX(raw_menu_profitability!$B:$B, MATCH(C111, raw_menu_profitability!$J:$J, 0))</f>
        <v>Eataly Dallas</v>
      </c>
      <c r="E111" s="25">
        <f>INDEX(raw_menu_profitability!$F:$F, MATCH(C111, raw_menu_profitability!$J:$J, 0))</f>
        <v>19</v>
      </c>
      <c r="F111" t="str">
        <f>INDEX(raw_menu_profitability!$D:$D, MATCH(C111, raw_menu_profitability!$J:$J, 0))</f>
        <v>Pesto alla Genovese</v>
      </c>
      <c r="G111" s="26">
        <f>INDEX(raw_menu_profitability!$G:$G, MATCH(C111, raw_menu_profitability!$J:$J, 0))</f>
        <v>2.5924999999999998</v>
      </c>
      <c r="H111" s="27">
        <f>E111-G111</f>
        <v>16.407499999999999</v>
      </c>
      <c r="I111" s="28">
        <f>H111/E111</f>
        <v>0.86355263157894735</v>
      </c>
      <c r="J111">
        <f>IF(I111&lt;$H$1, 1, 0)</f>
        <v>0</v>
      </c>
    </row>
    <row r="112" spans="1:10">
      <c r="A112">
        <v>7</v>
      </c>
      <c r="B112">
        <v>13</v>
      </c>
      <c r="C112" t="str">
        <f t="shared" si="4"/>
        <v>7, 13</v>
      </c>
      <c r="D112" t="str">
        <f>INDEX(raw_menu_profitability!$B:$B, MATCH(C112, raw_menu_profitability!$J:$J, 0))</f>
        <v>Eataly Dallas</v>
      </c>
      <c r="E112" s="25">
        <f>INDEX(raw_menu_profitability!$F:$F, MATCH(C112, raw_menu_profitability!$J:$J, 0))</f>
        <v>19.5</v>
      </c>
      <c r="F112" t="str">
        <f>INDEX(raw_menu_profitability!$D:$D, MATCH(C112, raw_menu_profitability!$J:$J, 0))</f>
        <v>Quattro Formaggi Pizza</v>
      </c>
      <c r="G112" s="26">
        <f>INDEX(raw_menu_profitability!$G:$G, MATCH(C112, raw_menu_profitability!$J:$J, 0))</f>
        <v>6.94</v>
      </c>
      <c r="H112" s="27">
        <f>E112-G112</f>
        <v>12.559999999999999</v>
      </c>
      <c r="I112" s="28">
        <f>H112/E112</f>
        <v>0.64410256410256406</v>
      </c>
      <c r="J112">
        <f>IF(I112&lt;$H$1, 1, 0)</f>
        <v>1</v>
      </c>
    </row>
    <row r="113" spans="1:10">
      <c r="A113">
        <v>7</v>
      </c>
      <c r="B113">
        <v>14</v>
      </c>
      <c r="C113" t="str">
        <f t="shared" si="4"/>
        <v>7, 14</v>
      </c>
      <c r="D113" t="str">
        <f>INDEX(raw_menu_profitability!$B:$B, MATCH(C113, raw_menu_profitability!$J:$J, 0))</f>
        <v>Eataly Dallas</v>
      </c>
      <c r="E113" s="25">
        <f>INDEX(raw_menu_profitability!$F:$F, MATCH(C113, raw_menu_profitability!$J:$J, 0))</f>
        <v>24.5</v>
      </c>
      <c r="F113" t="str">
        <f>INDEX(raw_menu_profitability!$D:$D, MATCH(C113, raw_menu_profitability!$J:$J, 0))</f>
        <v>Porchetta</v>
      </c>
      <c r="G113" s="26">
        <f>INDEX(raw_menu_profitability!$G:$G, MATCH(C113, raw_menu_profitability!$J:$J, 0))</f>
        <v>3.5283329999999999</v>
      </c>
      <c r="H113" s="27">
        <f>E113-G113</f>
        <v>20.971667</v>
      </c>
      <c r="I113" s="28">
        <f>H113/E113</f>
        <v>0.85598640816326532</v>
      </c>
      <c r="J113">
        <f>IF(I113&lt;$H$1, 1, 0)</f>
        <v>0</v>
      </c>
    </row>
    <row r="114" spans="1:10">
      <c r="A114">
        <v>7</v>
      </c>
      <c r="B114">
        <v>15</v>
      </c>
      <c r="C114" t="str">
        <f t="shared" si="4"/>
        <v>7, 15</v>
      </c>
      <c r="D114" t="str">
        <f>INDEX(raw_menu_profitability!$B:$B, MATCH(C114, raw_menu_profitability!$J:$J, 0))</f>
        <v>Eataly Dallas</v>
      </c>
      <c r="E114" s="25">
        <f>INDEX(raw_menu_profitability!$F:$F, MATCH(C114, raw_menu_profitability!$J:$J, 0))</f>
        <v>21</v>
      </c>
      <c r="F114" t="str">
        <f>INDEX(raw_menu_profitability!$D:$D, MATCH(C114, raw_menu_profitability!$J:$J, 0))</f>
        <v>Pollo alla Griglia</v>
      </c>
      <c r="G114" s="26">
        <f>INDEX(raw_menu_profitability!$G:$G, MATCH(C114, raw_menu_profitability!$J:$J, 0))</f>
        <v>2.3650000000000002</v>
      </c>
      <c r="H114" s="27">
        <f>E114-G114</f>
        <v>18.634999999999998</v>
      </c>
      <c r="I114" s="28">
        <f>H114/E114</f>
        <v>0.88738095238095227</v>
      </c>
      <c r="J114">
        <f>IF(I114&lt;$H$1, 1, 0)</f>
        <v>0</v>
      </c>
    </row>
    <row r="115" spans="1:10">
      <c r="A115">
        <v>7</v>
      </c>
      <c r="B115">
        <v>16</v>
      </c>
      <c r="C115" t="str">
        <f t="shared" si="4"/>
        <v>7, 16</v>
      </c>
      <c r="D115" t="str">
        <f>INDEX(raw_menu_profitability!$B:$B, MATCH(C115, raw_menu_profitability!$J:$J, 0))</f>
        <v>Eataly Dallas</v>
      </c>
      <c r="E115" s="25">
        <f>INDEX(raw_menu_profitability!$F:$F, MATCH(C115, raw_menu_profitability!$J:$J, 0))</f>
        <v>7.5</v>
      </c>
      <c r="F115" t="str">
        <f>INDEX(raw_menu_profitability!$D:$D, MATCH(C115, raw_menu_profitability!$J:$J, 0))</f>
        <v>Cannoli</v>
      </c>
      <c r="G115" s="26">
        <f>INDEX(raw_menu_profitability!$G:$G, MATCH(C115, raw_menu_profitability!$J:$J, 0))</f>
        <v>1.4383330000000001</v>
      </c>
      <c r="H115" s="27">
        <f>E115-G115</f>
        <v>6.0616669999999999</v>
      </c>
      <c r="I115" s="28">
        <f>H115/E115</f>
        <v>0.80822226666666663</v>
      </c>
      <c r="J115">
        <f>IF(I115&lt;$H$1, 1, 0)</f>
        <v>0</v>
      </c>
    </row>
    <row r="116" spans="1:10">
      <c r="A116">
        <v>7</v>
      </c>
      <c r="B116">
        <v>17</v>
      </c>
      <c r="C116" t="str">
        <f t="shared" si="4"/>
        <v>7, 17</v>
      </c>
      <c r="D116" t="str">
        <f>INDEX(raw_menu_profitability!$B:$B, MATCH(C116, raw_menu_profitability!$J:$J, 0))</f>
        <v>Eataly Dallas</v>
      </c>
      <c r="E116" s="25">
        <f>INDEX(raw_menu_profitability!$F:$F, MATCH(C116, raw_menu_profitability!$J:$J, 0))</f>
        <v>7</v>
      </c>
      <c r="F116" t="str">
        <f>INDEX(raw_menu_profitability!$D:$D, MATCH(C116, raw_menu_profitability!$J:$J, 0))</f>
        <v>Pistachio Gelato</v>
      </c>
      <c r="G116" s="26">
        <f>INDEX(raw_menu_profitability!$G:$G, MATCH(C116, raw_menu_profitability!$J:$J, 0))</f>
        <v>1.4087499999999999</v>
      </c>
      <c r="H116" s="27">
        <f>E116-G116</f>
        <v>5.5912500000000005</v>
      </c>
      <c r="I116" s="28">
        <f>H116/E116</f>
        <v>0.79875000000000007</v>
      </c>
      <c r="J116">
        <f>IF(I116&lt;$H$1, 1, 0)</f>
        <v>0</v>
      </c>
    </row>
    <row r="117" spans="1:10">
      <c r="A117">
        <v>7</v>
      </c>
      <c r="B117">
        <v>18</v>
      </c>
      <c r="C117" t="str">
        <f t="shared" si="4"/>
        <v>7, 18</v>
      </c>
      <c r="D117" t="str">
        <f>INDEX(raw_menu_profitability!$B:$B, MATCH(C117, raw_menu_profitability!$J:$J, 0))</f>
        <v>Eataly Dallas</v>
      </c>
      <c r="E117" s="25">
        <f>INDEX(raw_menu_profitability!$F:$F, MATCH(C117, raw_menu_profitability!$J:$J, 0))</f>
        <v>20.5</v>
      </c>
      <c r="F117" t="str">
        <f>INDEX(raw_menu_profitability!$D:$D, MATCH(C117, raw_menu_profitability!$J:$J, 0))</f>
        <v>Insalata di Mare</v>
      </c>
      <c r="G117" s="26">
        <f>INDEX(raw_menu_profitability!$G:$G, MATCH(C117, raw_menu_profitability!$J:$J, 0))</f>
        <v>5.9950000000000001</v>
      </c>
      <c r="H117" s="27">
        <f>E117-G117</f>
        <v>14.504999999999999</v>
      </c>
      <c r="I117" s="28">
        <f>H117/E117</f>
        <v>0.70756097560975606</v>
      </c>
      <c r="J117">
        <f>IF(I117&lt;$H$1, 1, 0)</f>
        <v>0</v>
      </c>
    </row>
    <row r="118" spans="1:10">
      <c r="A118">
        <v>8</v>
      </c>
      <c r="B118">
        <v>1</v>
      </c>
      <c r="C118" t="str">
        <f t="shared" si="4"/>
        <v>8, 1</v>
      </c>
      <c r="D118" t="str">
        <f>INDEX(raw_menu_profitability!$B:$B, MATCH(C118, raw_menu_profitability!$J:$J, 0))</f>
        <v>Eataly San Jose</v>
      </c>
      <c r="E118" s="25">
        <f>INDEX(raw_menu_profitability!$F:$F, MATCH(C118, raw_menu_profitability!$J:$J, 0))</f>
        <v>21.5</v>
      </c>
      <c r="F118" t="str">
        <f>INDEX(raw_menu_profitability!$D:$D, MATCH(C118, raw_menu_profitability!$J:$J, 0))</f>
        <v>Spaghetti alla Carbonara</v>
      </c>
      <c r="G118" s="26">
        <f>INDEX(raw_menu_profitability!$G:$G, MATCH(C118, raw_menu_profitability!$J:$J, 0))</f>
        <v>4.7324999999999999</v>
      </c>
      <c r="H118" s="27">
        <f>E118-G118</f>
        <v>16.767499999999998</v>
      </c>
      <c r="I118" s="28">
        <f>H118/E118</f>
        <v>0.7798837209302325</v>
      </c>
      <c r="J118">
        <f>IF(I118&lt;$H$1, 1, 0)</f>
        <v>0</v>
      </c>
    </row>
    <row r="119" spans="1:10">
      <c r="A119">
        <v>8</v>
      </c>
      <c r="B119">
        <v>2</v>
      </c>
      <c r="C119" t="str">
        <f t="shared" si="4"/>
        <v>8, 2</v>
      </c>
      <c r="D119" t="str">
        <f>INDEX(raw_menu_profitability!$B:$B, MATCH(C119, raw_menu_profitability!$J:$J, 0))</f>
        <v>Eataly San Jose</v>
      </c>
      <c r="E119" s="25">
        <f>INDEX(raw_menu_profitability!$F:$F, MATCH(C119, raw_menu_profitability!$J:$J, 0))</f>
        <v>24</v>
      </c>
      <c r="F119" t="str">
        <f>INDEX(raw_menu_profitability!$D:$D, MATCH(C119, raw_menu_profitability!$J:$J, 0))</f>
        <v>Margherita Pizza</v>
      </c>
      <c r="G119" s="26">
        <f>INDEX(raw_menu_profitability!$G:$G, MATCH(C119, raw_menu_profitability!$J:$J, 0))</f>
        <v>7.6849999999999996</v>
      </c>
      <c r="H119" s="27">
        <f>E119-G119</f>
        <v>16.315000000000001</v>
      </c>
      <c r="I119" s="28">
        <f>H119/E119</f>
        <v>0.67979166666666668</v>
      </c>
      <c r="J119">
        <f>IF(I119&lt;$H$1, 1, 0)</f>
        <v>0</v>
      </c>
    </row>
    <row r="120" spans="1:10">
      <c r="A120">
        <v>8</v>
      </c>
      <c r="B120">
        <v>3</v>
      </c>
      <c r="C120" t="str">
        <f t="shared" si="4"/>
        <v>8, 3</v>
      </c>
      <c r="D120" t="str">
        <f>INDEX(raw_menu_profitability!$B:$B, MATCH(C120, raw_menu_profitability!$J:$J, 0))</f>
        <v>Eataly San Jose</v>
      </c>
      <c r="E120" s="25">
        <f>INDEX(raw_menu_profitability!$F:$F, MATCH(C120, raw_menu_profitability!$J:$J, 0))</f>
        <v>25</v>
      </c>
      <c r="F120" t="str">
        <f>INDEX(raw_menu_profitability!$D:$D, MATCH(C120, raw_menu_profitability!$J:$J, 0))</f>
        <v>Risotto alla Milanese</v>
      </c>
      <c r="G120" s="26">
        <f>INDEX(raw_menu_profitability!$G:$G, MATCH(C120, raw_menu_profitability!$J:$J, 0))</f>
        <v>3.7425000000000002</v>
      </c>
      <c r="H120" s="27">
        <f>E120-G120</f>
        <v>21.2575</v>
      </c>
      <c r="I120" s="28">
        <f>H120/E120</f>
        <v>0.85030000000000006</v>
      </c>
      <c r="J120">
        <f>IF(I120&lt;$H$1, 1, 0)</f>
        <v>0</v>
      </c>
    </row>
    <row r="121" spans="1:10">
      <c r="A121">
        <v>8</v>
      </c>
      <c r="B121">
        <v>4</v>
      </c>
      <c r="C121" t="str">
        <f t="shared" si="4"/>
        <v>8, 4</v>
      </c>
      <c r="D121" t="str">
        <f>INDEX(raw_menu_profitability!$B:$B, MATCH(C121, raw_menu_profitability!$J:$J, 0))</f>
        <v>Eataly San Jose</v>
      </c>
      <c r="E121" s="25">
        <f>INDEX(raw_menu_profitability!$F:$F, MATCH(C121, raw_menu_profitability!$J:$J, 0))</f>
        <v>20.5</v>
      </c>
      <c r="F121" t="str">
        <f>INDEX(raw_menu_profitability!$D:$D, MATCH(C121, raw_menu_profitability!$J:$J, 0))</f>
        <v>Caprese Salad</v>
      </c>
      <c r="G121" s="26">
        <f>INDEX(raw_menu_profitability!$G:$G, MATCH(C121, raw_menu_profitability!$J:$J, 0))</f>
        <v>7.7750000000000004</v>
      </c>
      <c r="H121" s="27">
        <f>E121-G121</f>
        <v>12.725</v>
      </c>
      <c r="I121" s="28">
        <f>H121/E121</f>
        <v>0.62073170731707317</v>
      </c>
      <c r="J121">
        <f>IF(I121&lt;$H$1, 1, 0)</f>
        <v>1</v>
      </c>
    </row>
    <row r="122" spans="1:10">
      <c r="A122">
        <v>8</v>
      </c>
      <c r="B122">
        <v>5</v>
      </c>
      <c r="C122" t="str">
        <f t="shared" si="4"/>
        <v>8, 5</v>
      </c>
      <c r="D122" t="str">
        <f>INDEX(raw_menu_profitability!$B:$B, MATCH(C122, raw_menu_profitability!$J:$J, 0))</f>
        <v>Eataly San Jose</v>
      </c>
      <c r="E122" s="25">
        <f>INDEX(raw_menu_profitability!$F:$F, MATCH(C122, raw_menu_profitability!$J:$J, 0))</f>
        <v>21</v>
      </c>
      <c r="F122" t="str">
        <f>INDEX(raw_menu_profitability!$D:$D, MATCH(C122, raw_menu_profitability!$J:$J, 0))</f>
        <v>Prosciutto e Melone</v>
      </c>
      <c r="G122" s="26">
        <f>INDEX(raw_menu_profitability!$G:$G, MATCH(C122, raw_menu_profitability!$J:$J, 0))</f>
        <v>7.05</v>
      </c>
      <c r="H122" s="27">
        <f>E122-G122</f>
        <v>13.95</v>
      </c>
      <c r="I122" s="28">
        <f>H122/E122</f>
        <v>0.66428571428571426</v>
      </c>
      <c r="J122">
        <f>IF(I122&lt;$H$1, 1, 0)</f>
        <v>0</v>
      </c>
    </row>
    <row r="123" spans="1:10">
      <c r="A123">
        <v>8</v>
      </c>
      <c r="B123">
        <v>6</v>
      </c>
      <c r="C123" t="str">
        <f t="shared" si="4"/>
        <v>8, 6</v>
      </c>
      <c r="D123" t="str">
        <f>INDEX(raw_menu_profitability!$B:$B, MATCH(C123, raw_menu_profitability!$J:$J, 0))</f>
        <v>Eataly San Jose</v>
      </c>
      <c r="E123" s="25">
        <f>INDEX(raw_menu_profitability!$F:$F, MATCH(C123, raw_menu_profitability!$J:$J, 0))</f>
        <v>22.5</v>
      </c>
      <c r="F123" t="str">
        <f>INDEX(raw_menu_profitability!$D:$D, MATCH(C123, raw_menu_profitability!$J:$J, 0))</f>
        <v>Bucatini all'Amatriciana</v>
      </c>
      <c r="G123" s="26">
        <f>INDEX(raw_menu_profitability!$G:$G, MATCH(C123, raw_menu_profitability!$J:$J, 0))</f>
        <v>5.45</v>
      </c>
      <c r="H123" s="27">
        <f>E123-G123</f>
        <v>17.05</v>
      </c>
      <c r="I123" s="28">
        <f>H123/E123</f>
        <v>0.75777777777777777</v>
      </c>
      <c r="J123">
        <f>IF(I123&lt;$H$1, 1, 0)</f>
        <v>0</v>
      </c>
    </row>
    <row r="124" spans="1:10">
      <c r="A124">
        <v>8</v>
      </c>
      <c r="B124">
        <v>7</v>
      </c>
      <c r="C124" t="str">
        <f t="shared" si="4"/>
        <v>8, 7</v>
      </c>
      <c r="D124" t="str">
        <f>INDEX(raw_menu_profitability!$B:$B, MATCH(C124, raw_menu_profitability!$J:$J, 0))</f>
        <v>Eataly San Jose</v>
      </c>
      <c r="E124" s="25">
        <f>INDEX(raw_menu_profitability!$F:$F, MATCH(C124, raw_menu_profitability!$J:$J, 0))</f>
        <v>10.5</v>
      </c>
      <c r="F124" t="str">
        <f>INDEX(raw_menu_profitability!$D:$D, MATCH(C124, raw_menu_profitability!$J:$J, 0))</f>
        <v>Tiramisu</v>
      </c>
      <c r="G124" s="26">
        <f>INDEX(raw_menu_profitability!$G:$G, MATCH(C124, raw_menu_profitability!$J:$J, 0))</f>
        <v>3.1087500000000001</v>
      </c>
      <c r="H124" s="27">
        <f>E124-G124</f>
        <v>7.3912499999999994</v>
      </c>
      <c r="I124" s="28">
        <f>H124/E124</f>
        <v>0.70392857142857135</v>
      </c>
      <c r="J124">
        <f>IF(I124&lt;$H$1, 1, 0)</f>
        <v>0</v>
      </c>
    </row>
    <row r="125" spans="1:10">
      <c r="A125">
        <v>8</v>
      </c>
      <c r="B125">
        <v>8</v>
      </c>
      <c r="C125" t="str">
        <f t="shared" si="4"/>
        <v>8, 8</v>
      </c>
      <c r="D125" t="str">
        <f>INDEX(raw_menu_profitability!$B:$B, MATCH(C125, raw_menu_profitability!$J:$J, 0))</f>
        <v>Eataly San Jose</v>
      </c>
      <c r="E125" s="25">
        <f>INDEX(raw_menu_profitability!$F:$F, MATCH(C125, raw_menu_profitability!$J:$J, 0))</f>
        <v>12</v>
      </c>
      <c r="F125" t="str">
        <f>INDEX(raw_menu_profitability!$D:$D, MATCH(C125, raw_menu_profitability!$J:$J, 0))</f>
        <v>Focaccia Genovese</v>
      </c>
      <c r="G125" s="26">
        <f>INDEX(raw_menu_profitability!$G:$G, MATCH(C125, raw_menu_profitability!$J:$J, 0))</f>
        <v>0.7</v>
      </c>
      <c r="H125" s="27">
        <f>E125-G125</f>
        <v>11.3</v>
      </c>
      <c r="I125" s="28">
        <f>H125/E125</f>
        <v>0.94166666666666676</v>
      </c>
      <c r="J125">
        <f>IF(I125&lt;$H$1, 1, 0)</f>
        <v>0</v>
      </c>
    </row>
    <row r="126" spans="1:10">
      <c r="A126">
        <v>8</v>
      </c>
      <c r="B126">
        <v>9</v>
      </c>
      <c r="C126" t="str">
        <f t="shared" si="4"/>
        <v>8, 9</v>
      </c>
      <c r="D126" t="str">
        <f>INDEX(raw_menu_profitability!$B:$B, MATCH(C126, raw_menu_profitability!$J:$J, 0))</f>
        <v>Eataly San Jose</v>
      </c>
      <c r="E126" s="25">
        <f>INDEX(raw_menu_profitability!$F:$F, MATCH(C126, raw_menu_profitability!$J:$J, 0))</f>
        <v>48.5</v>
      </c>
      <c r="F126" t="str">
        <f>INDEX(raw_menu_profitability!$D:$D, MATCH(C126, raw_menu_profitability!$J:$J, 0))</f>
        <v>Osso Buco</v>
      </c>
      <c r="G126" s="26">
        <f>INDEX(raw_menu_profitability!$G:$G, MATCH(C126, raw_menu_profitability!$J:$J, 0))</f>
        <v>20.114999999999998</v>
      </c>
      <c r="H126" s="27">
        <f>E126-G126</f>
        <v>28.385000000000002</v>
      </c>
      <c r="I126" s="28">
        <f>H126/E126</f>
        <v>0.58525773195876296</v>
      </c>
      <c r="J126">
        <f>IF(I126&lt;$H$1, 1, 0)</f>
        <v>1</v>
      </c>
    </row>
    <row r="127" spans="1:10">
      <c r="A127">
        <v>8</v>
      </c>
      <c r="B127">
        <v>10</v>
      </c>
      <c r="C127" t="str">
        <f t="shared" si="4"/>
        <v>8, 10</v>
      </c>
      <c r="D127" t="str">
        <f>INDEX(raw_menu_profitability!$B:$B, MATCH(C127, raw_menu_profitability!$J:$J, 0))</f>
        <v>Eataly San Jose</v>
      </c>
      <c r="E127" s="25">
        <f>INDEX(raw_menu_profitability!$F:$F, MATCH(C127, raw_menu_profitability!$J:$J, 0))</f>
        <v>14</v>
      </c>
      <c r="F127" t="str">
        <f>INDEX(raw_menu_profitability!$D:$D, MATCH(C127, raw_menu_profitability!$J:$J, 0))</f>
        <v>Panzanella</v>
      </c>
      <c r="G127" s="26">
        <f>INDEX(raw_menu_profitability!$G:$G, MATCH(C127, raw_menu_profitability!$J:$J, 0))</f>
        <v>1.9624999999999999</v>
      </c>
      <c r="H127" s="27">
        <f>E127-G127</f>
        <v>12.0375</v>
      </c>
      <c r="I127" s="28">
        <f>H127/E127</f>
        <v>0.85982142857142851</v>
      </c>
      <c r="J127">
        <f>IF(I127&lt;$H$1, 1, 0)</f>
        <v>0</v>
      </c>
    </row>
    <row r="128" spans="1:10">
      <c r="A128">
        <v>8</v>
      </c>
      <c r="B128">
        <v>11</v>
      </c>
      <c r="C128" t="str">
        <f t="shared" si="4"/>
        <v>8, 11</v>
      </c>
      <c r="D128" t="str">
        <f>INDEX(raw_menu_profitability!$B:$B, MATCH(C128, raw_menu_profitability!$J:$J, 0))</f>
        <v>Eataly San Jose</v>
      </c>
      <c r="E128" s="25">
        <f>INDEX(raw_menu_profitability!$F:$F, MATCH(C128, raw_menu_profitability!$J:$J, 0))</f>
        <v>21</v>
      </c>
      <c r="F128" t="str">
        <f>INDEX(raw_menu_profitability!$D:$D, MATCH(C128, raw_menu_profitability!$J:$J, 0))</f>
        <v>Cacio e Pepe</v>
      </c>
      <c r="G128" s="26">
        <f>INDEX(raw_menu_profitability!$G:$G, MATCH(C128, raw_menu_profitability!$J:$J, 0))</f>
        <v>2.35</v>
      </c>
      <c r="H128" s="27">
        <f>E128-G128</f>
        <v>18.649999999999999</v>
      </c>
      <c r="I128" s="28">
        <f>H128/E128</f>
        <v>0.88809523809523805</v>
      </c>
      <c r="J128">
        <f>IF(I128&lt;$H$1, 1, 0)</f>
        <v>0</v>
      </c>
    </row>
    <row r="129" spans="1:10">
      <c r="A129">
        <v>8</v>
      </c>
      <c r="B129">
        <v>12</v>
      </c>
      <c r="C129" t="str">
        <f t="shared" si="4"/>
        <v>8, 12</v>
      </c>
      <c r="D129" t="str">
        <f>INDEX(raw_menu_profitability!$B:$B, MATCH(C129, raw_menu_profitability!$J:$J, 0))</f>
        <v>Eataly San Jose</v>
      </c>
      <c r="E129" s="25">
        <f>INDEX(raw_menu_profitability!$F:$F, MATCH(C129, raw_menu_profitability!$J:$J, 0))</f>
        <v>21.5</v>
      </c>
      <c r="F129" t="str">
        <f>INDEX(raw_menu_profitability!$D:$D, MATCH(C129, raw_menu_profitability!$J:$J, 0))</f>
        <v>Pesto alla Genovese</v>
      </c>
      <c r="G129" s="26">
        <f>INDEX(raw_menu_profitability!$G:$G, MATCH(C129, raw_menu_profitability!$J:$J, 0))</f>
        <v>2.7675000000000001</v>
      </c>
      <c r="H129" s="27">
        <f>E129-G129</f>
        <v>18.732500000000002</v>
      </c>
      <c r="I129" s="28">
        <f>H129/E129</f>
        <v>0.87127906976744196</v>
      </c>
      <c r="J129">
        <f>IF(I129&lt;$H$1, 1, 0)</f>
        <v>0</v>
      </c>
    </row>
    <row r="130" spans="1:10">
      <c r="A130">
        <v>8</v>
      </c>
      <c r="B130">
        <v>13</v>
      </c>
      <c r="C130" t="str">
        <f t="shared" si="4"/>
        <v>8, 13</v>
      </c>
      <c r="D130" t="str">
        <f>INDEX(raw_menu_profitability!$B:$B, MATCH(C130, raw_menu_profitability!$J:$J, 0))</f>
        <v>Eataly San Jose</v>
      </c>
      <c r="E130" s="25">
        <f>INDEX(raw_menu_profitability!$F:$F, MATCH(C130, raw_menu_profitability!$J:$J, 0))</f>
        <v>22.5</v>
      </c>
      <c r="F130" t="str">
        <f>INDEX(raw_menu_profitability!$D:$D, MATCH(C130, raw_menu_profitability!$J:$J, 0))</f>
        <v>Quattro Formaggi Pizza</v>
      </c>
      <c r="G130" s="26">
        <f>INDEX(raw_menu_profitability!$G:$G, MATCH(C130, raw_menu_profitability!$J:$J, 0))</f>
        <v>7.72</v>
      </c>
      <c r="H130" s="27">
        <f>E130-G130</f>
        <v>14.780000000000001</v>
      </c>
      <c r="I130" s="28">
        <f>H130/E130</f>
        <v>0.65688888888888897</v>
      </c>
      <c r="J130">
        <f>IF(I130&lt;$H$1, 1, 0)</f>
        <v>0</v>
      </c>
    </row>
    <row r="131" spans="1:10">
      <c r="A131">
        <v>8</v>
      </c>
      <c r="B131">
        <v>14</v>
      </c>
      <c r="C131" t="str">
        <f t="shared" si="4"/>
        <v>8, 14</v>
      </c>
      <c r="D131" t="str">
        <f>INDEX(raw_menu_profitability!$B:$B, MATCH(C131, raw_menu_profitability!$J:$J, 0))</f>
        <v>Eataly San Jose</v>
      </c>
      <c r="E131" s="25">
        <f>INDEX(raw_menu_profitability!$F:$F, MATCH(C131, raw_menu_profitability!$J:$J, 0))</f>
        <v>27.5</v>
      </c>
      <c r="F131" t="str">
        <f>INDEX(raw_menu_profitability!$D:$D, MATCH(C131, raw_menu_profitability!$J:$J, 0))</f>
        <v>Porchetta</v>
      </c>
      <c r="G131" s="26">
        <f>INDEX(raw_menu_profitability!$G:$G, MATCH(C131, raw_menu_profitability!$J:$J, 0))</f>
        <v>4.4183329999999996</v>
      </c>
      <c r="H131" s="27">
        <f>E131-G131</f>
        <v>23.081666999999999</v>
      </c>
      <c r="I131" s="28">
        <f>H131/E131</f>
        <v>0.83933334545454541</v>
      </c>
      <c r="J131">
        <f>IF(I131&lt;$H$1, 1, 0)</f>
        <v>0</v>
      </c>
    </row>
    <row r="132" spans="1:10">
      <c r="A132">
        <v>8</v>
      </c>
      <c r="B132">
        <v>15</v>
      </c>
      <c r="C132" t="str">
        <f t="shared" si="4"/>
        <v>8, 15</v>
      </c>
      <c r="D132" t="str">
        <f>INDEX(raw_menu_profitability!$B:$B, MATCH(C132, raw_menu_profitability!$J:$J, 0))</f>
        <v>Eataly San Jose</v>
      </c>
      <c r="E132" s="25">
        <f>INDEX(raw_menu_profitability!$F:$F, MATCH(C132, raw_menu_profitability!$J:$J, 0))</f>
        <v>24</v>
      </c>
      <c r="F132" t="str">
        <f>INDEX(raw_menu_profitability!$D:$D, MATCH(C132, raw_menu_profitability!$J:$J, 0))</f>
        <v>Pollo alla Griglia</v>
      </c>
      <c r="G132" s="26">
        <f>INDEX(raw_menu_profitability!$G:$G, MATCH(C132, raw_menu_profitability!$J:$J, 0))</f>
        <v>2.89</v>
      </c>
      <c r="H132" s="27">
        <f>E132-G132</f>
        <v>21.11</v>
      </c>
      <c r="I132" s="28">
        <f>H132/E132</f>
        <v>0.87958333333333327</v>
      </c>
      <c r="J132">
        <f>IF(I132&lt;$H$1, 1, 0)</f>
        <v>0</v>
      </c>
    </row>
    <row r="133" spans="1:10">
      <c r="A133">
        <v>8</v>
      </c>
      <c r="B133">
        <v>16</v>
      </c>
      <c r="C133" t="str">
        <f t="shared" si="4"/>
        <v>8, 16</v>
      </c>
      <c r="D133" t="str">
        <f>INDEX(raw_menu_profitability!$B:$B, MATCH(C133, raw_menu_profitability!$J:$J, 0))</f>
        <v>Eataly San Jose</v>
      </c>
      <c r="E133" s="25">
        <f>INDEX(raw_menu_profitability!$F:$F, MATCH(C133, raw_menu_profitability!$J:$J, 0))</f>
        <v>9</v>
      </c>
      <c r="F133" t="str">
        <f>INDEX(raw_menu_profitability!$D:$D, MATCH(C133, raw_menu_profitability!$J:$J, 0))</f>
        <v>Cannoli</v>
      </c>
      <c r="G133" s="26">
        <f>INDEX(raw_menu_profitability!$G:$G, MATCH(C133, raw_menu_profitability!$J:$J, 0))</f>
        <v>1.7250000000000001</v>
      </c>
      <c r="H133" s="27">
        <f>E133-G133</f>
        <v>7.2750000000000004</v>
      </c>
      <c r="I133" s="28">
        <f>H133/E133</f>
        <v>0.80833333333333335</v>
      </c>
      <c r="J133">
        <f>IF(I133&lt;$H$1, 1, 0)</f>
        <v>0</v>
      </c>
    </row>
    <row r="134" spans="1:10">
      <c r="A134">
        <v>8</v>
      </c>
      <c r="B134">
        <v>17</v>
      </c>
      <c r="C134" t="str">
        <f>(A134&amp;", "&amp; B134)</f>
        <v>8, 17</v>
      </c>
      <c r="D134" t="str">
        <f>INDEX(raw_menu_profitability!$B:$B, MATCH(C134, raw_menu_profitability!$J:$J, 0))</f>
        <v>Eataly San Jose</v>
      </c>
      <c r="E134" s="25">
        <f>INDEX(raw_menu_profitability!$F:$F, MATCH(C134, raw_menu_profitability!$J:$J, 0))</f>
        <v>7.5</v>
      </c>
      <c r="F134" t="str">
        <f>INDEX(raw_menu_profitability!$D:$D, MATCH(C134, raw_menu_profitability!$J:$J, 0))</f>
        <v>Pistachio Gelato</v>
      </c>
      <c r="G134" s="26">
        <f>INDEX(raw_menu_profitability!$G:$G, MATCH(C134, raw_menu_profitability!$J:$J, 0))</f>
        <v>1.56</v>
      </c>
      <c r="H134" s="27">
        <f>E134-G134</f>
        <v>5.9399999999999995</v>
      </c>
      <c r="I134" s="28">
        <f>H134/E134</f>
        <v>0.79199999999999993</v>
      </c>
      <c r="J134">
        <f>IF(I134&lt;$H$1, 1, 0)</f>
        <v>0</v>
      </c>
    </row>
    <row r="135" spans="1:10">
      <c r="A135">
        <v>8</v>
      </c>
      <c r="B135">
        <v>18</v>
      </c>
      <c r="C135" t="str">
        <f>(A135&amp;", "&amp; B135)</f>
        <v>8, 18</v>
      </c>
      <c r="D135" t="str">
        <f>INDEX(raw_menu_profitability!$B:$B, MATCH(C135, raw_menu_profitability!$J:$J, 0))</f>
        <v>Eataly San Jose</v>
      </c>
      <c r="E135" s="25">
        <f>INDEX(raw_menu_profitability!$F:$F, MATCH(C135, raw_menu_profitability!$J:$J, 0))</f>
        <v>23</v>
      </c>
      <c r="F135" t="str">
        <f>INDEX(raw_menu_profitability!$D:$D, MATCH(C135, raw_menu_profitability!$J:$J, 0))</f>
        <v>Insalata di Mare</v>
      </c>
      <c r="G135" s="26">
        <f>INDEX(raw_menu_profitability!$G:$G, MATCH(C135, raw_menu_profitability!$J:$J, 0))</f>
        <v>6.2850000000000001</v>
      </c>
      <c r="H135" s="27">
        <f>E135-G135</f>
        <v>16.715</v>
      </c>
      <c r="I135" s="28">
        <f>H135/E135</f>
        <v>0.72673913043478255</v>
      </c>
      <c r="J135">
        <f>IF(I135&lt;$H$1, 1, 0)</f>
        <v>0</v>
      </c>
    </row>
  </sheetData>
  <conditionalFormatting sqref="J1:J1048576">
    <cfRule type="cellIs" dxfId="23" priority="9" stopIfTrue="1" operator="between">
      <formula>1</formula>
      <formula>1</formula>
    </cfRule>
  </conditionalFormatting>
  <conditionalFormatting sqref="G3">
    <cfRule type="cellIs" dxfId="22" priority="7" operator="equal">
      <formula>"Equal"</formula>
    </cfRule>
    <cfRule type="cellIs" dxfId="21" priority="8" operator="equal">
      <formula>"RPM missing rows"</formula>
    </cfRule>
  </conditionalFormatting>
  <conditionalFormatting sqref="J1">
    <cfRule type="cellIs" dxfId="20" priority="3" operator="notEqual">
      <formula>$J$2</formula>
    </cfRule>
    <cfRule type="cellIs" dxfId="19" priority="6" operator="equal">
      <formula>$J$2</formula>
    </cfRule>
  </conditionalFormatting>
  <conditionalFormatting sqref="J2">
    <cfRule type="cellIs" dxfId="18" priority="4" operator="notEqual">
      <formula>$J$1</formula>
    </cfRule>
    <cfRule type="cellIs" dxfId="17" priority="5" operator="equal">
      <formula>$J$1</formula>
    </cfRule>
  </conditionalFormatting>
  <conditionalFormatting sqref="M18">
    <cfRule type="cellIs" dxfId="1" priority="2" operator="equal">
      <formula>$J$1</formula>
    </cfRule>
    <cfRule type="cellIs" dxfId="0" priority="1" operator="notEqual">
      <formula>$J$1</formula>
    </cfRule>
  </conditionalFormatting>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37E6-8E15-BE49-9880-A5D041B12549}">
  <dimension ref="B1:T2646"/>
  <sheetViews>
    <sheetView zoomScale="75" zoomScaleNormal="135" workbookViewId="0">
      <pane ySplit="8" topLeftCell="A9" activePane="bottomLeft" state="frozen"/>
      <selection pane="bottomLeft" activeCell="F29" sqref="F29"/>
    </sheetView>
  </sheetViews>
  <sheetFormatPr baseColWidth="10" defaultRowHeight="16"/>
  <cols>
    <col min="1" max="1" width="2" customWidth="1"/>
    <col min="2" max="2" width="13.33203125" style="9" bestFit="1" customWidth="1"/>
    <col min="3" max="3" width="21.6640625" bestFit="1" customWidth="1"/>
    <col min="4" max="4" width="14.1640625" bestFit="1" customWidth="1"/>
    <col min="5" max="5" width="22" bestFit="1" customWidth="1"/>
    <col min="6" max="6" width="17.33203125" bestFit="1" customWidth="1"/>
    <col min="7" max="7" width="33.33203125" bestFit="1" customWidth="1"/>
    <col min="8" max="8" width="21.83203125" style="18" bestFit="1" customWidth="1"/>
    <col min="9" max="9" width="11.83203125" style="22" bestFit="1" customWidth="1"/>
    <col min="10" max="10" width="14.6640625" style="18" bestFit="1" customWidth="1"/>
    <col min="11" max="11" width="20.33203125" customWidth="1"/>
    <col min="12" max="12" width="13.33203125" bestFit="1" customWidth="1"/>
    <col min="13" max="13" width="11.83203125" bestFit="1" customWidth="1"/>
    <col min="14" max="14" width="10.5" bestFit="1" customWidth="1"/>
    <col min="15" max="15" width="20.6640625" bestFit="1" customWidth="1"/>
    <col min="16" max="16" width="17.1640625" bestFit="1" customWidth="1"/>
    <col min="19" max="19" width="16" bestFit="1" customWidth="1"/>
    <col min="20" max="20" width="12.6640625" bestFit="1" customWidth="1"/>
  </cols>
  <sheetData>
    <row r="1" spans="2:16">
      <c r="F1" s="57" t="str">
        <f>"Menu Performance" &amp; " (" &amp; Menu_Performance!$C$3 &amp; ": " &amp; TEXT(C5, "mmm yyyy") &amp; " - " &amp; TEXT(C6, "mmm yyyy") &amp; ")"</f>
        <v>Menu Performance (Eataly Dallas: Feb 2025 - Sep 2026)</v>
      </c>
      <c r="G1" s="57"/>
      <c r="H1" s="57"/>
    </row>
    <row r="2" spans="2:16">
      <c r="B2" s="39" t="s">
        <v>207</v>
      </c>
      <c r="C2" s="56" t="s">
        <v>208</v>
      </c>
      <c r="D2" s="56"/>
      <c r="E2" s="56"/>
      <c r="F2" s="56"/>
    </row>
    <row r="3" spans="2:16">
      <c r="B3" s="11" t="s">
        <v>29</v>
      </c>
      <c r="C3" t="s">
        <v>62</v>
      </c>
      <c r="H3" s="55" t="s">
        <v>231</v>
      </c>
      <c r="I3" s="47">
        <f xml:space="preserve"> SUMIFS(raw_menu_engineering!K:K, raw_menu_engineering!A:A, "&gt;="&amp; $C$5, raw_menu_engineering!A:A, "&lt;="&amp; $C$6, raw_menu_engineering!B:B, $C$4)</f>
        <v>0</v>
      </c>
      <c r="J3"/>
    </row>
    <row r="4" spans="2:16">
      <c r="B4" s="37" t="s">
        <v>28</v>
      </c>
      <c r="C4" s="22">
        <f>INDEX(Lists!$B:$B, MATCH(C3,Lists!$A:$A, 0))</f>
        <v>7</v>
      </c>
      <c r="E4" s="29" t="s">
        <v>202</v>
      </c>
      <c r="F4" s="38">
        <v>5.0000000000000001E-3</v>
      </c>
      <c r="G4" t="s">
        <v>195</v>
      </c>
      <c r="H4" s="55"/>
      <c r="I4"/>
      <c r="J4" s="48" t="str">
        <f>IF(I3=0, "OK", "unconverted ingredient")</f>
        <v>OK</v>
      </c>
      <c r="K4" s="10" t="s">
        <v>200</v>
      </c>
      <c r="L4">
        <v>0.7</v>
      </c>
    </row>
    <row r="5" spans="2:16">
      <c r="B5" s="37" t="s">
        <v>188</v>
      </c>
      <c r="C5" s="46">
        <v>45689</v>
      </c>
      <c r="E5" s="29" t="s">
        <v>194</v>
      </c>
      <c r="F5">
        <f>(YEAR(C6) - YEAR(C5)) * 12 + MONTH(C6) - MONTH(C5) + 1</f>
        <v>20</v>
      </c>
      <c r="H5" s="55" t="s">
        <v>162</v>
      </c>
      <c r="I5" s="47">
        <f xml:space="preserve"> SUMIFS(raw_location_month_performance!S:S, raw_location_month_performance!C:C, "&gt;="&amp; $C$5, raw_location_month_performance!C:C, "&lt;="&amp; $C$6, raw_location_month_performance!A:A, $C$4)</f>
        <v>0</v>
      </c>
      <c r="J5" t="str">
        <f>IF(I5=0, "OK", "unconverted recipe")</f>
        <v>OK</v>
      </c>
      <c r="K5" s="10" t="s">
        <v>203</v>
      </c>
      <c r="L5">
        <f>COUNTIF($E$9:$E$26, "&gt;0")</f>
        <v>18</v>
      </c>
    </row>
    <row r="6" spans="2:16">
      <c r="B6" s="37" t="s">
        <v>189</v>
      </c>
      <c r="C6" s="46">
        <v>46266</v>
      </c>
      <c r="D6" s="50" t="str">
        <f>IF(C6&lt;C5, "End before Start", "")</f>
        <v/>
      </c>
      <c r="E6" s="29" t="s">
        <v>196</v>
      </c>
      <c r="F6" s="28" t="str">
        <f>IF(AND(E28=0,C5&lt;=C6),"NO SALES",IF(C6&lt;C5,"END BEFORE START",IF(AND(D31="PASS",E31="PASS",F31="PASS",G31="PASS"),IF(AND(J4="OK", J5="OK"),"PASS","FAIL"), "FAIL")))</f>
        <v>PASS</v>
      </c>
      <c r="H6" s="55"/>
      <c r="I6"/>
      <c r="J6"/>
      <c r="K6" s="10" t="s">
        <v>199</v>
      </c>
      <c r="L6" s="28">
        <f>IF(L5=0,"-",(L4*(1/L5)))</f>
        <v>3.8888888888888883E-2</v>
      </c>
    </row>
    <row r="7" spans="2:16">
      <c r="B7"/>
      <c r="K7" s="10" t="s">
        <v>214</v>
      </c>
      <c r="L7" s="26">
        <f>IF(E28=0, "-", G28/E28)</f>
        <v>13.485909791798328</v>
      </c>
    </row>
    <row r="8" spans="2:16">
      <c r="B8" s="78" t="s">
        <v>30</v>
      </c>
      <c r="C8" s="59" t="s">
        <v>31</v>
      </c>
      <c r="D8" s="59" t="s">
        <v>65</v>
      </c>
      <c r="E8" s="59" t="s">
        <v>66</v>
      </c>
      <c r="F8" s="59" t="s">
        <v>68</v>
      </c>
      <c r="G8" s="59" t="s">
        <v>69</v>
      </c>
      <c r="H8" s="59" t="s">
        <v>190</v>
      </c>
      <c r="I8" s="59" t="s">
        <v>197</v>
      </c>
      <c r="J8" s="59" t="s">
        <v>198</v>
      </c>
      <c r="K8" s="59" t="s">
        <v>35</v>
      </c>
      <c r="L8" s="59" t="s">
        <v>204</v>
      </c>
      <c r="M8" s="59" t="s">
        <v>206</v>
      </c>
      <c r="N8" s="59" t="s">
        <v>226</v>
      </c>
      <c r="O8" s="10"/>
      <c r="P8" s="10"/>
    </row>
    <row r="9" spans="2:16">
      <c r="B9" s="60">
        <v>1</v>
      </c>
      <c r="C9" s="60" t="str">
        <f>INDEX(raw_menu_engineering!$E:$E, MATCH(B9, raw_menu_engineering!$D:$D, 0))</f>
        <v>Spaghetti alla Carbonara</v>
      </c>
      <c r="D9" s="64">
        <f xml:space="preserve"> SUMIFS(raw_menu_engineering!F:F, raw_menu_engineering!A:A, "&gt;="&amp; $C$5, raw_menu_engineering!A:A, "&lt;="&amp; $C$6, raw_menu_engineering!B:B, $C$4, raw_menu_engineering!D:D,$B9)</f>
        <v>51547</v>
      </c>
      <c r="E9" s="79">
        <f xml:space="preserve"> SUMIFS(raw_menu_engineering!G:G, raw_menu_engineering!A:A, "&gt;="&amp; $C$5, raw_menu_engineering!A:A, "&lt;="&amp; $C$6, raw_menu_engineering!B:B, $C$4, raw_menu_engineering!D:D,$B9)</f>
        <v>2713</v>
      </c>
      <c r="F9" s="64">
        <f xml:space="preserve"> SUMIFS(raw_menu_engineering!I:I, raw_menu_engineering!A:A, "&gt;="&amp; $C$5, raw_menu_engineering!A:A, "&lt;="&amp; $C$6, raw_menu_engineering!B:B, $C$4, raw_menu_engineering!D:D,$B9)</f>
        <v>10120.216400205119</v>
      </c>
      <c r="G9" s="65">
        <f>IF(E9=0, "-", D9-F9)</f>
        <v>41426.783599794879</v>
      </c>
      <c r="H9" s="66">
        <f>IF(D9 = 0, "-", G9/D9)</f>
        <v>0.80367011852862202</v>
      </c>
      <c r="I9" s="66">
        <f>IF(E9=0, "-", E9/$E$28)</f>
        <v>8.8273573241361356E-2</v>
      </c>
      <c r="J9" s="60">
        <f t="shared" ref="J9:J26" si="0">IF(E9=0,"-",(IF(I9&gt;=$L$6,1,0)))</f>
        <v>1</v>
      </c>
      <c r="K9" s="65">
        <f>IF(E9=0, "-", G9/E9)</f>
        <v>15.269732252043818</v>
      </c>
      <c r="L9" s="60">
        <f t="shared" ref="L9:L26" si="1">IF(E9=0, "-", IF(K9 &gt;=$L$7, 1, 0))</f>
        <v>1</v>
      </c>
      <c r="M9" s="60" t="str">
        <f>IF(AND(J9=0,L9=0),"DOG",IF(AND(J9=1,L9=0),"PLOWHORSE",IF(AND(J9=0,L9=1),"PUZZLE",IF(AND(J9=1,L9=1),"STAR","-"))))</f>
        <v>STAR</v>
      </c>
      <c r="N9" s="60">
        <f>IF(G9="-", "-", RANK(G9,$G$9:$G$26, 0))</f>
        <v>2</v>
      </c>
    </row>
    <row r="10" spans="2:16">
      <c r="B10" s="60">
        <v>2</v>
      </c>
      <c r="C10" s="60" t="str">
        <f>INDEX(raw_menu_engineering!$E:$E, MATCH(B10, raw_menu_engineering!$D:$D, 0))</f>
        <v>Margherita Pizza</v>
      </c>
      <c r="D10" s="64">
        <f xml:space="preserve"> SUMIFS(raw_menu_engineering!F:F, raw_menu_engineering!A:A, "&gt;="&amp; $C$5, raw_menu_engineering!A:A, "&lt;="&amp; $C$6, raw_menu_engineering!B:B, $C$4, raw_menu_engineering!D:D,$B10)</f>
        <v>59367</v>
      </c>
      <c r="E10" s="79">
        <f xml:space="preserve"> SUMIFS(raw_menu_engineering!G:G, raw_menu_engineering!A:A, "&gt;="&amp; $C$5, raw_menu_engineering!A:A, "&lt;="&amp; $C$6, raw_menu_engineering!B:B, $C$4, raw_menu_engineering!D:D,$B10)</f>
        <v>2827</v>
      </c>
      <c r="F10" s="64">
        <f xml:space="preserve"> SUMIFS(raw_menu_engineering!I:I, raw_menu_engineering!A:A, "&gt;="&amp; $C$5, raw_menu_engineering!A:A, "&lt;="&amp; $C$6, raw_menu_engineering!B:B, $C$4, raw_menu_engineering!D:D,$B10)</f>
        <v>18653.535181004703</v>
      </c>
      <c r="G10" s="65">
        <f t="shared" ref="G10:G26" si="2">IF(E10=0, "-", D10-F10)</f>
        <v>40713.4648189953</v>
      </c>
      <c r="H10" s="66">
        <f t="shared" ref="H10:H26" si="3">IF(D10 = 0, "-", G10/D10)</f>
        <v>0.68579286167391484</v>
      </c>
      <c r="I10" s="66">
        <f t="shared" ref="I10:I26" si="4">IF(E10=0, "-", E10/$E$28)</f>
        <v>9.1982820329277029E-2</v>
      </c>
      <c r="J10" s="60">
        <f t="shared" si="0"/>
        <v>1</v>
      </c>
      <c r="K10" s="65">
        <f t="shared" ref="K10:K26" si="5">IF(E10=0, "-", G10/E10)</f>
        <v>14.401650095152212</v>
      </c>
      <c r="L10" s="60">
        <f t="shared" si="1"/>
        <v>1</v>
      </c>
      <c r="M10" s="60" t="str">
        <f t="shared" ref="M10:M26" si="6">IF(AND(J10=0,L10=0),"DOG",IF(AND(J10=1,L10=0),"PLOWHORSE",IF(AND(J10=0,L10=1),"PUZZLE",IF(AND(J10=1,L10=1),"STAR","-"))))</f>
        <v>STAR</v>
      </c>
      <c r="N10" s="60">
        <f t="shared" ref="N10:N26" si="7">IF(G10="-", "-", RANK(G10,$G$9:$G$26, 0))</f>
        <v>3</v>
      </c>
    </row>
    <row r="11" spans="2:16">
      <c r="B11" s="60">
        <v>3</v>
      </c>
      <c r="C11" s="60" t="str">
        <f>INDEX(raw_menu_engineering!$E:$E, MATCH(B11, raw_menu_engineering!$D:$D, 0))</f>
        <v>Risotto alla Milanese</v>
      </c>
      <c r="D11" s="64">
        <f xml:space="preserve"> SUMIFS(raw_menu_engineering!F:F, raw_menu_engineering!A:A, "&gt;="&amp; $C$5, raw_menu_engineering!A:A, "&lt;="&amp; $C$6, raw_menu_engineering!B:B, $C$4, raw_menu_engineering!D:D,$B11)</f>
        <v>25388</v>
      </c>
      <c r="E11" s="79">
        <f xml:space="preserve"> SUMIFS(raw_menu_engineering!G:G, raw_menu_engineering!A:A, "&gt;="&amp; $C$5, raw_menu_engineering!A:A, "&lt;="&amp; $C$6, raw_menu_engineering!B:B, $C$4, raw_menu_engineering!D:D,$B11)</f>
        <v>1154</v>
      </c>
      <c r="F11" s="64">
        <f xml:space="preserve"> SUMIFS(raw_menu_engineering!I:I, raw_menu_engineering!A:A, "&gt;="&amp; $C$5, raw_menu_engineering!A:A, "&lt;="&amp; $C$6, raw_menu_engineering!B:B, $C$4, raw_menu_engineering!D:D,$B11)</f>
        <v>3907.8237405606792</v>
      </c>
      <c r="G11" s="65">
        <f t="shared" si="2"/>
        <v>21480.176259439322</v>
      </c>
      <c r="H11" s="66">
        <f t="shared" si="3"/>
        <v>0.84607595160860727</v>
      </c>
      <c r="I11" s="66">
        <f t="shared" si="4"/>
        <v>3.7547992451356801E-2</v>
      </c>
      <c r="J11" s="60">
        <f t="shared" si="0"/>
        <v>0</v>
      </c>
      <c r="K11" s="65">
        <f t="shared" si="5"/>
        <v>18.613670935389361</v>
      </c>
      <c r="L11" s="60">
        <f t="shared" si="1"/>
        <v>1</v>
      </c>
      <c r="M11" s="60" t="str">
        <f t="shared" si="6"/>
        <v>PUZZLE</v>
      </c>
      <c r="N11" s="60">
        <f t="shared" si="7"/>
        <v>8</v>
      </c>
    </row>
    <row r="12" spans="2:16">
      <c r="B12" s="60">
        <v>4</v>
      </c>
      <c r="C12" s="60" t="str">
        <f>INDEX(raw_menu_engineering!$E:$E, MATCH(B12, raw_menu_engineering!$D:$D, 0))</f>
        <v>Caprese Salad</v>
      </c>
      <c r="D12" s="64">
        <f xml:space="preserve"> SUMIFS(raw_menu_engineering!F:F, raw_menu_engineering!A:A, "&gt;="&amp; $C$5, raw_menu_engineering!A:A, "&lt;="&amp; $C$6, raw_menu_engineering!B:B, $C$4, raw_menu_engineering!D:D,$B12)</f>
        <v>33804</v>
      </c>
      <c r="E12" s="79">
        <f xml:space="preserve"> SUMIFS(raw_menu_engineering!G:G, raw_menu_engineering!A:A, "&gt;="&amp; $C$5, raw_menu_engineering!A:A, "&lt;="&amp; $C$6, raw_menu_engineering!B:B, $C$4, raw_menu_engineering!D:D,$B12)</f>
        <v>1878</v>
      </c>
      <c r="F12" s="64">
        <f xml:space="preserve"> SUMIFS(raw_menu_engineering!I:I, raw_menu_engineering!A:A, "&gt;="&amp; $C$5, raw_menu_engineering!A:A, "&lt;="&amp; $C$6, raw_menu_engineering!B:B, $C$4, raw_menu_engineering!D:D,$B12)</f>
        <v>13226.664815950238</v>
      </c>
      <c r="G12" s="65">
        <f t="shared" si="2"/>
        <v>20577.335184049763</v>
      </c>
      <c r="H12" s="66">
        <f t="shared" si="3"/>
        <v>0.60872486049135499</v>
      </c>
      <c r="I12" s="66">
        <f t="shared" si="4"/>
        <v>6.1104965185136979E-2</v>
      </c>
      <c r="J12" s="60">
        <f t="shared" si="0"/>
        <v>1</v>
      </c>
      <c r="K12" s="65">
        <f t="shared" si="5"/>
        <v>10.95704748884439</v>
      </c>
      <c r="L12" s="60">
        <f t="shared" si="1"/>
        <v>0</v>
      </c>
      <c r="M12" s="60" t="str">
        <f t="shared" si="6"/>
        <v>PLOWHORSE</v>
      </c>
      <c r="N12" s="60">
        <f t="shared" si="7"/>
        <v>9</v>
      </c>
    </row>
    <row r="13" spans="2:16">
      <c r="B13" s="93">
        <v>5</v>
      </c>
      <c r="C13" s="93" t="str">
        <f>INDEX(raw_menu_engineering!$E:$E, MATCH(B13, raw_menu_engineering!$D:$D, 0))</f>
        <v>Prosciutto e Melone</v>
      </c>
      <c r="D13" s="94">
        <f xml:space="preserve"> SUMIFS(raw_menu_engineering!F:F, raw_menu_engineering!A:A, "&gt;="&amp; $C$5, raw_menu_engineering!A:A, "&lt;="&amp; $C$6, raw_menu_engineering!B:B, $C$4, raw_menu_engineering!D:D,$B13)</f>
        <v>18204</v>
      </c>
      <c r="E13" s="95">
        <f xml:space="preserve"> SUMIFS(raw_menu_engineering!G:G, raw_menu_engineering!A:A, "&gt;="&amp; $C$5, raw_menu_engineering!A:A, "&lt;="&amp; $C$6, raw_menu_engineering!B:B, $C$4, raw_menu_engineering!D:D,$B13)</f>
        <v>984</v>
      </c>
      <c r="F13" s="94">
        <f xml:space="preserve"> SUMIFS(raw_menu_engineering!I:I, raw_menu_engineering!A:A, "&gt;="&amp; $C$5, raw_menu_engineering!A:A, "&lt;="&amp; $C$6, raw_menu_engineering!B:B, $C$4, raw_menu_engineering!D:D,$B13)</f>
        <v>6178.4782474906551</v>
      </c>
      <c r="G13" s="96">
        <f t="shared" si="2"/>
        <v>12025.521752509345</v>
      </c>
      <c r="H13" s="97">
        <f t="shared" si="3"/>
        <v>0.66059776711213714</v>
      </c>
      <c r="I13" s="97">
        <f t="shared" si="4"/>
        <v>3.2016659074640463E-2</v>
      </c>
      <c r="J13" s="93">
        <f t="shared" si="0"/>
        <v>0</v>
      </c>
      <c r="K13" s="96">
        <f t="shared" si="5"/>
        <v>12.221058691574537</v>
      </c>
      <c r="L13" s="93">
        <f t="shared" si="1"/>
        <v>0</v>
      </c>
      <c r="M13" s="93" t="str">
        <f t="shared" si="6"/>
        <v>DOG</v>
      </c>
      <c r="N13" s="93">
        <f t="shared" si="7"/>
        <v>15</v>
      </c>
    </row>
    <row r="14" spans="2:16">
      <c r="B14" s="60">
        <v>6</v>
      </c>
      <c r="C14" s="60" t="str">
        <f>INDEX(raw_menu_engineering!$E:$E, MATCH(B14, raw_menu_engineering!$D:$D, 0))</f>
        <v>Bucatini all'Amatriciana</v>
      </c>
      <c r="D14" s="64">
        <f xml:space="preserve"> SUMIFS(raw_menu_engineering!F:F, raw_menu_engineering!A:A, "&gt;="&amp; $C$5, raw_menu_engineering!A:A, "&lt;="&amp; $C$6, raw_menu_engineering!B:B, $C$4, raw_menu_engineering!D:D,$B14)</f>
        <v>34066.5</v>
      </c>
      <c r="E14" s="79">
        <f xml:space="preserve"> SUMIFS(raw_menu_engineering!G:G, raw_menu_engineering!A:A, "&gt;="&amp; $C$5, raw_menu_engineering!A:A, "&lt;="&amp; $C$6, raw_menu_engineering!B:B, $C$4, raw_menu_engineering!D:D,$B14)</f>
        <v>1747</v>
      </c>
      <c r="F14" s="64">
        <f xml:space="preserve"> SUMIFS(raw_menu_engineering!I:I, raw_menu_engineering!A:A, "&gt;="&amp; $C$5, raw_menu_engineering!A:A, "&lt;="&amp; $C$6, raw_menu_engineering!B:B, $C$4, raw_menu_engineering!D:D,$B14)</f>
        <v>7855.6227462472298</v>
      </c>
      <c r="G14" s="65">
        <f t="shared" si="2"/>
        <v>26210.877253752769</v>
      </c>
      <c r="H14" s="66">
        <f t="shared" si="3"/>
        <v>0.7694032922006302</v>
      </c>
      <c r="I14" s="66">
        <f t="shared" si="4"/>
        <v>5.6842584759549682E-2</v>
      </c>
      <c r="J14" s="60">
        <f t="shared" si="0"/>
        <v>1</v>
      </c>
      <c r="K14" s="65">
        <f t="shared" si="5"/>
        <v>15.003364197912289</v>
      </c>
      <c r="L14" s="60">
        <f t="shared" si="1"/>
        <v>1</v>
      </c>
      <c r="M14" s="60" t="str">
        <f t="shared" si="6"/>
        <v>STAR</v>
      </c>
      <c r="N14" s="60">
        <f t="shared" si="7"/>
        <v>7</v>
      </c>
    </row>
    <row r="15" spans="2:16">
      <c r="B15" s="60">
        <v>7</v>
      </c>
      <c r="C15" s="60" t="str">
        <f>INDEX(raw_menu_engineering!$E:$E, MATCH(B15, raw_menu_engineering!$D:$D, 0))</f>
        <v>Tiramisu</v>
      </c>
      <c r="D15" s="64">
        <f xml:space="preserve"> SUMIFS(raw_menu_engineering!F:F, raw_menu_engineering!A:A, "&gt;="&amp; $C$5, raw_menu_engineering!A:A, "&lt;="&amp; $C$6, raw_menu_engineering!B:B, $C$4, raw_menu_engineering!D:D,$B15)</f>
        <v>22212</v>
      </c>
      <c r="E15" s="79">
        <f xml:space="preserve"> SUMIFS(raw_menu_engineering!G:G, raw_menu_engineering!A:A, "&gt;="&amp; $C$5, raw_menu_engineering!A:A, "&lt;="&amp; $C$6, raw_menu_engineering!B:B, $C$4, raw_menu_engineering!D:D,$B15)</f>
        <v>2468</v>
      </c>
      <c r="F15" s="64">
        <f xml:space="preserve"> SUMIFS(raw_menu_engineering!I:I, raw_menu_engineering!A:A, "&gt;="&amp; $C$5, raw_menu_engineering!A:A, "&lt;="&amp; $C$6, raw_menu_engineering!B:B, $C$4, raw_menu_engineering!D:D,$B15)</f>
        <v>6905.1361196634634</v>
      </c>
      <c r="G15" s="65">
        <f t="shared" si="2"/>
        <v>15306.863880336536</v>
      </c>
      <c r="H15" s="66">
        <f t="shared" si="3"/>
        <v>0.6891258725165017</v>
      </c>
      <c r="I15" s="66">
        <f t="shared" si="4"/>
        <v>8.0301945727858398E-2</v>
      </c>
      <c r="J15" s="60">
        <f t="shared" si="0"/>
        <v>1</v>
      </c>
      <c r="K15" s="65">
        <f t="shared" si="5"/>
        <v>6.2021328526485151</v>
      </c>
      <c r="L15" s="60">
        <f t="shared" si="1"/>
        <v>0</v>
      </c>
      <c r="M15" s="60" t="str">
        <f t="shared" si="6"/>
        <v>PLOWHORSE</v>
      </c>
      <c r="N15" s="60">
        <f t="shared" si="7"/>
        <v>12</v>
      </c>
    </row>
    <row r="16" spans="2:16" ht="17" customHeight="1">
      <c r="B16" s="60">
        <v>8</v>
      </c>
      <c r="C16" s="60" t="str">
        <f>INDEX(raw_menu_engineering!$E:$E, MATCH(B16, raw_menu_engineering!$D:$D, 0))</f>
        <v>Focaccia Genovese</v>
      </c>
      <c r="D16" s="64">
        <f xml:space="preserve"> SUMIFS(raw_menu_engineering!F:F, raw_menu_engineering!A:A, "&gt;="&amp; $C$5, raw_menu_engineering!A:A, "&lt;="&amp; $C$6, raw_menu_engineering!B:B, $C$4, raw_menu_engineering!D:D,$B16)</f>
        <v>15609</v>
      </c>
      <c r="E16" s="79">
        <f xml:space="preserve"> SUMIFS(raw_menu_engineering!G:G, raw_menu_engineering!A:A, "&gt;="&amp; $C$5, raw_menu_engineering!A:A, "&lt;="&amp; $C$6, raw_menu_engineering!B:B, $C$4, raw_menu_engineering!D:D,$B16)</f>
        <v>1419</v>
      </c>
      <c r="F16" s="64">
        <f xml:space="preserve"> SUMIFS(raw_menu_engineering!I:I, raw_menu_engineering!A:A, "&gt;="&amp; $C$5, raw_menu_engineering!A:A, "&lt;="&amp; $C$6, raw_menu_engineering!B:B, $C$4, raw_menu_engineering!D:D,$B16)</f>
        <v>947.51579701449907</v>
      </c>
      <c r="G16" s="65">
        <f t="shared" si="2"/>
        <v>14661.484202985501</v>
      </c>
      <c r="H16" s="66">
        <f t="shared" si="3"/>
        <v>0.93929682894391064</v>
      </c>
      <c r="I16" s="66">
        <f t="shared" si="4"/>
        <v>4.6170365068002865E-2</v>
      </c>
      <c r="J16" s="60">
        <f t="shared" si="0"/>
        <v>1</v>
      </c>
      <c r="K16" s="65">
        <f t="shared" si="5"/>
        <v>10.332265118383017</v>
      </c>
      <c r="L16" s="60">
        <f t="shared" si="1"/>
        <v>0</v>
      </c>
      <c r="M16" s="60" t="str">
        <f t="shared" si="6"/>
        <v>PLOWHORSE</v>
      </c>
      <c r="N16" s="60">
        <f t="shared" si="7"/>
        <v>13</v>
      </c>
    </row>
    <row r="17" spans="2:14" s="103" customFormat="1">
      <c r="B17" s="93">
        <v>9</v>
      </c>
      <c r="C17" s="93" t="str">
        <f>INDEX(raw_menu_engineering!$E:$E, MATCH(B17, raw_menu_engineering!$D:$D, 0))</f>
        <v>Osso Buco</v>
      </c>
      <c r="D17" s="94">
        <f xml:space="preserve"> SUMIFS(raw_menu_engineering!F:F, raw_menu_engineering!A:A, "&gt;="&amp; $C$5, raw_menu_engineering!A:A, "&lt;="&amp; $C$6, raw_menu_engineering!B:B, $C$4, raw_menu_engineering!D:D,$B17)</f>
        <v>27778</v>
      </c>
      <c r="E17" s="95">
        <f xml:space="preserve"> SUMIFS(raw_menu_engineering!G:G, raw_menu_engineering!A:A, "&gt;="&amp; $C$5, raw_menu_engineering!A:A, "&lt;="&amp; $C$6, raw_menu_engineering!B:B, $C$4, raw_menu_engineering!D:D,$B17)</f>
        <v>646</v>
      </c>
      <c r="F17" s="94">
        <f xml:space="preserve"> SUMIFS(raw_menu_engineering!I:I, raw_menu_engineering!A:A, "&gt;="&amp; $C$5, raw_menu_engineering!A:A, "&lt;="&amp; $C$6, raw_menu_engineering!B:B, $C$4, raw_menu_engineering!D:D,$B17)</f>
        <v>9989.5899155631669</v>
      </c>
      <c r="G17" s="96">
        <f t="shared" si="2"/>
        <v>17788.410084436833</v>
      </c>
      <c r="H17" s="97">
        <f t="shared" si="3"/>
        <v>0.64037764001860586</v>
      </c>
      <c r="I17" s="97">
        <f t="shared" si="4"/>
        <v>2.1019066831522094E-2</v>
      </c>
      <c r="J17" s="93">
        <f t="shared" si="0"/>
        <v>0</v>
      </c>
      <c r="K17" s="96">
        <f t="shared" si="5"/>
        <v>27.536238520800051</v>
      </c>
      <c r="L17" s="93">
        <f t="shared" si="1"/>
        <v>1</v>
      </c>
      <c r="M17" s="93" t="str">
        <f t="shared" si="6"/>
        <v>PUZZLE</v>
      </c>
      <c r="N17" s="93">
        <f t="shared" si="7"/>
        <v>11</v>
      </c>
    </row>
    <row r="18" spans="2:14">
      <c r="B18" s="60">
        <v>10</v>
      </c>
      <c r="C18" s="60" t="str">
        <f>INDEX(raw_menu_engineering!$E:$E, MATCH(B18, raw_menu_engineering!$D:$D, 0))</f>
        <v>Panzanella</v>
      </c>
      <c r="D18" s="64">
        <f xml:space="preserve"> SUMIFS(raw_menu_engineering!F:F, raw_menu_engineering!A:A, "&gt;="&amp; $C$5, raw_menu_engineering!A:A, "&lt;="&amp; $C$6, raw_menu_engineering!B:B, $C$4, raw_menu_engineering!D:D,$B18)</f>
        <v>12888</v>
      </c>
      <c r="E18" s="79">
        <f xml:space="preserve"> SUMIFS(raw_menu_engineering!G:G, raw_menu_engineering!A:A, "&gt;="&amp; $C$5, raw_menu_engineering!A:A, "&lt;="&amp; $C$6, raw_menu_engineering!B:B, $C$4, raw_menu_engineering!D:D,$B18)</f>
        <v>1074</v>
      </c>
      <c r="F18" s="64">
        <f xml:space="preserve"> SUMIFS(raw_menu_engineering!I:I, raw_menu_engineering!A:A, "&gt;="&amp; $C$5, raw_menu_engineering!A:A, "&lt;="&amp; $C$6, raw_menu_engineering!B:B, $C$4, raw_menu_engineering!D:D,$B18)</f>
        <v>2209.0489872212529</v>
      </c>
      <c r="G18" s="65">
        <f t="shared" si="2"/>
        <v>10678.951012778747</v>
      </c>
      <c r="H18" s="66">
        <f t="shared" si="3"/>
        <v>0.82859644729816473</v>
      </c>
      <c r="I18" s="66">
        <f t="shared" si="4"/>
        <v>3.4945012038784411E-2</v>
      </c>
      <c r="J18" s="60">
        <f t="shared" si="0"/>
        <v>0</v>
      </c>
      <c r="K18" s="65">
        <f t="shared" si="5"/>
        <v>9.9431573675779763</v>
      </c>
      <c r="L18" s="60">
        <f t="shared" si="1"/>
        <v>0</v>
      </c>
      <c r="M18" s="60" t="str">
        <f t="shared" si="6"/>
        <v>DOG</v>
      </c>
      <c r="N18" s="60">
        <f t="shared" si="7"/>
        <v>16</v>
      </c>
    </row>
    <row r="19" spans="2:14">
      <c r="B19" s="60">
        <v>11</v>
      </c>
      <c r="C19" s="60" t="str">
        <f>INDEX(raw_menu_engineering!$E:$E, MATCH(B19, raw_menu_engineering!$D:$D, 0))</f>
        <v>Cacio e Pepe</v>
      </c>
      <c r="D19" s="64">
        <f xml:space="preserve"> SUMIFS(raw_menu_engineering!F:F, raw_menu_engineering!A:A, "&gt;="&amp; $C$5, raw_menu_engineering!A:A, "&lt;="&amp; $C$6, raw_menu_engineering!B:B, $C$4, raw_menu_engineering!D:D,$B19)</f>
        <v>39812</v>
      </c>
      <c r="E19" s="79">
        <f xml:space="preserve"> SUMIFS(raw_menu_engineering!G:G, raw_menu_engineering!A:A, "&gt;="&amp; $C$5, raw_menu_engineering!A:A, "&lt;="&amp; $C$6, raw_menu_engineering!B:B, $C$4, raw_menu_engineering!D:D,$B19)</f>
        <v>2152</v>
      </c>
      <c r="F19" s="64">
        <f xml:space="preserve"> SUMIFS(raw_menu_engineering!I:I, raw_menu_engineering!A:A, "&gt;="&amp; $C$5, raw_menu_engineering!A:A, "&lt;="&amp; $C$6, raw_menu_engineering!B:B, $C$4, raw_menu_engineering!D:D,$B19)</f>
        <v>4398.8294359783877</v>
      </c>
      <c r="G19" s="65">
        <f t="shared" si="2"/>
        <v>35413.17056402161</v>
      </c>
      <c r="H19" s="66">
        <f t="shared" si="3"/>
        <v>0.88950996091684942</v>
      </c>
      <c r="I19" s="66">
        <f t="shared" si="4"/>
        <v>7.0020173098197441E-2</v>
      </c>
      <c r="J19" s="60">
        <f t="shared" si="0"/>
        <v>1</v>
      </c>
      <c r="K19" s="65">
        <f t="shared" si="5"/>
        <v>16.455934276961713</v>
      </c>
      <c r="L19" s="60">
        <f t="shared" si="1"/>
        <v>1</v>
      </c>
      <c r="M19" s="60" t="str">
        <f t="shared" si="6"/>
        <v>STAR</v>
      </c>
      <c r="N19" s="60">
        <f t="shared" si="7"/>
        <v>4</v>
      </c>
    </row>
    <row r="20" spans="2:14">
      <c r="B20" s="60">
        <v>12</v>
      </c>
      <c r="C20" s="60" t="str">
        <f>INDEX(raw_menu_engineering!$E:$E, MATCH(B20, raw_menu_engineering!$D:$D, 0))</f>
        <v>Pesto alla Genovese</v>
      </c>
      <c r="D20" s="64">
        <f xml:space="preserve"> SUMIFS(raw_menu_engineering!F:F, raw_menu_engineering!A:A, "&gt;="&amp; $C$5, raw_menu_engineering!A:A, "&lt;="&amp; $C$6, raw_menu_engineering!B:B, $C$4, raw_menu_engineering!D:D,$B20)</f>
        <v>23389</v>
      </c>
      <c r="E20" s="79">
        <f xml:space="preserve"> SUMIFS(raw_menu_engineering!G:G, raw_menu_engineering!A:A, "&gt;="&amp; $C$5, raw_menu_engineering!A:A, "&lt;="&amp; $C$6, raw_menu_engineering!B:B, $C$4, raw_menu_engineering!D:D,$B20)</f>
        <v>1231</v>
      </c>
      <c r="F20" s="64">
        <f xml:space="preserve"> SUMIFS(raw_menu_engineering!I:I, raw_menu_engineering!A:A, "&gt;="&amp; $C$5, raw_menu_engineering!A:A, "&lt;="&amp; $C$6, raw_menu_engineering!B:B, $C$4, raw_menu_engineering!D:D,$B20)</f>
        <v>3147.2080246513033</v>
      </c>
      <c r="G20" s="65">
        <f t="shared" si="2"/>
        <v>20241.791975348697</v>
      </c>
      <c r="H20" s="66">
        <f t="shared" si="3"/>
        <v>0.86544067618746834</v>
      </c>
      <c r="I20" s="66">
        <f t="shared" si="4"/>
        <v>4.0053361098457731E-2</v>
      </c>
      <c r="J20" s="60">
        <f t="shared" si="0"/>
        <v>1</v>
      </c>
      <c r="K20" s="65">
        <f t="shared" si="5"/>
        <v>16.4433728475619</v>
      </c>
      <c r="L20" s="60">
        <f t="shared" si="1"/>
        <v>1</v>
      </c>
      <c r="M20" s="60" t="str">
        <f t="shared" si="6"/>
        <v>STAR</v>
      </c>
      <c r="N20" s="60">
        <f t="shared" si="7"/>
        <v>10</v>
      </c>
    </row>
    <row r="21" spans="2:14">
      <c r="B21" s="60">
        <v>13</v>
      </c>
      <c r="C21" s="60" t="str">
        <f>INDEX(raw_menu_engineering!$E:$E, MATCH(B21, raw_menu_engineering!$D:$D, 0))</f>
        <v>Quattro Formaggi Pizza</v>
      </c>
      <c r="D21" s="64">
        <f xml:space="preserve"> SUMIFS(raw_menu_engineering!F:F, raw_menu_engineering!A:A, "&gt;="&amp; $C$5, raw_menu_engineering!A:A, "&lt;="&amp; $C$6, raw_menu_engineering!B:B, $C$4, raw_menu_engineering!D:D,$B21)</f>
        <v>42217.5</v>
      </c>
      <c r="E21" s="79">
        <f xml:space="preserve"> SUMIFS(raw_menu_engineering!G:G, raw_menu_engineering!A:A, "&gt;="&amp; $C$5, raw_menu_engineering!A:A, "&lt;="&amp; $C$6, raw_menu_engineering!B:B, $C$4, raw_menu_engineering!D:D,$B21)</f>
        <v>2165</v>
      </c>
      <c r="F21" s="64">
        <f xml:space="preserve"> SUMIFS(raw_menu_engineering!I:I, raw_menu_engineering!A:A, "&gt;="&amp; $C$5, raw_menu_engineering!A:A, "&lt;="&amp; $C$6, raw_menu_engineering!B:B, $C$4, raw_menu_engineering!D:D,$B21)</f>
        <v>14497.968591311079</v>
      </c>
      <c r="G21" s="65">
        <f t="shared" si="2"/>
        <v>27719.531408688919</v>
      </c>
      <c r="H21" s="66">
        <f t="shared" si="3"/>
        <v>0.65658865183132398</v>
      </c>
      <c r="I21" s="66">
        <f t="shared" si="4"/>
        <v>7.0443157415240445E-2</v>
      </c>
      <c r="J21" s="60">
        <f t="shared" si="0"/>
        <v>1</v>
      </c>
      <c r="K21" s="65">
        <f t="shared" si="5"/>
        <v>12.803478710710817</v>
      </c>
      <c r="L21" s="60">
        <f t="shared" si="1"/>
        <v>0</v>
      </c>
      <c r="M21" s="60" t="str">
        <f t="shared" si="6"/>
        <v>PLOWHORSE</v>
      </c>
      <c r="N21" s="60">
        <f t="shared" si="7"/>
        <v>6</v>
      </c>
    </row>
    <row r="22" spans="2:14">
      <c r="B22" s="60">
        <v>14</v>
      </c>
      <c r="C22" s="60" t="str">
        <f>INDEX(raw_menu_engineering!$E:$E, MATCH(B22, raw_menu_engineering!$D:$D, 0))</f>
        <v>Porchetta</v>
      </c>
      <c r="D22" s="64">
        <f xml:space="preserve"> SUMIFS(raw_menu_engineering!F:F, raw_menu_engineering!A:A, "&gt;="&amp; $C$5, raw_menu_engineering!A:A, "&lt;="&amp; $C$6, raw_menu_engineering!B:B, $C$4, raw_menu_engineering!D:D,$B22)</f>
        <v>34741</v>
      </c>
      <c r="E22" s="79">
        <f xml:space="preserve"> SUMIFS(raw_menu_engineering!G:G, raw_menu_engineering!A:A, "&gt;="&amp; $C$5, raw_menu_engineering!A:A, "&lt;="&amp; $C$6, raw_menu_engineering!B:B, $C$4, raw_menu_engineering!D:D,$B22)</f>
        <v>1418</v>
      </c>
      <c r="F22" s="64">
        <f xml:space="preserve"> SUMIFS(raw_menu_engineering!I:I, raw_menu_engineering!A:A, "&gt;="&amp; $C$5, raw_menu_engineering!A:A, "&lt;="&amp; $C$6, raw_menu_engineering!B:B, $C$4, raw_menu_engineering!D:D,$B22)</f>
        <v>5449.1389099912949</v>
      </c>
      <c r="G22" s="65">
        <f t="shared" si="2"/>
        <v>29291.861090008704</v>
      </c>
      <c r="H22" s="66">
        <f t="shared" si="3"/>
        <v>0.84314962407555061</v>
      </c>
      <c r="I22" s="66">
        <f t="shared" si="4"/>
        <v>4.6137827812845707E-2</v>
      </c>
      <c r="J22" s="60">
        <f t="shared" si="0"/>
        <v>1</v>
      </c>
      <c r="K22" s="65">
        <f t="shared" si="5"/>
        <v>20.657165789850989</v>
      </c>
      <c r="L22" s="60">
        <f t="shared" si="1"/>
        <v>1</v>
      </c>
      <c r="M22" s="60" t="str">
        <f t="shared" si="6"/>
        <v>STAR</v>
      </c>
      <c r="N22" s="60">
        <f t="shared" si="7"/>
        <v>5</v>
      </c>
    </row>
    <row r="23" spans="2:14">
      <c r="B23" s="60">
        <v>15</v>
      </c>
      <c r="C23" s="60" t="str">
        <f>INDEX(raw_menu_engineering!$E:$E, MATCH(B23, raw_menu_engineering!$D:$D, 0))</f>
        <v>Pollo alla Griglia</v>
      </c>
      <c r="D23" s="64">
        <f xml:space="preserve"> SUMIFS(raw_menu_engineering!F:F, raw_menu_engineering!A:A, "&gt;="&amp; $C$5, raw_menu_engineering!A:A, "&lt;="&amp; $C$6, raw_menu_engineering!B:B, $C$4, raw_menu_engineering!D:D,$B23)</f>
        <v>54999</v>
      </c>
      <c r="E23" s="79">
        <f xml:space="preserve"> SUMIFS(raw_menu_engineering!G:G, raw_menu_engineering!A:A, "&gt;="&amp; $C$5, raw_menu_engineering!A:A, "&lt;="&amp; $C$6, raw_menu_engineering!B:B, $C$4, raw_menu_engineering!D:D,$B23)</f>
        <v>2619</v>
      </c>
      <c r="F23" s="64">
        <f xml:space="preserve"> SUMIFS(raw_menu_engineering!I:I, raw_menu_engineering!A:A, "&gt;="&amp; $C$5, raw_menu_engineering!A:A, "&lt;="&amp; $C$6, raw_menu_engineering!B:B, $C$4, raw_menu_engineering!D:D,$B23)</f>
        <v>6328.1717146372457</v>
      </c>
      <c r="G23" s="65">
        <f t="shared" si="2"/>
        <v>48670.828285362753</v>
      </c>
      <c r="H23" s="66">
        <f t="shared" si="3"/>
        <v>0.88494024046551312</v>
      </c>
      <c r="I23" s="66">
        <f t="shared" si="4"/>
        <v>8.5215071256588795E-2</v>
      </c>
      <c r="J23" s="60">
        <f t="shared" si="0"/>
        <v>1</v>
      </c>
      <c r="K23" s="65">
        <f t="shared" si="5"/>
        <v>18.583745049775775</v>
      </c>
      <c r="L23" s="60">
        <f t="shared" si="1"/>
        <v>1</v>
      </c>
      <c r="M23" s="60" t="str">
        <f t="shared" si="6"/>
        <v>STAR</v>
      </c>
      <c r="N23" s="60">
        <f t="shared" si="7"/>
        <v>1</v>
      </c>
    </row>
    <row r="24" spans="2:14">
      <c r="B24" s="60">
        <v>16</v>
      </c>
      <c r="C24" s="60" t="str">
        <f>INDEX(raw_menu_engineering!$E:$E, MATCH(B24, raw_menu_engineering!$D:$D, 0))</f>
        <v>Cannoli</v>
      </c>
      <c r="D24" s="64">
        <f xml:space="preserve"> SUMIFS(raw_menu_engineering!F:F, raw_menu_engineering!A:A, "&gt;="&amp; $C$5, raw_menu_engineering!A:A, "&lt;="&amp; $C$6, raw_menu_engineering!B:B, $C$4, raw_menu_engineering!D:D,$B24)</f>
        <v>11197.5</v>
      </c>
      <c r="E24" s="79">
        <f xml:space="preserve"> SUMIFS(raw_menu_engineering!G:G, raw_menu_engineering!A:A, "&gt;="&amp; $C$5, raw_menu_engineering!A:A, "&lt;="&amp; $C$6, raw_menu_engineering!B:B, $C$4, raw_menu_engineering!D:D,$B24)</f>
        <v>1493</v>
      </c>
      <c r="F24" s="64">
        <f xml:space="preserve"> SUMIFS(raw_menu_engineering!I:I, raw_menu_engineering!A:A, "&gt;="&amp; $C$5, raw_menu_engineering!A:A, "&lt;="&amp; $C$6, raw_menu_engineering!B:B, $C$4, raw_menu_engineering!D:D,$B24)</f>
        <v>2116.0370814028493</v>
      </c>
      <c r="G24" s="65">
        <f t="shared" si="2"/>
        <v>9081.4629185971498</v>
      </c>
      <c r="H24" s="66">
        <f t="shared" si="3"/>
        <v>0.81102593602117878</v>
      </c>
      <c r="I24" s="66">
        <f t="shared" si="4"/>
        <v>4.8578121949632326E-2</v>
      </c>
      <c r="J24" s="60">
        <f t="shared" si="0"/>
        <v>1</v>
      </c>
      <c r="K24" s="65">
        <f t="shared" si="5"/>
        <v>6.0826945201588414</v>
      </c>
      <c r="L24" s="60">
        <f t="shared" si="1"/>
        <v>0</v>
      </c>
      <c r="M24" s="60" t="str">
        <f t="shared" si="6"/>
        <v>PLOWHORSE</v>
      </c>
      <c r="N24" s="60">
        <f t="shared" si="7"/>
        <v>18</v>
      </c>
    </row>
    <row r="25" spans="2:14">
      <c r="B25" s="60">
        <v>17</v>
      </c>
      <c r="C25" s="60" t="str">
        <f>INDEX(raw_menu_engineering!$E:$E, MATCH(B25, raw_menu_engineering!$D:$D, 0))</f>
        <v>Pistachio Gelato</v>
      </c>
      <c r="D25" s="64">
        <f xml:space="preserve"> SUMIFS(raw_menu_engineering!F:F, raw_menu_engineering!A:A, "&gt;="&amp; $C$5, raw_menu_engineering!A:A, "&lt;="&amp; $C$6, raw_menu_engineering!B:B, $C$4, raw_menu_engineering!D:D,$B25)</f>
        <v>13195</v>
      </c>
      <c r="E25" s="79">
        <f xml:space="preserve"> SUMIFS(raw_menu_engineering!G:G, raw_menu_engineering!A:A, "&gt;="&amp; $C$5, raw_menu_engineering!A:A, "&lt;="&amp; $C$6, raw_menu_engineering!B:B, $C$4, raw_menu_engineering!D:D,$B25)</f>
        <v>1885</v>
      </c>
      <c r="F25" s="64">
        <f xml:space="preserve"> SUMIFS(raw_menu_engineering!I:I, raw_menu_engineering!A:A, "&gt;="&amp; $C$5, raw_menu_engineering!A:A, "&lt;="&amp; $C$6, raw_menu_engineering!B:B, $C$4, raw_menu_engineering!D:D,$B25)</f>
        <v>2611.4683361147995</v>
      </c>
      <c r="G25" s="65">
        <f t="shared" si="2"/>
        <v>10583.5316638852</v>
      </c>
      <c r="H25" s="66">
        <f t="shared" si="3"/>
        <v>0.80208652246193257</v>
      </c>
      <c r="I25" s="66">
        <f t="shared" si="4"/>
        <v>6.1332725971237068E-2</v>
      </c>
      <c r="J25" s="60">
        <f t="shared" si="0"/>
        <v>1</v>
      </c>
      <c r="K25" s="65">
        <f t="shared" si="5"/>
        <v>5.6146056572335281</v>
      </c>
      <c r="L25" s="60">
        <f t="shared" si="1"/>
        <v>0</v>
      </c>
      <c r="M25" s="60" t="str">
        <f t="shared" si="6"/>
        <v>PLOWHORSE</v>
      </c>
      <c r="N25" s="60">
        <f t="shared" si="7"/>
        <v>17</v>
      </c>
    </row>
    <row r="26" spans="2:14">
      <c r="B26" s="60">
        <v>18</v>
      </c>
      <c r="C26" s="60" t="str">
        <f>INDEX(raw_menu_engineering!$E:$E, MATCH(B26, raw_menu_engineering!$D:$D, 0))</f>
        <v>Insalata di Mare</v>
      </c>
      <c r="D26" s="64">
        <f xml:space="preserve"> SUMIFS(raw_menu_engineering!F:F, raw_menu_engineering!A:A, "&gt;="&amp; $C$5, raw_menu_engineering!A:A, "&lt;="&amp; $C$6, raw_menu_engineering!B:B, $C$4, raw_menu_engineering!D:D,$B26)</f>
        <v>17650.5</v>
      </c>
      <c r="E26" s="79">
        <f xml:space="preserve"> SUMIFS(raw_menu_engineering!G:G, raw_menu_engineering!A:A, "&gt;="&amp; $C$5, raw_menu_engineering!A:A, "&lt;="&amp; $C$6, raw_menu_engineering!B:B, $C$4, raw_menu_engineering!D:D,$B26)</f>
        <v>861</v>
      </c>
      <c r="F26" s="64">
        <f xml:space="preserve"> SUMIFS(raw_menu_engineering!I:I, raw_menu_engineering!A:A, "&gt;="&amp; $C$5, raw_menu_engineering!A:A, "&lt;="&amp; $C$6, raw_menu_engineering!B:B, $C$4, raw_menu_engineering!D:D,$B26)</f>
        <v>5046.5944138622572</v>
      </c>
      <c r="G26" s="65">
        <f t="shared" si="2"/>
        <v>12603.905586137742</v>
      </c>
      <c r="H26" s="66">
        <f t="shared" si="3"/>
        <v>0.71408207054404926</v>
      </c>
      <c r="I26" s="66">
        <f t="shared" si="4"/>
        <v>2.8014576690310405E-2</v>
      </c>
      <c r="J26" s="60">
        <f t="shared" si="0"/>
        <v>0</v>
      </c>
      <c r="K26" s="65">
        <f t="shared" si="5"/>
        <v>14.638682446153011</v>
      </c>
      <c r="L26" s="60">
        <f t="shared" si="1"/>
        <v>1</v>
      </c>
      <c r="M26" s="60" t="str">
        <f t="shared" si="6"/>
        <v>PUZZLE</v>
      </c>
      <c r="N26" s="60">
        <f t="shared" si="7"/>
        <v>14</v>
      </c>
    </row>
    <row r="27" spans="2:14">
      <c r="B27" s="60"/>
      <c r="C27" s="60"/>
      <c r="D27" s="60"/>
      <c r="E27" s="60"/>
      <c r="F27" s="60"/>
      <c r="G27" s="60"/>
      <c r="H27" s="83"/>
      <c r="I27" s="10" t="s">
        <v>201</v>
      </c>
      <c r="J27">
        <f>IF(L5=0, "-", COUNTIF(J9:J26, "=1"))</f>
        <v>13</v>
      </c>
      <c r="K27" s="10" t="s">
        <v>205</v>
      </c>
      <c r="L27">
        <f>IF(E28=0, "-", COUNTIF(L9:L26, "=1"))</f>
        <v>10</v>
      </c>
      <c r="N27" s="10"/>
    </row>
    <row r="28" spans="2:14">
      <c r="B28" s="60"/>
      <c r="C28" s="59" t="s">
        <v>191</v>
      </c>
      <c r="D28" s="65">
        <f>SUM(D9:D26)</f>
        <v>538065</v>
      </c>
      <c r="E28" s="79">
        <f>SUM(E9:E26)</f>
        <v>30734</v>
      </c>
      <c r="F28" s="65">
        <f>SUM(F9:F26)</f>
        <v>123589.04845887019</v>
      </c>
      <c r="G28" s="65">
        <f>SUM(G9:G26)</f>
        <v>414475.95154112979</v>
      </c>
      <c r="H28" s="84">
        <f>IF(G28 = 0, "-", G28/D28)</f>
        <v>0.77030832992506437</v>
      </c>
    </row>
    <row r="29" spans="2:14">
      <c r="B29" s="60"/>
      <c r="C29" s="59" t="s">
        <v>192</v>
      </c>
      <c r="D29" s="64">
        <f xml:space="preserve"> SUMIFS(raw_location_month_performance!D:D, raw_location_month_performance!C:C, "&gt;="&amp; $C$5, raw_location_month_performance!C:C, "&lt;="&amp; $C$6, raw_location_month_performance!A:A, $C$4)</f>
        <v>538065</v>
      </c>
      <c r="E29" s="60">
        <f xml:space="preserve"> SUMIFS(raw_menu_engineering!G:G, raw_menu_engineering!A:A, "&gt;="&amp; $C$5, raw_menu_engineering!A:A, "&lt;="&amp; $C$6, raw_menu_engineering!B:B, $C$4)</f>
        <v>30734</v>
      </c>
      <c r="F29" s="64">
        <f xml:space="preserve"> SUMIFS(raw_location_month_performance!J:J, raw_location_month_performance!C:C, "&gt;="&amp; $C$5, raw_location_month_performance!C:C, "&lt;="&amp; $C$6, raw_location_month_performance!A:A, $C$4)</f>
        <v>123589.03999999998</v>
      </c>
      <c r="G29" s="64">
        <f>D29-F29</f>
        <v>414475.96</v>
      </c>
      <c r="H29" s="84">
        <f>IF(G29=0, "-", G29/D29)</f>
        <v>0.77030834564597217</v>
      </c>
      <c r="I29" s="10" t="s">
        <v>229</v>
      </c>
      <c r="J29" s="54" t="str" cm="1">
        <f t="array" ref="J29">IF($F$6&lt;&gt;"PASS","-",_xlfn._xlws.FILTER($C$9:$C$26,N9:N26=MIN(N9:N26)))</f>
        <v>Pollo alla Griglia</v>
      </c>
      <c r="K29" s="54"/>
      <c r="L29" s="10" t="s">
        <v>230</v>
      </c>
      <c r="M29" s="54" t="str" cm="1">
        <f t="array" ref="M29">IF(F6&lt;&gt;"PASS", "-", _xlfn._xlws.FILTER($C$9:$C$26, N9:N26=MAX(N9:N26), "NONE"))</f>
        <v>Cannoli</v>
      </c>
      <c r="N29" s="54"/>
    </row>
    <row r="30" spans="2:14">
      <c r="B30" s="60"/>
      <c r="C30" s="59" t="s">
        <v>164</v>
      </c>
      <c r="D30" s="65">
        <f>D28-D29</f>
        <v>0</v>
      </c>
      <c r="E30" s="79">
        <f>E28-E29</f>
        <v>0</v>
      </c>
      <c r="F30" s="65">
        <f>F28-F29</f>
        <v>8.4588702156906947E-3</v>
      </c>
      <c r="G30" s="65">
        <f>G28-G29</f>
        <v>-8.45887023024261E-3</v>
      </c>
      <c r="H30" s="84">
        <f>IF(AND(H28="-", H29="-"), "-", H28-H29)</f>
        <v>-1.5720907797778239E-8</v>
      </c>
      <c r="I30"/>
      <c r="J30"/>
    </row>
    <row r="31" spans="2:14">
      <c r="B31" s="59"/>
      <c r="C31" s="59" t="s">
        <v>193</v>
      </c>
      <c r="D31" s="60" t="str">
        <f>IF(E28=0, "NO SALES", IF(AND(D30&gt;= -($F$5*$F$4),  D30&lt;= ($F$5*$F$4)), "PASS", "FAIL"))</f>
        <v>PASS</v>
      </c>
      <c r="E31" s="60" t="str">
        <f>IF(E28=0, "NO SALES", IF(E28=E29, "PASS", "FAIL"))</f>
        <v>PASS</v>
      </c>
      <c r="F31" s="60" t="str">
        <f>IF(E28=0, "NO SALES", IF(AND(F30&gt;= -($F$5*$F$4),  F30&lt;= ($F$5*$F$4)), "PASS", "FAIL"))</f>
        <v>PASS</v>
      </c>
      <c r="G31" s="60" t="str">
        <f>IF(E28=0, "NO SALES", IF(AND(G30&gt;= -($F$5*$F$4),  G30&lt;= ($F$5*$F$4)), "PASS", "FAIL"))</f>
        <v>PASS</v>
      </c>
      <c r="H31" s="60"/>
      <c r="I31"/>
    </row>
    <row r="32" spans="2:14">
      <c r="B32"/>
      <c r="C32" s="10"/>
      <c r="H32"/>
      <c r="I32"/>
    </row>
    <row r="33" spans="2:20">
      <c r="B33" s="60"/>
      <c r="C33" s="59" t="s">
        <v>235</v>
      </c>
      <c r="D33" s="59" t="s">
        <v>236</v>
      </c>
      <c r="E33" s="59" t="s">
        <v>212</v>
      </c>
      <c r="F33" s="59" t="s">
        <v>213</v>
      </c>
      <c r="G33" s="59" t="s">
        <v>237</v>
      </c>
      <c r="H33" s="59" t="s">
        <v>191</v>
      </c>
      <c r="J33" s="10"/>
    </row>
    <row r="34" spans="2:20" ht="17">
      <c r="B34" s="70" t="s">
        <v>238</v>
      </c>
      <c r="C34" s="71">
        <f>COUNTIF($M$9:$M$26, "STAR")</f>
        <v>7</v>
      </c>
      <c r="D34" s="71">
        <f>COUNTIF($M$9:$M$26, "PUZZLE")</f>
        <v>3</v>
      </c>
      <c r="E34" s="71">
        <f>COUNTIF($M$9:$M$26, "PLOWHORSE")</f>
        <v>6</v>
      </c>
      <c r="F34" s="71">
        <f>COUNTIF($M$9:$M$26, "DOG")</f>
        <v>2</v>
      </c>
      <c r="G34" s="71">
        <f>COUNTIF($M$9:$M$26, "-")</f>
        <v>0</v>
      </c>
      <c r="H34" s="71">
        <f>SUM(C34:G34)</f>
        <v>18</v>
      </c>
      <c r="J34" s="10"/>
    </row>
    <row r="35" spans="2:20" ht="17">
      <c r="B35" s="70" t="s">
        <v>233</v>
      </c>
      <c r="C35" s="64">
        <f xml:space="preserve"> SUMIFS($D$9:$D$26,$M$9:$M$26, "STAR")</f>
        <v>297921.5</v>
      </c>
      <c r="D35" s="64">
        <f xml:space="preserve"> SUMIFS($D$9:$D$26,$M$9:$M$26,"PUZZLE")</f>
        <v>70816.5</v>
      </c>
      <c r="E35" s="64">
        <f xml:space="preserve"> SUMIFS($D$9:$D$26,$M$9:$M$26, "PLOWHORSE")</f>
        <v>138235</v>
      </c>
      <c r="F35" s="64">
        <f xml:space="preserve"> SUMIFS($D$9:$D$26,$M$9:$M$26, "DOG")</f>
        <v>31092</v>
      </c>
      <c r="G35" s="64">
        <f xml:space="preserve"> SUMIFS($D$9:$D$26,$M$9:$M$26, "-")</f>
        <v>0</v>
      </c>
      <c r="H35" s="72">
        <f>SUM(C35:G35)</f>
        <v>538065</v>
      </c>
      <c r="I35" s="22" t="str">
        <f>IF(AND(H35-D28 &gt;=-F4*F5, H35-D28 &lt;=F4*F5), "PASS", "FAIL")</f>
        <v>PASS</v>
      </c>
      <c r="J35" s="42"/>
      <c r="K35" s="10"/>
      <c r="L35" s="10"/>
      <c r="M35" s="10"/>
      <c r="N35" s="10"/>
      <c r="O35" s="17"/>
      <c r="P35" s="17"/>
      <c r="Q35" s="10"/>
      <c r="R35" s="17"/>
      <c r="S35" s="17"/>
      <c r="T35" s="17"/>
    </row>
    <row r="36" spans="2:20" ht="34">
      <c r="B36" s="73" t="s">
        <v>239</v>
      </c>
      <c r="C36" s="66">
        <f>C35/$H$35</f>
        <v>0.55369053924711698</v>
      </c>
      <c r="D36" s="66">
        <f>D35/$H$35</f>
        <v>0.13161328092330851</v>
      </c>
      <c r="E36" s="66">
        <f>E35/$H$35</f>
        <v>0.25691133970802782</v>
      </c>
      <c r="F36" s="66">
        <f>F35/$H$35</f>
        <v>5.7784840121546652E-2</v>
      </c>
      <c r="G36" s="66">
        <f>G35/$H$35</f>
        <v>0</v>
      </c>
      <c r="H36" s="74">
        <f>SUM(C36:G36)</f>
        <v>0.99999999999999989</v>
      </c>
      <c r="J36" s="43"/>
      <c r="L36" s="28"/>
      <c r="N36" s="28"/>
      <c r="O36" s="28"/>
      <c r="P36" s="26"/>
      <c r="Q36" s="26"/>
      <c r="R36" s="28"/>
      <c r="S36" s="26"/>
      <c r="T36" s="26"/>
    </row>
    <row r="37" spans="2:20" ht="17">
      <c r="B37" s="70" t="s">
        <v>234</v>
      </c>
      <c r="C37" s="64">
        <f>SUMIFS($G$9:$G$26,$M$9:$M$26, "STAR")</f>
        <v>241968.77758728468</v>
      </c>
      <c r="D37" s="64">
        <f xml:space="preserve"> SUMIFS($G$9:$G$26,$M$9:$M$26, "PUZZLE")</f>
        <v>51872.491930013901</v>
      </c>
      <c r="E37" s="64">
        <f xml:space="preserve"> SUMIFS($G$9:$G$26,$M$9:$M$26, "PLOWHORSE")</f>
        <v>97930.209258543066</v>
      </c>
      <c r="F37" s="64">
        <f xml:space="preserve"> SUMIFS($G$9:$G$26,$M$9:$M$26, "DOG")</f>
        <v>22704.47276528809</v>
      </c>
      <c r="G37" s="64">
        <f xml:space="preserve"> SUMIFS($G$9:$G$26,$M$9:$M$26, "-")</f>
        <v>0</v>
      </c>
      <c r="H37" s="75">
        <f>SUM(C37:G37)</f>
        <v>414475.95154112973</v>
      </c>
      <c r="I37" s="22" t="str">
        <f>IF(AND(H37-G28 &gt;=-F4*F5, H37-G28 &lt;=F4*F5), "PASS", "FAIL")</f>
        <v>PASS</v>
      </c>
      <c r="J37" s="44"/>
      <c r="L37" s="28"/>
      <c r="N37" s="28"/>
      <c r="O37" s="28"/>
      <c r="P37" s="26"/>
      <c r="Q37" s="26"/>
      <c r="R37" s="28"/>
      <c r="S37" s="26"/>
      <c r="T37" s="26"/>
    </row>
    <row r="38" spans="2:20" ht="34">
      <c r="B38" s="73" t="s">
        <v>240</v>
      </c>
      <c r="C38" s="66">
        <f>C37/$H$37</f>
        <v>0.5837944920268151</v>
      </c>
      <c r="D38" s="66">
        <f>D37/$H$37</f>
        <v>0.12515199431266988</v>
      </c>
      <c r="E38" s="66">
        <f>E37/$H$37</f>
        <v>0.23627476791937627</v>
      </c>
      <c r="F38" s="66">
        <f>F37/$H$37</f>
        <v>5.4778745741138744E-2</v>
      </c>
      <c r="G38" s="66">
        <f>G37/$H$37</f>
        <v>0</v>
      </c>
      <c r="H38" s="74">
        <f>SUM(C38:G38)</f>
        <v>1</v>
      </c>
      <c r="J38" s="44"/>
      <c r="L38" s="28"/>
      <c r="N38" s="28"/>
      <c r="O38" s="28"/>
      <c r="P38" s="26"/>
      <c r="Q38" s="26"/>
      <c r="R38" s="28"/>
      <c r="S38" s="26"/>
      <c r="T38" s="26"/>
    </row>
    <row r="39" spans="2:20" ht="17">
      <c r="B39" s="70" t="s">
        <v>242</v>
      </c>
      <c r="C39" s="60" t="str" cm="1">
        <f t="array" ref="C39:C45">_xlfn._xlws.FILTER($C$9:$C$26, $M$9:$M$26="STAR", "NO STAR DISHES")</f>
        <v>Spaghetti alla Carbonara</v>
      </c>
      <c r="D39" s="60" t="str" cm="1">
        <f t="array" ref="D39:D41">_xlfn._xlws.FILTER(C9:C26, M9:M26="PUZZLE", "NO PUZZLE DISHES")</f>
        <v>Risotto alla Milanese</v>
      </c>
      <c r="E39" s="60" t="str" cm="1">
        <f t="array" ref="E39:E44">_xlfn._xlws.FILTER(C9:C26, M9:M26="PLOWHORSE", "NO PLOWHORSE DISHES")</f>
        <v>Caprese Salad</v>
      </c>
      <c r="F39" s="60" t="str" cm="1">
        <f t="array" ref="F39:F40">_xlfn._xlws.FILTER(C9:C26, M9:M26="DOG", "NO DOG DISHES")</f>
        <v>Prosciutto e Melone</v>
      </c>
      <c r="G39" s="60" t="str" cm="1">
        <f t="array" ref="G39">_xlfn._xlws.FILTER(C9:C26, M9:M26="-", "ALL DISHES HAVE SALES")</f>
        <v>ALL DISHES HAVE SALES</v>
      </c>
      <c r="H39" s="60"/>
      <c r="J39" s="44"/>
      <c r="L39" s="28"/>
      <c r="N39" s="28"/>
      <c r="O39" s="28"/>
      <c r="P39" s="26"/>
      <c r="Q39" s="26"/>
      <c r="R39" s="28"/>
      <c r="S39" s="26"/>
      <c r="T39" s="26"/>
    </row>
    <row r="40" spans="2:20">
      <c r="B40" s="60"/>
      <c r="C40" s="76" t="str">
        <v>Margherita Pizza</v>
      </c>
      <c r="D40" s="60" t="str">
        <v>Osso Buco</v>
      </c>
      <c r="E40" s="60" t="str">
        <v>Tiramisu</v>
      </c>
      <c r="F40" s="60" t="str">
        <v>Panzanella</v>
      </c>
      <c r="G40" s="60"/>
      <c r="H40" s="60"/>
      <c r="J40" s="44"/>
      <c r="L40" s="28"/>
      <c r="N40" s="28"/>
      <c r="O40" s="28"/>
      <c r="P40" s="26"/>
      <c r="Q40" s="26"/>
      <c r="R40" s="28"/>
      <c r="S40" s="26"/>
      <c r="T40" s="26"/>
    </row>
    <row r="41" spans="2:20">
      <c r="B41" s="60"/>
      <c r="C41" s="60" t="str">
        <v>Bucatini all'Amatriciana</v>
      </c>
      <c r="D41" s="60" t="str">
        <v>Insalata di Mare</v>
      </c>
      <c r="E41" s="60" t="str">
        <v>Focaccia Genovese</v>
      </c>
      <c r="F41" s="60"/>
      <c r="G41" s="60"/>
      <c r="H41" s="60"/>
      <c r="J41" s="44"/>
      <c r="L41" s="28"/>
      <c r="N41" s="28"/>
      <c r="O41" s="28"/>
      <c r="P41" s="26"/>
      <c r="Q41" s="26"/>
      <c r="R41" s="28"/>
      <c r="S41" s="26"/>
      <c r="T41" s="26"/>
    </row>
    <row r="42" spans="2:20">
      <c r="B42" s="60"/>
      <c r="C42" s="60" t="str">
        <v>Cacio e Pepe</v>
      </c>
      <c r="D42" s="60"/>
      <c r="E42" s="60" t="str">
        <v>Quattro Formaggi Pizza</v>
      </c>
      <c r="F42" s="60"/>
      <c r="G42" s="60"/>
      <c r="H42" s="60"/>
      <c r="J42" s="44"/>
      <c r="L42" s="28"/>
      <c r="N42" s="28"/>
      <c r="O42" s="28"/>
      <c r="P42" s="26"/>
      <c r="Q42" s="26"/>
      <c r="R42" s="28"/>
      <c r="S42" s="26"/>
      <c r="T42" s="26"/>
    </row>
    <row r="43" spans="2:20">
      <c r="B43" s="60"/>
      <c r="C43" s="60" t="str">
        <v>Pesto alla Genovese</v>
      </c>
      <c r="D43" s="60"/>
      <c r="E43" s="60" t="str">
        <v>Cannoli</v>
      </c>
      <c r="F43" s="60"/>
      <c r="G43" s="60"/>
      <c r="H43" s="60"/>
      <c r="J43" s="44"/>
      <c r="L43" s="28"/>
      <c r="N43" s="28"/>
      <c r="O43" s="28"/>
      <c r="P43" s="26"/>
      <c r="Q43" s="26"/>
      <c r="R43" s="28"/>
      <c r="S43" s="26"/>
      <c r="T43" s="26"/>
    </row>
    <row r="44" spans="2:20">
      <c r="B44" s="60"/>
      <c r="C44" s="60" t="str">
        <v>Porchetta</v>
      </c>
      <c r="D44" s="60"/>
      <c r="E44" s="60" t="str">
        <v>Pistachio Gelato</v>
      </c>
      <c r="F44" s="60"/>
      <c r="G44" s="60"/>
      <c r="H44" s="60"/>
      <c r="J44"/>
      <c r="O44" s="18"/>
      <c r="P44" s="22"/>
      <c r="Q44" s="18"/>
      <c r="R44" s="18"/>
      <c r="S44" s="17"/>
      <c r="T44" s="27"/>
    </row>
    <row r="45" spans="2:20">
      <c r="B45" s="60"/>
      <c r="C45" s="60" t="str">
        <v>Pollo alla Griglia</v>
      </c>
      <c r="D45" s="60"/>
      <c r="E45" s="60"/>
      <c r="F45" s="60"/>
      <c r="G45" s="60"/>
      <c r="H45" s="58"/>
    </row>
    <row r="46" spans="2:20">
      <c r="B46" s="60"/>
      <c r="C46" s="60"/>
      <c r="D46" s="60"/>
      <c r="E46" s="60"/>
      <c r="F46" s="60"/>
      <c r="G46" s="60"/>
      <c r="H46" s="58"/>
    </row>
    <row r="47" spans="2:20">
      <c r="B47" s="77"/>
      <c r="C47" s="60"/>
      <c r="D47" s="60"/>
      <c r="E47" s="60"/>
      <c r="F47" s="60"/>
      <c r="G47" s="60"/>
      <c r="H47" s="58"/>
    </row>
    <row r="48" spans="2:20">
      <c r="G48" s="23"/>
      <c r="H48" s="17"/>
      <c r="I48" s="17"/>
    </row>
    <row r="49" spans="5:13" ht="34">
      <c r="E49" s="28"/>
      <c r="G49" s="28"/>
      <c r="H49" s="28"/>
      <c r="I49" s="10" t="s">
        <v>249</v>
      </c>
      <c r="J49" s="10" t="s">
        <v>250</v>
      </c>
      <c r="K49" s="10" t="s">
        <v>255</v>
      </c>
      <c r="L49" s="51" t="s">
        <v>251</v>
      </c>
      <c r="M49" s="51" t="s">
        <v>252</v>
      </c>
    </row>
    <row r="50" spans="5:13">
      <c r="E50" s="28"/>
      <c r="G50" s="28"/>
      <c r="H50" s="28"/>
      <c r="I50" s="28" cm="1">
        <f t="array" ref="I50:I67">IF(I9:I26="-", NA(), I9:I26)</f>
        <v>8.8273573241361356E-2</v>
      </c>
      <c r="J50" s="26" cm="1">
        <f t="array" ref="J50:J67">IF(K9:K26="-", NA(), K9:K26)</f>
        <v>15.269732252043818</v>
      </c>
      <c r="K50" t="str" cm="1">
        <f t="array" ref="K50:K67">C9:C26</f>
        <v>Spaghetti alla Carbonara</v>
      </c>
      <c r="L50" s="13">
        <f>$L$6</f>
        <v>3.8888888888888883E-2</v>
      </c>
      <c r="M50">
        <v>0</v>
      </c>
    </row>
    <row r="51" spans="5:13">
      <c r="E51" s="28"/>
      <c r="G51" s="28"/>
      <c r="H51" s="28"/>
      <c r="I51" s="28">
        <v>9.1982820329277029E-2</v>
      </c>
      <c r="J51" s="26">
        <v>14.401650095152212</v>
      </c>
      <c r="K51" t="str">
        <v>Margherita Pizza</v>
      </c>
      <c r="L51" s="13">
        <f>$L$6</f>
        <v>3.8888888888888883E-2</v>
      </c>
      <c r="M51" s="26" cm="1">
        <f t="array" ref="M51">MAX(IFERROR(_xlfn.ANCHORARRAY(J50),0)+ 5)</f>
        <v>32.536238520800055</v>
      </c>
    </row>
    <row r="52" spans="5:13">
      <c r="E52" s="28"/>
      <c r="G52" s="28"/>
      <c r="H52" s="28"/>
      <c r="I52" s="28">
        <v>3.7547992451356801E-2</v>
      </c>
      <c r="J52" s="26">
        <v>18.613670935389361</v>
      </c>
      <c r="K52" t="str">
        <v>Risotto alla Milanese</v>
      </c>
    </row>
    <row r="53" spans="5:13" ht="34">
      <c r="E53" s="28"/>
      <c r="G53" s="52"/>
      <c r="H53" s="28"/>
      <c r="I53" s="28">
        <v>6.1104965185136979E-2</v>
      </c>
      <c r="J53" s="26">
        <v>10.95704748884439</v>
      </c>
      <c r="K53" t="str">
        <v>Caprese Salad</v>
      </c>
      <c r="L53" s="51" t="s">
        <v>253</v>
      </c>
      <c r="M53" s="51" t="s">
        <v>254</v>
      </c>
    </row>
    <row r="54" spans="5:13">
      <c r="E54" s="28"/>
      <c r="G54" s="28"/>
      <c r="H54" s="28"/>
      <c r="I54" s="28">
        <v>3.2016659074640463E-2</v>
      </c>
      <c r="J54" s="26">
        <v>12.221058691574537</v>
      </c>
      <c r="K54" t="str">
        <v>Prosciutto e Melone</v>
      </c>
      <c r="L54">
        <v>0</v>
      </c>
      <c r="M54" s="27">
        <f>$L$7</f>
        <v>13.485909791798328</v>
      </c>
    </row>
    <row r="55" spans="5:13">
      <c r="E55" s="28"/>
      <c r="G55" s="28"/>
      <c r="H55" s="28"/>
      <c r="I55" s="28">
        <v>5.6842584759549682E-2</v>
      </c>
      <c r="J55" s="26">
        <v>15.003364197912289</v>
      </c>
      <c r="K55" t="str">
        <v>Bucatini all'Amatriciana</v>
      </c>
      <c r="L55" s="28" cm="1">
        <f t="array" ref="L55">MAX(IFERROR(I50:I67,0)+0.01)</f>
        <v>0.10198282032927702</v>
      </c>
      <c r="M55" s="27">
        <f>$L$7</f>
        <v>13.485909791798328</v>
      </c>
    </row>
    <row r="56" spans="5:13">
      <c r="E56" s="28"/>
      <c r="G56" s="28"/>
      <c r="H56" s="28"/>
      <c r="I56" s="28">
        <v>8.0301945727858398E-2</v>
      </c>
      <c r="J56" s="26">
        <v>6.2021328526485151</v>
      </c>
      <c r="K56" t="str">
        <v>Tiramisu</v>
      </c>
      <c r="M56" s="18"/>
    </row>
    <row r="57" spans="5:13">
      <c r="I57" s="28">
        <v>4.6170365068002865E-2</v>
      </c>
      <c r="J57" s="26">
        <v>10.332265118383017</v>
      </c>
      <c r="K57" t="str">
        <v>Focaccia Genovese</v>
      </c>
      <c r="M57" s="18"/>
    </row>
    <row r="58" spans="5:13">
      <c r="I58" s="28">
        <v>2.1019066831522094E-2</v>
      </c>
      <c r="J58" s="26">
        <v>27.536238520800051</v>
      </c>
      <c r="K58" t="str">
        <v>Osso Buco</v>
      </c>
      <c r="M58" s="18"/>
    </row>
    <row r="59" spans="5:13">
      <c r="I59" s="28">
        <v>3.4945012038784411E-2</v>
      </c>
      <c r="J59" s="26">
        <v>9.9431573675779763</v>
      </c>
      <c r="K59" t="str">
        <v>Panzanella</v>
      </c>
      <c r="M59" s="18"/>
    </row>
    <row r="60" spans="5:13">
      <c r="I60" s="28">
        <v>7.0020173098197441E-2</v>
      </c>
      <c r="J60" s="26">
        <v>16.455934276961713</v>
      </c>
      <c r="K60" t="str">
        <v>Cacio e Pepe</v>
      </c>
      <c r="M60" s="18"/>
    </row>
    <row r="61" spans="5:13">
      <c r="I61" s="28">
        <v>4.0053361098457731E-2</v>
      </c>
      <c r="J61" s="26">
        <v>16.4433728475619</v>
      </c>
      <c r="K61" t="str">
        <v>Pesto alla Genovese</v>
      </c>
      <c r="M61" s="18"/>
    </row>
    <row r="62" spans="5:13">
      <c r="I62" s="28">
        <v>7.0443157415240445E-2</v>
      </c>
      <c r="J62" s="26">
        <v>12.803478710710817</v>
      </c>
      <c r="K62" t="str">
        <v>Quattro Formaggi Pizza</v>
      </c>
      <c r="M62" s="18"/>
    </row>
    <row r="63" spans="5:13">
      <c r="I63" s="28">
        <v>4.6137827812845707E-2</v>
      </c>
      <c r="J63" s="26">
        <v>20.657165789850989</v>
      </c>
      <c r="K63" t="str">
        <v>Porchetta</v>
      </c>
      <c r="M63" s="18"/>
    </row>
    <row r="64" spans="5:13">
      <c r="I64" s="28">
        <v>8.5215071256588795E-2</v>
      </c>
      <c r="J64" s="26">
        <v>18.583745049775775</v>
      </c>
      <c r="K64" t="str">
        <v>Pollo alla Griglia</v>
      </c>
      <c r="M64" s="18"/>
    </row>
    <row r="65" spans="9:15">
      <c r="I65" s="28">
        <v>4.8578121949632326E-2</v>
      </c>
      <c r="J65" s="26">
        <v>6.0826945201588414</v>
      </c>
      <c r="K65" t="str">
        <v>Cannoli</v>
      </c>
      <c r="M65" s="18"/>
    </row>
    <row r="66" spans="9:15">
      <c r="I66" s="28">
        <v>6.1332725971237068E-2</v>
      </c>
      <c r="J66" s="26">
        <v>5.6146056572335281</v>
      </c>
      <c r="K66" t="str">
        <v>Pistachio Gelato</v>
      </c>
      <c r="M66" s="18"/>
    </row>
    <row r="67" spans="9:15">
      <c r="I67" s="28">
        <v>2.8014576690310405E-2</v>
      </c>
      <c r="J67" s="26">
        <v>14.638682446153011</v>
      </c>
      <c r="K67" t="str">
        <v>Insalata di Mare</v>
      </c>
      <c r="M67" s="18"/>
    </row>
    <row r="75" spans="9:15">
      <c r="I75" s="85" t="str">
        <f>Menu_Performance!$C$3 &amp; " (" &amp; TEXT(C5, "mmm yyyy") &amp; " - " &amp; TEXT(C6, "mmm yyyy") &amp; ") - " &amp;J76</f>
        <v>Eataly Dallas (Feb 2025 - Sep 2026) - Margherita Pizza</v>
      </c>
      <c r="J75" s="86"/>
      <c r="K75" s="80"/>
      <c r="L75" s="88"/>
      <c r="M75" s="88"/>
      <c r="N75" s="89"/>
      <c r="O75" s="90"/>
    </row>
    <row r="76" spans="9:15">
      <c r="I76" s="59" t="s">
        <v>245</v>
      </c>
      <c r="J76" s="87" t="s">
        <v>40</v>
      </c>
      <c r="K76" s="60"/>
      <c r="L76" s="90"/>
      <c r="M76" s="90"/>
      <c r="N76" s="90"/>
      <c r="O76" s="90"/>
    </row>
    <row r="77" spans="9:15">
      <c r="I77" s="61" t="s">
        <v>30</v>
      </c>
      <c r="J77" s="87">
        <f>INDEX(raw_menu_engineering!$D:$D, MATCH(J76, raw_menu_engineering!$E:$E, 0))</f>
        <v>2</v>
      </c>
      <c r="K77" s="60"/>
      <c r="L77" s="90"/>
      <c r="M77" s="90"/>
      <c r="N77" s="90"/>
      <c r="O77" s="90"/>
    </row>
    <row r="78" spans="9:15">
      <c r="I78" s="62" t="s">
        <v>64</v>
      </c>
      <c r="J78" s="91" t="s">
        <v>233</v>
      </c>
      <c r="K78" s="59" t="s">
        <v>241</v>
      </c>
      <c r="L78" s="92" t="s">
        <v>234</v>
      </c>
      <c r="M78" s="59" t="s">
        <v>190</v>
      </c>
      <c r="N78" s="81" t="s">
        <v>247</v>
      </c>
      <c r="O78" s="59" t="s">
        <v>248</v>
      </c>
    </row>
    <row r="79" spans="9:15">
      <c r="I79" s="63" cm="1">
        <f t="array" ref="I79:I98">_xlfn._xlws.FILTER(Lists!$G$2:$G$21,(Lists!$G$2:$G$21&gt;=C5) *(Lists!$G$2:$G$21&lt;=C6))</f>
        <v>45689</v>
      </c>
      <c r="J79" s="64">
        <f>IF(I79="", "", SUMIFS(raw_menu_engineering!F:F, raw_menu_engineering!A:A, "="&amp;I79, raw_menu_engineering!B:B, $C$4, raw_menu_engineering!D:D,$J$77))</f>
        <v>1890</v>
      </c>
      <c r="K79" s="64">
        <f>IF(I79="", "", SUMIFS(raw_menu_engineering!I:I, raw_menu_engineering!A:A, "="&amp;I79, raw_menu_engineering!B:B, $C$4, raw_menu_engineering!D:D,$J$77))</f>
        <v>587.23899421500005</v>
      </c>
      <c r="L79" s="65">
        <f>IF(I79="", "", J79-K79)</f>
        <v>1302.761005785</v>
      </c>
      <c r="M79" s="66">
        <f>IF(I79="", "", L79/J79)</f>
        <v>0.68929153745238092</v>
      </c>
      <c r="N79" s="82" t="e">
        <f>IF(M79=MAX($M$79:$M$98),M79,NA())</f>
        <v>#N/A</v>
      </c>
      <c r="O79" s="82" t="e">
        <f>IF(AND(M79=MIN($M$79:$M$98), MAX($M$79:$M$98)&lt;&gt;MIN($M$79:$M$98)), M79, NA())</f>
        <v>#N/A</v>
      </c>
    </row>
    <row r="80" spans="9:15">
      <c r="I80" s="63">
        <v>45717</v>
      </c>
      <c r="J80" s="64">
        <f>IF(I80="", "", SUMIFS(raw_menu_engineering!F:F, raw_menu_engineering!A:A, "="&amp;I80, raw_menu_engineering!B:B, $C$4, raw_menu_engineering!D:D,$J$77))</f>
        <v>2793</v>
      </c>
      <c r="K80" s="64">
        <f>IF(I80="", "", SUMIFS(raw_menu_engineering!I:I, raw_menu_engineering!A:A, "="&amp;I80, raw_menu_engineering!B:B, $C$4, raw_menu_engineering!D:D,$J$77))</f>
        <v>870.78984003694097</v>
      </c>
      <c r="L80" s="65">
        <f t="shared" ref="L80:L98" si="8">IF(I80="", "", J80-K80)</f>
        <v>1922.2101599630591</v>
      </c>
      <c r="M80" s="66">
        <f t="shared" ref="M80:M98" si="9">IF(I80="", "", L80/J80)</f>
        <v>0.68822418903081239</v>
      </c>
      <c r="N80" s="82" t="e">
        <f>IF(M80=MAX($M$79:$M$98),M80,NA())</f>
        <v>#N/A</v>
      </c>
      <c r="O80" s="82" t="e">
        <f>IF(AND(M80=MIN($M$79:$M$98), MAX($M$79:$M$98)&lt;&gt;MIN($M$79:$M$98)), M80, NA())</f>
        <v>#N/A</v>
      </c>
    </row>
    <row r="81" spans="9:15">
      <c r="I81" s="63">
        <v>45748</v>
      </c>
      <c r="J81" s="64">
        <f>IF(I81="", "", SUMIFS(raw_menu_engineering!F:F, raw_menu_engineering!A:A, "="&amp;I81, raw_menu_engineering!B:B, $C$4, raw_menu_engineering!D:D,$J$77))</f>
        <v>2877</v>
      </c>
      <c r="K81" s="64">
        <f>IF(I81="", "", SUMIFS(raw_menu_engineering!I:I, raw_menu_engineering!A:A, "="&amp;I81, raw_menu_engineering!B:B, $C$4, raw_menu_engineering!D:D,$J$77))</f>
        <v>908.25894200188202</v>
      </c>
      <c r="L81" s="65">
        <f t="shared" si="8"/>
        <v>1968.7410579981179</v>
      </c>
      <c r="M81" s="66">
        <f t="shared" si="9"/>
        <v>0.68430346124369756</v>
      </c>
      <c r="N81" s="82" t="e">
        <f>IF(M81=MAX($M$79:$M$98),M81,NA())</f>
        <v>#N/A</v>
      </c>
      <c r="O81" s="82" t="e">
        <f>IF(AND(M81=MIN($M$79:$M$98), MAX($M$79:$M$98)&lt;&gt;MIN($M$79:$M$98)), M81, NA())</f>
        <v>#N/A</v>
      </c>
    </row>
    <row r="82" spans="9:15">
      <c r="I82" s="63">
        <v>45778</v>
      </c>
      <c r="J82" s="64">
        <f>IF(I82="", "", SUMIFS(raw_menu_engineering!F:F, raw_menu_engineering!A:A, "="&amp;I82, raw_menu_engineering!B:B, $C$4, raw_menu_engineering!D:D,$J$77))</f>
        <v>3087</v>
      </c>
      <c r="K82" s="64">
        <f>IF(I82="", "", SUMIFS(raw_menu_engineering!I:I, raw_menu_engineering!A:A, "="&amp;I82, raw_menu_engineering!B:B, $C$4, raw_menu_engineering!D:D,$J$77))</f>
        <v>962.82305929366601</v>
      </c>
      <c r="L82" s="65">
        <f t="shared" si="8"/>
        <v>2124.1769407063339</v>
      </c>
      <c r="M82" s="66">
        <f t="shared" si="9"/>
        <v>0.68810396524338646</v>
      </c>
      <c r="N82" s="82" t="e">
        <f>IF(M82=MAX($M$79:$M$98),M82,NA())</f>
        <v>#N/A</v>
      </c>
      <c r="O82" s="82" t="e">
        <f>IF(AND(M82=MIN($M$79:$M$98), MAX($M$79:$M$98)&lt;&gt;MIN($M$79:$M$98)), M82, NA())</f>
        <v>#N/A</v>
      </c>
    </row>
    <row r="83" spans="9:15">
      <c r="I83" s="63">
        <v>45809</v>
      </c>
      <c r="J83" s="64">
        <f>IF(I83="", "", SUMIFS(raw_menu_engineering!F:F, raw_menu_engineering!A:A, "="&amp;I83, raw_menu_engineering!B:B, $C$4, raw_menu_engineering!D:D,$J$77))</f>
        <v>2793</v>
      </c>
      <c r="K83" s="64">
        <f>IF(I83="", "", SUMIFS(raw_menu_engineering!I:I, raw_menu_engineering!A:A, "="&amp;I83, raw_menu_engineering!B:B, $C$4, raw_menu_engineering!D:D,$J$77))</f>
        <v>873.52642107705799</v>
      </c>
      <c r="L83" s="65">
        <f t="shared" si="8"/>
        <v>1919.4735789229421</v>
      </c>
      <c r="M83" s="66">
        <f t="shared" si="9"/>
        <v>0.68724438915966424</v>
      </c>
      <c r="N83" s="82" t="e">
        <f>IF(M83=MAX($M$79:$M$98),M83,NA())</f>
        <v>#N/A</v>
      </c>
      <c r="O83" s="82" t="e">
        <f>IF(AND(M83=MIN($M$79:$M$98), MAX($M$79:$M$98)&lt;&gt;MIN($M$79:$M$98)), M83, NA())</f>
        <v>#N/A</v>
      </c>
    </row>
    <row r="84" spans="9:15">
      <c r="I84" s="63">
        <v>45839</v>
      </c>
      <c r="J84" s="64">
        <f>IF(I84="", "", SUMIFS(raw_menu_engineering!F:F, raw_menu_engineering!A:A, "="&amp;I84, raw_menu_engineering!B:B, $C$4, raw_menu_engineering!D:D,$J$77))</f>
        <v>2625</v>
      </c>
      <c r="K84" s="64">
        <f>IF(I84="", "", SUMIFS(raw_menu_engineering!I:I, raw_menu_engineering!A:A, "="&amp;I84, raw_menu_engineering!B:B, $C$4, raw_menu_engineering!D:D,$J$77))</f>
        <v>819.38076995833296</v>
      </c>
      <c r="L84" s="65">
        <f t="shared" si="8"/>
        <v>1805.6192300416669</v>
      </c>
      <c r="M84" s="66">
        <f t="shared" si="9"/>
        <v>0.68785494477777787</v>
      </c>
      <c r="N84" s="82" t="e">
        <f>IF(M84=MAX($M$79:$M$98),M84,NA())</f>
        <v>#N/A</v>
      </c>
      <c r="O84" s="82" t="e">
        <f>IF(AND(M84=MIN($M$79:$M$98), MAX($M$79:$M$98)&lt;&gt;MIN($M$79:$M$98)), M84, NA())</f>
        <v>#N/A</v>
      </c>
    </row>
    <row r="85" spans="9:15">
      <c r="I85" s="63">
        <v>45870</v>
      </c>
      <c r="J85" s="64">
        <f>IF(I85="", "", SUMIFS(raw_menu_engineering!F:F, raw_menu_engineering!A:A, "="&amp;I85, raw_menu_engineering!B:B, $C$4, raw_menu_engineering!D:D,$J$77))</f>
        <v>3465</v>
      </c>
      <c r="K85" s="64">
        <f>IF(I85="", "", SUMIFS(raw_menu_engineering!I:I, raw_menu_engineering!A:A, "="&amp;I85, raw_menu_engineering!B:B, $C$4, raw_menu_engineering!D:D,$J$77))</f>
        <v>1075.52144533058</v>
      </c>
      <c r="L85" s="65">
        <f t="shared" si="8"/>
        <v>2389.4785546694202</v>
      </c>
      <c r="M85" s="66">
        <f t="shared" si="9"/>
        <v>0.68960420048179516</v>
      </c>
      <c r="N85" s="82">
        <f>IF(M85=MAX($M$79:$M$98),M85,NA())</f>
        <v>0.68960420048179516</v>
      </c>
      <c r="O85" s="82" t="e">
        <f>IF(AND(M85=MIN($M$79:$M$98), MAX($M$79:$M$98)&lt;&gt;MIN($M$79:$M$98)), M85, NA())</f>
        <v>#N/A</v>
      </c>
    </row>
    <row r="86" spans="9:15">
      <c r="I86" s="63">
        <v>45901</v>
      </c>
      <c r="J86" s="64">
        <f>IF(I86="", "", SUMIFS(raw_menu_engineering!F:F, raw_menu_engineering!A:A, "="&amp;I86, raw_menu_engineering!B:B, $C$4, raw_menu_engineering!D:D,$J$77))</f>
        <v>2835</v>
      </c>
      <c r="K86" s="64">
        <f>IF(I86="", "", SUMIFS(raw_menu_engineering!I:I, raw_menu_engineering!A:A, "="&amp;I86, raw_menu_engineering!B:B, $C$4, raw_menu_engineering!D:D,$J$77))</f>
        <v>887.10032500499995</v>
      </c>
      <c r="L86" s="65">
        <f t="shared" si="8"/>
        <v>1947.8996749950002</v>
      </c>
      <c r="M86" s="66">
        <f t="shared" si="9"/>
        <v>0.68708983244973554</v>
      </c>
      <c r="N86" s="82" t="e">
        <f>IF(M86=MAX($M$79:$M$98),M86,NA())</f>
        <v>#N/A</v>
      </c>
      <c r="O86" s="82" t="e">
        <f>IF(AND(M86=MIN($M$79:$M$98), MAX($M$79:$M$98)&lt;&gt;MIN($M$79:$M$98)), M86, NA())</f>
        <v>#N/A</v>
      </c>
    </row>
    <row r="87" spans="9:15">
      <c r="I87" s="63">
        <v>45931</v>
      </c>
      <c r="J87" s="64">
        <f>IF(I87="", "", SUMIFS(raw_menu_engineering!F:F, raw_menu_engineering!A:A, "="&amp;I87, raw_menu_engineering!B:B, $C$4, raw_menu_engineering!D:D,$J$77))</f>
        <v>2898</v>
      </c>
      <c r="K87" s="64">
        <f>IF(I87="", "", SUMIFS(raw_menu_engineering!I:I, raw_menu_engineering!A:A, "="&amp;I87, raw_menu_engineering!B:B, $C$4, raw_menu_engineering!D:D,$J$77))</f>
        <v>908.76988144799998</v>
      </c>
      <c r="L87" s="65">
        <f t="shared" si="8"/>
        <v>1989.230118552</v>
      </c>
      <c r="M87" s="66">
        <f t="shared" si="9"/>
        <v>0.6864148097142857</v>
      </c>
      <c r="N87" s="82" t="e">
        <f>IF(M87=MAX($M$79:$M$98),M87,NA())</f>
        <v>#N/A</v>
      </c>
      <c r="O87" s="82" t="e">
        <f>IF(AND(M87=MIN($M$79:$M$98), MAX($M$79:$M$98)&lt;&gt;MIN($M$79:$M$98)), M87, NA())</f>
        <v>#N/A</v>
      </c>
    </row>
    <row r="88" spans="9:15">
      <c r="I88" s="63">
        <v>45962</v>
      </c>
      <c r="J88" s="64">
        <f>IF(I88="", "", SUMIFS(raw_menu_engineering!F:F, raw_menu_engineering!A:A, "="&amp;I88, raw_menu_engineering!B:B, $C$4, raw_menu_engineering!D:D,$J$77))</f>
        <v>2982</v>
      </c>
      <c r="K88" s="64">
        <f>IF(I88="", "", SUMIFS(raw_menu_engineering!I:I, raw_menu_engineering!A:A, "="&amp;I88, raw_menu_engineering!B:B, $C$4, raw_menu_engineering!D:D,$J$77))</f>
        <v>934.62782666149997</v>
      </c>
      <c r="L88" s="65">
        <f t="shared" si="8"/>
        <v>2047.3721733385</v>
      </c>
      <c r="M88" s="66">
        <f t="shared" si="9"/>
        <v>0.68657685222619047</v>
      </c>
      <c r="N88" s="82" t="e">
        <f>IF(M88=MAX($M$79:$M$98),M88,NA())</f>
        <v>#N/A</v>
      </c>
      <c r="O88" s="82" t="e">
        <f>IF(AND(M88=MIN($M$79:$M$98), MAX($M$79:$M$98)&lt;&gt;MIN($M$79:$M$98)), M88, NA())</f>
        <v>#N/A</v>
      </c>
    </row>
    <row r="89" spans="9:15">
      <c r="I89" s="63">
        <v>45992</v>
      </c>
      <c r="J89" s="64">
        <f>IF(I89="", "", SUMIFS(raw_menu_engineering!F:F, raw_menu_engineering!A:A, "="&amp;I89, raw_menu_engineering!B:B, $C$4, raw_menu_engineering!D:D,$J$77))</f>
        <v>2394</v>
      </c>
      <c r="K89" s="64">
        <f>IF(I89="", "", SUMIFS(raw_menu_engineering!I:I, raw_menu_engineering!A:A, "="&amp;I89, raw_menu_engineering!B:B, $C$4, raw_menu_engineering!D:D,$J$77))</f>
        <v>754.28609910600005</v>
      </c>
      <c r="L89" s="65">
        <f t="shared" si="8"/>
        <v>1639.7139008939998</v>
      </c>
      <c r="M89" s="66">
        <f t="shared" si="9"/>
        <v>0.68492644147619042</v>
      </c>
      <c r="N89" s="82" t="e">
        <f>IF(M89=MAX($M$79:$M$98),M89,NA())</f>
        <v>#N/A</v>
      </c>
      <c r="O89" s="82" t="e">
        <f>IF(AND(M89=MIN($M$79:$M$98), MAX($M$79:$M$98)&lt;&gt;MIN($M$79:$M$98)), M89, NA())</f>
        <v>#N/A</v>
      </c>
    </row>
    <row r="90" spans="9:15">
      <c r="I90" s="63">
        <v>46023</v>
      </c>
      <c r="J90" s="64">
        <f>IF(I90="", "", SUMIFS(raw_menu_engineering!F:F, raw_menu_engineering!A:A, "="&amp;I90, raw_menu_engineering!B:B, $C$4, raw_menu_engineering!D:D,$J$77))</f>
        <v>2226</v>
      </c>
      <c r="K90" s="64">
        <f>IF(I90="", "", SUMIFS(raw_menu_engineering!I:I, raw_menu_engineering!A:A, "="&amp;I90, raw_menu_engineering!B:B, $C$4, raw_menu_engineering!D:D,$J$77))</f>
        <v>703.99802007711105</v>
      </c>
      <c r="L90" s="65">
        <f t="shared" si="8"/>
        <v>1522.0019799228889</v>
      </c>
      <c r="M90" s="66">
        <f t="shared" si="9"/>
        <v>0.6837385354550265</v>
      </c>
      <c r="N90" s="82" t="e">
        <f>IF(M90=MAX($M$79:$M$98),M90,NA())</f>
        <v>#N/A</v>
      </c>
      <c r="O90" s="82" t="e">
        <f>IF(AND(M90=MIN($M$79:$M$98), MAX($M$79:$M$98)&lt;&gt;MIN($M$79:$M$98)), M90, NA())</f>
        <v>#N/A</v>
      </c>
    </row>
    <row r="91" spans="9:15">
      <c r="I91" s="63">
        <v>46054</v>
      </c>
      <c r="J91" s="64">
        <f>IF(I91="", "", SUMIFS(raw_menu_engineering!F:F, raw_menu_engineering!A:A, "="&amp;I91, raw_menu_engineering!B:B, $C$4, raw_menu_engineering!D:D,$J$77))</f>
        <v>2835</v>
      </c>
      <c r="K91" s="64">
        <f>IF(I91="", "", SUMIFS(raw_menu_engineering!I:I, raw_menu_engineering!A:A, "="&amp;I91, raw_menu_engineering!B:B, $C$4, raw_menu_engineering!D:D,$J$77))</f>
        <v>895.75316800312498</v>
      </c>
      <c r="L91" s="65">
        <f t="shared" si="8"/>
        <v>1939.246831996875</v>
      </c>
      <c r="M91" s="66">
        <f t="shared" si="9"/>
        <v>0.68403768324404768</v>
      </c>
      <c r="N91" s="82" t="e">
        <f>IF(M91=MAX($M$79:$M$98),M91,NA())</f>
        <v>#N/A</v>
      </c>
      <c r="O91" s="82" t="e">
        <f>IF(AND(M91=MIN($M$79:$M$98), MAX($M$79:$M$98)&lt;&gt;MIN($M$79:$M$98)), M91, NA())</f>
        <v>#N/A</v>
      </c>
    </row>
    <row r="92" spans="9:15">
      <c r="I92" s="63">
        <v>46082</v>
      </c>
      <c r="J92" s="64">
        <f>IF(I92="", "", SUMIFS(raw_menu_engineering!F:F, raw_menu_engineering!A:A, "="&amp;I92, raw_menu_engineering!B:B, $C$4, raw_menu_engineering!D:D,$J$77))</f>
        <v>3255</v>
      </c>
      <c r="K92" s="64">
        <f>IF(I92="", "", SUMIFS(raw_menu_engineering!I:I, raw_menu_engineering!A:A, "="&amp;I92, raw_menu_engineering!B:B, $C$4, raw_menu_engineering!D:D,$J$77))</f>
        <v>1033.0909327255499</v>
      </c>
      <c r="L92" s="65">
        <f t="shared" si="8"/>
        <v>2221.9090672744501</v>
      </c>
      <c r="M92" s="66">
        <f t="shared" si="9"/>
        <v>0.68261415277248849</v>
      </c>
      <c r="N92" s="82" t="e">
        <f>IF(M92=MAX($M$79:$M$98),M92,NA())</f>
        <v>#N/A</v>
      </c>
      <c r="O92" s="82" t="e">
        <f>IF(AND(M92=MIN($M$79:$M$98), MAX($M$79:$M$98)&lt;&gt;MIN($M$79:$M$98)), M92, NA())</f>
        <v>#N/A</v>
      </c>
    </row>
    <row r="93" spans="9:15">
      <c r="I93" s="63">
        <v>46113</v>
      </c>
      <c r="J93" s="64">
        <f>IF(I93="", "", SUMIFS(raw_menu_engineering!F:F, raw_menu_engineering!A:A, "="&amp;I93, raw_menu_engineering!B:B, $C$4, raw_menu_engineering!D:D,$J$77))</f>
        <v>3192</v>
      </c>
      <c r="K93" s="64">
        <f>IF(I93="", "", SUMIFS(raw_menu_engineering!I:I, raw_menu_engineering!A:A, "="&amp;I93, raw_menu_engineering!B:B, $C$4, raw_menu_engineering!D:D,$J$77))</f>
        <v>1006.55327394917</v>
      </c>
      <c r="L93" s="65">
        <f t="shared" si="8"/>
        <v>2185.44672605083</v>
      </c>
      <c r="M93" s="66">
        <f t="shared" si="9"/>
        <v>0.68466376129411965</v>
      </c>
      <c r="N93" s="82" t="e">
        <f>IF(M93=MAX($M$79:$M$98),M93,NA())</f>
        <v>#N/A</v>
      </c>
      <c r="O93" s="82" t="e">
        <f>IF(AND(M93=MIN($M$79:$M$98), MAX($M$79:$M$98)&lt;&gt;MIN($M$79:$M$98)), M93, NA())</f>
        <v>#N/A</v>
      </c>
    </row>
    <row r="94" spans="9:15">
      <c r="I94" s="67">
        <v>46143</v>
      </c>
      <c r="J94" s="64">
        <f>IF(I94="", "", SUMIFS(raw_menu_engineering!F:F, raw_menu_engineering!A:A, "="&amp;I94, raw_menu_engineering!B:B, $C$4, raw_menu_engineering!D:D,$J$77))</f>
        <v>3990</v>
      </c>
      <c r="K94" s="64">
        <f>IF(I94="", "", SUMIFS(raw_menu_engineering!I:I, raw_menu_engineering!A:A, "="&amp;I94, raw_menu_engineering!B:B, $C$4, raw_menu_engineering!D:D,$J$77))</f>
        <v>1253.10413182705</v>
      </c>
      <c r="L94" s="65">
        <f t="shared" si="8"/>
        <v>2736.89586817295</v>
      </c>
      <c r="M94" s="66">
        <f t="shared" si="9"/>
        <v>0.6859388140784336</v>
      </c>
      <c r="N94" s="82" t="e">
        <f>IF(M94=MAX($M$79:$M$98),M94,NA())</f>
        <v>#N/A</v>
      </c>
      <c r="O94" s="82" t="e">
        <f>IF(AND(M94=MIN($M$79:$M$98), MAX($M$79:$M$98)&lt;&gt;MIN($M$79:$M$98)), M94, NA())</f>
        <v>#N/A</v>
      </c>
    </row>
    <row r="95" spans="9:15">
      <c r="I95" s="67">
        <v>46174</v>
      </c>
      <c r="J95" s="64">
        <f>IF(I95="", "", SUMIFS(raw_menu_engineering!F:F, raw_menu_engineering!A:A, "="&amp;I95, raw_menu_engineering!B:B, $C$4, raw_menu_engineering!D:D,$J$77))</f>
        <v>2898</v>
      </c>
      <c r="K95" s="64">
        <f>IF(I95="", "", SUMIFS(raw_menu_engineering!I:I, raw_menu_engineering!A:A, "="&amp;I95, raw_menu_engineering!B:B, $C$4, raw_menu_engineering!D:D,$J$77))</f>
        <v>909.449137810666</v>
      </c>
      <c r="L95" s="65">
        <f t="shared" si="8"/>
        <v>1988.5508621893341</v>
      </c>
      <c r="M95" s="66">
        <f t="shared" si="9"/>
        <v>0.68618042173545002</v>
      </c>
      <c r="N95" s="82" t="e">
        <f>IF(M95=MAX($M$79:$M$98),M95,NA())</f>
        <v>#N/A</v>
      </c>
      <c r="O95" s="82" t="e">
        <f>IF(AND(M95=MIN($M$79:$M$98), MAX($M$79:$M$98)&lt;&gt;MIN($M$79:$M$98)), M95, NA())</f>
        <v>#N/A</v>
      </c>
    </row>
    <row r="96" spans="9:15">
      <c r="I96" s="67">
        <v>46204</v>
      </c>
      <c r="J96" s="64">
        <f>IF(I96="", "", SUMIFS(raw_menu_engineering!F:F, raw_menu_engineering!A:A, "="&amp;I96, raw_menu_engineering!B:B, $C$4, raw_menu_engineering!D:D,$J$77))</f>
        <v>3360</v>
      </c>
      <c r="K96" s="64">
        <f>IF(I96="", "", SUMIFS(raw_menu_engineering!I:I, raw_menu_engineering!A:A, "="&amp;I96, raw_menu_engineering!B:B, $C$4, raw_menu_engineering!D:D,$J$77))</f>
        <v>1052.7333942044399</v>
      </c>
      <c r="L96" s="65">
        <f t="shared" si="8"/>
        <v>2307.2666057955603</v>
      </c>
      <c r="M96" s="66">
        <f t="shared" si="9"/>
        <v>0.68668648982010727</v>
      </c>
      <c r="N96" s="82" t="e">
        <f>IF(M96=MAX($M$79:$M$98),M96,NA())</f>
        <v>#N/A</v>
      </c>
      <c r="O96" s="82" t="e">
        <f>IF(AND(M96=MIN($M$79:$M$98), MAX($M$79:$M$98)&lt;&gt;MIN($M$79:$M$98)), M96, NA())</f>
        <v>#N/A</v>
      </c>
    </row>
    <row r="97" spans="9:15">
      <c r="I97" s="67">
        <v>46235</v>
      </c>
      <c r="J97" s="64">
        <f>IF(I97="", "", SUMIFS(raw_menu_engineering!F:F, raw_menu_engineering!A:A, "="&amp;I97, raw_menu_engineering!B:B, $C$4, raw_menu_engineering!D:D,$J$77))</f>
        <v>3234</v>
      </c>
      <c r="K97" s="64">
        <f>IF(I97="", "", SUMIFS(raw_menu_engineering!I:I, raw_menu_engineering!A:A, "="&amp;I97, raw_menu_engineering!B:B, $C$4, raw_menu_engineering!D:D,$J$77))</f>
        <v>1019.01012429505</v>
      </c>
      <c r="L97" s="65">
        <f t="shared" si="8"/>
        <v>2214.98987570495</v>
      </c>
      <c r="M97" s="66">
        <f t="shared" si="9"/>
        <v>0.68490719718767779</v>
      </c>
      <c r="N97" s="82" t="e">
        <f>IF(M97=MAX($M$79:$M$98),M97,NA())</f>
        <v>#N/A</v>
      </c>
      <c r="O97" s="82" t="e">
        <f>IF(AND(M97=MIN($M$79:$M$98), MAX($M$79:$M$98)&lt;&gt;MIN($M$79:$M$98)), M97, NA())</f>
        <v>#N/A</v>
      </c>
    </row>
    <row r="98" spans="9:15">
      <c r="I98" s="67">
        <v>46266</v>
      </c>
      <c r="J98" s="64">
        <f>IF(I98="", "", SUMIFS(raw_menu_engineering!F:F, raw_menu_engineering!A:A, "="&amp;I98, raw_menu_engineering!B:B, $C$4, raw_menu_engineering!D:D,$J$77))</f>
        <v>3738</v>
      </c>
      <c r="K98" s="64">
        <f>IF(I98="", "", SUMIFS(raw_menu_engineering!I:I, raw_menu_engineering!A:A, "="&amp;I98, raw_menu_engineering!B:B, $C$4, raw_menu_engineering!D:D,$J$77))</f>
        <v>1197.51939397858</v>
      </c>
      <c r="L98" s="65">
        <f t="shared" si="8"/>
        <v>2540.48060602142</v>
      </c>
      <c r="M98" s="66">
        <f t="shared" si="9"/>
        <v>0.67963633119888178</v>
      </c>
      <c r="N98" s="82" t="e">
        <f>IF(M98=MAX($M$79:$M$98),M98,NA())</f>
        <v>#N/A</v>
      </c>
      <c r="O98" s="82">
        <f>IF(AND(M98=MIN($M$79:$M$98), MAX($M$79:$M$98)&lt;&gt;MIN($M$79:$M$98)), M98, NA())</f>
        <v>0.67963633119888178</v>
      </c>
    </row>
    <row r="99" spans="9:15">
      <c r="I99" s="64" t="s">
        <v>246</v>
      </c>
      <c r="J99" s="68">
        <f>SUM(J79:J98)</f>
        <v>59367</v>
      </c>
      <c r="K99" s="68">
        <f>SUM(K79:K98)</f>
        <v>18653.535181004703</v>
      </c>
      <c r="L99" s="68">
        <f>SUM(L79:L98)</f>
        <v>40713.464818995293</v>
      </c>
      <c r="M99" s="69"/>
      <c r="N99" s="60"/>
      <c r="O99" s="60"/>
    </row>
    <row r="100" spans="9:15">
      <c r="I100" s="18"/>
      <c r="K100" s="33"/>
      <c r="L100" s="27"/>
      <c r="M100" s="10"/>
    </row>
    <row r="110" spans="9:15">
      <c r="K110" s="18"/>
      <c r="L110" s="18"/>
    </row>
    <row r="111" spans="9:15">
      <c r="K111" s="18"/>
      <c r="L111" s="18"/>
    </row>
    <row r="112" spans="9:15">
      <c r="K112" s="18"/>
      <c r="L112" s="18"/>
    </row>
    <row r="113" spans="11:12">
      <c r="K113" s="18"/>
      <c r="L113" s="18"/>
    </row>
    <row r="114" spans="11:12">
      <c r="K114" s="18"/>
      <c r="L114" s="18"/>
    </row>
    <row r="115" spans="11:12">
      <c r="K115" s="18"/>
      <c r="L115" s="18"/>
    </row>
    <row r="116" spans="11:12">
      <c r="K116" s="18"/>
      <c r="L116" s="18"/>
    </row>
    <row r="117" spans="11:12">
      <c r="K117" s="18"/>
      <c r="L117" s="18"/>
    </row>
    <row r="118" spans="11:12">
      <c r="K118" s="18"/>
      <c r="L118" s="18"/>
    </row>
    <row r="119" spans="11:12">
      <c r="K119" s="18"/>
      <c r="L119" s="18"/>
    </row>
    <row r="120" spans="11:12">
      <c r="K120" s="18"/>
      <c r="L120" s="18"/>
    </row>
    <row r="121" spans="11:12">
      <c r="K121" s="18"/>
      <c r="L121" s="18"/>
    </row>
    <row r="122" spans="11:12">
      <c r="K122" s="18"/>
      <c r="L122" s="18"/>
    </row>
    <row r="123" spans="11:12">
      <c r="K123" s="18"/>
      <c r="L123" s="18"/>
    </row>
    <row r="124" spans="11:12">
      <c r="K124" s="18"/>
      <c r="L124" s="18"/>
    </row>
    <row r="125" spans="11:12">
      <c r="K125" s="18"/>
      <c r="L125" s="18"/>
    </row>
    <row r="126" spans="11:12">
      <c r="K126" s="18"/>
      <c r="L126" s="18"/>
    </row>
    <row r="127" spans="11:12">
      <c r="K127" s="18"/>
      <c r="L127" s="18"/>
    </row>
    <row r="128" spans="11:12">
      <c r="K128" s="18"/>
      <c r="L128" s="18"/>
    </row>
    <row r="129" spans="11:12">
      <c r="K129" s="18"/>
      <c r="L129" s="18"/>
    </row>
    <row r="130" spans="11:12">
      <c r="K130" s="18"/>
      <c r="L130" s="18"/>
    </row>
    <row r="131" spans="11:12">
      <c r="K131" s="18"/>
      <c r="L131" s="18"/>
    </row>
    <row r="132" spans="11:12">
      <c r="K132" s="18"/>
      <c r="L132" s="18"/>
    </row>
    <row r="133" spans="11:12">
      <c r="K133" s="18"/>
      <c r="L133" s="18"/>
    </row>
    <row r="134" spans="11:12">
      <c r="K134" s="18"/>
      <c r="L134" s="18"/>
    </row>
    <row r="135" spans="11:12">
      <c r="K135" s="18"/>
      <c r="L135" s="18"/>
    </row>
    <row r="136" spans="11:12">
      <c r="K136" s="18"/>
      <c r="L136" s="18"/>
    </row>
    <row r="137" spans="11:12">
      <c r="K137" s="18"/>
      <c r="L137" s="18"/>
    </row>
    <row r="138" spans="11:12">
      <c r="K138" s="18"/>
      <c r="L138" s="18"/>
    </row>
    <row r="139" spans="11:12">
      <c r="K139" s="18"/>
      <c r="L139" s="18"/>
    </row>
    <row r="140" spans="11:12">
      <c r="K140" s="18"/>
      <c r="L140" s="18"/>
    </row>
    <row r="141" spans="11:12">
      <c r="K141" s="18"/>
      <c r="L141" s="18"/>
    </row>
    <row r="142" spans="11:12">
      <c r="K142" s="18"/>
      <c r="L142" s="18"/>
    </row>
    <row r="143" spans="11:12">
      <c r="K143" s="18"/>
      <c r="L143" s="18"/>
    </row>
    <row r="144" spans="11:12">
      <c r="K144" s="18"/>
      <c r="L144" s="18"/>
    </row>
    <row r="145" spans="11:12">
      <c r="K145" s="18"/>
      <c r="L145" s="18"/>
    </row>
    <row r="146" spans="11:12">
      <c r="K146" s="18"/>
      <c r="L146" s="18"/>
    </row>
    <row r="147" spans="11:12">
      <c r="K147" s="18"/>
      <c r="L147" s="18"/>
    </row>
    <row r="148" spans="11:12">
      <c r="K148" s="18"/>
      <c r="L148" s="18"/>
    </row>
    <row r="149" spans="11:12">
      <c r="K149" s="18"/>
      <c r="L149" s="18"/>
    </row>
    <row r="150" spans="11:12">
      <c r="K150" s="18"/>
      <c r="L150" s="18"/>
    </row>
    <row r="151" spans="11:12">
      <c r="K151" s="18"/>
      <c r="L151" s="18"/>
    </row>
    <row r="152" spans="11:12">
      <c r="K152" s="18"/>
      <c r="L152" s="18"/>
    </row>
    <row r="153" spans="11:12">
      <c r="K153" s="18"/>
      <c r="L153" s="18"/>
    </row>
    <row r="154" spans="11:12">
      <c r="K154" s="18"/>
      <c r="L154" s="18"/>
    </row>
    <row r="155" spans="11:12">
      <c r="K155" s="18"/>
      <c r="L155" s="18"/>
    </row>
    <row r="156" spans="11:12">
      <c r="K156" s="18"/>
      <c r="L156" s="18"/>
    </row>
    <row r="157" spans="11:12">
      <c r="K157" s="18"/>
      <c r="L157" s="18"/>
    </row>
    <row r="158" spans="11:12">
      <c r="K158" s="18"/>
      <c r="L158" s="18"/>
    </row>
    <row r="159" spans="11:12">
      <c r="K159" s="18"/>
      <c r="L159" s="18"/>
    </row>
    <row r="160" spans="11:12">
      <c r="K160" s="18"/>
      <c r="L160" s="18"/>
    </row>
    <row r="161" spans="11:12">
      <c r="K161" s="18"/>
      <c r="L161" s="18"/>
    </row>
    <row r="162" spans="11:12">
      <c r="K162" s="18"/>
      <c r="L162" s="18"/>
    </row>
    <row r="163" spans="11:12">
      <c r="K163" s="18"/>
      <c r="L163" s="18"/>
    </row>
    <row r="164" spans="11:12">
      <c r="K164" s="18"/>
      <c r="L164" s="18"/>
    </row>
    <row r="165" spans="11:12">
      <c r="K165" s="18"/>
      <c r="L165" s="18"/>
    </row>
    <row r="166" spans="11:12">
      <c r="K166" s="18"/>
      <c r="L166" s="18"/>
    </row>
    <row r="167" spans="11:12">
      <c r="K167" s="18"/>
      <c r="L167" s="18"/>
    </row>
    <row r="168" spans="11:12">
      <c r="K168" s="18"/>
      <c r="L168" s="18"/>
    </row>
    <row r="169" spans="11:12">
      <c r="K169" s="18"/>
      <c r="L169" s="18"/>
    </row>
    <row r="170" spans="11:12">
      <c r="K170" s="18"/>
      <c r="L170" s="18"/>
    </row>
    <row r="171" spans="11:12">
      <c r="K171" s="18"/>
      <c r="L171" s="18"/>
    </row>
    <row r="172" spans="11:12">
      <c r="K172" s="18"/>
      <c r="L172" s="18"/>
    </row>
    <row r="173" spans="11:12">
      <c r="K173" s="18"/>
      <c r="L173" s="18"/>
    </row>
    <row r="174" spans="11:12">
      <c r="K174" s="18"/>
      <c r="L174" s="18"/>
    </row>
    <row r="175" spans="11:12">
      <c r="K175" s="18"/>
      <c r="L175" s="18"/>
    </row>
    <row r="176" spans="11:12">
      <c r="K176" s="18"/>
      <c r="L176" s="18"/>
    </row>
    <row r="177" spans="11:12">
      <c r="K177" s="18"/>
      <c r="L177" s="18"/>
    </row>
    <row r="178" spans="11:12">
      <c r="K178" s="18"/>
      <c r="L178" s="18"/>
    </row>
    <row r="179" spans="11:12">
      <c r="K179" s="18"/>
      <c r="L179" s="18"/>
    </row>
    <row r="180" spans="11:12">
      <c r="K180" s="18"/>
      <c r="L180" s="18"/>
    </row>
    <row r="181" spans="11:12">
      <c r="K181" s="18"/>
      <c r="L181" s="18"/>
    </row>
    <row r="182" spans="11:12">
      <c r="K182" s="18"/>
      <c r="L182" s="18"/>
    </row>
    <row r="183" spans="11:12">
      <c r="K183" s="18"/>
      <c r="L183" s="18"/>
    </row>
    <row r="184" spans="11:12">
      <c r="K184" s="18"/>
      <c r="L184" s="18"/>
    </row>
    <row r="185" spans="11:12">
      <c r="K185" s="18"/>
      <c r="L185" s="18"/>
    </row>
    <row r="186" spans="11:12">
      <c r="K186" s="18"/>
      <c r="L186" s="18"/>
    </row>
    <row r="187" spans="11:12">
      <c r="K187" s="18"/>
      <c r="L187" s="18"/>
    </row>
    <row r="188" spans="11:12">
      <c r="K188" s="18"/>
      <c r="L188" s="18"/>
    </row>
    <row r="189" spans="11:12">
      <c r="K189" s="18"/>
      <c r="L189" s="18"/>
    </row>
    <row r="190" spans="11:12">
      <c r="K190" s="18"/>
      <c r="L190" s="18"/>
    </row>
    <row r="191" spans="11:12">
      <c r="K191" s="18"/>
      <c r="L191" s="18"/>
    </row>
    <row r="192" spans="11:12">
      <c r="K192" s="18"/>
      <c r="L192" s="18"/>
    </row>
    <row r="193" spans="11:12">
      <c r="K193" s="18"/>
      <c r="L193" s="18"/>
    </row>
    <row r="194" spans="11:12">
      <c r="K194" s="18"/>
      <c r="L194" s="18"/>
    </row>
    <row r="195" spans="11:12">
      <c r="K195" s="18"/>
      <c r="L195" s="18"/>
    </row>
    <row r="196" spans="11:12">
      <c r="K196" s="18"/>
      <c r="L196" s="18"/>
    </row>
    <row r="197" spans="11:12">
      <c r="K197" s="18"/>
      <c r="L197" s="18"/>
    </row>
    <row r="198" spans="11:12">
      <c r="K198" s="18"/>
      <c r="L198" s="18"/>
    </row>
    <row r="199" spans="11:12">
      <c r="K199" s="18"/>
      <c r="L199" s="18"/>
    </row>
    <row r="200" spans="11:12">
      <c r="K200" s="18"/>
      <c r="L200" s="18"/>
    </row>
    <row r="201" spans="11:12">
      <c r="K201" s="18"/>
      <c r="L201" s="18"/>
    </row>
    <row r="202" spans="11:12">
      <c r="K202" s="18"/>
      <c r="L202" s="18"/>
    </row>
    <row r="203" spans="11:12">
      <c r="K203" s="18"/>
      <c r="L203" s="18"/>
    </row>
    <row r="204" spans="11:12">
      <c r="K204" s="18"/>
      <c r="L204" s="18"/>
    </row>
    <row r="205" spans="11:12">
      <c r="K205" s="18"/>
      <c r="L205" s="18"/>
    </row>
    <row r="206" spans="11:12">
      <c r="K206" s="18"/>
      <c r="L206" s="18"/>
    </row>
    <row r="207" spans="11:12">
      <c r="K207" s="18"/>
      <c r="L207" s="18"/>
    </row>
    <row r="208" spans="11:12">
      <c r="K208" s="18"/>
      <c r="L208" s="18"/>
    </row>
    <row r="209" spans="11:12">
      <c r="K209" s="18"/>
      <c r="L209" s="18"/>
    </row>
    <row r="210" spans="11:12">
      <c r="K210" s="18"/>
      <c r="L210" s="18"/>
    </row>
    <row r="211" spans="11:12">
      <c r="K211" s="18"/>
      <c r="L211" s="18"/>
    </row>
    <row r="212" spans="11:12">
      <c r="K212" s="18"/>
      <c r="L212" s="18"/>
    </row>
    <row r="213" spans="11:12">
      <c r="K213" s="18"/>
      <c r="L213" s="18"/>
    </row>
    <row r="214" spans="11:12">
      <c r="K214" s="18"/>
      <c r="L214" s="18"/>
    </row>
    <row r="215" spans="11:12">
      <c r="K215" s="18"/>
      <c r="L215" s="18"/>
    </row>
    <row r="216" spans="11:12">
      <c r="K216" s="18"/>
      <c r="L216" s="18"/>
    </row>
    <row r="217" spans="11:12">
      <c r="K217" s="18"/>
      <c r="L217" s="18"/>
    </row>
    <row r="218" spans="11:12">
      <c r="K218" s="18"/>
      <c r="L218" s="18"/>
    </row>
    <row r="219" spans="11:12">
      <c r="K219" s="18"/>
      <c r="L219" s="18"/>
    </row>
    <row r="220" spans="11:12">
      <c r="K220" s="18"/>
      <c r="L220" s="18"/>
    </row>
    <row r="221" spans="11:12">
      <c r="K221" s="18"/>
      <c r="L221" s="18"/>
    </row>
    <row r="222" spans="11:12">
      <c r="K222" s="18"/>
      <c r="L222" s="18"/>
    </row>
    <row r="223" spans="11:12">
      <c r="K223" s="18"/>
      <c r="L223" s="18"/>
    </row>
    <row r="224" spans="11:12">
      <c r="K224" s="18"/>
      <c r="L224" s="18"/>
    </row>
    <row r="225" spans="11:12">
      <c r="K225" s="18"/>
      <c r="L225" s="18"/>
    </row>
    <row r="226" spans="11:12">
      <c r="K226" s="18"/>
      <c r="L226" s="18"/>
    </row>
    <row r="227" spans="11:12">
      <c r="K227" s="18"/>
      <c r="L227" s="18"/>
    </row>
    <row r="228" spans="11:12">
      <c r="K228" s="18"/>
      <c r="L228" s="18"/>
    </row>
    <row r="229" spans="11:12">
      <c r="K229" s="18"/>
      <c r="L229" s="18"/>
    </row>
    <row r="230" spans="11:12">
      <c r="K230" s="18"/>
      <c r="L230" s="18"/>
    </row>
    <row r="231" spans="11:12">
      <c r="K231" s="18"/>
      <c r="L231" s="18"/>
    </row>
    <row r="232" spans="11:12">
      <c r="K232" s="18"/>
      <c r="L232" s="18"/>
    </row>
    <row r="233" spans="11:12">
      <c r="K233" s="18"/>
      <c r="L233" s="18"/>
    </row>
    <row r="234" spans="11:12">
      <c r="K234" s="18"/>
      <c r="L234" s="18"/>
    </row>
    <row r="235" spans="11:12">
      <c r="K235" s="18"/>
      <c r="L235" s="18"/>
    </row>
    <row r="236" spans="11:12">
      <c r="K236" s="18"/>
      <c r="L236" s="18"/>
    </row>
    <row r="237" spans="11:12">
      <c r="K237" s="18"/>
      <c r="L237" s="18"/>
    </row>
    <row r="238" spans="11:12">
      <c r="K238" s="18"/>
      <c r="L238" s="18"/>
    </row>
    <row r="239" spans="11:12">
      <c r="K239" s="18"/>
      <c r="L239" s="18"/>
    </row>
    <row r="240" spans="11:12">
      <c r="K240" s="18"/>
      <c r="L240" s="18"/>
    </row>
    <row r="241" spans="11:12">
      <c r="K241" s="18"/>
      <c r="L241" s="18"/>
    </row>
    <row r="242" spans="11:12">
      <c r="K242" s="18"/>
      <c r="L242" s="18"/>
    </row>
    <row r="243" spans="11:12">
      <c r="K243" s="18"/>
      <c r="L243" s="18"/>
    </row>
    <row r="244" spans="11:12">
      <c r="K244" s="18"/>
      <c r="L244" s="18"/>
    </row>
    <row r="245" spans="11:12">
      <c r="K245" s="18"/>
      <c r="L245" s="18"/>
    </row>
    <row r="246" spans="11:12">
      <c r="K246" s="18"/>
      <c r="L246" s="18"/>
    </row>
    <row r="247" spans="11:12">
      <c r="K247" s="18"/>
      <c r="L247" s="18"/>
    </row>
    <row r="248" spans="11:12">
      <c r="K248" s="18"/>
      <c r="L248" s="18"/>
    </row>
    <row r="249" spans="11:12">
      <c r="K249" s="18"/>
      <c r="L249" s="18"/>
    </row>
    <row r="250" spans="11:12">
      <c r="K250" s="18"/>
      <c r="L250" s="18"/>
    </row>
    <row r="251" spans="11:12">
      <c r="K251" s="18"/>
      <c r="L251" s="18"/>
    </row>
    <row r="252" spans="11:12">
      <c r="K252" s="18"/>
      <c r="L252" s="18"/>
    </row>
    <row r="253" spans="11:12">
      <c r="K253" s="18"/>
      <c r="L253" s="18"/>
    </row>
    <row r="254" spans="11:12">
      <c r="K254" s="18"/>
      <c r="L254" s="18"/>
    </row>
    <row r="255" spans="11:12">
      <c r="K255" s="18"/>
      <c r="L255" s="18"/>
    </row>
    <row r="256" spans="11:12">
      <c r="K256" s="18"/>
      <c r="L256" s="18"/>
    </row>
    <row r="257" spans="11:12">
      <c r="K257" s="18"/>
      <c r="L257" s="18"/>
    </row>
    <row r="258" spans="11:12">
      <c r="K258" s="18"/>
      <c r="L258" s="18"/>
    </row>
    <row r="259" spans="11:12">
      <c r="K259" s="18"/>
      <c r="L259" s="18"/>
    </row>
    <row r="260" spans="11:12">
      <c r="K260" s="18"/>
      <c r="L260" s="18"/>
    </row>
    <row r="261" spans="11:12">
      <c r="K261" s="18"/>
      <c r="L261" s="18"/>
    </row>
    <row r="262" spans="11:12">
      <c r="K262" s="18"/>
      <c r="L262" s="18"/>
    </row>
    <row r="263" spans="11:12">
      <c r="K263" s="18"/>
      <c r="L263" s="18"/>
    </row>
    <row r="264" spans="11:12">
      <c r="K264" s="18"/>
      <c r="L264" s="18"/>
    </row>
    <row r="265" spans="11:12">
      <c r="K265" s="18"/>
      <c r="L265" s="18"/>
    </row>
    <row r="266" spans="11:12">
      <c r="K266" s="18"/>
      <c r="L266" s="18"/>
    </row>
    <row r="267" spans="11:12">
      <c r="K267" s="18"/>
      <c r="L267" s="18"/>
    </row>
    <row r="268" spans="11:12">
      <c r="K268" s="18"/>
      <c r="L268" s="18"/>
    </row>
    <row r="269" spans="11:12">
      <c r="K269" s="18"/>
      <c r="L269" s="18"/>
    </row>
    <row r="270" spans="11:12">
      <c r="K270" s="18"/>
      <c r="L270" s="18"/>
    </row>
    <row r="271" spans="11:12">
      <c r="K271" s="18"/>
      <c r="L271" s="18"/>
    </row>
    <row r="272" spans="11:12">
      <c r="K272" s="18"/>
      <c r="L272" s="18"/>
    </row>
    <row r="273" spans="11:12">
      <c r="K273" s="18"/>
      <c r="L273" s="18"/>
    </row>
    <row r="274" spans="11:12">
      <c r="K274" s="18"/>
      <c r="L274" s="18"/>
    </row>
    <row r="275" spans="11:12">
      <c r="K275" s="18"/>
      <c r="L275" s="18"/>
    </row>
    <row r="276" spans="11:12">
      <c r="K276" s="18"/>
      <c r="L276" s="18"/>
    </row>
    <row r="277" spans="11:12">
      <c r="K277" s="18"/>
      <c r="L277" s="18"/>
    </row>
    <row r="278" spans="11:12">
      <c r="K278" s="18"/>
      <c r="L278" s="18"/>
    </row>
    <row r="279" spans="11:12">
      <c r="K279" s="18"/>
      <c r="L279" s="18"/>
    </row>
    <row r="280" spans="11:12">
      <c r="K280" s="18"/>
      <c r="L280" s="18"/>
    </row>
    <row r="281" spans="11:12">
      <c r="K281" s="18"/>
      <c r="L281" s="18"/>
    </row>
    <row r="282" spans="11:12">
      <c r="K282" s="18"/>
      <c r="L282" s="18"/>
    </row>
    <row r="283" spans="11:12">
      <c r="K283" s="18"/>
      <c r="L283" s="18"/>
    </row>
    <row r="284" spans="11:12">
      <c r="K284" s="18"/>
      <c r="L284" s="18"/>
    </row>
    <row r="285" spans="11:12">
      <c r="K285" s="18"/>
      <c r="L285" s="18"/>
    </row>
    <row r="286" spans="11:12">
      <c r="K286" s="18"/>
      <c r="L286" s="18"/>
    </row>
    <row r="287" spans="11:12">
      <c r="K287" s="18"/>
      <c r="L287" s="18"/>
    </row>
    <row r="288" spans="11:12">
      <c r="K288" s="18"/>
      <c r="L288" s="18"/>
    </row>
    <row r="289" spans="11:12">
      <c r="K289" s="18"/>
      <c r="L289" s="18"/>
    </row>
    <row r="290" spans="11:12">
      <c r="K290" s="18"/>
      <c r="L290" s="18"/>
    </row>
    <row r="291" spans="11:12">
      <c r="K291" s="18"/>
      <c r="L291" s="18"/>
    </row>
    <row r="292" spans="11:12">
      <c r="K292" s="18"/>
      <c r="L292" s="18"/>
    </row>
    <row r="293" spans="11:12">
      <c r="K293" s="18"/>
      <c r="L293" s="18"/>
    </row>
    <row r="294" spans="11:12">
      <c r="K294" s="18"/>
      <c r="L294" s="18"/>
    </row>
    <row r="295" spans="11:12">
      <c r="K295" s="18"/>
      <c r="L295" s="18"/>
    </row>
    <row r="296" spans="11:12">
      <c r="K296" s="18"/>
      <c r="L296" s="18"/>
    </row>
    <row r="297" spans="11:12">
      <c r="K297" s="18"/>
      <c r="L297" s="18"/>
    </row>
    <row r="298" spans="11:12">
      <c r="K298" s="18"/>
      <c r="L298" s="18"/>
    </row>
    <row r="299" spans="11:12">
      <c r="K299" s="18"/>
      <c r="L299" s="18"/>
    </row>
    <row r="300" spans="11:12">
      <c r="K300" s="18"/>
      <c r="L300" s="18"/>
    </row>
    <row r="301" spans="11:12">
      <c r="K301" s="18"/>
      <c r="L301" s="18"/>
    </row>
    <row r="302" spans="11:12">
      <c r="K302" s="18"/>
      <c r="L302" s="18"/>
    </row>
    <row r="303" spans="11:12">
      <c r="K303" s="18"/>
      <c r="L303" s="18"/>
    </row>
    <row r="304" spans="11:12">
      <c r="K304" s="18"/>
      <c r="L304" s="18"/>
    </row>
    <row r="305" spans="11:12">
      <c r="K305" s="18"/>
      <c r="L305" s="18"/>
    </row>
    <row r="306" spans="11:12">
      <c r="K306" s="18"/>
      <c r="L306" s="18"/>
    </row>
    <row r="307" spans="11:12">
      <c r="K307" s="18"/>
      <c r="L307" s="18"/>
    </row>
    <row r="308" spans="11:12">
      <c r="K308" s="18"/>
      <c r="L308" s="18"/>
    </row>
    <row r="309" spans="11:12">
      <c r="K309" s="18"/>
      <c r="L309" s="18"/>
    </row>
    <row r="310" spans="11:12">
      <c r="K310" s="18"/>
      <c r="L310" s="18"/>
    </row>
    <row r="311" spans="11:12">
      <c r="K311" s="18"/>
      <c r="L311" s="18"/>
    </row>
    <row r="312" spans="11:12">
      <c r="K312" s="18"/>
      <c r="L312" s="18"/>
    </row>
    <row r="313" spans="11:12">
      <c r="K313" s="18"/>
      <c r="L313" s="18"/>
    </row>
    <row r="314" spans="11:12">
      <c r="K314" s="18"/>
      <c r="L314" s="18"/>
    </row>
    <row r="315" spans="11:12">
      <c r="K315" s="18"/>
      <c r="L315" s="18"/>
    </row>
    <row r="316" spans="11:12">
      <c r="K316" s="18"/>
      <c r="L316" s="18"/>
    </row>
    <row r="317" spans="11:12">
      <c r="K317" s="18"/>
      <c r="L317" s="18"/>
    </row>
    <row r="318" spans="11:12">
      <c r="K318" s="18"/>
      <c r="L318" s="18"/>
    </row>
    <row r="319" spans="11:12">
      <c r="K319" s="18"/>
      <c r="L319" s="18"/>
    </row>
    <row r="320" spans="11:12">
      <c r="K320" s="18"/>
      <c r="L320" s="18"/>
    </row>
    <row r="321" spans="11:12">
      <c r="K321" s="18"/>
      <c r="L321" s="18"/>
    </row>
    <row r="322" spans="11:12">
      <c r="K322" s="18"/>
      <c r="L322" s="18"/>
    </row>
    <row r="323" spans="11:12">
      <c r="K323" s="18"/>
      <c r="L323" s="18"/>
    </row>
    <row r="324" spans="11:12">
      <c r="K324" s="18"/>
      <c r="L324" s="18"/>
    </row>
    <row r="325" spans="11:12">
      <c r="K325" s="18"/>
      <c r="L325" s="18"/>
    </row>
    <row r="326" spans="11:12">
      <c r="K326" s="18"/>
      <c r="L326" s="18"/>
    </row>
    <row r="327" spans="11:12">
      <c r="K327" s="18"/>
      <c r="L327" s="18"/>
    </row>
    <row r="328" spans="11:12">
      <c r="K328" s="18"/>
      <c r="L328" s="18"/>
    </row>
    <row r="329" spans="11:12">
      <c r="K329" s="18"/>
      <c r="L329" s="18"/>
    </row>
    <row r="330" spans="11:12">
      <c r="K330" s="18"/>
      <c r="L330" s="18"/>
    </row>
    <row r="331" spans="11:12">
      <c r="K331" s="18"/>
      <c r="L331" s="18"/>
    </row>
    <row r="332" spans="11:12">
      <c r="K332" s="18"/>
      <c r="L332" s="18"/>
    </row>
    <row r="333" spans="11:12">
      <c r="K333" s="18"/>
      <c r="L333" s="18"/>
    </row>
    <row r="334" spans="11:12">
      <c r="K334" s="18"/>
      <c r="L334" s="18"/>
    </row>
    <row r="335" spans="11:12">
      <c r="K335" s="18"/>
      <c r="L335" s="18"/>
    </row>
    <row r="336" spans="11:12">
      <c r="K336" s="18"/>
      <c r="L336" s="18"/>
    </row>
    <row r="337" spans="11:12">
      <c r="K337" s="18"/>
      <c r="L337" s="18"/>
    </row>
    <row r="338" spans="11:12">
      <c r="K338" s="18"/>
      <c r="L338" s="18"/>
    </row>
    <row r="339" spans="11:12">
      <c r="K339" s="18"/>
      <c r="L339" s="18"/>
    </row>
    <row r="340" spans="11:12">
      <c r="K340" s="18"/>
      <c r="L340" s="18"/>
    </row>
    <row r="341" spans="11:12">
      <c r="K341" s="18"/>
      <c r="L341" s="18"/>
    </row>
    <row r="342" spans="11:12">
      <c r="K342" s="18"/>
      <c r="L342" s="18"/>
    </row>
    <row r="343" spans="11:12">
      <c r="K343" s="18"/>
      <c r="L343" s="18"/>
    </row>
    <row r="344" spans="11:12">
      <c r="K344" s="18"/>
      <c r="L344" s="18"/>
    </row>
    <row r="345" spans="11:12">
      <c r="K345" s="18"/>
      <c r="L345" s="18"/>
    </row>
    <row r="346" spans="11:12">
      <c r="K346" s="18"/>
      <c r="L346" s="18"/>
    </row>
    <row r="347" spans="11:12">
      <c r="K347" s="18"/>
      <c r="L347" s="18"/>
    </row>
    <row r="348" spans="11:12">
      <c r="K348" s="18"/>
      <c r="L348" s="18"/>
    </row>
    <row r="349" spans="11:12">
      <c r="K349" s="18"/>
      <c r="L349" s="18"/>
    </row>
    <row r="350" spans="11:12">
      <c r="K350" s="18"/>
      <c r="L350" s="18"/>
    </row>
    <row r="351" spans="11:12">
      <c r="K351" s="18"/>
      <c r="L351" s="18"/>
    </row>
    <row r="352" spans="11:12">
      <c r="K352" s="18"/>
      <c r="L352" s="18"/>
    </row>
    <row r="353" spans="11:12">
      <c r="K353" s="18"/>
      <c r="L353" s="18"/>
    </row>
    <row r="354" spans="11:12">
      <c r="K354" s="18"/>
      <c r="L354" s="18"/>
    </row>
    <row r="355" spans="11:12">
      <c r="K355" s="18"/>
      <c r="L355" s="18"/>
    </row>
    <row r="356" spans="11:12">
      <c r="K356" s="18"/>
      <c r="L356" s="18"/>
    </row>
    <row r="357" spans="11:12">
      <c r="K357" s="18"/>
      <c r="L357" s="18"/>
    </row>
    <row r="358" spans="11:12">
      <c r="K358" s="18"/>
      <c r="L358" s="18"/>
    </row>
    <row r="359" spans="11:12">
      <c r="K359" s="18"/>
      <c r="L359" s="18"/>
    </row>
    <row r="360" spans="11:12">
      <c r="K360" s="18"/>
      <c r="L360" s="18"/>
    </row>
    <row r="361" spans="11:12">
      <c r="K361" s="18"/>
      <c r="L361" s="18"/>
    </row>
    <row r="362" spans="11:12">
      <c r="K362" s="18"/>
      <c r="L362" s="18"/>
    </row>
    <row r="363" spans="11:12">
      <c r="K363" s="18"/>
      <c r="L363" s="18"/>
    </row>
    <row r="364" spans="11:12">
      <c r="K364" s="18"/>
      <c r="L364" s="18"/>
    </row>
    <row r="365" spans="11:12">
      <c r="K365" s="18"/>
      <c r="L365" s="18"/>
    </row>
    <row r="366" spans="11:12">
      <c r="K366" s="18"/>
      <c r="L366" s="18"/>
    </row>
    <row r="367" spans="11:12">
      <c r="K367" s="18"/>
      <c r="L367" s="18"/>
    </row>
    <row r="368" spans="11:12">
      <c r="K368" s="18"/>
      <c r="L368" s="18"/>
    </row>
    <row r="369" spans="11:12">
      <c r="K369" s="18"/>
      <c r="L369" s="18"/>
    </row>
    <row r="370" spans="11:12">
      <c r="K370" s="18"/>
      <c r="L370" s="18"/>
    </row>
    <row r="371" spans="11:12">
      <c r="K371" s="18"/>
      <c r="L371" s="18"/>
    </row>
    <row r="372" spans="11:12">
      <c r="K372" s="18"/>
      <c r="L372" s="18"/>
    </row>
    <row r="373" spans="11:12">
      <c r="K373" s="18"/>
      <c r="L373" s="18"/>
    </row>
    <row r="374" spans="11:12">
      <c r="K374" s="18"/>
      <c r="L374" s="18"/>
    </row>
    <row r="375" spans="11:12">
      <c r="K375" s="18"/>
      <c r="L375" s="18"/>
    </row>
    <row r="376" spans="11:12">
      <c r="K376" s="18"/>
      <c r="L376" s="18"/>
    </row>
    <row r="377" spans="11:12">
      <c r="K377" s="18"/>
      <c r="L377" s="18"/>
    </row>
    <row r="378" spans="11:12">
      <c r="K378" s="18"/>
      <c r="L378" s="18"/>
    </row>
    <row r="379" spans="11:12">
      <c r="K379" s="18"/>
      <c r="L379" s="18"/>
    </row>
    <row r="380" spans="11:12">
      <c r="K380" s="18"/>
      <c r="L380" s="18"/>
    </row>
    <row r="381" spans="11:12">
      <c r="K381" s="18"/>
      <c r="L381" s="18"/>
    </row>
    <row r="382" spans="11:12">
      <c r="K382" s="18"/>
      <c r="L382" s="18"/>
    </row>
    <row r="383" spans="11:12">
      <c r="K383" s="18"/>
      <c r="L383" s="18"/>
    </row>
    <row r="384" spans="11:12">
      <c r="K384" s="18"/>
      <c r="L384" s="18"/>
    </row>
    <row r="385" spans="11:12">
      <c r="K385" s="18"/>
      <c r="L385" s="18"/>
    </row>
    <row r="386" spans="11:12">
      <c r="K386" s="18"/>
      <c r="L386" s="18"/>
    </row>
    <row r="387" spans="11:12">
      <c r="K387" s="18"/>
      <c r="L387" s="18"/>
    </row>
    <row r="388" spans="11:12">
      <c r="K388" s="18"/>
      <c r="L388" s="18"/>
    </row>
    <row r="389" spans="11:12">
      <c r="K389" s="18"/>
      <c r="L389" s="18"/>
    </row>
    <row r="390" spans="11:12">
      <c r="K390" s="18"/>
      <c r="L390" s="18"/>
    </row>
    <row r="391" spans="11:12">
      <c r="K391" s="18"/>
      <c r="L391" s="18"/>
    </row>
    <row r="392" spans="11:12">
      <c r="K392" s="18"/>
      <c r="L392" s="18"/>
    </row>
    <row r="393" spans="11:12">
      <c r="K393" s="18"/>
      <c r="L393" s="18"/>
    </row>
    <row r="394" spans="11:12">
      <c r="K394" s="18"/>
      <c r="L394" s="18"/>
    </row>
    <row r="395" spans="11:12">
      <c r="K395" s="18"/>
      <c r="L395" s="18"/>
    </row>
    <row r="396" spans="11:12">
      <c r="K396" s="18"/>
      <c r="L396" s="18"/>
    </row>
    <row r="397" spans="11:12">
      <c r="K397" s="18"/>
      <c r="L397" s="18"/>
    </row>
    <row r="398" spans="11:12">
      <c r="K398" s="18"/>
      <c r="L398" s="18"/>
    </row>
    <row r="399" spans="11:12">
      <c r="K399" s="18"/>
      <c r="L399" s="18"/>
    </row>
    <row r="400" spans="11:12">
      <c r="K400" s="18"/>
      <c r="L400" s="18"/>
    </row>
    <row r="401" spans="11:12">
      <c r="K401" s="18"/>
      <c r="L401" s="18"/>
    </row>
    <row r="402" spans="11:12">
      <c r="K402" s="18"/>
      <c r="L402" s="18"/>
    </row>
    <row r="403" spans="11:12">
      <c r="K403" s="18"/>
      <c r="L403" s="18"/>
    </row>
    <row r="404" spans="11:12">
      <c r="K404" s="18"/>
      <c r="L404" s="18"/>
    </row>
    <row r="405" spans="11:12">
      <c r="K405" s="18"/>
      <c r="L405" s="18"/>
    </row>
    <row r="406" spans="11:12">
      <c r="K406" s="18"/>
      <c r="L406" s="18"/>
    </row>
    <row r="407" spans="11:12">
      <c r="K407" s="18"/>
      <c r="L407" s="18"/>
    </row>
    <row r="408" spans="11:12">
      <c r="K408" s="18"/>
      <c r="L408" s="18"/>
    </row>
    <row r="409" spans="11:12">
      <c r="K409" s="18"/>
      <c r="L409" s="18"/>
    </row>
    <row r="410" spans="11:12">
      <c r="K410" s="18"/>
      <c r="L410" s="18"/>
    </row>
    <row r="411" spans="11:12">
      <c r="K411" s="18"/>
      <c r="L411" s="18"/>
    </row>
    <row r="412" spans="11:12">
      <c r="K412" s="18"/>
      <c r="L412" s="18"/>
    </row>
    <row r="413" spans="11:12">
      <c r="K413" s="18"/>
      <c r="L413" s="18"/>
    </row>
    <row r="414" spans="11:12">
      <c r="K414" s="18"/>
      <c r="L414" s="18"/>
    </row>
    <row r="415" spans="11:12">
      <c r="K415" s="18"/>
      <c r="L415" s="18"/>
    </row>
    <row r="416" spans="11:12">
      <c r="K416" s="18"/>
      <c r="L416" s="18"/>
    </row>
    <row r="417" spans="11:12">
      <c r="K417" s="18"/>
      <c r="L417" s="18"/>
    </row>
    <row r="418" spans="11:12">
      <c r="K418" s="18"/>
      <c r="L418" s="18"/>
    </row>
    <row r="419" spans="11:12">
      <c r="K419" s="18"/>
      <c r="L419" s="18"/>
    </row>
    <row r="420" spans="11:12">
      <c r="K420" s="18"/>
      <c r="L420" s="18"/>
    </row>
    <row r="421" spans="11:12">
      <c r="K421" s="18"/>
      <c r="L421" s="18"/>
    </row>
    <row r="422" spans="11:12">
      <c r="K422" s="18"/>
      <c r="L422" s="18"/>
    </row>
    <row r="423" spans="11:12">
      <c r="K423" s="18"/>
      <c r="L423" s="18"/>
    </row>
    <row r="424" spans="11:12">
      <c r="K424" s="18"/>
      <c r="L424" s="18"/>
    </row>
    <row r="425" spans="11:12">
      <c r="K425" s="18"/>
      <c r="L425" s="18"/>
    </row>
    <row r="426" spans="11:12">
      <c r="K426" s="18"/>
      <c r="L426" s="18"/>
    </row>
    <row r="427" spans="11:12">
      <c r="K427" s="18"/>
      <c r="L427" s="18"/>
    </row>
    <row r="428" spans="11:12">
      <c r="K428" s="18"/>
      <c r="L428" s="18"/>
    </row>
    <row r="429" spans="11:12">
      <c r="K429" s="18"/>
      <c r="L429" s="18"/>
    </row>
    <row r="430" spans="11:12">
      <c r="K430" s="18"/>
      <c r="L430" s="18"/>
    </row>
    <row r="431" spans="11:12">
      <c r="K431" s="18"/>
      <c r="L431" s="18"/>
    </row>
    <row r="432" spans="11:12">
      <c r="K432" s="18"/>
      <c r="L432" s="18"/>
    </row>
    <row r="433" spans="11:12">
      <c r="K433" s="18"/>
      <c r="L433" s="18"/>
    </row>
    <row r="434" spans="11:12">
      <c r="K434" s="18"/>
      <c r="L434" s="18"/>
    </row>
    <row r="435" spans="11:12">
      <c r="K435" s="18"/>
      <c r="L435" s="18"/>
    </row>
    <row r="436" spans="11:12">
      <c r="K436" s="18"/>
      <c r="L436" s="18"/>
    </row>
    <row r="437" spans="11:12">
      <c r="K437" s="18"/>
      <c r="L437" s="18"/>
    </row>
    <row r="438" spans="11:12">
      <c r="K438" s="18"/>
      <c r="L438" s="18"/>
    </row>
    <row r="439" spans="11:12">
      <c r="K439" s="18"/>
      <c r="L439" s="18"/>
    </row>
    <row r="440" spans="11:12">
      <c r="K440" s="18"/>
      <c r="L440" s="18"/>
    </row>
    <row r="441" spans="11:12">
      <c r="K441" s="18"/>
      <c r="L441" s="18"/>
    </row>
    <row r="442" spans="11:12">
      <c r="K442" s="18"/>
      <c r="L442" s="18"/>
    </row>
    <row r="443" spans="11:12">
      <c r="K443" s="18"/>
      <c r="L443" s="18"/>
    </row>
    <row r="444" spans="11:12">
      <c r="K444" s="18"/>
      <c r="L444" s="18"/>
    </row>
    <row r="445" spans="11:12">
      <c r="K445" s="18"/>
      <c r="L445" s="18"/>
    </row>
    <row r="446" spans="11:12">
      <c r="K446" s="18"/>
      <c r="L446" s="18"/>
    </row>
    <row r="447" spans="11:12">
      <c r="K447" s="18"/>
      <c r="L447" s="18"/>
    </row>
    <row r="448" spans="11:12">
      <c r="K448" s="18"/>
      <c r="L448" s="18"/>
    </row>
    <row r="449" spans="11:12">
      <c r="K449" s="18"/>
      <c r="L449" s="18"/>
    </row>
    <row r="450" spans="11:12">
      <c r="K450" s="18"/>
      <c r="L450" s="18"/>
    </row>
    <row r="451" spans="11:12">
      <c r="K451" s="18"/>
      <c r="L451" s="18"/>
    </row>
    <row r="452" spans="11:12">
      <c r="K452" s="18"/>
      <c r="L452" s="18"/>
    </row>
    <row r="453" spans="11:12">
      <c r="K453" s="18"/>
      <c r="L453" s="18"/>
    </row>
    <row r="454" spans="11:12">
      <c r="K454" s="18"/>
      <c r="L454" s="18"/>
    </row>
    <row r="455" spans="11:12">
      <c r="K455" s="18"/>
      <c r="L455" s="18"/>
    </row>
    <row r="456" spans="11:12">
      <c r="K456" s="18"/>
      <c r="L456" s="18"/>
    </row>
    <row r="457" spans="11:12">
      <c r="K457" s="18"/>
      <c r="L457" s="18"/>
    </row>
    <row r="458" spans="11:12">
      <c r="K458" s="18"/>
      <c r="L458" s="18"/>
    </row>
    <row r="459" spans="11:12">
      <c r="K459" s="18"/>
      <c r="L459" s="18"/>
    </row>
    <row r="460" spans="11:12">
      <c r="K460" s="18"/>
      <c r="L460" s="18"/>
    </row>
    <row r="461" spans="11:12">
      <c r="K461" s="18"/>
      <c r="L461" s="18"/>
    </row>
    <row r="462" spans="11:12">
      <c r="K462" s="18"/>
      <c r="L462" s="18"/>
    </row>
    <row r="463" spans="11:12">
      <c r="K463" s="18"/>
      <c r="L463" s="18"/>
    </row>
    <row r="464" spans="11:12">
      <c r="K464" s="18"/>
      <c r="L464" s="18"/>
    </row>
    <row r="465" spans="11:12">
      <c r="K465" s="18"/>
      <c r="L465" s="18"/>
    </row>
    <row r="466" spans="11:12">
      <c r="K466" s="18"/>
      <c r="L466" s="18"/>
    </row>
    <row r="467" spans="11:12">
      <c r="K467" s="18"/>
      <c r="L467" s="18"/>
    </row>
    <row r="468" spans="11:12">
      <c r="K468" s="18"/>
      <c r="L468" s="18"/>
    </row>
    <row r="469" spans="11:12">
      <c r="K469" s="18"/>
      <c r="L469" s="18"/>
    </row>
    <row r="470" spans="11:12">
      <c r="K470" s="18"/>
      <c r="L470" s="18"/>
    </row>
    <row r="471" spans="11:12">
      <c r="K471" s="18"/>
      <c r="L471" s="18"/>
    </row>
    <row r="472" spans="11:12">
      <c r="K472" s="18"/>
      <c r="L472" s="18"/>
    </row>
    <row r="473" spans="11:12">
      <c r="K473" s="18"/>
      <c r="L473" s="18"/>
    </row>
    <row r="474" spans="11:12">
      <c r="K474" s="18"/>
      <c r="L474" s="18"/>
    </row>
    <row r="475" spans="11:12">
      <c r="K475" s="18"/>
      <c r="L475" s="18"/>
    </row>
    <row r="476" spans="11:12">
      <c r="K476" s="18"/>
      <c r="L476" s="18"/>
    </row>
    <row r="477" spans="11:12">
      <c r="K477" s="18"/>
      <c r="L477" s="18"/>
    </row>
    <row r="478" spans="11:12">
      <c r="K478" s="18"/>
      <c r="L478" s="18"/>
    </row>
    <row r="479" spans="11:12">
      <c r="K479" s="18"/>
      <c r="L479" s="18"/>
    </row>
    <row r="480" spans="11:12">
      <c r="K480" s="18"/>
      <c r="L480" s="18"/>
    </row>
    <row r="481" spans="11:12">
      <c r="K481" s="18"/>
      <c r="L481" s="18"/>
    </row>
    <row r="482" spans="11:12">
      <c r="K482" s="18"/>
      <c r="L482" s="18"/>
    </row>
    <row r="483" spans="11:12">
      <c r="K483" s="18"/>
      <c r="L483" s="18"/>
    </row>
    <row r="484" spans="11:12">
      <c r="K484" s="18"/>
      <c r="L484" s="18"/>
    </row>
    <row r="485" spans="11:12">
      <c r="K485" s="18"/>
      <c r="L485" s="18"/>
    </row>
    <row r="486" spans="11:12">
      <c r="K486" s="18"/>
      <c r="L486" s="18"/>
    </row>
    <row r="487" spans="11:12">
      <c r="K487" s="18"/>
      <c r="L487" s="18"/>
    </row>
    <row r="488" spans="11:12">
      <c r="K488" s="18"/>
      <c r="L488" s="18"/>
    </row>
    <row r="489" spans="11:12">
      <c r="K489" s="18"/>
      <c r="L489" s="18"/>
    </row>
    <row r="490" spans="11:12">
      <c r="K490" s="18"/>
      <c r="L490" s="18"/>
    </row>
    <row r="491" spans="11:12">
      <c r="K491" s="18"/>
      <c r="L491" s="18"/>
    </row>
    <row r="492" spans="11:12">
      <c r="K492" s="18"/>
      <c r="L492" s="18"/>
    </row>
    <row r="493" spans="11:12">
      <c r="K493" s="18"/>
      <c r="L493" s="18"/>
    </row>
    <row r="494" spans="11:12">
      <c r="K494" s="18"/>
      <c r="L494" s="18"/>
    </row>
    <row r="495" spans="11:12">
      <c r="K495" s="18"/>
      <c r="L495" s="18"/>
    </row>
    <row r="496" spans="11:12">
      <c r="K496" s="18"/>
      <c r="L496" s="18"/>
    </row>
    <row r="497" spans="11:12">
      <c r="K497" s="18"/>
      <c r="L497" s="18"/>
    </row>
    <row r="498" spans="11:12">
      <c r="K498" s="18"/>
      <c r="L498" s="18"/>
    </row>
    <row r="499" spans="11:12">
      <c r="K499" s="18"/>
      <c r="L499" s="18"/>
    </row>
    <row r="500" spans="11:12">
      <c r="K500" s="18"/>
      <c r="L500" s="18"/>
    </row>
    <row r="501" spans="11:12">
      <c r="K501" s="18"/>
      <c r="L501" s="18"/>
    </row>
    <row r="502" spans="11:12">
      <c r="K502" s="18"/>
      <c r="L502" s="18"/>
    </row>
    <row r="503" spans="11:12">
      <c r="K503" s="18"/>
      <c r="L503" s="18"/>
    </row>
    <row r="504" spans="11:12">
      <c r="K504" s="18"/>
      <c r="L504" s="18"/>
    </row>
    <row r="505" spans="11:12">
      <c r="K505" s="18"/>
      <c r="L505" s="18"/>
    </row>
    <row r="506" spans="11:12">
      <c r="K506" s="18"/>
      <c r="L506" s="18"/>
    </row>
    <row r="507" spans="11:12">
      <c r="K507" s="18"/>
      <c r="L507" s="18"/>
    </row>
    <row r="508" spans="11:12">
      <c r="K508" s="18"/>
      <c r="L508" s="18"/>
    </row>
    <row r="509" spans="11:12">
      <c r="K509" s="18"/>
      <c r="L509" s="18"/>
    </row>
    <row r="510" spans="11:12">
      <c r="K510" s="18"/>
      <c r="L510" s="18"/>
    </row>
    <row r="511" spans="11:12">
      <c r="K511" s="18"/>
      <c r="L511" s="18"/>
    </row>
    <row r="512" spans="11:12">
      <c r="K512" s="18"/>
      <c r="L512" s="18"/>
    </row>
    <row r="513" spans="11:12">
      <c r="K513" s="18"/>
      <c r="L513" s="18"/>
    </row>
    <row r="514" spans="11:12">
      <c r="K514" s="18"/>
      <c r="L514" s="18"/>
    </row>
    <row r="515" spans="11:12">
      <c r="K515" s="18"/>
      <c r="L515" s="18"/>
    </row>
    <row r="516" spans="11:12">
      <c r="K516" s="18"/>
      <c r="L516" s="18"/>
    </row>
    <row r="517" spans="11:12">
      <c r="K517" s="18"/>
      <c r="L517" s="18"/>
    </row>
    <row r="518" spans="11:12">
      <c r="K518" s="18"/>
      <c r="L518" s="18"/>
    </row>
    <row r="519" spans="11:12">
      <c r="K519" s="18"/>
      <c r="L519" s="18"/>
    </row>
    <row r="520" spans="11:12">
      <c r="K520" s="18"/>
      <c r="L520" s="18"/>
    </row>
    <row r="521" spans="11:12">
      <c r="K521" s="18"/>
      <c r="L521" s="18"/>
    </row>
    <row r="522" spans="11:12">
      <c r="K522" s="18"/>
      <c r="L522" s="18"/>
    </row>
    <row r="523" spans="11:12">
      <c r="K523" s="18"/>
      <c r="L523" s="18"/>
    </row>
    <row r="524" spans="11:12">
      <c r="K524" s="18"/>
      <c r="L524" s="18"/>
    </row>
    <row r="525" spans="11:12">
      <c r="K525" s="18"/>
      <c r="L525" s="18"/>
    </row>
    <row r="526" spans="11:12">
      <c r="K526" s="18"/>
      <c r="L526" s="18"/>
    </row>
    <row r="527" spans="11:12">
      <c r="K527" s="18"/>
      <c r="L527" s="18"/>
    </row>
    <row r="528" spans="11:12">
      <c r="K528" s="18"/>
      <c r="L528" s="18"/>
    </row>
    <row r="529" spans="11:12">
      <c r="K529" s="18"/>
      <c r="L529" s="18"/>
    </row>
    <row r="530" spans="11:12">
      <c r="K530" s="18"/>
      <c r="L530" s="18"/>
    </row>
    <row r="531" spans="11:12">
      <c r="K531" s="18"/>
      <c r="L531" s="18"/>
    </row>
    <row r="532" spans="11:12">
      <c r="K532" s="18"/>
      <c r="L532" s="18"/>
    </row>
    <row r="533" spans="11:12">
      <c r="K533" s="18"/>
      <c r="L533" s="18"/>
    </row>
    <row r="534" spans="11:12">
      <c r="K534" s="18"/>
      <c r="L534" s="18"/>
    </row>
    <row r="535" spans="11:12">
      <c r="K535" s="18"/>
      <c r="L535" s="18"/>
    </row>
    <row r="536" spans="11:12">
      <c r="K536" s="18"/>
      <c r="L536" s="18"/>
    </row>
    <row r="537" spans="11:12">
      <c r="K537" s="18"/>
      <c r="L537" s="18"/>
    </row>
    <row r="538" spans="11:12">
      <c r="K538" s="18"/>
      <c r="L538" s="18"/>
    </row>
    <row r="539" spans="11:12">
      <c r="K539" s="18"/>
      <c r="L539" s="18"/>
    </row>
    <row r="540" spans="11:12">
      <c r="K540" s="18"/>
      <c r="L540" s="18"/>
    </row>
    <row r="541" spans="11:12">
      <c r="K541" s="18"/>
      <c r="L541" s="18"/>
    </row>
    <row r="542" spans="11:12">
      <c r="K542" s="18"/>
      <c r="L542" s="18"/>
    </row>
    <row r="543" spans="11:12">
      <c r="K543" s="18"/>
      <c r="L543" s="18"/>
    </row>
    <row r="544" spans="11:12">
      <c r="K544" s="18"/>
      <c r="L544" s="18"/>
    </row>
    <row r="545" spans="11:12">
      <c r="K545" s="18"/>
      <c r="L545" s="18"/>
    </row>
    <row r="546" spans="11:12">
      <c r="K546" s="18"/>
      <c r="L546" s="18"/>
    </row>
    <row r="547" spans="11:12">
      <c r="K547" s="18"/>
      <c r="L547" s="18"/>
    </row>
    <row r="548" spans="11:12">
      <c r="K548" s="18"/>
      <c r="L548" s="18"/>
    </row>
    <row r="549" spans="11:12">
      <c r="K549" s="18"/>
      <c r="L549" s="18"/>
    </row>
    <row r="550" spans="11:12">
      <c r="K550" s="18"/>
      <c r="L550" s="18"/>
    </row>
    <row r="551" spans="11:12">
      <c r="K551" s="18"/>
      <c r="L551" s="18"/>
    </row>
    <row r="552" spans="11:12">
      <c r="K552" s="18"/>
      <c r="L552" s="18"/>
    </row>
    <row r="553" spans="11:12">
      <c r="K553" s="18"/>
      <c r="L553" s="18"/>
    </row>
    <row r="554" spans="11:12">
      <c r="K554" s="18"/>
      <c r="L554" s="18"/>
    </row>
    <row r="555" spans="11:12">
      <c r="K555" s="18"/>
      <c r="L555" s="18"/>
    </row>
    <row r="556" spans="11:12">
      <c r="K556" s="18"/>
      <c r="L556" s="18"/>
    </row>
    <row r="557" spans="11:12">
      <c r="K557" s="18"/>
      <c r="L557" s="18"/>
    </row>
    <row r="558" spans="11:12">
      <c r="K558" s="18"/>
      <c r="L558" s="18"/>
    </row>
    <row r="559" spans="11:12">
      <c r="K559" s="18"/>
      <c r="L559" s="18"/>
    </row>
    <row r="560" spans="11:12">
      <c r="K560" s="18"/>
      <c r="L560" s="18"/>
    </row>
    <row r="561" spans="11:12">
      <c r="K561" s="18"/>
      <c r="L561" s="18"/>
    </row>
    <row r="562" spans="11:12">
      <c r="K562" s="18"/>
      <c r="L562" s="18"/>
    </row>
    <row r="563" spans="11:12">
      <c r="K563" s="18"/>
      <c r="L563" s="18"/>
    </row>
    <row r="564" spans="11:12">
      <c r="K564" s="18"/>
      <c r="L564" s="18"/>
    </row>
    <row r="565" spans="11:12">
      <c r="K565" s="18"/>
      <c r="L565" s="18"/>
    </row>
    <row r="566" spans="11:12">
      <c r="K566" s="18"/>
      <c r="L566" s="18"/>
    </row>
    <row r="567" spans="11:12">
      <c r="K567" s="18"/>
      <c r="L567" s="18"/>
    </row>
    <row r="568" spans="11:12">
      <c r="K568" s="18"/>
      <c r="L568" s="18"/>
    </row>
    <row r="569" spans="11:12">
      <c r="K569" s="18"/>
      <c r="L569" s="18"/>
    </row>
    <row r="570" spans="11:12">
      <c r="K570" s="18"/>
      <c r="L570" s="18"/>
    </row>
    <row r="571" spans="11:12">
      <c r="K571" s="18"/>
      <c r="L571" s="18"/>
    </row>
    <row r="572" spans="11:12">
      <c r="K572" s="18"/>
      <c r="L572" s="18"/>
    </row>
    <row r="573" spans="11:12">
      <c r="K573" s="18"/>
      <c r="L573" s="18"/>
    </row>
    <row r="574" spans="11:12">
      <c r="K574" s="18"/>
      <c r="L574" s="18"/>
    </row>
    <row r="575" spans="11:12">
      <c r="K575" s="18"/>
      <c r="L575" s="18"/>
    </row>
    <row r="576" spans="11:12">
      <c r="K576" s="18"/>
      <c r="L576" s="18"/>
    </row>
    <row r="577" spans="11:12">
      <c r="K577" s="18"/>
      <c r="L577" s="18"/>
    </row>
    <row r="578" spans="11:12">
      <c r="K578" s="18"/>
      <c r="L578" s="18"/>
    </row>
    <row r="579" spans="11:12">
      <c r="K579" s="18"/>
      <c r="L579" s="18"/>
    </row>
    <row r="580" spans="11:12">
      <c r="K580" s="18"/>
      <c r="L580" s="18"/>
    </row>
    <row r="581" spans="11:12">
      <c r="K581" s="18"/>
      <c r="L581" s="18"/>
    </row>
    <row r="582" spans="11:12">
      <c r="K582" s="18"/>
      <c r="L582" s="18"/>
    </row>
    <row r="583" spans="11:12">
      <c r="K583" s="18"/>
      <c r="L583" s="18"/>
    </row>
    <row r="584" spans="11:12">
      <c r="K584" s="18"/>
      <c r="L584" s="18"/>
    </row>
    <row r="585" spans="11:12">
      <c r="K585" s="18"/>
      <c r="L585" s="18"/>
    </row>
    <row r="586" spans="11:12">
      <c r="K586" s="18"/>
      <c r="L586" s="18"/>
    </row>
    <row r="587" spans="11:12">
      <c r="K587" s="18"/>
      <c r="L587" s="18"/>
    </row>
    <row r="588" spans="11:12">
      <c r="K588" s="18"/>
      <c r="L588" s="18"/>
    </row>
    <row r="589" spans="11:12">
      <c r="K589" s="18"/>
      <c r="L589" s="18"/>
    </row>
    <row r="590" spans="11:12">
      <c r="K590" s="18"/>
      <c r="L590" s="18"/>
    </row>
    <row r="591" spans="11:12">
      <c r="K591" s="18"/>
      <c r="L591" s="18"/>
    </row>
    <row r="592" spans="11:12">
      <c r="K592" s="18"/>
      <c r="L592" s="18"/>
    </row>
    <row r="593" spans="11:12">
      <c r="K593" s="18"/>
      <c r="L593" s="18"/>
    </row>
    <row r="594" spans="11:12">
      <c r="K594" s="18"/>
      <c r="L594" s="18"/>
    </row>
    <row r="595" spans="11:12">
      <c r="K595" s="18"/>
      <c r="L595" s="18"/>
    </row>
    <row r="596" spans="11:12">
      <c r="K596" s="18"/>
      <c r="L596" s="18"/>
    </row>
    <row r="597" spans="11:12">
      <c r="K597" s="18"/>
      <c r="L597" s="18"/>
    </row>
    <row r="598" spans="11:12">
      <c r="K598" s="18"/>
      <c r="L598" s="18"/>
    </row>
    <row r="599" spans="11:12">
      <c r="K599" s="18"/>
      <c r="L599" s="18"/>
    </row>
    <row r="600" spans="11:12">
      <c r="K600" s="18"/>
      <c r="L600" s="18"/>
    </row>
    <row r="601" spans="11:12">
      <c r="K601" s="18"/>
      <c r="L601" s="18"/>
    </row>
    <row r="602" spans="11:12">
      <c r="K602" s="18"/>
      <c r="L602" s="18"/>
    </row>
    <row r="603" spans="11:12">
      <c r="K603" s="18"/>
      <c r="L603" s="18"/>
    </row>
    <row r="604" spans="11:12">
      <c r="K604" s="18"/>
      <c r="L604" s="18"/>
    </row>
    <row r="605" spans="11:12">
      <c r="K605" s="18"/>
      <c r="L605" s="18"/>
    </row>
    <row r="606" spans="11:12">
      <c r="K606" s="18"/>
      <c r="L606" s="18"/>
    </row>
    <row r="607" spans="11:12">
      <c r="K607" s="18"/>
      <c r="L607" s="18"/>
    </row>
    <row r="608" spans="11:12">
      <c r="K608" s="18"/>
      <c r="L608" s="18"/>
    </row>
    <row r="609" spans="11:12">
      <c r="K609" s="18"/>
      <c r="L609" s="18"/>
    </row>
    <row r="610" spans="11:12">
      <c r="K610" s="18"/>
      <c r="L610" s="18"/>
    </row>
    <row r="611" spans="11:12">
      <c r="K611" s="18"/>
      <c r="L611" s="18"/>
    </row>
    <row r="612" spans="11:12">
      <c r="K612" s="18"/>
      <c r="L612" s="18"/>
    </row>
    <row r="613" spans="11:12">
      <c r="K613" s="18"/>
      <c r="L613" s="18"/>
    </row>
    <row r="614" spans="11:12">
      <c r="K614" s="18"/>
      <c r="L614" s="18"/>
    </row>
    <row r="615" spans="11:12">
      <c r="K615" s="18"/>
      <c r="L615" s="18"/>
    </row>
    <row r="616" spans="11:12">
      <c r="K616" s="18"/>
      <c r="L616" s="18"/>
    </row>
    <row r="617" spans="11:12">
      <c r="K617" s="18"/>
      <c r="L617" s="18"/>
    </row>
    <row r="618" spans="11:12">
      <c r="K618" s="18"/>
      <c r="L618" s="18"/>
    </row>
    <row r="619" spans="11:12">
      <c r="K619" s="18"/>
      <c r="L619" s="18"/>
    </row>
    <row r="620" spans="11:12">
      <c r="K620" s="18"/>
      <c r="L620" s="18"/>
    </row>
    <row r="621" spans="11:12">
      <c r="K621" s="18"/>
      <c r="L621" s="18"/>
    </row>
    <row r="622" spans="11:12">
      <c r="K622" s="18"/>
      <c r="L622" s="18"/>
    </row>
    <row r="623" spans="11:12">
      <c r="K623" s="18"/>
      <c r="L623" s="18"/>
    </row>
    <row r="624" spans="11:12">
      <c r="K624" s="18"/>
      <c r="L624" s="18"/>
    </row>
    <row r="625" spans="11:12">
      <c r="K625" s="18"/>
      <c r="L625" s="18"/>
    </row>
    <row r="626" spans="11:12">
      <c r="K626" s="18"/>
      <c r="L626" s="18"/>
    </row>
    <row r="627" spans="11:12">
      <c r="K627" s="18"/>
      <c r="L627" s="18"/>
    </row>
    <row r="628" spans="11:12">
      <c r="K628" s="18"/>
      <c r="L628" s="18"/>
    </row>
    <row r="629" spans="11:12">
      <c r="K629" s="18"/>
      <c r="L629" s="18"/>
    </row>
    <row r="630" spans="11:12">
      <c r="K630" s="18"/>
      <c r="L630" s="18"/>
    </row>
    <row r="631" spans="11:12">
      <c r="K631" s="18"/>
      <c r="L631" s="18"/>
    </row>
    <row r="632" spans="11:12">
      <c r="K632" s="18"/>
      <c r="L632" s="18"/>
    </row>
    <row r="633" spans="11:12">
      <c r="K633" s="18"/>
      <c r="L633" s="18"/>
    </row>
    <row r="634" spans="11:12">
      <c r="K634" s="18"/>
      <c r="L634" s="18"/>
    </row>
    <row r="635" spans="11:12">
      <c r="K635" s="18"/>
      <c r="L635" s="18"/>
    </row>
    <row r="636" spans="11:12">
      <c r="K636" s="18"/>
      <c r="L636" s="18"/>
    </row>
    <row r="637" spans="11:12">
      <c r="K637" s="18"/>
      <c r="L637" s="18"/>
    </row>
    <row r="638" spans="11:12">
      <c r="K638" s="18"/>
      <c r="L638" s="18"/>
    </row>
    <row r="639" spans="11:12">
      <c r="K639" s="18"/>
      <c r="L639" s="18"/>
    </row>
    <row r="640" spans="11:12">
      <c r="K640" s="18"/>
      <c r="L640" s="18"/>
    </row>
    <row r="641" spans="11:12">
      <c r="K641" s="18"/>
      <c r="L641" s="18"/>
    </row>
    <row r="642" spans="11:12">
      <c r="K642" s="18"/>
      <c r="L642" s="18"/>
    </row>
    <row r="643" spans="11:12">
      <c r="K643" s="18"/>
      <c r="L643" s="18"/>
    </row>
    <row r="644" spans="11:12">
      <c r="K644" s="18"/>
      <c r="L644" s="18"/>
    </row>
    <row r="645" spans="11:12">
      <c r="K645" s="18"/>
      <c r="L645" s="18"/>
    </row>
    <row r="646" spans="11:12">
      <c r="K646" s="18"/>
      <c r="L646" s="18"/>
    </row>
    <row r="647" spans="11:12">
      <c r="K647" s="18"/>
      <c r="L647" s="18"/>
    </row>
    <row r="648" spans="11:12">
      <c r="K648" s="18"/>
      <c r="L648" s="18"/>
    </row>
    <row r="649" spans="11:12">
      <c r="K649" s="18"/>
      <c r="L649" s="18"/>
    </row>
    <row r="650" spans="11:12">
      <c r="K650" s="18"/>
      <c r="L650" s="18"/>
    </row>
    <row r="651" spans="11:12">
      <c r="K651" s="18"/>
      <c r="L651" s="18"/>
    </row>
    <row r="652" spans="11:12">
      <c r="K652" s="18"/>
      <c r="L652" s="18"/>
    </row>
    <row r="653" spans="11:12">
      <c r="K653" s="18"/>
      <c r="L653" s="18"/>
    </row>
    <row r="654" spans="11:12">
      <c r="K654" s="18"/>
      <c r="L654" s="18"/>
    </row>
    <row r="655" spans="11:12">
      <c r="K655" s="18"/>
      <c r="L655" s="18"/>
    </row>
    <row r="656" spans="11:12">
      <c r="K656" s="18"/>
      <c r="L656" s="18"/>
    </row>
    <row r="657" spans="11:12">
      <c r="K657" s="18"/>
      <c r="L657" s="18"/>
    </row>
    <row r="658" spans="11:12">
      <c r="K658" s="18"/>
      <c r="L658" s="18"/>
    </row>
    <row r="659" spans="11:12">
      <c r="K659" s="18"/>
      <c r="L659" s="18"/>
    </row>
    <row r="660" spans="11:12">
      <c r="K660" s="18"/>
      <c r="L660" s="18"/>
    </row>
    <row r="661" spans="11:12">
      <c r="K661" s="18"/>
      <c r="L661" s="18"/>
    </row>
    <row r="662" spans="11:12">
      <c r="K662" s="18"/>
      <c r="L662" s="18"/>
    </row>
    <row r="663" spans="11:12">
      <c r="K663" s="18"/>
      <c r="L663" s="18"/>
    </row>
    <row r="664" spans="11:12">
      <c r="K664" s="18"/>
      <c r="L664" s="18"/>
    </row>
    <row r="665" spans="11:12">
      <c r="K665" s="18"/>
      <c r="L665" s="18"/>
    </row>
    <row r="666" spans="11:12">
      <c r="K666" s="18"/>
      <c r="L666" s="18"/>
    </row>
    <row r="667" spans="11:12">
      <c r="K667" s="18"/>
      <c r="L667" s="18"/>
    </row>
    <row r="668" spans="11:12">
      <c r="K668" s="18"/>
      <c r="L668" s="18"/>
    </row>
    <row r="669" spans="11:12">
      <c r="K669" s="18"/>
      <c r="L669" s="18"/>
    </row>
    <row r="670" spans="11:12">
      <c r="K670" s="18"/>
      <c r="L670" s="18"/>
    </row>
    <row r="671" spans="11:12">
      <c r="K671" s="18"/>
      <c r="L671" s="18"/>
    </row>
    <row r="672" spans="11:12">
      <c r="K672" s="18"/>
      <c r="L672" s="18"/>
    </row>
    <row r="673" spans="11:12">
      <c r="K673" s="18"/>
      <c r="L673" s="18"/>
    </row>
    <row r="674" spans="11:12">
      <c r="K674" s="18"/>
      <c r="L674" s="18"/>
    </row>
    <row r="675" spans="11:12">
      <c r="K675" s="18"/>
      <c r="L675" s="18"/>
    </row>
    <row r="676" spans="11:12">
      <c r="K676" s="18"/>
      <c r="L676" s="18"/>
    </row>
    <row r="677" spans="11:12">
      <c r="K677" s="18"/>
      <c r="L677" s="18"/>
    </row>
    <row r="678" spans="11:12">
      <c r="K678" s="18"/>
      <c r="L678" s="18"/>
    </row>
    <row r="679" spans="11:12">
      <c r="K679" s="18"/>
      <c r="L679" s="18"/>
    </row>
    <row r="680" spans="11:12">
      <c r="K680" s="18"/>
      <c r="L680" s="18"/>
    </row>
    <row r="681" spans="11:12">
      <c r="K681" s="18"/>
      <c r="L681" s="18"/>
    </row>
    <row r="682" spans="11:12">
      <c r="K682" s="18"/>
      <c r="L682" s="18"/>
    </row>
    <row r="683" spans="11:12">
      <c r="K683" s="18"/>
      <c r="L683" s="18"/>
    </row>
    <row r="684" spans="11:12">
      <c r="K684" s="18"/>
      <c r="L684" s="18"/>
    </row>
    <row r="685" spans="11:12">
      <c r="K685" s="18"/>
      <c r="L685" s="18"/>
    </row>
    <row r="686" spans="11:12">
      <c r="K686" s="18"/>
      <c r="L686" s="18"/>
    </row>
    <row r="687" spans="11:12">
      <c r="K687" s="18"/>
      <c r="L687" s="18"/>
    </row>
    <row r="688" spans="11:12">
      <c r="K688" s="18"/>
      <c r="L688" s="18"/>
    </row>
    <row r="689" spans="11:12">
      <c r="K689" s="18"/>
      <c r="L689" s="18"/>
    </row>
    <row r="690" spans="11:12">
      <c r="K690" s="18"/>
      <c r="L690" s="18"/>
    </row>
    <row r="691" spans="11:12">
      <c r="K691" s="18"/>
      <c r="L691" s="18"/>
    </row>
    <row r="692" spans="11:12">
      <c r="K692" s="18"/>
      <c r="L692" s="18"/>
    </row>
    <row r="693" spans="11:12">
      <c r="K693" s="18"/>
      <c r="L693" s="18"/>
    </row>
    <row r="694" spans="11:12">
      <c r="K694" s="18"/>
      <c r="L694" s="18"/>
    </row>
    <row r="695" spans="11:12">
      <c r="K695" s="18"/>
      <c r="L695" s="18"/>
    </row>
    <row r="696" spans="11:12">
      <c r="K696" s="18"/>
      <c r="L696" s="18"/>
    </row>
    <row r="697" spans="11:12">
      <c r="K697" s="18"/>
      <c r="L697" s="18"/>
    </row>
    <row r="698" spans="11:12">
      <c r="K698" s="18"/>
      <c r="L698" s="18"/>
    </row>
    <row r="699" spans="11:12">
      <c r="K699" s="18"/>
      <c r="L699" s="18"/>
    </row>
    <row r="700" spans="11:12">
      <c r="K700" s="18"/>
      <c r="L700" s="18"/>
    </row>
    <row r="701" spans="11:12">
      <c r="K701" s="18"/>
      <c r="L701" s="18"/>
    </row>
    <row r="702" spans="11:12">
      <c r="K702" s="18"/>
      <c r="L702" s="18"/>
    </row>
    <row r="703" spans="11:12">
      <c r="K703" s="18"/>
      <c r="L703" s="18"/>
    </row>
    <row r="704" spans="11:12">
      <c r="K704" s="18"/>
      <c r="L704" s="18"/>
    </row>
    <row r="705" spans="11:12">
      <c r="K705" s="18"/>
      <c r="L705" s="18"/>
    </row>
    <row r="706" spans="11:12">
      <c r="K706" s="18"/>
      <c r="L706" s="18"/>
    </row>
    <row r="707" spans="11:12">
      <c r="K707" s="18"/>
      <c r="L707" s="18"/>
    </row>
    <row r="708" spans="11:12">
      <c r="K708" s="18"/>
      <c r="L708" s="18"/>
    </row>
    <row r="709" spans="11:12">
      <c r="K709" s="18"/>
      <c r="L709" s="18"/>
    </row>
    <row r="710" spans="11:12">
      <c r="K710" s="18"/>
      <c r="L710" s="18"/>
    </row>
    <row r="711" spans="11:12">
      <c r="K711" s="18"/>
      <c r="L711" s="18"/>
    </row>
    <row r="712" spans="11:12">
      <c r="K712" s="18"/>
      <c r="L712" s="18"/>
    </row>
    <row r="713" spans="11:12">
      <c r="K713" s="18"/>
      <c r="L713" s="18"/>
    </row>
    <row r="714" spans="11:12">
      <c r="K714" s="18"/>
      <c r="L714" s="18"/>
    </row>
    <row r="715" spans="11:12">
      <c r="K715" s="18"/>
      <c r="L715" s="18"/>
    </row>
    <row r="716" spans="11:12">
      <c r="K716" s="18"/>
      <c r="L716" s="18"/>
    </row>
    <row r="717" spans="11:12">
      <c r="K717" s="18"/>
      <c r="L717" s="18"/>
    </row>
    <row r="718" spans="11:12">
      <c r="K718" s="18"/>
      <c r="L718" s="18"/>
    </row>
    <row r="719" spans="11:12">
      <c r="K719" s="18"/>
      <c r="L719" s="18"/>
    </row>
    <row r="720" spans="11:12">
      <c r="K720" s="18"/>
      <c r="L720" s="18"/>
    </row>
    <row r="721" spans="11:12">
      <c r="K721" s="18"/>
      <c r="L721" s="18"/>
    </row>
    <row r="722" spans="11:12">
      <c r="K722" s="18"/>
      <c r="L722" s="18"/>
    </row>
    <row r="723" spans="11:12">
      <c r="K723" s="18"/>
      <c r="L723" s="18"/>
    </row>
    <row r="724" spans="11:12">
      <c r="K724" s="18"/>
      <c r="L724" s="18"/>
    </row>
    <row r="725" spans="11:12">
      <c r="K725" s="18"/>
      <c r="L725" s="18"/>
    </row>
    <row r="726" spans="11:12">
      <c r="K726" s="18"/>
      <c r="L726" s="18"/>
    </row>
    <row r="727" spans="11:12">
      <c r="K727" s="18"/>
      <c r="L727" s="18"/>
    </row>
    <row r="728" spans="11:12">
      <c r="K728" s="18"/>
      <c r="L728" s="18"/>
    </row>
    <row r="729" spans="11:12">
      <c r="K729" s="18"/>
      <c r="L729" s="18"/>
    </row>
    <row r="730" spans="11:12">
      <c r="K730" s="18"/>
      <c r="L730" s="18"/>
    </row>
    <row r="731" spans="11:12">
      <c r="K731" s="18"/>
      <c r="L731" s="18"/>
    </row>
    <row r="732" spans="11:12">
      <c r="K732" s="18"/>
      <c r="L732" s="18"/>
    </row>
    <row r="733" spans="11:12">
      <c r="K733" s="18"/>
      <c r="L733" s="18"/>
    </row>
    <row r="734" spans="11:12">
      <c r="K734" s="18"/>
      <c r="L734" s="18"/>
    </row>
    <row r="735" spans="11:12">
      <c r="K735" s="18"/>
      <c r="L735" s="18"/>
    </row>
    <row r="736" spans="11:12">
      <c r="K736" s="18"/>
      <c r="L736" s="18"/>
    </row>
    <row r="737" spans="11:12">
      <c r="K737" s="18"/>
      <c r="L737" s="18"/>
    </row>
    <row r="738" spans="11:12">
      <c r="K738" s="18"/>
      <c r="L738" s="18"/>
    </row>
    <row r="739" spans="11:12">
      <c r="K739" s="18"/>
      <c r="L739" s="18"/>
    </row>
    <row r="740" spans="11:12">
      <c r="K740" s="18"/>
      <c r="L740" s="18"/>
    </row>
    <row r="741" spans="11:12">
      <c r="K741" s="18"/>
      <c r="L741" s="18"/>
    </row>
    <row r="742" spans="11:12">
      <c r="K742" s="18"/>
      <c r="L742" s="18"/>
    </row>
    <row r="743" spans="11:12">
      <c r="K743" s="18"/>
      <c r="L743" s="18"/>
    </row>
    <row r="744" spans="11:12">
      <c r="K744" s="18"/>
      <c r="L744" s="18"/>
    </row>
    <row r="745" spans="11:12">
      <c r="K745" s="18"/>
      <c r="L745" s="18"/>
    </row>
    <row r="746" spans="11:12">
      <c r="K746" s="18"/>
      <c r="L746" s="18"/>
    </row>
    <row r="747" spans="11:12">
      <c r="K747" s="18"/>
      <c r="L747" s="18"/>
    </row>
    <row r="748" spans="11:12">
      <c r="K748" s="18"/>
      <c r="L748" s="18"/>
    </row>
    <row r="749" spans="11:12">
      <c r="K749" s="18"/>
      <c r="L749" s="18"/>
    </row>
    <row r="750" spans="11:12">
      <c r="K750" s="18"/>
      <c r="L750" s="18"/>
    </row>
    <row r="751" spans="11:12">
      <c r="K751" s="18"/>
      <c r="L751" s="18"/>
    </row>
    <row r="752" spans="11:12">
      <c r="K752" s="18"/>
      <c r="L752" s="18"/>
    </row>
    <row r="753" spans="11:12">
      <c r="K753" s="18"/>
      <c r="L753" s="18"/>
    </row>
    <row r="754" spans="11:12">
      <c r="K754" s="18"/>
      <c r="L754" s="18"/>
    </row>
    <row r="755" spans="11:12">
      <c r="K755" s="18"/>
      <c r="L755" s="18"/>
    </row>
    <row r="756" spans="11:12">
      <c r="K756" s="18"/>
      <c r="L756" s="18"/>
    </row>
    <row r="757" spans="11:12">
      <c r="K757" s="18"/>
      <c r="L757" s="18"/>
    </row>
    <row r="758" spans="11:12">
      <c r="K758" s="18"/>
      <c r="L758" s="18"/>
    </row>
    <row r="759" spans="11:12">
      <c r="K759" s="18"/>
      <c r="L759" s="18"/>
    </row>
    <row r="760" spans="11:12">
      <c r="K760" s="18"/>
      <c r="L760" s="18"/>
    </row>
    <row r="761" spans="11:12">
      <c r="K761" s="18"/>
      <c r="L761" s="18"/>
    </row>
    <row r="762" spans="11:12">
      <c r="K762" s="18"/>
      <c r="L762" s="18"/>
    </row>
    <row r="763" spans="11:12">
      <c r="K763" s="18"/>
      <c r="L763" s="18"/>
    </row>
    <row r="764" spans="11:12">
      <c r="K764" s="18"/>
      <c r="L764" s="18"/>
    </row>
    <row r="765" spans="11:12">
      <c r="K765" s="18"/>
      <c r="L765" s="18"/>
    </row>
    <row r="766" spans="11:12">
      <c r="K766" s="18"/>
      <c r="L766" s="18"/>
    </row>
    <row r="767" spans="11:12">
      <c r="K767" s="18"/>
      <c r="L767" s="18"/>
    </row>
    <row r="768" spans="11:12">
      <c r="K768" s="18"/>
      <c r="L768" s="18"/>
    </row>
    <row r="769" spans="11:12">
      <c r="K769" s="18"/>
      <c r="L769" s="18"/>
    </row>
    <row r="770" spans="11:12">
      <c r="K770" s="18"/>
      <c r="L770" s="18"/>
    </row>
    <row r="771" spans="11:12">
      <c r="K771" s="18"/>
      <c r="L771" s="18"/>
    </row>
    <row r="772" spans="11:12">
      <c r="K772" s="18"/>
      <c r="L772" s="18"/>
    </row>
    <row r="773" spans="11:12">
      <c r="K773" s="18"/>
      <c r="L773" s="18"/>
    </row>
    <row r="774" spans="11:12">
      <c r="K774" s="18"/>
      <c r="L774" s="18"/>
    </row>
    <row r="775" spans="11:12">
      <c r="K775" s="18"/>
      <c r="L775" s="18"/>
    </row>
    <row r="776" spans="11:12">
      <c r="K776" s="18"/>
      <c r="L776" s="18"/>
    </row>
    <row r="777" spans="11:12">
      <c r="K777" s="18"/>
      <c r="L777" s="18"/>
    </row>
    <row r="778" spans="11:12">
      <c r="K778" s="18"/>
      <c r="L778" s="18"/>
    </row>
    <row r="779" spans="11:12">
      <c r="K779" s="18"/>
      <c r="L779" s="18"/>
    </row>
    <row r="780" spans="11:12">
      <c r="K780" s="18"/>
      <c r="L780" s="18"/>
    </row>
    <row r="781" spans="11:12">
      <c r="K781" s="18"/>
      <c r="L781" s="18"/>
    </row>
    <row r="782" spans="11:12">
      <c r="K782" s="18"/>
      <c r="L782" s="18"/>
    </row>
    <row r="783" spans="11:12">
      <c r="K783" s="18"/>
      <c r="L783" s="18"/>
    </row>
    <row r="784" spans="11:12">
      <c r="K784" s="18"/>
      <c r="L784" s="18"/>
    </row>
    <row r="785" spans="11:12">
      <c r="K785" s="18"/>
      <c r="L785" s="18"/>
    </row>
    <row r="786" spans="11:12">
      <c r="K786" s="18"/>
      <c r="L786" s="18"/>
    </row>
    <row r="787" spans="11:12">
      <c r="K787" s="18"/>
      <c r="L787" s="18"/>
    </row>
    <row r="788" spans="11:12">
      <c r="K788" s="18"/>
      <c r="L788" s="18"/>
    </row>
    <row r="789" spans="11:12">
      <c r="K789" s="18"/>
      <c r="L789" s="18"/>
    </row>
    <row r="790" spans="11:12">
      <c r="K790" s="18"/>
      <c r="L790" s="18"/>
    </row>
    <row r="791" spans="11:12">
      <c r="K791" s="18"/>
      <c r="L791" s="18"/>
    </row>
    <row r="792" spans="11:12">
      <c r="K792" s="18"/>
      <c r="L792" s="18"/>
    </row>
    <row r="793" spans="11:12">
      <c r="K793" s="18"/>
      <c r="L793" s="18"/>
    </row>
    <row r="794" spans="11:12">
      <c r="K794" s="18"/>
      <c r="L794" s="18"/>
    </row>
    <row r="795" spans="11:12">
      <c r="K795" s="18"/>
      <c r="L795" s="18"/>
    </row>
    <row r="796" spans="11:12">
      <c r="K796" s="18"/>
      <c r="L796" s="18"/>
    </row>
    <row r="797" spans="11:12">
      <c r="K797" s="18"/>
      <c r="L797" s="18"/>
    </row>
    <row r="798" spans="11:12">
      <c r="K798" s="18"/>
      <c r="L798" s="18"/>
    </row>
    <row r="799" spans="11:12">
      <c r="K799" s="18"/>
      <c r="L799" s="18"/>
    </row>
    <row r="800" spans="11:12">
      <c r="K800" s="18"/>
      <c r="L800" s="18"/>
    </row>
    <row r="801" spans="11:12">
      <c r="K801" s="18"/>
      <c r="L801" s="18"/>
    </row>
    <row r="802" spans="11:12">
      <c r="K802" s="18"/>
      <c r="L802" s="18"/>
    </row>
    <row r="803" spans="11:12">
      <c r="K803" s="18"/>
      <c r="L803" s="18"/>
    </row>
    <row r="804" spans="11:12">
      <c r="K804" s="18"/>
      <c r="L804" s="18"/>
    </row>
    <row r="805" spans="11:12">
      <c r="K805" s="18"/>
      <c r="L805" s="18"/>
    </row>
    <row r="806" spans="11:12">
      <c r="K806" s="18"/>
      <c r="L806" s="18"/>
    </row>
    <row r="807" spans="11:12">
      <c r="K807" s="18"/>
      <c r="L807" s="18"/>
    </row>
    <row r="808" spans="11:12">
      <c r="K808" s="18"/>
      <c r="L808" s="18"/>
    </row>
    <row r="809" spans="11:12">
      <c r="K809" s="18"/>
      <c r="L809" s="18"/>
    </row>
    <row r="810" spans="11:12">
      <c r="K810" s="18"/>
      <c r="L810" s="18"/>
    </row>
    <row r="811" spans="11:12">
      <c r="K811" s="18"/>
      <c r="L811" s="18"/>
    </row>
    <row r="812" spans="11:12">
      <c r="K812" s="18"/>
      <c r="L812" s="18"/>
    </row>
    <row r="813" spans="11:12">
      <c r="K813" s="18"/>
      <c r="L813" s="18"/>
    </row>
    <row r="814" spans="11:12">
      <c r="K814" s="18"/>
      <c r="L814" s="18"/>
    </row>
    <row r="815" spans="11:12">
      <c r="K815" s="18"/>
      <c r="L815" s="18"/>
    </row>
    <row r="816" spans="11:12">
      <c r="K816" s="18"/>
      <c r="L816" s="18"/>
    </row>
    <row r="817" spans="11:12">
      <c r="K817" s="18"/>
      <c r="L817" s="18"/>
    </row>
    <row r="818" spans="11:12">
      <c r="K818" s="18"/>
      <c r="L818" s="18"/>
    </row>
    <row r="819" spans="11:12">
      <c r="K819" s="18"/>
      <c r="L819" s="18"/>
    </row>
    <row r="820" spans="11:12">
      <c r="K820" s="18"/>
      <c r="L820" s="18"/>
    </row>
    <row r="821" spans="11:12">
      <c r="K821" s="18"/>
      <c r="L821" s="18"/>
    </row>
    <row r="822" spans="11:12">
      <c r="K822" s="18"/>
      <c r="L822" s="18"/>
    </row>
    <row r="823" spans="11:12">
      <c r="K823" s="18"/>
      <c r="L823" s="18"/>
    </row>
    <row r="824" spans="11:12">
      <c r="K824" s="18"/>
      <c r="L824" s="18"/>
    </row>
    <row r="825" spans="11:12">
      <c r="K825" s="18"/>
      <c r="L825" s="18"/>
    </row>
    <row r="826" spans="11:12">
      <c r="K826" s="18"/>
      <c r="L826" s="18"/>
    </row>
    <row r="827" spans="11:12">
      <c r="K827" s="18"/>
      <c r="L827" s="18"/>
    </row>
    <row r="828" spans="11:12">
      <c r="K828" s="18"/>
      <c r="L828" s="18"/>
    </row>
    <row r="829" spans="11:12">
      <c r="K829" s="18"/>
      <c r="L829" s="18"/>
    </row>
    <row r="830" spans="11:12">
      <c r="K830" s="18"/>
      <c r="L830" s="18"/>
    </row>
    <row r="831" spans="11:12">
      <c r="K831" s="18"/>
      <c r="L831" s="18"/>
    </row>
    <row r="832" spans="11:12">
      <c r="K832" s="18"/>
      <c r="L832" s="18"/>
    </row>
    <row r="833" spans="11:12">
      <c r="K833" s="18"/>
      <c r="L833" s="18"/>
    </row>
    <row r="834" spans="11:12">
      <c r="K834" s="18"/>
      <c r="L834" s="18"/>
    </row>
    <row r="835" spans="11:12">
      <c r="K835" s="18"/>
      <c r="L835" s="18"/>
    </row>
    <row r="836" spans="11:12">
      <c r="K836" s="18"/>
      <c r="L836" s="18"/>
    </row>
    <row r="837" spans="11:12">
      <c r="K837" s="18"/>
      <c r="L837" s="18"/>
    </row>
    <row r="838" spans="11:12">
      <c r="K838" s="18"/>
      <c r="L838" s="18"/>
    </row>
    <row r="839" spans="11:12">
      <c r="K839" s="18"/>
      <c r="L839" s="18"/>
    </row>
    <row r="840" spans="11:12">
      <c r="K840" s="18"/>
      <c r="L840" s="18"/>
    </row>
    <row r="841" spans="11:12">
      <c r="K841" s="18"/>
      <c r="L841" s="18"/>
    </row>
    <row r="842" spans="11:12">
      <c r="K842" s="18"/>
      <c r="L842" s="18"/>
    </row>
    <row r="843" spans="11:12">
      <c r="K843" s="18"/>
      <c r="L843" s="18"/>
    </row>
    <row r="844" spans="11:12">
      <c r="K844" s="18"/>
      <c r="L844" s="18"/>
    </row>
    <row r="845" spans="11:12">
      <c r="K845" s="18"/>
      <c r="L845" s="18"/>
    </row>
    <row r="846" spans="11:12">
      <c r="K846" s="18"/>
      <c r="L846" s="18"/>
    </row>
    <row r="847" spans="11:12">
      <c r="K847" s="18"/>
      <c r="L847" s="18"/>
    </row>
    <row r="848" spans="11:12">
      <c r="K848" s="18"/>
      <c r="L848" s="18"/>
    </row>
    <row r="849" spans="11:12">
      <c r="K849" s="18"/>
      <c r="L849" s="18"/>
    </row>
    <row r="850" spans="11:12">
      <c r="K850" s="18"/>
      <c r="L850" s="18"/>
    </row>
    <row r="851" spans="11:12">
      <c r="K851" s="18"/>
      <c r="L851" s="18"/>
    </row>
    <row r="852" spans="11:12">
      <c r="K852" s="18"/>
      <c r="L852" s="18"/>
    </row>
    <row r="853" spans="11:12">
      <c r="K853" s="18"/>
      <c r="L853" s="18"/>
    </row>
    <row r="854" spans="11:12">
      <c r="K854" s="18"/>
      <c r="L854" s="18"/>
    </row>
    <row r="855" spans="11:12">
      <c r="K855" s="18"/>
      <c r="L855" s="18"/>
    </row>
    <row r="856" spans="11:12">
      <c r="K856" s="18"/>
      <c r="L856" s="18"/>
    </row>
    <row r="857" spans="11:12">
      <c r="K857" s="18"/>
      <c r="L857" s="18"/>
    </row>
    <row r="858" spans="11:12">
      <c r="K858" s="18"/>
      <c r="L858" s="18"/>
    </row>
    <row r="859" spans="11:12">
      <c r="K859" s="18"/>
      <c r="L859" s="18"/>
    </row>
    <row r="860" spans="11:12">
      <c r="K860" s="18"/>
      <c r="L860" s="18"/>
    </row>
    <row r="861" spans="11:12">
      <c r="K861" s="18"/>
      <c r="L861" s="18"/>
    </row>
    <row r="862" spans="11:12">
      <c r="K862" s="18"/>
      <c r="L862" s="18"/>
    </row>
    <row r="863" spans="11:12">
      <c r="K863" s="18"/>
      <c r="L863" s="18"/>
    </row>
    <row r="864" spans="11:12">
      <c r="K864" s="18"/>
      <c r="L864" s="18"/>
    </row>
    <row r="865" spans="11:12">
      <c r="K865" s="18"/>
      <c r="L865" s="18"/>
    </row>
    <row r="866" spans="11:12">
      <c r="K866" s="18"/>
      <c r="L866" s="18"/>
    </row>
    <row r="867" spans="11:12">
      <c r="K867" s="18"/>
      <c r="L867" s="18"/>
    </row>
    <row r="868" spans="11:12">
      <c r="K868" s="18"/>
      <c r="L868" s="18"/>
    </row>
    <row r="869" spans="11:12">
      <c r="K869" s="18"/>
      <c r="L869" s="18"/>
    </row>
    <row r="870" spans="11:12">
      <c r="K870" s="18"/>
      <c r="L870" s="18"/>
    </row>
    <row r="871" spans="11:12">
      <c r="K871" s="18"/>
      <c r="L871" s="18"/>
    </row>
    <row r="872" spans="11:12">
      <c r="K872" s="18"/>
      <c r="L872" s="18"/>
    </row>
    <row r="873" spans="11:12">
      <c r="K873" s="18"/>
      <c r="L873" s="18"/>
    </row>
    <row r="874" spans="11:12">
      <c r="K874" s="18"/>
      <c r="L874" s="18"/>
    </row>
    <row r="875" spans="11:12">
      <c r="K875" s="18"/>
      <c r="L875" s="18"/>
    </row>
    <row r="876" spans="11:12">
      <c r="K876" s="18"/>
      <c r="L876" s="18"/>
    </row>
    <row r="877" spans="11:12">
      <c r="K877" s="18"/>
      <c r="L877" s="18"/>
    </row>
    <row r="878" spans="11:12">
      <c r="K878" s="18"/>
      <c r="L878" s="18"/>
    </row>
    <row r="879" spans="11:12">
      <c r="K879" s="18"/>
      <c r="L879" s="18"/>
    </row>
    <row r="880" spans="11:12">
      <c r="K880" s="18"/>
      <c r="L880" s="18"/>
    </row>
    <row r="881" spans="11:12">
      <c r="K881" s="18"/>
      <c r="L881" s="18"/>
    </row>
    <row r="882" spans="11:12">
      <c r="K882" s="18"/>
      <c r="L882" s="18"/>
    </row>
    <row r="883" spans="11:12">
      <c r="K883" s="18"/>
      <c r="L883" s="18"/>
    </row>
    <row r="884" spans="11:12">
      <c r="K884" s="18"/>
      <c r="L884" s="18"/>
    </row>
    <row r="885" spans="11:12">
      <c r="K885" s="18"/>
      <c r="L885" s="18"/>
    </row>
    <row r="886" spans="11:12">
      <c r="K886" s="18"/>
      <c r="L886" s="18"/>
    </row>
    <row r="887" spans="11:12">
      <c r="K887" s="18"/>
      <c r="L887" s="18"/>
    </row>
    <row r="888" spans="11:12">
      <c r="K888" s="18"/>
      <c r="L888" s="18"/>
    </row>
    <row r="889" spans="11:12">
      <c r="K889" s="18"/>
      <c r="L889" s="18"/>
    </row>
    <row r="890" spans="11:12">
      <c r="K890" s="18"/>
      <c r="L890" s="18"/>
    </row>
    <row r="891" spans="11:12">
      <c r="K891" s="18"/>
      <c r="L891" s="18"/>
    </row>
    <row r="892" spans="11:12">
      <c r="K892" s="18"/>
      <c r="L892" s="18"/>
    </row>
    <row r="893" spans="11:12">
      <c r="K893" s="18"/>
      <c r="L893" s="18"/>
    </row>
    <row r="894" spans="11:12">
      <c r="K894" s="18"/>
      <c r="L894" s="18"/>
    </row>
    <row r="895" spans="11:12">
      <c r="K895" s="18"/>
      <c r="L895" s="18"/>
    </row>
    <row r="896" spans="11:12">
      <c r="K896" s="18"/>
      <c r="L896" s="18"/>
    </row>
    <row r="897" spans="11:12">
      <c r="K897" s="18"/>
      <c r="L897" s="18"/>
    </row>
    <row r="898" spans="11:12">
      <c r="K898" s="18"/>
      <c r="L898" s="18"/>
    </row>
    <row r="899" spans="11:12">
      <c r="K899" s="18"/>
      <c r="L899" s="18"/>
    </row>
    <row r="900" spans="11:12">
      <c r="K900" s="18"/>
      <c r="L900" s="18"/>
    </row>
    <row r="901" spans="11:12">
      <c r="K901" s="18"/>
      <c r="L901" s="18"/>
    </row>
    <row r="902" spans="11:12">
      <c r="K902" s="18"/>
      <c r="L902" s="18"/>
    </row>
    <row r="903" spans="11:12">
      <c r="K903" s="18"/>
      <c r="L903" s="18"/>
    </row>
    <row r="904" spans="11:12">
      <c r="K904" s="18"/>
      <c r="L904" s="18"/>
    </row>
    <row r="905" spans="11:12">
      <c r="K905" s="18"/>
      <c r="L905" s="18"/>
    </row>
    <row r="906" spans="11:12">
      <c r="K906" s="18"/>
      <c r="L906" s="18"/>
    </row>
    <row r="907" spans="11:12">
      <c r="K907" s="18"/>
      <c r="L907" s="18"/>
    </row>
    <row r="908" spans="11:12">
      <c r="K908" s="18"/>
      <c r="L908" s="18"/>
    </row>
    <row r="909" spans="11:12">
      <c r="K909" s="18"/>
      <c r="L909" s="18"/>
    </row>
    <row r="910" spans="11:12">
      <c r="K910" s="18"/>
      <c r="L910" s="18"/>
    </row>
    <row r="911" spans="11:12">
      <c r="K911" s="18"/>
      <c r="L911" s="18"/>
    </row>
    <row r="912" spans="11:12">
      <c r="K912" s="18"/>
      <c r="L912" s="18"/>
    </row>
    <row r="913" spans="11:12">
      <c r="K913" s="18"/>
      <c r="L913" s="18"/>
    </row>
    <row r="914" spans="11:12">
      <c r="K914" s="18"/>
      <c r="L914" s="18"/>
    </row>
    <row r="915" spans="11:12">
      <c r="K915" s="18"/>
      <c r="L915" s="18"/>
    </row>
    <row r="916" spans="11:12">
      <c r="K916" s="18"/>
      <c r="L916" s="18"/>
    </row>
    <row r="917" spans="11:12">
      <c r="K917" s="18"/>
      <c r="L917" s="18"/>
    </row>
    <row r="918" spans="11:12">
      <c r="K918" s="18"/>
      <c r="L918" s="18"/>
    </row>
    <row r="919" spans="11:12">
      <c r="K919" s="18"/>
      <c r="L919" s="18"/>
    </row>
    <row r="920" spans="11:12">
      <c r="K920" s="18"/>
      <c r="L920" s="18"/>
    </row>
    <row r="921" spans="11:12">
      <c r="K921" s="18"/>
      <c r="L921" s="18"/>
    </row>
    <row r="922" spans="11:12">
      <c r="K922" s="18"/>
      <c r="L922" s="18"/>
    </row>
    <row r="923" spans="11:12">
      <c r="K923" s="18"/>
      <c r="L923" s="18"/>
    </row>
    <row r="924" spans="11:12">
      <c r="K924" s="18"/>
      <c r="L924" s="18"/>
    </row>
    <row r="925" spans="11:12">
      <c r="K925" s="18"/>
      <c r="L925" s="18"/>
    </row>
    <row r="926" spans="11:12">
      <c r="K926" s="18"/>
      <c r="L926" s="18"/>
    </row>
    <row r="927" spans="11:12">
      <c r="K927" s="18"/>
      <c r="L927" s="18"/>
    </row>
    <row r="928" spans="11:12">
      <c r="K928" s="18"/>
      <c r="L928" s="18"/>
    </row>
    <row r="929" spans="11:12">
      <c r="K929" s="18"/>
      <c r="L929" s="18"/>
    </row>
    <row r="930" spans="11:12">
      <c r="K930" s="18"/>
      <c r="L930" s="18"/>
    </row>
    <row r="931" spans="11:12">
      <c r="K931" s="18"/>
      <c r="L931" s="18"/>
    </row>
    <row r="932" spans="11:12">
      <c r="K932" s="18"/>
      <c r="L932" s="18"/>
    </row>
    <row r="933" spans="11:12">
      <c r="K933" s="18"/>
      <c r="L933" s="18"/>
    </row>
    <row r="934" spans="11:12">
      <c r="K934" s="18"/>
      <c r="L934" s="18"/>
    </row>
    <row r="935" spans="11:12">
      <c r="K935" s="18"/>
      <c r="L935" s="18"/>
    </row>
    <row r="936" spans="11:12">
      <c r="K936" s="18"/>
      <c r="L936" s="18"/>
    </row>
    <row r="937" spans="11:12">
      <c r="K937" s="18"/>
      <c r="L937" s="18"/>
    </row>
    <row r="938" spans="11:12">
      <c r="K938" s="18"/>
      <c r="L938" s="18"/>
    </row>
    <row r="939" spans="11:12">
      <c r="K939" s="18"/>
      <c r="L939" s="18"/>
    </row>
    <row r="940" spans="11:12">
      <c r="K940" s="18"/>
      <c r="L940" s="18"/>
    </row>
    <row r="941" spans="11:12">
      <c r="K941" s="18"/>
      <c r="L941" s="18"/>
    </row>
    <row r="942" spans="11:12">
      <c r="K942" s="18"/>
      <c r="L942" s="18"/>
    </row>
    <row r="943" spans="11:12">
      <c r="K943" s="18"/>
      <c r="L943" s="18"/>
    </row>
    <row r="944" spans="11:12">
      <c r="K944" s="18"/>
      <c r="L944" s="18"/>
    </row>
    <row r="945" spans="11:12">
      <c r="K945" s="18"/>
      <c r="L945" s="18"/>
    </row>
    <row r="946" spans="11:12">
      <c r="K946" s="18"/>
      <c r="L946" s="18"/>
    </row>
    <row r="947" spans="11:12">
      <c r="K947" s="18"/>
      <c r="L947" s="18"/>
    </row>
    <row r="948" spans="11:12">
      <c r="K948" s="18"/>
      <c r="L948" s="18"/>
    </row>
    <row r="949" spans="11:12">
      <c r="K949" s="18"/>
      <c r="L949" s="18"/>
    </row>
    <row r="950" spans="11:12">
      <c r="K950" s="18"/>
      <c r="L950" s="18"/>
    </row>
    <row r="951" spans="11:12">
      <c r="K951" s="18"/>
      <c r="L951" s="18"/>
    </row>
    <row r="952" spans="11:12">
      <c r="K952" s="18"/>
      <c r="L952" s="18"/>
    </row>
    <row r="953" spans="11:12">
      <c r="K953" s="18"/>
      <c r="L953" s="18"/>
    </row>
    <row r="954" spans="11:12">
      <c r="K954" s="18"/>
      <c r="L954" s="18"/>
    </row>
    <row r="955" spans="11:12">
      <c r="K955" s="18"/>
      <c r="L955" s="18"/>
    </row>
    <row r="956" spans="11:12">
      <c r="K956" s="18"/>
      <c r="L956" s="18"/>
    </row>
    <row r="957" spans="11:12">
      <c r="K957" s="18"/>
      <c r="L957" s="18"/>
    </row>
    <row r="958" spans="11:12">
      <c r="K958" s="18"/>
      <c r="L958" s="18"/>
    </row>
    <row r="959" spans="11:12">
      <c r="K959" s="18"/>
      <c r="L959" s="18"/>
    </row>
    <row r="960" spans="11:12">
      <c r="K960" s="18"/>
      <c r="L960" s="18"/>
    </row>
    <row r="961" spans="11:12">
      <c r="K961" s="18"/>
      <c r="L961" s="18"/>
    </row>
    <row r="962" spans="11:12">
      <c r="K962" s="18"/>
      <c r="L962" s="18"/>
    </row>
    <row r="963" spans="11:12">
      <c r="K963" s="18"/>
      <c r="L963" s="18"/>
    </row>
    <row r="964" spans="11:12">
      <c r="K964" s="18"/>
      <c r="L964" s="18"/>
    </row>
    <row r="965" spans="11:12">
      <c r="K965" s="18"/>
      <c r="L965" s="18"/>
    </row>
    <row r="966" spans="11:12">
      <c r="K966" s="18"/>
      <c r="L966" s="18"/>
    </row>
    <row r="967" spans="11:12">
      <c r="K967" s="18"/>
      <c r="L967" s="18"/>
    </row>
    <row r="968" spans="11:12">
      <c r="K968" s="18"/>
      <c r="L968" s="18"/>
    </row>
    <row r="969" spans="11:12">
      <c r="K969" s="18"/>
      <c r="L969" s="18"/>
    </row>
    <row r="970" spans="11:12">
      <c r="K970" s="18"/>
      <c r="L970" s="18"/>
    </row>
    <row r="971" spans="11:12">
      <c r="K971" s="18"/>
      <c r="L971" s="18"/>
    </row>
    <row r="972" spans="11:12">
      <c r="K972" s="18"/>
      <c r="L972" s="18"/>
    </row>
    <row r="973" spans="11:12">
      <c r="K973" s="18"/>
      <c r="L973" s="18"/>
    </row>
    <row r="974" spans="11:12">
      <c r="K974" s="18"/>
      <c r="L974" s="18"/>
    </row>
    <row r="975" spans="11:12">
      <c r="K975" s="18"/>
      <c r="L975" s="18"/>
    </row>
    <row r="976" spans="11:12">
      <c r="K976" s="18"/>
      <c r="L976" s="18"/>
    </row>
    <row r="977" spans="11:12">
      <c r="K977" s="18"/>
      <c r="L977" s="18"/>
    </row>
    <row r="978" spans="11:12">
      <c r="K978" s="18"/>
      <c r="L978" s="18"/>
    </row>
    <row r="979" spans="11:12">
      <c r="K979" s="18"/>
      <c r="L979" s="18"/>
    </row>
    <row r="980" spans="11:12">
      <c r="K980" s="18"/>
      <c r="L980" s="18"/>
    </row>
    <row r="981" spans="11:12">
      <c r="K981" s="18"/>
      <c r="L981" s="18"/>
    </row>
    <row r="982" spans="11:12">
      <c r="K982" s="18"/>
      <c r="L982" s="18"/>
    </row>
    <row r="983" spans="11:12">
      <c r="K983" s="18"/>
      <c r="L983" s="18"/>
    </row>
    <row r="984" spans="11:12">
      <c r="K984" s="18"/>
      <c r="L984" s="18"/>
    </row>
    <row r="985" spans="11:12">
      <c r="K985" s="18"/>
      <c r="L985" s="18"/>
    </row>
    <row r="986" spans="11:12">
      <c r="K986" s="18"/>
      <c r="L986" s="18"/>
    </row>
    <row r="987" spans="11:12">
      <c r="K987" s="18"/>
      <c r="L987" s="18"/>
    </row>
    <row r="988" spans="11:12">
      <c r="K988" s="18"/>
      <c r="L988" s="18"/>
    </row>
    <row r="989" spans="11:12">
      <c r="K989" s="18"/>
      <c r="L989" s="18"/>
    </row>
    <row r="990" spans="11:12">
      <c r="K990" s="18"/>
      <c r="L990" s="18"/>
    </row>
    <row r="991" spans="11:12">
      <c r="K991" s="18"/>
      <c r="L991" s="18"/>
    </row>
    <row r="992" spans="11:12">
      <c r="K992" s="18"/>
      <c r="L992" s="18"/>
    </row>
    <row r="993" spans="11:12">
      <c r="K993" s="18"/>
      <c r="L993" s="18"/>
    </row>
    <row r="994" spans="11:12">
      <c r="K994" s="18"/>
      <c r="L994" s="18"/>
    </row>
    <row r="995" spans="11:12">
      <c r="K995" s="18"/>
      <c r="L995" s="18"/>
    </row>
    <row r="996" spans="11:12">
      <c r="K996" s="18"/>
      <c r="L996" s="18"/>
    </row>
    <row r="997" spans="11:12">
      <c r="K997" s="18"/>
      <c r="L997" s="18"/>
    </row>
    <row r="998" spans="11:12">
      <c r="K998" s="18"/>
      <c r="L998" s="18"/>
    </row>
    <row r="999" spans="11:12">
      <c r="K999" s="18"/>
      <c r="L999" s="18"/>
    </row>
    <row r="1000" spans="11:12">
      <c r="K1000" s="18"/>
      <c r="L1000" s="18"/>
    </row>
    <row r="1001" spans="11:12">
      <c r="K1001" s="18"/>
      <c r="L1001" s="18"/>
    </row>
    <row r="1002" spans="11:12">
      <c r="K1002" s="18"/>
      <c r="L1002" s="18"/>
    </row>
    <row r="1003" spans="11:12">
      <c r="K1003" s="18"/>
      <c r="L1003" s="18"/>
    </row>
    <row r="1004" spans="11:12">
      <c r="K1004" s="18"/>
      <c r="L1004" s="18"/>
    </row>
    <row r="1005" spans="11:12">
      <c r="K1005" s="18"/>
      <c r="L1005" s="18"/>
    </row>
    <row r="1006" spans="11:12">
      <c r="K1006" s="18"/>
      <c r="L1006" s="18"/>
    </row>
    <row r="1007" spans="11:12">
      <c r="K1007" s="18"/>
      <c r="L1007" s="18"/>
    </row>
    <row r="1008" spans="11:12">
      <c r="K1008" s="18"/>
      <c r="L1008" s="18"/>
    </row>
    <row r="1009" spans="11:12">
      <c r="K1009" s="18"/>
      <c r="L1009" s="18"/>
    </row>
    <row r="1010" spans="11:12">
      <c r="K1010" s="18"/>
      <c r="L1010" s="18"/>
    </row>
    <row r="1011" spans="11:12">
      <c r="K1011" s="18"/>
      <c r="L1011" s="18"/>
    </row>
    <row r="1012" spans="11:12">
      <c r="K1012" s="18"/>
      <c r="L1012" s="18"/>
    </row>
    <row r="1013" spans="11:12">
      <c r="K1013" s="18"/>
      <c r="L1013" s="18"/>
    </row>
    <row r="1014" spans="11:12">
      <c r="K1014" s="18"/>
      <c r="L1014" s="18"/>
    </row>
    <row r="1015" spans="11:12">
      <c r="K1015" s="18"/>
      <c r="L1015" s="18"/>
    </row>
    <row r="1016" spans="11:12">
      <c r="K1016" s="18"/>
      <c r="L1016" s="18"/>
    </row>
    <row r="1017" spans="11:12">
      <c r="K1017" s="18"/>
      <c r="L1017" s="18"/>
    </row>
    <row r="1018" spans="11:12">
      <c r="K1018" s="18"/>
      <c r="L1018" s="18"/>
    </row>
    <row r="1019" spans="11:12">
      <c r="K1019" s="18"/>
      <c r="L1019" s="18"/>
    </row>
    <row r="1020" spans="11:12">
      <c r="K1020" s="18"/>
      <c r="L1020" s="18"/>
    </row>
    <row r="1021" spans="11:12">
      <c r="K1021" s="18"/>
      <c r="L1021" s="18"/>
    </row>
    <row r="1022" spans="11:12">
      <c r="K1022" s="18"/>
      <c r="L1022" s="18"/>
    </row>
    <row r="1023" spans="11:12">
      <c r="K1023" s="18"/>
      <c r="L1023" s="18"/>
    </row>
    <row r="1024" spans="11:12">
      <c r="K1024" s="18"/>
      <c r="L1024" s="18"/>
    </row>
    <row r="1025" spans="11:12">
      <c r="K1025" s="18"/>
      <c r="L1025" s="18"/>
    </row>
    <row r="1026" spans="11:12">
      <c r="K1026" s="18"/>
      <c r="L1026" s="18"/>
    </row>
    <row r="1027" spans="11:12">
      <c r="K1027" s="18"/>
      <c r="L1027" s="18"/>
    </row>
    <row r="1028" spans="11:12">
      <c r="K1028" s="18"/>
      <c r="L1028" s="18"/>
    </row>
    <row r="1029" spans="11:12">
      <c r="K1029" s="18"/>
      <c r="L1029" s="18"/>
    </row>
    <row r="1030" spans="11:12">
      <c r="K1030" s="18"/>
      <c r="L1030" s="18"/>
    </row>
    <row r="1031" spans="11:12">
      <c r="K1031" s="18"/>
      <c r="L1031" s="18"/>
    </row>
    <row r="1032" spans="11:12">
      <c r="K1032" s="18"/>
      <c r="L1032" s="18"/>
    </row>
    <row r="1033" spans="11:12">
      <c r="K1033" s="18"/>
      <c r="L1033" s="18"/>
    </row>
    <row r="1034" spans="11:12">
      <c r="K1034" s="18"/>
      <c r="L1034" s="18"/>
    </row>
    <row r="1035" spans="11:12">
      <c r="K1035" s="18"/>
      <c r="L1035" s="18"/>
    </row>
    <row r="1036" spans="11:12">
      <c r="K1036" s="18"/>
      <c r="L1036" s="18"/>
    </row>
    <row r="1037" spans="11:12">
      <c r="K1037" s="18"/>
      <c r="L1037" s="18"/>
    </row>
    <row r="1038" spans="11:12">
      <c r="K1038" s="18"/>
      <c r="L1038" s="18"/>
    </row>
    <row r="1039" spans="11:12">
      <c r="K1039" s="18"/>
      <c r="L1039" s="18"/>
    </row>
    <row r="1040" spans="11:12">
      <c r="K1040" s="18"/>
      <c r="L1040" s="18"/>
    </row>
    <row r="1041" spans="11:12">
      <c r="K1041" s="18"/>
      <c r="L1041" s="18"/>
    </row>
    <row r="1042" spans="11:12">
      <c r="K1042" s="18"/>
      <c r="L1042" s="18"/>
    </row>
    <row r="1043" spans="11:12">
      <c r="K1043" s="18"/>
      <c r="L1043" s="18"/>
    </row>
    <row r="1044" spans="11:12">
      <c r="K1044" s="18"/>
      <c r="L1044" s="18"/>
    </row>
    <row r="1045" spans="11:12">
      <c r="K1045" s="18"/>
      <c r="L1045" s="18"/>
    </row>
    <row r="1046" spans="11:12">
      <c r="K1046" s="18"/>
      <c r="L1046" s="18"/>
    </row>
    <row r="1047" spans="11:12">
      <c r="K1047" s="18"/>
      <c r="L1047" s="18"/>
    </row>
    <row r="1048" spans="11:12">
      <c r="K1048" s="18"/>
      <c r="L1048" s="18"/>
    </row>
    <row r="1049" spans="11:12">
      <c r="K1049" s="18"/>
      <c r="L1049" s="18"/>
    </row>
    <row r="1050" spans="11:12">
      <c r="K1050" s="18"/>
      <c r="L1050" s="18"/>
    </row>
    <row r="1051" spans="11:12">
      <c r="K1051" s="18"/>
      <c r="L1051" s="18"/>
    </row>
    <row r="1052" spans="11:12">
      <c r="K1052" s="18"/>
      <c r="L1052" s="18"/>
    </row>
    <row r="1053" spans="11:12">
      <c r="K1053" s="18"/>
      <c r="L1053" s="18"/>
    </row>
    <row r="1054" spans="11:12">
      <c r="K1054" s="18"/>
      <c r="L1054" s="18"/>
    </row>
    <row r="1055" spans="11:12">
      <c r="K1055" s="18"/>
      <c r="L1055" s="18"/>
    </row>
    <row r="1056" spans="11:12">
      <c r="K1056" s="18"/>
      <c r="L1056" s="18"/>
    </row>
    <row r="1057" spans="11:12">
      <c r="K1057" s="18"/>
      <c r="L1057" s="18"/>
    </row>
    <row r="1058" spans="11:12">
      <c r="K1058" s="18"/>
      <c r="L1058" s="18"/>
    </row>
    <row r="1059" spans="11:12">
      <c r="K1059" s="18"/>
      <c r="L1059" s="18"/>
    </row>
    <row r="1060" spans="11:12">
      <c r="K1060" s="18"/>
      <c r="L1060" s="18"/>
    </row>
    <row r="1061" spans="11:12">
      <c r="K1061" s="18"/>
      <c r="L1061" s="18"/>
    </row>
    <row r="1062" spans="11:12">
      <c r="K1062" s="18"/>
      <c r="L1062" s="18"/>
    </row>
    <row r="1063" spans="11:12">
      <c r="K1063" s="18"/>
      <c r="L1063" s="18"/>
    </row>
    <row r="1064" spans="11:12">
      <c r="K1064" s="18"/>
      <c r="L1064" s="18"/>
    </row>
    <row r="1065" spans="11:12">
      <c r="K1065" s="18"/>
      <c r="L1065" s="18"/>
    </row>
    <row r="1066" spans="11:12">
      <c r="K1066" s="18"/>
      <c r="L1066" s="18"/>
    </row>
    <row r="1067" spans="11:12">
      <c r="K1067" s="18"/>
      <c r="L1067" s="18"/>
    </row>
    <row r="1068" spans="11:12">
      <c r="K1068" s="18"/>
      <c r="L1068" s="18"/>
    </row>
    <row r="1069" spans="11:12">
      <c r="K1069" s="18"/>
      <c r="L1069" s="18"/>
    </row>
    <row r="1070" spans="11:12">
      <c r="K1070" s="18"/>
      <c r="L1070" s="18"/>
    </row>
    <row r="1071" spans="11:12">
      <c r="K1071" s="18"/>
      <c r="L1071" s="18"/>
    </row>
    <row r="1072" spans="11:12">
      <c r="K1072" s="18"/>
      <c r="L1072" s="18"/>
    </row>
    <row r="1073" spans="11:12">
      <c r="K1073" s="18"/>
      <c r="L1073" s="18"/>
    </row>
    <row r="1074" spans="11:12">
      <c r="K1074" s="18"/>
      <c r="L1074" s="18"/>
    </row>
    <row r="1075" spans="11:12">
      <c r="K1075" s="18"/>
      <c r="L1075" s="18"/>
    </row>
    <row r="1076" spans="11:12">
      <c r="K1076" s="18"/>
      <c r="L1076" s="18"/>
    </row>
    <row r="1077" spans="11:12">
      <c r="K1077" s="18"/>
      <c r="L1077" s="18"/>
    </row>
    <row r="1078" spans="11:12">
      <c r="K1078" s="18"/>
      <c r="L1078" s="18"/>
    </row>
    <row r="1079" spans="11:12">
      <c r="K1079" s="18"/>
      <c r="L1079" s="18"/>
    </row>
    <row r="1080" spans="11:12">
      <c r="K1080" s="18"/>
      <c r="L1080" s="18"/>
    </row>
    <row r="1081" spans="11:12">
      <c r="K1081" s="18"/>
      <c r="L1081" s="18"/>
    </row>
    <row r="1082" spans="11:12">
      <c r="K1082" s="18"/>
      <c r="L1082" s="18"/>
    </row>
    <row r="1083" spans="11:12">
      <c r="K1083" s="18"/>
      <c r="L1083" s="18"/>
    </row>
    <row r="1084" spans="11:12">
      <c r="K1084" s="18"/>
      <c r="L1084" s="18"/>
    </row>
    <row r="1085" spans="11:12">
      <c r="K1085" s="18"/>
      <c r="L1085" s="18"/>
    </row>
    <row r="1086" spans="11:12">
      <c r="K1086" s="18"/>
      <c r="L1086" s="18"/>
    </row>
    <row r="1087" spans="11:12">
      <c r="K1087" s="18"/>
      <c r="L1087" s="18"/>
    </row>
    <row r="1088" spans="11:12">
      <c r="K1088" s="18"/>
      <c r="L1088" s="18"/>
    </row>
    <row r="1089" spans="11:12">
      <c r="K1089" s="18"/>
      <c r="L1089" s="18"/>
    </row>
    <row r="1090" spans="11:12">
      <c r="K1090" s="18"/>
      <c r="L1090" s="18"/>
    </row>
    <row r="1091" spans="11:12">
      <c r="K1091" s="18"/>
      <c r="L1091" s="18"/>
    </row>
    <row r="1092" spans="11:12">
      <c r="K1092" s="18"/>
      <c r="L1092" s="18"/>
    </row>
    <row r="1093" spans="11:12">
      <c r="K1093" s="18"/>
      <c r="L1093" s="18"/>
    </row>
    <row r="1094" spans="11:12">
      <c r="K1094" s="18"/>
      <c r="L1094" s="18"/>
    </row>
    <row r="1095" spans="11:12">
      <c r="K1095" s="18"/>
      <c r="L1095" s="18"/>
    </row>
    <row r="1096" spans="11:12">
      <c r="K1096" s="18"/>
      <c r="L1096" s="18"/>
    </row>
    <row r="1097" spans="11:12">
      <c r="K1097" s="18"/>
      <c r="L1097" s="18"/>
    </row>
    <row r="1098" spans="11:12">
      <c r="K1098" s="18"/>
      <c r="L1098" s="18"/>
    </row>
    <row r="1099" spans="11:12">
      <c r="K1099" s="18"/>
      <c r="L1099" s="18"/>
    </row>
    <row r="1100" spans="11:12">
      <c r="K1100" s="18"/>
      <c r="L1100" s="18"/>
    </row>
    <row r="1101" spans="11:12">
      <c r="K1101" s="18"/>
      <c r="L1101" s="18"/>
    </row>
    <row r="1102" spans="11:12">
      <c r="K1102" s="18"/>
      <c r="L1102" s="18"/>
    </row>
    <row r="1103" spans="11:12">
      <c r="K1103" s="18"/>
      <c r="L1103" s="18"/>
    </row>
    <row r="1104" spans="11:12">
      <c r="K1104" s="18"/>
      <c r="L1104" s="18"/>
    </row>
    <row r="1105" spans="11:12">
      <c r="K1105" s="18"/>
      <c r="L1105" s="18"/>
    </row>
    <row r="1106" spans="11:12">
      <c r="K1106" s="18"/>
      <c r="L1106" s="18"/>
    </row>
    <row r="1107" spans="11:12">
      <c r="K1107" s="18"/>
      <c r="L1107" s="18"/>
    </row>
    <row r="1108" spans="11:12">
      <c r="K1108" s="18"/>
      <c r="L1108" s="18"/>
    </row>
    <row r="1109" spans="11:12">
      <c r="K1109" s="18"/>
      <c r="L1109" s="18"/>
    </row>
    <row r="1110" spans="11:12">
      <c r="K1110" s="18"/>
      <c r="L1110" s="18"/>
    </row>
    <row r="1111" spans="11:12">
      <c r="K1111" s="18"/>
      <c r="L1111" s="18"/>
    </row>
    <row r="1112" spans="11:12">
      <c r="K1112" s="18"/>
      <c r="L1112" s="18"/>
    </row>
    <row r="1113" spans="11:12">
      <c r="K1113" s="18"/>
      <c r="L1113" s="18"/>
    </row>
    <row r="1114" spans="11:12">
      <c r="K1114" s="18"/>
      <c r="L1114" s="18"/>
    </row>
    <row r="1115" spans="11:12">
      <c r="K1115" s="18"/>
      <c r="L1115" s="18"/>
    </row>
    <row r="1116" spans="11:12">
      <c r="K1116" s="18"/>
      <c r="L1116" s="18"/>
    </row>
    <row r="1117" spans="11:12">
      <c r="K1117" s="18"/>
      <c r="L1117" s="18"/>
    </row>
    <row r="1118" spans="11:12">
      <c r="K1118" s="18"/>
      <c r="L1118" s="18"/>
    </row>
    <row r="1119" spans="11:12">
      <c r="K1119" s="18"/>
      <c r="L1119" s="18"/>
    </row>
    <row r="1120" spans="11:12">
      <c r="K1120" s="18"/>
      <c r="L1120" s="18"/>
    </row>
    <row r="1121" spans="11:12">
      <c r="K1121" s="18"/>
      <c r="L1121" s="18"/>
    </row>
    <row r="1122" spans="11:12">
      <c r="K1122" s="18"/>
      <c r="L1122" s="18"/>
    </row>
    <row r="1123" spans="11:12">
      <c r="K1123" s="18"/>
      <c r="L1123" s="18"/>
    </row>
    <row r="1124" spans="11:12">
      <c r="K1124" s="18"/>
      <c r="L1124" s="18"/>
    </row>
    <row r="1125" spans="11:12">
      <c r="K1125" s="18"/>
      <c r="L1125" s="18"/>
    </row>
    <row r="1126" spans="11:12">
      <c r="K1126" s="18"/>
      <c r="L1126" s="18"/>
    </row>
    <row r="1127" spans="11:12">
      <c r="K1127" s="18"/>
      <c r="L1127" s="18"/>
    </row>
    <row r="1128" spans="11:12">
      <c r="K1128" s="18"/>
      <c r="L1128" s="18"/>
    </row>
    <row r="1129" spans="11:12">
      <c r="K1129" s="18"/>
      <c r="L1129" s="18"/>
    </row>
    <row r="1130" spans="11:12">
      <c r="K1130" s="18"/>
      <c r="L1130" s="18"/>
    </row>
    <row r="1131" spans="11:12">
      <c r="K1131" s="18"/>
      <c r="L1131" s="18"/>
    </row>
    <row r="1132" spans="11:12">
      <c r="K1132" s="18"/>
      <c r="L1132" s="18"/>
    </row>
    <row r="1133" spans="11:12">
      <c r="K1133" s="18"/>
      <c r="L1133" s="18"/>
    </row>
    <row r="1134" spans="11:12">
      <c r="K1134" s="18"/>
      <c r="L1134" s="18"/>
    </row>
    <row r="1135" spans="11:12">
      <c r="K1135" s="18"/>
      <c r="L1135" s="18"/>
    </row>
    <row r="1136" spans="11:12">
      <c r="K1136" s="18"/>
      <c r="L1136" s="18"/>
    </row>
    <row r="1137" spans="11:12">
      <c r="K1137" s="18"/>
      <c r="L1137" s="18"/>
    </row>
    <row r="1138" spans="11:12">
      <c r="K1138" s="18"/>
      <c r="L1138" s="18"/>
    </row>
    <row r="1139" spans="11:12">
      <c r="K1139" s="18"/>
      <c r="L1139" s="18"/>
    </row>
    <row r="1140" spans="11:12">
      <c r="K1140" s="18"/>
      <c r="L1140" s="18"/>
    </row>
    <row r="1141" spans="11:12">
      <c r="K1141" s="18"/>
      <c r="L1141" s="18"/>
    </row>
    <row r="1142" spans="11:12">
      <c r="K1142" s="18"/>
      <c r="L1142" s="18"/>
    </row>
    <row r="1143" spans="11:12">
      <c r="K1143" s="18"/>
      <c r="L1143" s="18"/>
    </row>
    <row r="1144" spans="11:12">
      <c r="K1144" s="18"/>
      <c r="L1144" s="18"/>
    </row>
    <row r="1145" spans="11:12">
      <c r="K1145" s="18"/>
      <c r="L1145" s="18"/>
    </row>
    <row r="1146" spans="11:12">
      <c r="K1146" s="18"/>
      <c r="L1146" s="18"/>
    </row>
    <row r="1147" spans="11:12">
      <c r="K1147" s="18"/>
      <c r="L1147" s="18"/>
    </row>
    <row r="1148" spans="11:12">
      <c r="K1148" s="18"/>
      <c r="L1148" s="18"/>
    </row>
    <row r="1149" spans="11:12">
      <c r="K1149" s="18"/>
      <c r="L1149" s="18"/>
    </row>
    <row r="1150" spans="11:12">
      <c r="K1150" s="18"/>
      <c r="L1150" s="18"/>
    </row>
    <row r="1151" spans="11:12">
      <c r="K1151" s="18"/>
      <c r="L1151" s="18"/>
    </row>
    <row r="1152" spans="11:12">
      <c r="K1152" s="18"/>
      <c r="L1152" s="18"/>
    </row>
    <row r="1153" spans="11:12">
      <c r="K1153" s="18"/>
      <c r="L1153" s="18"/>
    </row>
    <row r="1154" spans="11:12">
      <c r="K1154" s="18"/>
      <c r="L1154" s="18"/>
    </row>
    <row r="1155" spans="11:12">
      <c r="K1155" s="18"/>
      <c r="L1155" s="18"/>
    </row>
    <row r="1156" spans="11:12">
      <c r="K1156" s="18"/>
      <c r="L1156" s="18"/>
    </row>
    <row r="1157" spans="11:12">
      <c r="K1157" s="18"/>
      <c r="L1157" s="18"/>
    </row>
    <row r="1158" spans="11:12">
      <c r="K1158" s="18"/>
      <c r="L1158" s="18"/>
    </row>
    <row r="1159" spans="11:12">
      <c r="K1159" s="18"/>
      <c r="L1159" s="18"/>
    </row>
    <row r="1160" spans="11:12">
      <c r="K1160" s="18"/>
      <c r="L1160" s="18"/>
    </row>
    <row r="1161" spans="11:12">
      <c r="K1161" s="18"/>
      <c r="L1161" s="18"/>
    </row>
    <row r="1162" spans="11:12">
      <c r="K1162" s="18"/>
      <c r="L1162" s="18"/>
    </row>
    <row r="1163" spans="11:12">
      <c r="K1163" s="18"/>
      <c r="L1163" s="18"/>
    </row>
    <row r="1164" spans="11:12">
      <c r="K1164" s="18"/>
      <c r="L1164" s="18"/>
    </row>
    <row r="1165" spans="11:12">
      <c r="K1165" s="18"/>
      <c r="L1165" s="18"/>
    </row>
    <row r="1166" spans="11:12">
      <c r="K1166" s="18"/>
      <c r="L1166" s="18"/>
    </row>
    <row r="1167" spans="11:12">
      <c r="K1167" s="18"/>
      <c r="L1167" s="18"/>
    </row>
    <row r="1168" spans="11:12">
      <c r="K1168" s="18"/>
      <c r="L1168" s="18"/>
    </row>
    <row r="1169" spans="11:12">
      <c r="K1169" s="18"/>
      <c r="L1169" s="18"/>
    </row>
    <row r="1170" spans="11:12">
      <c r="K1170" s="18"/>
      <c r="L1170" s="18"/>
    </row>
    <row r="1171" spans="11:12">
      <c r="K1171" s="18"/>
      <c r="L1171" s="18"/>
    </row>
    <row r="1172" spans="11:12">
      <c r="K1172" s="18"/>
      <c r="L1172" s="18"/>
    </row>
    <row r="1173" spans="11:12">
      <c r="K1173" s="18"/>
      <c r="L1173" s="18"/>
    </row>
    <row r="1174" spans="11:12">
      <c r="K1174" s="18"/>
      <c r="L1174" s="18"/>
    </row>
    <row r="1175" spans="11:12">
      <c r="K1175" s="18"/>
      <c r="L1175" s="18"/>
    </row>
    <row r="1176" spans="11:12">
      <c r="K1176" s="18"/>
      <c r="L1176" s="18"/>
    </row>
    <row r="1177" spans="11:12">
      <c r="K1177" s="18"/>
      <c r="L1177" s="18"/>
    </row>
    <row r="1178" spans="11:12">
      <c r="K1178" s="18"/>
      <c r="L1178" s="18"/>
    </row>
    <row r="1179" spans="11:12">
      <c r="K1179" s="18"/>
      <c r="L1179" s="18"/>
    </row>
    <row r="1180" spans="11:12">
      <c r="K1180" s="18"/>
      <c r="L1180" s="18"/>
    </row>
    <row r="1181" spans="11:12">
      <c r="K1181" s="18"/>
      <c r="L1181" s="18"/>
    </row>
    <row r="1182" spans="11:12">
      <c r="K1182" s="18"/>
      <c r="L1182" s="18"/>
    </row>
    <row r="1183" spans="11:12">
      <c r="K1183" s="18"/>
      <c r="L1183" s="18"/>
    </row>
    <row r="1184" spans="11:12">
      <c r="K1184" s="18"/>
      <c r="L1184" s="18"/>
    </row>
    <row r="1185" spans="11:12">
      <c r="K1185" s="18"/>
      <c r="L1185" s="18"/>
    </row>
    <row r="1186" spans="11:12">
      <c r="K1186" s="18"/>
      <c r="L1186" s="18"/>
    </row>
    <row r="1187" spans="11:12">
      <c r="K1187" s="18"/>
      <c r="L1187" s="18"/>
    </row>
    <row r="1188" spans="11:12">
      <c r="K1188" s="18"/>
      <c r="L1188" s="18"/>
    </row>
    <row r="1189" spans="11:12">
      <c r="K1189" s="18"/>
      <c r="L1189" s="18"/>
    </row>
    <row r="1190" spans="11:12">
      <c r="K1190" s="18"/>
      <c r="L1190" s="18"/>
    </row>
    <row r="1191" spans="11:12">
      <c r="K1191" s="18"/>
      <c r="L1191" s="18"/>
    </row>
    <row r="1192" spans="11:12">
      <c r="K1192" s="18"/>
      <c r="L1192" s="18"/>
    </row>
    <row r="1193" spans="11:12">
      <c r="K1193" s="18"/>
      <c r="L1193" s="18"/>
    </row>
    <row r="1194" spans="11:12">
      <c r="K1194" s="18"/>
      <c r="L1194" s="18"/>
    </row>
    <row r="1195" spans="11:12">
      <c r="K1195" s="18"/>
      <c r="L1195" s="18"/>
    </row>
    <row r="1196" spans="11:12">
      <c r="K1196" s="18"/>
      <c r="L1196" s="18"/>
    </row>
    <row r="1197" spans="11:12">
      <c r="K1197" s="18"/>
      <c r="L1197" s="18"/>
    </row>
    <row r="1198" spans="11:12">
      <c r="K1198" s="18"/>
      <c r="L1198" s="18"/>
    </row>
    <row r="1199" spans="11:12">
      <c r="K1199" s="18"/>
      <c r="L1199" s="18"/>
    </row>
    <row r="1200" spans="11:12">
      <c r="K1200" s="18"/>
      <c r="L1200" s="18"/>
    </row>
    <row r="1201" spans="11:12">
      <c r="K1201" s="18"/>
      <c r="L1201" s="18"/>
    </row>
    <row r="1202" spans="11:12">
      <c r="K1202" s="18"/>
      <c r="L1202" s="18"/>
    </row>
    <row r="1203" spans="11:12">
      <c r="K1203" s="18"/>
      <c r="L1203" s="18"/>
    </row>
    <row r="1204" spans="11:12">
      <c r="K1204" s="18"/>
      <c r="L1204" s="18"/>
    </row>
    <row r="1205" spans="11:12">
      <c r="K1205" s="18"/>
      <c r="L1205" s="18"/>
    </row>
    <row r="1206" spans="11:12">
      <c r="K1206" s="18"/>
      <c r="L1206" s="18"/>
    </row>
    <row r="1207" spans="11:12">
      <c r="K1207" s="18"/>
      <c r="L1207" s="18"/>
    </row>
    <row r="1208" spans="11:12">
      <c r="K1208" s="18"/>
      <c r="L1208" s="18"/>
    </row>
    <row r="1209" spans="11:12">
      <c r="K1209" s="18"/>
      <c r="L1209" s="18"/>
    </row>
    <row r="1210" spans="11:12">
      <c r="K1210" s="18"/>
      <c r="L1210" s="18"/>
    </row>
    <row r="1211" spans="11:12">
      <c r="K1211" s="18"/>
      <c r="L1211" s="18"/>
    </row>
    <row r="1212" spans="11:12">
      <c r="K1212" s="18"/>
      <c r="L1212" s="18"/>
    </row>
    <row r="1213" spans="11:12">
      <c r="K1213" s="18"/>
      <c r="L1213" s="18"/>
    </row>
    <row r="1214" spans="11:12">
      <c r="K1214" s="18"/>
      <c r="L1214" s="18"/>
    </row>
    <row r="1215" spans="11:12">
      <c r="K1215" s="18"/>
      <c r="L1215" s="18"/>
    </row>
    <row r="1216" spans="11:12">
      <c r="K1216" s="18"/>
      <c r="L1216" s="18"/>
    </row>
    <row r="1217" spans="11:12">
      <c r="K1217" s="18"/>
      <c r="L1217" s="18"/>
    </row>
    <row r="1218" spans="11:12">
      <c r="K1218" s="18"/>
      <c r="L1218" s="18"/>
    </row>
    <row r="1219" spans="11:12">
      <c r="K1219" s="18"/>
      <c r="L1219" s="18"/>
    </row>
    <row r="1220" spans="11:12">
      <c r="K1220" s="18"/>
      <c r="L1220" s="18"/>
    </row>
    <row r="1221" spans="11:12">
      <c r="K1221" s="18"/>
      <c r="L1221" s="18"/>
    </row>
    <row r="1222" spans="11:12">
      <c r="K1222" s="18"/>
      <c r="L1222" s="18"/>
    </row>
    <row r="1223" spans="11:12">
      <c r="K1223" s="18"/>
      <c r="L1223" s="18"/>
    </row>
    <row r="1224" spans="11:12">
      <c r="K1224" s="18"/>
      <c r="L1224" s="18"/>
    </row>
    <row r="1225" spans="11:12">
      <c r="K1225" s="18"/>
      <c r="L1225" s="18"/>
    </row>
    <row r="1226" spans="11:12">
      <c r="K1226" s="18"/>
      <c r="L1226" s="18"/>
    </row>
    <row r="1227" spans="11:12">
      <c r="K1227" s="18"/>
      <c r="L1227" s="18"/>
    </row>
    <row r="1228" spans="11:12">
      <c r="K1228" s="18"/>
      <c r="L1228" s="18"/>
    </row>
    <row r="1229" spans="11:12">
      <c r="K1229" s="18"/>
      <c r="L1229" s="18"/>
    </row>
    <row r="1230" spans="11:12">
      <c r="K1230" s="18"/>
      <c r="L1230" s="18"/>
    </row>
    <row r="1231" spans="11:12">
      <c r="K1231" s="18"/>
      <c r="L1231" s="18"/>
    </row>
    <row r="1232" spans="11:12">
      <c r="K1232" s="18"/>
      <c r="L1232" s="18"/>
    </row>
    <row r="1233" spans="11:12">
      <c r="K1233" s="18"/>
      <c r="L1233" s="18"/>
    </row>
    <row r="1234" spans="11:12">
      <c r="K1234" s="18"/>
      <c r="L1234" s="18"/>
    </row>
    <row r="1235" spans="11:12">
      <c r="K1235" s="18"/>
      <c r="L1235" s="18"/>
    </row>
    <row r="1236" spans="11:12">
      <c r="K1236" s="18"/>
      <c r="L1236" s="18"/>
    </row>
    <row r="1237" spans="11:12">
      <c r="K1237" s="18"/>
      <c r="L1237" s="18"/>
    </row>
    <row r="1238" spans="11:12">
      <c r="K1238" s="18"/>
      <c r="L1238" s="18"/>
    </row>
    <row r="1239" spans="11:12">
      <c r="K1239" s="18"/>
      <c r="L1239" s="18"/>
    </row>
    <row r="1240" spans="11:12">
      <c r="K1240" s="18"/>
      <c r="L1240" s="18"/>
    </row>
    <row r="1241" spans="11:12">
      <c r="K1241" s="18"/>
      <c r="L1241" s="18"/>
    </row>
    <row r="1242" spans="11:12">
      <c r="K1242" s="18"/>
      <c r="L1242" s="18"/>
    </row>
    <row r="1243" spans="11:12">
      <c r="K1243" s="18"/>
      <c r="L1243" s="18"/>
    </row>
    <row r="1244" spans="11:12">
      <c r="K1244" s="18"/>
      <c r="L1244" s="18"/>
    </row>
    <row r="1245" spans="11:12">
      <c r="K1245" s="18"/>
      <c r="L1245" s="18"/>
    </row>
    <row r="1246" spans="11:12">
      <c r="K1246" s="18"/>
      <c r="L1246" s="18"/>
    </row>
    <row r="1247" spans="11:12">
      <c r="K1247" s="18"/>
      <c r="L1247" s="18"/>
    </row>
    <row r="1248" spans="11:12">
      <c r="K1248" s="18"/>
      <c r="L1248" s="18"/>
    </row>
    <row r="1249" spans="11:12">
      <c r="K1249" s="18"/>
      <c r="L1249" s="18"/>
    </row>
    <row r="1250" spans="11:12">
      <c r="K1250" s="18"/>
      <c r="L1250" s="18"/>
    </row>
    <row r="1251" spans="11:12">
      <c r="K1251" s="18"/>
      <c r="L1251" s="18"/>
    </row>
    <row r="1252" spans="11:12">
      <c r="K1252" s="18"/>
      <c r="L1252" s="18"/>
    </row>
    <row r="1253" spans="11:12">
      <c r="K1253" s="18"/>
      <c r="L1253" s="18"/>
    </row>
    <row r="1254" spans="11:12">
      <c r="K1254" s="18"/>
      <c r="L1254" s="18"/>
    </row>
    <row r="1255" spans="11:12">
      <c r="K1255" s="18"/>
      <c r="L1255" s="18"/>
    </row>
    <row r="1256" spans="11:12">
      <c r="K1256" s="18"/>
      <c r="L1256" s="18"/>
    </row>
    <row r="1257" spans="11:12">
      <c r="K1257" s="18"/>
      <c r="L1257" s="18"/>
    </row>
    <row r="1258" spans="11:12">
      <c r="K1258" s="18"/>
      <c r="L1258" s="18"/>
    </row>
    <row r="1259" spans="11:12">
      <c r="K1259" s="18"/>
      <c r="L1259" s="18"/>
    </row>
    <row r="1260" spans="11:12">
      <c r="K1260" s="18"/>
      <c r="L1260" s="18"/>
    </row>
    <row r="1261" spans="11:12">
      <c r="K1261" s="18"/>
      <c r="L1261" s="18"/>
    </row>
    <row r="1262" spans="11:12">
      <c r="K1262" s="18"/>
      <c r="L1262" s="18"/>
    </row>
    <row r="1263" spans="11:12">
      <c r="K1263" s="18"/>
      <c r="L1263" s="18"/>
    </row>
    <row r="1264" spans="11:12">
      <c r="K1264" s="18"/>
      <c r="L1264" s="18"/>
    </row>
    <row r="1265" spans="11:12">
      <c r="K1265" s="18"/>
      <c r="L1265" s="18"/>
    </row>
    <row r="1266" spans="11:12">
      <c r="K1266" s="18"/>
      <c r="L1266" s="18"/>
    </row>
    <row r="1267" spans="11:12">
      <c r="K1267" s="18"/>
      <c r="L1267" s="18"/>
    </row>
    <row r="1268" spans="11:12">
      <c r="K1268" s="18"/>
      <c r="L1268" s="18"/>
    </row>
    <row r="1269" spans="11:12">
      <c r="K1269" s="18"/>
      <c r="L1269" s="18"/>
    </row>
    <row r="1270" spans="11:12">
      <c r="K1270" s="18"/>
      <c r="L1270" s="18"/>
    </row>
    <row r="1271" spans="11:12">
      <c r="K1271" s="18"/>
      <c r="L1271" s="18"/>
    </row>
    <row r="1272" spans="11:12">
      <c r="K1272" s="18"/>
      <c r="L1272" s="18"/>
    </row>
    <row r="1273" spans="11:12">
      <c r="K1273" s="18"/>
      <c r="L1273" s="18"/>
    </row>
    <row r="1274" spans="11:12">
      <c r="K1274" s="18"/>
      <c r="L1274" s="18"/>
    </row>
    <row r="1275" spans="11:12">
      <c r="K1275" s="18"/>
      <c r="L1275" s="18"/>
    </row>
    <row r="1276" spans="11:12">
      <c r="K1276" s="18"/>
      <c r="L1276" s="18"/>
    </row>
    <row r="1277" spans="11:12">
      <c r="K1277" s="18"/>
      <c r="L1277" s="18"/>
    </row>
    <row r="1278" spans="11:12">
      <c r="K1278" s="18"/>
      <c r="L1278" s="18"/>
    </row>
    <row r="1279" spans="11:12">
      <c r="K1279" s="18"/>
      <c r="L1279" s="18"/>
    </row>
    <row r="1280" spans="11:12">
      <c r="K1280" s="18"/>
      <c r="L1280" s="18"/>
    </row>
    <row r="1281" spans="11:12">
      <c r="K1281" s="18"/>
      <c r="L1281" s="18"/>
    </row>
    <row r="1282" spans="11:12">
      <c r="K1282" s="18"/>
      <c r="L1282" s="18"/>
    </row>
    <row r="1283" spans="11:12">
      <c r="K1283" s="18"/>
      <c r="L1283" s="18"/>
    </row>
    <row r="1284" spans="11:12">
      <c r="K1284" s="18"/>
      <c r="L1284" s="18"/>
    </row>
    <row r="1285" spans="11:12">
      <c r="K1285" s="18"/>
      <c r="L1285" s="18"/>
    </row>
    <row r="1286" spans="11:12">
      <c r="K1286" s="18"/>
      <c r="L1286" s="18"/>
    </row>
    <row r="1287" spans="11:12">
      <c r="K1287" s="18"/>
      <c r="L1287" s="18"/>
    </row>
    <row r="1288" spans="11:12">
      <c r="K1288" s="18"/>
      <c r="L1288" s="18"/>
    </row>
    <row r="1289" spans="11:12">
      <c r="K1289" s="18"/>
      <c r="L1289" s="18"/>
    </row>
    <row r="1290" spans="11:12">
      <c r="K1290" s="18"/>
      <c r="L1290" s="18"/>
    </row>
    <row r="1291" spans="11:12">
      <c r="K1291" s="18"/>
      <c r="L1291" s="18"/>
    </row>
    <row r="1292" spans="11:12">
      <c r="K1292" s="18"/>
      <c r="L1292" s="18"/>
    </row>
    <row r="1293" spans="11:12">
      <c r="K1293" s="18"/>
      <c r="L1293" s="18"/>
    </row>
    <row r="1294" spans="11:12">
      <c r="K1294" s="18"/>
      <c r="L1294" s="18"/>
    </row>
    <row r="1295" spans="11:12">
      <c r="K1295" s="18"/>
      <c r="L1295" s="18"/>
    </row>
    <row r="1296" spans="11:12">
      <c r="K1296" s="18"/>
      <c r="L1296" s="18"/>
    </row>
    <row r="1297" spans="11:12">
      <c r="K1297" s="18"/>
      <c r="L1297" s="18"/>
    </row>
    <row r="1298" spans="11:12">
      <c r="K1298" s="18"/>
      <c r="L1298" s="18"/>
    </row>
    <row r="1299" spans="11:12">
      <c r="K1299" s="18"/>
      <c r="L1299" s="18"/>
    </row>
    <row r="1300" spans="11:12">
      <c r="K1300" s="18"/>
      <c r="L1300" s="18"/>
    </row>
    <row r="1301" spans="11:12">
      <c r="K1301" s="18"/>
      <c r="L1301" s="18"/>
    </row>
    <row r="1302" spans="11:12">
      <c r="K1302" s="18"/>
      <c r="L1302" s="18"/>
    </row>
    <row r="1303" spans="11:12">
      <c r="K1303" s="18"/>
      <c r="L1303" s="18"/>
    </row>
    <row r="1304" spans="11:12">
      <c r="K1304" s="18"/>
      <c r="L1304" s="18"/>
    </row>
    <row r="1305" spans="11:12">
      <c r="K1305" s="18"/>
      <c r="L1305" s="18"/>
    </row>
    <row r="1306" spans="11:12">
      <c r="K1306" s="18"/>
      <c r="L1306" s="18"/>
    </row>
    <row r="1307" spans="11:12">
      <c r="K1307" s="18"/>
      <c r="L1307" s="18"/>
    </row>
    <row r="1308" spans="11:12">
      <c r="K1308" s="18"/>
      <c r="L1308" s="18"/>
    </row>
    <row r="1309" spans="11:12">
      <c r="K1309" s="18"/>
      <c r="L1309" s="18"/>
    </row>
    <row r="1310" spans="11:12">
      <c r="K1310" s="18"/>
      <c r="L1310" s="18"/>
    </row>
    <row r="1311" spans="11:12">
      <c r="K1311" s="18"/>
      <c r="L1311" s="18"/>
    </row>
    <row r="1312" spans="11:12">
      <c r="K1312" s="18"/>
      <c r="L1312" s="18"/>
    </row>
    <row r="1313" spans="11:12">
      <c r="K1313" s="18"/>
      <c r="L1313" s="18"/>
    </row>
    <row r="1314" spans="11:12">
      <c r="K1314" s="18"/>
      <c r="L1314" s="18"/>
    </row>
    <row r="1315" spans="11:12">
      <c r="K1315" s="18"/>
      <c r="L1315" s="18"/>
    </row>
    <row r="1316" spans="11:12">
      <c r="K1316" s="18"/>
      <c r="L1316" s="18"/>
    </row>
    <row r="1317" spans="11:12">
      <c r="K1317" s="18"/>
      <c r="L1317" s="18"/>
    </row>
    <row r="1318" spans="11:12">
      <c r="K1318" s="18"/>
      <c r="L1318" s="18"/>
    </row>
    <row r="1319" spans="11:12">
      <c r="K1319" s="18"/>
      <c r="L1319" s="18"/>
    </row>
    <row r="1320" spans="11:12">
      <c r="K1320" s="18"/>
      <c r="L1320" s="18"/>
    </row>
    <row r="1321" spans="11:12">
      <c r="K1321" s="18"/>
      <c r="L1321" s="18"/>
    </row>
    <row r="1322" spans="11:12">
      <c r="K1322" s="18"/>
      <c r="L1322" s="18"/>
    </row>
    <row r="1323" spans="11:12">
      <c r="K1323" s="18"/>
      <c r="L1323" s="18"/>
    </row>
    <row r="1324" spans="11:12">
      <c r="K1324" s="18"/>
      <c r="L1324" s="18"/>
    </row>
    <row r="1325" spans="11:12">
      <c r="K1325" s="18"/>
      <c r="L1325" s="18"/>
    </row>
    <row r="1326" spans="11:12">
      <c r="K1326" s="18"/>
      <c r="L1326" s="18"/>
    </row>
    <row r="1327" spans="11:12">
      <c r="K1327" s="18"/>
      <c r="L1327" s="18"/>
    </row>
    <row r="1328" spans="11:12">
      <c r="K1328" s="18"/>
      <c r="L1328" s="18"/>
    </row>
    <row r="1329" spans="11:12">
      <c r="K1329" s="18"/>
      <c r="L1329" s="18"/>
    </row>
    <row r="1330" spans="11:12">
      <c r="K1330" s="18"/>
      <c r="L1330" s="18"/>
    </row>
    <row r="1331" spans="11:12">
      <c r="K1331" s="18"/>
      <c r="L1331" s="18"/>
    </row>
    <row r="1332" spans="11:12">
      <c r="K1332" s="18"/>
      <c r="L1332" s="18"/>
    </row>
    <row r="1333" spans="11:12">
      <c r="K1333" s="18"/>
      <c r="L1333" s="18"/>
    </row>
    <row r="1334" spans="11:12">
      <c r="K1334" s="18"/>
      <c r="L1334" s="18"/>
    </row>
    <row r="1335" spans="11:12">
      <c r="K1335" s="18"/>
      <c r="L1335" s="18"/>
    </row>
    <row r="1336" spans="11:12">
      <c r="K1336" s="18"/>
      <c r="L1336" s="18"/>
    </row>
    <row r="1337" spans="11:12">
      <c r="K1337" s="18"/>
      <c r="L1337" s="18"/>
    </row>
    <row r="1338" spans="11:12">
      <c r="K1338" s="18"/>
      <c r="L1338" s="18"/>
    </row>
    <row r="1339" spans="11:12">
      <c r="K1339" s="18"/>
      <c r="L1339" s="18"/>
    </row>
    <row r="1340" spans="11:12">
      <c r="K1340" s="18"/>
      <c r="L1340" s="18"/>
    </row>
    <row r="1341" spans="11:12">
      <c r="K1341" s="18"/>
      <c r="L1341" s="18"/>
    </row>
    <row r="1342" spans="11:12">
      <c r="K1342" s="18"/>
      <c r="L1342" s="18"/>
    </row>
    <row r="1343" spans="11:12">
      <c r="K1343" s="18"/>
      <c r="L1343" s="18"/>
    </row>
    <row r="1344" spans="11:12">
      <c r="K1344" s="18"/>
      <c r="L1344" s="18"/>
    </row>
    <row r="1345" spans="11:12">
      <c r="K1345" s="18"/>
      <c r="L1345" s="18"/>
    </row>
    <row r="1346" spans="11:12">
      <c r="K1346" s="18"/>
      <c r="L1346" s="18"/>
    </row>
    <row r="1347" spans="11:12">
      <c r="K1347" s="18"/>
      <c r="L1347" s="18"/>
    </row>
    <row r="1348" spans="11:12">
      <c r="K1348" s="18"/>
      <c r="L1348" s="18"/>
    </row>
    <row r="1349" spans="11:12">
      <c r="K1349" s="18"/>
      <c r="L1349" s="18"/>
    </row>
    <row r="1350" spans="11:12">
      <c r="K1350" s="18"/>
      <c r="L1350" s="18"/>
    </row>
    <row r="1351" spans="11:12">
      <c r="K1351" s="18"/>
      <c r="L1351" s="18"/>
    </row>
    <row r="1352" spans="11:12">
      <c r="K1352" s="18"/>
      <c r="L1352" s="18"/>
    </row>
    <row r="1353" spans="11:12">
      <c r="K1353" s="18"/>
      <c r="L1353" s="18"/>
    </row>
    <row r="1354" spans="11:12">
      <c r="K1354" s="18"/>
      <c r="L1354" s="18"/>
    </row>
    <row r="1355" spans="11:12">
      <c r="K1355" s="18"/>
      <c r="L1355" s="18"/>
    </row>
    <row r="1356" spans="11:12">
      <c r="K1356" s="18"/>
      <c r="L1356" s="18"/>
    </row>
    <row r="1357" spans="11:12">
      <c r="K1357" s="18"/>
      <c r="L1357" s="18"/>
    </row>
    <row r="1358" spans="11:12">
      <c r="K1358" s="18"/>
      <c r="L1358" s="18"/>
    </row>
    <row r="1359" spans="11:12">
      <c r="K1359" s="18"/>
      <c r="L1359" s="18"/>
    </row>
    <row r="1360" spans="11:12">
      <c r="K1360" s="18"/>
      <c r="L1360" s="18"/>
    </row>
    <row r="1361" spans="11:12">
      <c r="K1361" s="18"/>
      <c r="L1361" s="18"/>
    </row>
    <row r="1362" spans="11:12">
      <c r="K1362" s="18"/>
      <c r="L1362" s="18"/>
    </row>
    <row r="1363" spans="11:12">
      <c r="K1363" s="18"/>
      <c r="L1363" s="18"/>
    </row>
    <row r="1364" spans="11:12">
      <c r="K1364" s="18"/>
      <c r="L1364" s="18"/>
    </row>
    <row r="1365" spans="11:12">
      <c r="K1365" s="18"/>
      <c r="L1365" s="18"/>
    </row>
    <row r="1366" spans="11:12">
      <c r="K1366" s="18"/>
      <c r="L1366" s="18"/>
    </row>
    <row r="1367" spans="11:12">
      <c r="K1367" s="18"/>
      <c r="L1367" s="18"/>
    </row>
    <row r="1368" spans="11:12">
      <c r="K1368" s="18"/>
      <c r="L1368" s="18"/>
    </row>
    <row r="1369" spans="11:12">
      <c r="K1369" s="18"/>
      <c r="L1369" s="18"/>
    </row>
    <row r="1370" spans="11:12">
      <c r="K1370" s="18"/>
      <c r="L1370" s="18"/>
    </row>
    <row r="1371" spans="11:12">
      <c r="K1371" s="18"/>
      <c r="L1371" s="18"/>
    </row>
    <row r="1372" spans="11:12">
      <c r="K1372" s="18"/>
      <c r="L1372" s="18"/>
    </row>
    <row r="1373" spans="11:12">
      <c r="K1373" s="18"/>
      <c r="L1373" s="18"/>
    </row>
    <row r="1374" spans="11:12">
      <c r="K1374" s="18"/>
      <c r="L1374" s="18"/>
    </row>
    <row r="1375" spans="11:12">
      <c r="K1375" s="18"/>
      <c r="L1375" s="18"/>
    </row>
    <row r="1376" spans="11:12">
      <c r="K1376" s="18"/>
      <c r="L1376" s="18"/>
    </row>
    <row r="1377" spans="11:12">
      <c r="K1377" s="18"/>
      <c r="L1377" s="18"/>
    </row>
    <row r="1378" spans="11:12">
      <c r="K1378" s="18"/>
      <c r="L1378" s="18"/>
    </row>
    <row r="1379" spans="11:12">
      <c r="K1379" s="18"/>
      <c r="L1379" s="18"/>
    </row>
    <row r="1380" spans="11:12">
      <c r="K1380" s="18"/>
      <c r="L1380" s="18"/>
    </row>
    <row r="1381" spans="11:12">
      <c r="K1381" s="18"/>
      <c r="L1381" s="18"/>
    </row>
    <row r="1382" spans="11:12">
      <c r="K1382" s="18"/>
      <c r="L1382" s="18"/>
    </row>
    <row r="1383" spans="11:12">
      <c r="K1383" s="18"/>
      <c r="L1383" s="18"/>
    </row>
    <row r="1384" spans="11:12">
      <c r="K1384" s="18"/>
      <c r="L1384" s="18"/>
    </row>
    <row r="1385" spans="11:12">
      <c r="K1385" s="18"/>
      <c r="L1385" s="18"/>
    </row>
    <row r="1386" spans="11:12">
      <c r="K1386" s="18"/>
      <c r="L1386" s="18"/>
    </row>
    <row r="1387" spans="11:12">
      <c r="K1387" s="18"/>
      <c r="L1387" s="18"/>
    </row>
    <row r="1388" spans="11:12">
      <c r="K1388" s="18"/>
      <c r="L1388" s="18"/>
    </row>
    <row r="1389" spans="11:12">
      <c r="K1389" s="18"/>
      <c r="L1389" s="18"/>
    </row>
    <row r="1390" spans="11:12">
      <c r="K1390" s="18"/>
      <c r="L1390" s="18"/>
    </row>
    <row r="1391" spans="11:12">
      <c r="K1391" s="18"/>
      <c r="L1391" s="18"/>
    </row>
    <row r="1392" spans="11:12">
      <c r="K1392" s="18"/>
      <c r="L1392" s="18"/>
    </row>
    <row r="1393" spans="11:12">
      <c r="K1393" s="18"/>
      <c r="L1393" s="18"/>
    </row>
    <row r="1394" spans="11:12">
      <c r="K1394" s="18"/>
      <c r="L1394" s="18"/>
    </row>
    <row r="1395" spans="11:12">
      <c r="K1395" s="18"/>
      <c r="L1395" s="18"/>
    </row>
    <row r="1396" spans="11:12">
      <c r="K1396" s="18"/>
      <c r="L1396" s="18"/>
    </row>
    <row r="1397" spans="11:12">
      <c r="K1397" s="18"/>
      <c r="L1397" s="18"/>
    </row>
    <row r="1398" spans="11:12">
      <c r="K1398" s="18"/>
      <c r="L1398" s="18"/>
    </row>
    <row r="1399" spans="11:12">
      <c r="K1399" s="18"/>
      <c r="L1399" s="18"/>
    </row>
    <row r="1400" spans="11:12">
      <c r="K1400" s="18"/>
      <c r="L1400" s="18"/>
    </row>
    <row r="1401" spans="11:12">
      <c r="K1401" s="18"/>
      <c r="L1401" s="18"/>
    </row>
    <row r="1402" spans="11:12">
      <c r="K1402" s="18"/>
      <c r="L1402" s="18"/>
    </row>
    <row r="1403" spans="11:12">
      <c r="K1403" s="18"/>
      <c r="L1403" s="18"/>
    </row>
    <row r="1404" spans="11:12">
      <c r="K1404" s="18"/>
      <c r="L1404" s="18"/>
    </row>
    <row r="1405" spans="11:12">
      <c r="K1405" s="18"/>
      <c r="L1405" s="18"/>
    </row>
    <row r="1406" spans="11:12">
      <c r="K1406" s="18"/>
      <c r="L1406" s="18"/>
    </row>
    <row r="1407" spans="11:12">
      <c r="K1407" s="18"/>
      <c r="L1407" s="18"/>
    </row>
    <row r="1408" spans="11:12">
      <c r="K1408" s="18"/>
      <c r="L1408" s="18"/>
    </row>
    <row r="1409" spans="11:12">
      <c r="K1409" s="18"/>
      <c r="L1409" s="18"/>
    </row>
    <row r="1410" spans="11:12">
      <c r="K1410" s="18"/>
      <c r="L1410" s="18"/>
    </row>
    <row r="1411" spans="11:12">
      <c r="K1411" s="18"/>
      <c r="L1411" s="18"/>
    </row>
    <row r="1412" spans="11:12">
      <c r="K1412" s="18"/>
      <c r="L1412" s="18"/>
    </row>
    <row r="1413" spans="11:12">
      <c r="K1413" s="18"/>
      <c r="L1413" s="18"/>
    </row>
    <row r="1414" spans="11:12">
      <c r="K1414" s="18"/>
      <c r="L1414" s="18"/>
    </row>
    <row r="1415" spans="11:12">
      <c r="K1415" s="18"/>
      <c r="L1415" s="18"/>
    </row>
    <row r="1416" spans="11:12">
      <c r="K1416" s="18"/>
      <c r="L1416" s="18"/>
    </row>
    <row r="1417" spans="11:12">
      <c r="K1417" s="18"/>
      <c r="L1417" s="18"/>
    </row>
    <row r="1418" spans="11:12">
      <c r="K1418" s="18"/>
      <c r="L1418" s="18"/>
    </row>
    <row r="1419" spans="11:12">
      <c r="K1419" s="18"/>
      <c r="L1419" s="18"/>
    </row>
    <row r="1420" spans="11:12">
      <c r="K1420" s="18"/>
      <c r="L1420" s="18"/>
    </row>
    <row r="1421" spans="11:12">
      <c r="K1421" s="18"/>
      <c r="L1421" s="18"/>
    </row>
    <row r="1422" spans="11:12">
      <c r="K1422" s="18"/>
      <c r="L1422" s="18"/>
    </row>
    <row r="1423" spans="11:12">
      <c r="K1423" s="18"/>
      <c r="L1423" s="18"/>
    </row>
    <row r="1424" spans="11:12">
      <c r="K1424" s="18"/>
      <c r="L1424" s="18"/>
    </row>
    <row r="1425" spans="11:12">
      <c r="K1425" s="18"/>
      <c r="L1425" s="18"/>
    </row>
    <row r="1426" spans="11:12">
      <c r="K1426" s="18"/>
      <c r="L1426" s="18"/>
    </row>
    <row r="1427" spans="11:12">
      <c r="K1427" s="18"/>
      <c r="L1427" s="18"/>
    </row>
    <row r="1428" spans="11:12">
      <c r="K1428" s="18"/>
      <c r="L1428" s="18"/>
    </row>
    <row r="1429" spans="11:12">
      <c r="K1429" s="18"/>
      <c r="L1429" s="18"/>
    </row>
    <row r="1430" spans="11:12">
      <c r="K1430" s="18"/>
      <c r="L1430" s="18"/>
    </row>
    <row r="1431" spans="11:12">
      <c r="K1431" s="18"/>
      <c r="L1431" s="18"/>
    </row>
    <row r="1432" spans="11:12">
      <c r="K1432" s="18"/>
      <c r="L1432" s="18"/>
    </row>
    <row r="1433" spans="11:12">
      <c r="K1433" s="18"/>
      <c r="L1433" s="18"/>
    </row>
    <row r="1434" spans="11:12">
      <c r="K1434" s="18"/>
      <c r="L1434" s="18"/>
    </row>
    <row r="1435" spans="11:12">
      <c r="K1435" s="18"/>
      <c r="L1435" s="18"/>
    </row>
    <row r="1436" spans="11:12">
      <c r="K1436" s="18"/>
      <c r="L1436" s="18"/>
    </row>
    <row r="1437" spans="11:12">
      <c r="K1437" s="18"/>
      <c r="L1437" s="18"/>
    </row>
    <row r="1438" spans="11:12">
      <c r="K1438" s="18"/>
      <c r="L1438" s="18"/>
    </row>
    <row r="1439" spans="11:12">
      <c r="K1439" s="18"/>
      <c r="L1439" s="18"/>
    </row>
    <row r="1440" spans="11:12">
      <c r="K1440" s="18"/>
      <c r="L1440" s="18"/>
    </row>
    <row r="1441" spans="11:12">
      <c r="K1441" s="18"/>
      <c r="L1441" s="18"/>
    </row>
    <row r="1442" spans="11:12">
      <c r="K1442" s="18"/>
      <c r="L1442" s="18"/>
    </row>
    <row r="1443" spans="11:12">
      <c r="K1443" s="18"/>
      <c r="L1443" s="18"/>
    </row>
    <row r="1444" spans="11:12">
      <c r="K1444" s="18"/>
      <c r="L1444" s="18"/>
    </row>
    <row r="1445" spans="11:12">
      <c r="K1445" s="18"/>
      <c r="L1445" s="18"/>
    </row>
    <row r="1446" spans="11:12">
      <c r="K1446" s="18"/>
      <c r="L1446" s="18"/>
    </row>
    <row r="1447" spans="11:12">
      <c r="K1447" s="18"/>
      <c r="L1447" s="18"/>
    </row>
    <row r="1448" spans="11:12">
      <c r="K1448" s="18"/>
      <c r="L1448" s="18"/>
    </row>
    <row r="1449" spans="11:12">
      <c r="K1449" s="18"/>
      <c r="L1449" s="18"/>
    </row>
    <row r="1450" spans="11:12">
      <c r="K1450" s="18"/>
      <c r="L1450" s="18"/>
    </row>
    <row r="1451" spans="11:12">
      <c r="K1451" s="18"/>
      <c r="L1451" s="18"/>
    </row>
    <row r="1452" spans="11:12">
      <c r="K1452" s="18"/>
      <c r="L1452" s="18"/>
    </row>
    <row r="1453" spans="11:12">
      <c r="K1453" s="18"/>
      <c r="L1453" s="18"/>
    </row>
    <row r="1454" spans="11:12">
      <c r="K1454" s="18"/>
      <c r="L1454" s="18"/>
    </row>
    <row r="1455" spans="11:12">
      <c r="K1455" s="18"/>
      <c r="L1455" s="18"/>
    </row>
    <row r="1456" spans="11:12">
      <c r="K1456" s="18"/>
      <c r="L1456" s="18"/>
    </row>
    <row r="1457" spans="11:12">
      <c r="K1457" s="18"/>
      <c r="L1457" s="18"/>
    </row>
    <row r="1458" spans="11:12">
      <c r="K1458" s="18"/>
      <c r="L1458" s="18"/>
    </row>
    <row r="1459" spans="11:12">
      <c r="K1459" s="18"/>
      <c r="L1459" s="18"/>
    </row>
    <row r="1460" spans="11:12">
      <c r="K1460" s="18"/>
      <c r="L1460" s="18"/>
    </row>
    <row r="1461" spans="11:12">
      <c r="K1461" s="18"/>
      <c r="L1461" s="18"/>
    </row>
    <row r="1462" spans="11:12">
      <c r="K1462" s="18"/>
      <c r="L1462" s="18"/>
    </row>
    <row r="1463" spans="11:12">
      <c r="K1463" s="18"/>
      <c r="L1463" s="18"/>
    </row>
    <row r="1464" spans="11:12">
      <c r="K1464" s="18"/>
      <c r="L1464" s="18"/>
    </row>
    <row r="1465" spans="11:12">
      <c r="K1465" s="18"/>
      <c r="L1465" s="18"/>
    </row>
    <row r="1466" spans="11:12">
      <c r="K1466" s="18"/>
      <c r="L1466" s="18"/>
    </row>
    <row r="1467" spans="11:12">
      <c r="K1467" s="18"/>
      <c r="L1467" s="18"/>
    </row>
    <row r="1468" spans="11:12">
      <c r="K1468" s="18"/>
      <c r="L1468" s="18"/>
    </row>
    <row r="1469" spans="11:12">
      <c r="K1469" s="18"/>
      <c r="L1469" s="18"/>
    </row>
    <row r="1470" spans="11:12">
      <c r="K1470" s="18"/>
      <c r="L1470" s="18"/>
    </row>
    <row r="1471" spans="11:12">
      <c r="K1471" s="18"/>
      <c r="L1471" s="18"/>
    </row>
    <row r="1472" spans="11:12">
      <c r="K1472" s="18"/>
      <c r="L1472" s="18"/>
    </row>
    <row r="1473" spans="11:12">
      <c r="K1473" s="18"/>
      <c r="L1473" s="18"/>
    </row>
    <row r="1474" spans="11:12">
      <c r="K1474" s="18"/>
      <c r="L1474" s="18"/>
    </row>
    <row r="1475" spans="11:12">
      <c r="K1475" s="18"/>
      <c r="L1475" s="18"/>
    </row>
    <row r="1476" spans="11:12">
      <c r="K1476" s="18"/>
      <c r="L1476" s="18"/>
    </row>
    <row r="1477" spans="11:12">
      <c r="K1477" s="18"/>
      <c r="L1477" s="18"/>
    </row>
    <row r="1478" spans="11:12">
      <c r="K1478" s="18"/>
      <c r="L1478" s="18"/>
    </row>
    <row r="1479" spans="11:12">
      <c r="K1479" s="18"/>
      <c r="L1479" s="18"/>
    </row>
    <row r="1480" spans="11:12">
      <c r="K1480" s="18"/>
      <c r="L1480" s="18"/>
    </row>
    <row r="1481" spans="11:12">
      <c r="K1481" s="18"/>
      <c r="L1481" s="18"/>
    </row>
    <row r="1482" spans="11:12">
      <c r="K1482" s="18"/>
      <c r="L1482" s="18"/>
    </row>
    <row r="1483" spans="11:12">
      <c r="K1483" s="18"/>
      <c r="L1483" s="18"/>
    </row>
    <row r="1484" spans="11:12">
      <c r="K1484" s="18"/>
      <c r="L1484" s="18"/>
    </row>
    <row r="1485" spans="11:12">
      <c r="K1485" s="18"/>
      <c r="L1485" s="18"/>
    </row>
    <row r="1486" spans="11:12">
      <c r="K1486" s="18"/>
      <c r="L1486" s="18"/>
    </row>
    <row r="1487" spans="11:12">
      <c r="K1487" s="18"/>
      <c r="L1487" s="18"/>
    </row>
    <row r="1488" spans="11:12">
      <c r="K1488" s="18"/>
      <c r="L1488" s="18"/>
    </row>
    <row r="1489" spans="11:12">
      <c r="K1489" s="18"/>
      <c r="L1489" s="18"/>
    </row>
    <row r="1490" spans="11:12">
      <c r="K1490" s="18"/>
      <c r="L1490" s="18"/>
    </row>
    <row r="1491" spans="11:12">
      <c r="K1491" s="18"/>
      <c r="L1491" s="18"/>
    </row>
    <row r="1492" spans="11:12">
      <c r="K1492" s="18"/>
      <c r="L1492" s="18"/>
    </row>
    <row r="1493" spans="11:12">
      <c r="K1493" s="18"/>
      <c r="L1493" s="18"/>
    </row>
    <row r="1494" spans="11:12">
      <c r="K1494" s="18"/>
      <c r="L1494" s="18"/>
    </row>
    <row r="1495" spans="11:12">
      <c r="K1495" s="18"/>
      <c r="L1495" s="18"/>
    </row>
    <row r="1496" spans="11:12">
      <c r="K1496" s="18"/>
      <c r="L1496" s="18"/>
    </row>
    <row r="1497" spans="11:12">
      <c r="K1497" s="18"/>
      <c r="L1497" s="18"/>
    </row>
    <row r="1498" spans="11:12">
      <c r="K1498" s="18"/>
      <c r="L1498" s="18"/>
    </row>
    <row r="1499" spans="11:12">
      <c r="K1499" s="18"/>
      <c r="L1499" s="18"/>
    </row>
    <row r="1500" spans="11:12">
      <c r="K1500" s="18"/>
      <c r="L1500" s="18"/>
    </row>
    <row r="1501" spans="11:12">
      <c r="K1501" s="18"/>
      <c r="L1501" s="18"/>
    </row>
    <row r="1502" spans="11:12">
      <c r="K1502" s="18"/>
      <c r="L1502" s="18"/>
    </row>
    <row r="1503" spans="11:12">
      <c r="K1503" s="18"/>
      <c r="L1503" s="18"/>
    </row>
    <row r="1504" spans="11:12">
      <c r="K1504" s="18"/>
      <c r="L1504" s="18"/>
    </row>
    <row r="1505" spans="11:12">
      <c r="K1505" s="18"/>
      <c r="L1505" s="18"/>
    </row>
    <row r="1506" spans="11:12">
      <c r="K1506" s="18"/>
      <c r="L1506" s="18"/>
    </row>
    <row r="1507" spans="11:12">
      <c r="K1507" s="18"/>
      <c r="L1507" s="18"/>
    </row>
    <row r="1508" spans="11:12">
      <c r="K1508" s="18"/>
      <c r="L1508" s="18"/>
    </row>
    <row r="1509" spans="11:12">
      <c r="K1509" s="18"/>
      <c r="L1509" s="18"/>
    </row>
    <row r="1510" spans="11:12">
      <c r="K1510" s="18"/>
      <c r="L1510" s="18"/>
    </row>
    <row r="1511" spans="11:12">
      <c r="K1511" s="18"/>
      <c r="L1511" s="18"/>
    </row>
    <row r="1512" spans="11:12">
      <c r="K1512" s="18"/>
      <c r="L1512" s="18"/>
    </row>
    <row r="1513" spans="11:12">
      <c r="K1513" s="18"/>
      <c r="L1513" s="18"/>
    </row>
    <row r="1514" spans="11:12">
      <c r="K1514" s="18"/>
      <c r="L1514" s="18"/>
    </row>
    <row r="1515" spans="11:12">
      <c r="K1515" s="18"/>
      <c r="L1515" s="18"/>
    </row>
    <row r="1516" spans="11:12">
      <c r="K1516" s="18"/>
      <c r="L1516" s="18"/>
    </row>
    <row r="1517" spans="11:12">
      <c r="K1517" s="18"/>
      <c r="L1517" s="18"/>
    </row>
    <row r="1518" spans="11:12">
      <c r="K1518" s="18"/>
      <c r="L1518" s="18"/>
    </row>
    <row r="1519" spans="11:12">
      <c r="K1519" s="18"/>
      <c r="L1519" s="18"/>
    </row>
    <row r="1520" spans="11:12">
      <c r="K1520" s="18"/>
      <c r="L1520" s="18"/>
    </row>
    <row r="1521" spans="11:12">
      <c r="K1521" s="18"/>
      <c r="L1521" s="18"/>
    </row>
    <row r="1522" spans="11:12">
      <c r="K1522" s="18"/>
      <c r="L1522" s="18"/>
    </row>
    <row r="1523" spans="11:12">
      <c r="K1523" s="18"/>
      <c r="L1523" s="18"/>
    </row>
    <row r="1524" spans="11:12">
      <c r="K1524" s="18"/>
      <c r="L1524" s="18"/>
    </row>
    <row r="1525" spans="11:12">
      <c r="K1525" s="18"/>
      <c r="L1525" s="18"/>
    </row>
    <row r="1526" spans="11:12">
      <c r="K1526" s="18"/>
      <c r="L1526" s="18"/>
    </row>
    <row r="1527" spans="11:12">
      <c r="K1527" s="18"/>
      <c r="L1527" s="18"/>
    </row>
    <row r="1528" spans="11:12">
      <c r="K1528" s="18"/>
      <c r="L1528" s="18"/>
    </row>
    <row r="1529" spans="11:12">
      <c r="K1529" s="18"/>
      <c r="L1529" s="18"/>
    </row>
    <row r="1530" spans="11:12">
      <c r="K1530" s="18"/>
      <c r="L1530" s="18"/>
    </row>
    <row r="1531" spans="11:12">
      <c r="K1531" s="18"/>
      <c r="L1531" s="18"/>
    </row>
    <row r="1532" spans="11:12">
      <c r="K1532" s="18"/>
      <c r="L1532" s="18"/>
    </row>
    <row r="1533" spans="11:12">
      <c r="K1533" s="18"/>
      <c r="L1533" s="18"/>
    </row>
    <row r="1534" spans="11:12">
      <c r="K1534" s="18"/>
      <c r="L1534" s="18"/>
    </row>
    <row r="1535" spans="11:12">
      <c r="K1535" s="18"/>
      <c r="L1535" s="18"/>
    </row>
    <row r="1536" spans="11:12">
      <c r="K1536" s="18"/>
      <c r="L1536" s="18"/>
    </row>
    <row r="1537" spans="11:12">
      <c r="K1537" s="18"/>
      <c r="L1537" s="18"/>
    </row>
    <row r="1538" spans="11:12">
      <c r="K1538" s="18"/>
      <c r="L1538" s="18"/>
    </row>
    <row r="1539" spans="11:12">
      <c r="K1539" s="18"/>
      <c r="L1539" s="18"/>
    </row>
    <row r="1540" spans="11:12">
      <c r="K1540" s="18"/>
      <c r="L1540" s="18"/>
    </row>
    <row r="1541" spans="11:12">
      <c r="K1541" s="18"/>
      <c r="L1541" s="18"/>
    </row>
    <row r="1542" spans="11:12">
      <c r="K1542" s="18"/>
      <c r="L1542" s="18"/>
    </row>
    <row r="1543" spans="11:12">
      <c r="K1543" s="18"/>
      <c r="L1543" s="18"/>
    </row>
    <row r="1544" spans="11:12">
      <c r="K1544" s="18"/>
      <c r="L1544" s="18"/>
    </row>
    <row r="1545" spans="11:12">
      <c r="K1545" s="18"/>
      <c r="L1545" s="18"/>
    </row>
    <row r="1546" spans="11:12">
      <c r="K1546" s="18"/>
      <c r="L1546" s="18"/>
    </row>
    <row r="1547" spans="11:12">
      <c r="K1547" s="18"/>
      <c r="L1547" s="18"/>
    </row>
    <row r="1548" spans="11:12">
      <c r="K1548" s="18"/>
      <c r="L1548" s="18"/>
    </row>
    <row r="1549" spans="11:12">
      <c r="K1549" s="18"/>
      <c r="L1549" s="18"/>
    </row>
    <row r="1550" spans="11:12">
      <c r="K1550" s="18"/>
      <c r="L1550" s="18"/>
    </row>
    <row r="1551" spans="11:12">
      <c r="K1551" s="18"/>
      <c r="L1551" s="18"/>
    </row>
    <row r="1552" spans="11:12">
      <c r="K1552" s="18"/>
      <c r="L1552" s="18"/>
    </row>
    <row r="1553" spans="11:12">
      <c r="K1553" s="18"/>
      <c r="L1553" s="18"/>
    </row>
    <row r="1554" spans="11:12">
      <c r="K1554" s="18"/>
      <c r="L1554" s="18"/>
    </row>
    <row r="1555" spans="11:12">
      <c r="K1555" s="18"/>
      <c r="L1555" s="18"/>
    </row>
    <row r="1556" spans="11:12">
      <c r="K1556" s="18"/>
      <c r="L1556" s="18"/>
    </row>
    <row r="1557" spans="11:12">
      <c r="K1557" s="18"/>
      <c r="L1557" s="18"/>
    </row>
    <row r="1558" spans="11:12">
      <c r="K1558" s="18"/>
      <c r="L1558" s="18"/>
    </row>
    <row r="1559" spans="11:12">
      <c r="K1559" s="18"/>
      <c r="L1559" s="18"/>
    </row>
    <row r="1560" spans="11:12">
      <c r="K1560" s="18"/>
      <c r="L1560" s="18"/>
    </row>
    <row r="1561" spans="11:12">
      <c r="K1561" s="18"/>
      <c r="L1561" s="18"/>
    </row>
    <row r="1562" spans="11:12">
      <c r="K1562" s="18"/>
      <c r="L1562" s="18"/>
    </row>
    <row r="1563" spans="11:12">
      <c r="K1563" s="18"/>
      <c r="L1563" s="18"/>
    </row>
    <row r="1564" spans="11:12">
      <c r="K1564" s="18"/>
      <c r="L1564" s="18"/>
    </row>
    <row r="1565" spans="11:12">
      <c r="K1565" s="18"/>
      <c r="L1565" s="18"/>
    </row>
    <row r="1566" spans="11:12">
      <c r="K1566" s="18"/>
      <c r="L1566" s="18"/>
    </row>
    <row r="1567" spans="11:12">
      <c r="K1567" s="18"/>
      <c r="L1567" s="18"/>
    </row>
    <row r="1568" spans="11:12">
      <c r="K1568" s="18"/>
      <c r="L1568" s="18"/>
    </row>
    <row r="1569" spans="11:12">
      <c r="K1569" s="18"/>
      <c r="L1569" s="18"/>
    </row>
    <row r="1570" spans="11:12">
      <c r="K1570" s="18"/>
      <c r="L1570" s="18"/>
    </row>
    <row r="1571" spans="11:12">
      <c r="K1571" s="18"/>
      <c r="L1571" s="18"/>
    </row>
    <row r="1572" spans="11:12">
      <c r="K1572" s="18"/>
      <c r="L1572" s="18"/>
    </row>
    <row r="1573" spans="11:12">
      <c r="K1573" s="18"/>
      <c r="L1573" s="18"/>
    </row>
    <row r="1574" spans="11:12">
      <c r="K1574" s="18"/>
      <c r="L1574" s="18"/>
    </row>
    <row r="1575" spans="11:12">
      <c r="K1575" s="18"/>
      <c r="L1575" s="18"/>
    </row>
    <row r="1576" spans="11:12">
      <c r="K1576" s="18"/>
      <c r="L1576" s="18"/>
    </row>
    <row r="1577" spans="11:12">
      <c r="K1577" s="18"/>
      <c r="L1577" s="18"/>
    </row>
    <row r="1578" spans="11:12">
      <c r="K1578" s="18"/>
      <c r="L1578" s="18"/>
    </row>
    <row r="1579" spans="11:12">
      <c r="K1579" s="18"/>
      <c r="L1579" s="18"/>
    </row>
    <row r="1580" spans="11:12">
      <c r="K1580" s="18"/>
      <c r="L1580" s="18"/>
    </row>
    <row r="1581" spans="11:12">
      <c r="K1581" s="18"/>
      <c r="L1581" s="18"/>
    </row>
    <row r="1582" spans="11:12">
      <c r="K1582" s="18"/>
      <c r="L1582" s="18"/>
    </row>
    <row r="1583" spans="11:12">
      <c r="K1583" s="18"/>
      <c r="L1583" s="18"/>
    </row>
    <row r="1584" spans="11:12">
      <c r="K1584" s="18"/>
      <c r="L1584" s="18"/>
    </row>
    <row r="1585" spans="11:12">
      <c r="K1585" s="18"/>
      <c r="L1585" s="18"/>
    </row>
    <row r="1586" spans="11:12">
      <c r="K1586" s="18"/>
      <c r="L1586" s="18"/>
    </row>
    <row r="1587" spans="11:12">
      <c r="K1587" s="18"/>
      <c r="L1587" s="18"/>
    </row>
    <row r="1588" spans="11:12">
      <c r="K1588" s="18"/>
      <c r="L1588" s="18"/>
    </row>
    <row r="1589" spans="11:12">
      <c r="K1589" s="18"/>
      <c r="L1589" s="18"/>
    </row>
    <row r="1590" spans="11:12">
      <c r="K1590" s="18"/>
      <c r="L1590" s="18"/>
    </row>
    <row r="1591" spans="11:12">
      <c r="K1591" s="18"/>
      <c r="L1591" s="18"/>
    </row>
    <row r="1592" spans="11:12">
      <c r="K1592" s="18"/>
      <c r="L1592" s="18"/>
    </row>
    <row r="1593" spans="11:12">
      <c r="K1593" s="18"/>
      <c r="L1593" s="18"/>
    </row>
    <row r="1594" spans="11:12">
      <c r="K1594" s="18"/>
      <c r="L1594" s="18"/>
    </row>
    <row r="1595" spans="11:12">
      <c r="K1595" s="18"/>
      <c r="L1595" s="18"/>
    </row>
    <row r="1596" spans="11:12">
      <c r="K1596" s="18"/>
      <c r="L1596" s="18"/>
    </row>
    <row r="1597" spans="11:12">
      <c r="K1597" s="18"/>
      <c r="L1597" s="18"/>
    </row>
    <row r="1598" spans="11:12">
      <c r="K1598" s="18"/>
      <c r="L1598" s="18"/>
    </row>
    <row r="1599" spans="11:12">
      <c r="K1599" s="18"/>
      <c r="L1599" s="18"/>
    </row>
    <row r="1600" spans="11:12">
      <c r="K1600" s="18"/>
      <c r="L1600" s="18"/>
    </row>
    <row r="1601" spans="11:12">
      <c r="K1601" s="18"/>
      <c r="L1601" s="18"/>
    </row>
    <row r="1602" spans="11:12">
      <c r="K1602" s="18"/>
      <c r="L1602" s="18"/>
    </row>
    <row r="1603" spans="11:12">
      <c r="K1603" s="18"/>
      <c r="L1603" s="18"/>
    </row>
    <row r="1604" spans="11:12">
      <c r="K1604" s="18"/>
      <c r="L1604" s="18"/>
    </row>
    <row r="1605" spans="11:12">
      <c r="K1605" s="18"/>
      <c r="L1605" s="18"/>
    </row>
    <row r="1606" spans="11:12">
      <c r="K1606" s="18"/>
      <c r="L1606" s="18"/>
    </row>
    <row r="1607" spans="11:12">
      <c r="K1607" s="18"/>
      <c r="L1607" s="18"/>
    </row>
    <row r="1608" spans="11:12">
      <c r="K1608" s="18"/>
      <c r="L1608" s="18"/>
    </row>
    <row r="1609" spans="11:12">
      <c r="K1609" s="18"/>
      <c r="L1609" s="18"/>
    </row>
    <row r="1610" spans="11:12">
      <c r="K1610" s="18"/>
      <c r="L1610" s="18"/>
    </row>
    <row r="1611" spans="11:12">
      <c r="K1611" s="18"/>
      <c r="L1611" s="18"/>
    </row>
    <row r="1612" spans="11:12">
      <c r="K1612" s="18"/>
      <c r="L1612" s="18"/>
    </row>
    <row r="1613" spans="11:12">
      <c r="K1613" s="18"/>
      <c r="L1613" s="18"/>
    </row>
    <row r="1614" spans="11:12">
      <c r="K1614" s="18"/>
      <c r="L1614" s="18"/>
    </row>
    <row r="1615" spans="11:12">
      <c r="K1615" s="18"/>
      <c r="L1615" s="18"/>
    </row>
    <row r="1616" spans="11:12">
      <c r="K1616" s="18"/>
      <c r="L1616" s="18"/>
    </row>
    <row r="1617" spans="11:12">
      <c r="K1617" s="18"/>
      <c r="L1617" s="18"/>
    </row>
    <row r="1618" spans="11:12">
      <c r="K1618" s="18"/>
      <c r="L1618" s="18"/>
    </row>
    <row r="1619" spans="11:12">
      <c r="K1619" s="18"/>
      <c r="L1619" s="18"/>
    </row>
    <row r="1620" spans="11:12">
      <c r="K1620" s="18"/>
      <c r="L1620" s="18"/>
    </row>
    <row r="1621" spans="11:12">
      <c r="K1621" s="18"/>
      <c r="L1621" s="18"/>
    </row>
    <row r="1622" spans="11:12">
      <c r="K1622" s="18"/>
      <c r="L1622" s="18"/>
    </row>
    <row r="1623" spans="11:12">
      <c r="K1623" s="18"/>
      <c r="L1623" s="18"/>
    </row>
    <row r="1624" spans="11:12">
      <c r="K1624" s="18"/>
      <c r="L1624" s="18"/>
    </row>
    <row r="1625" spans="11:12">
      <c r="K1625" s="18"/>
      <c r="L1625" s="18"/>
    </row>
    <row r="1626" spans="11:12">
      <c r="K1626" s="18"/>
      <c r="L1626" s="18"/>
    </row>
    <row r="1627" spans="11:12">
      <c r="K1627" s="18"/>
      <c r="L1627" s="18"/>
    </row>
    <row r="1628" spans="11:12">
      <c r="K1628" s="18"/>
      <c r="L1628" s="18"/>
    </row>
    <row r="1629" spans="11:12">
      <c r="K1629" s="18"/>
      <c r="L1629" s="18"/>
    </row>
    <row r="1630" spans="11:12">
      <c r="K1630" s="18"/>
      <c r="L1630" s="18"/>
    </row>
    <row r="1631" spans="11:12">
      <c r="K1631" s="18"/>
      <c r="L1631" s="18"/>
    </row>
    <row r="1632" spans="11:12">
      <c r="K1632" s="18"/>
      <c r="L1632" s="18"/>
    </row>
    <row r="1633" spans="11:12">
      <c r="K1633" s="18"/>
      <c r="L1633" s="18"/>
    </row>
    <row r="1634" spans="11:12">
      <c r="K1634" s="18"/>
      <c r="L1634" s="18"/>
    </row>
    <row r="1635" spans="11:12">
      <c r="K1635" s="18"/>
      <c r="L1635" s="18"/>
    </row>
    <row r="1636" spans="11:12">
      <c r="K1636" s="18"/>
      <c r="L1636" s="18"/>
    </row>
    <row r="1637" spans="11:12">
      <c r="K1637" s="18"/>
      <c r="L1637" s="18"/>
    </row>
    <row r="1638" spans="11:12">
      <c r="K1638" s="18"/>
      <c r="L1638" s="18"/>
    </row>
    <row r="1639" spans="11:12">
      <c r="K1639" s="18"/>
      <c r="L1639" s="18"/>
    </row>
    <row r="1640" spans="11:12">
      <c r="K1640" s="18"/>
      <c r="L1640" s="18"/>
    </row>
    <row r="1641" spans="11:12">
      <c r="K1641" s="18"/>
      <c r="L1641" s="18"/>
    </row>
    <row r="1642" spans="11:12">
      <c r="K1642" s="18"/>
      <c r="L1642" s="18"/>
    </row>
    <row r="1643" spans="11:12">
      <c r="K1643" s="18"/>
      <c r="L1643" s="18"/>
    </row>
    <row r="1644" spans="11:12">
      <c r="K1644" s="18"/>
      <c r="L1644" s="18"/>
    </row>
    <row r="1645" spans="11:12">
      <c r="K1645" s="18"/>
      <c r="L1645" s="18"/>
    </row>
    <row r="1646" spans="11:12">
      <c r="K1646" s="18"/>
      <c r="L1646" s="18"/>
    </row>
    <row r="1647" spans="11:12">
      <c r="K1647" s="18"/>
      <c r="L1647" s="18"/>
    </row>
    <row r="1648" spans="11:12">
      <c r="K1648" s="18"/>
      <c r="L1648" s="18"/>
    </row>
    <row r="1649" spans="11:12">
      <c r="K1649" s="18"/>
      <c r="L1649" s="18"/>
    </row>
    <row r="1650" spans="11:12">
      <c r="K1650" s="18"/>
      <c r="L1650" s="18"/>
    </row>
    <row r="1651" spans="11:12">
      <c r="K1651" s="18"/>
      <c r="L1651" s="18"/>
    </row>
    <row r="1652" spans="11:12">
      <c r="K1652" s="18"/>
      <c r="L1652" s="18"/>
    </row>
    <row r="1653" spans="11:12">
      <c r="K1653" s="18"/>
      <c r="L1653" s="18"/>
    </row>
    <row r="1654" spans="11:12">
      <c r="K1654" s="18"/>
      <c r="L1654" s="18"/>
    </row>
    <row r="1655" spans="11:12">
      <c r="K1655" s="18"/>
      <c r="L1655" s="18"/>
    </row>
    <row r="1656" spans="11:12">
      <c r="K1656" s="18"/>
      <c r="L1656" s="18"/>
    </row>
    <row r="1657" spans="11:12">
      <c r="K1657" s="18"/>
      <c r="L1657" s="18"/>
    </row>
    <row r="1658" spans="11:12">
      <c r="K1658" s="18"/>
      <c r="L1658" s="18"/>
    </row>
    <row r="1659" spans="11:12">
      <c r="K1659" s="18"/>
      <c r="L1659" s="18"/>
    </row>
    <row r="1660" spans="11:12">
      <c r="K1660" s="18"/>
      <c r="L1660" s="18"/>
    </row>
    <row r="1661" spans="11:12">
      <c r="K1661" s="18"/>
      <c r="L1661" s="18"/>
    </row>
    <row r="1662" spans="11:12">
      <c r="K1662" s="18"/>
      <c r="L1662" s="18"/>
    </row>
    <row r="1663" spans="11:12">
      <c r="K1663" s="18"/>
      <c r="L1663" s="18"/>
    </row>
    <row r="1664" spans="11:12">
      <c r="K1664" s="18"/>
      <c r="L1664" s="18"/>
    </row>
    <row r="1665" spans="11:12">
      <c r="K1665" s="18"/>
      <c r="L1665" s="18"/>
    </row>
    <row r="1666" spans="11:12">
      <c r="K1666" s="18"/>
      <c r="L1666" s="18"/>
    </row>
    <row r="1667" spans="11:12">
      <c r="K1667" s="18"/>
      <c r="L1667" s="18"/>
    </row>
    <row r="1668" spans="11:12">
      <c r="K1668" s="18"/>
      <c r="L1668" s="18"/>
    </row>
    <row r="1669" spans="11:12">
      <c r="K1669" s="18"/>
      <c r="L1669" s="18"/>
    </row>
    <row r="1670" spans="11:12">
      <c r="K1670" s="18"/>
      <c r="L1670" s="18"/>
    </row>
    <row r="1671" spans="11:12">
      <c r="K1671" s="18"/>
      <c r="L1671" s="18"/>
    </row>
    <row r="1672" spans="11:12">
      <c r="K1672" s="18"/>
      <c r="L1672" s="18"/>
    </row>
    <row r="1673" spans="11:12">
      <c r="K1673" s="18"/>
      <c r="L1673" s="18"/>
    </row>
    <row r="1674" spans="11:12">
      <c r="K1674" s="18"/>
      <c r="L1674" s="18"/>
    </row>
    <row r="1675" spans="11:12">
      <c r="K1675" s="18"/>
      <c r="L1675" s="18"/>
    </row>
    <row r="1676" spans="11:12">
      <c r="K1676" s="18"/>
      <c r="L1676" s="18"/>
    </row>
    <row r="1677" spans="11:12">
      <c r="K1677" s="18"/>
      <c r="L1677" s="18"/>
    </row>
    <row r="1678" spans="11:12">
      <c r="K1678" s="18"/>
      <c r="L1678" s="18"/>
    </row>
    <row r="1679" spans="11:12">
      <c r="K1679" s="18"/>
      <c r="L1679" s="18"/>
    </row>
    <row r="1680" spans="11:12">
      <c r="K1680" s="18"/>
      <c r="L1680" s="18"/>
    </row>
    <row r="1681" spans="11:12">
      <c r="K1681" s="18"/>
      <c r="L1681" s="18"/>
    </row>
    <row r="1682" spans="11:12">
      <c r="K1682" s="18"/>
      <c r="L1682" s="18"/>
    </row>
    <row r="1683" spans="11:12">
      <c r="K1683" s="18"/>
      <c r="L1683" s="18"/>
    </row>
    <row r="1684" spans="11:12">
      <c r="K1684" s="18"/>
      <c r="L1684" s="18"/>
    </row>
    <row r="1685" spans="11:12">
      <c r="K1685" s="18"/>
      <c r="L1685" s="18"/>
    </row>
    <row r="1686" spans="11:12">
      <c r="K1686" s="18"/>
      <c r="L1686" s="18"/>
    </row>
    <row r="1687" spans="11:12">
      <c r="K1687" s="18"/>
      <c r="L1687" s="18"/>
    </row>
    <row r="1688" spans="11:12">
      <c r="K1688" s="18"/>
      <c r="L1688" s="18"/>
    </row>
    <row r="1689" spans="11:12">
      <c r="K1689" s="18"/>
      <c r="L1689" s="18"/>
    </row>
    <row r="1690" spans="11:12">
      <c r="K1690" s="18"/>
      <c r="L1690" s="18"/>
    </row>
    <row r="1691" spans="11:12">
      <c r="K1691" s="18"/>
      <c r="L1691" s="18"/>
    </row>
    <row r="1692" spans="11:12">
      <c r="K1692" s="18"/>
      <c r="L1692" s="18"/>
    </row>
    <row r="1693" spans="11:12">
      <c r="K1693" s="18"/>
      <c r="L1693" s="18"/>
    </row>
    <row r="1694" spans="11:12">
      <c r="K1694" s="18"/>
      <c r="L1694" s="18"/>
    </row>
    <row r="1695" spans="11:12">
      <c r="K1695" s="18"/>
      <c r="L1695" s="18"/>
    </row>
    <row r="1696" spans="11:12">
      <c r="K1696" s="18"/>
      <c r="L1696" s="18"/>
    </row>
    <row r="1697" spans="11:12">
      <c r="K1697" s="18"/>
      <c r="L1697" s="18"/>
    </row>
    <row r="1698" spans="11:12">
      <c r="K1698" s="18"/>
      <c r="L1698" s="18"/>
    </row>
    <row r="1699" spans="11:12">
      <c r="K1699" s="18"/>
      <c r="L1699" s="18"/>
    </row>
    <row r="1700" spans="11:12">
      <c r="K1700" s="18"/>
      <c r="L1700" s="18"/>
    </row>
    <row r="1701" spans="11:12">
      <c r="K1701" s="18"/>
      <c r="L1701" s="18"/>
    </row>
    <row r="1702" spans="11:12">
      <c r="K1702" s="18"/>
      <c r="L1702" s="18"/>
    </row>
    <row r="1703" spans="11:12">
      <c r="K1703" s="18"/>
      <c r="L1703" s="18"/>
    </row>
    <row r="1704" spans="11:12">
      <c r="K1704" s="18"/>
      <c r="L1704" s="18"/>
    </row>
    <row r="1705" spans="11:12">
      <c r="K1705" s="18"/>
      <c r="L1705" s="18"/>
    </row>
    <row r="1706" spans="11:12">
      <c r="K1706" s="18"/>
      <c r="L1706" s="18"/>
    </row>
    <row r="1707" spans="11:12">
      <c r="K1707" s="18"/>
      <c r="L1707" s="18"/>
    </row>
    <row r="1708" spans="11:12">
      <c r="K1708" s="18"/>
      <c r="L1708" s="18"/>
    </row>
    <row r="1709" spans="11:12">
      <c r="K1709" s="18"/>
      <c r="L1709" s="18"/>
    </row>
    <row r="1710" spans="11:12">
      <c r="K1710" s="18"/>
      <c r="L1710" s="18"/>
    </row>
    <row r="1711" spans="11:12">
      <c r="K1711" s="18"/>
      <c r="L1711" s="18"/>
    </row>
    <row r="1712" spans="11:12">
      <c r="K1712" s="18"/>
      <c r="L1712" s="18"/>
    </row>
    <row r="1713" spans="11:12">
      <c r="K1713" s="18"/>
      <c r="L1713" s="18"/>
    </row>
    <row r="1714" spans="11:12">
      <c r="K1714" s="18"/>
      <c r="L1714" s="18"/>
    </row>
    <row r="1715" spans="11:12">
      <c r="K1715" s="18"/>
      <c r="L1715" s="18"/>
    </row>
    <row r="1716" spans="11:12">
      <c r="K1716" s="18"/>
      <c r="L1716" s="18"/>
    </row>
    <row r="1717" spans="11:12">
      <c r="K1717" s="18"/>
      <c r="L1717" s="18"/>
    </row>
    <row r="1718" spans="11:12">
      <c r="K1718" s="18"/>
      <c r="L1718" s="18"/>
    </row>
    <row r="1719" spans="11:12">
      <c r="K1719" s="18"/>
      <c r="L1719" s="18"/>
    </row>
    <row r="1720" spans="11:12">
      <c r="K1720" s="18"/>
      <c r="L1720" s="18"/>
    </row>
    <row r="1721" spans="11:12">
      <c r="K1721" s="18"/>
      <c r="L1721" s="18"/>
    </row>
    <row r="1722" spans="11:12">
      <c r="K1722" s="18"/>
      <c r="L1722" s="18"/>
    </row>
    <row r="1723" spans="11:12">
      <c r="K1723" s="18"/>
      <c r="L1723" s="18"/>
    </row>
    <row r="1724" spans="11:12">
      <c r="K1724" s="18"/>
      <c r="L1724" s="18"/>
    </row>
    <row r="1725" spans="11:12">
      <c r="K1725" s="18"/>
      <c r="L1725" s="18"/>
    </row>
    <row r="1726" spans="11:12">
      <c r="K1726" s="18"/>
      <c r="L1726" s="18"/>
    </row>
    <row r="1727" spans="11:12">
      <c r="K1727" s="18"/>
      <c r="L1727" s="18"/>
    </row>
    <row r="1728" spans="11:12">
      <c r="K1728" s="18"/>
      <c r="L1728" s="18"/>
    </row>
    <row r="1729" spans="11:12">
      <c r="K1729" s="18"/>
      <c r="L1729" s="18"/>
    </row>
    <row r="1730" spans="11:12">
      <c r="K1730" s="18"/>
      <c r="L1730" s="18"/>
    </row>
    <row r="1731" spans="11:12">
      <c r="K1731" s="18"/>
      <c r="L1731" s="18"/>
    </row>
    <row r="1732" spans="11:12">
      <c r="K1732" s="18"/>
      <c r="L1732" s="18"/>
    </row>
    <row r="1733" spans="11:12">
      <c r="K1733" s="18"/>
      <c r="L1733" s="18"/>
    </row>
    <row r="1734" spans="11:12">
      <c r="K1734" s="18"/>
      <c r="L1734" s="18"/>
    </row>
    <row r="1735" spans="11:12">
      <c r="K1735" s="18"/>
      <c r="L1735" s="18"/>
    </row>
    <row r="1736" spans="11:12">
      <c r="K1736" s="18"/>
      <c r="L1736" s="18"/>
    </row>
    <row r="1737" spans="11:12">
      <c r="K1737" s="18"/>
      <c r="L1737" s="18"/>
    </row>
    <row r="1738" spans="11:12">
      <c r="K1738" s="18"/>
      <c r="L1738" s="18"/>
    </row>
    <row r="1739" spans="11:12">
      <c r="K1739" s="18"/>
      <c r="L1739" s="18"/>
    </row>
    <row r="1740" spans="11:12">
      <c r="K1740" s="18"/>
      <c r="L1740" s="18"/>
    </row>
    <row r="1741" spans="11:12">
      <c r="K1741" s="18"/>
      <c r="L1741" s="18"/>
    </row>
    <row r="1742" spans="11:12">
      <c r="K1742" s="18"/>
      <c r="L1742" s="18"/>
    </row>
    <row r="1743" spans="11:12">
      <c r="K1743" s="18"/>
      <c r="L1743" s="18"/>
    </row>
    <row r="1744" spans="11:12">
      <c r="K1744" s="18"/>
      <c r="L1744" s="18"/>
    </row>
    <row r="1745" spans="11:12">
      <c r="K1745" s="18"/>
      <c r="L1745" s="18"/>
    </row>
    <row r="1746" spans="11:12">
      <c r="K1746" s="18"/>
      <c r="L1746" s="18"/>
    </row>
    <row r="1747" spans="11:12">
      <c r="K1747" s="18"/>
      <c r="L1747" s="18"/>
    </row>
    <row r="1748" spans="11:12">
      <c r="K1748" s="18"/>
      <c r="L1748" s="18"/>
    </row>
    <row r="1749" spans="11:12">
      <c r="K1749" s="18"/>
      <c r="L1749" s="18"/>
    </row>
    <row r="1750" spans="11:12">
      <c r="K1750" s="18"/>
      <c r="L1750" s="18"/>
    </row>
    <row r="1751" spans="11:12">
      <c r="K1751" s="18"/>
      <c r="L1751" s="18"/>
    </row>
    <row r="1752" spans="11:12">
      <c r="K1752" s="18"/>
      <c r="L1752" s="18"/>
    </row>
    <row r="1753" spans="11:12">
      <c r="K1753" s="18"/>
      <c r="L1753" s="18"/>
    </row>
    <row r="1754" spans="11:12">
      <c r="K1754" s="18"/>
      <c r="L1754" s="18"/>
    </row>
    <row r="1755" spans="11:12">
      <c r="K1755" s="18"/>
      <c r="L1755" s="18"/>
    </row>
    <row r="1756" spans="11:12">
      <c r="K1756" s="18"/>
      <c r="L1756" s="18"/>
    </row>
    <row r="1757" spans="11:12">
      <c r="K1757" s="18"/>
      <c r="L1757" s="18"/>
    </row>
    <row r="1758" spans="11:12">
      <c r="K1758" s="18"/>
      <c r="L1758" s="18"/>
    </row>
    <row r="1759" spans="11:12">
      <c r="K1759" s="18"/>
      <c r="L1759" s="18"/>
    </row>
    <row r="1760" spans="11:12">
      <c r="K1760" s="18"/>
      <c r="L1760" s="18"/>
    </row>
    <row r="1761" spans="11:12">
      <c r="K1761" s="18"/>
      <c r="L1761" s="18"/>
    </row>
    <row r="1762" spans="11:12">
      <c r="K1762" s="18"/>
      <c r="L1762" s="18"/>
    </row>
    <row r="1763" spans="11:12">
      <c r="K1763" s="18"/>
      <c r="L1763" s="18"/>
    </row>
    <row r="1764" spans="11:12">
      <c r="K1764" s="18"/>
      <c r="L1764" s="18"/>
    </row>
    <row r="1765" spans="11:12">
      <c r="K1765" s="18"/>
      <c r="L1765" s="18"/>
    </row>
    <row r="1766" spans="11:12">
      <c r="K1766" s="18"/>
      <c r="L1766" s="18"/>
    </row>
    <row r="1767" spans="11:12">
      <c r="K1767" s="18"/>
      <c r="L1767" s="18"/>
    </row>
    <row r="1768" spans="11:12">
      <c r="K1768" s="18"/>
      <c r="L1768" s="18"/>
    </row>
    <row r="1769" spans="11:12">
      <c r="K1769" s="18"/>
      <c r="L1769" s="18"/>
    </row>
    <row r="1770" spans="11:12">
      <c r="K1770" s="18"/>
      <c r="L1770" s="18"/>
    </row>
    <row r="1771" spans="11:12">
      <c r="K1771" s="18"/>
      <c r="L1771" s="18"/>
    </row>
    <row r="1772" spans="11:12">
      <c r="K1772" s="18"/>
      <c r="L1772" s="18"/>
    </row>
    <row r="1773" spans="11:12">
      <c r="K1773" s="18"/>
      <c r="L1773" s="18"/>
    </row>
    <row r="1774" spans="11:12">
      <c r="K1774" s="18"/>
      <c r="L1774" s="18"/>
    </row>
    <row r="1775" spans="11:12">
      <c r="K1775" s="18"/>
      <c r="L1775" s="18"/>
    </row>
    <row r="1776" spans="11:12">
      <c r="K1776" s="18"/>
      <c r="L1776" s="18"/>
    </row>
    <row r="1777" spans="11:12">
      <c r="K1777" s="18"/>
      <c r="L1777" s="18"/>
    </row>
    <row r="1778" spans="11:12">
      <c r="K1778" s="18"/>
      <c r="L1778" s="18"/>
    </row>
    <row r="1779" spans="11:12">
      <c r="K1779" s="18"/>
      <c r="L1779" s="18"/>
    </row>
    <row r="1780" spans="11:12">
      <c r="K1780" s="18"/>
      <c r="L1780" s="18"/>
    </row>
    <row r="1781" spans="11:12">
      <c r="K1781" s="18"/>
      <c r="L1781" s="18"/>
    </row>
    <row r="1782" spans="11:12">
      <c r="K1782" s="18"/>
      <c r="L1782" s="18"/>
    </row>
    <row r="1783" spans="11:12">
      <c r="K1783" s="18"/>
      <c r="L1783" s="18"/>
    </row>
    <row r="1784" spans="11:12">
      <c r="K1784" s="18"/>
      <c r="L1784" s="18"/>
    </row>
    <row r="1785" spans="11:12">
      <c r="K1785" s="18"/>
      <c r="L1785" s="18"/>
    </row>
    <row r="1786" spans="11:12">
      <c r="K1786" s="18"/>
      <c r="L1786" s="18"/>
    </row>
    <row r="1787" spans="11:12">
      <c r="K1787" s="18"/>
      <c r="L1787" s="18"/>
    </row>
    <row r="1788" spans="11:12">
      <c r="K1788" s="18"/>
      <c r="L1788" s="18"/>
    </row>
    <row r="1789" spans="11:12">
      <c r="K1789" s="18"/>
      <c r="L1789" s="18"/>
    </row>
    <row r="1790" spans="11:12">
      <c r="K1790" s="18"/>
      <c r="L1790" s="18"/>
    </row>
    <row r="1791" spans="11:12">
      <c r="K1791" s="18"/>
      <c r="L1791" s="18"/>
    </row>
    <row r="1792" spans="11:12">
      <c r="K1792" s="18"/>
      <c r="L1792" s="18"/>
    </row>
    <row r="1793" spans="11:12">
      <c r="K1793" s="18"/>
      <c r="L1793" s="18"/>
    </row>
    <row r="1794" spans="11:12">
      <c r="K1794" s="18"/>
      <c r="L1794" s="18"/>
    </row>
    <row r="1795" spans="11:12">
      <c r="K1795" s="18"/>
      <c r="L1795" s="18"/>
    </row>
    <row r="1796" spans="11:12">
      <c r="K1796" s="18"/>
      <c r="L1796" s="18"/>
    </row>
    <row r="1797" spans="11:12">
      <c r="K1797" s="18"/>
      <c r="L1797" s="18"/>
    </row>
    <row r="1798" spans="11:12">
      <c r="K1798" s="18"/>
      <c r="L1798" s="18"/>
    </row>
    <row r="1799" spans="11:12">
      <c r="K1799" s="18"/>
      <c r="L1799" s="18"/>
    </row>
    <row r="1800" spans="11:12">
      <c r="K1800" s="18"/>
      <c r="L1800" s="18"/>
    </row>
    <row r="1801" spans="11:12">
      <c r="K1801" s="18"/>
      <c r="L1801" s="18"/>
    </row>
    <row r="1802" spans="11:12">
      <c r="K1802" s="18"/>
      <c r="L1802" s="18"/>
    </row>
    <row r="1803" spans="11:12">
      <c r="K1803" s="18"/>
      <c r="L1803" s="18"/>
    </row>
    <row r="1804" spans="11:12">
      <c r="K1804" s="18"/>
      <c r="L1804" s="18"/>
    </row>
    <row r="1805" spans="11:12">
      <c r="K1805" s="18"/>
      <c r="L1805" s="18"/>
    </row>
    <row r="1806" spans="11:12">
      <c r="K1806" s="18"/>
      <c r="L1806" s="18"/>
    </row>
    <row r="1807" spans="11:12">
      <c r="K1807" s="18"/>
      <c r="L1807" s="18"/>
    </row>
    <row r="1808" spans="11:12">
      <c r="K1808" s="18"/>
      <c r="L1808" s="18"/>
    </row>
    <row r="1809" spans="11:12">
      <c r="K1809" s="18"/>
      <c r="L1809" s="18"/>
    </row>
    <row r="1810" spans="11:12">
      <c r="K1810" s="18"/>
      <c r="L1810" s="18"/>
    </row>
    <row r="1811" spans="11:12">
      <c r="K1811" s="18"/>
      <c r="L1811" s="18"/>
    </row>
    <row r="1812" spans="11:12">
      <c r="K1812" s="18"/>
      <c r="L1812" s="18"/>
    </row>
    <row r="1813" spans="11:12">
      <c r="K1813" s="18"/>
      <c r="L1813" s="18"/>
    </row>
    <row r="1814" spans="11:12">
      <c r="K1814" s="18"/>
      <c r="L1814" s="18"/>
    </row>
    <row r="1815" spans="11:12">
      <c r="K1815" s="18"/>
      <c r="L1815" s="18"/>
    </row>
    <row r="1816" spans="11:12">
      <c r="K1816" s="18"/>
      <c r="L1816" s="18"/>
    </row>
    <row r="1817" spans="11:12">
      <c r="K1817" s="18"/>
      <c r="L1817" s="18"/>
    </row>
    <row r="1818" spans="11:12">
      <c r="K1818" s="18"/>
      <c r="L1818" s="18"/>
    </row>
    <row r="1819" spans="11:12">
      <c r="K1819" s="18"/>
      <c r="L1819" s="18"/>
    </row>
    <row r="1820" spans="11:12">
      <c r="K1820" s="18"/>
      <c r="L1820" s="18"/>
    </row>
    <row r="1821" spans="11:12">
      <c r="K1821" s="18"/>
      <c r="L1821" s="18"/>
    </row>
    <row r="1822" spans="11:12">
      <c r="K1822" s="18"/>
      <c r="L1822" s="18"/>
    </row>
    <row r="1823" spans="11:12">
      <c r="K1823" s="18"/>
      <c r="L1823" s="18"/>
    </row>
    <row r="1824" spans="11:12">
      <c r="K1824" s="18"/>
      <c r="L1824" s="18"/>
    </row>
    <row r="1825" spans="11:12">
      <c r="K1825" s="18"/>
      <c r="L1825" s="18"/>
    </row>
    <row r="1826" spans="11:12">
      <c r="K1826" s="18"/>
      <c r="L1826" s="18"/>
    </row>
    <row r="1827" spans="11:12">
      <c r="K1827" s="18"/>
      <c r="L1827" s="18"/>
    </row>
    <row r="1828" spans="11:12">
      <c r="K1828" s="18"/>
      <c r="L1828" s="18"/>
    </row>
    <row r="1829" spans="11:12">
      <c r="K1829" s="18"/>
      <c r="L1829" s="18"/>
    </row>
    <row r="1830" spans="11:12">
      <c r="K1830" s="18"/>
      <c r="L1830" s="18"/>
    </row>
    <row r="1831" spans="11:12">
      <c r="K1831" s="18"/>
      <c r="L1831" s="18"/>
    </row>
    <row r="1832" spans="11:12">
      <c r="K1832" s="18"/>
      <c r="L1832" s="18"/>
    </row>
    <row r="1833" spans="11:12">
      <c r="K1833" s="18"/>
      <c r="L1833" s="18"/>
    </row>
    <row r="1834" spans="11:12">
      <c r="K1834" s="18"/>
      <c r="L1834" s="18"/>
    </row>
    <row r="1835" spans="11:12">
      <c r="K1835" s="18"/>
      <c r="L1835" s="18"/>
    </row>
    <row r="1836" spans="11:12">
      <c r="K1836" s="18"/>
      <c r="L1836" s="18"/>
    </row>
    <row r="1837" spans="11:12">
      <c r="K1837" s="18"/>
      <c r="L1837" s="18"/>
    </row>
    <row r="1838" spans="11:12">
      <c r="K1838" s="18"/>
      <c r="L1838" s="18"/>
    </row>
    <row r="1839" spans="11:12">
      <c r="K1839" s="18"/>
      <c r="L1839" s="18"/>
    </row>
    <row r="1840" spans="11:12">
      <c r="K1840" s="18"/>
      <c r="L1840" s="18"/>
    </row>
    <row r="1841" spans="11:12">
      <c r="K1841" s="18"/>
      <c r="L1841" s="18"/>
    </row>
    <row r="1842" spans="11:12">
      <c r="K1842" s="18"/>
      <c r="L1842" s="18"/>
    </row>
    <row r="1843" spans="11:12">
      <c r="K1843" s="18"/>
      <c r="L1843" s="18"/>
    </row>
    <row r="1844" spans="11:12">
      <c r="K1844" s="18"/>
      <c r="L1844" s="18"/>
    </row>
    <row r="1845" spans="11:12">
      <c r="K1845" s="18"/>
      <c r="L1845" s="18"/>
    </row>
    <row r="1846" spans="11:12">
      <c r="K1846" s="18"/>
      <c r="L1846" s="18"/>
    </row>
    <row r="1847" spans="11:12">
      <c r="K1847" s="18"/>
      <c r="L1847" s="18"/>
    </row>
    <row r="1848" spans="11:12">
      <c r="K1848" s="18"/>
      <c r="L1848" s="18"/>
    </row>
    <row r="1849" spans="11:12">
      <c r="K1849" s="18"/>
      <c r="L1849" s="18"/>
    </row>
    <row r="1850" spans="11:12">
      <c r="K1850" s="18"/>
      <c r="L1850" s="18"/>
    </row>
    <row r="1851" spans="11:12">
      <c r="K1851" s="18"/>
      <c r="L1851" s="18"/>
    </row>
    <row r="1852" spans="11:12">
      <c r="K1852" s="18"/>
      <c r="L1852" s="18"/>
    </row>
    <row r="1853" spans="11:12">
      <c r="K1853" s="18"/>
      <c r="L1853" s="18"/>
    </row>
    <row r="1854" spans="11:12">
      <c r="K1854" s="18"/>
      <c r="L1854" s="18"/>
    </row>
    <row r="1855" spans="11:12">
      <c r="K1855" s="18"/>
      <c r="L1855" s="18"/>
    </row>
    <row r="1856" spans="11:12">
      <c r="K1856" s="18"/>
      <c r="L1856" s="18"/>
    </row>
    <row r="1857" spans="11:12">
      <c r="K1857" s="18"/>
      <c r="L1857" s="18"/>
    </row>
    <row r="1858" spans="11:12">
      <c r="K1858" s="18"/>
      <c r="L1858" s="18"/>
    </row>
    <row r="1859" spans="11:12">
      <c r="K1859" s="18"/>
      <c r="L1859" s="18"/>
    </row>
    <row r="1860" spans="11:12">
      <c r="K1860" s="18"/>
      <c r="L1860" s="18"/>
    </row>
    <row r="1861" spans="11:12">
      <c r="K1861" s="18"/>
      <c r="L1861" s="18"/>
    </row>
    <row r="1862" spans="11:12">
      <c r="K1862" s="18"/>
      <c r="L1862" s="18"/>
    </row>
    <row r="1863" spans="11:12">
      <c r="K1863" s="18"/>
      <c r="L1863" s="18"/>
    </row>
    <row r="1864" spans="11:12">
      <c r="K1864" s="18"/>
      <c r="L1864" s="18"/>
    </row>
    <row r="1865" spans="11:12">
      <c r="K1865" s="18"/>
      <c r="L1865" s="18"/>
    </row>
    <row r="1866" spans="11:12">
      <c r="K1866" s="18"/>
      <c r="L1866" s="18"/>
    </row>
    <row r="1867" spans="11:12">
      <c r="K1867" s="18"/>
      <c r="L1867" s="18"/>
    </row>
    <row r="1868" spans="11:12">
      <c r="K1868" s="18"/>
      <c r="L1868" s="18"/>
    </row>
    <row r="1869" spans="11:12">
      <c r="K1869" s="18"/>
      <c r="L1869" s="18"/>
    </row>
    <row r="1870" spans="11:12">
      <c r="K1870" s="18"/>
      <c r="L1870" s="18"/>
    </row>
    <row r="1871" spans="11:12">
      <c r="K1871" s="18"/>
      <c r="L1871" s="18"/>
    </row>
    <row r="1872" spans="11:12">
      <c r="K1872" s="18"/>
      <c r="L1872" s="18"/>
    </row>
    <row r="1873" spans="11:12">
      <c r="K1873" s="18"/>
      <c r="L1873" s="18"/>
    </row>
    <row r="1874" spans="11:12">
      <c r="K1874" s="18"/>
      <c r="L1874" s="18"/>
    </row>
    <row r="1875" spans="11:12">
      <c r="K1875" s="18"/>
      <c r="L1875" s="18"/>
    </row>
    <row r="1876" spans="11:12">
      <c r="K1876" s="18"/>
      <c r="L1876" s="18"/>
    </row>
    <row r="1877" spans="11:12">
      <c r="K1877" s="18"/>
      <c r="L1877" s="18"/>
    </row>
    <row r="1878" spans="11:12">
      <c r="K1878" s="18"/>
      <c r="L1878" s="18"/>
    </row>
    <row r="1879" spans="11:12">
      <c r="K1879" s="18"/>
      <c r="L1879" s="18"/>
    </row>
    <row r="1880" spans="11:12">
      <c r="K1880" s="18"/>
      <c r="L1880" s="18"/>
    </row>
    <row r="1881" spans="11:12">
      <c r="K1881" s="18"/>
      <c r="L1881" s="18"/>
    </row>
    <row r="1882" spans="11:12">
      <c r="K1882" s="18"/>
      <c r="L1882" s="18"/>
    </row>
    <row r="1883" spans="11:12">
      <c r="K1883" s="18"/>
      <c r="L1883" s="18"/>
    </row>
    <row r="1884" spans="11:12">
      <c r="K1884" s="18"/>
      <c r="L1884" s="18"/>
    </row>
    <row r="1885" spans="11:12">
      <c r="K1885" s="18"/>
      <c r="L1885" s="18"/>
    </row>
    <row r="1886" spans="11:12">
      <c r="K1886" s="18"/>
      <c r="L1886" s="18"/>
    </row>
    <row r="1887" spans="11:12">
      <c r="K1887" s="18"/>
      <c r="L1887" s="18"/>
    </row>
    <row r="1888" spans="11:12">
      <c r="K1888" s="18"/>
      <c r="L1888" s="18"/>
    </row>
    <row r="1889" spans="11:12">
      <c r="K1889" s="18"/>
      <c r="L1889" s="18"/>
    </row>
    <row r="1890" spans="11:12">
      <c r="K1890" s="18"/>
      <c r="L1890" s="18"/>
    </row>
    <row r="1891" spans="11:12">
      <c r="K1891" s="18"/>
      <c r="L1891" s="18"/>
    </row>
    <row r="1892" spans="11:12">
      <c r="K1892" s="18"/>
      <c r="L1892" s="18"/>
    </row>
    <row r="1893" spans="11:12">
      <c r="K1893" s="18"/>
      <c r="L1893" s="18"/>
    </row>
    <row r="1894" spans="11:12">
      <c r="K1894" s="18"/>
      <c r="L1894" s="18"/>
    </row>
    <row r="1895" spans="11:12">
      <c r="K1895" s="18"/>
      <c r="L1895" s="18"/>
    </row>
    <row r="1896" spans="11:12">
      <c r="K1896" s="18"/>
      <c r="L1896" s="18"/>
    </row>
    <row r="1897" spans="11:12">
      <c r="K1897" s="18"/>
      <c r="L1897" s="18"/>
    </row>
    <row r="1898" spans="11:12">
      <c r="K1898" s="18"/>
      <c r="L1898" s="18"/>
    </row>
    <row r="1899" spans="11:12">
      <c r="K1899" s="18"/>
      <c r="L1899" s="18"/>
    </row>
    <row r="1900" spans="11:12">
      <c r="K1900" s="18"/>
      <c r="L1900" s="18"/>
    </row>
    <row r="1901" spans="11:12">
      <c r="K1901" s="18"/>
      <c r="L1901" s="18"/>
    </row>
    <row r="1902" spans="11:12">
      <c r="K1902" s="18"/>
      <c r="L1902" s="18"/>
    </row>
    <row r="1903" spans="11:12">
      <c r="K1903" s="18"/>
      <c r="L1903" s="18"/>
    </row>
    <row r="1904" spans="11:12">
      <c r="K1904" s="18"/>
      <c r="L1904" s="18"/>
    </row>
    <row r="1905" spans="11:12">
      <c r="K1905" s="18"/>
      <c r="L1905" s="18"/>
    </row>
    <row r="1906" spans="11:12">
      <c r="K1906" s="18"/>
      <c r="L1906" s="18"/>
    </row>
    <row r="1907" spans="11:12">
      <c r="K1907" s="18"/>
      <c r="L1907" s="18"/>
    </row>
    <row r="1908" spans="11:12">
      <c r="K1908" s="18"/>
      <c r="L1908" s="18"/>
    </row>
    <row r="1909" spans="11:12">
      <c r="K1909" s="18"/>
      <c r="L1909" s="18"/>
    </row>
    <row r="1910" spans="11:12">
      <c r="K1910" s="18"/>
      <c r="L1910" s="18"/>
    </row>
    <row r="1911" spans="11:12">
      <c r="K1911" s="18"/>
      <c r="L1911" s="18"/>
    </row>
    <row r="1912" spans="11:12">
      <c r="K1912" s="18"/>
      <c r="L1912" s="18"/>
    </row>
    <row r="1913" spans="11:12">
      <c r="K1913" s="18"/>
      <c r="L1913" s="18"/>
    </row>
    <row r="1914" spans="11:12">
      <c r="K1914" s="18"/>
      <c r="L1914" s="18"/>
    </row>
    <row r="1915" spans="11:12">
      <c r="K1915" s="18"/>
      <c r="L1915" s="18"/>
    </row>
    <row r="1916" spans="11:12">
      <c r="K1916" s="18"/>
      <c r="L1916" s="18"/>
    </row>
    <row r="1917" spans="11:12">
      <c r="K1917" s="18"/>
      <c r="L1917" s="18"/>
    </row>
    <row r="1918" spans="11:12">
      <c r="K1918" s="18"/>
      <c r="L1918" s="18"/>
    </row>
    <row r="1919" spans="11:12">
      <c r="K1919" s="18"/>
      <c r="L1919" s="18"/>
    </row>
    <row r="1920" spans="11:12">
      <c r="K1920" s="18"/>
      <c r="L1920" s="18"/>
    </row>
    <row r="1921" spans="11:12">
      <c r="K1921" s="18"/>
      <c r="L1921" s="18"/>
    </row>
    <row r="1922" spans="11:12">
      <c r="K1922" s="18"/>
      <c r="L1922" s="18"/>
    </row>
    <row r="1923" spans="11:12">
      <c r="K1923" s="18"/>
      <c r="L1923" s="18"/>
    </row>
    <row r="1924" spans="11:12">
      <c r="K1924" s="18"/>
      <c r="L1924" s="18"/>
    </row>
    <row r="1925" spans="11:12">
      <c r="K1925" s="18"/>
      <c r="L1925" s="18"/>
    </row>
    <row r="1926" spans="11:12">
      <c r="K1926" s="18"/>
      <c r="L1926" s="18"/>
    </row>
    <row r="1927" spans="11:12">
      <c r="K1927" s="18"/>
      <c r="L1927" s="18"/>
    </row>
    <row r="1928" spans="11:12">
      <c r="K1928" s="18"/>
      <c r="L1928" s="18"/>
    </row>
    <row r="1929" spans="11:12">
      <c r="K1929" s="18"/>
      <c r="L1929" s="18"/>
    </row>
    <row r="1930" spans="11:12">
      <c r="K1930" s="18"/>
      <c r="L1930" s="18"/>
    </row>
    <row r="1931" spans="11:12">
      <c r="K1931" s="18"/>
      <c r="L1931" s="18"/>
    </row>
    <row r="1932" spans="11:12">
      <c r="K1932" s="18"/>
      <c r="L1932" s="18"/>
    </row>
    <row r="1933" spans="11:12">
      <c r="K1933" s="18"/>
      <c r="L1933" s="18"/>
    </row>
    <row r="1934" spans="11:12">
      <c r="K1934" s="18"/>
      <c r="L1934" s="18"/>
    </row>
    <row r="1935" spans="11:12">
      <c r="K1935" s="18"/>
      <c r="L1935" s="18"/>
    </row>
    <row r="1936" spans="11:12">
      <c r="K1936" s="18"/>
      <c r="L1936" s="18"/>
    </row>
    <row r="1937" spans="11:12">
      <c r="K1937" s="18"/>
      <c r="L1937" s="18"/>
    </row>
    <row r="1938" spans="11:12">
      <c r="K1938" s="18"/>
      <c r="L1938" s="18"/>
    </row>
    <row r="1939" spans="11:12">
      <c r="K1939" s="18"/>
      <c r="L1939" s="18"/>
    </row>
    <row r="1940" spans="11:12">
      <c r="K1940" s="18"/>
      <c r="L1940" s="18"/>
    </row>
    <row r="1941" spans="11:12">
      <c r="K1941" s="18"/>
      <c r="L1941" s="18"/>
    </row>
    <row r="1942" spans="11:12">
      <c r="K1942" s="18"/>
      <c r="L1942" s="18"/>
    </row>
    <row r="1943" spans="11:12">
      <c r="K1943" s="18"/>
      <c r="L1943" s="18"/>
    </row>
    <row r="1944" spans="11:12">
      <c r="K1944" s="18"/>
      <c r="L1944" s="18"/>
    </row>
    <row r="1945" spans="11:12">
      <c r="K1945" s="18"/>
      <c r="L1945" s="18"/>
    </row>
    <row r="1946" spans="11:12">
      <c r="K1946" s="18"/>
      <c r="L1946" s="18"/>
    </row>
    <row r="1947" spans="11:12">
      <c r="K1947" s="18"/>
      <c r="L1947" s="18"/>
    </row>
    <row r="1948" spans="11:12">
      <c r="K1948" s="18"/>
      <c r="L1948" s="18"/>
    </row>
    <row r="1949" spans="11:12">
      <c r="K1949" s="18"/>
      <c r="L1949" s="18"/>
    </row>
    <row r="1950" spans="11:12">
      <c r="K1950" s="18"/>
      <c r="L1950" s="18"/>
    </row>
    <row r="1951" spans="11:12">
      <c r="K1951" s="18"/>
      <c r="L1951" s="18"/>
    </row>
    <row r="1952" spans="11:12">
      <c r="K1952" s="18"/>
      <c r="L1952" s="18"/>
    </row>
    <row r="1953" spans="11:12">
      <c r="K1953" s="18"/>
      <c r="L1953" s="18"/>
    </row>
    <row r="1954" spans="11:12">
      <c r="K1954" s="18"/>
      <c r="L1954" s="18"/>
    </row>
    <row r="1955" spans="11:12">
      <c r="K1955" s="18"/>
      <c r="L1955" s="18"/>
    </row>
    <row r="1956" spans="11:12">
      <c r="K1956" s="18"/>
      <c r="L1956" s="18"/>
    </row>
    <row r="1957" spans="11:12">
      <c r="K1957" s="18"/>
      <c r="L1957" s="18"/>
    </row>
    <row r="1958" spans="11:12">
      <c r="K1958" s="18"/>
      <c r="L1958" s="18"/>
    </row>
    <row r="1959" spans="11:12">
      <c r="K1959" s="18"/>
      <c r="L1959" s="18"/>
    </row>
    <row r="1960" spans="11:12">
      <c r="K1960" s="18"/>
      <c r="L1960" s="18"/>
    </row>
    <row r="1961" spans="11:12">
      <c r="K1961" s="18"/>
      <c r="L1961" s="18"/>
    </row>
    <row r="1962" spans="11:12">
      <c r="K1962" s="18"/>
      <c r="L1962" s="18"/>
    </row>
    <row r="1963" spans="11:12">
      <c r="K1963" s="18"/>
      <c r="L1963" s="18"/>
    </row>
    <row r="1964" spans="11:12">
      <c r="K1964" s="18"/>
      <c r="L1964" s="18"/>
    </row>
    <row r="1965" spans="11:12">
      <c r="K1965" s="18"/>
      <c r="L1965" s="18"/>
    </row>
    <row r="1966" spans="11:12">
      <c r="K1966" s="18"/>
      <c r="L1966" s="18"/>
    </row>
    <row r="1967" spans="11:12">
      <c r="K1967" s="18"/>
      <c r="L1967" s="18"/>
    </row>
    <row r="1968" spans="11:12">
      <c r="K1968" s="18"/>
      <c r="L1968" s="18"/>
    </row>
    <row r="1969" spans="11:12">
      <c r="K1969" s="18"/>
      <c r="L1969" s="18"/>
    </row>
    <row r="1970" spans="11:12">
      <c r="K1970" s="18"/>
      <c r="L1970" s="18"/>
    </row>
    <row r="1971" spans="11:12">
      <c r="K1971" s="18"/>
      <c r="L1971" s="18"/>
    </row>
    <row r="1972" spans="11:12">
      <c r="K1972" s="18"/>
      <c r="L1972" s="18"/>
    </row>
    <row r="1973" spans="11:12">
      <c r="K1973" s="18"/>
      <c r="L1973" s="18"/>
    </row>
    <row r="1974" spans="11:12">
      <c r="K1974" s="18"/>
      <c r="L1974" s="18"/>
    </row>
    <row r="1975" spans="11:12">
      <c r="K1975" s="18"/>
      <c r="L1975" s="18"/>
    </row>
    <row r="1976" spans="11:12">
      <c r="K1976" s="18"/>
      <c r="L1976" s="18"/>
    </row>
    <row r="1977" spans="11:12">
      <c r="K1977" s="18"/>
      <c r="L1977" s="18"/>
    </row>
    <row r="1978" spans="11:12">
      <c r="K1978" s="18"/>
      <c r="L1978" s="18"/>
    </row>
    <row r="1979" spans="11:12">
      <c r="K1979" s="18"/>
      <c r="L1979" s="18"/>
    </row>
    <row r="1980" spans="11:12">
      <c r="K1980" s="18"/>
      <c r="L1980" s="18"/>
    </row>
    <row r="1981" spans="11:12">
      <c r="K1981" s="18"/>
      <c r="L1981" s="18"/>
    </row>
    <row r="1982" spans="11:12">
      <c r="K1982" s="18"/>
      <c r="L1982" s="18"/>
    </row>
    <row r="1983" spans="11:12">
      <c r="K1983" s="18"/>
      <c r="L1983" s="18"/>
    </row>
    <row r="1984" spans="11:12">
      <c r="K1984" s="18"/>
      <c r="L1984" s="18"/>
    </row>
    <row r="1985" spans="11:12">
      <c r="K1985" s="18"/>
      <c r="L1985" s="18"/>
    </row>
    <row r="1986" spans="11:12">
      <c r="K1986" s="18"/>
      <c r="L1986" s="18"/>
    </row>
    <row r="1987" spans="11:12">
      <c r="K1987" s="18"/>
      <c r="L1987" s="18"/>
    </row>
    <row r="1988" spans="11:12">
      <c r="K1988" s="18"/>
      <c r="L1988" s="18"/>
    </row>
    <row r="1989" spans="11:12">
      <c r="K1989" s="18"/>
      <c r="L1989" s="18"/>
    </row>
    <row r="1990" spans="11:12">
      <c r="K1990" s="18"/>
      <c r="L1990" s="18"/>
    </row>
    <row r="1991" spans="11:12">
      <c r="K1991" s="18"/>
      <c r="L1991" s="18"/>
    </row>
    <row r="1992" spans="11:12">
      <c r="K1992" s="18"/>
      <c r="L1992" s="18"/>
    </row>
    <row r="1993" spans="11:12">
      <c r="K1993" s="18"/>
      <c r="L1993" s="18"/>
    </row>
    <row r="1994" spans="11:12">
      <c r="K1994" s="18"/>
      <c r="L1994" s="18"/>
    </row>
    <row r="1995" spans="11:12">
      <c r="K1995" s="18"/>
      <c r="L1995" s="18"/>
    </row>
    <row r="1996" spans="11:12">
      <c r="K1996" s="18"/>
      <c r="L1996" s="18"/>
    </row>
    <row r="1997" spans="11:12">
      <c r="K1997" s="18"/>
      <c r="L1997" s="18"/>
    </row>
    <row r="1998" spans="11:12">
      <c r="K1998" s="18"/>
      <c r="L1998" s="18"/>
    </row>
    <row r="1999" spans="11:12">
      <c r="K1999" s="18"/>
      <c r="L1999" s="18"/>
    </row>
    <row r="2000" spans="11:12">
      <c r="K2000" s="18"/>
      <c r="L2000" s="18"/>
    </row>
    <row r="2001" spans="11:12">
      <c r="K2001" s="18"/>
      <c r="L2001" s="18"/>
    </row>
    <row r="2002" spans="11:12">
      <c r="K2002" s="18"/>
      <c r="L2002" s="18"/>
    </row>
    <row r="2003" spans="11:12">
      <c r="K2003" s="18"/>
      <c r="L2003" s="18"/>
    </row>
    <row r="2004" spans="11:12">
      <c r="K2004" s="18"/>
      <c r="L2004" s="18"/>
    </row>
    <row r="2005" spans="11:12">
      <c r="K2005" s="18"/>
      <c r="L2005" s="18"/>
    </row>
    <row r="2006" spans="11:12">
      <c r="K2006" s="18"/>
      <c r="L2006" s="18"/>
    </row>
    <row r="2007" spans="11:12">
      <c r="K2007" s="18"/>
      <c r="L2007" s="18"/>
    </row>
    <row r="2008" spans="11:12">
      <c r="K2008" s="18"/>
      <c r="L2008" s="18"/>
    </row>
    <row r="2009" spans="11:12">
      <c r="K2009" s="18"/>
      <c r="L2009" s="18"/>
    </row>
    <row r="2010" spans="11:12">
      <c r="K2010" s="18"/>
      <c r="L2010" s="18"/>
    </row>
    <row r="2011" spans="11:12">
      <c r="K2011" s="18"/>
      <c r="L2011" s="18"/>
    </row>
    <row r="2012" spans="11:12">
      <c r="K2012" s="18"/>
      <c r="L2012" s="18"/>
    </row>
    <row r="2013" spans="11:12">
      <c r="K2013" s="18"/>
      <c r="L2013" s="18"/>
    </row>
    <row r="2014" spans="11:12">
      <c r="K2014" s="18"/>
      <c r="L2014" s="18"/>
    </row>
    <row r="2015" spans="11:12">
      <c r="K2015" s="18"/>
      <c r="L2015" s="18"/>
    </row>
    <row r="2016" spans="11:12">
      <c r="K2016" s="18"/>
      <c r="L2016" s="18"/>
    </row>
    <row r="2017" spans="11:12">
      <c r="K2017" s="18"/>
      <c r="L2017" s="18"/>
    </row>
    <row r="2018" spans="11:12">
      <c r="K2018" s="18"/>
      <c r="L2018" s="18"/>
    </row>
    <row r="2019" spans="11:12">
      <c r="K2019" s="18"/>
      <c r="L2019" s="18"/>
    </row>
    <row r="2020" spans="11:12">
      <c r="K2020" s="18"/>
      <c r="L2020" s="18"/>
    </row>
    <row r="2021" spans="11:12">
      <c r="K2021" s="18"/>
      <c r="L2021" s="18"/>
    </row>
    <row r="2022" spans="11:12">
      <c r="K2022" s="18"/>
      <c r="L2022" s="18"/>
    </row>
    <row r="2023" spans="11:12">
      <c r="K2023" s="18"/>
      <c r="L2023" s="18"/>
    </row>
    <row r="2024" spans="11:12">
      <c r="K2024" s="18"/>
      <c r="L2024" s="18"/>
    </row>
    <row r="2025" spans="11:12">
      <c r="K2025" s="18"/>
      <c r="L2025" s="18"/>
    </row>
    <row r="2026" spans="11:12">
      <c r="K2026" s="18"/>
      <c r="L2026" s="18"/>
    </row>
    <row r="2027" spans="11:12">
      <c r="K2027" s="18"/>
      <c r="L2027" s="18"/>
    </row>
    <row r="2028" spans="11:12">
      <c r="K2028" s="18"/>
      <c r="L2028" s="18"/>
    </row>
    <row r="2029" spans="11:12">
      <c r="K2029" s="18"/>
      <c r="L2029" s="18"/>
    </row>
    <row r="2030" spans="11:12">
      <c r="K2030" s="18"/>
      <c r="L2030" s="18"/>
    </row>
    <row r="2031" spans="11:12">
      <c r="K2031" s="18"/>
      <c r="L2031" s="18"/>
    </row>
    <row r="2032" spans="11:12">
      <c r="K2032" s="18"/>
      <c r="L2032" s="18"/>
    </row>
    <row r="2033" spans="11:12">
      <c r="K2033" s="18"/>
      <c r="L2033" s="18"/>
    </row>
    <row r="2034" spans="11:12">
      <c r="K2034" s="18"/>
      <c r="L2034" s="18"/>
    </row>
    <row r="2035" spans="11:12">
      <c r="K2035" s="18"/>
      <c r="L2035" s="18"/>
    </row>
    <row r="2036" spans="11:12">
      <c r="K2036" s="18"/>
      <c r="L2036" s="18"/>
    </row>
    <row r="2037" spans="11:12">
      <c r="K2037" s="18"/>
      <c r="L2037" s="18"/>
    </row>
    <row r="2038" spans="11:12">
      <c r="K2038" s="18"/>
      <c r="L2038" s="18"/>
    </row>
    <row r="2039" spans="11:12">
      <c r="K2039" s="18"/>
      <c r="L2039" s="18"/>
    </row>
    <row r="2040" spans="11:12">
      <c r="K2040" s="18"/>
      <c r="L2040" s="18"/>
    </row>
    <row r="2041" spans="11:12">
      <c r="K2041" s="18"/>
      <c r="L2041" s="18"/>
    </row>
    <row r="2042" spans="11:12">
      <c r="K2042" s="18"/>
      <c r="L2042" s="18"/>
    </row>
    <row r="2043" spans="11:12">
      <c r="K2043" s="18"/>
      <c r="L2043" s="18"/>
    </row>
    <row r="2044" spans="11:12">
      <c r="K2044" s="18"/>
      <c r="L2044" s="18"/>
    </row>
    <row r="2045" spans="11:12">
      <c r="K2045" s="18"/>
      <c r="L2045" s="18"/>
    </row>
    <row r="2046" spans="11:12">
      <c r="K2046" s="18"/>
      <c r="L2046" s="18"/>
    </row>
    <row r="2047" spans="11:12">
      <c r="K2047" s="18"/>
      <c r="L2047" s="18"/>
    </row>
    <row r="2048" spans="11:12">
      <c r="K2048" s="18"/>
      <c r="L2048" s="18"/>
    </row>
    <row r="2049" spans="11:12">
      <c r="K2049" s="18"/>
      <c r="L2049" s="18"/>
    </row>
    <row r="2050" spans="11:12">
      <c r="K2050" s="18"/>
      <c r="L2050" s="18"/>
    </row>
    <row r="2051" spans="11:12">
      <c r="K2051" s="18"/>
      <c r="L2051" s="18"/>
    </row>
    <row r="2052" spans="11:12">
      <c r="K2052" s="18"/>
      <c r="L2052" s="18"/>
    </row>
    <row r="2053" spans="11:12">
      <c r="K2053" s="18"/>
      <c r="L2053" s="18"/>
    </row>
    <row r="2054" spans="11:12">
      <c r="K2054" s="18"/>
      <c r="L2054" s="18"/>
    </row>
    <row r="2055" spans="11:12">
      <c r="K2055" s="18"/>
      <c r="L2055" s="18"/>
    </row>
    <row r="2056" spans="11:12">
      <c r="K2056" s="18"/>
      <c r="L2056" s="18"/>
    </row>
    <row r="2057" spans="11:12">
      <c r="K2057" s="18"/>
      <c r="L2057" s="18"/>
    </row>
    <row r="2058" spans="11:12">
      <c r="K2058" s="18"/>
      <c r="L2058" s="18"/>
    </row>
    <row r="2059" spans="11:12">
      <c r="K2059" s="18"/>
      <c r="L2059" s="18"/>
    </row>
    <row r="2060" spans="11:12">
      <c r="K2060" s="18"/>
      <c r="L2060" s="18"/>
    </row>
    <row r="2061" spans="11:12">
      <c r="K2061" s="18"/>
      <c r="L2061" s="18"/>
    </row>
    <row r="2062" spans="11:12">
      <c r="K2062" s="18"/>
      <c r="L2062" s="18"/>
    </row>
    <row r="2063" spans="11:12">
      <c r="K2063" s="18"/>
      <c r="L2063" s="18"/>
    </row>
    <row r="2064" spans="11:12">
      <c r="K2064" s="18"/>
      <c r="L2064" s="18"/>
    </row>
    <row r="2065" spans="11:12">
      <c r="K2065" s="18"/>
      <c r="L2065" s="18"/>
    </row>
    <row r="2066" spans="11:12">
      <c r="K2066" s="18"/>
      <c r="L2066" s="18"/>
    </row>
    <row r="2067" spans="11:12">
      <c r="K2067" s="18"/>
      <c r="L2067" s="18"/>
    </row>
    <row r="2068" spans="11:12">
      <c r="K2068" s="18"/>
      <c r="L2068" s="18"/>
    </row>
    <row r="2069" spans="11:12">
      <c r="K2069" s="18"/>
      <c r="L2069" s="18"/>
    </row>
    <row r="2070" spans="11:12">
      <c r="K2070" s="18"/>
      <c r="L2070" s="18"/>
    </row>
    <row r="2071" spans="11:12">
      <c r="K2071" s="18"/>
      <c r="L2071" s="18"/>
    </row>
    <row r="2072" spans="11:12">
      <c r="K2072" s="18"/>
      <c r="L2072" s="18"/>
    </row>
    <row r="2073" spans="11:12">
      <c r="K2073" s="18"/>
      <c r="L2073" s="18"/>
    </row>
    <row r="2074" spans="11:12">
      <c r="K2074" s="18"/>
      <c r="L2074" s="18"/>
    </row>
    <row r="2075" spans="11:12">
      <c r="K2075" s="18"/>
      <c r="L2075" s="18"/>
    </row>
    <row r="2076" spans="11:12">
      <c r="K2076" s="18"/>
      <c r="L2076" s="18"/>
    </row>
    <row r="2077" spans="11:12">
      <c r="K2077" s="18"/>
      <c r="L2077" s="18"/>
    </row>
    <row r="2078" spans="11:12">
      <c r="K2078" s="18"/>
      <c r="L2078" s="18"/>
    </row>
    <row r="2079" spans="11:12">
      <c r="K2079" s="18"/>
      <c r="L2079" s="18"/>
    </row>
    <row r="2080" spans="11:12">
      <c r="K2080" s="18"/>
      <c r="L2080" s="18"/>
    </row>
    <row r="2081" spans="11:12">
      <c r="K2081" s="18"/>
      <c r="L2081" s="18"/>
    </row>
    <row r="2082" spans="11:12">
      <c r="K2082" s="18"/>
      <c r="L2082" s="18"/>
    </row>
    <row r="2083" spans="11:12">
      <c r="K2083" s="18"/>
      <c r="L2083" s="18"/>
    </row>
    <row r="2084" spans="11:12">
      <c r="K2084" s="18"/>
      <c r="L2084" s="18"/>
    </row>
    <row r="2085" spans="11:12">
      <c r="K2085" s="18"/>
      <c r="L2085" s="18"/>
    </row>
    <row r="2086" spans="11:12">
      <c r="K2086" s="18"/>
      <c r="L2086" s="18"/>
    </row>
    <row r="2087" spans="11:12">
      <c r="K2087" s="18"/>
      <c r="L2087" s="18"/>
    </row>
    <row r="2088" spans="11:12">
      <c r="K2088" s="18"/>
      <c r="L2088" s="18"/>
    </row>
    <row r="2089" spans="11:12">
      <c r="K2089" s="18"/>
      <c r="L2089" s="18"/>
    </row>
    <row r="2090" spans="11:12">
      <c r="K2090" s="18"/>
      <c r="L2090" s="18"/>
    </row>
    <row r="2091" spans="11:12">
      <c r="K2091" s="18"/>
      <c r="L2091" s="18"/>
    </row>
    <row r="2092" spans="11:12">
      <c r="K2092" s="18"/>
      <c r="L2092" s="18"/>
    </row>
    <row r="2093" spans="11:12">
      <c r="K2093" s="18"/>
      <c r="L2093" s="18"/>
    </row>
    <row r="2094" spans="11:12">
      <c r="K2094" s="18"/>
      <c r="L2094" s="18"/>
    </row>
    <row r="2095" spans="11:12">
      <c r="K2095" s="18"/>
      <c r="L2095" s="18"/>
    </row>
    <row r="2096" spans="11:12">
      <c r="K2096" s="18"/>
      <c r="L2096" s="18"/>
    </row>
    <row r="2097" spans="11:12">
      <c r="K2097" s="18"/>
      <c r="L2097" s="18"/>
    </row>
    <row r="2098" spans="11:12">
      <c r="K2098" s="18"/>
      <c r="L2098" s="18"/>
    </row>
    <row r="2099" spans="11:12">
      <c r="K2099" s="18"/>
      <c r="L2099" s="18"/>
    </row>
    <row r="2100" spans="11:12">
      <c r="K2100" s="18"/>
      <c r="L2100" s="18"/>
    </row>
    <row r="2101" spans="11:12">
      <c r="K2101" s="18"/>
      <c r="L2101" s="18"/>
    </row>
    <row r="2102" spans="11:12">
      <c r="K2102" s="18"/>
      <c r="L2102" s="18"/>
    </row>
    <row r="2103" spans="11:12">
      <c r="K2103" s="18"/>
      <c r="L2103" s="18"/>
    </row>
    <row r="2104" spans="11:12">
      <c r="K2104" s="18"/>
      <c r="L2104" s="18"/>
    </row>
    <row r="2105" spans="11:12">
      <c r="K2105" s="18"/>
      <c r="L2105" s="18"/>
    </row>
    <row r="2106" spans="11:12">
      <c r="K2106" s="18"/>
      <c r="L2106" s="18"/>
    </row>
    <row r="2107" spans="11:12">
      <c r="K2107" s="18"/>
      <c r="L2107" s="18"/>
    </row>
    <row r="2108" spans="11:12">
      <c r="K2108" s="18"/>
      <c r="L2108" s="18"/>
    </row>
    <row r="2109" spans="11:12">
      <c r="K2109" s="18"/>
      <c r="L2109" s="18"/>
    </row>
    <row r="2110" spans="11:12">
      <c r="K2110" s="18"/>
      <c r="L2110" s="18"/>
    </row>
    <row r="2111" spans="11:12">
      <c r="K2111" s="18"/>
      <c r="L2111" s="18"/>
    </row>
    <row r="2112" spans="11:12">
      <c r="K2112" s="18"/>
      <c r="L2112" s="18"/>
    </row>
    <row r="2113" spans="11:12">
      <c r="K2113" s="18"/>
      <c r="L2113" s="18"/>
    </row>
    <row r="2114" spans="11:12">
      <c r="K2114" s="18"/>
      <c r="L2114" s="18"/>
    </row>
    <row r="2115" spans="11:12">
      <c r="K2115" s="18"/>
      <c r="L2115" s="18"/>
    </row>
    <row r="2116" spans="11:12">
      <c r="K2116" s="18"/>
      <c r="L2116" s="18"/>
    </row>
    <row r="2117" spans="11:12">
      <c r="K2117" s="18"/>
      <c r="L2117" s="18"/>
    </row>
    <row r="2118" spans="11:12">
      <c r="K2118" s="18"/>
      <c r="L2118" s="18"/>
    </row>
    <row r="2119" spans="11:12">
      <c r="K2119" s="18"/>
      <c r="L2119" s="18"/>
    </row>
    <row r="2120" spans="11:12">
      <c r="K2120" s="18"/>
      <c r="L2120" s="18"/>
    </row>
    <row r="2121" spans="11:12">
      <c r="K2121" s="18"/>
      <c r="L2121" s="18"/>
    </row>
    <row r="2122" spans="11:12">
      <c r="K2122" s="18"/>
      <c r="L2122" s="18"/>
    </row>
    <row r="2123" spans="11:12">
      <c r="K2123" s="18"/>
      <c r="L2123" s="18"/>
    </row>
    <row r="2124" spans="11:12">
      <c r="K2124" s="18"/>
      <c r="L2124" s="18"/>
    </row>
    <row r="2125" spans="11:12">
      <c r="K2125" s="18"/>
      <c r="L2125" s="18"/>
    </row>
    <row r="2126" spans="11:12">
      <c r="K2126" s="18"/>
      <c r="L2126" s="18"/>
    </row>
    <row r="2127" spans="11:12">
      <c r="K2127" s="18"/>
      <c r="L2127" s="18"/>
    </row>
    <row r="2128" spans="11:12">
      <c r="K2128" s="18"/>
      <c r="L2128" s="18"/>
    </row>
    <row r="2129" spans="11:12">
      <c r="K2129" s="18"/>
      <c r="L2129" s="18"/>
    </row>
    <row r="2130" spans="11:12">
      <c r="K2130" s="18"/>
      <c r="L2130" s="18"/>
    </row>
    <row r="2131" spans="11:12">
      <c r="K2131" s="18"/>
      <c r="L2131" s="18"/>
    </row>
    <row r="2132" spans="11:12">
      <c r="K2132" s="18"/>
      <c r="L2132" s="18"/>
    </row>
    <row r="2133" spans="11:12">
      <c r="K2133" s="18"/>
      <c r="L2133" s="18"/>
    </row>
    <row r="2134" spans="11:12">
      <c r="K2134" s="18"/>
      <c r="L2134" s="18"/>
    </row>
    <row r="2135" spans="11:12">
      <c r="K2135" s="18"/>
      <c r="L2135" s="18"/>
    </row>
    <row r="2136" spans="11:12">
      <c r="K2136" s="18"/>
      <c r="L2136" s="18"/>
    </row>
    <row r="2137" spans="11:12">
      <c r="K2137" s="18"/>
      <c r="L2137" s="18"/>
    </row>
    <row r="2138" spans="11:12">
      <c r="K2138" s="18"/>
      <c r="L2138" s="18"/>
    </row>
    <row r="2139" spans="11:12">
      <c r="K2139" s="18"/>
      <c r="L2139" s="18"/>
    </row>
    <row r="2140" spans="11:12">
      <c r="K2140" s="18"/>
      <c r="L2140" s="18"/>
    </row>
    <row r="2141" spans="11:12">
      <c r="K2141" s="18"/>
      <c r="L2141" s="18"/>
    </row>
    <row r="2142" spans="11:12">
      <c r="K2142" s="18"/>
      <c r="L2142" s="18"/>
    </row>
    <row r="2143" spans="11:12">
      <c r="K2143" s="18"/>
      <c r="L2143" s="18"/>
    </row>
    <row r="2144" spans="11:12">
      <c r="K2144" s="18"/>
      <c r="L2144" s="18"/>
    </row>
    <row r="2145" spans="11:12">
      <c r="K2145" s="18"/>
      <c r="L2145" s="18"/>
    </row>
    <row r="2146" spans="11:12">
      <c r="K2146" s="18"/>
      <c r="L2146" s="18"/>
    </row>
    <row r="2147" spans="11:12">
      <c r="K2147" s="18"/>
      <c r="L2147" s="18"/>
    </row>
    <row r="2148" spans="11:12">
      <c r="K2148" s="18"/>
      <c r="L2148" s="18"/>
    </row>
    <row r="2149" spans="11:12">
      <c r="K2149" s="18"/>
      <c r="L2149" s="18"/>
    </row>
    <row r="2150" spans="11:12">
      <c r="K2150" s="18"/>
      <c r="L2150" s="18"/>
    </row>
    <row r="2151" spans="11:12">
      <c r="K2151" s="18"/>
      <c r="L2151" s="18"/>
    </row>
    <row r="2152" spans="11:12">
      <c r="K2152" s="18"/>
      <c r="L2152" s="18"/>
    </row>
    <row r="2153" spans="11:12">
      <c r="K2153" s="18"/>
      <c r="L2153" s="18"/>
    </row>
    <row r="2154" spans="11:12">
      <c r="K2154" s="18"/>
      <c r="L2154" s="18"/>
    </row>
    <row r="2155" spans="11:12">
      <c r="K2155" s="18"/>
      <c r="L2155" s="18"/>
    </row>
    <row r="2156" spans="11:12">
      <c r="K2156" s="18"/>
      <c r="L2156" s="18"/>
    </row>
    <row r="2157" spans="11:12">
      <c r="K2157" s="18"/>
      <c r="L2157" s="18"/>
    </row>
    <row r="2158" spans="11:12">
      <c r="K2158" s="18"/>
      <c r="L2158" s="18"/>
    </row>
    <row r="2159" spans="11:12">
      <c r="K2159" s="18"/>
      <c r="L2159" s="18"/>
    </row>
    <row r="2160" spans="11:12">
      <c r="K2160" s="18"/>
      <c r="L2160" s="18"/>
    </row>
    <row r="2161" spans="11:12">
      <c r="K2161" s="18"/>
      <c r="L2161" s="18"/>
    </row>
    <row r="2162" spans="11:12">
      <c r="K2162" s="18"/>
      <c r="L2162" s="18"/>
    </row>
    <row r="2163" spans="11:12">
      <c r="K2163" s="18"/>
      <c r="L2163" s="18"/>
    </row>
    <row r="2164" spans="11:12">
      <c r="K2164" s="18"/>
      <c r="L2164" s="18"/>
    </row>
    <row r="2165" spans="11:12">
      <c r="K2165" s="18"/>
      <c r="L2165" s="18"/>
    </row>
    <row r="2166" spans="11:12">
      <c r="K2166" s="18"/>
      <c r="L2166" s="18"/>
    </row>
    <row r="2167" spans="11:12">
      <c r="K2167" s="18"/>
      <c r="L2167" s="18"/>
    </row>
    <row r="2168" spans="11:12">
      <c r="K2168" s="18"/>
      <c r="L2168" s="18"/>
    </row>
    <row r="2169" spans="11:12">
      <c r="K2169" s="18"/>
      <c r="L2169" s="18"/>
    </row>
    <row r="2170" spans="11:12">
      <c r="K2170" s="18"/>
      <c r="L2170" s="18"/>
    </row>
    <row r="2171" spans="11:12">
      <c r="K2171" s="18"/>
      <c r="L2171" s="18"/>
    </row>
    <row r="2172" spans="11:12">
      <c r="K2172" s="18"/>
      <c r="L2172" s="18"/>
    </row>
    <row r="2173" spans="11:12">
      <c r="K2173" s="18"/>
      <c r="L2173" s="18"/>
    </row>
    <row r="2174" spans="11:12">
      <c r="K2174" s="18"/>
      <c r="L2174" s="18"/>
    </row>
    <row r="2175" spans="11:12">
      <c r="K2175" s="18"/>
      <c r="L2175" s="18"/>
    </row>
    <row r="2176" spans="11:12">
      <c r="K2176" s="18"/>
      <c r="L2176" s="18"/>
    </row>
    <row r="2177" spans="11:12">
      <c r="K2177" s="18"/>
      <c r="L2177" s="18"/>
    </row>
    <row r="2178" spans="11:12">
      <c r="K2178" s="18"/>
      <c r="L2178" s="18"/>
    </row>
    <row r="2179" spans="11:12">
      <c r="K2179" s="18"/>
      <c r="L2179" s="18"/>
    </row>
    <row r="2180" spans="11:12">
      <c r="K2180" s="18"/>
      <c r="L2180" s="18"/>
    </row>
    <row r="2181" spans="11:12">
      <c r="K2181" s="18"/>
      <c r="L2181" s="18"/>
    </row>
    <row r="2182" spans="11:12">
      <c r="K2182" s="18"/>
      <c r="L2182" s="18"/>
    </row>
    <row r="2183" spans="11:12">
      <c r="K2183" s="18"/>
      <c r="L2183" s="18"/>
    </row>
    <row r="2184" spans="11:12">
      <c r="K2184" s="18"/>
      <c r="L2184" s="18"/>
    </row>
    <row r="2185" spans="11:12">
      <c r="K2185" s="18"/>
      <c r="L2185" s="18"/>
    </row>
    <row r="2186" spans="11:12">
      <c r="K2186" s="18"/>
      <c r="L2186" s="18"/>
    </row>
    <row r="2187" spans="11:12">
      <c r="K2187" s="18"/>
      <c r="L2187" s="18"/>
    </row>
    <row r="2188" spans="11:12">
      <c r="K2188" s="18"/>
      <c r="L2188" s="18"/>
    </row>
    <row r="2189" spans="11:12">
      <c r="K2189" s="18"/>
      <c r="L2189" s="18"/>
    </row>
    <row r="2190" spans="11:12">
      <c r="K2190" s="18"/>
      <c r="L2190" s="18"/>
    </row>
    <row r="2191" spans="11:12">
      <c r="K2191" s="18"/>
      <c r="L2191" s="18"/>
    </row>
    <row r="2192" spans="11:12">
      <c r="K2192" s="18"/>
      <c r="L2192" s="18"/>
    </row>
    <row r="2193" spans="11:12">
      <c r="K2193" s="18"/>
      <c r="L2193" s="18"/>
    </row>
    <row r="2194" spans="11:12">
      <c r="K2194" s="18"/>
      <c r="L2194" s="18"/>
    </row>
    <row r="2195" spans="11:12">
      <c r="K2195" s="18"/>
      <c r="L2195" s="18"/>
    </row>
    <row r="2196" spans="11:12">
      <c r="K2196" s="18"/>
      <c r="L2196" s="18"/>
    </row>
    <row r="2197" spans="11:12">
      <c r="K2197" s="18"/>
      <c r="L2197" s="18"/>
    </row>
    <row r="2198" spans="11:12">
      <c r="K2198" s="18"/>
      <c r="L2198" s="18"/>
    </row>
    <row r="2199" spans="11:12">
      <c r="K2199" s="18"/>
      <c r="L2199" s="18"/>
    </row>
    <row r="2200" spans="11:12">
      <c r="K2200" s="18"/>
      <c r="L2200" s="18"/>
    </row>
    <row r="2201" spans="11:12">
      <c r="K2201" s="18"/>
      <c r="L2201" s="18"/>
    </row>
    <row r="2202" spans="11:12">
      <c r="K2202" s="18"/>
      <c r="L2202" s="18"/>
    </row>
    <row r="2203" spans="11:12">
      <c r="K2203" s="18"/>
      <c r="L2203" s="18"/>
    </row>
    <row r="2204" spans="11:12">
      <c r="K2204" s="18"/>
      <c r="L2204" s="18"/>
    </row>
    <row r="2205" spans="11:12">
      <c r="K2205" s="18"/>
      <c r="L2205" s="18"/>
    </row>
    <row r="2206" spans="11:12">
      <c r="K2206" s="18"/>
      <c r="L2206" s="18"/>
    </row>
    <row r="2207" spans="11:12">
      <c r="K2207" s="18"/>
      <c r="L2207" s="18"/>
    </row>
    <row r="2208" spans="11:12">
      <c r="K2208" s="18"/>
      <c r="L2208" s="18"/>
    </row>
    <row r="2209" spans="11:12">
      <c r="K2209" s="18"/>
      <c r="L2209" s="18"/>
    </row>
    <row r="2210" spans="11:12">
      <c r="K2210" s="18"/>
      <c r="L2210" s="18"/>
    </row>
    <row r="2211" spans="11:12">
      <c r="K2211" s="18"/>
      <c r="L2211" s="18"/>
    </row>
    <row r="2212" spans="11:12">
      <c r="K2212" s="18"/>
      <c r="L2212" s="18"/>
    </row>
    <row r="2213" spans="11:12">
      <c r="K2213" s="18"/>
      <c r="L2213" s="18"/>
    </row>
    <row r="2214" spans="11:12">
      <c r="K2214" s="18"/>
      <c r="L2214" s="18"/>
    </row>
    <row r="2215" spans="11:12">
      <c r="K2215" s="18"/>
      <c r="L2215" s="18"/>
    </row>
    <row r="2216" spans="11:12">
      <c r="K2216" s="18"/>
      <c r="L2216" s="18"/>
    </row>
    <row r="2217" spans="11:12">
      <c r="K2217" s="18"/>
      <c r="L2217" s="18"/>
    </row>
    <row r="2218" spans="11:12">
      <c r="K2218" s="18"/>
      <c r="L2218" s="18"/>
    </row>
    <row r="2219" spans="11:12">
      <c r="K2219" s="18"/>
      <c r="L2219" s="18"/>
    </row>
    <row r="2220" spans="11:12">
      <c r="K2220" s="18"/>
      <c r="L2220" s="18"/>
    </row>
    <row r="2221" spans="11:12">
      <c r="K2221" s="18"/>
      <c r="L2221" s="18"/>
    </row>
    <row r="2222" spans="11:12">
      <c r="K2222" s="18"/>
      <c r="L2222" s="18"/>
    </row>
    <row r="2223" spans="11:12">
      <c r="K2223" s="18"/>
      <c r="L2223" s="18"/>
    </row>
    <row r="2224" spans="11:12">
      <c r="K2224" s="18"/>
      <c r="L2224" s="18"/>
    </row>
    <row r="2225" spans="11:12">
      <c r="K2225" s="18"/>
      <c r="L2225" s="18"/>
    </row>
    <row r="2226" spans="11:12">
      <c r="K2226" s="18"/>
      <c r="L2226" s="18"/>
    </row>
    <row r="2227" spans="11:12">
      <c r="K2227" s="18"/>
      <c r="L2227" s="18"/>
    </row>
    <row r="2228" spans="11:12">
      <c r="K2228" s="18"/>
      <c r="L2228" s="18"/>
    </row>
    <row r="2229" spans="11:12">
      <c r="K2229" s="18"/>
      <c r="L2229" s="18"/>
    </row>
    <row r="2230" spans="11:12">
      <c r="K2230" s="18"/>
      <c r="L2230" s="18"/>
    </row>
    <row r="2231" spans="11:12">
      <c r="K2231" s="18"/>
      <c r="L2231" s="18"/>
    </row>
    <row r="2232" spans="11:12">
      <c r="K2232" s="18"/>
      <c r="L2232" s="18"/>
    </row>
    <row r="2233" spans="11:12">
      <c r="K2233" s="18"/>
      <c r="L2233" s="18"/>
    </row>
    <row r="2234" spans="11:12">
      <c r="K2234" s="18"/>
      <c r="L2234" s="18"/>
    </row>
    <row r="2235" spans="11:12">
      <c r="K2235" s="18"/>
      <c r="L2235" s="18"/>
    </row>
    <row r="2236" spans="11:12">
      <c r="K2236" s="18"/>
      <c r="L2236" s="18"/>
    </row>
    <row r="2237" spans="11:12">
      <c r="K2237" s="18"/>
      <c r="L2237" s="18"/>
    </row>
    <row r="2238" spans="11:12">
      <c r="K2238" s="18"/>
      <c r="L2238" s="18"/>
    </row>
    <row r="2239" spans="11:12">
      <c r="K2239" s="18"/>
      <c r="L2239" s="18"/>
    </row>
    <row r="2240" spans="11:12">
      <c r="K2240" s="18"/>
      <c r="L2240" s="18"/>
    </row>
    <row r="2241" spans="11:12">
      <c r="K2241" s="18"/>
      <c r="L2241" s="18"/>
    </row>
    <row r="2242" spans="11:12">
      <c r="K2242" s="18"/>
      <c r="L2242" s="18"/>
    </row>
    <row r="2243" spans="11:12">
      <c r="K2243" s="18"/>
      <c r="L2243" s="18"/>
    </row>
    <row r="2244" spans="11:12">
      <c r="K2244" s="18"/>
      <c r="L2244" s="18"/>
    </row>
    <row r="2245" spans="11:12">
      <c r="K2245" s="18"/>
      <c r="L2245" s="18"/>
    </row>
    <row r="2246" spans="11:12">
      <c r="K2246" s="18"/>
      <c r="L2246" s="18"/>
    </row>
    <row r="2247" spans="11:12">
      <c r="K2247" s="18"/>
      <c r="L2247" s="18"/>
    </row>
    <row r="2248" spans="11:12">
      <c r="K2248" s="18"/>
      <c r="L2248" s="18"/>
    </row>
    <row r="2249" spans="11:12">
      <c r="K2249" s="18"/>
      <c r="L2249" s="18"/>
    </row>
    <row r="2250" spans="11:12">
      <c r="K2250" s="18"/>
      <c r="L2250" s="18"/>
    </row>
    <row r="2251" spans="11:12">
      <c r="K2251" s="18"/>
      <c r="L2251" s="18"/>
    </row>
    <row r="2252" spans="11:12">
      <c r="K2252" s="18"/>
      <c r="L2252" s="18"/>
    </row>
    <row r="2253" spans="11:12">
      <c r="K2253" s="18"/>
      <c r="L2253" s="18"/>
    </row>
    <row r="2254" spans="11:12">
      <c r="K2254" s="18"/>
      <c r="L2254" s="18"/>
    </row>
    <row r="2255" spans="11:12">
      <c r="K2255" s="18"/>
      <c r="L2255" s="18"/>
    </row>
    <row r="2256" spans="11:12">
      <c r="K2256" s="18"/>
      <c r="L2256" s="18"/>
    </row>
    <row r="2257" spans="11:12">
      <c r="K2257" s="18"/>
      <c r="L2257" s="18"/>
    </row>
    <row r="2258" spans="11:12">
      <c r="K2258" s="18"/>
      <c r="L2258" s="18"/>
    </row>
    <row r="2259" spans="11:12">
      <c r="K2259" s="18"/>
      <c r="L2259" s="18"/>
    </row>
    <row r="2260" spans="11:12">
      <c r="K2260" s="18"/>
      <c r="L2260" s="18"/>
    </row>
    <row r="2261" spans="11:12">
      <c r="K2261" s="18"/>
      <c r="L2261" s="18"/>
    </row>
    <row r="2262" spans="11:12">
      <c r="K2262" s="18"/>
      <c r="L2262" s="18"/>
    </row>
    <row r="2263" spans="11:12">
      <c r="K2263" s="18"/>
      <c r="L2263" s="18"/>
    </row>
    <row r="2264" spans="11:12">
      <c r="K2264" s="18"/>
      <c r="L2264" s="18"/>
    </row>
    <row r="2265" spans="11:12">
      <c r="K2265" s="18"/>
      <c r="L2265" s="18"/>
    </row>
    <row r="2266" spans="11:12">
      <c r="K2266" s="18"/>
      <c r="L2266" s="18"/>
    </row>
    <row r="2267" spans="11:12">
      <c r="K2267" s="18"/>
      <c r="L2267" s="18"/>
    </row>
    <row r="2268" spans="11:12">
      <c r="K2268" s="18"/>
      <c r="L2268" s="18"/>
    </row>
    <row r="2269" spans="11:12">
      <c r="K2269" s="18"/>
      <c r="L2269" s="18"/>
    </row>
    <row r="2270" spans="11:12">
      <c r="K2270" s="18"/>
      <c r="L2270" s="18"/>
    </row>
    <row r="2271" spans="11:12">
      <c r="K2271" s="18"/>
      <c r="L2271" s="18"/>
    </row>
    <row r="2272" spans="11:12">
      <c r="K2272" s="18"/>
      <c r="L2272" s="18"/>
    </row>
    <row r="2273" spans="11:12">
      <c r="K2273" s="18"/>
      <c r="L2273" s="18"/>
    </row>
    <row r="2274" spans="11:12">
      <c r="K2274" s="18"/>
      <c r="L2274" s="18"/>
    </row>
    <row r="2275" spans="11:12">
      <c r="K2275" s="18"/>
      <c r="L2275" s="18"/>
    </row>
    <row r="2276" spans="11:12">
      <c r="K2276" s="18"/>
      <c r="L2276" s="18"/>
    </row>
    <row r="2277" spans="11:12">
      <c r="K2277" s="18"/>
      <c r="L2277" s="18"/>
    </row>
    <row r="2278" spans="11:12">
      <c r="K2278" s="18"/>
      <c r="L2278" s="18"/>
    </row>
    <row r="2279" spans="11:12">
      <c r="K2279" s="18"/>
      <c r="L2279" s="18"/>
    </row>
    <row r="2280" spans="11:12">
      <c r="K2280" s="18"/>
      <c r="L2280" s="18"/>
    </row>
    <row r="2281" spans="11:12">
      <c r="K2281" s="18"/>
      <c r="L2281" s="18"/>
    </row>
    <row r="2282" spans="11:12">
      <c r="K2282" s="18"/>
      <c r="L2282" s="18"/>
    </row>
    <row r="2283" spans="11:12">
      <c r="K2283" s="18"/>
      <c r="L2283" s="18"/>
    </row>
    <row r="2284" spans="11:12">
      <c r="K2284" s="18"/>
      <c r="L2284" s="18"/>
    </row>
    <row r="2285" spans="11:12">
      <c r="K2285" s="18"/>
      <c r="L2285" s="18"/>
    </row>
    <row r="2286" spans="11:12">
      <c r="K2286" s="18"/>
      <c r="L2286" s="18"/>
    </row>
    <row r="2287" spans="11:12">
      <c r="K2287" s="18"/>
      <c r="L2287" s="18"/>
    </row>
    <row r="2288" spans="11:12">
      <c r="K2288" s="18"/>
      <c r="L2288" s="18"/>
    </row>
    <row r="2289" spans="11:12">
      <c r="K2289" s="18"/>
      <c r="L2289" s="18"/>
    </row>
    <row r="2290" spans="11:12">
      <c r="K2290" s="18"/>
      <c r="L2290" s="18"/>
    </row>
    <row r="2291" spans="11:12">
      <c r="K2291" s="18"/>
      <c r="L2291" s="18"/>
    </row>
    <row r="2292" spans="11:12">
      <c r="K2292" s="18"/>
      <c r="L2292" s="18"/>
    </row>
    <row r="2293" spans="11:12">
      <c r="K2293" s="18"/>
      <c r="L2293" s="18"/>
    </row>
    <row r="2294" spans="11:12">
      <c r="K2294" s="18"/>
      <c r="L2294" s="18"/>
    </row>
    <row r="2295" spans="11:12">
      <c r="K2295" s="18"/>
      <c r="L2295" s="18"/>
    </row>
    <row r="2296" spans="11:12">
      <c r="K2296" s="18"/>
      <c r="L2296" s="18"/>
    </row>
    <row r="2297" spans="11:12">
      <c r="K2297" s="18"/>
      <c r="L2297" s="18"/>
    </row>
    <row r="2298" spans="11:12">
      <c r="K2298" s="18"/>
      <c r="L2298" s="18"/>
    </row>
    <row r="2299" spans="11:12">
      <c r="K2299" s="18"/>
      <c r="L2299" s="18"/>
    </row>
    <row r="2300" spans="11:12">
      <c r="K2300" s="18"/>
      <c r="L2300" s="18"/>
    </row>
    <row r="2301" spans="11:12">
      <c r="K2301" s="18"/>
      <c r="L2301" s="18"/>
    </row>
    <row r="2302" spans="11:12">
      <c r="K2302" s="18"/>
      <c r="L2302" s="18"/>
    </row>
    <row r="2303" spans="11:12">
      <c r="K2303" s="18"/>
      <c r="L2303" s="18"/>
    </row>
    <row r="2304" spans="11:12">
      <c r="K2304" s="18"/>
      <c r="L2304" s="18"/>
    </row>
    <row r="2305" spans="11:12">
      <c r="K2305" s="18"/>
      <c r="L2305" s="18"/>
    </row>
    <row r="2306" spans="11:12">
      <c r="K2306" s="18"/>
      <c r="L2306" s="18"/>
    </row>
    <row r="2307" spans="11:12">
      <c r="K2307" s="18"/>
      <c r="L2307" s="18"/>
    </row>
    <row r="2308" spans="11:12">
      <c r="K2308" s="18"/>
      <c r="L2308" s="18"/>
    </row>
    <row r="2309" spans="11:12">
      <c r="K2309" s="18"/>
      <c r="L2309" s="18"/>
    </row>
    <row r="2310" spans="11:12">
      <c r="K2310" s="18"/>
      <c r="L2310" s="18"/>
    </row>
    <row r="2311" spans="11:12">
      <c r="K2311" s="18"/>
      <c r="L2311" s="18"/>
    </row>
    <row r="2312" spans="11:12">
      <c r="K2312" s="18"/>
      <c r="L2312" s="18"/>
    </row>
    <row r="2313" spans="11:12">
      <c r="K2313" s="18"/>
      <c r="L2313" s="18"/>
    </row>
    <row r="2314" spans="11:12">
      <c r="K2314" s="18"/>
      <c r="L2314" s="18"/>
    </row>
    <row r="2315" spans="11:12">
      <c r="K2315" s="18"/>
      <c r="L2315" s="18"/>
    </row>
    <row r="2316" spans="11:12">
      <c r="K2316" s="18"/>
      <c r="L2316" s="18"/>
    </row>
    <row r="2317" spans="11:12">
      <c r="K2317" s="18"/>
      <c r="L2317" s="18"/>
    </row>
    <row r="2318" spans="11:12">
      <c r="K2318" s="18"/>
      <c r="L2318" s="18"/>
    </row>
    <row r="2319" spans="11:12">
      <c r="K2319" s="18"/>
      <c r="L2319" s="18"/>
    </row>
    <row r="2320" spans="11:12">
      <c r="K2320" s="18"/>
      <c r="L2320" s="18"/>
    </row>
    <row r="2321" spans="11:12">
      <c r="K2321" s="18"/>
      <c r="L2321" s="18"/>
    </row>
    <row r="2322" spans="11:12">
      <c r="K2322" s="18"/>
      <c r="L2322" s="18"/>
    </row>
    <row r="2323" spans="11:12">
      <c r="K2323" s="18"/>
      <c r="L2323" s="18"/>
    </row>
    <row r="2324" spans="11:12">
      <c r="K2324" s="18"/>
      <c r="L2324" s="18"/>
    </row>
    <row r="2325" spans="11:12">
      <c r="K2325" s="18"/>
      <c r="L2325" s="18"/>
    </row>
    <row r="2326" spans="11:12">
      <c r="K2326" s="18"/>
      <c r="L2326" s="18"/>
    </row>
    <row r="2327" spans="11:12">
      <c r="K2327" s="18"/>
      <c r="L2327" s="18"/>
    </row>
    <row r="2328" spans="11:12">
      <c r="K2328" s="18"/>
      <c r="L2328" s="18"/>
    </row>
    <row r="2329" spans="11:12">
      <c r="K2329" s="18"/>
      <c r="L2329" s="18"/>
    </row>
    <row r="2330" spans="11:12">
      <c r="K2330" s="18"/>
      <c r="L2330" s="18"/>
    </row>
    <row r="2331" spans="11:12">
      <c r="K2331" s="18"/>
      <c r="L2331" s="18"/>
    </row>
    <row r="2332" spans="11:12">
      <c r="K2332" s="18"/>
      <c r="L2332" s="18"/>
    </row>
    <row r="2333" spans="11:12">
      <c r="K2333" s="18"/>
      <c r="L2333" s="18"/>
    </row>
    <row r="2334" spans="11:12">
      <c r="K2334" s="18"/>
      <c r="L2334" s="18"/>
    </row>
    <row r="2335" spans="11:12">
      <c r="K2335" s="18"/>
      <c r="L2335" s="18"/>
    </row>
    <row r="2336" spans="11:12">
      <c r="K2336" s="18"/>
      <c r="L2336" s="18"/>
    </row>
    <row r="2337" spans="11:12">
      <c r="K2337" s="18"/>
      <c r="L2337" s="18"/>
    </row>
    <row r="2338" spans="11:12">
      <c r="K2338" s="18"/>
      <c r="L2338" s="18"/>
    </row>
    <row r="2339" spans="11:12">
      <c r="K2339" s="18"/>
      <c r="L2339" s="18"/>
    </row>
    <row r="2340" spans="11:12">
      <c r="K2340" s="18"/>
      <c r="L2340" s="18"/>
    </row>
    <row r="2341" spans="11:12">
      <c r="K2341" s="18"/>
      <c r="L2341" s="18"/>
    </row>
    <row r="2342" spans="11:12">
      <c r="K2342" s="18"/>
      <c r="L2342" s="18"/>
    </row>
    <row r="2343" spans="11:12">
      <c r="K2343" s="18"/>
      <c r="L2343" s="18"/>
    </row>
    <row r="2344" spans="11:12">
      <c r="K2344" s="18"/>
      <c r="L2344" s="18"/>
    </row>
    <row r="2345" spans="11:12">
      <c r="K2345" s="18"/>
      <c r="L2345" s="18"/>
    </row>
    <row r="2346" spans="11:12">
      <c r="K2346" s="18"/>
      <c r="L2346" s="18"/>
    </row>
    <row r="2347" spans="11:12">
      <c r="K2347" s="18"/>
      <c r="L2347" s="18"/>
    </row>
    <row r="2348" spans="11:12">
      <c r="K2348" s="18"/>
      <c r="L2348" s="18"/>
    </row>
    <row r="2349" spans="11:12">
      <c r="K2349" s="18"/>
      <c r="L2349" s="18"/>
    </row>
    <row r="2350" spans="11:12">
      <c r="K2350" s="18"/>
      <c r="L2350" s="18"/>
    </row>
    <row r="2351" spans="11:12">
      <c r="K2351" s="18"/>
      <c r="L2351" s="18"/>
    </row>
    <row r="2352" spans="11:12">
      <c r="K2352" s="18"/>
      <c r="L2352" s="18"/>
    </row>
    <row r="2353" spans="11:12">
      <c r="K2353" s="18"/>
      <c r="L2353" s="18"/>
    </row>
    <row r="2354" spans="11:12">
      <c r="K2354" s="18"/>
      <c r="L2354" s="18"/>
    </row>
    <row r="2355" spans="11:12">
      <c r="K2355" s="18"/>
      <c r="L2355" s="18"/>
    </row>
    <row r="2356" spans="11:12">
      <c r="K2356" s="18"/>
      <c r="L2356" s="18"/>
    </row>
    <row r="2357" spans="11:12">
      <c r="K2357" s="18"/>
      <c r="L2357" s="18"/>
    </row>
    <row r="2358" spans="11:12">
      <c r="K2358" s="18"/>
      <c r="L2358" s="18"/>
    </row>
    <row r="2359" spans="11:12">
      <c r="K2359" s="18"/>
      <c r="L2359" s="18"/>
    </row>
    <row r="2360" spans="11:12">
      <c r="K2360" s="18"/>
      <c r="L2360" s="18"/>
    </row>
    <row r="2361" spans="11:12">
      <c r="K2361" s="18"/>
      <c r="L2361" s="18"/>
    </row>
    <row r="2362" spans="11:12">
      <c r="K2362" s="18"/>
      <c r="L2362" s="18"/>
    </row>
    <row r="2363" spans="11:12">
      <c r="K2363" s="18"/>
      <c r="L2363" s="18"/>
    </row>
    <row r="2364" spans="11:12">
      <c r="K2364" s="18"/>
      <c r="L2364" s="18"/>
    </row>
    <row r="2365" spans="11:12">
      <c r="K2365" s="18"/>
      <c r="L2365" s="18"/>
    </row>
    <row r="2366" spans="11:12">
      <c r="K2366" s="18"/>
      <c r="L2366" s="18"/>
    </row>
    <row r="2367" spans="11:12">
      <c r="K2367" s="18"/>
      <c r="L2367" s="18"/>
    </row>
    <row r="2368" spans="11:12">
      <c r="K2368" s="18"/>
      <c r="L2368" s="18"/>
    </row>
    <row r="2369" spans="11:12">
      <c r="K2369" s="18"/>
      <c r="L2369" s="18"/>
    </row>
    <row r="2370" spans="11:12">
      <c r="K2370" s="18"/>
      <c r="L2370" s="18"/>
    </row>
    <row r="2371" spans="11:12">
      <c r="K2371" s="18"/>
      <c r="L2371" s="18"/>
    </row>
    <row r="2372" spans="11:12">
      <c r="K2372" s="18"/>
      <c r="L2372" s="18"/>
    </row>
    <row r="2373" spans="11:12">
      <c r="K2373" s="18"/>
      <c r="L2373" s="18"/>
    </row>
    <row r="2374" spans="11:12">
      <c r="K2374" s="18"/>
      <c r="L2374" s="18"/>
    </row>
    <row r="2375" spans="11:12">
      <c r="K2375" s="18"/>
      <c r="L2375" s="18"/>
    </row>
    <row r="2376" spans="11:12">
      <c r="K2376" s="18"/>
      <c r="L2376" s="18"/>
    </row>
    <row r="2377" spans="11:12">
      <c r="K2377" s="18"/>
      <c r="L2377" s="18"/>
    </row>
    <row r="2378" spans="11:12">
      <c r="K2378" s="18"/>
      <c r="L2378" s="18"/>
    </row>
    <row r="2379" spans="11:12">
      <c r="K2379" s="18"/>
      <c r="L2379" s="18"/>
    </row>
    <row r="2380" spans="11:12">
      <c r="K2380" s="18"/>
      <c r="L2380" s="18"/>
    </row>
    <row r="2381" spans="11:12">
      <c r="K2381" s="18"/>
      <c r="L2381" s="18"/>
    </row>
    <row r="2382" spans="11:12">
      <c r="K2382" s="18"/>
      <c r="L2382" s="18"/>
    </row>
    <row r="2383" spans="11:12">
      <c r="K2383" s="18"/>
      <c r="L2383" s="18"/>
    </row>
    <row r="2384" spans="11:12">
      <c r="K2384" s="18"/>
      <c r="L2384" s="18"/>
    </row>
    <row r="2385" spans="11:12">
      <c r="K2385" s="18"/>
      <c r="L2385" s="18"/>
    </row>
    <row r="2386" spans="11:12">
      <c r="K2386" s="18"/>
      <c r="L2386" s="18"/>
    </row>
    <row r="2387" spans="11:12">
      <c r="K2387" s="18"/>
      <c r="L2387" s="18"/>
    </row>
    <row r="2388" spans="11:12">
      <c r="K2388" s="18"/>
      <c r="L2388" s="18"/>
    </row>
    <row r="2389" spans="11:12">
      <c r="K2389" s="18"/>
      <c r="L2389" s="18"/>
    </row>
    <row r="2390" spans="11:12">
      <c r="K2390" s="18"/>
      <c r="L2390" s="18"/>
    </row>
    <row r="2391" spans="11:12">
      <c r="K2391" s="18"/>
      <c r="L2391" s="18"/>
    </row>
    <row r="2392" spans="11:12">
      <c r="K2392" s="18"/>
      <c r="L2392" s="18"/>
    </row>
    <row r="2393" spans="11:12">
      <c r="K2393" s="18"/>
      <c r="L2393" s="18"/>
    </row>
    <row r="2394" spans="11:12">
      <c r="K2394" s="18"/>
      <c r="L2394" s="18"/>
    </row>
    <row r="2395" spans="11:12">
      <c r="K2395" s="18"/>
      <c r="L2395" s="18"/>
    </row>
    <row r="2396" spans="11:12">
      <c r="K2396" s="18"/>
      <c r="L2396" s="18"/>
    </row>
    <row r="2397" spans="11:12">
      <c r="K2397" s="18"/>
      <c r="L2397" s="18"/>
    </row>
    <row r="2398" spans="11:12">
      <c r="K2398" s="18"/>
      <c r="L2398" s="18"/>
    </row>
    <row r="2399" spans="11:12">
      <c r="K2399" s="18"/>
      <c r="L2399" s="18"/>
    </row>
    <row r="2400" spans="11:12">
      <c r="K2400" s="18"/>
      <c r="L2400" s="18"/>
    </row>
    <row r="2401" spans="11:12">
      <c r="K2401" s="18"/>
      <c r="L2401" s="18"/>
    </row>
    <row r="2402" spans="11:12">
      <c r="K2402" s="18"/>
      <c r="L2402" s="18"/>
    </row>
    <row r="2403" spans="11:12">
      <c r="K2403" s="18"/>
      <c r="L2403" s="18"/>
    </row>
    <row r="2404" spans="11:12">
      <c r="K2404" s="18"/>
      <c r="L2404" s="18"/>
    </row>
    <row r="2405" spans="11:12">
      <c r="K2405" s="18"/>
      <c r="L2405" s="18"/>
    </row>
    <row r="2406" spans="11:12">
      <c r="K2406" s="18"/>
      <c r="L2406" s="18"/>
    </row>
    <row r="2407" spans="11:12">
      <c r="K2407" s="18"/>
      <c r="L2407" s="18"/>
    </row>
    <row r="2408" spans="11:12">
      <c r="K2408" s="18"/>
      <c r="L2408" s="18"/>
    </row>
    <row r="2409" spans="11:12">
      <c r="K2409" s="18"/>
      <c r="L2409" s="18"/>
    </row>
    <row r="2410" spans="11:12">
      <c r="K2410" s="18"/>
      <c r="L2410" s="18"/>
    </row>
    <row r="2411" spans="11:12">
      <c r="K2411" s="18"/>
      <c r="L2411" s="18"/>
    </row>
    <row r="2412" spans="11:12">
      <c r="K2412" s="18"/>
      <c r="L2412" s="18"/>
    </row>
    <row r="2413" spans="11:12">
      <c r="K2413" s="18"/>
      <c r="L2413" s="18"/>
    </row>
    <row r="2414" spans="11:12">
      <c r="K2414" s="18"/>
      <c r="L2414" s="18"/>
    </row>
    <row r="2415" spans="11:12">
      <c r="K2415" s="18"/>
      <c r="L2415" s="18"/>
    </row>
    <row r="2416" spans="11:12">
      <c r="K2416" s="18"/>
      <c r="L2416" s="18"/>
    </row>
    <row r="2417" spans="11:12">
      <c r="K2417" s="18"/>
      <c r="L2417" s="18"/>
    </row>
    <row r="2418" spans="11:12">
      <c r="K2418" s="18"/>
      <c r="L2418" s="18"/>
    </row>
    <row r="2419" spans="11:12">
      <c r="K2419" s="18"/>
      <c r="L2419" s="18"/>
    </row>
    <row r="2420" spans="11:12">
      <c r="K2420" s="18"/>
      <c r="L2420" s="18"/>
    </row>
    <row r="2421" spans="11:12">
      <c r="K2421" s="18"/>
      <c r="L2421" s="18"/>
    </row>
    <row r="2422" spans="11:12">
      <c r="K2422" s="18"/>
      <c r="L2422" s="18"/>
    </row>
    <row r="2423" spans="11:12">
      <c r="K2423" s="18"/>
      <c r="L2423" s="18"/>
    </row>
    <row r="2424" spans="11:12">
      <c r="K2424" s="18"/>
      <c r="L2424" s="18"/>
    </row>
    <row r="2425" spans="11:12">
      <c r="K2425" s="18"/>
      <c r="L2425" s="18"/>
    </row>
    <row r="2426" spans="11:12">
      <c r="K2426" s="18"/>
      <c r="L2426" s="18"/>
    </row>
    <row r="2427" spans="11:12">
      <c r="K2427" s="18"/>
      <c r="L2427" s="18"/>
    </row>
    <row r="2428" spans="11:12">
      <c r="K2428" s="18"/>
      <c r="L2428" s="18"/>
    </row>
    <row r="2429" spans="11:12">
      <c r="K2429" s="18"/>
      <c r="L2429" s="18"/>
    </row>
    <row r="2430" spans="11:12">
      <c r="K2430" s="18"/>
      <c r="L2430" s="18"/>
    </row>
    <row r="2431" spans="11:12">
      <c r="K2431" s="18"/>
      <c r="L2431" s="18"/>
    </row>
    <row r="2432" spans="11:12">
      <c r="K2432" s="18"/>
      <c r="L2432" s="18"/>
    </row>
    <row r="2433" spans="11:12">
      <c r="K2433" s="18"/>
      <c r="L2433" s="18"/>
    </row>
    <row r="2434" spans="11:12">
      <c r="K2434" s="18"/>
      <c r="L2434" s="18"/>
    </row>
    <row r="2435" spans="11:12">
      <c r="K2435" s="18"/>
      <c r="L2435" s="18"/>
    </row>
    <row r="2436" spans="11:12">
      <c r="K2436" s="18"/>
      <c r="L2436" s="18"/>
    </row>
    <row r="2437" spans="11:12">
      <c r="K2437" s="18"/>
      <c r="L2437" s="18"/>
    </row>
    <row r="2438" spans="11:12">
      <c r="K2438" s="18"/>
      <c r="L2438" s="18"/>
    </row>
    <row r="2439" spans="11:12">
      <c r="K2439" s="18"/>
      <c r="L2439" s="18"/>
    </row>
    <row r="2440" spans="11:12">
      <c r="K2440" s="18"/>
      <c r="L2440" s="18"/>
    </row>
    <row r="2441" spans="11:12">
      <c r="K2441" s="18"/>
      <c r="L2441" s="18"/>
    </row>
    <row r="2442" spans="11:12">
      <c r="K2442" s="18"/>
      <c r="L2442" s="18"/>
    </row>
    <row r="2443" spans="11:12">
      <c r="K2443" s="18"/>
      <c r="L2443" s="18"/>
    </row>
    <row r="2444" spans="11:12">
      <c r="K2444" s="18"/>
      <c r="L2444" s="18"/>
    </row>
    <row r="2445" spans="11:12">
      <c r="K2445" s="18"/>
      <c r="L2445" s="18"/>
    </row>
    <row r="2446" spans="11:12">
      <c r="K2446" s="18"/>
      <c r="L2446" s="18"/>
    </row>
    <row r="2447" spans="11:12">
      <c r="K2447" s="18"/>
      <c r="L2447" s="18"/>
    </row>
    <row r="2448" spans="11:12">
      <c r="K2448" s="18"/>
      <c r="L2448" s="18"/>
    </row>
    <row r="2449" spans="11:12">
      <c r="K2449" s="18"/>
      <c r="L2449" s="18"/>
    </row>
    <row r="2450" spans="11:12">
      <c r="K2450" s="18"/>
      <c r="L2450" s="18"/>
    </row>
    <row r="2451" spans="11:12">
      <c r="K2451" s="18"/>
      <c r="L2451" s="18"/>
    </row>
    <row r="2452" spans="11:12">
      <c r="K2452" s="18"/>
      <c r="L2452" s="18"/>
    </row>
    <row r="2453" spans="11:12">
      <c r="K2453" s="18"/>
      <c r="L2453" s="18"/>
    </row>
    <row r="2454" spans="11:12">
      <c r="K2454" s="18"/>
      <c r="L2454" s="18"/>
    </row>
    <row r="2455" spans="11:12">
      <c r="K2455" s="18"/>
      <c r="L2455" s="18"/>
    </row>
    <row r="2456" spans="11:12">
      <c r="K2456" s="18"/>
      <c r="L2456" s="18"/>
    </row>
    <row r="2457" spans="11:12">
      <c r="K2457" s="18"/>
      <c r="L2457" s="18"/>
    </row>
    <row r="2458" spans="11:12">
      <c r="K2458" s="18"/>
      <c r="L2458" s="18"/>
    </row>
    <row r="2459" spans="11:12">
      <c r="K2459" s="18"/>
      <c r="L2459" s="18"/>
    </row>
    <row r="2460" spans="11:12">
      <c r="K2460" s="18"/>
      <c r="L2460" s="18"/>
    </row>
    <row r="2461" spans="11:12">
      <c r="K2461" s="18"/>
      <c r="L2461" s="18"/>
    </row>
    <row r="2462" spans="11:12">
      <c r="K2462" s="18"/>
      <c r="L2462" s="18"/>
    </row>
    <row r="2463" spans="11:12">
      <c r="K2463" s="18"/>
      <c r="L2463" s="18"/>
    </row>
    <row r="2464" spans="11:12">
      <c r="K2464" s="18"/>
      <c r="L2464" s="18"/>
    </row>
    <row r="2465" spans="11:12">
      <c r="K2465" s="18"/>
      <c r="L2465" s="18"/>
    </row>
    <row r="2466" spans="11:12">
      <c r="K2466" s="18"/>
      <c r="L2466" s="18"/>
    </row>
    <row r="2467" spans="11:12">
      <c r="K2467" s="18"/>
      <c r="L2467" s="18"/>
    </row>
    <row r="2468" spans="11:12">
      <c r="K2468" s="18"/>
      <c r="L2468" s="18"/>
    </row>
    <row r="2469" spans="11:12">
      <c r="K2469" s="18"/>
      <c r="L2469" s="18"/>
    </row>
    <row r="2470" spans="11:12">
      <c r="K2470" s="18"/>
      <c r="L2470" s="18"/>
    </row>
    <row r="2471" spans="11:12">
      <c r="K2471" s="18"/>
      <c r="L2471" s="18"/>
    </row>
    <row r="2472" spans="11:12">
      <c r="K2472" s="18"/>
      <c r="L2472" s="18"/>
    </row>
    <row r="2473" spans="11:12">
      <c r="K2473" s="18"/>
      <c r="L2473" s="18"/>
    </row>
    <row r="2474" spans="11:12">
      <c r="K2474" s="18"/>
      <c r="L2474" s="18"/>
    </row>
    <row r="2475" spans="11:12">
      <c r="K2475" s="18"/>
      <c r="L2475" s="18"/>
    </row>
    <row r="2476" spans="11:12">
      <c r="K2476" s="18"/>
      <c r="L2476" s="18"/>
    </row>
    <row r="2477" spans="11:12">
      <c r="K2477" s="18"/>
      <c r="L2477" s="18"/>
    </row>
    <row r="2478" spans="11:12">
      <c r="K2478" s="18"/>
      <c r="L2478" s="18"/>
    </row>
    <row r="2479" spans="11:12">
      <c r="K2479" s="18"/>
      <c r="L2479" s="18"/>
    </row>
    <row r="2480" spans="11:12">
      <c r="K2480" s="18"/>
      <c r="L2480" s="18"/>
    </row>
    <row r="2481" spans="11:12">
      <c r="K2481" s="18"/>
      <c r="L2481" s="18"/>
    </row>
    <row r="2482" spans="11:12">
      <c r="K2482" s="18"/>
      <c r="L2482" s="18"/>
    </row>
    <row r="2483" spans="11:12">
      <c r="K2483" s="18"/>
      <c r="L2483" s="18"/>
    </row>
    <row r="2484" spans="11:12">
      <c r="K2484" s="18"/>
      <c r="L2484" s="18"/>
    </row>
    <row r="2485" spans="11:12">
      <c r="K2485" s="18"/>
      <c r="L2485" s="18"/>
    </row>
    <row r="2486" spans="11:12">
      <c r="K2486" s="18"/>
      <c r="L2486" s="18"/>
    </row>
    <row r="2487" spans="11:12">
      <c r="K2487" s="18"/>
      <c r="L2487" s="18"/>
    </row>
    <row r="2488" spans="11:12">
      <c r="K2488" s="18"/>
      <c r="L2488" s="18"/>
    </row>
    <row r="2489" spans="11:12">
      <c r="K2489" s="18"/>
      <c r="L2489" s="18"/>
    </row>
    <row r="2490" spans="11:12">
      <c r="K2490" s="18"/>
      <c r="L2490" s="18"/>
    </row>
    <row r="2491" spans="11:12">
      <c r="K2491" s="18"/>
      <c r="L2491" s="18"/>
    </row>
    <row r="2492" spans="11:12">
      <c r="K2492" s="18"/>
      <c r="L2492" s="18"/>
    </row>
    <row r="2493" spans="11:12">
      <c r="K2493" s="18"/>
      <c r="L2493" s="18"/>
    </row>
    <row r="2494" spans="11:12">
      <c r="K2494" s="18"/>
      <c r="L2494" s="18"/>
    </row>
    <row r="2495" spans="11:12">
      <c r="K2495" s="18"/>
      <c r="L2495" s="18"/>
    </row>
    <row r="2496" spans="11:12">
      <c r="K2496" s="18"/>
      <c r="L2496" s="18"/>
    </row>
    <row r="2497" spans="11:12">
      <c r="K2497" s="18"/>
      <c r="L2497" s="18"/>
    </row>
    <row r="2498" spans="11:12">
      <c r="K2498" s="18"/>
      <c r="L2498" s="18"/>
    </row>
    <row r="2499" spans="11:12">
      <c r="K2499" s="18"/>
      <c r="L2499" s="18"/>
    </row>
    <row r="2500" spans="11:12">
      <c r="K2500" s="18"/>
      <c r="L2500" s="18"/>
    </row>
    <row r="2501" spans="11:12">
      <c r="K2501" s="18"/>
      <c r="L2501" s="18"/>
    </row>
    <row r="2502" spans="11:12">
      <c r="K2502" s="18"/>
      <c r="L2502" s="18"/>
    </row>
    <row r="2503" spans="11:12">
      <c r="K2503" s="18"/>
      <c r="L2503" s="18"/>
    </row>
    <row r="2504" spans="11:12">
      <c r="K2504" s="18"/>
      <c r="L2504" s="18"/>
    </row>
    <row r="2505" spans="11:12">
      <c r="K2505" s="18"/>
      <c r="L2505" s="18"/>
    </row>
    <row r="2506" spans="11:12">
      <c r="K2506" s="18"/>
      <c r="L2506" s="18"/>
    </row>
    <row r="2507" spans="11:12">
      <c r="K2507" s="18"/>
      <c r="L2507" s="18"/>
    </row>
    <row r="2508" spans="11:12">
      <c r="K2508" s="18"/>
      <c r="L2508" s="18"/>
    </row>
    <row r="2509" spans="11:12">
      <c r="K2509" s="18"/>
      <c r="L2509" s="18"/>
    </row>
    <row r="2510" spans="11:12">
      <c r="K2510" s="18"/>
      <c r="L2510" s="18"/>
    </row>
    <row r="2511" spans="11:12">
      <c r="K2511" s="18"/>
      <c r="L2511" s="18"/>
    </row>
    <row r="2512" spans="11:12">
      <c r="K2512" s="18"/>
      <c r="L2512" s="18"/>
    </row>
    <row r="2513" spans="11:12">
      <c r="K2513" s="18"/>
      <c r="L2513" s="18"/>
    </row>
    <row r="2514" spans="11:12">
      <c r="K2514" s="18"/>
      <c r="L2514" s="18"/>
    </row>
    <row r="2515" spans="11:12">
      <c r="K2515" s="18"/>
      <c r="L2515" s="18"/>
    </row>
    <row r="2516" spans="11:12">
      <c r="K2516" s="18"/>
      <c r="L2516" s="18"/>
    </row>
    <row r="2517" spans="11:12">
      <c r="K2517" s="18"/>
      <c r="L2517" s="18"/>
    </row>
    <row r="2518" spans="11:12">
      <c r="K2518" s="18"/>
      <c r="L2518" s="18"/>
    </row>
    <row r="2519" spans="11:12">
      <c r="K2519" s="18"/>
      <c r="L2519" s="18"/>
    </row>
    <row r="2520" spans="11:12">
      <c r="K2520" s="18"/>
      <c r="L2520" s="18"/>
    </row>
    <row r="2521" spans="11:12">
      <c r="K2521" s="18"/>
      <c r="L2521" s="18"/>
    </row>
    <row r="2522" spans="11:12">
      <c r="K2522" s="18"/>
      <c r="L2522" s="18"/>
    </row>
    <row r="2523" spans="11:12">
      <c r="K2523" s="18"/>
      <c r="L2523" s="18"/>
    </row>
    <row r="2524" spans="11:12">
      <c r="K2524" s="18"/>
      <c r="L2524" s="18"/>
    </row>
    <row r="2525" spans="11:12">
      <c r="K2525" s="18"/>
      <c r="L2525" s="18"/>
    </row>
    <row r="2526" spans="11:12">
      <c r="K2526" s="18"/>
      <c r="L2526" s="18"/>
    </row>
    <row r="2527" spans="11:12">
      <c r="K2527" s="18"/>
      <c r="L2527" s="18"/>
    </row>
    <row r="2528" spans="11:12">
      <c r="K2528" s="18"/>
      <c r="L2528" s="18"/>
    </row>
    <row r="2529" spans="11:12">
      <c r="K2529" s="18"/>
      <c r="L2529" s="18"/>
    </row>
    <row r="2530" spans="11:12">
      <c r="K2530" s="18"/>
      <c r="L2530" s="18"/>
    </row>
    <row r="2531" spans="11:12">
      <c r="K2531" s="18"/>
      <c r="L2531" s="18"/>
    </row>
    <row r="2532" spans="11:12">
      <c r="K2532" s="18"/>
      <c r="L2532" s="18"/>
    </row>
    <row r="2533" spans="11:12">
      <c r="K2533" s="18"/>
      <c r="L2533" s="18"/>
    </row>
    <row r="2534" spans="11:12">
      <c r="K2534" s="18"/>
      <c r="L2534" s="18"/>
    </row>
    <row r="2535" spans="11:12">
      <c r="K2535" s="18"/>
      <c r="L2535" s="18"/>
    </row>
    <row r="2536" spans="11:12">
      <c r="K2536" s="18"/>
      <c r="L2536" s="18"/>
    </row>
    <row r="2537" spans="11:12">
      <c r="K2537" s="18"/>
      <c r="L2537" s="18"/>
    </row>
    <row r="2538" spans="11:12">
      <c r="K2538" s="18"/>
      <c r="L2538" s="18"/>
    </row>
    <row r="2539" spans="11:12">
      <c r="K2539" s="18"/>
      <c r="L2539" s="18"/>
    </row>
    <row r="2540" spans="11:12">
      <c r="K2540" s="18"/>
      <c r="L2540" s="18"/>
    </row>
    <row r="2541" spans="11:12">
      <c r="K2541" s="18"/>
      <c r="L2541" s="18"/>
    </row>
    <row r="2542" spans="11:12">
      <c r="K2542" s="18"/>
      <c r="L2542" s="18"/>
    </row>
    <row r="2543" spans="11:12">
      <c r="K2543" s="18"/>
      <c r="L2543" s="18"/>
    </row>
    <row r="2544" spans="11:12">
      <c r="K2544" s="18"/>
      <c r="L2544" s="18"/>
    </row>
    <row r="2545" spans="11:12">
      <c r="K2545" s="18"/>
      <c r="L2545" s="18"/>
    </row>
    <row r="2546" spans="11:12">
      <c r="K2546" s="18"/>
      <c r="L2546" s="18"/>
    </row>
    <row r="2547" spans="11:12">
      <c r="K2547" s="18"/>
      <c r="L2547" s="18"/>
    </row>
    <row r="2548" spans="11:12">
      <c r="K2548" s="18"/>
      <c r="L2548" s="18"/>
    </row>
    <row r="2549" spans="11:12">
      <c r="K2549" s="18"/>
      <c r="L2549" s="18"/>
    </row>
    <row r="2550" spans="11:12">
      <c r="K2550" s="18"/>
      <c r="L2550" s="18"/>
    </row>
    <row r="2551" spans="11:12">
      <c r="K2551" s="18"/>
      <c r="L2551" s="18"/>
    </row>
    <row r="2552" spans="11:12">
      <c r="K2552" s="18"/>
      <c r="L2552" s="18"/>
    </row>
    <row r="2553" spans="11:12">
      <c r="K2553" s="18"/>
      <c r="L2553" s="18"/>
    </row>
    <row r="2554" spans="11:12">
      <c r="K2554" s="18"/>
      <c r="L2554" s="18"/>
    </row>
    <row r="2555" spans="11:12">
      <c r="K2555" s="18"/>
      <c r="L2555" s="18"/>
    </row>
    <row r="2556" spans="11:12">
      <c r="K2556" s="18"/>
      <c r="L2556" s="18"/>
    </row>
    <row r="2557" spans="11:12">
      <c r="K2557" s="18"/>
      <c r="L2557" s="18"/>
    </row>
    <row r="2558" spans="11:12">
      <c r="K2558" s="18"/>
      <c r="L2558" s="18"/>
    </row>
    <row r="2559" spans="11:12">
      <c r="K2559" s="18"/>
      <c r="L2559" s="18"/>
    </row>
    <row r="2560" spans="11:12">
      <c r="K2560" s="18"/>
      <c r="L2560" s="18"/>
    </row>
    <row r="2561" spans="11:12">
      <c r="K2561" s="18"/>
      <c r="L2561" s="18"/>
    </row>
    <row r="2562" spans="11:12">
      <c r="K2562" s="18"/>
      <c r="L2562" s="18"/>
    </row>
    <row r="2563" spans="11:12">
      <c r="K2563" s="18"/>
      <c r="L2563" s="18"/>
    </row>
    <row r="2564" spans="11:12">
      <c r="K2564" s="18"/>
      <c r="L2564" s="18"/>
    </row>
    <row r="2565" spans="11:12">
      <c r="K2565" s="18"/>
      <c r="L2565" s="18"/>
    </row>
    <row r="2566" spans="11:12">
      <c r="K2566" s="18"/>
      <c r="L2566" s="18"/>
    </row>
    <row r="2567" spans="11:12">
      <c r="K2567" s="18"/>
      <c r="L2567" s="18"/>
    </row>
    <row r="2568" spans="11:12">
      <c r="K2568" s="18"/>
      <c r="L2568" s="18"/>
    </row>
    <row r="2569" spans="11:12">
      <c r="K2569" s="18"/>
      <c r="L2569" s="18"/>
    </row>
    <row r="2570" spans="11:12">
      <c r="K2570" s="18"/>
      <c r="L2570" s="18"/>
    </row>
    <row r="2571" spans="11:12">
      <c r="K2571" s="18"/>
      <c r="L2571" s="18"/>
    </row>
    <row r="2572" spans="11:12">
      <c r="K2572" s="18"/>
      <c r="L2572" s="18"/>
    </row>
    <row r="2573" spans="11:12">
      <c r="K2573" s="18"/>
      <c r="L2573" s="18"/>
    </row>
    <row r="2574" spans="11:12">
      <c r="K2574" s="18"/>
      <c r="L2574" s="18"/>
    </row>
    <row r="2575" spans="11:12">
      <c r="K2575" s="18"/>
      <c r="L2575" s="18"/>
    </row>
    <row r="2576" spans="11:12">
      <c r="K2576" s="18"/>
      <c r="L2576" s="18"/>
    </row>
    <row r="2577" spans="11:12">
      <c r="K2577" s="18"/>
      <c r="L2577" s="18"/>
    </row>
    <row r="2578" spans="11:12">
      <c r="K2578" s="18"/>
      <c r="L2578" s="18"/>
    </row>
    <row r="2579" spans="11:12">
      <c r="K2579" s="18"/>
      <c r="L2579" s="18"/>
    </row>
    <row r="2580" spans="11:12">
      <c r="K2580" s="18"/>
      <c r="L2580" s="18"/>
    </row>
    <row r="2581" spans="11:12">
      <c r="K2581" s="18"/>
      <c r="L2581" s="18"/>
    </row>
    <row r="2582" spans="11:12">
      <c r="K2582" s="18"/>
      <c r="L2582" s="18"/>
    </row>
    <row r="2583" spans="11:12">
      <c r="K2583" s="18"/>
      <c r="L2583" s="18"/>
    </row>
    <row r="2584" spans="11:12">
      <c r="K2584" s="18"/>
      <c r="L2584" s="18"/>
    </row>
    <row r="2585" spans="11:12">
      <c r="K2585" s="18"/>
      <c r="L2585" s="18"/>
    </row>
    <row r="2586" spans="11:12">
      <c r="K2586" s="18"/>
      <c r="L2586" s="18"/>
    </row>
    <row r="2587" spans="11:12">
      <c r="K2587" s="18"/>
      <c r="L2587" s="18"/>
    </row>
    <row r="2588" spans="11:12">
      <c r="K2588" s="18"/>
      <c r="L2588" s="18"/>
    </row>
    <row r="2589" spans="11:12">
      <c r="K2589" s="18"/>
      <c r="L2589" s="18"/>
    </row>
    <row r="2590" spans="11:12">
      <c r="K2590" s="18"/>
      <c r="L2590" s="18"/>
    </row>
    <row r="2591" spans="11:12">
      <c r="K2591" s="18"/>
      <c r="L2591" s="18"/>
    </row>
    <row r="2592" spans="11:12">
      <c r="K2592" s="18"/>
      <c r="L2592" s="18"/>
    </row>
    <row r="2593" spans="11:12">
      <c r="K2593" s="18"/>
      <c r="L2593" s="18"/>
    </row>
    <row r="2594" spans="11:12">
      <c r="K2594" s="18"/>
      <c r="L2594" s="18"/>
    </row>
    <row r="2595" spans="11:12">
      <c r="K2595" s="18"/>
      <c r="L2595" s="18"/>
    </row>
    <row r="2596" spans="11:12">
      <c r="K2596" s="18"/>
      <c r="L2596" s="18"/>
    </row>
    <row r="2597" spans="11:12">
      <c r="K2597" s="18"/>
      <c r="L2597" s="18"/>
    </row>
    <row r="2598" spans="11:12">
      <c r="K2598" s="18"/>
      <c r="L2598" s="18"/>
    </row>
    <row r="2599" spans="11:12">
      <c r="K2599" s="18"/>
      <c r="L2599" s="18"/>
    </row>
    <row r="2600" spans="11:12">
      <c r="K2600" s="18"/>
      <c r="L2600" s="18"/>
    </row>
    <row r="2601" spans="11:12">
      <c r="K2601" s="18"/>
      <c r="L2601" s="18"/>
    </row>
    <row r="2602" spans="11:12">
      <c r="K2602" s="18"/>
      <c r="L2602" s="18"/>
    </row>
    <row r="2603" spans="11:12">
      <c r="K2603" s="18"/>
      <c r="L2603" s="18"/>
    </row>
    <row r="2604" spans="11:12">
      <c r="K2604" s="18"/>
      <c r="L2604" s="18"/>
    </row>
    <row r="2605" spans="11:12">
      <c r="K2605" s="18"/>
      <c r="L2605" s="18"/>
    </row>
    <row r="2606" spans="11:12">
      <c r="K2606" s="18"/>
      <c r="L2606" s="18"/>
    </row>
    <row r="2607" spans="11:12">
      <c r="K2607" s="18"/>
      <c r="L2607" s="18"/>
    </row>
    <row r="2608" spans="11:12">
      <c r="K2608" s="18"/>
      <c r="L2608" s="18"/>
    </row>
    <row r="2609" spans="11:12">
      <c r="K2609" s="18"/>
      <c r="L2609" s="18"/>
    </row>
    <row r="2610" spans="11:12">
      <c r="K2610" s="18"/>
      <c r="L2610" s="18"/>
    </row>
    <row r="2611" spans="11:12">
      <c r="K2611" s="18"/>
      <c r="L2611" s="18"/>
    </row>
    <row r="2612" spans="11:12">
      <c r="K2612" s="18"/>
      <c r="L2612" s="18"/>
    </row>
    <row r="2613" spans="11:12">
      <c r="K2613" s="18"/>
      <c r="L2613" s="18"/>
    </row>
    <row r="2614" spans="11:12">
      <c r="K2614" s="18"/>
      <c r="L2614" s="18"/>
    </row>
    <row r="2615" spans="11:12">
      <c r="K2615" s="18"/>
      <c r="L2615" s="18"/>
    </row>
    <row r="2616" spans="11:12">
      <c r="K2616" s="18"/>
      <c r="L2616" s="18"/>
    </row>
    <row r="2617" spans="11:12">
      <c r="K2617" s="18"/>
      <c r="L2617" s="18"/>
    </row>
    <row r="2618" spans="11:12">
      <c r="K2618" s="18"/>
      <c r="L2618" s="18"/>
    </row>
    <row r="2619" spans="11:12">
      <c r="K2619" s="18"/>
      <c r="L2619" s="18"/>
    </row>
    <row r="2620" spans="11:12">
      <c r="K2620" s="18"/>
      <c r="L2620" s="18"/>
    </row>
    <row r="2621" spans="11:12">
      <c r="K2621" s="18"/>
      <c r="L2621" s="18"/>
    </row>
    <row r="2622" spans="11:12">
      <c r="K2622" s="18"/>
      <c r="L2622" s="18"/>
    </row>
    <row r="2623" spans="11:12">
      <c r="K2623" s="18"/>
      <c r="L2623" s="18"/>
    </row>
    <row r="2624" spans="11:12">
      <c r="K2624" s="18"/>
      <c r="L2624" s="18"/>
    </row>
    <row r="2625" spans="11:12">
      <c r="K2625" s="18"/>
      <c r="L2625" s="18"/>
    </row>
    <row r="2626" spans="11:12">
      <c r="K2626" s="18"/>
      <c r="L2626" s="18"/>
    </row>
    <row r="2627" spans="11:12">
      <c r="K2627" s="18"/>
      <c r="L2627" s="18"/>
    </row>
    <row r="2628" spans="11:12">
      <c r="K2628" s="18"/>
      <c r="L2628" s="18"/>
    </row>
    <row r="2629" spans="11:12">
      <c r="K2629" s="18"/>
      <c r="L2629" s="18"/>
    </row>
    <row r="2630" spans="11:12">
      <c r="K2630" s="18"/>
      <c r="L2630" s="18"/>
    </row>
    <row r="2631" spans="11:12">
      <c r="K2631" s="18"/>
      <c r="L2631" s="18"/>
    </row>
    <row r="2632" spans="11:12">
      <c r="K2632" s="18"/>
      <c r="L2632" s="18"/>
    </row>
    <row r="2633" spans="11:12">
      <c r="K2633" s="18"/>
      <c r="L2633" s="18"/>
    </row>
    <row r="2634" spans="11:12">
      <c r="K2634" s="18"/>
      <c r="L2634" s="18"/>
    </row>
    <row r="2635" spans="11:12">
      <c r="K2635" s="18"/>
      <c r="L2635" s="18"/>
    </row>
    <row r="2636" spans="11:12">
      <c r="K2636" s="18"/>
      <c r="L2636" s="18"/>
    </row>
    <row r="2637" spans="11:12">
      <c r="K2637" s="18"/>
      <c r="L2637" s="18"/>
    </row>
    <row r="2638" spans="11:12">
      <c r="K2638" s="18"/>
      <c r="L2638" s="18"/>
    </row>
    <row r="2639" spans="11:12">
      <c r="K2639" s="18"/>
      <c r="L2639" s="18"/>
    </row>
    <row r="2640" spans="11:12">
      <c r="K2640" s="18"/>
      <c r="L2640" s="18"/>
    </row>
    <row r="2641" spans="11:12">
      <c r="K2641" s="18"/>
      <c r="L2641" s="18"/>
    </row>
    <row r="2642" spans="11:12">
      <c r="K2642" s="18"/>
      <c r="L2642" s="18"/>
    </row>
    <row r="2643" spans="11:12">
      <c r="K2643" s="18"/>
      <c r="L2643" s="18"/>
    </row>
    <row r="2644" spans="11:12">
      <c r="K2644" s="18"/>
      <c r="L2644" s="18"/>
    </row>
    <row r="2645" spans="11:12">
      <c r="K2645" s="18"/>
      <c r="L2645" s="18"/>
    </row>
    <row r="2646" spans="11:12">
      <c r="K2646" s="18"/>
      <c r="L2646" s="18"/>
    </row>
  </sheetData>
  <mergeCells count="5">
    <mergeCell ref="J29:K29"/>
    <mergeCell ref="M29:N29"/>
    <mergeCell ref="H3:H4"/>
    <mergeCell ref="H5:H6"/>
    <mergeCell ref="C2:F2"/>
  </mergeCells>
  <conditionalFormatting sqref="D31:H31">
    <cfRule type="cellIs" dxfId="16" priority="14" operator="equal">
      <formula>"FAIL"</formula>
    </cfRule>
    <cfRule type="cellIs" dxfId="15" priority="15" operator="equal">
      <formula>"PASS"</formula>
    </cfRule>
  </conditionalFormatting>
  <conditionalFormatting sqref="F6 D31:G31">
    <cfRule type="cellIs" dxfId="14" priority="11" operator="equal">
      <formula>"NO SALES"</formula>
    </cfRule>
  </conditionalFormatting>
  <conditionalFormatting sqref="F6">
    <cfRule type="cellIs" dxfId="13" priority="10" operator="equal">
      <formula>"END BEFORE START"</formula>
    </cfRule>
    <cfRule type="cellIs" dxfId="12" priority="12" operator="equal">
      <formula>"FAIL"</formula>
    </cfRule>
    <cfRule type="cellIs" dxfId="11" priority="13" operator="equal">
      <formula>"PASS"</formula>
    </cfRule>
  </conditionalFormatting>
  <conditionalFormatting sqref="I35 I37">
    <cfRule type="cellIs" dxfId="10" priority="5" operator="equal">
      <formula>"FAIL"</formula>
    </cfRule>
    <cfRule type="cellIs" dxfId="9" priority="6" operator="equal">
      <formula>"PASS"</formula>
    </cfRule>
  </conditionalFormatting>
  <conditionalFormatting sqref="J4">
    <cfRule type="cellIs" dxfId="8" priority="8" operator="equal">
      <formula>"unconverted ingredient"</formula>
    </cfRule>
  </conditionalFormatting>
  <conditionalFormatting sqref="J4:J5">
    <cfRule type="cellIs" dxfId="7" priority="9" operator="equal">
      <formula>"OK"</formula>
    </cfRule>
  </conditionalFormatting>
  <conditionalFormatting sqref="J5">
    <cfRule type="cellIs" dxfId="6" priority="7" operator="equal">
      <formula>"unconverted recipe"</formula>
    </cfRule>
  </conditionalFormatting>
  <conditionalFormatting sqref="N79:O98">
    <cfRule type="containsErrors" dxfId="5" priority="3">
      <formula>ISERROR(N79)</formula>
    </cfRule>
    <cfRule type="cellIs" dxfId="4" priority="4" operator="equal">
      <formula>"NA()"</formula>
    </cfRule>
  </conditionalFormatting>
  <conditionalFormatting sqref="I50:I67">
    <cfRule type="containsErrors" dxfId="3" priority="2">
      <formula>ISERROR(I50)</formula>
    </cfRule>
  </conditionalFormatting>
  <conditionalFormatting sqref="J50:J67">
    <cfRule type="containsErrors" dxfId="2" priority="1">
      <formula>ISERROR(J50)</formula>
    </cfRule>
  </conditionalFormatting>
  <dataValidations count="2">
    <dataValidation allowBlank="1" showInputMessage="1" showErrorMessage="1" promptTitle="location" sqref="E3 C4" xr:uid="{95DDA829-D034-DE4A-BB23-0707E71CD12D}"/>
    <dataValidation type="list" allowBlank="1" showInputMessage="1" showErrorMessage="1" sqref="J76" xr:uid="{E6D22A46-5A8B-5B4C-B8FA-C6940DD15E04}">
      <formula1>$C$9:$C$26</formula1>
    </dataValidation>
  </dataValidations>
  <pageMargins left="0.7" right="0.7" top="0.75" bottom="0.75" header="0.3" footer="0.3"/>
  <pageSetup orientation="landscape" horizontalDpi="0" verticalDpi="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78A24D-3176-1148-955E-79B8CCB40123}">
          <x14:formula1>
            <xm:f>Lists!$G$2:$G$21</xm:f>
          </x14:formula1>
          <xm:sqref>C5:C6</xm:sqref>
        </x14:dataValidation>
        <x14:dataValidation type="list" allowBlank="1" showInputMessage="1" showErrorMessage="1" promptTitle="Location" xr:uid="{0505ED47-D1D0-FA48-B74F-0A5707E15EED}">
          <x14:formula1>
            <xm:f>Lists!$A$2:$A$9</xm:f>
          </x14:formula1>
          <xm:sqref>C3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4B8B-6546-3E41-9B99-0CD9F7B3FCD6}">
  <dimension ref="A1"/>
  <sheetViews>
    <sheetView workbookViewId="0"/>
  </sheetViews>
  <sheetFormatPr baseColWidth="10" defaultRowHeight="16"/>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98C7-1F90-5641-904D-E35434EE1A89}">
  <dimension ref="A1"/>
  <sheetViews>
    <sheetView workbookViewId="0">
      <selection activeCell="O22" sqref="O22"/>
    </sheetView>
  </sheetViews>
  <sheetFormatPr baseColWidth="10" defaultRowHeight="16"/>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04F7-E229-FC4A-B9D4-7DFD7EC9DD42}">
  <dimension ref="B1:I7"/>
  <sheetViews>
    <sheetView workbookViewId="0">
      <selection activeCell="G4" sqref="G4"/>
    </sheetView>
  </sheetViews>
  <sheetFormatPr baseColWidth="10" defaultRowHeight="16"/>
  <cols>
    <col min="1" max="1" width="2.1640625" style="1" customWidth="1"/>
    <col min="2" max="2" width="30.1640625" style="1" customWidth="1"/>
    <col min="3" max="3" width="35.1640625" style="1" customWidth="1"/>
    <col min="4" max="4" width="36.5" style="1" customWidth="1"/>
    <col min="5" max="5" width="10.83203125" style="1"/>
    <col min="6" max="6" width="33.6640625" style="1" customWidth="1"/>
    <col min="7" max="7" width="13.5" style="1" bestFit="1" customWidth="1"/>
    <col min="8" max="9" width="13.33203125" style="1" bestFit="1" customWidth="1"/>
    <col min="10" max="16384" width="10.83203125" style="1"/>
  </cols>
  <sheetData>
    <row r="1" spans="2:9">
      <c r="D1" s="12"/>
    </row>
    <row r="2" spans="2:9" s="12" customFormat="1" ht="34">
      <c r="B2" s="12" t="s">
        <v>186</v>
      </c>
      <c r="D2" s="12" t="s">
        <v>187</v>
      </c>
    </row>
    <row r="3" spans="2:9" ht="17">
      <c r="B3" s="32" t="s">
        <v>17</v>
      </c>
      <c r="C3" s="32" t="s">
        <v>2</v>
      </c>
      <c r="D3" s="32" t="s">
        <v>18</v>
      </c>
      <c r="E3" s="32" t="s">
        <v>19</v>
      </c>
      <c r="F3" s="32" t="s">
        <v>20</v>
      </c>
      <c r="G3" s="32" t="s">
        <v>184</v>
      </c>
      <c r="H3" s="32" t="s">
        <v>185</v>
      </c>
      <c r="I3" s="32" t="s">
        <v>164</v>
      </c>
    </row>
    <row r="4" spans="2:9" ht="17">
      <c r="B4" s="3" t="s">
        <v>24</v>
      </c>
      <c r="C4" s="3" t="s">
        <v>7</v>
      </c>
      <c r="D4" s="3" t="s">
        <v>25</v>
      </c>
      <c r="E4" s="3">
        <v>131</v>
      </c>
      <c r="F4" s="3" t="s">
        <v>264</v>
      </c>
      <c r="G4" s="35">
        <f>RPM!M3</f>
        <v>0</v>
      </c>
      <c r="H4" s="35">
        <f>raw_menu_profitability!L3</f>
        <v>2692</v>
      </c>
      <c r="I4" s="36">
        <f>G4-H4</f>
        <v>-2692</v>
      </c>
    </row>
    <row r="5" spans="2:9" ht="17">
      <c r="B5" s="3" t="s">
        <v>21</v>
      </c>
      <c r="C5" s="3" t="s">
        <v>9</v>
      </c>
      <c r="D5" s="3" t="s">
        <v>22</v>
      </c>
      <c r="E5" s="3">
        <v>2637</v>
      </c>
      <c r="F5" s="3" t="s">
        <v>165</v>
      </c>
      <c r="G5" s="35">
        <v>6238295.5</v>
      </c>
      <c r="H5" s="35">
        <f>raw_menu_engineering!N3</f>
        <v>6238295.5</v>
      </c>
      <c r="I5" s="36">
        <f>G5-H5</f>
        <v>0</v>
      </c>
    </row>
    <row r="6" spans="2:9" ht="17">
      <c r="B6" s="3" t="s">
        <v>26</v>
      </c>
      <c r="C6" s="3" t="s">
        <v>11</v>
      </c>
      <c r="D6" s="3" t="s">
        <v>22</v>
      </c>
      <c r="E6" s="3">
        <v>8015</v>
      </c>
      <c r="F6" s="3" t="s">
        <v>166</v>
      </c>
      <c r="G6" s="35">
        <v>1577342.2175000052</v>
      </c>
      <c r="H6" s="35">
        <f>raw_location_price_variance!N3</f>
        <v>1577342.2175000052</v>
      </c>
      <c r="I6" s="36">
        <f>G6-H6</f>
        <v>0</v>
      </c>
    </row>
    <row r="7" spans="2:9" ht="17">
      <c r="B7" s="3" t="s">
        <v>27</v>
      </c>
      <c r="C7" s="3" t="s">
        <v>12</v>
      </c>
      <c r="D7" s="3" t="s">
        <v>22</v>
      </c>
      <c r="E7" s="3">
        <v>160</v>
      </c>
      <c r="F7" s="3" t="s">
        <v>167</v>
      </c>
      <c r="G7" s="35">
        <v>6238295.5</v>
      </c>
      <c r="H7" s="35">
        <f>raw_location_month_performance!D164</f>
        <v>6238295.5</v>
      </c>
      <c r="I7" s="36">
        <f>G7-H7</f>
        <v>0</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D442-64E5-0643-A6E2-2245922C1CAE}">
  <dimension ref="A1:L132"/>
  <sheetViews>
    <sheetView workbookViewId="0">
      <pane ySplit="1" topLeftCell="A2" activePane="bottomLeft" state="frozen"/>
      <selection pane="bottomLeft" activeCell="L3" sqref="L3"/>
    </sheetView>
  </sheetViews>
  <sheetFormatPr baseColWidth="10" defaultRowHeight="16"/>
  <cols>
    <col min="1" max="1" width="10.1640625" bestFit="1" customWidth="1"/>
    <col min="2" max="2" width="19.33203125" style="16" bestFit="1" customWidth="1"/>
    <col min="3" max="3" width="8.6640625" bestFit="1" customWidth="1"/>
    <col min="4" max="4" width="21.5" style="16" bestFit="1" customWidth="1"/>
    <col min="5" max="5" width="12.5" style="16" bestFit="1" customWidth="1"/>
    <col min="6" max="6" width="10.83203125" style="26" bestFit="1" customWidth="1"/>
    <col min="7" max="7" width="15.1640625" style="26" bestFit="1" customWidth="1"/>
    <col min="8" max="8" width="18.83203125" style="26" bestFit="1" customWidth="1"/>
    <col min="9" max="9" width="15.83203125" style="28" customWidth="1"/>
    <col min="12" max="12" width="28.83203125" bestFit="1" customWidth="1"/>
  </cols>
  <sheetData>
    <row r="1" spans="1:12" s="10" customFormat="1">
      <c r="A1" s="10" t="s">
        <v>28</v>
      </c>
      <c r="B1" s="15" t="s">
        <v>29</v>
      </c>
      <c r="C1" s="10" t="s">
        <v>30</v>
      </c>
      <c r="D1" s="15" t="s">
        <v>31</v>
      </c>
      <c r="E1" s="10" t="s">
        <v>32</v>
      </c>
      <c r="F1" s="24" t="s">
        <v>33</v>
      </c>
      <c r="G1" s="24" t="s">
        <v>34</v>
      </c>
      <c r="H1" s="24" t="s">
        <v>35</v>
      </c>
      <c r="I1" s="106" t="s">
        <v>36</v>
      </c>
      <c r="J1" s="10" t="s">
        <v>168</v>
      </c>
    </row>
    <row r="2" spans="1:12">
      <c r="A2">
        <v>1</v>
      </c>
      <c r="B2" s="16" t="s">
        <v>37</v>
      </c>
      <c r="C2">
        <v>1</v>
      </c>
      <c r="D2" s="16" t="s">
        <v>38</v>
      </c>
      <c r="E2" t="s">
        <v>39</v>
      </c>
      <c r="F2" s="26">
        <v>22</v>
      </c>
      <c r="G2" s="26">
        <v>3.9925000000000002</v>
      </c>
      <c r="H2" s="26">
        <v>18.0075</v>
      </c>
      <c r="I2" s="28">
        <v>0.81852272729999997</v>
      </c>
      <c r="J2" t="str">
        <f>(A2&amp;", "&amp; C2)</f>
        <v>1, 1</v>
      </c>
      <c r="L2" s="10"/>
    </row>
    <row r="3" spans="1:12">
      <c r="A3">
        <v>1</v>
      </c>
      <c r="B3" s="16" t="s">
        <v>37</v>
      </c>
      <c r="C3">
        <v>2</v>
      </c>
      <c r="D3" s="16" t="s">
        <v>40</v>
      </c>
      <c r="E3" t="s">
        <v>39</v>
      </c>
      <c r="F3" s="26">
        <v>24</v>
      </c>
      <c r="G3" s="26">
        <v>6.7649999999999997</v>
      </c>
      <c r="H3" s="26">
        <v>17.234999999999999</v>
      </c>
      <c r="I3" s="28">
        <v>0.71812500000000001</v>
      </c>
      <c r="J3" t="str">
        <f t="shared" ref="J3:J66" si="0">(A3&amp;", "&amp; C3)</f>
        <v>1, 2</v>
      </c>
      <c r="K3" t="s">
        <v>265</v>
      </c>
      <c r="L3" s="34">
        <f>SUM(F:F)</f>
        <v>2692</v>
      </c>
    </row>
    <row r="4" spans="1:12">
      <c r="A4">
        <v>1</v>
      </c>
      <c r="B4" s="16" t="s">
        <v>37</v>
      </c>
      <c r="C4">
        <v>3</v>
      </c>
      <c r="D4" s="16" t="s">
        <v>41</v>
      </c>
      <c r="E4" t="s">
        <v>39</v>
      </c>
      <c r="F4" s="26">
        <v>25.5</v>
      </c>
      <c r="G4" s="26">
        <v>3.66</v>
      </c>
      <c r="H4" s="26">
        <v>21.84</v>
      </c>
      <c r="I4" s="28">
        <v>0.85647058819999999</v>
      </c>
      <c r="J4" t="str">
        <f t="shared" si="0"/>
        <v>1, 3</v>
      </c>
    </row>
    <row r="5" spans="1:12">
      <c r="A5">
        <v>1</v>
      </c>
      <c r="B5" s="16" t="s">
        <v>37</v>
      </c>
      <c r="C5">
        <v>4</v>
      </c>
      <c r="D5" s="16" t="s">
        <v>42</v>
      </c>
      <c r="E5" t="s">
        <v>39</v>
      </c>
      <c r="F5" s="26">
        <v>21</v>
      </c>
      <c r="G5" s="26">
        <v>6.99</v>
      </c>
      <c r="H5" s="26">
        <v>14.01</v>
      </c>
      <c r="I5" s="28">
        <v>0.66714285709999999</v>
      </c>
      <c r="J5" t="str">
        <f t="shared" si="0"/>
        <v>1, 4</v>
      </c>
    </row>
    <row r="6" spans="1:12">
      <c r="A6">
        <v>1</v>
      </c>
      <c r="B6" s="16" t="s">
        <v>37</v>
      </c>
      <c r="C6">
        <v>5</v>
      </c>
      <c r="D6" s="16" t="s">
        <v>43</v>
      </c>
      <c r="E6" t="s">
        <v>39</v>
      </c>
      <c r="F6" s="26">
        <v>21</v>
      </c>
      <c r="G6" s="26">
        <v>6.95</v>
      </c>
      <c r="H6" s="26">
        <v>14.05</v>
      </c>
      <c r="I6" s="28">
        <v>0.66904761899999998</v>
      </c>
      <c r="J6" t="str">
        <f t="shared" si="0"/>
        <v>1, 5</v>
      </c>
    </row>
    <row r="7" spans="1:12">
      <c r="A7">
        <v>1</v>
      </c>
      <c r="B7" s="16" t="s">
        <v>37</v>
      </c>
      <c r="C7">
        <v>6</v>
      </c>
      <c r="D7" s="16" t="s">
        <v>44</v>
      </c>
      <c r="E7" t="s">
        <v>39</v>
      </c>
      <c r="F7" s="26">
        <v>23</v>
      </c>
      <c r="G7" s="26">
        <v>4.7575000000000003</v>
      </c>
      <c r="H7" s="26">
        <v>18.2425</v>
      </c>
      <c r="I7" s="28">
        <v>0.79315217390000003</v>
      </c>
      <c r="J7" t="str">
        <f t="shared" si="0"/>
        <v>1, 6</v>
      </c>
    </row>
    <row r="8" spans="1:12">
      <c r="A8">
        <v>1</v>
      </c>
      <c r="B8" s="16" t="s">
        <v>37</v>
      </c>
      <c r="C8">
        <v>7</v>
      </c>
      <c r="D8" s="16" t="s">
        <v>45</v>
      </c>
      <c r="E8" t="s">
        <v>39</v>
      </c>
      <c r="F8" s="26">
        <v>10.5</v>
      </c>
      <c r="G8" s="26">
        <v>2.895</v>
      </c>
      <c r="H8" s="26">
        <v>7.6050000000000004</v>
      </c>
      <c r="I8" s="28">
        <v>0.72428571430000011</v>
      </c>
      <c r="J8" t="str">
        <f t="shared" si="0"/>
        <v>1, 7</v>
      </c>
    </row>
    <row r="9" spans="1:12">
      <c r="A9">
        <v>1</v>
      </c>
      <c r="B9" s="16" t="s">
        <v>37</v>
      </c>
      <c r="C9">
        <v>8</v>
      </c>
      <c r="D9" s="16" t="s">
        <v>46</v>
      </c>
      <c r="E9" t="s">
        <v>39</v>
      </c>
      <c r="F9" s="26">
        <v>12.5</v>
      </c>
      <c r="G9" s="26">
        <v>0.68166700000000002</v>
      </c>
      <c r="H9" s="26">
        <v>11.818333000000001</v>
      </c>
      <c r="I9" s="28">
        <v>0.94546664000000002</v>
      </c>
      <c r="J9" t="str">
        <f t="shared" si="0"/>
        <v>1, 8</v>
      </c>
    </row>
    <row r="10" spans="1:12">
      <c r="A10">
        <v>1</v>
      </c>
      <c r="B10" s="16" t="s">
        <v>37</v>
      </c>
      <c r="C10">
        <v>9</v>
      </c>
      <c r="D10" s="16" t="s">
        <v>47</v>
      </c>
      <c r="E10" t="s">
        <v>39</v>
      </c>
      <c r="F10" s="26">
        <v>49.5</v>
      </c>
      <c r="G10" s="26">
        <v>18.25</v>
      </c>
      <c r="H10" s="26">
        <v>31.25</v>
      </c>
      <c r="I10" s="28">
        <v>0.6313131313</v>
      </c>
      <c r="J10" t="str">
        <f t="shared" si="0"/>
        <v>1, 9</v>
      </c>
    </row>
    <row r="11" spans="1:12">
      <c r="A11">
        <v>1</v>
      </c>
      <c r="B11" s="16" t="s">
        <v>37</v>
      </c>
      <c r="C11">
        <v>11</v>
      </c>
      <c r="D11" s="16" t="s">
        <v>48</v>
      </c>
      <c r="E11" t="s">
        <v>39</v>
      </c>
      <c r="F11" s="26">
        <v>21</v>
      </c>
      <c r="G11" s="26">
        <v>1.9750000000000001</v>
      </c>
      <c r="H11" s="26">
        <v>19.024999999999999</v>
      </c>
      <c r="I11" s="28">
        <v>0.90595238100000008</v>
      </c>
      <c r="J11" t="str">
        <f t="shared" si="0"/>
        <v>1, 11</v>
      </c>
    </row>
    <row r="12" spans="1:12">
      <c r="A12">
        <v>1</v>
      </c>
      <c r="B12" s="16" t="s">
        <v>37</v>
      </c>
      <c r="C12">
        <v>12</v>
      </c>
      <c r="D12" s="16" t="s">
        <v>49</v>
      </c>
      <c r="E12" t="s">
        <v>39</v>
      </c>
      <c r="F12" s="26">
        <v>22</v>
      </c>
      <c r="G12" s="26">
        <v>2.5825</v>
      </c>
      <c r="H12" s="26">
        <v>19.4175</v>
      </c>
      <c r="I12" s="28">
        <v>0.88261363640000001</v>
      </c>
      <c r="J12" t="str">
        <f t="shared" si="0"/>
        <v>1, 12</v>
      </c>
    </row>
    <row r="13" spans="1:12">
      <c r="A13">
        <v>1</v>
      </c>
      <c r="B13" s="16" t="s">
        <v>37</v>
      </c>
      <c r="C13">
        <v>13</v>
      </c>
      <c r="D13" s="16" t="s">
        <v>50</v>
      </c>
      <c r="E13" t="s">
        <v>39</v>
      </c>
      <c r="F13" s="26">
        <v>23</v>
      </c>
      <c r="G13" s="26">
        <v>6.8650000000000002</v>
      </c>
      <c r="H13" s="26">
        <v>16.135000000000002</v>
      </c>
      <c r="I13" s="28">
        <v>0.70152173910000004</v>
      </c>
      <c r="J13" t="str">
        <f t="shared" si="0"/>
        <v>1, 13</v>
      </c>
    </row>
    <row r="14" spans="1:12">
      <c r="A14">
        <v>1</v>
      </c>
      <c r="B14" s="16" t="s">
        <v>37</v>
      </c>
      <c r="C14">
        <v>14</v>
      </c>
      <c r="D14" s="16" t="s">
        <v>51</v>
      </c>
      <c r="E14" t="s">
        <v>39</v>
      </c>
      <c r="F14" s="26">
        <v>28</v>
      </c>
      <c r="G14" s="26">
        <v>4.0766669999999996</v>
      </c>
      <c r="H14" s="26">
        <v>23.923333</v>
      </c>
      <c r="I14" s="28">
        <v>0.85440475000000005</v>
      </c>
      <c r="J14" t="str">
        <f t="shared" si="0"/>
        <v>1, 14</v>
      </c>
    </row>
    <row r="15" spans="1:12">
      <c r="A15">
        <v>1</v>
      </c>
      <c r="B15" s="16" t="s">
        <v>37</v>
      </c>
      <c r="C15">
        <v>15</v>
      </c>
      <c r="D15" s="16" t="s">
        <v>52</v>
      </c>
      <c r="E15" t="s">
        <v>39</v>
      </c>
      <c r="F15" s="26">
        <v>25</v>
      </c>
      <c r="G15" s="26">
        <v>2.7149999999999999</v>
      </c>
      <c r="H15" s="26">
        <v>22.285</v>
      </c>
      <c r="I15" s="28">
        <v>0.89139999999999997</v>
      </c>
      <c r="J15" t="str">
        <f t="shared" si="0"/>
        <v>1, 15</v>
      </c>
    </row>
    <row r="16" spans="1:12">
      <c r="A16">
        <v>1</v>
      </c>
      <c r="B16" s="16" t="s">
        <v>37</v>
      </c>
      <c r="C16">
        <v>16</v>
      </c>
      <c r="D16" s="16" t="s">
        <v>53</v>
      </c>
      <c r="E16" t="s">
        <v>39</v>
      </c>
      <c r="F16" s="26">
        <v>9</v>
      </c>
      <c r="G16" s="26">
        <v>1.5608329999999999</v>
      </c>
      <c r="H16" s="26">
        <v>7.4391670000000003</v>
      </c>
      <c r="I16" s="28">
        <v>0.82657411110000001</v>
      </c>
      <c r="J16" t="str">
        <f t="shared" si="0"/>
        <v>1, 16</v>
      </c>
    </row>
    <row r="17" spans="1:10">
      <c r="A17">
        <v>1</v>
      </c>
      <c r="B17" s="16" t="s">
        <v>37</v>
      </c>
      <c r="C17">
        <v>17</v>
      </c>
      <c r="D17" s="16" t="s">
        <v>54</v>
      </c>
      <c r="E17" t="s">
        <v>39</v>
      </c>
      <c r="F17" s="26">
        <v>8</v>
      </c>
      <c r="G17" s="26">
        <v>1.4037500000000001</v>
      </c>
      <c r="H17" s="26">
        <v>6.5962500000000004</v>
      </c>
      <c r="I17" s="28">
        <v>0.82453125000000005</v>
      </c>
      <c r="J17" t="str">
        <f t="shared" si="0"/>
        <v>1, 17</v>
      </c>
    </row>
    <row r="18" spans="1:10">
      <c r="A18">
        <v>1</v>
      </c>
      <c r="B18" s="16" t="s">
        <v>37</v>
      </c>
      <c r="C18">
        <v>18</v>
      </c>
      <c r="D18" s="16" t="s">
        <v>55</v>
      </c>
      <c r="E18" t="s">
        <v>39</v>
      </c>
      <c r="F18" s="26">
        <v>23.5</v>
      </c>
      <c r="G18" s="26">
        <v>5.93</v>
      </c>
      <c r="H18" s="26">
        <v>17.57</v>
      </c>
      <c r="I18" s="28">
        <v>0.74765957449999998</v>
      </c>
      <c r="J18" t="str">
        <f t="shared" si="0"/>
        <v>1, 18</v>
      </c>
    </row>
    <row r="19" spans="1:10">
      <c r="A19">
        <v>2</v>
      </c>
      <c r="B19" s="16" t="s">
        <v>56</v>
      </c>
      <c r="C19">
        <v>1</v>
      </c>
      <c r="D19" s="16" t="s">
        <v>38</v>
      </c>
      <c r="E19" t="s">
        <v>39</v>
      </c>
      <c r="F19" s="26">
        <v>22</v>
      </c>
      <c r="G19" s="26">
        <v>3.96</v>
      </c>
      <c r="H19" s="26">
        <v>18.04</v>
      </c>
      <c r="I19" s="28">
        <v>0.82</v>
      </c>
      <c r="J19" t="str">
        <f t="shared" si="0"/>
        <v>2, 1</v>
      </c>
    </row>
    <row r="20" spans="1:10">
      <c r="A20">
        <v>2</v>
      </c>
      <c r="B20" s="16" t="s">
        <v>56</v>
      </c>
      <c r="C20">
        <v>2</v>
      </c>
      <c r="D20" s="16" t="s">
        <v>40</v>
      </c>
      <c r="E20" t="s">
        <v>39</v>
      </c>
      <c r="F20" s="26">
        <v>24</v>
      </c>
      <c r="G20" s="26">
        <v>6.6950000000000003</v>
      </c>
      <c r="H20" s="26">
        <v>17.305</v>
      </c>
      <c r="I20" s="28">
        <v>0.72104166670000003</v>
      </c>
      <c r="J20" t="str">
        <f t="shared" si="0"/>
        <v>2, 2</v>
      </c>
    </row>
    <row r="21" spans="1:10">
      <c r="A21">
        <v>2</v>
      </c>
      <c r="B21" s="16" t="s">
        <v>56</v>
      </c>
      <c r="C21">
        <v>3</v>
      </c>
      <c r="D21" s="16" t="s">
        <v>41</v>
      </c>
      <c r="E21" t="s">
        <v>39</v>
      </c>
      <c r="F21" s="26">
        <v>25.5</v>
      </c>
      <c r="G21" s="26">
        <v>3.7124999999999999</v>
      </c>
      <c r="H21" s="26">
        <v>21.787500000000001</v>
      </c>
      <c r="I21" s="28">
        <v>0.85441176470000002</v>
      </c>
      <c r="J21" t="str">
        <f t="shared" si="0"/>
        <v>2, 3</v>
      </c>
    </row>
    <row r="22" spans="1:10">
      <c r="A22">
        <v>2</v>
      </c>
      <c r="B22" s="16" t="s">
        <v>56</v>
      </c>
      <c r="C22">
        <v>4</v>
      </c>
      <c r="D22" s="16" t="s">
        <v>42</v>
      </c>
      <c r="E22" t="s">
        <v>39</v>
      </c>
      <c r="F22" s="26">
        <v>21</v>
      </c>
      <c r="G22" s="26">
        <v>6.89</v>
      </c>
      <c r="H22" s="26">
        <v>14.11</v>
      </c>
      <c r="I22" s="28">
        <v>0.67190476190000004</v>
      </c>
      <c r="J22" t="str">
        <f t="shared" si="0"/>
        <v>2, 4</v>
      </c>
    </row>
    <row r="23" spans="1:10">
      <c r="A23">
        <v>2</v>
      </c>
      <c r="B23" s="16" t="s">
        <v>56</v>
      </c>
      <c r="C23">
        <v>6</v>
      </c>
      <c r="D23" s="16" t="s">
        <v>44</v>
      </c>
      <c r="E23" t="s">
        <v>39</v>
      </c>
      <c r="F23" s="26">
        <v>23</v>
      </c>
      <c r="G23" s="26">
        <v>4.67</v>
      </c>
      <c r="H23" s="26">
        <v>18.329999999999998</v>
      </c>
      <c r="I23" s="28">
        <v>0.79695652169999998</v>
      </c>
      <c r="J23" t="str">
        <f t="shared" si="0"/>
        <v>2, 6</v>
      </c>
    </row>
    <row r="24" spans="1:10">
      <c r="A24">
        <v>2</v>
      </c>
      <c r="B24" s="16" t="s">
        <v>56</v>
      </c>
      <c r="C24">
        <v>8</v>
      </c>
      <c r="D24" s="16" t="s">
        <v>46</v>
      </c>
      <c r="E24" t="s">
        <v>39</v>
      </c>
      <c r="F24" s="26">
        <v>12.5</v>
      </c>
      <c r="G24" s="26">
        <v>0.66166700000000001</v>
      </c>
      <c r="H24" s="26">
        <v>11.838333</v>
      </c>
      <c r="I24" s="28">
        <v>0.94706664000000007</v>
      </c>
      <c r="J24" t="str">
        <f t="shared" si="0"/>
        <v>2, 8</v>
      </c>
    </row>
    <row r="25" spans="1:10">
      <c r="A25">
        <v>2</v>
      </c>
      <c r="B25" s="16" t="s">
        <v>56</v>
      </c>
      <c r="C25">
        <v>10</v>
      </c>
      <c r="D25" s="16" t="s">
        <v>57</v>
      </c>
      <c r="E25" t="s">
        <v>39</v>
      </c>
      <c r="F25" s="26">
        <v>14</v>
      </c>
      <c r="G25" s="26">
        <v>1.9475</v>
      </c>
      <c r="H25" s="26">
        <v>12.0525</v>
      </c>
      <c r="I25" s="28">
        <v>0.86089285709999996</v>
      </c>
      <c r="J25" t="str">
        <f t="shared" si="0"/>
        <v>2, 10</v>
      </c>
    </row>
    <row r="26" spans="1:10">
      <c r="A26">
        <v>2</v>
      </c>
      <c r="B26" s="16" t="s">
        <v>56</v>
      </c>
      <c r="C26">
        <v>11</v>
      </c>
      <c r="D26" s="16" t="s">
        <v>48</v>
      </c>
      <c r="E26" t="s">
        <v>39</v>
      </c>
      <c r="F26" s="26">
        <v>21</v>
      </c>
      <c r="G26" s="26">
        <v>1.9724999999999999</v>
      </c>
      <c r="H26" s="26">
        <v>19.0275</v>
      </c>
      <c r="I26" s="28">
        <v>0.90607142860000001</v>
      </c>
      <c r="J26" t="str">
        <f t="shared" si="0"/>
        <v>2, 11</v>
      </c>
    </row>
    <row r="27" spans="1:10">
      <c r="A27">
        <v>2</v>
      </c>
      <c r="B27" s="16" t="s">
        <v>56</v>
      </c>
      <c r="C27">
        <v>12</v>
      </c>
      <c r="D27" s="16" t="s">
        <v>49</v>
      </c>
      <c r="E27" t="s">
        <v>39</v>
      </c>
      <c r="F27" s="26">
        <v>22</v>
      </c>
      <c r="G27" s="26">
        <v>2.5249999999999999</v>
      </c>
      <c r="H27" s="26">
        <v>19.475000000000001</v>
      </c>
      <c r="I27" s="28">
        <v>0.88522727270000001</v>
      </c>
      <c r="J27" t="str">
        <f t="shared" si="0"/>
        <v>2, 12</v>
      </c>
    </row>
    <row r="28" spans="1:10">
      <c r="A28">
        <v>2</v>
      </c>
      <c r="B28" s="16" t="s">
        <v>56</v>
      </c>
      <c r="C28">
        <v>13</v>
      </c>
      <c r="D28" s="16" t="s">
        <v>50</v>
      </c>
      <c r="E28" t="s">
        <v>39</v>
      </c>
      <c r="F28" s="26">
        <v>23</v>
      </c>
      <c r="G28" s="26">
        <v>6.7949999999999999</v>
      </c>
      <c r="H28" s="26">
        <v>16.204999999999998</v>
      </c>
      <c r="I28" s="28">
        <v>0.7045652174</v>
      </c>
      <c r="J28" t="str">
        <f t="shared" si="0"/>
        <v>2, 13</v>
      </c>
    </row>
    <row r="29" spans="1:10">
      <c r="A29">
        <v>2</v>
      </c>
      <c r="B29" s="16" t="s">
        <v>56</v>
      </c>
      <c r="C29">
        <v>14</v>
      </c>
      <c r="D29" s="16" t="s">
        <v>51</v>
      </c>
      <c r="E29" t="s">
        <v>39</v>
      </c>
      <c r="F29" s="26">
        <v>28</v>
      </c>
      <c r="G29" s="26">
        <v>3.983333</v>
      </c>
      <c r="H29" s="26">
        <v>24.016667000000002</v>
      </c>
      <c r="I29" s="28">
        <v>0.85773810710000009</v>
      </c>
      <c r="J29" t="str">
        <f t="shared" si="0"/>
        <v>2, 14</v>
      </c>
    </row>
    <row r="30" spans="1:10">
      <c r="A30">
        <v>2</v>
      </c>
      <c r="B30" s="16" t="s">
        <v>56</v>
      </c>
      <c r="C30">
        <v>15</v>
      </c>
      <c r="D30" s="16" t="s">
        <v>52</v>
      </c>
      <c r="E30" t="s">
        <v>39</v>
      </c>
      <c r="F30" s="26">
        <v>25</v>
      </c>
      <c r="G30" s="26">
        <v>2.7149999999999999</v>
      </c>
      <c r="H30" s="26">
        <v>22.285</v>
      </c>
      <c r="I30" s="28">
        <v>0.89139999999999997</v>
      </c>
      <c r="J30" t="str">
        <f t="shared" si="0"/>
        <v>2, 15</v>
      </c>
    </row>
    <row r="31" spans="1:10">
      <c r="A31">
        <v>2</v>
      </c>
      <c r="B31" s="16" t="s">
        <v>56</v>
      </c>
      <c r="C31">
        <v>16</v>
      </c>
      <c r="D31" s="16" t="s">
        <v>53</v>
      </c>
      <c r="E31" t="s">
        <v>39</v>
      </c>
      <c r="F31" s="26">
        <v>9</v>
      </c>
      <c r="G31" s="26">
        <v>1.6541669999999999</v>
      </c>
      <c r="H31" s="26">
        <v>7.3458329999999998</v>
      </c>
      <c r="I31" s="28">
        <v>0.8162036667</v>
      </c>
      <c r="J31" t="str">
        <f t="shared" si="0"/>
        <v>2, 16</v>
      </c>
    </row>
    <row r="32" spans="1:10">
      <c r="A32">
        <v>2</v>
      </c>
      <c r="B32" s="16" t="s">
        <v>56</v>
      </c>
      <c r="C32">
        <v>17</v>
      </c>
      <c r="D32" s="16" t="s">
        <v>54</v>
      </c>
      <c r="E32" t="s">
        <v>39</v>
      </c>
      <c r="F32" s="26">
        <v>8</v>
      </c>
      <c r="G32" s="26">
        <v>1.365</v>
      </c>
      <c r="H32" s="26">
        <v>6.6349999999999998</v>
      </c>
      <c r="I32" s="28">
        <v>0.82937499999999997</v>
      </c>
      <c r="J32" t="str">
        <f t="shared" si="0"/>
        <v>2, 17</v>
      </c>
    </row>
    <row r="33" spans="1:10">
      <c r="A33">
        <v>2</v>
      </c>
      <c r="B33" s="16" t="s">
        <v>56</v>
      </c>
      <c r="C33">
        <v>18</v>
      </c>
      <c r="D33" s="16" t="s">
        <v>55</v>
      </c>
      <c r="E33" t="s">
        <v>39</v>
      </c>
      <c r="F33" s="26">
        <v>23.5</v>
      </c>
      <c r="G33" s="26">
        <v>5.9</v>
      </c>
      <c r="H33" s="26">
        <v>17.600000000000001</v>
      </c>
      <c r="I33" s="28">
        <v>0.74893617019999992</v>
      </c>
      <c r="J33" t="str">
        <f t="shared" si="0"/>
        <v>2, 18</v>
      </c>
    </row>
    <row r="34" spans="1:10">
      <c r="A34">
        <v>3</v>
      </c>
      <c r="B34" s="16" t="s">
        <v>58</v>
      </c>
      <c r="C34">
        <v>1</v>
      </c>
      <c r="D34" s="16" t="s">
        <v>38</v>
      </c>
      <c r="E34" t="s">
        <v>39</v>
      </c>
      <c r="F34" s="26">
        <v>21</v>
      </c>
      <c r="G34" s="26">
        <v>4.0724999999999998</v>
      </c>
      <c r="H34" s="26">
        <v>16.927499999999998</v>
      </c>
      <c r="I34" s="28">
        <v>0.80607142859999992</v>
      </c>
      <c r="J34" t="str">
        <f t="shared" si="0"/>
        <v>3, 1</v>
      </c>
    </row>
    <row r="35" spans="1:10">
      <c r="A35">
        <v>3</v>
      </c>
      <c r="B35" s="16" t="s">
        <v>58</v>
      </c>
      <c r="C35">
        <v>2</v>
      </c>
      <c r="D35" s="16" t="s">
        <v>40</v>
      </c>
      <c r="E35" t="s">
        <v>39</v>
      </c>
      <c r="F35" s="26">
        <v>23</v>
      </c>
      <c r="G35" s="26">
        <v>6.76</v>
      </c>
      <c r="H35" s="26">
        <v>16.239999999999998</v>
      </c>
      <c r="I35" s="28">
        <v>0.70608695649999997</v>
      </c>
      <c r="J35" t="str">
        <f t="shared" si="0"/>
        <v>3, 2</v>
      </c>
    </row>
    <row r="36" spans="1:10">
      <c r="A36">
        <v>3</v>
      </c>
      <c r="B36" s="16" t="s">
        <v>58</v>
      </c>
      <c r="C36">
        <v>4</v>
      </c>
      <c r="D36" s="16" t="s">
        <v>42</v>
      </c>
      <c r="E36" t="s">
        <v>39</v>
      </c>
      <c r="F36" s="26">
        <v>20</v>
      </c>
      <c r="G36" s="26">
        <v>6.91</v>
      </c>
      <c r="H36" s="26">
        <v>13.09</v>
      </c>
      <c r="I36" s="28">
        <v>0.65450000000000008</v>
      </c>
      <c r="J36" t="str">
        <f t="shared" si="0"/>
        <v>3, 4</v>
      </c>
    </row>
    <row r="37" spans="1:10">
      <c r="A37">
        <v>3</v>
      </c>
      <c r="B37" s="16" t="s">
        <v>58</v>
      </c>
      <c r="C37">
        <v>6</v>
      </c>
      <c r="D37" s="16" t="s">
        <v>44</v>
      </c>
      <c r="E37" t="s">
        <v>39</v>
      </c>
      <c r="F37" s="26">
        <v>22</v>
      </c>
      <c r="G37" s="26">
        <v>4.84</v>
      </c>
      <c r="H37" s="26">
        <v>17.16</v>
      </c>
      <c r="I37" s="28">
        <v>0.78</v>
      </c>
      <c r="J37" t="str">
        <f t="shared" si="0"/>
        <v>3, 6</v>
      </c>
    </row>
    <row r="38" spans="1:10">
      <c r="A38">
        <v>3</v>
      </c>
      <c r="B38" s="16" t="s">
        <v>58</v>
      </c>
      <c r="C38">
        <v>7</v>
      </c>
      <c r="D38" s="16" t="s">
        <v>45</v>
      </c>
      <c r="E38" t="s">
        <v>39</v>
      </c>
      <c r="F38" s="26">
        <v>10</v>
      </c>
      <c r="G38" s="26">
        <v>2.9325000000000001</v>
      </c>
      <c r="H38" s="26">
        <v>7.0674999999999999</v>
      </c>
      <c r="I38" s="28">
        <v>0.70674999999999999</v>
      </c>
      <c r="J38" t="str">
        <f t="shared" si="0"/>
        <v>3, 7</v>
      </c>
    </row>
    <row r="39" spans="1:10">
      <c r="A39">
        <v>3</v>
      </c>
      <c r="B39" s="16" t="s">
        <v>58</v>
      </c>
      <c r="C39">
        <v>9</v>
      </c>
      <c r="D39" s="16" t="s">
        <v>47</v>
      </c>
      <c r="E39" t="s">
        <v>39</v>
      </c>
      <c r="F39" s="26">
        <v>47.5</v>
      </c>
      <c r="G39" s="26">
        <v>17.899999999999999</v>
      </c>
      <c r="H39" s="26">
        <v>29.6</v>
      </c>
      <c r="I39" s="28">
        <v>0.62315789469999994</v>
      </c>
      <c r="J39" t="str">
        <f t="shared" si="0"/>
        <v>3, 9</v>
      </c>
    </row>
    <row r="40" spans="1:10">
      <c r="A40">
        <v>3</v>
      </c>
      <c r="B40" s="16" t="s">
        <v>58</v>
      </c>
      <c r="C40">
        <v>11</v>
      </c>
      <c r="D40" s="16" t="s">
        <v>48</v>
      </c>
      <c r="E40" t="s">
        <v>39</v>
      </c>
      <c r="F40" s="26">
        <v>20</v>
      </c>
      <c r="G40" s="26">
        <v>2.0099999999999998</v>
      </c>
      <c r="H40" s="26">
        <v>17.989999999999998</v>
      </c>
      <c r="I40" s="28">
        <v>0.89950000000000008</v>
      </c>
      <c r="J40" t="str">
        <f t="shared" si="0"/>
        <v>3, 11</v>
      </c>
    </row>
    <row r="41" spans="1:10">
      <c r="A41">
        <v>3</v>
      </c>
      <c r="B41" s="16" t="s">
        <v>58</v>
      </c>
      <c r="C41">
        <v>12</v>
      </c>
      <c r="D41" s="16" t="s">
        <v>49</v>
      </c>
      <c r="E41" t="s">
        <v>39</v>
      </c>
      <c r="F41" s="26">
        <v>21</v>
      </c>
      <c r="G41" s="26">
        <v>2.5299999999999998</v>
      </c>
      <c r="H41" s="26">
        <v>18.47</v>
      </c>
      <c r="I41" s="28">
        <v>0.87952380950000009</v>
      </c>
      <c r="J41" t="str">
        <f t="shared" si="0"/>
        <v>3, 12</v>
      </c>
    </row>
    <row r="42" spans="1:10">
      <c r="A42">
        <v>3</v>
      </c>
      <c r="B42" s="16" t="s">
        <v>58</v>
      </c>
      <c r="C42">
        <v>13</v>
      </c>
      <c r="D42" s="16" t="s">
        <v>50</v>
      </c>
      <c r="E42" t="s">
        <v>39</v>
      </c>
      <c r="F42" s="26">
        <v>22</v>
      </c>
      <c r="G42" s="26">
        <v>6.94</v>
      </c>
      <c r="H42" s="26">
        <v>15.06</v>
      </c>
      <c r="I42" s="28">
        <v>0.68454545449999993</v>
      </c>
      <c r="J42" t="str">
        <f t="shared" si="0"/>
        <v>3, 13</v>
      </c>
    </row>
    <row r="43" spans="1:10">
      <c r="A43">
        <v>3</v>
      </c>
      <c r="B43" s="16" t="s">
        <v>58</v>
      </c>
      <c r="C43">
        <v>14</v>
      </c>
      <c r="D43" s="16" t="s">
        <v>51</v>
      </c>
      <c r="E43" t="s">
        <v>39</v>
      </c>
      <c r="F43" s="26">
        <v>27</v>
      </c>
      <c r="G43" s="26">
        <v>4.0816670000000004</v>
      </c>
      <c r="H43" s="26">
        <v>22.918333000000001</v>
      </c>
      <c r="I43" s="28">
        <v>0.84882714809999993</v>
      </c>
      <c r="J43" t="str">
        <f t="shared" si="0"/>
        <v>3, 14</v>
      </c>
    </row>
    <row r="44" spans="1:10">
      <c r="A44">
        <v>3</v>
      </c>
      <c r="B44" s="16" t="s">
        <v>58</v>
      </c>
      <c r="C44">
        <v>15</v>
      </c>
      <c r="D44" s="16" t="s">
        <v>52</v>
      </c>
      <c r="E44" t="s">
        <v>39</v>
      </c>
      <c r="F44" s="26">
        <v>23.5</v>
      </c>
      <c r="G44" s="26">
        <v>2.7050000000000001</v>
      </c>
      <c r="H44" s="26">
        <v>20.795000000000002</v>
      </c>
      <c r="I44" s="28">
        <v>0.88489361700000002</v>
      </c>
      <c r="J44" t="str">
        <f t="shared" si="0"/>
        <v>3, 15</v>
      </c>
    </row>
    <row r="45" spans="1:10">
      <c r="A45">
        <v>3</v>
      </c>
      <c r="B45" s="16" t="s">
        <v>58</v>
      </c>
      <c r="C45">
        <v>16</v>
      </c>
      <c r="D45" s="16" t="s">
        <v>53</v>
      </c>
      <c r="E45" t="s">
        <v>39</v>
      </c>
      <c r="F45" s="26">
        <v>8.5</v>
      </c>
      <c r="G45" s="26">
        <v>1.5649999999999999</v>
      </c>
      <c r="H45" s="26">
        <v>6.9349999999999996</v>
      </c>
      <c r="I45" s="28">
        <v>0.8158823529</v>
      </c>
      <c r="J45" t="str">
        <f t="shared" si="0"/>
        <v>3, 16</v>
      </c>
    </row>
    <row r="46" spans="1:10">
      <c r="A46">
        <v>3</v>
      </c>
      <c r="B46" s="16" t="s">
        <v>58</v>
      </c>
      <c r="C46">
        <v>17</v>
      </c>
      <c r="D46" s="16" t="s">
        <v>54</v>
      </c>
      <c r="E46" t="s">
        <v>39</v>
      </c>
      <c r="F46" s="26">
        <v>7.5</v>
      </c>
      <c r="G46" s="26">
        <v>1.4087499999999999</v>
      </c>
      <c r="H46" s="26">
        <v>6.0912499999999996</v>
      </c>
      <c r="I46" s="28">
        <v>0.81216666669999993</v>
      </c>
      <c r="J46" t="str">
        <f t="shared" si="0"/>
        <v>3, 17</v>
      </c>
    </row>
    <row r="47" spans="1:10">
      <c r="A47">
        <v>3</v>
      </c>
      <c r="B47" s="16" t="s">
        <v>58</v>
      </c>
      <c r="C47">
        <v>18</v>
      </c>
      <c r="D47" s="16" t="s">
        <v>55</v>
      </c>
      <c r="E47" t="s">
        <v>39</v>
      </c>
      <c r="F47" s="26">
        <v>23</v>
      </c>
      <c r="G47" s="26">
        <v>5.7050000000000001</v>
      </c>
      <c r="H47" s="26">
        <v>17.295000000000002</v>
      </c>
      <c r="I47" s="28">
        <v>0.75195652170000005</v>
      </c>
      <c r="J47" t="str">
        <f t="shared" si="0"/>
        <v>3, 18</v>
      </c>
    </row>
    <row r="48" spans="1:10">
      <c r="A48">
        <v>4</v>
      </c>
      <c r="B48" s="16" t="s">
        <v>59</v>
      </c>
      <c r="C48">
        <v>1</v>
      </c>
      <c r="D48" s="16" t="s">
        <v>38</v>
      </c>
      <c r="E48" t="s">
        <v>39</v>
      </c>
      <c r="F48" s="26">
        <v>21</v>
      </c>
      <c r="G48" s="26">
        <v>3.7850000000000001</v>
      </c>
      <c r="H48" s="26">
        <v>17.215</v>
      </c>
      <c r="I48" s="28">
        <v>0.8197619048</v>
      </c>
      <c r="J48" t="str">
        <f t="shared" si="0"/>
        <v>4, 1</v>
      </c>
    </row>
    <row r="49" spans="1:10">
      <c r="A49">
        <v>4</v>
      </c>
      <c r="B49" s="16" t="s">
        <v>59</v>
      </c>
      <c r="C49">
        <v>2</v>
      </c>
      <c r="D49" s="16" t="s">
        <v>40</v>
      </c>
      <c r="E49" t="s">
        <v>39</v>
      </c>
      <c r="F49" s="26">
        <v>23</v>
      </c>
      <c r="G49" s="26">
        <v>6.2850000000000001</v>
      </c>
      <c r="H49" s="26">
        <v>16.715</v>
      </c>
      <c r="I49" s="28">
        <v>0.72673913040000004</v>
      </c>
      <c r="J49" t="str">
        <f t="shared" si="0"/>
        <v>4, 2</v>
      </c>
    </row>
    <row r="50" spans="1:10">
      <c r="A50">
        <v>4</v>
      </c>
      <c r="B50" s="16" t="s">
        <v>59</v>
      </c>
      <c r="C50">
        <v>3</v>
      </c>
      <c r="D50" s="16" t="s">
        <v>41</v>
      </c>
      <c r="E50" t="s">
        <v>39</v>
      </c>
      <c r="F50" s="26">
        <v>24.5</v>
      </c>
      <c r="G50" s="26">
        <v>3.16</v>
      </c>
      <c r="H50" s="26">
        <v>21.34</v>
      </c>
      <c r="I50" s="28">
        <v>0.87102040820000004</v>
      </c>
      <c r="J50" t="str">
        <f t="shared" si="0"/>
        <v>4, 3</v>
      </c>
    </row>
    <row r="51" spans="1:10">
      <c r="A51">
        <v>4</v>
      </c>
      <c r="B51" s="16" t="s">
        <v>59</v>
      </c>
      <c r="C51">
        <v>5</v>
      </c>
      <c r="D51" s="16" t="s">
        <v>43</v>
      </c>
      <c r="E51" t="s">
        <v>39</v>
      </c>
      <c r="F51" s="26">
        <v>20</v>
      </c>
      <c r="G51" s="26">
        <v>6.09</v>
      </c>
      <c r="H51" s="26">
        <v>13.91</v>
      </c>
      <c r="I51" s="28">
        <v>0.69550000000000001</v>
      </c>
      <c r="J51" t="str">
        <f t="shared" si="0"/>
        <v>4, 5</v>
      </c>
    </row>
    <row r="52" spans="1:10">
      <c r="A52">
        <v>4</v>
      </c>
      <c r="B52" s="16" t="s">
        <v>59</v>
      </c>
      <c r="C52">
        <v>6</v>
      </c>
      <c r="D52" s="16" t="s">
        <v>44</v>
      </c>
      <c r="E52" t="s">
        <v>39</v>
      </c>
      <c r="F52" s="26">
        <v>22</v>
      </c>
      <c r="G52" s="26">
        <v>4.7474999999999996</v>
      </c>
      <c r="H52" s="26">
        <v>17.252500000000001</v>
      </c>
      <c r="I52" s="28">
        <v>0.78420454550000007</v>
      </c>
      <c r="J52" t="str">
        <f t="shared" si="0"/>
        <v>4, 6</v>
      </c>
    </row>
    <row r="53" spans="1:10">
      <c r="A53">
        <v>4</v>
      </c>
      <c r="B53" s="16" t="s">
        <v>59</v>
      </c>
      <c r="C53">
        <v>8</v>
      </c>
      <c r="D53" s="16" t="s">
        <v>46</v>
      </c>
      <c r="E53" t="s">
        <v>39</v>
      </c>
      <c r="F53" s="26">
        <v>11.5</v>
      </c>
      <c r="G53" s="26">
        <v>0.64333300000000004</v>
      </c>
      <c r="H53" s="26">
        <v>10.856667</v>
      </c>
      <c r="I53" s="28">
        <v>0.94405799999999995</v>
      </c>
      <c r="J53" t="str">
        <f t="shared" si="0"/>
        <v>4, 8</v>
      </c>
    </row>
    <row r="54" spans="1:10">
      <c r="A54">
        <v>4</v>
      </c>
      <c r="B54" s="16" t="s">
        <v>59</v>
      </c>
      <c r="C54">
        <v>9</v>
      </c>
      <c r="D54" s="16" t="s">
        <v>47</v>
      </c>
      <c r="E54" t="s">
        <v>39</v>
      </c>
      <c r="F54" s="26">
        <v>47.5</v>
      </c>
      <c r="G54" s="26">
        <v>17.16</v>
      </c>
      <c r="H54" s="26">
        <v>30.34</v>
      </c>
      <c r="I54" s="28">
        <v>0.63873684210000004</v>
      </c>
      <c r="J54" t="str">
        <f t="shared" si="0"/>
        <v>4, 9</v>
      </c>
    </row>
    <row r="55" spans="1:10">
      <c r="A55">
        <v>4</v>
      </c>
      <c r="B55" s="16" t="s">
        <v>59</v>
      </c>
      <c r="C55">
        <v>10</v>
      </c>
      <c r="D55" s="16" t="s">
        <v>57</v>
      </c>
      <c r="E55" t="s">
        <v>39</v>
      </c>
      <c r="F55" s="26">
        <v>13.5</v>
      </c>
      <c r="G55" s="26">
        <v>2.0625</v>
      </c>
      <c r="H55" s="26">
        <v>11.4375</v>
      </c>
      <c r="I55" s="28">
        <v>0.8472222222000001</v>
      </c>
      <c r="J55" t="str">
        <f t="shared" si="0"/>
        <v>4, 10</v>
      </c>
    </row>
    <row r="56" spans="1:10">
      <c r="A56">
        <v>4</v>
      </c>
      <c r="B56" s="16" t="s">
        <v>59</v>
      </c>
      <c r="C56">
        <v>11</v>
      </c>
      <c r="D56" s="16" t="s">
        <v>48</v>
      </c>
      <c r="E56" t="s">
        <v>39</v>
      </c>
      <c r="F56" s="26">
        <v>20</v>
      </c>
      <c r="G56" s="26">
        <v>1.8174999999999999</v>
      </c>
      <c r="H56" s="26">
        <v>18.182500000000001</v>
      </c>
      <c r="I56" s="28">
        <v>0.90912499999999996</v>
      </c>
      <c r="J56" t="str">
        <f t="shared" si="0"/>
        <v>4, 11</v>
      </c>
    </row>
    <row r="57" spans="1:10">
      <c r="A57">
        <v>4</v>
      </c>
      <c r="B57" s="16" t="s">
        <v>59</v>
      </c>
      <c r="C57">
        <v>12</v>
      </c>
      <c r="D57" s="16" t="s">
        <v>49</v>
      </c>
      <c r="E57" t="s">
        <v>39</v>
      </c>
      <c r="F57" s="26">
        <v>21</v>
      </c>
      <c r="G57" s="26">
        <v>2.5299999999999998</v>
      </c>
      <c r="H57" s="26">
        <v>18.47</v>
      </c>
      <c r="I57" s="28">
        <v>0.87952380950000009</v>
      </c>
      <c r="J57" t="str">
        <f t="shared" si="0"/>
        <v>4, 12</v>
      </c>
    </row>
    <row r="58" spans="1:10">
      <c r="A58">
        <v>4</v>
      </c>
      <c r="B58" s="16" t="s">
        <v>59</v>
      </c>
      <c r="C58">
        <v>13</v>
      </c>
      <c r="D58" s="16" t="s">
        <v>50</v>
      </c>
      <c r="E58" t="s">
        <v>39</v>
      </c>
      <c r="F58" s="26">
        <v>22</v>
      </c>
      <c r="G58" s="26">
        <v>6.165</v>
      </c>
      <c r="H58" s="26">
        <v>15.835000000000001</v>
      </c>
      <c r="I58" s="28">
        <v>0.71977272729999997</v>
      </c>
      <c r="J58" t="str">
        <f t="shared" si="0"/>
        <v>4, 13</v>
      </c>
    </row>
    <row r="59" spans="1:10">
      <c r="A59">
        <v>4</v>
      </c>
      <c r="B59" s="16" t="s">
        <v>59</v>
      </c>
      <c r="C59">
        <v>14</v>
      </c>
      <c r="D59" s="16" t="s">
        <v>51</v>
      </c>
      <c r="E59" t="s">
        <v>39</v>
      </c>
      <c r="F59" s="26">
        <v>27</v>
      </c>
      <c r="G59" s="26">
        <v>3.871667</v>
      </c>
      <c r="H59" s="26">
        <v>23.128333000000001</v>
      </c>
      <c r="I59" s="28">
        <v>0.85660492590000004</v>
      </c>
      <c r="J59" t="str">
        <f t="shared" si="0"/>
        <v>4, 14</v>
      </c>
    </row>
    <row r="60" spans="1:10">
      <c r="A60">
        <v>4</v>
      </c>
      <c r="B60" s="16" t="s">
        <v>59</v>
      </c>
      <c r="C60">
        <v>15</v>
      </c>
      <c r="D60" s="16" t="s">
        <v>52</v>
      </c>
      <c r="E60" t="s">
        <v>39</v>
      </c>
      <c r="F60" s="26">
        <v>23.5</v>
      </c>
      <c r="G60" s="26">
        <v>2.7075</v>
      </c>
      <c r="H60" s="26">
        <v>20.7925</v>
      </c>
      <c r="I60" s="28">
        <v>0.88478723400000003</v>
      </c>
      <c r="J60" t="str">
        <f t="shared" si="0"/>
        <v>4, 15</v>
      </c>
    </row>
    <row r="61" spans="1:10">
      <c r="A61">
        <v>4</v>
      </c>
      <c r="B61" s="16" t="s">
        <v>59</v>
      </c>
      <c r="C61">
        <v>16</v>
      </c>
      <c r="D61" s="16" t="s">
        <v>53</v>
      </c>
      <c r="E61" t="s">
        <v>39</v>
      </c>
      <c r="F61" s="26">
        <v>8.5</v>
      </c>
      <c r="G61" s="26">
        <v>1.306667</v>
      </c>
      <c r="H61" s="26">
        <v>7.193333</v>
      </c>
      <c r="I61" s="28">
        <v>0.84627447059999994</v>
      </c>
      <c r="J61" t="str">
        <f t="shared" si="0"/>
        <v>4, 16</v>
      </c>
    </row>
    <row r="62" spans="1:10">
      <c r="A62">
        <v>4</v>
      </c>
      <c r="B62" s="16" t="s">
        <v>59</v>
      </c>
      <c r="C62">
        <v>17</v>
      </c>
      <c r="D62" s="16" t="s">
        <v>54</v>
      </c>
      <c r="E62" t="s">
        <v>39</v>
      </c>
      <c r="F62" s="26">
        <v>7.5</v>
      </c>
      <c r="G62" s="26">
        <v>1.2575000000000001</v>
      </c>
      <c r="H62" s="26">
        <v>6.2424999999999997</v>
      </c>
      <c r="I62" s="28">
        <v>0.83233333329999992</v>
      </c>
      <c r="J62" t="str">
        <f t="shared" si="0"/>
        <v>4, 17</v>
      </c>
    </row>
    <row r="63" spans="1:10">
      <c r="A63">
        <v>4</v>
      </c>
      <c r="B63" s="16" t="s">
        <v>59</v>
      </c>
      <c r="C63">
        <v>18</v>
      </c>
      <c r="D63" s="16" t="s">
        <v>55</v>
      </c>
      <c r="E63" t="s">
        <v>39</v>
      </c>
      <c r="F63" s="26">
        <v>23</v>
      </c>
      <c r="G63" s="26">
        <v>6.4950000000000001</v>
      </c>
      <c r="H63" s="26">
        <v>16.504999999999999</v>
      </c>
      <c r="I63" s="28">
        <v>0.71760869569999997</v>
      </c>
      <c r="J63" t="str">
        <f t="shared" si="0"/>
        <v>4, 18</v>
      </c>
    </row>
    <row r="64" spans="1:10">
      <c r="A64">
        <v>5</v>
      </c>
      <c r="B64" s="16" t="s">
        <v>60</v>
      </c>
      <c r="C64">
        <v>1</v>
      </c>
      <c r="D64" s="16" t="s">
        <v>38</v>
      </c>
      <c r="E64" t="s">
        <v>39</v>
      </c>
      <c r="F64" s="26">
        <v>21.5</v>
      </c>
      <c r="G64" s="26">
        <v>4.4024999999999999</v>
      </c>
      <c r="H64" s="26">
        <v>17.0975</v>
      </c>
      <c r="I64" s="28">
        <v>0.79523255809999993</v>
      </c>
      <c r="J64" t="str">
        <f t="shared" si="0"/>
        <v>5, 1</v>
      </c>
    </row>
    <row r="65" spans="1:10">
      <c r="A65">
        <v>5</v>
      </c>
      <c r="B65" s="16" t="s">
        <v>60</v>
      </c>
      <c r="C65">
        <v>2</v>
      </c>
      <c r="D65" s="16" t="s">
        <v>40</v>
      </c>
      <c r="E65" t="s">
        <v>39</v>
      </c>
      <c r="F65" s="26">
        <v>24</v>
      </c>
      <c r="G65" s="26">
        <v>7.39</v>
      </c>
      <c r="H65" s="26">
        <v>16.61</v>
      </c>
      <c r="I65" s="28">
        <v>0.69208333330000005</v>
      </c>
      <c r="J65" t="str">
        <f t="shared" si="0"/>
        <v>5, 2</v>
      </c>
    </row>
    <row r="66" spans="1:10">
      <c r="A66">
        <v>5</v>
      </c>
      <c r="B66" s="16" t="s">
        <v>60</v>
      </c>
      <c r="C66">
        <v>3</v>
      </c>
      <c r="D66" s="16" t="s">
        <v>41</v>
      </c>
      <c r="E66" t="s">
        <v>39</v>
      </c>
      <c r="F66" s="26">
        <v>25</v>
      </c>
      <c r="G66" s="26">
        <v>3.5550000000000002</v>
      </c>
      <c r="H66" s="26">
        <v>21.445</v>
      </c>
      <c r="I66" s="28">
        <v>0.85780000000000001</v>
      </c>
      <c r="J66" t="str">
        <f t="shared" si="0"/>
        <v>5, 3</v>
      </c>
    </row>
    <row r="67" spans="1:10">
      <c r="A67">
        <v>5</v>
      </c>
      <c r="B67" s="16" t="s">
        <v>60</v>
      </c>
      <c r="C67">
        <v>4</v>
      </c>
      <c r="D67" s="16" t="s">
        <v>42</v>
      </c>
      <c r="E67" t="s">
        <v>39</v>
      </c>
      <c r="F67" s="26">
        <v>20.5</v>
      </c>
      <c r="G67" s="26">
        <v>7.46</v>
      </c>
      <c r="H67" s="26">
        <v>13.04</v>
      </c>
      <c r="I67" s="28">
        <v>0.63609756100000003</v>
      </c>
      <c r="J67" t="str">
        <f t="shared" ref="J67:J130" si="1">(A67&amp;", "&amp; C67)</f>
        <v>5, 4</v>
      </c>
    </row>
    <row r="68" spans="1:10">
      <c r="A68">
        <v>5</v>
      </c>
      <c r="B68" s="16" t="s">
        <v>60</v>
      </c>
      <c r="C68">
        <v>7</v>
      </c>
      <c r="D68" s="16" t="s">
        <v>45</v>
      </c>
      <c r="E68" t="s">
        <v>39</v>
      </c>
      <c r="F68" s="26">
        <v>10.5</v>
      </c>
      <c r="G68" s="26">
        <v>2.9975000000000001</v>
      </c>
      <c r="H68" s="26">
        <v>7.5025000000000004</v>
      </c>
      <c r="I68" s="28">
        <v>0.71452380950000005</v>
      </c>
      <c r="J68" t="str">
        <f t="shared" si="1"/>
        <v>5, 7</v>
      </c>
    </row>
    <row r="69" spans="1:10">
      <c r="A69">
        <v>5</v>
      </c>
      <c r="B69" s="16" t="s">
        <v>60</v>
      </c>
      <c r="C69">
        <v>8</v>
      </c>
      <c r="D69" s="16" t="s">
        <v>46</v>
      </c>
      <c r="E69" t="s">
        <v>39</v>
      </c>
      <c r="F69" s="26">
        <v>12</v>
      </c>
      <c r="G69" s="26">
        <v>0.66333299999999995</v>
      </c>
      <c r="H69" s="26">
        <v>11.336667</v>
      </c>
      <c r="I69" s="28">
        <v>0.94472224999999999</v>
      </c>
      <c r="J69" t="str">
        <f t="shared" si="1"/>
        <v>5, 8</v>
      </c>
    </row>
    <row r="70" spans="1:10">
      <c r="A70">
        <v>5</v>
      </c>
      <c r="B70" s="16" t="s">
        <v>60</v>
      </c>
      <c r="C70">
        <v>10</v>
      </c>
      <c r="D70" s="16" t="s">
        <v>57</v>
      </c>
      <c r="E70" t="s">
        <v>39</v>
      </c>
      <c r="F70" s="26">
        <v>14</v>
      </c>
      <c r="G70" s="26">
        <v>1.91</v>
      </c>
      <c r="H70" s="26">
        <v>12.09</v>
      </c>
      <c r="I70" s="28">
        <v>0.86357142859999991</v>
      </c>
      <c r="J70" t="str">
        <f t="shared" si="1"/>
        <v>5, 10</v>
      </c>
    </row>
    <row r="71" spans="1:10">
      <c r="A71">
        <v>5</v>
      </c>
      <c r="B71" s="16" t="s">
        <v>60</v>
      </c>
      <c r="C71">
        <v>11</v>
      </c>
      <c r="D71" s="16" t="s">
        <v>48</v>
      </c>
      <c r="E71" t="s">
        <v>39</v>
      </c>
      <c r="F71" s="26">
        <v>21</v>
      </c>
      <c r="G71" s="26">
        <v>2.1549999999999998</v>
      </c>
      <c r="H71" s="26">
        <v>18.844999999999999</v>
      </c>
      <c r="I71" s="28">
        <v>0.89738095240000004</v>
      </c>
      <c r="J71" t="str">
        <f t="shared" si="1"/>
        <v>5, 11</v>
      </c>
    </row>
    <row r="72" spans="1:10">
      <c r="A72">
        <v>5</v>
      </c>
      <c r="B72" s="16" t="s">
        <v>60</v>
      </c>
      <c r="C72">
        <v>12</v>
      </c>
      <c r="D72" s="16" t="s">
        <v>49</v>
      </c>
      <c r="E72" t="s">
        <v>39</v>
      </c>
      <c r="F72" s="26">
        <v>21.5</v>
      </c>
      <c r="G72" s="26">
        <v>2.5775000000000001</v>
      </c>
      <c r="H72" s="26">
        <v>18.922499999999999</v>
      </c>
      <c r="I72" s="28">
        <v>0.88011627910000001</v>
      </c>
      <c r="J72" t="str">
        <f t="shared" si="1"/>
        <v>5, 12</v>
      </c>
    </row>
    <row r="73" spans="1:10">
      <c r="A73">
        <v>5</v>
      </c>
      <c r="B73" s="16" t="s">
        <v>60</v>
      </c>
      <c r="C73">
        <v>13</v>
      </c>
      <c r="D73" s="16" t="s">
        <v>50</v>
      </c>
      <c r="E73" t="s">
        <v>39</v>
      </c>
      <c r="F73" s="26">
        <v>22.5</v>
      </c>
      <c r="G73" s="26">
        <v>7.33</v>
      </c>
      <c r="H73" s="26">
        <v>15.17</v>
      </c>
      <c r="I73" s="28">
        <v>0.67422222219999994</v>
      </c>
      <c r="J73" t="str">
        <f t="shared" si="1"/>
        <v>5, 13</v>
      </c>
    </row>
    <row r="74" spans="1:10">
      <c r="A74">
        <v>5</v>
      </c>
      <c r="B74" s="16" t="s">
        <v>60</v>
      </c>
      <c r="C74">
        <v>14</v>
      </c>
      <c r="D74" s="16" t="s">
        <v>51</v>
      </c>
      <c r="E74" t="s">
        <v>39</v>
      </c>
      <c r="F74" s="26">
        <v>27.5</v>
      </c>
      <c r="G74" s="26">
        <v>4.1633329999999997</v>
      </c>
      <c r="H74" s="26">
        <v>23.336666999999998</v>
      </c>
      <c r="I74" s="28">
        <v>0.84860607269999999</v>
      </c>
      <c r="J74" t="str">
        <f t="shared" si="1"/>
        <v>5, 14</v>
      </c>
    </row>
    <row r="75" spans="1:10">
      <c r="A75">
        <v>5</v>
      </c>
      <c r="B75" s="16" t="s">
        <v>60</v>
      </c>
      <c r="C75">
        <v>15</v>
      </c>
      <c r="D75" s="16" t="s">
        <v>52</v>
      </c>
      <c r="E75" t="s">
        <v>39</v>
      </c>
      <c r="F75" s="26">
        <v>24</v>
      </c>
      <c r="G75" s="26">
        <v>2.7574999999999998</v>
      </c>
      <c r="H75" s="26">
        <v>21.2425</v>
      </c>
      <c r="I75" s="28">
        <v>0.88510416670000003</v>
      </c>
      <c r="J75" t="str">
        <f t="shared" si="1"/>
        <v>5, 15</v>
      </c>
    </row>
    <row r="76" spans="1:10">
      <c r="A76">
        <v>5</v>
      </c>
      <c r="B76" s="16" t="s">
        <v>60</v>
      </c>
      <c r="C76">
        <v>16</v>
      </c>
      <c r="D76" s="16" t="s">
        <v>53</v>
      </c>
      <c r="E76" t="s">
        <v>39</v>
      </c>
      <c r="F76" s="26">
        <v>9</v>
      </c>
      <c r="G76" s="26">
        <v>1.6274999999999999</v>
      </c>
      <c r="H76" s="26">
        <v>7.3724999999999996</v>
      </c>
      <c r="I76" s="28">
        <v>0.81916666669999993</v>
      </c>
      <c r="J76" t="str">
        <f t="shared" si="1"/>
        <v>5, 16</v>
      </c>
    </row>
    <row r="77" spans="1:10">
      <c r="A77">
        <v>5</v>
      </c>
      <c r="B77" s="16" t="s">
        <v>60</v>
      </c>
      <c r="C77">
        <v>17</v>
      </c>
      <c r="D77" s="16" t="s">
        <v>54</v>
      </c>
      <c r="E77" t="s">
        <v>39</v>
      </c>
      <c r="F77" s="26">
        <v>7.5</v>
      </c>
      <c r="G77" s="26">
        <v>1.5024999999999999</v>
      </c>
      <c r="H77" s="26">
        <v>5.9974999999999996</v>
      </c>
      <c r="I77" s="28">
        <v>0.79966666669999997</v>
      </c>
      <c r="J77" t="str">
        <f t="shared" si="1"/>
        <v>5, 17</v>
      </c>
    </row>
    <row r="78" spans="1:10">
      <c r="A78">
        <v>5</v>
      </c>
      <c r="B78" s="16" t="s">
        <v>60</v>
      </c>
      <c r="C78">
        <v>18</v>
      </c>
      <c r="D78" s="16" t="s">
        <v>55</v>
      </c>
      <c r="E78" t="s">
        <v>39</v>
      </c>
      <c r="F78" s="26">
        <v>23</v>
      </c>
      <c r="G78" s="26">
        <v>6.2350000000000003</v>
      </c>
      <c r="H78" s="26">
        <v>16.765000000000001</v>
      </c>
      <c r="I78" s="28">
        <v>0.72891304349999997</v>
      </c>
      <c r="J78" t="str">
        <f t="shared" si="1"/>
        <v>5, 18</v>
      </c>
    </row>
    <row r="79" spans="1:10">
      <c r="A79">
        <v>6</v>
      </c>
      <c r="B79" s="16" t="s">
        <v>61</v>
      </c>
      <c r="C79">
        <v>1</v>
      </c>
      <c r="D79" s="16" t="s">
        <v>38</v>
      </c>
      <c r="E79" t="s">
        <v>39</v>
      </c>
      <c r="F79" s="26">
        <v>23</v>
      </c>
      <c r="G79" s="26">
        <v>4.6924999999999999</v>
      </c>
      <c r="H79" s="26">
        <v>18.307500000000001</v>
      </c>
      <c r="I79" s="28">
        <v>0.79597826090000001</v>
      </c>
      <c r="J79" t="str">
        <f t="shared" si="1"/>
        <v>6, 1</v>
      </c>
    </row>
    <row r="80" spans="1:10">
      <c r="A80">
        <v>6</v>
      </c>
      <c r="B80" s="16" t="s">
        <v>61</v>
      </c>
      <c r="C80">
        <v>2</v>
      </c>
      <c r="D80" s="16" t="s">
        <v>40</v>
      </c>
      <c r="E80" t="s">
        <v>39</v>
      </c>
      <c r="F80" s="26">
        <v>25.5</v>
      </c>
      <c r="G80" s="26">
        <v>7.93</v>
      </c>
      <c r="H80" s="26">
        <v>17.57</v>
      </c>
      <c r="I80" s="28">
        <v>0.68901960779999993</v>
      </c>
      <c r="J80" t="str">
        <f t="shared" si="1"/>
        <v>6, 2</v>
      </c>
    </row>
    <row r="81" spans="1:10">
      <c r="A81">
        <v>6</v>
      </c>
      <c r="B81" s="16" t="s">
        <v>61</v>
      </c>
      <c r="C81">
        <v>3</v>
      </c>
      <c r="D81" s="16" t="s">
        <v>41</v>
      </c>
      <c r="E81" t="s">
        <v>39</v>
      </c>
      <c r="F81" s="26">
        <v>27</v>
      </c>
      <c r="G81" s="26">
        <v>3.7225000000000001</v>
      </c>
      <c r="H81" s="26">
        <v>23.2775</v>
      </c>
      <c r="I81" s="28">
        <v>0.86212962959999995</v>
      </c>
      <c r="J81" t="str">
        <f t="shared" si="1"/>
        <v>6, 3</v>
      </c>
    </row>
    <row r="82" spans="1:10">
      <c r="A82">
        <v>6</v>
      </c>
      <c r="B82" s="16" t="s">
        <v>61</v>
      </c>
      <c r="C82">
        <v>4</v>
      </c>
      <c r="D82" s="16" t="s">
        <v>42</v>
      </c>
      <c r="E82" t="s">
        <v>39</v>
      </c>
      <c r="F82" s="26">
        <v>22</v>
      </c>
      <c r="G82" s="26">
        <v>7.9749999999999996</v>
      </c>
      <c r="H82" s="26">
        <v>14.025</v>
      </c>
      <c r="I82" s="28">
        <v>0.63749999999999996</v>
      </c>
      <c r="J82" t="str">
        <f t="shared" si="1"/>
        <v>6, 4</v>
      </c>
    </row>
    <row r="83" spans="1:10">
      <c r="A83">
        <v>6</v>
      </c>
      <c r="B83" s="16" t="s">
        <v>61</v>
      </c>
      <c r="C83">
        <v>5</v>
      </c>
      <c r="D83" s="16" t="s">
        <v>43</v>
      </c>
      <c r="E83" t="s">
        <v>39</v>
      </c>
      <c r="F83" s="26">
        <v>22</v>
      </c>
      <c r="G83" s="26">
        <v>7.01</v>
      </c>
      <c r="H83" s="26">
        <v>14.99</v>
      </c>
      <c r="I83" s="28">
        <v>0.68136363639999997</v>
      </c>
      <c r="J83" t="str">
        <f t="shared" si="1"/>
        <v>6, 5</v>
      </c>
    </row>
    <row r="84" spans="1:10">
      <c r="A84">
        <v>6</v>
      </c>
      <c r="B84" s="16" t="s">
        <v>61</v>
      </c>
      <c r="C84">
        <v>6</v>
      </c>
      <c r="D84" s="16" t="s">
        <v>44</v>
      </c>
      <c r="E84" t="s">
        <v>39</v>
      </c>
      <c r="F84" s="26">
        <v>24</v>
      </c>
      <c r="G84" s="26">
        <v>5.6025</v>
      </c>
      <c r="H84" s="26">
        <v>18.397500000000001</v>
      </c>
      <c r="I84" s="28">
        <v>0.76656250000000004</v>
      </c>
      <c r="J84" t="str">
        <f t="shared" si="1"/>
        <v>6, 6</v>
      </c>
    </row>
    <row r="85" spans="1:10">
      <c r="A85">
        <v>6</v>
      </c>
      <c r="B85" s="16" t="s">
        <v>61</v>
      </c>
      <c r="C85">
        <v>7</v>
      </c>
      <c r="D85" s="16" t="s">
        <v>45</v>
      </c>
      <c r="E85" t="s">
        <v>39</v>
      </c>
      <c r="F85" s="26">
        <v>11</v>
      </c>
      <c r="G85" s="26">
        <v>3.2650000000000001</v>
      </c>
      <c r="H85" s="26">
        <v>7.7350000000000003</v>
      </c>
      <c r="I85" s="28">
        <v>0.70318181820000003</v>
      </c>
      <c r="J85" t="str">
        <f t="shared" si="1"/>
        <v>6, 7</v>
      </c>
    </row>
    <row r="86" spans="1:10">
      <c r="A86">
        <v>6</v>
      </c>
      <c r="B86" s="16" t="s">
        <v>61</v>
      </c>
      <c r="C86">
        <v>8</v>
      </c>
      <c r="D86" s="16" t="s">
        <v>46</v>
      </c>
      <c r="E86" t="s">
        <v>39</v>
      </c>
      <c r="F86" s="26">
        <v>13</v>
      </c>
      <c r="G86" s="26">
        <v>0.69166700000000003</v>
      </c>
      <c r="H86" s="26">
        <v>12.308332999999999</v>
      </c>
      <c r="I86" s="28">
        <v>0.94679484619999998</v>
      </c>
      <c r="J86" t="str">
        <f t="shared" si="1"/>
        <v>6, 8</v>
      </c>
    </row>
    <row r="87" spans="1:10">
      <c r="A87">
        <v>6</v>
      </c>
      <c r="B87" s="16" t="s">
        <v>61</v>
      </c>
      <c r="C87">
        <v>9</v>
      </c>
      <c r="D87" s="16" t="s">
        <v>47</v>
      </c>
      <c r="E87" t="s">
        <v>39</v>
      </c>
      <c r="F87" s="26">
        <v>52</v>
      </c>
      <c r="G87" s="26">
        <v>19.704999999999998</v>
      </c>
      <c r="H87" s="26">
        <v>32.295000000000002</v>
      </c>
      <c r="I87" s="28">
        <v>0.62105769229999996</v>
      </c>
      <c r="J87" t="str">
        <f t="shared" si="1"/>
        <v>6, 9</v>
      </c>
    </row>
    <row r="88" spans="1:10">
      <c r="A88">
        <v>6</v>
      </c>
      <c r="B88" s="16" t="s">
        <v>61</v>
      </c>
      <c r="C88">
        <v>10</v>
      </c>
      <c r="D88" s="16" t="s">
        <v>57</v>
      </c>
      <c r="E88" t="s">
        <v>39</v>
      </c>
      <c r="F88" s="26">
        <v>15</v>
      </c>
      <c r="G88" s="26">
        <v>1.95</v>
      </c>
      <c r="H88" s="26">
        <v>13.05</v>
      </c>
      <c r="I88" s="28">
        <v>0.87</v>
      </c>
      <c r="J88" t="str">
        <f t="shared" si="1"/>
        <v>6, 10</v>
      </c>
    </row>
    <row r="89" spans="1:10">
      <c r="A89">
        <v>6</v>
      </c>
      <c r="B89" s="16" t="s">
        <v>61</v>
      </c>
      <c r="C89">
        <v>11</v>
      </c>
      <c r="D89" s="16" t="s">
        <v>48</v>
      </c>
      <c r="E89" t="s">
        <v>39</v>
      </c>
      <c r="F89" s="26">
        <v>22</v>
      </c>
      <c r="G89" s="26">
        <v>2.27</v>
      </c>
      <c r="H89" s="26">
        <v>19.73</v>
      </c>
      <c r="I89" s="28">
        <v>0.89681818179999995</v>
      </c>
      <c r="J89" t="str">
        <f t="shared" si="1"/>
        <v>6, 11</v>
      </c>
    </row>
    <row r="90" spans="1:10">
      <c r="A90">
        <v>6</v>
      </c>
      <c r="B90" s="16" t="s">
        <v>61</v>
      </c>
      <c r="C90">
        <v>12</v>
      </c>
      <c r="D90" s="16" t="s">
        <v>49</v>
      </c>
      <c r="E90" t="s">
        <v>39</v>
      </c>
      <c r="F90" s="26">
        <v>23</v>
      </c>
      <c r="G90" s="26">
        <v>2.7749999999999999</v>
      </c>
      <c r="H90" s="26">
        <v>20.225000000000001</v>
      </c>
      <c r="I90" s="28">
        <v>0.87934782609999995</v>
      </c>
      <c r="J90" t="str">
        <f t="shared" si="1"/>
        <v>6, 12</v>
      </c>
    </row>
    <row r="91" spans="1:10">
      <c r="A91">
        <v>6</v>
      </c>
      <c r="B91" s="16" t="s">
        <v>61</v>
      </c>
      <c r="C91">
        <v>13</v>
      </c>
      <c r="D91" s="16" t="s">
        <v>50</v>
      </c>
      <c r="E91" t="s">
        <v>39</v>
      </c>
      <c r="F91" s="26">
        <v>24</v>
      </c>
      <c r="G91" s="26">
        <v>7.99</v>
      </c>
      <c r="H91" s="26">
        <v>16.010000000000002</v>
      </c>
      <c r="I91" s="28">
        <v>0.66708333330000003</v>
      </c>
      <c r="J91" t="str">
        <f t="shared" si="1"/>
        <v>6, 13</v>
      </c>
    </row>
    <row r="92" spans="1:10">
      <c r="A92">
        <v>6</v>
      </c>
      <c r="B92" s="16" t="s">
        <v>61</v>
      </c>
      <c r="C92">
        <v>14</v>
      </c>
      <c r="D92" s="16" t="s">
        <v>51</v>
      </c>
      <c r="E92" t="s">
        <v>39</v>
      </c>
      <c r="F92" s="26">
        <v>29.5</v>
      </c>
      <c r="G92" s="26">
        <v>4.4816669999999998</v>
      </c>
      <c r="H92" s="26">
        <v>25.018332999999998</v>
      </c>
      <c r="I92" s="28">
        <v>0.84807908470000004</v>
      </c>
      <c r="J92" t="str">
        <f t="shared" si="1"/>
        <v>6, 14</v>
      </c>
    </row>
    <row r="93" spans="1:10">
      <c r="A93">
        <v>6</v>
      </c>
      <c r="B93" s="16" t="s">
        <v>61</v>
      </c>
      <c r="C93">
        <v>15</v>
      </c>
      <c r="D93" s="16" t="s">
        <v>52</v>
      </c>
      <c r="E93" t="s">
        <v>39</v>
      </c>
      <c r="F93" s="26">
        <v>25.5</v>
      </c>
      <c r="G93" s="26">
        <v>2.8374999999999999</v>
      </c>
      <c r="H93" s="26">
        <v>22.662500000000001</v>
      </c>
      <c r="I93" s="28">
        <v>0.88872549019999991</v>
      </c>
      <c r="J93" t="str">
        <f t="shared" si="1"/>
        <v>6, 15</v>
      </c>
    </row>
    <row r="94" spans="1:10">
      <c r="A94">
        <v>6</v>
      </c>
      <c r="B94" s="16" t="s">
        <v>61</v>
      </c>
      <c r="C94">
        <v>16</v>
      </c>
      <c r="D94" s="16" t="s">
        <v>53</v>
      </c>
      <c r="E94" t="s">
        <v>39</v>
      </c>
      <c r="F94" s="26">
        <v>9</v>
      </c>
      <c r="G94" s="26">
        <v>1.7275</v>
      </c>
      <c r="H94" s="26">
        <v>7.2725</v>
      </c>
      <c r="I94" s="28">
        <v>0.80805555559999998</v>
      </c>
      <c r="J94" t="str">
        <f t="shared" si="1"/>
        <v>6, 16</v>
      </c>
    </row>
    <row r="95" spans="1:10">
      <c r="A95">
        <v>6</v>
      </c>
      <c r="B95" s="16" t="s">
        <v>61</v>
      </c>
      <c r="C95">
        <v>17</v>
      </c>
      <c r="D95" s="16" t="s">
        <v>54</v>
      </c>
      <c r="E95" t="s">
        <v>39</v>
      </c>
      <c r="F95" s="26">
        <v>8.5</v>
      </c>
      <c r="G95" s="26">
        <v>1.5774999999999999</v>
      </c>
      <c r="H95" s="26">
        <v>6.9225000000000003</v>
      </c>
      <c r="I95" s="28">
        <v>0.81441176469999998</v>
      </c>
      <c r="J95" t="str">
        <f t="shared" si="1"/>
        <v>6, 17</v>
      </c>
    </row>
    <row r="96" spans="1:10">
      <c r="A96">
        <v>6</v>
      </c>
      <c r="B96" s="16" t="s">
        <v>61</v>
      </c>
      <c r="C96">
        <v>18</v>
      </c>
      <c r="D96" s="16" t="s">
        <v>55</v>
      </c>
      <c r="E96" t="s">
        <v>39</v>
      </c>
      <c r="F96" s="26">
        <v>25</v>
      </c>
      <c r="G96" s="26">
        <v>6.2374999999999998</v>
      </c>
      <c r="H96" s="26">
        <v>18.762499999999999</v>
      </c>
      <c r="I96" s="28">
        <v>0.75049999999999994</v>
      </c>
      <c r="J96" t="str">
        <f t="shared" si="1"/>
        <v>6, 18</v>
      </c>
    </row>
    <row r="97" spans="1:10">
      <c r="A97">
        <v>7</v>
      </c>
      <c r="B97" s="16" t="s">
        <v>62</v>
      </c>
      <c r="C97">
        <v>1</v>
      </c>
      <c r="D97" s="16" t="s">
        <v>38</v>
      </c>
      <c r="E97" t="s">
        <v>39</v>
      </c>
      <c r="F97" s="26">
        <v>19</v>
      </c>
      <c r="G97" s="26">
        <v>3.81</v>
      </c>
      <c r="H97" s="26">
        <v>15.19</v>
      </c>
      <c r="I97" s="28">
        <v>0.79947368420000009</v>
      </c>
      <c r="J97" t="str">
        <f t="shared" si="1"/>
        <v>7, 1</v>
      </c>
    </row>
    <row r="98" spans="1:10">
      <c r="A98">
        <v>7</v>
      </c>
      <c r="B98" s="16" t="s">
        <v>62</v>
      </c>
      <c r="C98">
        <v>2</v>
      </c>
      <c r="D98" s="16" t="s">
        <v>40</v>
      </c>
      <c r="E98" t="s">
        <v>39</v>
      </c>
      <c r="F98" s="26">
        <v>21</v>
      </c>
      <c r="G98" s="26">
        <v>6.51</v>
      </c>
      <c r="H98" s="26">
        <v>14.49</v>
      </c>
      <c r="I98" s="28">
        <v>0.69</v>
      </c>
      <c r="J98" t="str">
        <f t="shared" si="1"/>
        <v>7, 2</v>
      </c>
    </row>
    <row r="99" spans="1:10">
      <c r="A99">
        <v>7</v>
      </c>
      <c r="B99" s="16" t="s">
        <v>62</v>
      </c>
      <c r="C99">
        <v>3</v>
      </c>
      <c r="D99" s="16" t="s">
        <v>41</v>
      </c>
      <c r="E99" t="s">
        <v>39</v>
      </c>
      <c r="F99" s="26">
        <v>22</v>
      </c>
      <c r="G99" s="26">
        <v>3.41</v>
      </c>
      <c r="H99" s="26">
        <v>18.59</v>
      </c>
      <c r="I99" s="28">
        <v>0.84499999999999997</v>
      </c>
      <c r="J99" t="str">
        <f t="shared" si="1"/>
        <v>7, 3</v>
      </c>
    </row>
    <row r="100" spans="1:10">
      <c r="A100">
        <v>7</v>
      </c>
      <c r="B100" s="16" t="s">
        <v>62</v>
      </c>
      <c r="C100">
        <v>4</v>
      </c>
      <c r="D100" s="16" t="s">
        <v>42</v>
      </c>
      <c r="E100" t="s">
        <v>39</v>
      </c>
      <c r="F100" s="26">
        <v>18</v>
      </c>
      <c r="G100" s="26">
        <v>6.8550000000000004</v>
      </c>
      <c r="H100" s="26">
        <v>11.145</v>
      </c>
      <c r="I100" s="28">
        <v>0.61916666669999998</v>
      </c>
      <c r="J100" t="str">
        <f t="shared" si="1"/>
        <v>7, 4</v>
      </c>
    </row>
    <row r="101" spans="1:10">
      <c r="A101">
        <v>7</v>
      </c>
      <c r="B101" s="16" t="s">
        <v>62</v>
      </c>
      <c r="C101">
        <v>5</v>
      </c>
      <c r="D101" s="16" t="s">
        <v>43</v>
      </c>
      <c r="E101" t="s">
        <v>39</v>
      </c>
      <c r="F101" s="26">
        <v>18.5</v>
      </c>
      <c r="G101" s="26">
        <v>6.55</v>
      </c>
      <c r="H101" s="26">
        <v>11.95</v>
      </c>
      <c r="I101" s="28">
        <v>0.64594594589999998</v>
      </c>
      <c r="J101" t="str">
        <f t="shared" si="1"/>
        <v>7, 5</v>
      </c>
    </row>
    <row r="102" spans="1:10">
      <c r="A102">
        <v>7</v>
      </c>
      <c r="B102" s="16" t="s">
        <v>62</v>
      </c>
      <c r="C102">
        <v>6</v>
      </c>
      <c r="D102" s="16" t="s">
        <v>44</v>
      </c>
      <c r="E102" t="s">
        <v>39</v>
      </c>
      <c r="F102" s="26">
        <v>19.5</v>
      </c>
      <c r="G102" s="26">
        <v>4.5750000000000002</v>
      </c>
      <c r="H102" s="26">
        <v>14.925000000000001</v>
      </c>
      <c r="I102" s="28">
        <v>0.76538461540000002</v>
      </c>
      <c r="J102" t="str">
        <f t="shared" si="1"/>
        <v>7, 6</v>
      </c>
    </row>
    <row r="103" spans="1:10">
      <c r="A103">
        <v>7</v>
      </c>
      <c r="B103" s="16" t="s">
        <v>62</v>
      </c>
      <c r="C103">
        <v>7</v>
      </c>
      <c r="D103" s="16" t="s">
        <v>45</v>
      </c>
      <c r="E103" t="s">
        <v>39</v>
      </c>
      <c r="F103" s="26">
        <v>9</v>
      </c>
      <c r="G103" s="26">
        <v>2.8774999999999999</v>
      </c>
      <c r="H103" s="26">
        <v>6.1224999999999996</v>
      </c>
      <c r="I103" s="28">
        <v>0.68027777779999998</v>
      </c>
      <c r="J103" t="str">
        <f t="shared" si="1"/>
        <v>7, 7</v>
      </c>
    </row>
    <row r="104" spans="1:10">
      <c r="A104">
        <v>7</v>
      </c>
      <c r="B104" s="16" t="s">
        <v>62</v>
      </c>
      <c r="C104">
        <v>8</v>
      </c>
      <c r="D104" s="16" t="s">
        <v>46</v>
      </c>
      <c r="E104" t="s">
        <v>39</v>
      </c>
      <c r="F104" s="26">
        <v>11</v>
      </c>
      <c r="G104" s="26">
        <v>0.64500000000000002</v>
      </c>
      <c r="H104" s="26">
        <v>10.355</v>
      </c>
      <c r="I104" s="28">
        <v>0.94136363639999998</v>
      </c>
      <c r="J104" t="str">
        <f t="shared" si="1"/>
        <v>7, 8</v>
      </c>
    </row>
    <row r="105" spans="1:10">
      <c r="A105">
        <v>7</v>
      </c>
      <c r="B105" s="16" t="s">
        <v>62</v>
      </c>
      <c r="C105">
        <v>9</v>
      </c>
      <c r="D105" s="16" t="s">
        <v>47</v>
      </c>
      <c r="E105" t="s">
        <v>39</v>
      </c>
      <c r="F105" s="26">
        <v>43</v>
      </c>
      <c r="G105" s="26">
        <v>15.8575</v>
      </c>
      <c r="H105" s="26">
        <v>27.142499999999998</v>
      </c>
      <c r="I105" s="28">
        <v>0.63122093020000003</v>
      </c>
      <c r="J105" t="str">
        <f t="shared" si="1"/>
        <v>7, 9</v>
      </c>
    </row>
    <row r="106" spans="1:10">
      <c r="A106">
        <v>7</v>
      </c>
      <c r="B106" s="16" t="s">
        <v>62</v>
      </c>
      <c r="C106">
        <v>10</v>
      </c>
      <c r="D106" s="16" t="s">
        <v>57</v>
      </c>
      <c r="E106" t="s">
        <v>39</v>
      </c>
      <c r="F106" s="26">
        <v>12</v>
      </c>
      <c r="G106" s="26">
        <v>1.9850000000000001</v>
      </c>
      <c r="H106" s="26">
        <v>10.015000000000001</v>
      </c>
      <c r="I106" s="28">
        <v>0.83458333330000001</v>
      </c>
      <c r="J106" t="str">
        <f t="shared" si="1"/>
        <v>7, 10</v>
      </c>
    </row>
    <row r="107" spans="1:10">
      <c r="A107">
        <v>7</v>
      </c>
      <c r="B107" s="16" t="s">
        <v>62</v>
      </c>
      <c r="C107">
        <v>11</v>
      </c>
      <c r="D107" s="16" t="s">
        <v>48</v>
      </c>
      <c r="E107" t="s">
        <v>39</v>
      </c>
      <c r="F107" s="26">
        <v>18.5</v>
      </c>
      <c r="G107" s="26">
        <v>2.1074999999999999</v>
      </c>
      <c r="H107" s="26">
        <v>16.392499999999998</v>
      </c>
      <c r="I107" s="28">
        <v>0.88608108110000006</v>
      </c>
      <c r="J107" t="str">
        <f t="shared" si="1"/>
        <v>7, 11</v>
      </c>
    </row>
    <row r="108" spans="1:10">
      <c r="A108">
        <v>7</v>
      </c>
      <c r="B108" s="16" t="s">
        <v>62</v>
      </c>
      <c r="C108">
        <v>12</v>
      </c>
      <c r="D108" s="16" t="s">
        <v>49</v>
      </c>
      <c r="E108" t="s">
        <v>39</v>
      </c>
      <c r="F108" s="26">
        <v>19</v>
      </c>
      <c r="G108" s="26">
        <v>2.5924999999999998</v>
      </c>
      <c r="H108" s="26">
        <v>16.407499999999999</v>
      </c>
      <c r="I108" s="28">
        <v>0.86355263160000006</v>
      </c>
      <c r="J108" t="str">
        <f t="shared" si="1"/>
        <v>7, 12</v>
      </c>
    </row>
    <row r="109" spans="1:10">
      <c r="A109">
        <v>7</v>
      </c>
      <c r="B109" s="16" t="s">
        <v>62</v>
      </c>
      <c r="C109">
        <v>13</v>
      </c>
      <c r="D109" s="16" t="s">
        <v>50</v>
      </c>
      <c r="E109" t="s">
        <v>39</v>
      </c>
      <c r="F109" s="26">
        <v>19.5</v>
      </c>
      <c r="G109" s="26">
        <v>6.94</v>
      </c>
      <c r="H109" s="26">
        <v>12.56</v>
      </c>
      <c r="I109" s="28">
        <v>0.6441025641</v>
      </c>
      <c r="J109" t="str">
        <f t="shared" si="1"/>
        <v>7, 13</v>
      </c>
    </row>
    <row r="110" spans="1:10">
      <c r="A110">
        <v>7</v>
      </c>
      <c r="B110" s="16" t="s">
        <v>62</v>
      </c>
      <c r="C110">
        <v>14</v>
      </c>
      <c r="D110" s="16" t="s">
        <v>51</v>
      </c>
      <c r="E110" t="s">
        <v>39</v>
      </c>
      <c r="F110" s="26">
        <v>24.5</v>
      </c>
      <c r="G110" s="26">
        <v>3.5283329999999999</v>
      </c>
      <c r="H110" s="26">
        <v>20.971667</v>
      </c>
      <c r="I110" s="28">
        <v>0.85598640820000005</v>
      </c>
      <c r="J110" t="str">
        <f t="shared" si="1"/>
        <v>7, 14</v>
      </c>
    </row>
    <row r="111" spans="1:10">
      <c r="A111">
        <v>7</v>
      </c>
      <c r="B111" s="16" t="s">
        <v>62</v>
      </c>
      <c r="C111">
        <v>15</v>
      </c>
      <c r="D111" s="16" t="s">
        <v>52</v>
      </c>
      <c r="E111" t="s">
        <v>39</v>
      </c>
      <c r="F111" s="26">
        <v>21</v>
      </c>
      <c r="G111" s="26">
        <v>2.3650000000000002</v>
      </c>
      <c r="H111" s="26">
        <v>18.635000000000002</v>
      </c>
      <c r="I111" s="28">
        <v>0.88738095240000003</v>
      </c>
      <c r="J111" t="str">
        <f t="shared" si="1"/>
        <v>7, 15</v>
      </c>
    </row>
    <row r="112" spans="1:10">
      <c r="A112">
        <v>7</v>
      </c>
      <c r="B112" s="16" t="s">
        <v>62</v>
      </c>
      <c r="C112">
        <v>16</v>
      </c>
      <c r="D112" s="16" t="s">
        <v>53</v>
      </c>
      <c r="E112" t="s">
        <v>39</v>
      </c>
      <c r="F112" s="26">
        <v>7.5</v>
      </c>
      <c r="G112" s="26">
        <v>1.4383330000000001</v>
      </c>
      <c r="H112" s="26">
        <v>6.0616669999999999</v>
      </c>
      <c r="I112" s="28">
        <v>0.80822226670000008</v>
      </c>
      <c r="J112" t="str">
        <f t="shared" si="1"/>
        <v>7, 16</v>
      </c>
    </row>
    <row r="113" spans="1:12">
      <c r="A113">
        <v>7</v>
      </c>
      <c r="B113" s="16" t="s">
        <v>62</v>
      </c>
      <c r="C113">
        <v>17</v>
      </c>
      <c r="D113" s="16" t="s">
        <v>54</v>
      </c>
      <c r="E113" t="s">
        <v>39</v>
      </c>
      <c r="F113" s="26">
        <v>7</v>
      </c>
      <c r="G113" s="26">
        <v>1.4087499999999999</v>
      </c>
      <c r="H113" s="26">
        <v>5.5912499999999996</v>
      </c>
      <c r="I113" s="28">
        <v>0.79874999999999996</v>
      </c>
      <c r="J113" t="str">
        <f t="shared" si="1"/>
        <v>7, 17</v>
      </c>
    </row>
    <row r="114" spans="1:12">
      <c r="A114">
        <v>7</v>
      </c>
      <c r="B114" s="16" t="s">
        <v>62</v>
      </c>
      <c r="C114">
        <v>18</v>
      </c>
      <c r="D114" s="16" t="s">
        <v>55</v>
      </c>
      <c r="E114" t="s">
        <v>39</v>
      </c>
      <c r="F114" s="26">
        <v>20.5</v>
      </c>
      <c r="G114" s="26">
        <v>5.9950000000000001</v>
      </c>
      <c r="H114" s="26">
        <v>14.505000000000001</v>
      </c>
      <c r="I114" s="28">
        <v>0.70756097559999998</v>
      </c>
      <c r="J114" t="str">
        <f t="shared" si="1"/>
        <v>7, 18</v>
      </c>
    </row>
    <row r="115" spans="1:12">
      <c r="A115">
        <v>8</v>
      </c>
      <c r="B115" s="16" t="s">
        <v>63</v>
      </c>
      <c r="C115">
        <v>1</v>
      </c>
      <c r="D115" s="16" t="s">
        <v>38</v>
      </c>
      <c r="E115" t="s">
        <v>39</v>
      </c>
      <c r="F115" s="26">
        <v>21.5</v>
      </c>
      <c r="G115" s="26">
        <v>4.7324999999999999</v>
      </c>
      <c r="H115" s="26">
        <v>16.767499999999998</v>
      </c>
      <c r="I115" s="28">
        <v>0.77988372090000002</v>
      </c>
      <c r="J115" t="str">
        <f t="shared" si="1"/>
        <v>8, 1</v>
      </c>
    </row>
    <row r="116" spans="1:12">
      <c r="A116">
        <v>8</v>
      </c>
      <c r="B116" s="16" t="s">
        <v>63</v>
      </c>
      <c r="C116">
        <v>2</v>
      </c>
      <c r="D116" s="16" t="s">
        <v>40</v>
      </c>
      <c r="E116" t="s">
        <v>39</v>
      </c>
      <c r="F116" s="26">
        <v>24</v>
      </c>
      <c r="G116" s="26">
        <v>7.6849999999999996</v>
      </c>
      <c r="H116" s="26">
        <v>16.315000000000001</v>
      </c>
      <c r="I116" s="28">
        <v>0.67979166670000002</v>
      </c>
      <c r="J116" t="str">
        <f t="shared" si="1"/>
        <v>8, 2</v>
      </c>
    </row>
    <row r="117" spans="1:12">
      <c r="A117">
        <v>8</v>
      </c>
      <c r="B117" s="16" t="s">
        <v>63</v>
      </c>
      <c r="C117">
        <v>3</v>
      </c>
      <c r="D117" s="16" t="s">
        <v>41</v>
      </c>
      <c r="E117" t="s">
        <v>39</v>
      </c>
      <c r="F117" s="26">
        <v>25</v>
      </c>
      <c r="G117" s="26">
        <v>3.7425000000000002</v>
      </c>
      <c r="H117" s="26">
        <v>21.2575</v>
      </c>
      <c r="I117" s="28">
        <v>0.85030000000000006</v>
      </c>
      <c r="J117" t="str">
        <f t="shared" si="1"/>
        <v>8, 3</v>
      </c>
    </row>
    <row r="118" spans="1:12">
      <c r="A118">
        <v>8</v>
      </c>
      <c r="B118" s="16" t="s">
        <v>63</v>
      </c>
      <c r="C118">
        <v>4</v>
      </c>
      <c r="D118" s="16" t="s">
        <v>42</v>
      </c>
      <c r="E118" t="s">
        <v>39</v>
      </c>
      <c r="F118" s="26">
        <v>20.5</v>
      </c>
      <c r="G118" s="26">
        <v>7.7750000000000004</v>
      </c>
      <c r="H118" s="26">
        <v>12.725</v>
      </c>
      <c r="I118" s="28">
        <v>0.62073170730000005</v>
      </c>
      <c r="J118" t="str">
        <f t="shared" si="1"/>
        <v>8, 4</v>
      </c>
    </row>
    <row r="119" spans="1:12">
      <c r="A119">
        <v>8</v>
      </c>
      <c r="B119" s="16" t="s">
        <v>63</v>
      </c>
      <c r="C119">
        <v>5</v>
      </c>
      <c r="D119" s="16" t="s">
        <v>43</v>
      </c>
      <c r="E119" t="s">
        <v>39</v>
      </c>
      <c r="F119" s="26">
        <v>21</v>
      </c>
      <c r="G119" s="26">
        <v>7.05</v>
      </c>
      <c r="H119" s="26">
        <v>13.95</v>
      </c>
      <c r="I119" s="28">
        <v>0.66428571430000005</v>
      </c>
      <c r="J119" t="str">
        <f t="shared" si="1"/>
        <v>8, 5</v>
      </c>
    </row>
    <row r="120" spans="1:12">
      <c r="A120">
        <v>8</v>
      </c>
      <c r="B120" s="16" t="s">
        <v>63</v>
      </c>
      <c r="C120">
        <v>6</v>
      </c>
      <c r="D120" s="16" t="s">
        <v>44</v>
      </c>
      <c r="E120" t="s">
        <v>39</v>
      </c>
      <c r="F120" s="26">
        <v>22.5</v>
      </c>
      <c r="G120" s="26">
        <v>5.45</v>
      </c>
      <c r="H120" s="26">
        <v>17.05</v>
      </c>
      <c r="I120" s="28">
        <v>0.75777777779999989</v>
      </c>
      <c r="J120" t="str">
        <f t="shared" si="1"/>
        <v>8, 6</v>
      </c>
    </row>
    <row r="121" spans="1:12">
      <c r="A121">
        <v>8</v>
      </c>
      <c r="B121" s="16" t="s">
        <v>63</v>
      </c>
      <c r="C121">
        <v>7</v>
      </c>
      <c r="D121" s="16" t="s">
        <v>45</v>
      </c>
      <c r="E121" t="s">
        <v>39</v>
      </c>
      <c r="F121" s="26">
        <v>10.5</v>
      </c>
      <c r="G121" s="26">
        <v>3.1087500000000001</v>
      </c>
      <c r="H121" s="26">
        <v>7.3912500000000003</v>
      </c>
      <c r="I121" s="28">
        <v>0.70392857140000009</v>
      </c>
      <c r="J121" t="str">
        <f t="shared" si="1"/>
        <v>8, 7</v>
      </c>
      <c r="L121" s="17"/>
    </row>
    <row r="122" spans="1:12">
      <c r="A122">
        <v>8</v>
      </c>
      <c r="B122" s="16" t="s">
        <v>63</v>
      </c>
      <c r="C122">
        <v>8</v>
      </c>
      <c r="D122" s="16" t="s">
        <v>46</v>
      </c>
      <c r="E122" t="s">
        <v>39</v>
      </c>
      <c r="F122" s="26">
        <v>12</v>
      </c>
      <c r="G122" s="26">
        <v>0.7</v>
      </c>
      <c r="H122" s="26">
        <v>11.3</v>
      </c>
      <c r="I122" s="28">
        <v>0.94166666669999999</v>
      </c>
      <c r="J122" t="str">
        <f t="shared" si="1"/>
        <v>8, 8</v>
      </c>
    </row>
    <row r="123" spans="1:12">
      <c r="A123">
        <v>8</v>
      </c>
      <c r="B123" s="16" t="s">
        <v>63</v>
      </c>
      <c r="C123">
        <v>9</v>
      </c>
      <c r="D123" s="16" t="s">
        <v>47</v>
      </c>
      <c r="E123" t="s">
        <v>39</v>
      </c>
      <c r="F123" s="26">
        <v>48.5</v>
      </c>
      <c r="G123" s="26">
        <v>20.114999999999998</v>
      </c>
      <c r="H123" s="26">
        <v>28.385000000000002</v>
      </c>
      <c r="I123" s="28">
        <v>0.58525773200000009</v>
      </c>
      <c r="J123" t="str">
        <f t="shared" si="1"/>
        <v>8, 9</v>
      </c>
    </row>
    <row r="124" spans="1:12">
      <c r="A124">
        <v>8</v>
      </c>
      <c r="B124" s="16" t="s">
        <v>63</v>
      </c>
      <c r="C124">
        <v>10</v>
      </c>
      <c r="D124" s="16" t="s">
        <v>57</v>
      </c>
      <c r="E124" t="s">
        <v>39</v>
      </c>
      <c r="F124" s="26">
        <v>14</v>
      </c>
      <c r="G124" s="26">
        <v>1.9624999999999999</v>
      </c>
      <c r="H124" s="26">
        <v>12.0375</v>
      </c>
      <c r="I124" s="28">
        <v>0.85982142859999999</v>
      </c>
      <c r="J124" t="str">
        <f t="shared" si="1"/>
        <v>8, 10</v>
      </c>
    </row>
    <row r="125" spans="1:12">
      <c r="A125">
        <v>8</v>
      </c>
      <c r="B125" s="16" t="s">
        <v>63</v>
      </c>
      <c r="C125">
        <v>11</v>
      </c>
      <c r="D125" s="16" t="s">
        <v>48</v>
      </c>
      <c r="E125" t="s">
        <v>39</v>
      </c>
      <c r="F125" s="26">
        <v>21</v>
      </c>
      <c r="G125" s="26">
        <v>2.35</v>
      </c>
      <c r="H125" s="26">
        <v>18.649999999999999</v>
      </c>
      <c r="I125" s="28">
        <v>0.88809523810000002</v>
      </c>
      <c r="J125" t="str">
        <f t="shared" si="1"/>
        <v>8, 11</v>
      </c>
    </row>
    <row r="126" spans="1:12">
      <c r="A126">
        <v>8</v>
      </c>
      <c r="B126" s="16" t="s">
        <v>63</v>
      </c>
      <c r="C126">
        <v>12</v>
      </c>
      <c r="D126" s="16" t="s">
        <v>49</v>
      </c>
      <c r="E126" t="s">
        <v>39</v>
      </c>
      <c r="F126" s="26">
        <v>21.5</v>
      </c>
      <c r="G126" s="26">
        <v>2.7675000000000001</v>
      </c>
      <c r="H126" s="26">
        <v>18.732500000000002</v>
      </c>
      <c r="I126" s="28">
        <v>0.87127906980000003</v>
      </c>
      <c r="J126" t="str">
        <f t="shared" si="1"/>
        <v>8, 12</v>
      </c>
    </row>
    <row r="127" spans="1:12">
      <c r="A127">
        <v>8</v>
      </c>
      <c r="B127" s="16" t="s">
        <v>63</v>
      </c>
      <c r="C127">
        <v>13</v>
      </c>
      <c r="D127" s="16" t="s">
        <v>50</v>
      </c>
      <c r="E127" t="s">
        <v>39</v>
      </c>
      <c r="F127" s="26">
        <v>22.5</v>
      </c>
      <c r="G127" s="26">
        <v>7.72</v>
      </c>
      <c r="H127" s="26">
        <v>14.78</v>
      </c>
      <c r="I127" s="28">
        <v>0.65688888889999997</v>
      </c>
      <c r="J127" t="str">
        <f t="shared" si="1"/>
        <v>8, 13</v>
      </c>
    </row>
    <row r="128" spans="1:12">
      <c r="A128">
        <v>8</v>
      </c>
      <c r="B128" s="16" t="s">
        <v>63</v>
      </c>
      <c r="C128">
        <v>14</v>
      </c>
      <c r="D128" s="16" t="s">
        <v>51</v>
      </c>
      <c r="E128" t="s">
        <v>39</v>
      </c>
      <c r="F128" s="26">
        <v>27.5</v>
      </c>
      <c r="G128" s="26">
        <v>4.4183329999999996</v>
      </c>
      <c r="H128" s="26">
        <v>23.081666999999999</v>
      </c>
      <c r="I128" s="28">
        <v>0.83933334549999994</v>
      </c>
      <c r="J128" t="str">
        <f t="shared" si="1"/>
        <v>8, 14</v>
      </c>
    </row>
    <row r="129" spans="1:10">
      <c r="A129">
        <v>8</v>
      </c>
      <c r="B129" s="16" t="s">
        <v>63</v>
      </c>
      <c r="C129">
        <v>15</v>
      </c>
      <c r="D129" s="16" t="s">
        <v>52</v>
      </c>
      <c r="E129" t="s">
        <v>39</v>
      </c>
      <c r="F129" s="26">
        <v>24</v>
      </c>
      <c r="G129" s="26">
        <v>2.89</v>
      </c>
      <c r="H129" s="26">
        <v>21.11</v>
      </c>
      <c r="I129" s="28">
        <v>0.87958333330000005</v>
      </c>
      <c r="J129" t="str">
        <f t="shared" si="1"/>
        <v>8, 15</v>
      </c>
    </row>
    <row r="130" spans="1:10">
      <c r="A130">
        <v>8</v>
      </c>
      <c r="B130" s="16" t="s">
        <v>63</v>
      </c>
      <c r="C130">
        <v>16</v>
      </c>
      <c r="D130" s="16" t="s">
        <v>53</v>
      </c>
      <c r="E130" t="s">
        <v>39</v>
      </c>
      <c r="F130" s="26">
        <v>9</v>
      </c>
      <c r="G130" s="26">
        <v>1.7250000000000001</v>
      </c>
      <c r="H130" s="26">
        <v>7.2750000000000004</v>
      </c>
      <c r="I130" s="28">
        <v>0.80833333330000001</v>
      </c>
      <c r="J130" t="str">
        <f t="shared" si="1"/>
        <v>8, 16</v>
      </c>
    </row>
    <row r="131" spans="1:10">
      <c r="A131">
        <v>8</v>
      </c>
      <c r="B131" s="16" t="s">
        <v>63</v>
      </c>
      <c r="C131">
        <v>17</v>
      </c>
      <c r="D131" s="16" t="s">
        <v>54</v>
      </c>
      <c r="E131" t="s">
        <v>39</v>
      </c>
      <c r="F131" s="26">
        <v>7.5</v>
      </c>
      <c r="G131" s="26">
        <v>1.56</v>
      </c>
      <c r="H131" s="26">
        <v>5.94</v>
      </c>
      <c r="I131" s="28">
        <v>0.79200000000000004</v>
      </c>
      <c r="J131" t="str">
        <f>(A131&amp;", "&amp; C131)</f>
        <v>8, 17</v>
      </c>
    </row>
    <row r="132" spans="1:10">
      <c r="A132">
        <v>8</v>
      </c>
      <c r="B132" s="16" t="s">
        <v>63</v>
      </c>
      <c r="C132">
        <v>18</v>
      </c>
      <c r="D132" s="16" t="s">
        <v>55</v>
      </c>
      <c r="E132" t="s">
        <v>39</v>
      </c>
      <c r="F132" s="26">
        <v>23</v>
      </c>
      <c r="G132" s="26">
        <v>6.2850000000000001</v>
      </c>
      <c r="H132" s="26">
        <v>16.715</v>
      </c>
      <c r="I132" s="28">
        <v>0.72673913040000004</v>
      </c>
      <c r="J132" t="str">
        <f>(A132&amp;", "&amp; C132)</f>
        <v>8, 18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6491-CA13-4442-8337-532D6D434864}">
  <dimension ref="A1:N2638"/>
  <sheetViews>
    <sheetView workbookViewId="0">
      <pane ySplit="1" topLeftCell="A2" activePane="bottomLeft" state="frozen"/>
      <selection pane="bottomLeft" activeCell="N3" sqref="N3"/>
    </sheetView>
  </sheetViews>
  <sheetFormatPr baseColWidth="10" defaultRowHeight="16"/>
  <cols>
    <col min="1" max="1" width="11" style="9" bestFit="1" customWidth="1"/>
    <col min="2" max="2" width="10.1640625" bestFit="1" customWidth="1"/>
    <col min="3" max="3" width="19.33203125" style="16" bestFit="1" customWidth="1"/>
    <col min="4" max="4" width="8.6640625" bestFit="1" customWidth="1"/>
    <col min="5" max="5" width="21.5" style="16" bestFit="1" customWidth="1"/>
    <col min="6" max="6" width="14" style="18" bestFit="1" customWidth="1"/>
    <col min="7" max="7" width="12" style="22" bestFit="1" customWidth="1"/>
    <col min="8" max="8" width="12.6640625" style="18" bestFit="1" customWidth="1"/>
    <col min="9" max="9" width="12.1640625" style="18" bestFit="1" customWidth="1"/>
    <col min="10" max="10" width="17" style="18" bestFit="1" customWidth="1"/>
    <col min="11" max="11" width="24.33203125" style="22" bestFit="1" customWidth="1"/>
    <col min="12" max="12" width="24.33203125" style="22" customWidth="1"/>
    <col min="13" max="13" width="3.5" customWidth="1"/>
    <col min="14" max="14" width="19.83203125" bestFit="1" customWidth="1"/>
  </cols>
  <sheetData>
    <row r="1" spans="1:14" s="10" customFormat="1">
      <c r="A1" s="11" t="s">
        <v>64</v>
      </c>
      <c r="B1" s="10" t="s">
        <v>28</v>
      </c>
      <c r="C1" s="15" t="s">
        <v>29</v>
      </c>
      <c r="D1" s="10" t="s">
        <v>30</v>
      </c>
      <c r="E1" s="15" t="s">
        <v>31</v>
      </c>
      <c r="F1" s="17" t="s">
        <v>65</v>
      </c>
      <c r="G1" s="21" t="s">
        <v>66</v>
      </c>
      <c r="H1" s="17" t="s">
        <v>67</v>
      </c>
      <c r="I1" s="17" t="s">
        <v>68</v>
      </c>
      <c r="J1" s="17" t="s">
        <v>69</v>
      </c>
      <c r="K1" s="21" t="s">
        <v>70</v>
      </c>
      <c r="L1" s="21" t="s">
        <v>168</v>
      </c>
    </row>
    <row r="2" spans="1:14">
      <c r="A2" s="9">
        <v>45689</v>
      </c>
      <c r="B2">
        <v>1</v>
      </c>
      <c r="C2" s="16" t="s">
        <v>37</v>
      </c>
      <c r="D2">
        <v>1</v>
      </c>
      <c r="E2" s="16" t="s">
        <v>38</v>
      </c>
      <c r="F2" s="18">
        <v>3872</v>
      </c>
      <c r="G2" s="22">
        <v>176</v>
      </c>
      <c r="H2" s="18">
        <v>3.7963062045454499</v>
      </c>
      <c r="I2" s="18">
        <v>668.14989200000002</v>
      </c>
      <c r="J2" s="18">
        <v>3203.8501079999901</v>
      </c>
      <c r="K2" s="22">
        <v>0</v>
      </c>
      <c r="L2" s="22" t="str">
        <f>(A2&amp; ", "&amp; B2&amp; ", "&amp; D2)</f>
        <v>45689, 1, 1</v>
      </c>
      <c r="N2" s="10" t="s">
        <v>181</v>
      </c>
    </row>
    <row r="3" spans="1:14">
      <c r="A3" s="9">
        <v>45689</v>
      </c>
      <c r="B3">
        <v>1</v>
      </c>
      <c r="C3" s="16" t="s">
        <v>37</v>
      </c>
      <c r="D3">
        <v>2</v>
      </c>
      <c r="E3" s="16" t="s">
        <v>40</v>
      </c>
      <c r="F3" s="18">
        <v>4824</v>
      </c>
      <c r="G3" s="22">
        <v>201</v>
      </c>
      <c r="H3" s="18">
        <v>6.6085384319999996</v>
      </c>
      <c r="I3" s="18">
        <v>1328.316224832</v>
      </c>
      <c r="J3" s="18">
        <v>3495.683775168</v>
      </c>
      <c r="K3" s="22">
        <v>0</v>
      </c>
      <c r="L3" s="22" t="str">
        <f t="shared" ref="L3:L66" si="0">(A3&amp; ", "&amp; B3&amp; ", "&amp; D3)</f>
        <v>45689, 1, 2</v>
      </c>
      <c r="N3" s="34">
        <f>SUM(F:F)</f>
        <v>6238295.5</v>
      </c>
    </row>
    <row r="4" spans="1:14">
      <c r="A4" s="9">
        <v>45689</v>
      </c>
      <c r="B4">
        <v>1</v>
      </c>
      <c r="C4" s="16" t="s">
        <v>37</v>
      </c>
      <c r="D4">
        <v>3</v>
      </c>
      <c r="E4" s="16" t="s">
        <v>41</v>
      </c>
      <c r="F4" s="18">
        <v>3493.5</v>
      </c>
      <c r="G4" s="22">
        <v>137</v>
      </c>
      <c r="H4" s="18">
        <v>3.4561763744615299</v>
      </c>
      <c r="I4" s="18">
        <v>473.49616330123001</v>
      </c>
      <c r="J4" s="18">
        <v>3020.0038366987601</v>
      </c>
      <c r="K4" s="22">
        <v>0</v>
      </c>
      <c r="L4" s="22" t="str">
        <f t="shared" si="0"/>
        <v>45689, 1, 3</v>
      </c>
    </row>
    <row r="5" spans="1:14">
      <c r="A5" s="9">
        <v>45689</v>
      </c>
      <c r="B5">
        <v>1</v>
      </c>
      <c r="C5" s="16" t="s">
        <v>37</v>
      </c>
      <c r="D5">
        <v>4</v>
      </c>
      <c r="E5" s="16" t="s">
        <v>42</v>
      </c>
      <c r="F5" s="18">
        <v>2688</v>
      </c>
      <c r="G5" s="22">
        <v>128</v>
      </c>
      <c r="H5" s="18">
        <v>7.2041033456470496</v>
      </c>
      <c r="I5" s="18">
        <v>922.12522824282303</v>
      </c>
      <c r="J5" s="18">
        <v>1765.87477175717</v>
      </c>
      <c r="K5" s="22">
        <v>0</v>
      </c>
      <c r="L5" s="22" t="str">
        <f t="shared" si="0"/>
        <v>45689, 1, 4</v>
      </c>
    </row>
    <row r="6" spans="1:14">
      <c r="A6" s="9">
        <v>45689</v>
      </c>
      <c r="B6">
        <v>1</v>
      </c>
      <c r="C6" s="16" t="s">
        <v>37</v>
      </c>
      <c r="D6">
        <v>5</v>
      </c>
      <c r="E6" s="16" t="s">
        <v>43</v>
      </c>
      <c r="F6" s="18">
        <v>1911</v>
      </c>
      <c r="G6" s="22">
        <v>91</v>
      </c>
      <c r="H6" s="18">
        <v>6.9197656250000001</v>
      </c>
      <c r="I6" s="18">
        <v>629.69867187499995</v>
      </c>
      <c r="J6" s="18">
        <v>1281.3013281250001</v>
      </c>
      <c r="K6" s="22">
        <v>0</v>
      </c>
      <c r="L6" s="22" t="str">
        <f t="shared" si="0"/>
        <v>45689, 1, 5</v>
      </c>
    </row>
    <row r="7" spans="1:14">
      <c r="A7" s="9">
        <v>45689</v>
      </c>
      <c r="B7">
        <v>1</v>
      </c>
      <c r="C7" s="16" t="s">
        <v>37</v>
      </c>
      <c r="D7">
        <v>6</v>
      </c>
      <c r="E7" s="16" t="s">
        <v>44</v>
      </c>
      <c r="F7" s="18">
        <v>4071</v>
      </c>
      <c r="G7" s="22">
        <v>177</v>
      </c>
      <c r="H7" s="18">
        <v>4.6488076295714196</v>
      </c>
      <c r="I7" s="18">
        <v>822.83895043414202</v>
      </c>
      <c r="J7" s="18">
        <v>3248.1610495658501</v>
      </c>
      <c r="K7" s="22">
        <v>0</v>
      </c>
      <c r="L7" s="22" t="str">
        <f t="shared" si="0"/>
        <v>45689, 1, 6</v>
      </c>
    </row>
    <row r="8" spans="1:14">
      <c r="A8" s="9">
        <v>45689</v>
      </c>
      <c r="B8">
        <v>1</v>
      </c>
      <c r="C8" s="16" t="s">
        <v>37</v>
      </c>
      <c r="D8">
        <v>7</v>
      </c>
      <c r="E8" s="16" t="s">
        <v>45</v>
      </c>
      <c r="F8" s="18">
        <v>2236.5</v>
      </c>
      <c r="G8" s="22">
        <v>213</v>
      </c>
      <c r="H8" s="18">
        <v>2.7626656898611102</v>
      </c>
      <c r="I8" s="18">
        <v>588.44779194041598</v>
      </c>
      <c r="J8" s="18">
        <v>1648.0522080595799</v>
      </c>
      <c r="K8" s="22">
        <v>0</v>
      </c>
      <c r="L8" s="22" t="str">
        <f t="shared" si="0"/>
        <v>45689, 1, 7</v>
      </c>
    </row>
    <row r="9" spans="1:14">
      <c r="A9" s="9">
        <v>45689</v>
      </c>
      <c r="B9">
        <v>1</v>
      </c>
      <c r="C9" s="16" t="s">
        <v>37</v>
      </c>
      <c r="D9">
        <v>8</v>
      </c>
      <c r="E9" s="16" t="s">
        <v>46</v>
      </c>
      <c r="F9" s="18">
        <v>1725</v>
      </c>
      <c r="G9" s="22">
        <v>138</v>
      </c>
      <c r="H9" s="18">
        <v>0.68366990545454498</v>
      </c>
      <c r="I9" s="18">
        <v>94.346446952727206</v>
      </c>
      <c r="J9" s="18">
        <v>1630.65355304727</v>
      </c>
      <c r="K9" s="22">
        <v>0</v>
      </c>
      <c r="L9" s="22" t="str">
        <f t="shared" si="0"/>
        <v>45689, 1, 8</v>
      </c>
    </row>
    <row r="10" spans="1:14">
      <c r="A10" s="9">
        <v>45689</v>
      </c>
      <c r="B10">
        <v>1</v>
      </c>
      <c r="C10" s="16" t="s">
        <v>37</v>
      </c>
      <c r="D10">
        <v>9</v>
      </c>
      <c r="E10" s="16" t="s">
        <v>47</v>
      </c>
      <c r="F10" s="18">
        <v>3564</v>
      </c>
      <c r="G10" s="22">
        <v>72</v>
      </c>
      <c r="H10" s="18">
        <v>17.438852885616999</v>
      </c>
      <c r="I10" s="18">
        <v>1255.59740776442</v>
      </c>
      <c r="J10" s="18">
        <v>2308.40259223557</v>
      </c>
      <c r="K10" s="22">
        <v>0</v>
      </c>
      <c r="L10" s="22" t="str">
        <f t="shared" si="0"/>
        <v>45689, 1, 9</v>
      </c>
    </row>
    <row r="11" spans="1:14">
      <c r="A11" s="9">
        <v>45689</v>
      </c>
      <c r="B11">
        <v>1</v>
      </c>
      <c r="C11" s="16" t="s">
        <v>37</v>
      </c>
      <c r="D11">
        <v>10</v>
      </c>
      <c r="E11" s="16" t="s">
        <v>57</v>
      </c>
      <c r="F11" s="18">
        <v>1204</v>
      </c>
      <c r="G11" s="22">
        <v>86</v>
      </c>
      <c r="H11" s="18">
        <v>2.26528494407692</v>
      </c>
      <c r="I11" s="18">
        <v>194.81450519061499</v>
      </c>
      <c r="J11" s="18">
        <v>1009.18549480938</v>
      </c>
      <c r="K11" s="22">
        <v>0</v>
      </c>
      <c r="L11" s="22" t="str">
        <f t="shared" si="0"/>
        <v>45689, 1, 10</v>
      </c>
    </row>
    <row r="12" spans="1:14">
      <c r="A12" s="9">
        <v>45689</v>
      </c>
      <c r="B12">
        <v>1</v>
      </c>
      <c r="C12" s="16" t="s">
        <v>37</v>
      </c>
      <c r="D12">
        <v>11</v>
      </c>
      <c r="E12" s="16" t="s">
        <v>48</v>
      </c>
      <c r="F12" s="18">
        <v>3045</v>
      </c>
      <c r="G12" s="22">
        <v>145</v>
      </c>
      <c r="H12" s="18">
        <v>1.861165671875</v>
      </c>
      <c r="I12" s="18">
        <v>269.869022421875</v>
      </c>
      <c r="J12" s="18">
        <v>2775.1309775781201</v>
      </c>
      <c r="K12" s="22">
        <v>0</v>
      </c>
      <c r="L12" s="22" t="str">
        <f t="shared" si="0"/>
        <v>45689, 1, 11</v>
      </c>
    </row>
    <row r="13" spans="1:14">
      <c r="A13" s="9">
        <v>45689</v>
      </c>
      <c r="B13">
        <v>1</v>
      </c>
      <c r="C13" s="16" t="s">
        <v>37</v>
      </c>
      <c r="D13">
        <v>12</v>
      </c>
      <c r="E13" s="16" t="s">
        <v>49</v>
      </c>
      <c r="F13" s="18">
        <v>2794</v>
      </c>
      <c r="G13" s="22">
        <v>127</v>
      </c>
      <c r="H13" s="18">
        <v>2.4998635202499999</v>
      </c>
      <c r="I13" s="18">
        <v>317.48266707174997</v>
      </c>
      <c r="J13" s="18">
        <v>2476.5173329282502</v>
      </c>
      <c r="K13" s="22">
        <v>0</v>
      </c>
      <c r="L13" s="22" t="str">
        <f t="shared" si="0"/>
        <v>45689, 1, 12</v>
      </c>
    </row>
    <row r="14" spans="1:14">
      <c r="A14" s="9">
        <v>45689</v>
      </c>
      <c r="B14">
        <v>1</v>
      </c>
      <c r="C14" s="16" t="s">
        <v>37</v>
      </c>
      <c r="D14">
        <v>13</v>
      </c>
      <c r="E14" s="16" t="s">
        <v>50</v>
      </c>
      <c r="F14" s="18">
        <v>4255</v>
      </c>
      <c r="G14" s="22">
        <v>185</v>
      </c>
      <c r="H14" s="18">
        <v>6.3790622222222204</v>
      </c>
      <c r="I14" s="18">
        <v>1180.1265111111099</v>
      </c>
      <c r="J14" s="18">
        <v>3074.8734888888798</v>
      </c>
      <c r="K14" s="22">
        <v>0</v>
      </c>
      <c r="L14" s="22" t="str">
        <f t="shared" si="0"/>
        <v>45689, 1, 13</v>
      </c>
    </row>
    <row r="15" spans="1:14">
      <c r="A15" s="9">
        <v>45689</v>
      </c>
      <c r="B15">
        <v>1</v>
      </c>
      <c r="C15" s="16" t="s">
        <v>37</v>
      </c>
      <c r="D15">
        <v>14</v>
      </c>
      <c r="E15" s="16" t="s">
        <v>51</v>
      </c>
      <c r="F15" s="18">
        <v>3556</v>
      </c>
      <c r="G15" s="22">
        <v>127</v>
      </c>
      <c r="H15" s="18">
        <v>4.5995653764090898</v>
      </c>
      <c r="I15" s="18">
        <v>584.14480280395401</v>
      </c>
      <c r="J15" s="18">
        <v>2971.8551971960401</v>
      </c>
      <c r="K15" s="22">
        <v>0</v>
      </c>
      <c r="L15" s="22" t="str">
        <f t="shared" si="0"/>
        <v>45689, 1, 14</v>
      </c>
    </row>
    <row r="16" spans="1:14">
      <c r="A16" s="9">
        <v>45689</v>
      </c>
      <c r="B16">
        <v>1</v>
      </c>
      <c r="C16" s="16" t="s">
        <v>37</v>
      </c>
      <c r="D16">
        <v>15</v>
      </c>
      <c r="E16" s="16" t="s">
        <v>52</v>
      </c>
      <c r="F16" s="18">
        <v>2525</v>
      </c>
      <c r="G16" s="22">
        <v>101</v>
      </c>
      <c r="H16" s="18">
        <v>2.7810928360909002</v>
      </c>
      <c r="I16" s="18">
        <v>280.890376445181</v>
      </c>
      <c r="J16" s="18">
        <v>2244.1096235548098</v>
      </c>
      <c r="K16" s="22">
        <v>0</v>
      </c>
      <c r="L16" s="22" t="str">
        <f t="shared" si="0"/>
        <v>45689, 1, 15</v>
      </c>
    </row>
    <row r="17" spans="1:12">
      <c r="A17" s="9">
        <v>45689</v>
      </c>
      <c r="B17">
        <v>1</v>
      </c>
      <c r="C17" s="16" t="s">
        <v>37</v>
      </c>
      <c r="D17">
        <v>16</v>
      </c>
      <c r="E17" s="16" t="s">
        <v>53</v>
      </c>
      <c r="F17" s="18">
        <v>1161</v>
      </c>
      <c r="G17" s="22">
        <v>129</v>
      </c>
      <c r="H17" s="18">
        <v>1.48263104367647</v>
      </c>
      <c r="I17" s="18">
        <v>191.259404634264</v>
      </c>
      <c r="J17" s="18">
        <v>969.74059536573498</v>
      </c>
      <c r="K17" s="22">
        <v>0</v>
      </c>
      <c r="L17" s="22" t="str">
        <f t="shared" si="0"/>
        <v>45689, 1, 16</v>
      </c>
    </row>
    <row r="18" spans="1:12">
      <c r="A18" s="9">
        <v>45689</v>
      </c>
      <c r="B18">
        <v>1</v>
      </c>
      <c r="C18" s="16" t="s">
        <v>37</v>
      </c>
      <c r="D18">
        <v>17</v>
      </c>
      <c r="E18" s="16" t="s">
        <v>54</v>
      </c>
      <c r="F18" s="18">
        <v>872</v>
      </c>
      <c r="G18" s="22">
        <v>109</v>
      </c>
      <c r="H18" s="18">
        <v>1.3286123083333301</v>
      </c>
      <c r="I18" s="18">
        <v>144.818741608333</v>
      </c>
      <c r="J18" s="18">
        <v>727.18125839166601</v>
      </c>
      <c r="K18" s="22">
        <v>0</v>
      </c>
      <c r="L18" s="22" t="str">
        <f t="shared" si="0"/>
        <v>45689, 1, 17</v>
      </c>
    </row>
    <row r="19" spans="1:12">
      <c r="A19" s="9">
        <v>45689</v>
      </c>
      <c r="B19">
        <v>1</v>
      </c>
      <c r="C19" s="16" t="s">
        <v>37</v>
      </c>
      <c r="D19">
        <v>18</v>
      </c>
      <c r="E19" s="16" t="s">
        <v>55</v>
      </c>
      <c r="F19" s="18">
        <v>1457</v>
      </c>
      <c r="G19" s="22">
        <v>62</v>
      </c>
      <c r="H19" s="18">
        <v>5.5661709345441102</v>
      </c>
      <c r="I19" s="18">
        <v>345.10259794173498</v>
      </c>
      <c r="J19" s="18">
        <v>1111.89740205826</v>
      </c>
      <c r="K19" s="22">
        <v>0</v>
      </c>
      <c r="L19" s="22" t="str">
        <f t="shared" si="0"/>
        <v>45689, 1, 18</v>
      </c>
    </row>
    <row r="20" spans="1:12">
      <c r="A20" s="9">
        <v>45717</v>
      </c>
      <c r="B20">
        <v>1</v>
      </c>
      <c r="C20" s="16" t="s">
        <v>37</v>
      </c>
      <c r="D20">
        <v>1</v>
      </c>
      <c r="E20" s="16" t="s">
        <v>38</v>
      </c>
      <c r="F20" s="18">
        <v>4620</v>
      </c>
      <c r="G20" s="22">
        <v>210</v>
      </c>
      <c r="H20" s="18">
        <v>3.81875372916666</v>
      </c>
      <c r="I20" s="18">
        <v>801.938283125</v>
      </c>
      <c r="J20" s="18">
        <v>3818.06171687499</v>
      </c>
      <c r="K20" s="22">
        <v>0</v>
      </c>
      <c r="L20" s="22" t="str">
        <f t="shared" si="0"/>
        <v>45717, 1, 1</v>
      </c>
    </row>
    <row r="21" spans="1:12">
      <c r="A21" s="9">
        <v>45717</v>
      </c>
      <c r="B21">
        <v>1</v>
      </c>
      <c r="C21" s="16" t="s">
        <v>37</v>
      </c>
      <c r="D21">
        <v>2</v>
      </c>
      <c r="E21" s="16" t="s">
        <v>40</v>
      </c>
      <c r="F21" s="18">
        <v>5712</v>
      </c>
      <c r="G21" s="22">
        <v>238</v>
      </c>
      <c r="H21" s="18">
        <v>6.6809758920000002</v>
      </c>
      <c r="I21" s="18">
        <v>1590.072262296</v>
      </c>
      <c r="J21" s="18">
        <v>4121.9277377039998</v>
      </c>
      <c r="K21" s="22">
        <v>0</v>
      </c>
      <c r="L21" s="22" t="str">
        <f t="shared" si="0"/>
        <v>45717, 1, 2</v>
      </c>
    </row>
    <row r="22" spans="1:12">
      <c r="A22" s="9">
        <v>45717</v>
      </c>
      <c r="B22">
        <v>1</v>
      </c>
      <c r="C22" s="16" t="s">
        <v>37</v>
      </c>
      <c r="D22">
        <v>3</v>
      </c>
      <c r="E22" s="16" t="s">
        <v>41</v>
      </c>
      <c r="F22" s="18">
        <v>3697.5</v>
      </c>
      <c r="G22" s="22">
        <v>145</v>
      </c>
      <c r="H22" s="18">
        <v>3.4691336789333298</v>
      </c>
      <c r="I22" s="18">
        <v>503.024383445333</v>
      </c>
      <c r="J22" s="18">
        <v>3194.4756165546601</v>
      </c>
      <c r="K22" s="22">
        <v>0</v>
      </c>
      <c r="L22" s="22" t="str">
        <f t="shared" si="0"/>
        <v>45717, 1, 3</v>
      </c>
    </row>
    <row r="23" spans="1:12">
      <c r="A23" s="9">
        <v>45717</v>
      </c>
      <c r="B23">
        <v>1</v>
      </c>
      <c r="C23" s="16" t="s">
        <v>37</v>
      </c>
      <c r="D23">
        <v>4</v>
      </c>
      <c r="E23" s="16" t="s">
        <v>42</v>
      </c>
      <c r="F23" s="18">
        <v>3087</v>
      </c>
      <c r="G23" s="22">
        <v>147</v>
      </c>
      <c r="H23" s="18">
        <v>7.22329718835294</v>
      </c>
      <c r="I23" s="18">
        <v>1061.8246866878801</v>
      </c>
      <c r="J23" s="18">
        <v>2025.1753133121099</v>
      </c>
      <c r="K23" s="22">
        <v>0</v>
      </c>
      <c r="L23" s="22" t="str">
        <f t="shared" si="0"/>
        <v>45717, 1, 4</v>
      </c>
    </row>
    <row r="24" spans="1:12">
      <c r="A24" s="9">
        <v>45717</v>
      </c>
      <c r="B24">
        <v>1</v>
      </c>
      <c r="C24" s="16" t="s">
        <v>37</v>
      </c>
      <c r="D24">
        <v>5</v>
      </c>
      <c r="E24" s="16" t="s">
        <v>43</v>
      </c>
      <c r="F24" s="18">
        <v>2121</v>
      </c>
      <c r="G24" s="22">
        <v>101</v>
      </c>
      <c r="H24" s="18">
        <v>6.7634027777777703</v>
      </c>
      <c r="I24" s="18">
        <v>683.103680555555</v>
      </c>
      <c r="J24" s="18">
        <v>1437.89631944444</v>
      </c>
      <c r="K24" s="22">
        <v>0</v>
      </c>
      <c r="L24" s="22" t="str">
        <f t="shared" si="0"/>
        <v>45717, 1, 5</v>
      </c>
    </row>
    <row r="25" spans="1:12">
      <c r="A25" s="9">
        <v>45717</v>
      </c>
      <c r="B25">
        <v>1</v>
      </c>
      <c r="C25" s="16" t="s">
        <v>37</v>
      </c>
      <c r="D25">
        <v>6</v>
      </c>
      <c r="E25" s="16" t="s">
        <v>44</v>
      </c>
      <c r="F25" s="18">
        <v>3979</v>
      </c>
      <c r="G25" s="22">
        <v>173</v>
      </c>
      <c r="H25" s="18">
        <v>4.5884330719333297</v>
      </c>
      <c r="I25" s="18">
        <v>793.79892144446603</v>
      </c>
      <c r="J25" s="18">
        <v>3185.2010785555299</v>
      </c>
      <c r="K25" s="22">
        <v>0</v>
      </c>
      <c r="L25" s="22" t="str">
        <f t="shared" si="0"/>
        <v>45717, 1, 6</v>
      </c>
    </row>
    <row r="26" spans="1:12">
      <c r="A26" s="9">
        <v>45717</v>
      </c>
      <c r="B26">
        <v>1</v>
      </c>
      <c r="C26" s="16" t="s">
        <v>37</v>
      </c>
      <c r="D26">
        <v>7</v>
      </c>
      <c r="E26" s="16" t="s">
        <v>45</v>
      </c>
      <c r="F26" s="18">
        <v>2415</v>
      </c>
      <c r="G26" s="22">
        <v>230</v>
      </c>
      <c r="H26" s="18">
        <v>2.75264685486842</v>
      </c>
      <c r="I26" s="18">
        <v>633.10877661973598</v>
      </c>
      <c r="J26" s="18">
        <v>1781.89122338026</v>
      </c>
      <c r="K26" s="22">
        <v>0</v>
      </c>
      <c r="L26" s="22" t="str">
        <f t="shared" si="0"/>
        <v>45717, 1, 7</v>
      </c>
    </row>
    <row r="27" spans="1:12">
      <c r="A27" s="9">
        <v>45717</v>
      </c>
      <c r="B27">
        <v>1</v>
      </c>
      <c r="C27" s="16" t="s">
        <v>37</v>
      </c>
      <c r="D27">
        <v>8</v>
      </c>
      <c r="E27" s="16" t="s">
        <v>46</v>
      </c>
      <c r="F27" s="18">
        <v>1850</v>
      </c>
      <c r="G27" s="22">
        <v>148</v>
      </c>
      <c r="H27" s="18">
        <v>0.70873858358974295</v>
      </c>
      <c r="I27" s="18">
        <v>104.893310371282</v>
      </c>
      <c r="J27" s="18">
        <v>1745.10668962871</v>
      </c>
      <c r="K27" s="22">
        <v>0</v>
      </c>
      <c r="L27" s="22" t="str">
        <f t="shared" si="0"/>
        <v>45717, 1, 8</v>
      </c>
    </row>
    <row r="28" spans="1:12">
      <c r="A28" s="9">
        <v>45717</v>
      </c>
      <c r="B28">
        <v>1</v>
      </c>
      <c r="C28" s="16" t="s">
        <v>37</v>
      </c>
      <c r="D28">
        <v>9</v>
      </c>
      <c r="E28" s="16" t="s">
        <v>47</v>
      </c>
      <c r="F28" s="18">
        <v>3316.5</v>
      </c>
      <c r="G28" s="22">
        <v>67</v>
      </c>
      <c r="H28" s="18">
        <v>17.3645441232538</v>
      </c>
      <c r="I28" s="18">
        <v>1163.424456258</v>
      </c>
      <c r="J28" s="18">
        <v>2153.0755437419898</v>
      </c>
      <c r="K28" s="22">
        <v>0</v>
      </c>
      <c r="L28" s="22" t="str">
        <f t="shared" si="0"/>
        <v>45717, 1, 9</v>
      </c>
    </row>
    <row r="29" spans="1:12">
      <c r="A29" s="9">
        <v>45717</v>
      </c>
      <c r="B29">
        <v>1</v>
      </c>
      <c r="C29" s="16" t="s">
        <v>37</v>
      </c>
      <c r="D29">
        <v>10</v>
      </c>
      <c r="E29" s="16" t="s">
        <v>57</v>
      </c>
      <c r="F29" s="18">
        <v>1372</v>
      </c>
      <c r="G29" s="22">
        <v>98</v>
      </c>
      <c r="H29" s="18">
        <v>2.1980419849750001</v>
      </c>
      <c r="I29" s="18">
        <v>215.40811452755</v>
      </c>
      <c r="J29" s="18">
        <v>1156.59188547245</v>
      </c>
      <c r="K29" s="22">
        <v>0</v>
      </c>
      <c r="L29" s="22" t="str">
        <f t="shared" si="0"/>
        <v>45717, 1, 10</v>
      </c>
    </row>
    <row r="30" spans="1:12">
      <c r="A30" s="9">
        <v>45717</v>
      </c>
      <c r="B30">
        <v>1</v>
      </c>
      <c r="C30" s="16" t="s">
        <v>37</v>
      </c>
      <c r="D30">
        <v>11</v>
      </c>
      <c r="E30" s="16" t="s">
        <v>48</v>
      </c>
      <c r="F30" s="18">
        <v>3843</v>
      </c>
      <c r="G30" s="22">
        <v>183</v>
      </c>
      <c r="H30" s="18">
        <v>1.88670495833333</v>
      </c>
      <c r="I30" s="18">
        <v>345.26700737499903</v>
      </c>
      <c r="J30" s="18">
        <v>3497.732992625</v>
      </c>
      <c r="K30" s="22">
        <v>0</v>
      </c>
      <c r="L30" s="22" t="str">
        <f t="shared" si="0"/>
        <v>45717, 1, 11</v>
      </c>
    </row>
    <row r="31" spans="1:12">
      <c r="A31" s="9">
        <v>45717</v>
      </c>
      <c r="B31">
        <v>1</v>
      </c>
      <c r="C31" s="16" t="s">
        <v>37</v>
      </c>
      <c r="D31">
        <v>12</v>
      </c>
      <c r="E31" s="16" t="s">
        <v>49</v>
      </c>
      <c r="F31" s="18">
        <v>2684</v>
      </c>
      <c r="G31" s="22">
        <v>122</v>
      </c>
      <c r="H31" s="18">
        <v>2.5405495146538399</v>
      </c>
      <c r="I31" s="18">
        <v>309.94704078776903</v>
      </c>
      <c r="J31" s="18">
        <v>2374.0529592122298</v>
      </c>
      <c r="K31" s="22">
        <v>0</v>
      </c>
      <c r="L31" s="22" t="str">
        <f t="shared" si="0"/>
        <v>45717, 1, 12</v>
      </c>
    </row>
    <row r="32" spans="1:12">
      <c r="A32" s="9">
        <v>45717</v>
      </c>
      <c r="B32">
        <v>1</v>
      </c>
      <c r="C32" s="16" t="s">
        <v>37</v>
      </c>
      <c r="D32">
        <v>13</v>
      </c>
      <c r="E32" s="16" t="s">
        <v>50</v>
      </c>
      <c r="F32" s="18">
        <v>4439</v>
      </c>
      <c r="G32" s="22">
        <v>193</v>
      </c>
      <c r="H32" s="18">
        <v>6.4353085789473603</v>
      </c>
      <c r="I32" s="18">
        <v>1242.0145557368401</v>
      </c>
      <c r="J32" s="18">
        <v>3196.9854442631499</v>
      </c>
      <c r="K32" s="22">
        <v>0</v>
      </c>
      <c r="L32" s="22" t="str">
        <f t="shared" si="0"/>
        <v>45717, 1, 13</v>
      </c>
    </row>
    <row r="33" spans="1:12">
      <c r="A33" s="9">
        <v>45717</v>
      </c>
      <c r="B33">
        <v>1</v>
      </c>
      <c r="C33" s="16" t="s">
        <v>37</v>
      </c>
      <c r="D33">
        <v>14</v>
      </c>
      <c r="E33" s="16" t="s">
        <v>51</v>
      </c>
      <c r="F33" s="18">
        <v>4564</v>
      </c>
      <c r="G33" s="22">
        <v>163</v>
      </c>
      <c r="H33" s="18">
        <v>4.5452816327121202</v>
      </c>
      <c r="I33" s="18">
        <v>740.88090613207498</v>
      </c>
      <c r="J33" s="18">
        <v>3823.1190938679201</v>
      </c>
      <c r="K33" s="22">
        <v>0</v>
      </c>
      <c r="L33" s="22" t="str">
        <f t="shared" si="0"/>
        <v>45717, 1, 14</v>
      </c>
    </row>
    <row r="34" spans="1:12">
      <c r="A34" s="9">
        <v>45717</v>
      </c>
      <c r="B34">
        <v>1</v>
      </c>
      <c r="C34" s="16" t="s">
        <v>37</v>
      </c>
      <c r="D34">
        <v>15</v>
      </c>
      <c r="E34" s="16" t="s">
        <v>52</v>
      </c>
      <c r="F34" s="18">
        <v>3525</v>
      </c>
      <c r="G34" s="22">
        <v>141</v>
      </c>
      <c r="H34" s="18">
        <v>2.8033960825454498</v>
      </c>
      <c r="I34" s="18">
        <v>395.27884763890899</v>
      </c>
      <c r="J34" s="18">
        <v>3129.7211523610899</v>
      </c>
      <c r="K34" s="22">
        <v>0</v>
      </c>
      <c r="L34" s="22" t="str">
        <f t="shared" si="0"/>
        <v>45717, 1, 15</v>
      </c>
    </row>
    <row r="35" spans="1:12">
      <c r="A35" s="9">
        <v>45717</v>
      </c>
      <c r="B35">
        <v>1</v>
      </c>
      <c r="C35" s="16" t="s">
        <v>37</v>
      </c>
      <c r="D35">
        <v>16</v>
      </c>
      <c r="E35" s="16" t="s">
        <v>53</v>
      </c>
      <c r="F35" s="18">
        <v>1611</v>
      </c>
      <c r="G35" s="22">
        <v>179</v>
      </c>
      <c r="H35" s="18">
        <v>1.4925149522807</v>
      </c>
      <c r="I35" s="18">
        <v>267.16017645824502</v>
      </c>
      <c r="J35" s="18">
        <v>1343.8398235417501</v>
      </c>
      <c r="K35" s="22">
        <v>0</v>
      </c>
      <c r="L35" s="22" t="str">
        <f t="shared" si="0"/>
        <v>45717, 1, 16</v>
      </c>
    </row>
    <row r="36" spans="1:12">
      <c r="A36" s="9">
        <v>45717</v>
      </c>
      <c r="B36">
        <v>1</v>
      </c>
      <c r="C36" s="16" t="s">
        <v>37</v>
      </c>
      <c r="D36">
        <v>17</v>
      </c>
      <c r="E36" s="16" t="s">
        <v>54</v>
      </c>
      <c r="F36" s="18">
        <v>1248</v>
      </c>
      <c r="G36" s="22">
        <v>156</v>
      </c>
      <c r="H36" s="18">
        <v>1.3326962831578899</v>
      </c>
      <c r="I36" s="18">
        <v>207.90062017263099</v>
      </c>
      <c r="J36" s="18">
        <v>1040.0993798273601</v>
      </c>
      <c r="K36" s="22">
        <v>0</v>
      </c>
      <c r="L36" s="22" t="str">
        <f t="shared" si="0"/>
        <v>45717, 1, 17</v>
      </c>
    </row>
    <row r="37" spans="1:12">
      <c r="A37" s="9">
        <v>45717</v>
      </c>
      <c r="B37">
        <v>1</v>
      </c>
      <c r="C37" s="16" t="s">
        <v>37</v>
      </c>
      <c r="D37">
        <v>18</v>
      </c>
      <c r="E37" s="16" t="s">
        <v>55</v>
      </c>
      <c r="F37" s="18">
        <v>1903.5</v>
      </c>
      <c r="G37" s="22">
        <v>81</v>
      </c>
      <c r="H37" s="18">
        <v>5.5860631068676403</v>
      </c>
      <c r="I37" s="18">
        <v>452.47111165627899</v>
      </c>
      <c r="J37" s="18">
        <v>1451.0288883437199</v>
      </c>
      <c r="K37" s="22">
        <v>0</v>
      </c>
      <c r="L37" s="22" t="str">
        <f t="shared" si="0"/>
        <v>45717, 1, 18</v>
      </c>
    </row>
    <row r="38" spans="1:12">
      <c r="A38" s="9">
        <v>45748</v>
      </c>
      <c r="B38">
        <v>1</v>
      </c>
      <c r="C38" s="16" t="s">
        <v>37</v>
      </c>
      <c r="D38">
        <v>1</v>
      </c>
      <c r="E38" s="16" t="s">
        <v>38</v>
      </c>
      <c r="F38" s="18">
        <v>4950</v>
      </c>
      <c r="G38" s="22">
        <v>225</v>
      </c>
      <c r="H38" s="18">
        <v>3.79099154166666</v>
      </c>
      <c r="I38" s="18">
        <v>852.97309687500001</v>
      </c>
      <c r="J38" s="18">
        <v>4097.02690312499</v>
      </c>
      <c r="K38" s="22">
        <v>0</v>
      </c>
      <c r="L38" s="22" t="str">
        <f t="shared" si="0"/>
        <v>45748, 1, 1</v>
      </c>
    </row>
    <row r="39" spans="1:12">
      <c r="A39" s="9">
        <v>45748</v>
      </c>
      <c r="B39">
        <v>1</v>
      </c>
      <c r="C39" s="16" t="s">
        <v>37</v>
      </c>
      <c r="D39">
        <v>2</v>
      </c>
      <c r="E39" s="16" t="s">
        <v>40</v>
      </c>
      <c r="F39" s="18">
        <v>5832</v>
      </c>
      <c r="G39" s="22">
        <v>243</v>
      </c>
      <c r="H39" s="18">
        <v>6.6254300514000004</v>
      </c>
      <c r="I39" s="18">
        <v>1609.9795024902</v>
      </c>
      <c r="J39" s="18">
        <v>4222.0204975098004</v>
      </c>
      <c r="K39" s="22">
        <v>0</v>
      </c>
      <c r="L39" s="22" t="str">
        <f t="shared" si="0"/>
        <v>45748, 1, 2</v>
      </c>
    </row>
    <row r="40" spans="1:12">
      <c r="A40" s="9">
        <v>45748</v>
      </c>
      <c r="B40">
        <v>1</v>
      </c>
      <c r="C40" s="16" t="s">
        <v>37</v>
      </c>
      <c r="D40">
        <v>3</v>
      </c>
      <c r="E40" s="16" t="s">
        <v>41</v>
      </c>
      <c r="F40" s="18">
        <v>3340.5</v>
      </c>
      <c r="G40" s="22">
        <v>131</v>
      </c>
      <c r="H40" s="18">
        <v>3.5069658609333301</v>
      </c>
      <c r="I40" s="18">
        <v>459.41252778226601</v>
      </c>
      <c r="J40" s="18">
        <v>2881.08747221773</v>
      </c>
      <c r="K40" s="22">
        <v>0</v>
      </c>
      <c r="L40" s="22" t="str">
        <f t="shared" si="0"/>
        <v>45748, 1, 3</v>
      </c>
    </row>
    <row r="41" spans="1:12">
      <c r="A41" s="9">
        <v>45748</v>
      </c>
      <c r="B41">
        <v>1</v>
      </c>
      <c r="C41" s="16" t="s">
        <v>37</v>
      </c>
      <c r="D41">
        <v>4</v>
      </c>
      <c r="E41" s="16" t="s">
        <v>42</v>
      </c>
      <c r="F41" s="18">
        <v>3654</v>
      </c>
      <c r="G41" s="22">
        <v>174</v>
      </c>
      <c r="H41" s="18">
        <v>7.0077264966315704</v>
      </c>
      <c r="I41" s="18">
        <v>1219.34441041389</v>
      </c>
      <c r="J41" s="18">
        <v>2434.6555895861002</v>
      </c>
      <c r="K41" s="22">
        <v>0</v>
      </c>
      <c r="L41" s="22" t="str">
        <f t="shared" si="0"/>
        <v>45748, 1, 4</v>
      </c>
    </row>
    <row r="42" spans="1:12">
      <c r="A42" s="9">
        <v>45748</v>
      </c>
      <c r="B42">
        <v>1</v>
      </c>
      <c r="C42" s="16" t="s">
        <v>37</v>
      </c>
      <c r="D42">
        <v>5</v>
      </c>
      <c r="E42" s="16" t="s">
        <v>43</v>
      </c>
      <c r="F42" s="18">
        <v>2142</v>
      </c>
      <c r="G42" s="22">
        <v>102</v>
      </c>
      <c r="H42" s="18">
        <v>6.5896875000000001</v>
      </c>
      <c r="I42" s="18">
        <v>672.14812500000005</v>
      </c>
      <c r="J42" s="18">
        <v>1469.8518750000001</v>
      </c>
      <c r="K42" s="22">
        <v>0</v>
      </c>
      <c r="L42" s="22" t="str">
        <f t="shared" si="0"/>
        <v>45748, 1, 5</v>
      </c>
    </row>
    <row r="43" spans="1:12">
      <c r="A43" s="9">
        <v>45748</v>
      </c>
      <c r="B43">
        <v>1</v>
      </c>
      <c r="C43" s="16" t="s">
        <v>37</v>
      </c>
      <c r="D43">
        <v>6</v>
      </c>
      <c r="E43" s="16" t="s">
        <v>44</v>
      </c>
      <c r="F43" s="18">
        <v>4186</v>
      </c>
      <c r="G43" s="22">
        <v>182</v>
      </c>
      <c r="H43" s="18">
        <v>4.5672245683529402</v>
      </c>
      <c r="I43" s="18">
        <v>831.234871440235</v>
      </c>
      <c r="J43" s="18">
        <v>3354.7651285597599</v>
      </c>
      <c r="K43" s="22">
        <v>0</v>
      </c>
      <c r="L43" s="22" t="str">
        <f t="shared" si="0"/>
        <v>45748, 1, 6</v>
      </c>
    </row>
    <row r="44" spans="1:12">
      <c r="A44" s="9">
        <v>45748</v>
      </c>
      <c r="B44">
        <v>1</v>
      </c>
      <c r="C44" s="16" t="s">
        <v>37</v>
      </c>
      <c r="D44">
        <v>7</v>
      </c>
      <c r="E44" s="16" t="s">
        <v>45</v>
      </c>
      <c r="F44" s="18">
        <v>2425.5</v>
      </c>
      <c r="G44" s="22">
        <v>231</v>
      </c>
      <c r="H44" s="18">
        <v>2.7743273231250001</v>
      </c>
      <c r="I44" s="18">
        <v>640.86961164187505</v>
      </c>
      <c r="J44" s="18">
        <v>1784.6303883581199</v>
      </c>
      <c r="K44" s="22">
        <v>0</v>
      </c>
      <c r="L44" s="22" t="str">
        <f t="shared" si="0"/>
        <v>45748, 1, 7</v>
      </c>
    </row>
    <row r="45" spans="1:12">
      <c r="A45" s="9">
        <v>45748</v>
      </c>
      <c r="B45">
        <v>1</v>
      </c>
      <c r="C45" s="16" t="s">
        <v>37</v>
      </c>
      <c r="D45">
        <v>8</v>
      </c>
      <c r="E45" s="16" t="s">
        <v>46</v>
      </c>
      <c r="F45" s="18">
        <v>1625</v>
      </c>
      <c r="G45" s="22">
        <v>130</v>
      </c>
      <c r="H45" s="18">
        <v>0.72177033641025601</v>
      </c>
      <c r="I45" s="18">
        <v>93.830143733333301</v>
      </c>
      <c r="J45" s="18">
        <v>1531.16985626666</v>
      </c>
      <c r="K45" s="22">
        <v>0</v>
      </c>
      <c r="L45" s="22" t="str">
        <f t="shared" si="0"/>
        <v>45748, 1, 8</v>
      </c>
    </row>
    <row r="46" spans="1:12">
      <c r="A46" s="9">
        <v>45748</v>
      </c>
      <c r="B46">
        <v>1</v>
      </c>
      <c r="C46" s="16" t="s">
        <v>37</v>
      </c>
      <c r="D46">
        <v>9</v>
      </c>
      <c r="E46" s="16" t="s">
        <v>47</v>
      </c>
      <c r="F46" s="18">
        <v>4405.5</v>
      </c>
      <c r="G46" s="22">
        <v>89</v>
      </c>
      <c r="H46" s="18">
        <v>17.4041256022544</v>
      </c>
      <c r="I46" s="18">
        <v>1548.96717860064</v>
      </c>
      <c r="J46" s="18">
        <v>2856.5328213993498</v>
      </c>
      <c r="K46" s="22">
        <v>0</v>
      </c>
      <c r="L46" s="22" t="str">
        <f t="shared" si="0"/>
        <v>45748, 1, 9</v>
      </c>
    </row>
    <row r="47" spans="1:12">
      <c r="A47" s="9">
        <v>45748</v>
      </c>
      <c r="B47">
        <v>1</v>
      </c>
      <c r="C47" s="16" t="s">
        <v>37</v>
      </c>
      <c r="D47">
        <v>10</v>
      </c>
      <c r="E47" s="16" t="s">
        <v>57</v>
      </c>
      <c r="F47" s="18">
        <v>1722</v>
      </c>
      <c r="G47" s="22">
        <v>123</v>
      </c>
      <c r="H47" s="18">
        <v>2.0932350186874999</v>
      </c>
      <c r="I47" s="18">
        <v>257.46790729856201</v>
      </c>
      <c r="J47" s="18">
        <v>1464.53209270143</v>
      </c>
      <c r="K47" s="22">
        <v>0</v>
      </c>
      <c r="L47" s="22" t="str">
        <f t="shared" si="0"/>
        <v>45748, 1, 10</v>
      </c>
    </row>
    <row r="48" spans="1:12">
      <c r="A48" s="9">
        <v>45748</v>
      </c>
      <c r="B48">
        <v>1</v>
      </c>
      <c r="C48" s="16" t="s">
        <v>37</v>
      </c>
      <c r="D48">
        <v>11</v>
      </c>
      <c r="E48" s="16" t="s">
        <v>48</v>
      </c>
      <c r="F48" s="18">
        <v>4536</v>
      </c>
      <c r="G48" s="22">
        <v>216</v>
      </c>
      <c r="H48" s="18">
        <v>1.87833797222222</v>
      </c>
      <c r="I48" s="18">
        <v>405.72100199999898</v>
      </c>
      <c r="J48" s="18">
        <v>4130.2789979999998</v>
      </c>
      <c r="K48" s="22">
        <v>0</v>
      </c>
      <c r="L48" s="22" t="str">
        <f t="shared" si="0"/>
        <v>45748, 1, 11</v>
      </c>
    </row>
    <row r="49" spans="1:12">
      <c r="A49" s="9">
        <v>45748</v>
      </c>
      <c r="B49">
        <v>1</v>
      </c>
      <c r="C49" s="16" t="s">
        <v>37</v>
      </c>
      <c r="D49">
        <v>12</v>
      </c>
      <c r="E49" s="16" t="s">
        <v>49</v>
      </c>
      <c r="F49" s="18">
        <v>3586</v>
      </c>
      <c r="G49" s="22">
        <v>163</v>
      </c>
      <c r="H49" s="18">
        <v>2.5352177338461499</v>
      </c>
      <c r="I49" s="18">
        <v>413.24049061692301</v>
      </c>
      <c r="J49" s="18">
        <v>3172.7595093830701</v>
      </c>
      <c r="K49" s="22">
        <v>0</v>
      </c>
      <c r="L49" s="22" t="str">
        <f t="shared" si="0"/>
        <v>45748, 1, 12</v>
      </c>
    </row>
    <row r="50" spans="1:12">
      <c r="A50" s="9">
        <v>45748</v>
      </c>
      <c r="B50">
        <v>1</v>
      </c>
      <c r="C50" s="16" t="s">
        <v>37</v>
      </c>
      <c r="D50">
        <v>13</v>
      </c>
      <c r="E50" s="16" t="s">
        <v>50</v>
      </c>
      <c r="F50" s="18">
        <v>3726</v>
      </c>
      <c r="G50" s="22">
        <v>162</v>
      </c>
      <c r="H50" s="18">
        <v>6.4387709500000003</v>
      </c>
      <c r="I50" s="18">
        <v>1043.0808939000001</v>
      </c>
      <c r="J50" s="18">
        <v>2682.9191061000001</v>
      </c>
      <c r="K50" s="22">
        <v>0</v>
      </c>
      <c r="L50" s="22" t="str">
        <f t="shared" si="0"/>
        <v>45748, 1, 13</v>
      </c>
    </row>
    <row r="51" spans="1:12">
      <c r="A51" s="9">
        <v>45748</v>
      </c>
      <c r="B51">
        <v>1</v>
      </c>
      <c r="C51" s="16" t="s">
        <v>37</v>
      </c>
      <c r="D51">
        <v>14</v>
      </c>
      <c r="E51" s="16" t="s">
        <v>51</v>
      </c>
      <c r="F51" s="18">
        <v>4228</v>
      </c>
      <c r="G51" s="22">
        <v>151</v>
      </c>
      <c r="H51" s="18">
        <v>4.5803650396388802</v>
      </c>
      <c r="I51" s="18">
        <v>691.63512098547199</v>
      </c>
      <c r="J51" s="18">
        <v>3536.3648790145198</v>
      </c>
      <c r="K51" s="22">
        <v>0</v>
      </c>
      <c r="L51" s="22" t="str">
        <f t="shared" si="0"/>
        <v>45748, 1, 14</v>
      </c>
    </row>
    <row r="52" spans="1:12">
      <c r="A52" s="9">
        <v>45748</v>
      </c>
      <c r="B52">
        <v>1</v>
      </c>
      <c r="C52" s="16" t="s">
        <v>37</v>
      </c>
      <c r="D52">
        <v>15</v>
      </c>
      <c r="E52" s="16" t="s">
        <v>52</v>
      </c>
      <c r="F52" s="18">
        <v>3850</v>
      </c>
      <c r="G52" s="22">
        <v>154</v>
      </c>
      <c r="H52" s="18">
        <v>2.7726221168333298</v>
      </c>
      <c r="I52" s="18">
        <v>426.98380599233298</v>
      </c>
      <c r="J52" s="18">
        <v>3423.01619400766</v>
      </c>
      <c r="K52" s="22">
        <v>0</v>
      </c>
      <c r="L52" s="22" t="str">
        <f t="shared" si="0"/>
        <v>45748, 1, 15</v>
      </c>
    </row>
    <row r="53" spans="1:12">
      <c r="A53" s="9">
        <v>45748</v>
      </c>
      <c r="B53">
        <v>1</v>
      </c>
      <c r="C53" s="16" t="s">
        <v>37</v>
      </c>
      <c r="D53">
        <v>16</v>
      </c>
      <c r="E53" s="16" t="s">
        <v>53</v>
      </c>
      <c r="F53" s="18">
        <v>1539</v>
      </c>
      <c r="G53" s="22">
        <v>171</v>
      </c>
      <c r="H53" s="18">
        <v>1.5080125787719201</v>
      </c>
      <c r="I53" s="18">
        <v>257.87015096999897</v>
      </c>
      <c r="J53" s="18">
        <v>1281.1298490300001</v>
      </c>
      <c r="K53" s="22">
        <v>0</v>
      </c>
      <c r="L53" s="22" t="str">
        <f t="shared" si="0"/>
        <v>45748, 1, 16</v>
      </c>
    </row>
    <row r="54" spans="1:12">
      <c r="A54" s="9">
        <v>45748</v>
      </c>
      <c r="B54">
        <v>1</v>
      </c>
      <c r="C54" s="16" t="s">
        <v>37</v>
      </c>
      <c r="D54">
        <v>17</v>
      </c>
      <c r="E54" s="16" t="s">
        <v>54</v>
      </c>
      <c r="F54" s="18">
        <v>1376</v>
      </c>
      <c r="G54" s="22">
        <v>172</v>
      </c>
      <c r="H54" s="18">
        <v>1.34778791315789</v>
      </c>
      <c r="I54" s="18">
        <v>231.819521063157</v>
      </c>
      <c r="J54" s="18">
        <v>1144.18047893684</v>
      </c>
      <c r="K54" s="22">
        <v>0</v>
      </c>
      <c r="L54" s="22" t="str">
        <f t="shared" si="0"/>
        <v>45748, 1, 17</v>
      </c>
    </row>
    <row r="55" spans="1:12">
      <c r="A55" s="9">
        <v>45748</v>
      </c>
      <c r="B55">
        <v>1</v>
      </c>
      <c r="C55" s="16" t="s">
        <v>37</v>
      </c>
      <c r="D55">
        <v>18</v>
      </c>
      <c r="E55" s="16" t="s">
        <v>55</v>
      </c>
      <c r="F55" s="18">
        <v>2585</v>
      </c>
      <c r="G55" s="22">
        <v>110</v>
      </c>
      <c r="H55" s="18">
        <v>5.6114449254605203</v>
      </c>
      <c r="I55" s="18">
        <v>617.258941800657</v>
      </c>
      <c r="J55" s="18">
        <v>1967.7410581993399</v>
      </c>
      <c r="K55" s="22">
        <v>0</v>
      </c>
      <c r="L55" s="22" t="str">
        <f t="shared" si="0"/>
        <v>45748, 1, 18</v>
      </c>
    </row>
    <row r="56" spans="1:12">
      <c r="A56" s="9">
        <v>45778</v>
      </c>
      <c r="B56">
        <v>1</v>
      </c>
      <c r="C56" s="16" t="s">
        <v>37</v>
      </c>
      <c r="D56">
        <v>1</v>
      </c>
      <c r="E56" s="16" t="s">
        <v>38</v>
      </c>
      <c r="F56" s="18">
        <v>5060</v>
      </c>
      <c r="G56" s="22">
        <v>230</v>
      </c>
      <c r="H56" s="18">
        <v>3.830805625</v>
      </c>
      <c r="I56" s="18">
        <v>881.08529375000001</v>
      </c>
      <c r="J56" s="18">
        <v>4178.9147062499997</v>
      </c>
      <c r="K56" s="22">
        <v>0</v>
      </c>
      <c r="L56" s="22" t="str">
        <f t="shared" si="0"/>
        <v>45778, 1, 1</v>
      </c>
    </row>
    <row r="57" spans="1:12">
      <c r="A57" s="9">
        <v>45778</v>
      </c>
      <c r="B57">
        <v>1</v>
      </c>
      <c r="C57" s="16" t="s">
        <v>37</v>
      </c>
      <c r="D57">
        <v>2</v>
      </c>
      <c r="E57" s="16" t="s">
        <v>40</v>
      </c>
      <c r="F57" s="18">
        <v>7584</v>
      </c>
      <c r="G57" s="22">
        <v>316</v>
      </c>
      <c r="H57" s="18">
        <v>6.6409165612000001</v>
      </c>
      <c r="I57" s="18">
        <v>2098.5296333391998</v>
      </c>
      <c r="J57" s="18">
        <v>5485.4703666608002</v>
      </c>
      <c r="K57" s="22">
        <v>0</v>
      </c>
      <c r="L57" s="22" t="str">
        <f t="shared" si="0"/>
        <v>45778, 1, 2</v>
      </c>
    </row>
    <row r="58" spans="1:12">
      <c r="A58" s="9">
        <v>45778</v>
      </c>
      <c r="B58">
        <v>1</v>
      </c>
      <c r="C58" s="16" t="s">
        <v>37</v>
      </c>
      <c r="D58">
        <v>3</v>
      </c>
      <c r="E58" s="16" t="s">
        <v>41</v>
      </c>
      <c r="F58" s="18">
        <v>2779.5</v>
      </c>
      <c r="G58" s="22">
        <v>109</v>
      </c>
      <c r="H58" s="18">
        <v>3.5215520198666601</v>
      </c>
      <c r="I58" s="18">
        <v>383.84917016546598</v>
      </c>
      <c r="J58" s="18">
        <v>2395.6508298345302</v>
      </c>
      <c r="K58" s="22">
        <v>0</v>
      </c>
      <c r="L58" s="22" t="str">
        <f t="shared" si="0"/>
        <v>45778, 1, 3</v>
      </c>
    </row>
    <row r="59" spans="1:12">
      <c r="A59" s="9">
        <v>45778</v>
      </c>
      <c r="B59">
        <v>1</v>
      </c>
      <c r="C59" s="16" t="s">
        <v>37</v>
      </c>
      <c r="D59">
        <v>4</v>
      </c>
      <c r="E59" s="16" t="s">
        <v>42</v>
      </c>
      <c r="F59" s="18">
        <v>4368</v>
      </c>
      <c r="G59" s="22">
        <v>208</v>
      </c>
      <c r="H59" s="18">
        <v>6.85300454388888</v>
      </c>
      <c r="I59" s="18">
        <v>1425.4249451288799</v>
      </c>
      <c r="J59" s="18">
        <v>2942.5750548711098</v>
      </c>
      <c r="K59" s="22">
        <v>0</v>
      </c>
      <c r="L59" s="22" t="str">
        <f t="shared" si="0"/>
        <v>45778, 1, 4</v>
      </c>
    </row>
    <row r="60" spans="1:12">
      <c r="A60" s="9">
        <v>45778</v>
      </c>
      <c r="B60">
        <v>1</v>
      </c>
      <c r="C60" s="16" t="s">
        <v>37</v>
      </c>
      <c r="D60">
        <v>5</v>
      </c>
      <c r="E60" s="16" t="s">
        <v>43</v>
      </c>
      <c r="F60" s="18">
        <v>3045</v>
      </c>
      <c r="G60" s="22">
        <v>145</v>
      </c>
      <c r="H60" s="18">
        <v>6.3545833333333297</v>
      </c>
      <c r="I60" s="18">
        <v>921.41458333333298</v>
      </c>
      <c r="J60" s="18">
        <v>2123.58541666666</v>
      </c>
      <c r="K60" s="22">
        <v>0</v>
      </c>
      <c r="L60" s="22" t="str">
        <f t="shared" si="0"/>
        <v>45778, 1, 5</v>
      </c>
    </row>
    <row r="61" spans="1:12">
      <c r="A61" s="9">
        <v>45778</v>
      </c>
      <c r="B61">
        <v>1</v>
      </c>
      <c r="C61" s="16" t="s">
        <v>37</v>
      </c>
      <c r="D61">
        <v>6</v>
      </c>
      <c r="E61" s="16" t="s">
        <v>44</v>
      </c>
      <c r="F61" s="18">
        <v>3703</v>
      </c>
      <c r="G61" s="22">
        <v>161</v>
      </c>
      <c r="H61" s="18">
        <v>4.5910462537000001</v>
      </c>
      <c r="I61" s="18">
        <v>739.15844684570004</v>
      </c>
      <c r="J61" s="18">
        <v>2963.8415531543001</v>
      </c>
      <c r="K61" s="22">
        <v>0</v>
      </c>
      <c r="L61" s="22" t="str">
        <f t="shared" si="0"/>
        <v>45778, 1, 6</v>
      </c>
    </row>
    <row r="62" spans="1:12">
      <c r="A62" s="9">
        <v>45778</v>
      </c>
      <c r="B62">
        <v>1</v>
      </c>
      <c r="C62" s="16" t="s">
        <v>37</v>
      </c>
      <c r="D62">
        <v>7</v>
      </c>
      <c r="E62" s="16" t="s">
        <v>45</v>
      </c>
      <c r="F62" s="18">
        <v>2740.5</v>
      </c>
      <c r="G62" s="22">
        <v>261</v>
      </c>
      <c r="H62" s="18">
        <v>2.7871671166250001</v>
      </c>
      <c r="I62" s="18">
        <v>727.45061743912504</v>
      </c>
      <c r="J62" s="18">
        <v>2013.0493825608701</v>
      </c>
      <c r="K62" s="22">
        <v>0</v>
      </c>
      <c r="L62" s="22" t="str">
        <f t="shared" si="0"/>
        <v>45778, 1, 7</v>
      </c>
    </row>
    <row r="63" spans="1:12">
      <c r="A63" s="9">
        <v>45778</v>
      </c>
      <c r="B63">
        <v>1</v>
      </c>
      <c r="C63" s="16" t="s">
        <v>37</v>
      </c>
      <c r="D63">
        <v>8</v>
      </c>
      <c r="E63" s="16" t="s">
        <v>46</v>
      </c>
      <c r="F63" s="18">
        <v>1475</v>
      </c>
      <c r="G63" s="22">
        <v>118</v>
      </c>
      <c r="H63" s="18">
        <v>0.715536326410256</v>
      </c>
      <c r="I63" s="18">
        <v>84.433286516410206</v>
      </c>
      <c r="J63" s="18">
        <v>1390.5667134835801</v>
      </c>
      <c r="K63" s="22">
        <v>0</v>
      </c>
      <c r="L63" s="22" t="str">
        <f t="shared" si="0"/>
        <v>45778, 1, 8</v>
      </c>
    </row>
    <row r="64" spans="1:12">
      <c r="A64" s="9">
        <v>45778</v>
      </c>
      <c r="B64">
        <v>1</v>
      </c>
      <c r="C64" s="16" t="s">
        <v>37</v>
      </c>
      <c r="D64">
        <v>9</v>
      </c>
      <c r="E64" s="16" t="s">
        <v>47</v>
      </c>
      <c r="F64" s="18">
        <v>4158</v>
      </c>
      <c r="G64" s="22">
        <v>84</v>
      </c>
      <c r="H64" s="18">
        <v>17.547468621434799</v>
      </c>
      <c r="I64" s="18">
        <v>1473.98736420052</v>
      </c>
      <c r="J64" s="18">
        <v>2684.01263579947</v>
      </c>
      <c r="K64" s="22">
        <v>0</v>
      </c>
      <c r="L64" s="22" t="str">
        <f t="shared" si="0"/>
        <v>45778, 1, 9</v>
      </c>
    </row>
    <row r="65" spans="1:12">
      <c r="A65" s="9">
        <v>45778</v>
      </c>
      <c r="B65">
        <v>1</v>
      </c>
      <c r="C65" s="16" t="s">
        <v>37</v>
      </c>
      <c r="D65">
        <v>10</v>
      </c>
      <c r="E65" s="16" t="s">
        <v>57</v>
      </c>
      <c r="F65" s="18">
        <v>1582</v>
      </c>
      <c r="G65" s="22">
        <v>113</v>
      </c>
      <c r="H65" s="18">
        <v>1.9562764789375</v>
      </c>
      <c r="I65" s="18">
        <v>221.05924211993701</v>
      </c>
      <c r="J65" s="18">
        <v>1360.9407578800599</v>
      </c>
      <c r="K65" s="22">
        <v>0</v>
      </c>
      <c r="L65" s="22" t="str">
        <f t="shared" si="0"/>
        <v>45778, 1, 10</v>
      </c>
    </row>
    <row r="66" spans="1:12">
      <c r="A66" s="9">
        <v>45778</v>
      </c>
      <c r="B66">
        <v>1</v>
      </c>
      <c r="C66" s="16" t="s">
        <v>37</v>
      </c>
      <c r="D66">
        <v>11</v>
      </c>
      <c r="E66" s="16" t="s">
        <v>48</v>
      </c>
      <c r="F66" s="18">
        <v>5250</v>
      </c>
      <c r="G66" s="22">
        <v>250</v>
      </c>
      <c r="H66" s="18">
        <v>1.88238286111111</v>
      </c>
      <c r="I66" s="18">
        <v>470.595715277777</v>
      </c>
      <c r="J66" s="18">
        <v>4779.4042847222199</v>
      </c>
      <c r="K66" s="22">
        <v>0</v>
      </c>
      <c r="L66" s="22" t="str">
        <f t="shared" si="0"/>
        <v>45778, 1, 11</v>
      </c>
    </row>
    <row r="67" spans="1:12">
      <c r="A67" s="9">
        <v>45778</v>
      </c>
      <c r="B67">
        <v>1</v>
      </c>
      <c r="C67" s="16" t="s">
        <v>37</v>
      </c>
      <c r="D67">
        <v>12</v>
      </c>
      <c r="E67" s="16" t="s">
        <v>49</v>
      </c>
      <c r="F67" s="18">
        <v>4180</v>
      </c>
      <c r="G67" s="22">
        <v>190</v>
      </c>
      <c r="H67" s="18">
        <v>2.5069235930384601</v>
      </c>
      <c r="I67" s="18">
        <v>476.31548267730699</v>
      </c>
      <c r="J67" s="18">
        <v>3703.6845173226902</v>
      </c>
      <c r="K67" s="22">
        <v>0</v>
      </c>
      <c r="L67" s="22" t="str">
        <f t="shared" ref="L67:L130" si="1">(A67&amp; ", "&amp; B67&amp; ", "&amp; D67)</f>
        <v>45778, 1, 12</v>
      </c>
    </row>
    <row r="68" spans="1:12">
      <c r="A68" s="9">
        <v>45778</v>
      </c>
      <c r="B68">
        <v>1</v>
      </c>
      <c r="C68" s="16" t="s">
        <v>37</v>
      </c>
      <c r="D68">
        <v>13</v>
      </c>
      <c r="E68" s="16" t="s">
        <v>50</v>
      </c>
      <c r="F68" s="18">
        <v>3818</v>
      </c>
      <c r="G68" s="22">
        <v>166</v>
      </c>
      <c r="H68" s="18">
        <v>6.4943350000000004</v>
      </c>
      <c r="I68" s="18">
        <v>1078.05961</v>
      </c>
      <c r="J68" s="18">
        <v>2739.9403900000002</v>
      </c>
      <c r="K68" s="22">
        <v>0</v>
      </c>
      <c r="L68" s="22" t="str">
        <f t="shared" si="1"/>
        <v>45778, 1, 13</v>
      </c>
    </row>
    <row r="69" spans="1:12">
      <c r="A69" s="9">
        <v>45778</v>
      </c>
      <c r="B69">
        <v>1</v>
      </c>
      <c r="C69" s="16" t="s">
        <v>37</v>
      </c>
      <c r="D69">
        <v>14</v>
      </c>
      <c r="E69" s="16" t="s">
        <v>51</v>
      </c>
      <c r="F69" s="18">
        <v>4368</v>
      </c>
      <c r="G69" s="22">
        <v>156</v>
      </c>
      <c r="H69" s="18">
        <v>4.5415848019696901</v>
      </c>
      <c r="I69" s="18">
        <v>708.48722910727201</v>
      </c>
      <c r="J69" s="18">
        <v>3659.5127708927198</v>
      </c>
      <c r="K69" s="22">
        <v>0</v>
      </c>
      <c r="L69" s="22" t="str">
        <f t="shared" si="1"/>
        <v>45778, 1, 14</v>
      </c>
    </row>
    <row r="70" spans="1:12">
      <c r="A70" s="9">
        <v>45778</v>
      </c>
      <c r="B70">
        <v>1</v>
      </c>
      <c r="C70" s="16" t="s">
        <v>37</v>
      </c>
      <c r="D70">
        <v>15</v>
      </c>
      <c r="E70" s="16" t="s">
        <v>52</v>
      </c>
      <c r="F70" s="18">
        <v>4475</v>
      </c>
      <c r="G70" s="22">
        <v>179</v>
      </c>
      <c r="H70" s="18">
        <v>2.7398940569999999</v>
      </c>
      <c r="I70" s="18">
        <v>490.44103620300001</v>
      </c>
      <c r="J70" s="18">
        <v>3984.5589637970002</v>
      </c>
      <c r="K70" s="22">
        <v>0</v>
      </c>
      <c r="L70" s="22" t="str">
        <f t="shared" si="1"/>
        <v>45778, 1, 15</v>
      </c>
    </row>
    <row r="71" spans="1:12">
      <c r="A71" s="9">
        <v>45778</v>
      </c>
      <c r="B71">
        <v>1</v>
      </c>
      <c r="C71" s="16" t="s">
        <v>37</v>
      </c>
      <c r="D71">
        <v>16</v>
      </c>
      <c r="E71" s="16" t="s">
        <v>53</v>
      </c>
      <c r="F71" s="18">
        <v>1692</v>
      </c>
      <c r="G71" s="22">
        <v>188</v>
      </c>
      <c r="H71" s="18">
        <v>1.52058295074074</v>
      </c>
      <c r="I71" s="18">
        <v>285.86959473925901</v>
      </c>
      <c r="J71" s="18">
        <v>1406.13040526074</v>
      </c>
      <c r="K71" s="22">
        <v>0</v>
      </c>
      <c r="L71" s="22" t="str">
        <f t="shared" si="1"/>
        <v>45778, 1, 16</v>
      </c>
    </row>
    <row r="72" spans="1:12">
      <c r="A72" s="9">
        <v>45778</v>
      </c>
      <c r="B72">
        <v>1</v>
      </c>
      <c r="C72" s="16" t="s">
        <v>37</v>
      </c>
      <c r="D72">
        <v>17</v>
      </c>
      <c r="E72" s="16" t="s">
        <v>54</v>
      </c>
      <c r="F72" s="18">
        <v>1600</v>
      </c>
      <c r="G72" s="22">
        <v>200</v>
      </c>
      <c r="H72" s="18">
        <v>1.35154661825</v>
      </c>
      <c r="I72" s="18">
        <v>270.30932365000001</v>
      </c>
      <c r="J72" s="18">
        <v>1329.6906763500001</v>
      </c>
      <c r="K72" s="22">
        <v>0</v>
      </c>
      <c r="L72" s="22" t="str">
        <f t="shared" si="1"/>
        <v>45778, 1, 17</v>
      </c>
    </row>
    <row r="73" spans="1:12">
      <c r="A73" s="9">
        <v>45778</v>
      </c>
      <c r="B73">
        <v>1</v>
      </c>
      <c r="C73" s="16" t="s">
        <v>37</v>
      </c>
      <c r="D73">
        <v>18</v>
      </c>
      <c r="E73" s="16" t="s">
        <v>55</v>
      </c>
      <c r="F73" s="18">
        <v>3219.5</v>
      </c>
      <c r="G73" s="22">
        <v>137</v>
      </c>
      <c r="H73" s="18">
        <v>5.60129604455555</v>
      </c>
      <c r="I73" s="18">
        <v>767.37755810411102</v>
      </c>
      <c r="J73" s="18">
        <v>2452.12244189588</v>
      </c>
      <c r="K73" s="22">
        <v>0</v>
      </c>
      <c r="L73" s="22" t="str">
        <f t="shared" si="1"/>
        <v>45778, 1, 18</v>
      </c>
    </row>
    <row r="74" spans="1:12">
      <c r="A74" s="9">
        <v>45809</v>
      </c>
      <c r="B74">
        <v>1</v>
      </c>
      <c r="C74" s="16" t="s">
        <v>37</v>
      </c>
      <c r="D74">
        <v>1</v>
      </c>
      <c r="E74" s="16" t="s">
        <v>38</v>
      </c>
      <c r="F74" s="18">
        <v>6292</v>
      </c>
      <c r="G74" s="22">
        <v>286</v>
      </c>
      <c r="H74" s="18">
        <v>3.83510554166666</v>
      </c>
      <c r="I74" s="18">
        <v>1096.8401849166601</v>
      </c>
      <c r="J74" s="18">
        <v>5195.1598150833297</v>
      </c>
      <c r="K74" s="22">
        <v>0</v>
      </c>
      <c r="L74" s="22" t="str">
        <f t="shared" si="1"/>
        <v>45809, 1, 1</v>
      </c>
    </row>
    <row r="75" spans="1:12">
      <c r="A75" s="9">
        <v>45809</v>
      </c>
      <c r="B75">
        <v>1</v>
      </c>
      <c r="C75" s="16" t="s">
        <v>37</v>
      </c>
      <c r="D75">
        <v>2</v>
      </c>
      <c r="E75" s="16" t="s">
        <v>40</v>
      </c>
      <c r="F75" s="18">
        <v>6336</v>
      </c>
      <c r="G75" s="22">
        <v>264</v>
      </c>
      <c r="H75" s="18">
        <v>6.6619338435789404</v>
      </c>
      <c r="I75" s="18">
        <v>1758.75053470484</v>
      </c>
      <c r="J75" s="18">
        <v>4577.24946529515</v>
      </c>
      <c r="K75" s="22">
        <v>0</v>
      </c>
      <c r="L75" s="22" t="str">
        <f t="shared" si="1"/>
        <v>45809, 1, 2</v>
      </c>
    </row>
    <row r="76" spans="1:12">
      <c r="A76" s="9">
        <v>45809</v>
      </c>
      <c r="B76">
        <v>1</v>
      </c>
      <c r="C76" s="16" t="s">
        <v>37</v>
      </c>
      <c r="D76">
        <v>3</v>
      </c>
      <c r="E76" s="16" t="s">
        <v>41</v>
      </c>
      <c r="F76" s="18">
        <v>3060</v>
      </c>
      <c r="G76" s="22">
        <v>120</v>
      </c>
      <c r="H76" s="18">
        <v>3.52917026106666</v>
      </c>
      <c r="I76" s="18">
        <v>423.50043132799999</v>
      </c>
      <c r="J76" s="18">
        <v>2636.4995686719899</v>
      </c>
      <c r="K76" s="22">
        <v>0</v>
      </c>
      <c r="L76" s="22" t="str">
        <f t="shared" si="1"/>
        <v>45809, 1, 3</v>
      </c>
    </row>
    <row r="77" spans="1:12">
      <c r="A77" s="9">
        <v>45809</v>
      </c>
      <c r="B77">
        <v>1</v>
      </c>
      <c r="C77" s="16" t="s">
        <v>37</v>
      </c>
      <c r="D77">
        <v>4</v>
      </c>
      <c r="E77" s="16" t="s">
        <v>42</v>
      </c>
      <c r="F77" s="18">
        <v>4158</v>
      </c>
      <c r="G77" s="22">
        <v>198</v>
      </c>
      <c r="H77" s="18">
        <v>6.7615987647777702</v>
      </c>
      <c r="I77" s="18">
        <v>1338.7965554259999</v>
      </c>
      <c r="J77" s="18">
        <v>2819.2034445739901</v>
      </c>
      <c r="K77" s="22">
        <v>0</v>
      </c>
      <c r="L77" s="22" t="str">
        <f t="shared" si="1"/>
        <v>45809, 1, 4</v>
      </c>
    </row>
    <row r="78" spans="1:12">
      <c r="A78" s="9">
        <v>45809</v>
      </c>
      <c r="B78">
        <v>1</v>
      </c>
      <c r="C78" s="16" t="s">
        <v>37</v>
      </c>
      <c r="D78">
        <v>5</v>
      </c>
      <c r="E78" s="16" t="s">
        <v>43</v>
      </c>
      <c r="F78" s="18">
        <v>2478</v>
      </c>
      <c r="G78" s="22">
        <v>118</v>
      </c>
      <c r="H78" s="18">
        <v>6.2011111111111097</v>
      </c>
      <c r="I78" s="18">
        <v>731.73111111111098</v>
      </c>
      <c r="J78" s="18">
        <v>1746.2688888888799</v>
      </c>
      <c r="K78" s="22">
        <v>0</v>
      </c>
      <c r="L78" s="22" t="str">
        <f t="shared" si="1"/>
        <v>45809, 1, 5</v>
      </c>
    </row>
    <row r="79" spans="1:12">
      <c r="A79" s="9">
        <v>45809</v>
      </c>
      <c r="B79">
        <v>1</v>
      </c>
      <c r="C79" s="16" t="s">
        <v>37</v>
      </c>
      <c r="D79">
        <v>6</v>
      </c>
      <c r="E79" s="16" t="s">
        <v>44</v>
      </c>
      <c r="F79" s="18">
        <v>2576</v>
      </c>
      <c r="G79" s="22">
        <v>112</v>
      </c>
      <c r="H79" s="18">
        <v>4.5953584234687499</v>
      </c>
      <c r="I79" s="18">
        <v>514.68014342849995</v>
      </c>
      <c r="J79" s="18">
        <v>2061.3198565715002</v>
      </c>
      <c r="K79" s="22">
        <v>0</v>
      </c>
      <c r="L79" s="22" t="str">
        <f t="shared" si="1"/>
        <v>45809, 1, 6</v>
      </c>
    </row>
    <row r="80" spans="1:12">
      <c r="A80" s="9">
        <v>45809</v>
      </c>
      <c r="B80">
        <v>1</v>
      </c>
      <c r="C80" s="16" t="s">
        <v>37</v>
      </c>
      <c r="D80">
        <v>7</v>
      </c>
      <c r="E80" s="16" t="s">
        <v>45</v>
      </c>
      <c r="F80" s="18">
        <v>2425.5</v>
      </c>
      <c r="G80" s="22">
        <v>231</v>
      </c>
      <c r="H80" s="18">
        <v>2.7803294532499998</v>
      </c>
      <c r="I80" s="18">
        <v>642.25610370075003</v>
      </c>
      <c r="J80" s="18">
        <v>1783.2438962992501</v>
      </c>
      <c r="K80" s="22">
        <v>0</v>
      </c>
      <c r="L80" s="22" t="str">
        <f t="shared" si="1"/>
        <v>45809, 1, 7</v>
      </c>
    </row>
    <row r="81" spans="1:12">
      <c r="A81" s="9">
        <v>45809</v>
      </c>
      <c r="B81">
        <v>1</v>
      </c>
      <c r="C81" s="16" t="s">
        <v>37</v>
      </c>
      <c r="D81">
        <v>8</v>
      </c>
      <c r="E81" s="16" t="s">
        <v>46</v>
      </c>
      <c r="F81" s="18">
        <v>1362.5</v>
      </c>
      <c r="G81" s="22">
        <v>109</v>
      </c>
      <c r="H81" s="18">
        <v>0.70364800948717898</v>
      </c>
      <c r="I81" s="18">
        <v>76.697633034102495</v>
      </c>
      <c r="J81" s="18">
        <v>1285.8023669658901</v>
      </c>
      <c r="K81" s="22">
        <v>0</v>
      </c>
      <c r="L81" s="22" t="str">
        <f t="shared" si="1"/>
        <v>45809, 1, 8</v>
      </c>
    </row>
    <row r="82" spans="1:12">
      <c r="A82" s="9">
        <v>45809</v>
      </c>
      <c r="B82">
        <v>1</v>
      </c>
      <c r="C82" s="16" t="s">
        <v>37</v>
      </c>
      <c r="D82">
        <v>9</v>
      </c>
      <c r="E82" s="16" t="s">
        <v>47</v>
      </c>
      <c r="F82" s="18">
        <v>3217.5</v>
      </c>
      <c r="G82" s="22">
        <v>65</v>
      </c>
      <c r="H82" s="18">
        <v>17.3915042760811</v>
      </c>
      <c r="I82" s="18">
        <v>1130.44777794527</v>
      </c>
      <c r="J82" s="18">
        <v>2087.05222205472</v>
      </c>
      <c r="K82" s="22">
        <v>0</v>
      </c>
      <c r="L82" s="22" t="str">
        <f t="shared" si="1"/>
        <v>45809, 1, 9</v>
      </c>
    </row>
    <row r="83" spans="1:12">
      <c r="A83" s="9">
        <v>45809</v>
      </c>
      <c r="B83">
        <v>1</v>
      </c>
      <c r="C83" s="16" t="s">
        <v>37</v>
      </c>
      <c r="D83">
        <v>10</v>
      </c>
      <c r="E83" s="16" t="s">
        <v>57</v>
      </c>
      <c r="F83" s="18">
        <v>1680</v>
      </c>
      <c r="G83" s="22">
        <v>120</v>
      </c>
      <c r="H83" s="18">
        <v>1.8687822112000001</v>
      </c>
      <c r="I83" s="18">
        <v>224.25386534399999</v>
      </c>
      <c r="J83" s="18">
        <v>1455.7461346560001</v>
      </c>
      <c r="K83" s="22">
        <v>0</v>
      </c>
      <c r="L83" s="22" t="str">
        <f t="shared" si="1"/>
        <v>45809, 1, 10</v>
      </c>
    </row>
    <row r="84" spans="1:12">
      <c r="A84" s="9">
        <v>45809</v>
      </c>
      <c r="B84">
        <v>1</v>
      </c>
      <c r="C84" s="16" t="s">
        <v>37</v>
      </c>
      <c r="D84">
        <v>11</v>
      </c>
      <c r="E84" s="16" t="s">
        <v>48</v>
      </c>
      <c r="F84" s="18">
        <v>4662</v>
      </c>
      <c r="G84" s="22">
        <v>222</v>
      </c>
      <c r="H84" s="18">
        <v>1.8864541527777701</v>
      </c>
      <c r="I84" s="18">
        <v>418.79282191666601</v>
      </c>
      <c r="J84" s="18">
        <v>4243.2071780833303</v>
      </c>
      <c r="K84" s="22">
        <v>0</v>
      </c>
      <c r="L84" s="22" t="str">
        <f t="shared" si="1"/>
        <v>45809, 1, 11</v>
      </c>
    </row>
    <row r="85" spans="1:12">
      <c r="A85" s="9">
        <v>45809</v>
      </c>
      <c r="B85">
        <v>1</v>
      </c>
      <c r="C85" s="16" t="s">
        <v>37</v>
      </c>
      <c r="D85">
        <v>12</v>
      </c>
      <c r="E85" s="16" t="s">
        <v>49</v>
      </c>
      <c r="F85" s="18">
        <v>4070</v>
      </c>
      <c r="G85" s="22">
        <v>185</v>
      </c>
      <c r="H85" s="18">
        <v>2.48823582296153</v>
      </c>
      <c r="I85" s="18">
        <v>460.32362724788402</v>
      </c>
      <c r="J85" s="18">
        <v>3609.6763727521102</v>
      </c>
      <c r="K85" s="22">
        <v>0</v>
      </c>
      <c r="L85" s="22" t="str">
        <f t="shared" si="1"/>
        <v>45809, 1, 12</v>
      </c>
    </row>
    <row r="86" spans="1:12">
      <c r="A86" s="9">
        <v>45809</v>
      </c>
      <c r="B86">
        <v>1</v>
      </c>
      <c r="C86" s="16" t="s">
        <v>37</v>
      </c>
      <c r="D86">
        <v>13</v>
      </c>
      <c r="E86" s="16" t="s">
        <v>50</v>
      </c>
      <c r="F86" s="18">
        <v>3381</v>
      </c>
      <c r="G86" s="22">
        <v>147</v>
      </c>
      <c r="H86" s="18">
        <v>6.5175386842105203</v>
      </c>
      <c r="I86" s="18">
        <v>958.078186578947</v>
      </c>
      <c r="J86" s="18">
        <v>2422.92181342105</v>
      </c>
      <c r="K86" s="22">
        <v>0</v>
      </c>
      <c r="L86" s="22" t="str">
        <f t="shared" si="1"/>
        <v>45809, 1, 13</v>
      </c>
    </row>
    <row r="87" spans="1:12">
      <c r="A87" s="9">
        <v>45809</v>
      </c>
      <c r="B87">
        <v>1</v>
      </c>
      <c r="C87" s="16" t="s">
        <v>37</v>
      </c>
      <c r="D87">
        <v>14</v>
      </c>
      <c r="E87" s="16" t="s">
        <v>51</v>
      </c>
      <c r="F87" s="18">
        <v>3136</v>
      </c>
      <c r="G87" s="22">
        <v>112</v>
      </c>
      <c r="H87" s="18">
        <v>4.5428296949027702</v>
      </c>
      <c r="I87" s="18">
        <v>508.79692582911099</v>
      </c>
      <c r="J87" s="18">
        <v>2627.20307417088</v>
      </c>
      <c r="K87" s="22">
        <v>0</v>
      </c>
      <c r="L87" s="22" t="str">
        <f t="shared" si="1"/>
        <v>45809, 1, 14</v>
      </c>
    </row>
    <row r="88" spans="1:12">
      <c r="A88" s="9">
        <v>45809</v>
      </c>
      <c r="B88">
        <v>1</v>
      </c>
      <c r="C88" s="16" t="s">
        <v>37</v>
      </c>
      <c r="D88">
        <v>15</v>
      </c>
      <c r="E88" s="16" t="s">
        <v>52</v>
      </c>
      <c r="F88" s="18">
        <v>4850</v>
      </c>
      <c r="G88" s="22">
        <v>194</v>
      </c>
      <c r="H88" s="18">
        <v>2.7273914590833299</v>
      </c>
      <c r="I88" s="18">
        <v>529.11394306216596</v>
      </c>
      <c r="J88" s="18">
        <v>4320.8860569378303</v>
      </c>
      <c r="K88" s="22">
        <v>0</v>
      </c>
      <c r="L88" s="22" t="str">
        <f t="shared" si="1"/>
        <v>45809, 1, 15</v>
      </c>
    </row>
    <row r="89" spans="1:12">
      <c r="A89" s="9">
        <v>45809</v>
      </c>
      <c r="B89">
        <v>1</v>
      </c>
      <c r="C89" s="16" t="s">
        <v>37</v>
      </c>
      <c r="D89">
        <v>16</v>
      </c>
      <c r="E89" s="16" t="s">
        <v>53</v>
      </c>
      <c r="F89" s="18">
        <v>1359</v>
      </c>
      <c r="G89" s="22">
        <v>151</v>
      </c>
      <c r="H89" s="18">
        <v>1.5265153758333301</v>
      </c>
      <c r="I89" s="18">
        <v>230.503821750833</v>
      </c>
      <c r="J89" s="18">
        <v>1128.49617824916</v>
      </c>
      <c r="K89" s="22">
        <v>0</v>
      </c>
      <c r="L89" s="22" t="str">
        <f t="shared" si="1"/>
        <v>45809, 1, 16</v>
      </c>
    </row>
    <row r="90" spans="1:12">
      <c r="A90" s="9">
        <v>45809</v>
      </c>
      <c r="B90">
        <v>1</v>
      </c>
      <c r="C90" s="16" t="s">
        <v>37</v>
      </c>
      <c r="D90">
        <v>17</v>
      </c>
      <c r="E90" s="16" t="s">
        <v>54</v>
      </c>
      <c r="F90" s="18">
        <v>1504</v>
      </c>
      <c r="G90" s="22">
        <v>188</v>
      </c>
      <c r="H90" s="18">
        <v>1.3628710244736799</v>
      </c>
      <c r="I90" s="18">
        <v>256.21975260105199</v>
      </c>
      <c r="J90" s="18">
        <v>1247.78024739894</v>
      </c>
      <c r="K90" s="22">
        <v>0</v>
      </c>
      <c r="L90" s="22" t="str">
        <f t="shared" si="1"/>
        <v>45809, 1, 17</v>
      </c>
    </row>
    <row r="91" spans="1:12">
      <c r="A91" s="9">
        <v>45809</v>
      </c>
      <c r="B91">
        <v>1</v>
      </c>
      <c r="C91" s="16" t="s">
        <v>37</v>
      </c>
      <c r="D91">
        <v>18</v>
      </c>
      <c r="E91" s="16" t="s">
        <v>55</v>
      </c>
      <c r="F91" s="18">
        <v>3548.5</v>
      </c>
      <c r="G91" s="22">
        <v>151</v>
      </c>
      <c r="H91" s="18">
        <v>5.5780191547499998</v>
      </c>
      <c r="I91" s="18">
        <v>842.28089236724998</v>
      </c>
      <c r="J91" s="18">
        <v>2706.2191076327499</v>
      </c>
      <c r="K91" s="22">
        <v>0</v>
      </c>
      <c r="L91" s="22" t="str">
        <f t="shared" si="1"/>
        <v>45809, 1, 18</v>
      </c>
    </row>
    <row r="92" spans="1:12">
      <c r="A92" s="9">
        <v>45839</v>
      </c>
      <c r="B92">
        <v>1</v>
      </c>
      <c r="C92" s="16" t="s">
        <v>37</v>
      </c>
      <c r="D92">
        <v>1</v>
      </c>
      <c r="E92" s="16" t="s">
        <v>38</v>
      </c>
      <c r="F92" s="18">
        <v>5104</v>
      </c>
      <c r="G92" s="22">
        <v>232</v>
      </c>
      <c r="H92" s="18">
        <v>3.8963058749999999</v>
      </c>
      <c r="I92" s="18">
        <v>903.94296299999996</v>
      </c>
      <c r="J92" s="18">
        <v>4200.0570369999996</v>
      </c>
      <c r="K92" s="22">
        <v>0</v>
      </c>
      <c r="L92" s="22" t="str">
        <f t="shared" si="1"/>
        <v>45839, 1, 1</v>
      </c>
    </row>
    <row r="93" spans="1:12">
      <c r="A93" s="9">
        <v>45839</v>
      </c>
      <c r="B93">
        <v>1</v>
      </c>
      <c r="C93" s="16" t="s">
        <v>37</v>
      </c>
      <c r="D93">
        <v>2</v>
      </c>
      <c r="E93" s="16" t="s">
        <v>40</v>
      </c>
      <c r="F93" s="18">
        <v>6192</v>
      </c>
      <c r="G93" s="22">
        <v>258</v>
      </c>
      <c r="H93" s="18">
        <v>6.5947479176000003</v>
      </c>
      <c r="I93" s="18">
        <v>1701.4449627408001</v>
      </c>
      <c r="J93" s="18">
        <v>4490.5550372591997</v>
      </c>
      <c r="K93" s="22">
        <v>0</v>
      </c>
      <c r="L93" s="22" t="str">
        <f t="shared" si="1"/>
        <v>45839, 1, 2</v>
      </c>
    </row>
    <row r="94" spans="1:12">
      <c r="A94" s="9">
        <v>45839</v>
      </c>
      <c r="B94">
        <v>1</v>
      </c>
      <c r="C94" s="16" t="s">
        <v>37</v>
      </c>
      <c r="D94">
        <v>3</v>
      </c>
      <c r="E94" s="16" t="s">
        <v>41</v>
      </c>
      <c r="F94" s="18">
        <v>2677.5</v>
      </c>
      <c r="G94" s="22">
        <v>105</v>
      </c>
      <c r="H94" s="18">
        <v>3.5526707682500001</v>
      </c>
      <c r="I94" s="18">
        <v>373.03043066625003</v>
      </c>
      <c r="J94" s="18">
        <v>2304.4695693337499</v>
      </c>
      <c r="K94" s="22">
        <v>0</v>
      </c>
      <c r="L94" s="22" t="str">
        <f t="shared" si="1"/>
        <v>45839, 1, 3</v>
      </c>
    </row>
    <row r="95" spans="1:12">
      <c r="A95" s="9">
        <v>45839</v>
      </c>
      <c r="B95">
        <v>1</v>
      </c>
      <c r="C95" s="16" t="s">
        <v>37</v>
      </c>
      <c r="D95">
        <v>4</v>
      </c>
      <c r="E95" s="16" t="s">
        <v>42</v>
      </c>
      <c r="F95" s="18">
        <v>3654</v>
      </c>
      <c r="G95" s="22">
        <v>174</v>
      </c>
      <c r="H95" s="18">
        <v>6.6692923365263104</v>
      </c>
      <c r="I95" s="18">
        <v>1160.4568665555701</v>
      </c>
      <c r="J95" s="18">
        <v>2493.5431334444202</v>
      </c>
      <c r="K95" s="22">
        <v>0</v>
      </c>
      <c r="L95" s="22" t="str">
        <f t="shared" si="1"/>
        <v>45839, 1, 4</v>
      </c>
    </row>
    <row r="96" spans="1:12">
      <c r="A96" s="9">
        <v>45839</v>
      </c>
      <c r="B96">
        <v>1</v>
      </c>
      <c r="C96" s="16" t="s">
        <v>37</v>
      </c>
      <c r="D96">
        <v>5</v>
      </c>
      <c r="E96" s="16" t="s">
        <v>43</v>
      </c>
      <c r="F96" s="18">
        <v>2310</v>
      </c>
      <c r="G96" s="22">
        <v>110</v>
      </c>
      <c r="H96" s="18">
        <v>6.1374305555555502</v>
      </c>
      <c r="I96" s="18">
        <v>675.11736111111099</v>
      </c>
      <c r="J96" s="18">
        <v>1634.8826388888799</v>
      </c>
      <c r="K96" s="22">
        <v>0</v>
      </c>
      <c r="L96" s="22" t="str">
        <f t="shared" si="1"/>
        <v>45839, 1, 5</v>
      </c>
    </row>
    <row r="97" spans="1:12">
      <c r="A97" s="9">
        <v>45839</v>
      </c>
      <c r="B97">
        <v>1</v>
      </c>
      <c r="C97" s="16" t="s">
        <v>37</v>
      </c>
      <c r="D97">
        <v>6</v>
      </c>
      <c r="E97" s="16" t="s">
        <v>44</v>
      </c>
      <c r="F97" s="18">
        <v>2668</v>
      </c>
      <c r="G97" s="22">
        <v>116</v>
      </c>
      <c r="H97" s="18">
        <v>4.6430059336875003</v>
      </c>
      <c r="I97" s="18">
        <v>538.58868830774998</v>
      </c>
      <c r="J97" s="18">
        <v>2129.4113116922499</v>
      </c>
      <c r="K97" s="22">
        <v>0</v>
      </c>
      <c r="L97" s="22" t="str">
        <f t="shared" si="1"/>
        <v>45839, 1, 6</v>
      </c>
    </row>
    <row r="98" spans="1:12">
      <c r="A98" s="9">
        <v>45839</v>
      </c>
      <c r="B98">
        <v>1</v>
      </c>
      <c r="C98" s="16" t="s">
        <v>37</v>
      </c>
      <c r="D98">
        <v>7</v>
      </c>
      <c r="E98" s="16" t="s">
        <v>45</v>
      </c>
      <c r="F98" s="18">
        <v>2005.5</v>
      </c>
      <c r="G98" s="22">
        <v>191</v>
      </c>
      <c r="H98" s="18">
        <v>2.7952938949999999</v>
      </c>
      <c r="I98" s="18">
        <v>533.90113394499997</v>
      </c>
      <c r="J98" s="18">
        <v>1471.5988660549999</v>
      </c>
      <c r="K98" s="22">
        <v>0</v>
      </c>
      <c r="L98" s="22" t="str">
        <f t="shared" si="1"/>
        <v>45839, 1, 7</v>
      </c>
    </row>
    <row r="99" spans="1:12">
      <c r="A99" s="9">
        <v>45839</v>
      </c>
      <c r="B99">
        <v>1</v>
      </c>
      <c r="C99" s="16" t="s">
        <v>37</v>
      </c>
      <c r="D99">
        <v>8</v>
      </c>
      <c r="E99" s="16" t="s">
        <v>46</v>
      </c>
      <c r="F99" s="18">
        <v>1162.5</v>
      </c>
      <c r="G99" s="22">
        <v>93</v>
      </c>
      <c r="H99" s="18">
        <v>0.67529167743589702</v>
      </c>
      <c r="I99" s="18">
        <v>62.802126001538397</v>
      </c>
      <c r="J99" s="18">
        <v>1099.69787399846</v>
      </c>
      <c r="K99" s="22">
        <v>0</v>
      </c>
      <c r="L99" s="22" t="str">
        <f t="shared" si="1"/>
        <v>45839, 1, 8</v>
      </c>
    </row>
    <row r="100" spans="1:12">
      <c r="A100" s="9">
        <v>45839</v>
      </c>
      <c r="B100">
        <v>1</v>
      </c>
      <c r="C100" s="16" t="s">
        <v>37</v>
      </c>
      <c r="D100">
        <v>9</v>
      </c>
      <c r="E100" s="16" t="s">
        <v>47</v>
      </c>
      <c r="F100" s="18">
        <v>2673</v>
      </c>
      <c r="G100" s="22">
        <v>54</v>
      </c>
      <c r="H100" s="18">
        <v>17.499866750713601</v>
      </c>
      <c r="I100" s="18">
        <v>944.99280453853396</v>
      </c>
      <c r="J100" s="18">
        <v>1728.00719546146</v>
      </c>
      <c r="K100" s="22">
        <v>0</v>
      </c>
      <c r="L100" s="22" t="str">
        <f t="shared" si="1"/>
        <v>45839, 1, 9</v>
      </c>
    </row>
    <row r="101" spans="1:12">
      <c r="A101" s="9">
        <v>45839</v>
      </c>
      <c r="B101">
        <v>1</v>
      </c>
      <c r="C101" s="16" t="s">
        <v>37</v>
      </c>
      <c r="D101">
        <v>10</v>
      </c>
      <c r="E101" s="16" t="s">
        <v>57</v>
      </c>
      <c r="F101" s="18">
        <v>1470</v>
      </c>
      <c r="G101" s="22">
        <v>105</v>
      </c>
      <c r="H101" s="18">
        <v>1.84265285284705</v>
      </c>
      <c r="I101" s="18">
        <v>193.478549548941</v>
      </c>
      <c r="J101" s="18">
        <v>1276.52145045105</v>
      </c>
      <c r="K101" s="22">
        <v>0</v>
      </c>
      <c r="L101" s="22" t="str">
        <f t="shared" si="1"/>
        <v>45839, 1, 10</v>
      </c>
    </row>
    <row r="102" spans="1:12">
      <c r="A102" s="9">
        <v>45839</v>
      </c>
      <c r="B102">
        <v>1</v>
      </c>
      <c r="C102" s="16" t="s">
        <v>37</v>
      </c>
      <c r="D102">
        <v>11</v>
      </c>
      <c r="E102" s="16" t="s">
        <v>48</v>
      </c>
      <c r="F102" s="18">
        <v>4893</v>
      </c>
      <c r="G102" s="22">
        <v>233</v>
      </c>
      <c r="H102" s="18">
        <v>1.9785694861111101</v>
      </c>
      <c r="I102" s="18">
        <v>461.006690263888</v>
      </c>
      <c r="J102" s="18">
        <v>4431.9933097361099</v>
      </c>
      <c r="K102" s="22">
        <v>0</v>
      </c>
      <c r="L102" s="22" t="str">
        <f t="shared" si="1"/>
        <v>45839, 1, 11</v>
      </c>
    </row>
    <row r="103" spans="1:12">
      <c r="A103" s="9">
        <v>45839</v>
      </c>
      <c r="B103">
        <v>1</v>
      </c>
      <c r="C103" s="16" t="s">
        <v>37</v>
      </c>
      <c r="D103">
        <v>12</v>
      </c>
      <c r="E103" s="16" t="s">
        <v>49</v>
      </c>
      <c r="F103" s="18">
        <v>3608</v>
      </c>
      <c r="G103" s="22">
        <v>164</v>
      </c>
      <c r="H103" s="18">
        <v>2.49000646789285</v>
      </c>
      <c r="I103" s="18">
        <v>408.36106073442801</v>
      </c>
      <c r="J103" s="18">
        <v>3199.6389392655701</v>
      </c>
      <c r="K103" s="22">
        <v>0</v>
      </c>
      <c r="L103" s="22" t="str">
        <f t="shared" si="1"/>
        <v>45839, 1, 12</v>
      </c>
    </row>
    <row r="104" spans="1:12">
      <c r="A104" s="9">
        <v>45839</v>
      </c>
      <c r="B104">
        <v>1</v>
      </c>
      <c r="C104" s="16" t="s">
        <v>37</v>
      </c>
      <c r="D104">
        <v>13</v>
      </c>
      <c r="E104" s="16" t="s">
        <v>50</v>
      </c>
      <c r="F104" s="18">
        <v>2921</v>
      </c>
      <c r="G104" s="22">
        <v>127</v>
      </c>
      <c r="H104" s="18">
        <v>6.6589931</v>
      </c>
      <c r="I104" s="18">
        <v>845.69212370000002</v>
      </c>
      <c r="J104" s="18">
        <v>2075.3078762999999</v>
      </c>
      <c r="K104" s="22">
        <v>0</v>
      </c>
      <c r="L104" s="22" t="str">
        <f t="shared" si="1"/>
        <v>45839, 1, 13</v>
      </c>
    </row>
    <row r="105" spans="1:12">
      <c r="A105" s="9">
        <v>45839</v>
      </c>
      <c r="B105">
        <v>1</v>
      </c>
      <c r="C105" s="16" t="s">
        <v>37</v>
      </c>
      <c r="D105">
        <v>14</v>
      </c>
      <c r="E105" s="16" t="s">
        <v>51</v>
      </c>
      <c r="F105" s="18">
        <v>3528</v>
      </c>
      <c r="G105" s="22">
        <v>126</v>
      </c>
      <c r="H105" s="18">
        <v>4.5238532085972203</v>
      </c>
      <c r="I105" s="18">
        <v>570.00550428325005</v>
      </c>
      <c r="J105" s="18">
        <v>2957.9944957167399</v>
      </c>
      <c r="K105" s="22">
        <v>0</v>
      </c>
      <c r="L105" s="22" t="str">
        <f t="shared" si="1"/>
        <v>45839, 1, 14</v>
      </c>
    </row>
    <row r="106" spans="1:12">
      <c r="A106" s="9">
        <v>45839</v>
      </c>
      <c r="B106">
        <v>1</v>
      </c>
      <c r="C106" s="16" t="s">
        <v>37</v>
      </c>
      <c r="D106">
        <v>15</v>
      </c>
      <c r="E106" s="16" t="s">
        <v>52</v>
      </c>
      <c r="F106" s="18">
        <v>3700</v>
      </c>
      <c r="G106" s="22">
        <v>148</v>
      </c>
      <c r="H106" s="18">
        <v>2.7700084676666599</v>
      </c>
      <c r="I106" s="18">
        <v>409.96125321466599</v>
      </c>
      <c r="J106" s="18">
        <v>3290.0387467853302</v>
      </c>
      <c r="K106" s="22">
        <v>0</v>
      </c>
      <c r="L106" s="22" t="str">
        <f t="shared" si="1"/>
        <v>45839, 1, 15</v>
      </c>
    </row>
    <row r="107" spans="1:12">
      <c r="A107" s="9">
        <v>45839</v>
      </c>
      <c r="B107">
        <v>1</v>
      </c>
      <c r="C107" s="16" t="s">
        <v>37</v>
      </c>
      <c r="D107">
        <v>16</v>
      </c>
      <c r="E107" s="16" t="s">
        <v>53</v>
      </c>
      <c r="F107" s="18">
        <v>981</v>
      </c>
      <c r="G107" s="22">
        <v>109</v>
      </c>
      <c r="H107" s="18">
        <v>1.52294917439814</v>
      </c>
      <c r="I107" s="18">
        <v>166.00146000939799</v>
      </c>
      <c r="J107" s="18">
        <v>814.99853999060099</v>
      </c>
      <c r="K107" s="22">
        <v>0</v>
      </c>
      <c r="L107" s="22" t="str">
        <f t="shared" si="1"/>
        <v>45839, 1, 16</v>
      </c>
    </row>
    <row r="108" spans="1:12">
      <c r="A108" s="9">
        <v>45839</v>
      </c>
      <c r="B108">
        <v>1</v>
      </c>
      <c r="C108" s="16" t="s">
        <v>37</v>
      </c>
      <c r="D108">
        <v>17</v>
      </c>
      <c r="E108" s="16" t="s">
        <v>54</v>
      </c>
      <c r="F108" s="18">
        <v>1208</v>
      </c>
      <c r="G108" s="22">
        <v>151</v>
      </c>
      <c r="H108" s="18">
        <v>1.36633592805555</v>
      </c>
      <c r="I108" s="18">
        <v>206.31672513638799</v>
      </c>
      <c r="J108" s="18">
        <v>1001.68327486361</v>
      </c>
      <c r="K108" s="22">
        <v>0</v>
      </c>
      <c r="L108" s="22" t="str">
        <f t="shared" si="1"/>
        <v>45839, 1, 17</v>
      </c>
    </row>
    <row r="109" spans="1:12">
      <c r="A109" s="9">
        <v>45839</v>
      </c>
      <c r="B109">
        <v>1</v>
      </c>
      <c r="C109" s="16" t="s">
        <v>37</v>
      </c>
      <c r="D109">
        <v>18</v>
      </c>
      <c r="E109" s="16" t="s">
        <v>55</v>
      </c>
      <c r="F109" s="18">
        <v>3619</v>
      </c>
      <c r="G109" s="22">
        <v>154</v>
      </c>
      <c r="H109" s="18">
        <v>5.5816531815000001</v>
      </c>
      <c r="I109" s="18">
        <v>859.57458995100001</v>
      </c>
      <c r="J109" s="18">
        <v>2759.4254100490002</v>
      </c>
      <c r="K109" s="22">
        <v>0</v>
      </c>
      <c r="L109" s="22" t="str">
        <f t="shared" si="1"/>
        <v>45839, 1, 18</v>
      </c>
    </row>
    <row r="110" spans="1:12">
      <c r="A110" s="9">
        <v>45870</v>
      </c>
      <c r="B110">
        <v>1</v>
      </c>
      <c r="C110" s="16" t="s">
        <v>37</v>
      </c>
      <c r="D110">
        <v>1</v>
      </c>
      <c r="E110" s="16" t="s">
        <v>38</v>
      </c>
      <c r="F110" s="18">
        <v>5170</v>
      </c>
      <c r="G110" s="22">
        <v>235</v>
      </c>
      <c r="H110" s="18">
        <v>3.8948153409090902</v>
      </c>
      <c r="I110" s="18">
        <v>915.28160511363603</v>
      </c>
      <c r="J110" s="18">
        <v>4254.7183948863603</v>
      </c>
      <c r="K110" s="22">
        <v>0</v>
      </c>
      <c r="L110" s="22" t="str">
        <f t="shared" si="1"/>
        <v>45870, 1, 1</v>
      </c>
    </row>
    <row r="111" spans="1:12">
      <c r="A111" s="9">
        <v>45870</v>
      </c>
      <c r="B111">
        <v>1</v>
      </c>
      <c r="C111" s="16" t="s">
        <v>37</v>
      </c>
      <c r="D111">
        <v>2</v>
      </c>
      <c r="E111" s="16" t="s">
        <v>40</v>
      </c>
      <c r="F111" s="18">
        <v>6240</v>
      </c>
      <c r="G111" s="22">
        <v>260</v>
      </c>
      <c r="H111" s="18">
        <v>6.6266414095789399</v>
      </c>
      <c r="I111" s="18">
        <v>1722.9267664905201</v>
      </c>
      <c r="J111" s="18">
        <v>4517.0732335094699</v>
      </c>
      <c r="K111" s="22">
        <v>0</v>
      </c>
      <c r="L111" s="22" t="str">
        <f t="shared" si="1"/>
        <v>45870, 1, 2</v>
      </c>
    </row>
    <row r="112" spans="1:12">
      <c r="A112" s="9">
        <v>45870</v>
      </c>
      <c r="B112">
        <v>1</v>
      </c>
      <c r="C112" s="16" t="s">
        <v>37</v>
      </c>
      <c r="D112">
        <v>3</v>
      </c>
      <c r="E112" s="16" t="s">
        <v>41</v>
      </c>
      <c r="F112" s="18">
        <v>2065.5</v>
      </c>
      <c r="G112" s="22">
        <v>81</v>
      </c>
      <c r="H112" s="18">
        <v>3.5583889091428502</v>
      </c>
      <c r="I112" s="18">
        <v>288.22950164057102</v>
      </c>
      <c r="J112" s="18">
        <v>1777.2704983594199</v>
      </c>
      <c r="K112" s="22">
        <v>0</v>
      </c>
      <c r="L112" s="22" t="str">
        <f t="shared" si="1"/>
        <v>45870, 1, 3</v>
      </c>
    </row>
    <row r="113" spans="1:12">
      <c r="A113" s="9">
        <v>45870</v>
      </c>
      <c r="B113">
        <v>1</v>
      </c>
      <c r="C113" s="16" t="s">
        <v>37</v>
      </c>
      <c r="D113">
        <v>4</v>
      </c>
      <c r="E113" s="16" t="s">
        <v>42</v>
      </c>
      <c r="F113" s="18">
        <v>3633</v>
      </c>
      <c r="G113" s="22">
        <v>173</v>
      </c>
      <c r="H113" s="18">
        <v>6.7403610751764704</v>
      </c>
      <c r="I113" s="18">
        <v>1166.08246600552</v>
      </c>
      <c r="J113" s="18">
        <v>2466.91753399447</v>
      </c>
      <c r="K113" s="22">
        <v>0</v>
      </c>
      <c r="L113" s="22" t="str">
        <f t="shared" si="1"/>
        <v>45870, 1, 4</v>
      </c>
    </row>
    <row r="114" spans="1:12">
      <c r="A114" s="9">
        <v>45870</v>
      </c>
      <c r="B114">
        <v>1</v>
      </c>
      <c r="C114" s="16" t="s">
        <v>37</v>
      </c>
      <c r="D114">
        <v>5</v>
      </c>
      <c r="E114" s="16" t="s">
        <v>43</v>
      </c>
      <c r="F114" s="18">
        <v>2121</v>
      </c>
      <c r="G114" s="22">
        <v>101</v>
      </c>
      <c r="H114" s="18">
        <v>6.2728124999999997</v>
      </c>
      <c r="I114" s="18">
        <v>633.55406249999999</v>
      </c>
      <c r="J114" s="18">
        <v>1487.4459374999999</v>
      </c>
      <c r="K114" s="22">
        <v>0</v>
      </c>
      <c r="L114" s="22" t="str">
        <f t="shared" si="1"/>
        <v>45870, 1, 5</v>
      </c>
    </row>
    <row r="115" spans="1:12">
      <c r="A115" s="9">
        <v>45870</v>
      </c>
      <c r="B115">
        <v>1</v>
      </c>
      <c r="C115" s="16" t="s">
        <v>37</v>
      </c>
      <c r="D115">
        <v>6</v>
      </c>
      <c r="E115" s="16" t="s">
        <v>44</v>
      </c>
      <c r="F115" s="18">
        <v>3151</v>
      </c>
      <c r="G115" s="22">
        <v>137</v>
      </c>
      <c r="H115" s="18">
        <v>4.6430361801153799</v>
      </c>
      <c r="I115" s="18">
        <v>636.09595667580697</v>
      </c>
      <c r="J115" s="18">
        <v>2514.9040433241898</v>
      </c>
      <c r="K115" s="22">
        <v>0</v>
      </c>
      <c r="L115" s="22" t="str">
        <f t="shared" si="1"/>
        <v>45870, 1, 6</v>
      </c>
    </row>
    <row r="116" spans="1:12">
      <c r="A116" s="9">
        <v>45870</v>
      </c>
      <c r="B116">
        <v>1</v>
      </c>
      <c r="C116" s="16" t="s">
        <v>37</v>
      </c>
      <c r="D116">
        <v>7</v>
      </c>
      <c r="E116" s="16" t="s">
        <v>45</v>
      </c>
      <c r="F116" s="18">
        <v>1879.5</v>
      </c>
      <c r="G116" s="22">
        <v>179</v>
      </c>
      <c r="H116" s="18">
        <v>2.81552690921052</v>
      </c>
      <c r="I116" s="18">
        <v>503.97931674868403</v>
      </c>
      <c r="J116" s="18">
        <v>1375.5206832513099</v>
      </c>
      <c r="K116" s="22">
        <v>0</v>
      </c>
      <c r="L116" s="22" t="str">
        <f t="shared" si="1"/>
        <v>45870, 1, 7</v>
      </c>
    </row>
    <row r="117" spans="1:12">
      <c r="A117" s="9">
        <v>45870</v>
      </c>
      <c r="B117">
        <v>1</v>
      </c>
      <c r="C117" s="16" t="s">
        <v>37</v>
      </c>
      <c r="D117">
        <v>8</v>
      </c>
      <c r="E117" s="16" t="s">
        <v>46</v>
      </c>
      <c r="F117" s="18">
        <v>1012.5</v>
      </c>
      <c r="G117" s="22">
        <v>81</v>
      </c>
      <c r="H117" s="18">
        <v>0.66351346722222204</v>
      </c>
      <c r="I117" s="18">
        <v>53.744590844999898</v>
      </c>
      <c r="J117" s="18">
        <v>958.75540915500005</v>
      </c>
      <c r="K117" s="22">
        <v>0</v>
      </c>
      <c r="L117" s="22" t="str">
        <f t="shared" si="1"/>
        <v>45870, 1, 8</v>
      </c>
    </row>
    <row r="118" spans="1:12">
      <c r="A118" s="9">
        <v>45870</v>
      </c>
      <c r="B118">
        <v>1</v>
      </c>
      <c r="C118" s="16" t="s">
        <v>37</v>
      </c>
      <c r="D118">
        <v>9</v>
      </c>
      <c r="E118" s="16" t="s">
        <v>47</v>
      </c>
      <c r="F118" s="18">
        <v>2920.5</v>
      </c>
      <c r="G118" s="22">
        <v>59</v>
      </c>
      <c r="H118" s="18">
        <v>17.754100856226401</v>
      </c>
      <c r="I118" s="18">
        <v>1047.49195051735</v>
      </c>
      <c r="J118" s="18">
        <v>1873.00804948264</v>
      </c>
      <c r="K118" s="22">
        <v>0</v>
      </c>
      <c r="L118" s="22" t="str">
        <f t="shared" si="1"/>
        <v>45870, 1, 9</v>
      </c>
    </row>
    <row r="119" spans="1:12">
      <c r="A119" s="9">
        <v>45870</v>
      </c>
      <c r="B119">
        <v>1</v>
      </c>
      <c r="C119" s="16" t="s">
        <v>37</v>
      </c>
      <c r="D119">
        <v>10</v>
      </c>
      <c r="E119" s="16" t="s">
        <v>57</v>
      </c>
      <c r="F119" s="18">
        <v>1638</v>
      </c>
      <c r="G119" s="22">
        <v>117</v>
      </c>
      <c r="H119" s="18">
        <v>1.87354787069333</v>
      </c>
      <c r="I119" s="18">
        <v>219.20510087111899</v>
      </c>
      <c r="J119" s="18">
        <v>1418.7948991288799</v>
      </c>
      <c r="K119" s="22">
        <v>0</v>
      </c>
      <c r="L119" s="22" t="str">
        <f t="shared" si="1"/>
        <v>45870, 1, 10</v>
      </c>
    </row>
    <row r="120" spans="1:12">
      <c r="A120" s="9">
        <v>45870</v>
      </c>
      <c r="B120">
        <v>1</v>
      </c>
      <c r="C120" s="16" t="s">
        <v>37</v>
      </c>
      <c r="D120">
        <v>11</v>
      </c>
      <c r="E120" s="16" t="s">
        <v>48</v>
      </c>
      <c r="F120" s="18">
        <v>4368</v>
      </c>
      <c r="G120" s="22">
        <v>208</v>
      </c>
      <c r="H120" s="18">
        <v>1.9815279374999999</v>
      </c>
      <c r="I120" s="18">
        <v>412.15781099999998</v>
      </c>
      <c r="J120" s="18">
        <v>3955.842189</v>
      </c>
      <c r="K120" s="22">
        <v>0</v>
      </c>
      <c r="L120" s="22" t="str">
        <f t="shared" si="1"/>
        <v>45870, 1, 11</v>
      </c>
    </row>
    <row r="121" spans="1:12">
      <c r="A121" s="9">
        <v>45870</v>
      </c>
      <c r="B121">
        <v>1</v>
      </c>
      <c r="C121" s="16" t="s">
        <v>37</v>
      </c>
      <c r="D121">
        <v>12</v>
      </c>
      <c r="E121" s="16" t="s">
        <v>49</v>
      </c>
      <c r="F121" s="18">
        <v>3366</v>
      </c>
      <c r="G121" s="22">
        <v>153</v>
      </c>
      <c r="H121" s="18">
        <v>2.48251243129166</v>
      </c>
      <c r="I121" s="18">
        <v>379.82440198762498</v>
      </c>
      <c r="J121" s="18">
        <v>2986.1755980123698</v>
      </c>
      <c r="K121" s="22">
        <v>0</v>
      </c>
      <c r="L121" s="22" t="str">
        <f t="shared" si="1"/>
        <v>45870, 1, 12</v>
      </c>
    </row>
    <row r="122" spans="1:12">
      <c r="A122" s="9">
        <v>45870</v>
      </c>
      <c r="B122">
        <v>1</v>
      </c>
      <c r="C122" s="16" t="s">
        <v>37</v>
      </c>
      <c r="D122">
        <v>13</v>
      </c>
      <c r="E122" s="16" t="s">
        <v>50</v>
      </c>
      <c r="F122" s="18">
        <v>2530</v>
      </c>
      <c r="G122" s="22">
        <v>110</v>
      </c>
      <c r="H122" s="18">
        <v>6.6859336842105197</v>
      </c>
      <c r="I122" s="18">
        <v>735.45270526315699</v>
      </c>
      <c r="J122" s="18">
        <v>1794.5472947368401</v>
      </c>
      <c r="K122" s="22">
        <v>0</v>
      </c>
      <c r="L122" s="22" t="str">
        <f t="shared" si="1"/>
        <v>45870, 1, 13</v>
      </c>
    </row>
    <row r="123" spans="1:12">
      <c r="A123" s="9">
        <v>45870</v>
      </c>
      <c r="B123">
        <v>1</v>
      </c>
      <c r="C123" s="16" t="s">
        <v>37</v>
      </c>
      <c r="D123">
        <v>14</v>
      </c>
      <c r="E123" s="16" t="s">
        <v>51</v>
      </c>
      <c r="F123" s="18">
        <v>2408</v>
      </c>
      <c r="G123" s="22">
        <v>86</v>
      </c>
      <c r="H123" s="18">
        <v>4.5285096944666599</v>
      </c>
      <c r="I123" s="18">
        <v>389.451833724133</v>
      </c>
      <c r="J123" s="18">
        <v>2018.54816627586</v>
      </c>
      <c r="K123" s="22">
        <v>0</v>
      </c>
      <c r="L123" s="22" t="str">
        <f t="shared" si="1"/>
        <v>45870, 1, 14</v>
      </c>
    </row>
    <row r="124" spans="1:12">
      <c r="A124" s="9">
        <v>45870</v>
      </c>
      <c r="B124">
        <v>1</v>
      </c>
      <c r="C124" s="16" t="s">
        <v>37</v>
      </c>
      <c r="D124">
        <v>15</v>
      </c>
      <c r="E124" s="16" t="s">
        <v>52</v>
      </c>
      <c r="F124" s="18">
        <v>3575</v>
      </c>
      <c r="G124" s="22">
        <v>143</v>
      </c>
      <c r="H124" s="18">
        <v>2.7906594620999998</v>
      </c>
      <c r="I124" s="18">
        <v>399.06430308030002</v>
      </c>
      <c r="J124" s="18">
        <v>3175.9356969197001</v>
      </c>
      <c r="K124" s="22">
        <v>0</v>
      </c>
      <c r="L124" s="22" t="str">
        <f t="shared" si="1"/>
        <v>45870, 1, 15</v>
      </c>
    </row>
    <row r="125" spans="1:12">
      <c r="A125" s="9">
        <v>45870</v>
      </c>
      <c r="B125">
        <v>1</v>
      </c>
      <c r="C125" s="16" t="s">
        <v>37</v>
      </c>
      <c r="D125">
        <v>16</v>
      </c>
      <c r="E125" s="16" t="s">
        <v>53</v>
      </c>
      <c r="F125" s="18">
        <v>864</v>
      </c>
      <c r="G125" s="22">
        <v>96</v>
      </c>
      <c r="H125" s="18">
        <v>1.524552105625</v>
      </c>
      <c r="I125" s="18">
        <v>146.35700213999999</v>
      </c>
      <c r="J125" s="18">
        <v>717.64299785999901</v>
      </c>
      <c r="K125" s="22">
        <v>0</v>
      </c>
      <c r="L125" s="22" t="str">
        <f t="shared" si="1"/>
        <v>45870, 1, 16</v>
      </c>
    </row>
    <row r="126" spans="1:12">
      <c r="A126" s="9">
        <v>45870</v>
      </c>
      <c r="B126">
        <v>1</v>
      </c>
      <c r="C126" s="16" t="s">
        <v>37</v>
      </c>
      <c r="D126">
        <v>17</v>
      </c>
      <c r="E126" s="16" t="s">
        <v>54</v>
      </c>
      <c r="F126" s="18">
        <v>1512</v>
      </c>
      <c r="G126" s="22">
        <v>189</v>
      </c>
      <c r="H126" s="18">
        <v>1.3739660207894699</v>
      </c>
      <c r="I126" s="18">
        <v>259.67957792920998</v>
      </c>
      <c r="J126" s="18">
        <v>1252.3204220707801</v>
      </c>
      <c r="K126" s="22">
        <v>0</v>
      </c>
      <c r="L126" s="22" t="str">
        <f t="shared" si="1"/>
        <v>45870, 1, 17</v>
      </c>
    </row>
    <row r="127" spans="1:12">
      <c r="A127" s="9">
        <v>45870</v>
      </c>
      <c r="B127">
        <v>1</v>
      </c>
      <c r="C127" s="16" t="s">
        <v>37</v>
      </c>
      <c r="D127">
        <v>18</v>
      </c>
      <c r="E127" s="16" t="s">
        <v>55</v>
      </c>
      <c r="F127" s="18">
        <v>3219.5</v>
      </c>
      <c r="G127" s="22">
        <v>137</v>
      </c>
      <c r="H127" s="18">
        <v>5.5940394639999997</v>
      </c>
      <c r="I127" s="18">
        <v>766.38340656800005</v>
      </c>
      <c r="J127" s="18">
        <v>2453.1165934320002</v>
      </c>
      <c r="K127" s="22">
        <v>0</v>
      </c>
      <c r="L127" s="22" t="str">
        <f t="shared" si="1"/>
        <v>45870, 1, 18</v>
      </c>
    </row>
    <row r="128" spans="1:12">
      <c r="A128" s="9">
        <v>45901</v>
      </c>
      <c r="B128">
        <v>1</v>
      </c>
      <c r="C128" s="16" t="s">
        <v>37</v>
      </c>
      <c r="D128">
        <v>1</v>
      </c>
      <c r="E128" s="16" t="s">
        <v>38</v>
      </c>
      <c r="F128" s="18">
        <v>5896</v>
      </c>
      <c r="G128" s="22">
        <v>268</v>
      </c>
      <c r="H128" s="18">
        <v>3.9015021153846101</v>
      </c>
      <c r="I128" s="18">
        <v>1045.6025669230701</v>
      </c>
      <c r="J128" s="18">
        <v>4850.3974330769197</v>
      </c>
      <c r="K128" s="22">
        <v>0</v>
      </c>
      <c r="L128" s="22" t="str">
        <f t="shared" si="1"/>
        <v>45901, 1, 1</v>
      </c>
    </row>
    <row r="129" spans="1:12">
      <c r="A129" s="9">
        <v>45901</v>
      </c>
      <c r="B129">
        <v>1</v>
      </c>
      <c r="C129" s="16" t="s">
        <v>37</v>
      </c>
      <c r="D129">
        <v>2</v>
      </c>
      <c r="E129" s="16" t="s">
        <v>40</v>
      </c>
      <c r="F129" s="18">
        <v>7200</v>
      </c>
      <c r="G129" s="22">
        <v>300</v>
      </c>
      <c r="H129" s="18">
        <v>6.6762722254</v>
      </c>
      <c r="I129" s="18">
        <v>2002.8816676199999</v>
      </c>
      <c r="J129" s="18">
        <v>5197.1183323799996</v>
      </c>
      <c r="K129" s="22">
        <v>0</v>
      </c>
      <c r="L129" s="22" t="str">
        <f t="shared" si="1"/>
        <v>45901, 1, 2</v>
      </c>
    </row>
    <row r="130" spans="1:12">
      <c r="A130" s="9">
        <v>45901</v>
      </c>
      <c r="B130">
        <v>1</v>
      </c>
      <c r="C130" s="16" t="s">
        <v>37</v>
      </c>
      <c r="D130">
        <v>3</v>
      </c>
      <c r="E130" s="16" t="s">
        <v>41</v>
      </c>
      <c r="F130" s="18">
        <v>3340.5</v>
      </c>
      <c r="G130" s="22">
        <v>131</v>
      </c>
      <c r="H130" s="18">
        <v>3.5661289472000002</v>
      </c>
      <c r="I130" s="18">
        <v>467.16289208320001</v>
      </c>
      <c r="J130" s="18">
        <v>2873.3371079168001</v>
      </c>
      <c r="K130" s="22">
        <v>0</v>
      </c>
      <c r="L130" s="22" t="str">
        <f t="shared" si="1"/>
        <v>45901, 1, 3</v>
      </c>
    </row>
    <row r="131" spans="1:12">
      <c r="A131" s="9">
        <v>45901</v>
      </c>
      <c r="B131">
        <v>1</v>
      </c>
      <c r="C131" s="16" t="s">
        <v>37</v>
      </c>
      <c r="D131">
        <v>4</v>
      </c>
      <c r="E131" s="16" t="s">
        <v>42</v>
      </c>
      <c r="F131" s="18">
        <v>4158</v>
      </c>
      <c r="G131" s="22">
        <v>198</v>
      </c>
      <c r="H131" s="18">
        <v>6.8844093587777699</v>
      </c>
      <c r="I131" s="18">
        <v>1363.1130530380001</v>
      </c>
      <c r="J131" s="18">
        <v>2794.8869469619899</v>
      </c>
      <c r="K131" s="22">
        <v>0</v>
      </c>
      <c r="L131" s="22" t="str">
        <f t="shared" ref="L131:L194" si="2">(A131&amp; ", "&amp; B131&amp; ", "&amp; D131)</f>
        <v>45901, 1, 4</v>
      </c>
    </row>
    <row r="132" spans="1:12">
      <c r="A132" s="9">
        <v>45901</v>
      </c>
      <c r="B132">
        <v>1</v>
      </c>
      <c r="C132" s="16" t="s">
        <v>37</v>
      </c>
      <c r="D132">
        <v>5</v>
      </c>
      <c r="E132" s="16" t="s">
        <v>43</v>
      </c>
      <c r="F132" s="18">
        <v>2709</v>
      </c>
      <c r="G132" s="22">
        <v>129</v>
      </c>
      <c r="H132" s="18">
        <v>6.5065972222222204</v>
      </c>
      <c r="I132" s="18">
        <v>839.35104166666599</v>
      </c>
      <c r="J132" s="18">
        <v>1869.64895833333</v>
      </c>
      <c r="K132" s="22">
        <v>0</v>
      </c>
      <c r="L132" s="22" t="str">
        <f t="shared" si="2"/>
        <v>45901, 1, 5</v>
      </c>
    </row>
    <row r="133" spans="1:12">
      <c r="A133" s="9">
        <v>45901</v>
      </c>
      <c r="B133">
        <v>1</v>
      </c>
      <c r="C133" s="16" t="s">
        <v>37</v>
      </c>
      <c r="D133">
        <v>6</v>
      </c>
      <c r="E133" s="16" t="s">
        <v>44</v>
      </c>
      <c r="F133" s="18">
        <v>3657</v>
      </c>
      <c r="G133" s="22">
        <v>159</v>
      </c>
      <c r="H133" s="18">
        <v>4.6325598091874998</v>
      </c>
      <c r="I133" s="18">
        <v>736.577009660812</v>
      </c>
      <c r="J133" s="18">
        <v>2920.4229903391802</v>
      </c>
      <c r="K133" s="22">
        <v>0</v>
      </c>
      <c r="L133" s="22" t="str">
        <f t="shared" si="2"/>
        <v>45901, 1, 6</v>
      </c>
    </row>
    <row r="134" spans="1:12">
      <c r="A134" s="9">
        <v>45901</v>
      </c>
      <c r="B134">
        <v>1</v>
      </c>
      <c r="C134" s="16" t="s">
        <v>37</v>
      </c>
      <c r="D134">
        <v>7</v>
      </c>
      <c r="E134" s="16" t="s">
        <v>45</v>
      </c>
      <c r="F134" s="18">
        <v>2551.5</v>
      </c>
      <c r="G134" s="22">
        <v>243</v>
      </c>
      <c r="H134" s="18">
        <v>2.8034358146590899</v>
      </c>
      <c r="I134" s="18">
        <v>681.23490296215903</v>
      </c>
      <c r="J134" s="18">
        <v>1870.26509703784</v>
      </c>
      <c r="K134" s="22">
        <v>0</v>
      </c>
      <c r="L134" s="22" t="str">
        <f t="shared" si="2"/>
        <v>45901, 1, 7</v>
      </c>
    </row>
    <row r="135" spans="1:12">
      <c r="A135" s="9">
        <v>45901</v>
      </c>
      <c r="B135">
        <v>1</v>
      </c>
      <c r="C135" s="16" t="s">
        <v>37</v>
      </c>
      <c r="D135">
        <v>8</v>
      </c>
      <c r="E135" s="16" t="s">
        <v>46</v>
      </c>
      <c r="F135" s="18">
        <v>1362.5</v>
      </c>
      <c r="G135" s="22">
        <v>109</v>
      </c>
      <c r="H135" s="18">
        <v>0.66967666476190402</v>
      </c>
      <c r="I135" s="18">
        <v>72.994756459047593</v>
      </c>
      <c r="J135" s="18">
        <v>1289.50524354095</v>
      </c>
      <c r="K135" s="22">
        <v>0</v>
      </c>
      <c r="L135" s="22" t="str">
        <f t="shared" si="2"/>
        <v>45901, 1, 8</v>
      </c>
    </row>
    <row r="136" spans="1:12">
      <c r="A136" s="9">
        <v>45901</v>
      </c>
      <c r="B136">
        <v>1</v>
      </c>
      <c r="C136" s="16" t="s">
        <v>37</v>
      </c>
      <c r="D136">
        <v>9</v>
      </c>
      <c r="E136" s="16" t="s">
        <v>47</v>
      </c>
      <c r="F136" s="18">
        <v>4108.5</v>
      </c>
      <c r="G136" s="22">
        <v>83</v>
      </c>
      <c r="H136" s="18">
        <v>17.6923113561209</v>
      </c>
      <c r="I136" s="18">
        <v>1468.46184255804</v>
      </c>
      <c r="J136" s="18">
        <v>2640.0381574419498</v>
      </c>
      <c r="K136" s="22">
        <v>0</v>
      </c>
      <c r="L136" s="22" t="str">
        <f t="shared" si="2"/>
        <v>45901, 1, 9</v>
      </c>
    </row>
    <row r="137" spans="1:12">
      <c r="A137" s="9">
        <v>45901</v>
      </c>
      <c r="B137">
        <v>1</v>
      </c>
      <c r="C137" s="16" t="s">
        <v>37</v>
      </c>
      <c r="D137">
        <v>10</v>
      </c>
      <c r="E137" s="16" t="s">
        <v>57</v>
      </c>
      <c r="F137" s="18">
        <v>1834</v>
      </c>
      <c r="G137" s="22">
        <v>131</v>
      </c>
      <c r="H137" s="18">
        <v>1.95497823989411</v>
      </c>
      <c r="I137" s="18">
        <v>256.10214942612902</v>
      </c>
      <c r="J137" s="18">
        <v>1577.8978505738701</v>
      </c>
      <c r="K137" s="22">
        <v>0</v>
      </c>
      <c r="L137" s="22" t="str">
        <f t="shared" si="2"/>
        <v>45901, 1, 10</v>
      </c>
    </row>
    <row r="138" spans="1:12">
      <c r="A138" s="9">
        <v>45901</v>
      </c>
      <c r="B138">
        <v>1</v>
      </c>
      <c r="C138" s="16" t="s">
        <v>37</v>
      </c>
      <c r="D138">
        <v>11</v>
      </c>
      <c r="E138" s="16" t="s">
        <v>48</v>
      </c>
      <c r="F138" s="18">
        <v>5082</v>
      </c>
      <c r="G138" s="22">
        <v>242</v>
      </c>
      <c r="H138" s="18">
        <v>1.9809161</v>
      </c>
      <c r="I138" s="18">
        <v>479.38169620000002</v>
      </c>
      <c r="J138" s="18">
        <v>4602.6183037999999</v>
      </c>
      <c r="K138" s="22">
        <v>0</v>
      </c>
      <c r="L138" s="22" t="str">
        <f t="shared" si="2"/>
        <v>45901, 1, 11</v>
      </c>
    </row>
    <row r="139" spans="1:12">
      <c r="A139" s="9">
        <v>45901</v>
      </c>
      <c r="B139">
        <v>1</v>
      </c>
      <c r="C139" s="16" t="s">
        <v>37</v>
      </c>
      <c r="D139">
        <v>12</v>
      </c>
      <c r="E139" s="16" t="s">
        <v>49</v>
      </c>
      <c r="F139" s="18">
        <v>4114</v>
      </c>
      <c r="G139" s="22">
        <v>187</v>
      </c>
      <c r="H139" s="18">
        <v>2.5151164976071398</v>
      </c>
      <c r="I139" s="18">
        <v>470.326785052535</v>
      </c>
      <c r="J139" s="18">
        <v>3643.6732149474601</v>
      </c>
      <c r="K139" s="22">
        <v>0</v>
      </c>
      <c r="L139" s="22" t="str">
        <f t="shared" si="2"/>
        <v>45901, 1, 12</v>
      </c>
    </row>
    <row r="140" spans="1:12">
      <c r="A140" s="9">
        <v>45901</v>
      </c>
      <c r="B140">
        <v>1</v>
      </c>
      <c r="C140" s="16" t="s">
        <v>37</v>
      </c>
      <c r="D140">
        <v>13</v>
      </c>
      <c r="E140" s="16" t="s">
        <v>50</v>
      </c>
      <c r="F140" s="18">
        <v>3657</v>
      </c>
      <c r="G140" s="22">
        <v>159</v>
      </c>
      <c r="H140" s="18">
        <v>6.7428827499999997</v>
      </c>
      <c r="I140" s="18">
        <v>1072.1183572499999</v>
      </c>
      <c r="J140" s="18">
        <v>2584.8816427500001</v>
      </c>
      <c r="K140" s="22">
        <v>0</v>
      </c>
      <c r="L140" s="22" t="str">
        <f t="shared" si="2"/>
        <v>45901, 1, 13</v>
      </c>
    </row>
    <row r="141" spans="1:12">
      <c r="A141" s="9">
        <v>45901</v>
      </c>
      <c r="B141">
        <v>1</v>
      </c>
      <c r="C141" s="16" t="s">
        <v>37</v>
      </c>
      <c r="D141">
        <v>14</v>
      </c>
      <c r="E141" s="16" t="s">
        <v>51</v>
      </c>
      <c r="F141" s="18">
        <v>3836</v>
      </c>
      <c r="G141" s="22">
        <v>137</v>
      </c>
      <c r="H141" s="18">
        <v>4.5274365411666597</v>
      </c>
      <c r="I141" s="18">
        <v>620.25880613983304</v>
      </c>
      <c r="J141" s="18">
        <v>3215.7411938601599</v>
      </c>
      <c r="K141" s="22">
        <v>0</v>
      </c>
      <c r="L141" s="22" t="str">
        <f t="shared" si="2"/>
        <v>45901, 1, 14</v>
      </c>
    </row>
    <row r="142" spans="1:12">
      <c r="A142" s="9">
        <v>45901</v>
      </c>
      <c r="B142">
        <v>1</v>
      </c>
      <c r="C142" s="16" t="s">
        <v>37</v>
      </c>
      <c r="D142">
        <v>15</v>
      </c>
      <c r="E142" s="16" t="s">
        <v>52</v>
      </c>
      <c r="F142" s="18">
        <v>4175</v>
      </c>
      <c r="G142" s="22">
        <v>167</v>
      </c>
      <c r="H142" s="18">
        <v>2.8085700459166598</v>
      </c>
      <c r="I142" s="18">
        <v>469.031197668083</v>
      </c>
      <c r="J142" s="18">
        <v>3705.96880233191</v>
      </c>
      <c r="K142" s="22">
        <v>0</v>
      </c>
      <c r="L142" s="22" t="str">
        <f t="shared" si="2"/>
        <v>45901, 1, 15</v>
      </c>
    </row>
    <row r="143" spans="1:12">
      <c r="A143" s="9">
        <v>45901</v>
      </c>
      <c r="B143">
        <v>1</v>
      </c>
      <c r="C143" s="16" t="s">
        <v>37</v>
      </c>
      <c r="D143">
        <v>16</v>
      </c>
      <c r="E143" s="16" t="s">
        <v>53</v>
      </c>
      <c r="F143" s="18">
        <v>1521</v>
      </c>
      <c r="G143" s="22">
        <v>169</v>
      </c>
      <c r="H143" s="18">
        <v>1.53258372311403</v>
      </c>
      <c r="I143" s="18">
        <v>259.00664920627099</v>
      </c>
      <c r="J143" s="18">
        <v>1261.9933507937201</v>
      </c>
      <c r="K143" s="22">
        <v>0</v>
      </c>
      <c r="L143" s="22" t="str">
        <f t="shared" si="2"/>
        <v>45901, 1, 16</v>
      </c>
    </row>
    <row r="144" spans="1:12">
      <c r="A144" s="9">
        <v>45901</v>
      </c>
      <c r="B144">
        <v>1</v>
      </c>
      <c r="C144" s="16" t="s">
        <v>37</v>
      </c>
      <c r="D144">
        <v>17</v>
      </c>
      <c r="E144" s="16" t="s">
        <v>54</v>
      </c>
      <c r="F144" s="18">
        <v>1664</v>
      </c>
      <c r="G144" s="22">
        <v>208</v>
      </c>
      <c r="H144" s="18">
        <v>1.3759811747499999</v>
      </c>
      <c r="I144" s="18">
        <v>286.20408434799998</v>
      </c>
      <c r="J144" s="18">
        <v>1377.7959156520001</v>
      </c>
      <c r="K144" s="22">
        <v>0</v>
      </c>
      <c r="L144" s="22" t="str">
        <f t="shared" si="2"/>
        <v>45901, 1, 17</v>
      </c>
    </row>
    <row r="145" spans="1:12">
      <c r="A145" s="9">
        <v>45901</v>
      </c>
      <c r="B145">
        <v>1</v>
      </c>
      <c r="C145" s="16" t="s">
        <v>37</v>
      </c>
      <c r="D145">
        <v>18</v>
      </c>
      <c r="E145" s="16" t="s">
        <v>55</v>
      </c>
      <c r="F145" s="18">
        <v>3548.5</v>
      </c>
      <c r="G145" s="22">
        <v>151</v>
      </c>
      <c r="H145" s="18">
        <v>5.6210114249305496</v>
      </c>
      <c r="I145" s="18">
        <v>848.77272516451296</v>
      </c>
      <c r="J145" s="18">
        <v>2699.7272748354799</v>
      </c>
      <c r="K145" s="22">
        <v>0</v>
      </c>
      <c r="L145" s="22" t="str">
        <f t="shared" si="2"/>
        <v>45901, 1, 18</v>
      </c>
    </row>
    <row r="146" spans="1:12">
      <c r="A146" s="9">
        <v>45931</v>
      </c>
      <c r="B146">
        <v>1</v>
      </c>
      <c r="C146" s="16" t="s">
        <v>37</v>
      </c>
      <c r="D146">
        <v>1</v>
      </c>
      <c r="E146" s="16" t="s">
        <v>38</v>
      </c>
      <c r="F146" s="18">
        <v>7128</v>
      </c>
      <c r="G146" s="22">
        <v>324</v>
      </c>
      <c r="H146" s="18">
        <v>3.9063116249999998</v>
      </c>
      <c r="I146" s="18">
        <v>1265.6449665</v>
      </c>
      <c r="J146" s="18">
        <v>5862.3550335</v>
      </c>
      <c r="K146" s="22">
        <v>0</v>
      </c>
      <c r="L146" s="22" t="str">
        <f t="shared" si="2"/>
        <v>45931, 1, 1</v>
      </c>
    </row>
    <row r="147" spans="1:12">
      <c r="A147" s="9">
        <v>45931</v>
      </c>
      <c r="B147">
        <v>1</v>
      </c>
      <c r="C147" s="16" t="s">
        <v>37</v>
      </c>
      <c r="D147">
        <v>2</v>
      </c>
      <c r="E147" s="16" t="s">
        <v>40</v>
      </c>
      <c r="F147" s="18">
        <v>7464</v>
      </c>
      <c r="G147" s="22">
        <v>311</v>
      </c>
      <c r="H147" s="18">
        <v>6.71431193942857</v>
      </c>
      <c r="I147" s="18">
        <v>2088.1510131622799</v>
      </c>
      <c r="J147" s="18">
        <v>5375.8489868377101</v>
      </c>
      <c r="K147" s="22">
        <v>0</v>
      </c>
      <c r="L147" s="22" t="str">
        <f t="shared" si="2"/>
        <v>45931, 1, 2</v>
      </c>
    </row>
    <row r="148" spans="1:12">
      <c r="A148" s="9">
        <v>45931</v>
      </c>
      <c r="B148">
        <v>1</v>
      </c>
      <c r="C148" s="16" t="s">
        <v>37</v>
      </c>
      <c r="D148">
        <v>3</v>
      </c>
      <c r="E148" s="16" t="s">
        <v>41</v>
      </c>
      <c r="F148" s="18">
        <v>4029</v>
      </c>
      <c r="G148" s="22">
        <v>158</v>
      </c>
      <c r="H148" s="18">
        <v>3.5961377584999998</v>
      </c>
      <c r="I148" s="18">
        <v>568.18976584300003</v>
      </c>
      <c r="J148" s="18">
        <v>3460.8102341570002</v>
      </c>
      <c r="K148" s="22">
        <v>0</v>
      </c>
      <c r="L148" s="22" t="str">
        <f t="shared" si="2"/>
        <v>45931, 1, 3</v>
      </c>
    </row>
    <row r="149" spans="1:12">
      <c r="A149" s="9">
        <v>45931</v>
      </c>
      <c r="B149">
        <v>1</v>
      </c>
      <c r="C149" s="16" t="s">
        <v>37</v>
      </c>
      <c r="D149">
        <v>4</v>
      </c>
      <c r="E149" s="16" t="s">
        <v>42</v>
      </c>
      <c r="F149" s="18">
        <v>4767</v>
      </c>
      <c r="G149" s="22">
        <v>227</v>
      </c>
      <c r="H149" s="18">
        <v>7.0633163543000004</v>
      </c>
      <c r="I149" s="18">
        <v>1603.3728124260999</v>
      </c>
      <c r="J149" s="18">
        <v>3163.6271875738998</v>
      </c>
      <c r="K149" s="22">
        <v>0</v>
      </c>
      <c r="L149" s="22" t="str">
        <f t="shared" si="2"/>
        <v>45931, 1, 4</v>
      </c>
    </row>
    <row r="150" spans="1:12">
      <c r="A150" s="9">
        <v>45931</v>
      </c>
      <c r="B150">
        <v>1</v>
      </c>
      <c r="C150" s="16" t="s">
        <v>37</v>
      </c>
      <c r="D150">
        <v>5</v>
      </c>
      <c r="E150" s="16" t="s">
        <v>43</v>
      </c>
      <c r="F150" s="18">
        <v>2961</v>
      </c>
      <c r="G150" s="22">
        <v>141</v>
      </c>
      <c r="H150" s="18">
        <v>6.7021527777777701</v>
      </c>
      <c r="I150" s="18">
        <v>945.00354166666602</v>
      </c>
      <c r="J150" s="18">
        <v>2015.9964583333301</v>
      </c>
      <c r="K150" s="22">
        <v>0</v>
      </c>
      <c r="L150" s="22" t="str">
        <f t="shared" si="2"/>
        <v>45931, 1, 5</v>
      </c>
    </row>
    <row r="151" spans="1:12">
      <c r="A151" s="9">
        <v>45931</v>
      </c>
      <c r="B151">
        <v>1</v>
      </c>
      <c r="C151" s="16" t="s">
        <v>37</v>
      </c>
      <c r="D151">
        <v>6</v>
      </c>
      <c r="E151" s="16" t="s">
        <v>44</v>
      </c>
      <c r="F151" s="18">
        <v>4140</v>
      </c>
      <c r="G151" s="22">
        <v>180</v>
      </c>
      <c r="H151" s="18">
        <v>4.6684611902352904</v>
      </c>
      <c r="I151" s="18">
        <v>840.32301424235197</v>
      </c>
      <c r="J151" s="18">
        <v>3299.6769857576401</v>
      </c>
      <c r="K151" s="22">
        <v>0</v>
      </c>
      <c r="L151" s="22" t="str">
        <f t="shared" si="2"/>
        <v>45931, 1, 6</v>
      </c>
    </row>
    <row r="152" spans="1:12">
      <c r="A152" s="9">
        <v>45931</v>
      </c>
      <c r="B152">
        <v>1</v>
      </c>
      <c r="C152" s="16" t="s">
        <v>37</v>
      </c>
      <c r="D152">
        <v>7</v>
      </c>
      <c r="E152" s="16" t="s">
        <v>45</v>
      </c>
      <c r="F152" s="18">
        <v>2646</v>
      </c>
      <c r="G152" s="22">
        <v>252</v>
      </c>
      <c r="H152" s="18">
        <v>2.8169073859090901</v>
      </c>
      <c r="I152" s="18">
        <v>709.86066124908996</v>
      </c>
      <c r="J152" s="18">
        <v>1936.1393387508999</v>
      </c>
      <c r="K152" s="22">
        <v>0</v>
      </c>
      <c r="L152" s="22" t="str">
        <f t="shared" si="2"/>
        <v>45931, 1, 7</v>
      </c>
    </row>
    <row r="153" spans="1:12">
      <c r="A153" s="9">
        <v>45931</v>
      </c>
      <c r="B153">
        <v>1</v>
      </c>
      <c r="C153" s="16" t="s">
        <v>37</v>
      </c>
      <c r="D153">
        <v>8</v>
      </c>
      <c r="E153" s="16" t="s">
        <v>46</v>
      </c>
      <c r="F153" s="18">
        <v>1850</v>
      </c>
      <c r="G153" s="22">
        <v>148</v>
      </c>
      <c r="H153" s="18">
        <v>0.676714795897435</v>
      </c>
      <c r="I153" s="18">
        <v>100.15378979282001</v>
      </c>
      <c r="J153" s="18">
        <v>1749.8462102071701</v>
      </c>
      <c r="K153" s="22">
        <v>0</v>
      </c>
      <c r="L153" s="22" t="str">
        <f t="shared" si="2"/>
        <v>45931, 1, 8</v>
      </c>
    </row>
    <row r="154" spans="1:12">
      <c r="A154" s="9">
        <v>45931</v>
      </c>
      <c r="B154">
        <v>1</v>
      </c>
      <c r="C154" s="16" t="s">
        <v>37</v>
      </c>
      <c r="D154">
        <v>9</v>
      </c>
      <c r="E154" s="16" t="s">
        <v>47</v>
      </c>
      <c r="F154" s="18">
        <v>4702.5</v>
      </c>
      <c r="G154" s="22">
        <v>95</v>
      </c>
      <c r="H154" s="18">
        <v>17.916880490180599</v>
      </c>
      <c r="I154" s="18">
        <v>1702.10364656716</v>
      </c>
      <c r="J154" s="18">
        <v>3000.39635343283</v>
      </c>
      <c r="K154" s="22">
        <v>0</v>
      </c>
      <c r="L154" s="22" t="str">
        <f t="shared" si="2"/>
        <v>45931, 1, 9</v>
      </c>
    </row>
    <row r="155" spans="1:12">
      <c r="A155" s="9">
        <v>45931</v>
      </c>
      <c r="B155">
        <v>1</v>
      </c>
      <c r="C155" s="16" t="s">
        <v>37</v>
      </c>
      <c r="D155">
        <v>10</v>
      </c>
      <c r="E155" s="16" t="s">
        <v>57</v>
      </c>
      <c r="F155" s="18">
        <v>1848</v>
      </c>
      <c r="G155" s="22">
        <v>132</v>
      </c>
      <c r="H155" s="18">
        <v>2.0828668967000001</v>
      </c>
      <c r="I155" s="18">
        <v>274.93843036440001</v>
      </c>
      <c r="J155" s="18">
        <v>1573.0615696356001</v>
      </c>
      <c r="K155" s="22">
        <v>0</v>
      </c>
      <c r="L155" s="22" t="str">
        <f t="shared" si="2"/>
        <v>45931, 1, 10</v>
      </c>
    </row>
    <row r="156" spans="1:12">
      <c r="A156" s="9">
        <v>45931</v>
      </c>
      <c r="B156">
        <v>1</v>
      </c>
      <c r="C156" s="16" t="s">
        <v>37</v>
      </c>
      <c r="D156">
        <v>11</v>
      </c>
      <c r="E156" s="16" t="s">
        <v>48</v>
      </c>
      <c r="F156" s="18">
        <v>5796</v>
      </c>
      <c r="G156" s="22">
        <v>276</v>
      </c>
      <c r="H156" s="18">
        <v>1.9916442875</v>
      </c>
      <c r="I156" s="18">
        <v>549.69382335</v>
      </c>
      <c r="J156" s="18">
        <v>5246.3061766500005</v>
      </c>
      <c r="K156" s="22">
        <v>0</v>
      </c>
      <c r="L156" s="22" t="str">
        <f t="shared" si="2"/>
        <v>45931, 1, 11</v>
      </c>
    </row>
    <row r="157" spans="1:12">
      <c r="A157" s="9">
        <v>45931</v>
      </c>
      <c r="B157">
        <v>1</v>
      </c>
      <c r="C157" s="16" t="s">
        <v>37</v>
      </c>
      <c r="D157">
        <v>12</v>
      </c>
      <c r="E157" s="16" t="s">
        <v>49</v>
      </c>
      <c r="F157" s="18">
        <v>3960</v>
      </c>
      <c r="G157" s="22">
        <v>180</v>
      </c>
      <c r="H157" s="18">
        <v>2.5347802991153801</v>
      </c>
      <c r="I157" s="18">
        <v>456.260453840769</v>
      </c>
      <c r="J157" s="18">
        <v>3503.73954615923</v>
      </c>
      <c r="K157" s="22">
        <v>0</v>
      </c>
      <c r="L157" s="22" t="str">
        <f t="shared" si="2"/>
        <v>45931, 1, 12</v>
      </c>
    </row>
    <row r="158" spans="1:12">
      <c r="A158" s="9">
        <v>45931</v>
      </c>
      <c r="B158">
        <v>1</v>
      </c>
      <c r="C158" s="16" t="s">
        <v>37</v>
      </c>
      <c r="D158">
        <v>13</v>
      </c>
      <c r="E158" s="16" t="s">
        <v>50</v>
      </c>
      <c r="F158" s="18">
        <v>4554</v>
      </c>
      <c r="G158" s="22">
        <v>198</v>
      </c>
      <c r="H158" s="18">
        <v>6.7470082857142799</v>
      </c>
      <c r="I158" s="18">
        <v>1335.90764057142</v>
      </c>
      <c r="J158" s="18">
        <v>3218.09235942857</v>
      </c>
      <c r="K158" s="22">
        <v>0</v>
      </c>
      <c r="L158" s="22" t="str">
        <f t="shared" si="2"/>
        <v>45931, 1, 13</v>
      </c>
    </row>
    <row r="159" spans="1:12">
      <c r="A159" s="9">
        <v>45931</v>
      </c>
      <c r="B159">
        <v>1</v>
      </c>
      <c r="C159" s="16" t="s">
        <v>37</v>
      </c>
      <c r="D159">
        <v>14</v>
      </c>
      <c r="E159" s="16" t="s">
        <v>51</v>
      </c>
      <c r="F159" s="18">
        <v>5628</v>
      </c>
      <c r="G159" s="22">
        <v>201</v>
      </c>
      <c r="H159" s="18">
        <v>4.5476168008194398</v>
      </c>
      <c r="I159" s="18">
        <v>914.07097696470805</v>
      </c>
      <c r="J159" s="18">
        <v>4713.9290230352899</v>
      </c>
      <c r="K159" s="22">
        <v>0</v>
      </c>
      <c r="L159" s="22" t="str">
        <f t="shared" si="2"/>
        <v>45931, 1, 14</v>
      </c>
    </row>
    <row r="160" spans="1:12">
      <c r="A160" s="9">
        <v>45931</v>
      </c>
      <c r="B160">
        <v>1</v>
      </c>
      <c r="C160" s="16" t="s">
        <v>37</v>
      </c>
      <c r="D160">
        <v>15</v>
      </c>
      <c r="E160" s="16" t="s">
        <v>52</v>
      </c>
      <c r="F160" s="18">
        <v>4000</v>
      </c>
      <c r="G160" s="22">
        <v>160</v>
      </c>
      <c r="H160" s="18">
        <v>2.8302936181666598</v>
      </c>
      <c r="I160" s="18">
        <v>452.84697890666598</v>
      </c>
      <c r="J160" s="18">
        <v>3547.1530210933302</v>
      </c>
      <c r="K160" s="22">
        <v>0</v>
      </c>
      <c r="L160" s="22" t="str">
        <f t="shared" si="2"/>
        <v>45931, 1, 15</v>
      </c>
    </row>
    <row r="161" spans="1:12">
      <c r="A161" s="9">
        <v>45931</v>
      </c>
      <c r="B161">
        <v>1</v>
      </c>
      <c r="C161" s="16" t="s">
        <v>37</v>
      </c>
      <c r="D161">
        <v>16</v>
      </c>
      <c r="E161" s="16" t="s">
        <v>53</v>
      </c>
      <c r="F161" s="18">
        <v>1791</v>
      </c>
      <c r="G161" s="22">
        <v>199</v>
      </c>
      <c r="H161" s="18">
        <v>1.54102833710526</v>
      </c>
      <c r="I161" s="18">
        <v>306.66463908394701</v>
      </c>
      <c r="J161" s="18">
        <v>1484.3353609160499</v>
      </c>
      <c r="K161" s="22">
        <v>0</v>
      </c>
      <c r="L161" s="22" t="str">
        <f t="shared" si="2"/>
        <v>45931, 1, 16</v>
      </c>
    </row>
    <row r="162" spans="1:12">
      <c r="A162" s="9">
        <v>45931</v>
      </c>
      <c r="B162">
        <v>1</v>
      </c>
      <c r="C162" s="16" t="s">
        <v>37</v>
      </c>
      <c r="D162">
        <v>17</v>
      </c>
      <c r="E162" s="16" t="s">
        <v>54</v>
      </c>
      <c r="F162" s="18">
        <v>1832</v>
      </c>
      <c r="G162" s="22">
        <v>229</v>
      </c>
      <c r="H162" s="18">
        <v>1.3803705045237999</v>
      </c>
      <c r="I162" s="18">
        <v>316.10484553595199</v>
      </c>
      <c r="J162" s="18">
        <v>1515.8951544640399</v>
      </c>
      <c r="K162" s="22">
        <v>0</v>
      </c>
      <c r="L162" s="22" t="str">
        <f t="shared" si="2"/>
        <v>45931, 1, 17</v>
      </c>
    </row>
    <row r="163" spans="1:12">
      <c r="A163" s="9">
        <v>45931</v>
      </c>
      <c r="B163">
        <v>1</v>
      </c>
      <c r="C163" s="16" t="s">
        <v>37</v>
      </c>
      <c r="D163">
        <v>18</v>
      </c>
      <c r="E163" s="16" t="s">
        <v>55</v>
      </c>
      <c r="F163" s="18">
        <v>3008</v>
      </c>
      <c r="G163" s="22">
        <v>128</v>
      </c>
      <c r="H163" s="18">
        <v>5.6606245737499998</v>
      </c>
      <c r="I163" s="18">
        <v>724.55994543999998</v>
      </c>
      <c r="J163" s="18">
        <v>2283.4400545600001</v>
      </c>
      <c r="K163" s="22">
        <v>0</v>
      </c>
      <c r="L163" s="22" t="str">
        <f t="shared" si="2"/>
        <v>45931, 1, 18</v>
      </c>
    </row>
    <row r="164" spans="1:12">
      <c r="A164" s="9">
        <v>45962</v>
      </c>
      <c r="B164">
        <v>1</v>
      </c>
      <c r="C164" s="16" t="s">
        <v>37</v>
      </c>
      <c r="D164">
        <v>1</v>
      </c>
      <c r="E164" s="16" t="s">
        <v>38</v>
      </c>
      <c r="F164" s="18">
        <v>5412</v>
      </c>
      <c r="G164" s="22">
        <v>246</v>
      </c>
      <c r="H164" s="18">
        <v>3.9024564772727199</v>
      </c>
      <c r="I164" s="18">
        <v>960.00429340909</v>
      </c>
      <c r="J164" s="18">
        <v>4451.9957065909002</v>
      </c>
      <c r="K164" s="22">
        <v>0</v>
      </c>
      <c r="L164" s="22" t="str">
        <f t="shared" si="2"/>
        <v>45962, 1, 1</v>
      </c>
    </row>
    <row r="165" spans="1:12">
      <c r="A165" s="9">
        <v>45962</v>
      </c>
      <c r="B165">
        <v>1</v>
      </c>
      <c r="C165" s="16" t="s">
        <v>37</v>
      </c>
      <c r="D165">
        <v>2</v>
      </c>
      <c r="E165" s="16" t="s">
        <v>40</v>
      </c>
      <c r="F165" s="18">
        <v>6192</v>
      </c>
      <c r="G165" s="22">
        <v>258</v>
      </c>
      <c r="H165" s="18">
        <v>6.7544539025555501</v>
      </c>
      <c r="I165" s="18">
        <v>1742.64910685933</v>
      </c>
      <c r="J165" s="18">
        <v>4449.3508931406604</v>
      </c>
      <c r="K165" s="22">
        <v>0</v>
      </c>
      <c r="L165" s="22" t="str">
        <f t="shared" si="2"/>
        <v>45962, 1, 2</v>
      </c>
    </row>
    <row r="166" spans="1:12">
      <c r="A166" s="9">
        <v>45962</v>
      </c>
      <c r="B166">
        <v>1</v>
      </c>
      <c r="C166" s="16" t="s">
        <v>37</v>
      </c>
      <c r="D166">
        <v>3</v>
      </c>
      <c r="E166" s="16" t="s">
        <v>41</v>
      </c>
      <c r="F166" s="18">
        <v>4309.5</v>
      </c>
      <c r="G166" s="22">
        <v>169</v>
      </c>
      <c r="H166" s="18">
        <v>3.6236431439999999</v>
      </c>
      <c r="I166" s="18">
        <v>612.39569133600003</v>
      </c>
      <c r="J166" s="18">
        <v>3697.1043086640002</v>
      </c>
      <c r="K166" s="22">
        <v>0</v>
      </c>
      <c r="L166" s="22" t="str">
        <f t="shared" si="2"/>
        <v>45962, 1, 3</v>
      </c>
    </row>
    <row r="167" spans="1:12">
      <c r="A167" s="9">
        <v>45962</v>
      </c>
      <c r="B167">
        <v>1</v>
      </c>
      <c r="C167" s="16" t="s">
        <v>37</v>
      </c>
      <c r="D167">
        <v>4</v>
      </c>
      <c r="E167" s="16" t="s">
        <v>42</v>
      </c>
      <c r="F167" s="18">
        <v>3759</v>
      </c>
      <c r="G167" s="22">
        <v>179</v>
      </c>
      <c r="H167" s="18">
        <v>7.2773111063529399</v>
      </c>
      <c r="I167" s="18">
        <v>1302.6386880371699</v>
      </c>
      <c r="J167" s="18">
        <v>2456.3613119628199</v>
      </c>
      <c r="K167" s="22">
        <v>0</v>
      </c>
      <c r="L167" s="22" t="str">
        <f t="shared" si="2"/>
        <v>45962, 1, 4</v>
      </c>
    </row>
    <row r="168" spans="1:12">
      <c r="A168" s="9">
        <v>45962</v>
      </c>
      <c r="B168">
        <v>1</v>
      </c>
      <c r="C168" s="16" t="s">
        <v>37</v>
      </c>
      <c r="D168">
        <v>5</v>
      </c>
      <c r="E168" s="16" t="s">
        <v>43</v>
      </c>
      <c r="F168" s="18">
        <v>2709</v>
      </c>
      <c r="G168" s="22">
        <v>129</v>
      </c>
      <c r="H168" s="18">
        <v>6.9457031249999996</v>
      </c>
      <c r="I168" s="18">
        <v>895.99570312499998</v>
      </c>
      <c r="J168" s="18">
        <v>1813.0042968749999</v>
      </c>
      <c r="K168" s="22">
        <v>0</v>
      </c>
      <c r="L168" s="22" t="str">
        <f t="shared" si="2"/>
        <v>45962, 1, 5</v>
      </c>
    </row>
    <row r="169" spans="1:12">
      <c r="A169" s="9">
        <v>45962</v>
      </c>
      <c r="B169">
        <v>1</v>
      </c>
      <c r="C169" s="16" t="s">
        <v>37</v>
      </c>
      <c r="D169">
        <v>6</v>
      </c>
      <c r="E169" s="16" t="s">
        <v>44</v>
      </c>
      <c r="F169" s="18">
        <v>4485</v>
      </c>
      <c r="G169" s="22">
        <v>195</v>
      </c>
      <c r="H169" s="18">
        <v>4.6335473310666604</v>
      </c>
      <c r="I169" s="18">
        <v>903.54172955800004</v>
      </c>
      <c r="J169" s="18">
        <v>3581.45827044199</v>
      </c>
      <c r="K169" s="22">
        <v>0</v>
      </c>
      <c r="L169" s="22" t="str">
        <f t="shared" si="2"/>
        <v>45962, 1, 6</v>
      </c>
    </row>
    <row r="170" spans="1:12">
      <c r="A170" s="9">
        <v>45962</v>
      </c>
      <c r="B170">
        <v>1</v>
      </c>
      <c r="C170" s="16" t="s">
        <v>37</v>
      </c>
      <c r="D170">
        <v>7</v>
      </c>
      <c r="E170" s="16" t="s">
        <v>45</v>
      </c>
      <c r="F170" s="18">
        <v>2751</v>
      </c>
      <c r="G170" s="22">
        <v>262</v>
      </c>
      <c r="H170" s="18">
        <v>2.8294376739999998</v>
      </c>
      <c r="I170" s="18">
        <v>741.31267058799995</v>
      </c>
      <c r="J170" s="18">
        <v>2009.6873294120001</v>
      </c>
      <c r="K170" s="22">
        <v>0</v>
      </c>
      <c r="L170" s="22" t="str">
        <f t="shared" si="2"/>
        <v>45962, 1, 7</v>
      </c>
    </row>
    <row r="171" spans="1:12">
      <c r="A171" s="9">
        <v>45962</v>
      </c>
      <c r="B171">
        <v>1</v>
      </c>
      <c r="C171" s="16" t="s">
        <v>37</v>
      </c>
      <c r="D171">
        <v>8</v>
      </c>
      <c r="E171" s="16" t="s">
        <v>46</v>
      </c>
      <c r="F171" s="18">
        <v>1950</v>
      </c>
      <c r="G171" s="22">
        <v>156</v>
      </c>
      <c r="H171" s="18">
        <v>0.69470796972222204</v>
      </c>
      <c r="I171" s="18">
        <v>108.374443276666</v>
      </c>
      <c r="J171" s="18">
        <v>1841.62555672333</v>
      </c>
      <c r="K171" s="22">
        <v>0</v>
      </c>
      <c r="L171" s="22" t="str">
        <f t="shared" si="2"/>
        <v>45962, 1, 8</v>
      </c>
    </row>
    <row r="172" spans="1:12">
      <c r="A172" s="9">
        <v>45962</v>
      </c>
      <c r="B172">
        <v>1</v>
      </c>
      <c r="C172" s="16" t="s">
        <v>37</v>
      </c>
      <c r="D172">
        <v>9</v>
      </c>
      <c r="E172" s="16" t="s">
        <v>47</v>
      </c>
      <c r="F172" s="18">
        <v>4752</v>
      </c>
      <c r="G172" s="22">
        <v>96</v>
      </c>
      <c r="H172" s="18">
        <v>17.970328682942501</v>
      </c>
      <c r="I172" s="18">
        <v>1725.1515535624801</v>
      </c>
      <c r="J172" s="18">
        <v>3026.8484464375201</v>
      </c>
      <c r="K172" s="22">
        <v>0</v>
      </c>
      <c r="L172" s="22" t="str">
        <f t="shared" si="2"/>
        <v>45962, 1, 9</v>
      </c>
    </row>
    <row r="173" spans="1:12">
      <c r="A173" s="9">
        <v>45962</v>
      </c>
      <c r="B173">
        <v>1</v>
      </c>
      <c r="C173" s="16" t="s">
        <v>37</v>
      </c>
      <c r="D173">
        <v>10</v>
      </c>
      <c r="E173" s="16" t="s">
        <v>57</v>
      </c>
      <c r="F173" s="18">
        <v>1540</v>
      </c>
      <c r="G173" s="22">
        <v>110</v>
      </c>
      <c r="H173" s="18">
        <v>2.2068612512799999</v>
      </c>
      <c r="I173" s="18">
        <v>242.75473764079999</v>
      </c>
      <c r="J173" s="18">
        <v>1297.2452623592001</v>
      </c>
      <c r="K173" s="22">
        <v>0</v>
      </c>
      <c r="L173" s="22" t="str">
        <f t="shared" si="2"/>
        <v>45962, 1, 10</v>
      </c>
    </row>
    <row r="174" spans="1:12">
      <c r="A174" s="9">
        <v>45962</v>
      </c>
      <c r="B174">
        <v>1</v>
      </c>
      <c r="C174" s="16" t="s">
        <v>37</v>
      </c>
      <c r="D174">
        <v>11</v>
      </c>
      <c r="E174" s="16" t="s">
        <v>48</v>
      </c>
      <c r="F174" s="18">
        <v>5019</v>
      </c>
      <c r="G174" s="22">
        <v>239</v>
      </c>
      <c r="H174" s="18">
        <v>1.974815175</v>
      </c>
      <c r="I174" s="18">
        <v>471.98082682500001</v>
      </c>
      <c r="J174" s="18">
        <v>4547.0191731750001</v>
      </c>
      <c r="K174" s="22">
        <v>0</v>
      </c>
      <c r="L174" s="22" t="str">
        <f t="shared" si="2"/>
        <v>45962, 1, 11</v>
      </c>
    </row>
    <row r="175" spans="1:12">
      <c r="A175" s="9">
        <v>45962</v>
      </c>
      <c r="B175">
        <v>1</v>
      </c>
      <c r="C175" s="16" t="s">
        <v>37</v>
      </c>
      <c r="D175">
        <v>12</v>
      </c>
      <c r="E175" s="16" t="s">
        <v>49</v>
      </c>
      <c r="F175" s="18">
        <v>3476</v>
      </c>
      <c r="G175" s="22">
        <v>158</v>
      </c>
      <c r="H175" s="18">
        <v>2.59730783720833</v>
      </c>
      <c r="I175" s="18">
        <v>410.374638278916</v>
      </c>
      <c r="J175" s="18">
        <v>3065.62536172108</v>
      </c>
      <c r="K175" s="22">
        <v>0</v>
      </c>
      <c r="L175" s="22" t="str">
        <f t="shared" si="2"/>
        <v>45962, 1, 12</v>
      </c>
    </row>
    <row r="176" spans="1:12">
      <c r="A176" s="9">
        <v>45962</v>
      </c>
      <c r="B176">
        <v>1</v>
      </c>
      <c r="C176" s="16" t="s">
        <v>37</v>
      </c>
      <c r="D176">
        <v>13</v>
      </c>
      <c r="E176" s="16" t="s">
        <v>50</v>
      </c>
      <c r="F176" s="18">
        <v>4853</v>
      </c>
      <c r="G176" s="22">
        <v>211</v>
      </c>
      <c r="H176" s="18">
        <v>6.7806852222222203</v>
      </c>
      <c r="I176" s="18">
        <v>1430.72458188888</v>
      </c>
      <c r="J176" s="18">
        <v>3422.27541811111</v>
      </c>
      <c r="K176" s="22">
        <v>0</v>
      </c>
      <c r="L176" s="22" t="str">
        <f t="shared" si="2"/>
        <v>45962, 1, 13</v>
      </c>
    </row>
    <row r="177" spans="1:12">
      <c r="A177" s="9">
        <v>45962</v>
      </c>
      <c r="B177">
        <v>1</v>
      </c>
      <c r="C177" s="16" t="s">
        <v>37</v>
      </c>
      <c r="D177">
        <v>14</v>
      </c>
      <c r="E177" s="16" t="s">
        <v>51</v>
      </c>
      <c r="F177" s="18">
        <v>5908</v>
      </c>
      <c r="G177" s="22">
        <v>211</v>
      </c>
      <c r="H177" s="18">
        <v>4.5464509793333301</v>
      </c>
      <c r="I177" s="18">
        <v>959.30115663933304</v>
      </c>
      <c r="J177" s="18">
        <v>4948.6988433606602</v>
      </c>
      <c r="K177" s="22">
        <v>0</v>
      </c>
      <c r="L177" s="22" t="str">
        <f t="shared" si="2"/>
        <v>45962, 1, 14</v>
      </c>
    </row>
    <row r="178" spans="1:12">
      <c r="A178" s="9">
        <v>45962</v>
      </c>
      <c r="B178">
        <v>1</v>
      </c>
      <c r="C178" s="16" t="s">
        <v>37</v>
      </c>
      <c r="D178">
        <v>15</v>
      </c>
      <c r="E178" s="16" t="s">
        <v>52</v>
      </c>
      <c r="F178" s="18">
        <v>5100</v>
      </c>
      <c r="G178" s="22">
        <v>204</v>
      </c>
      <c r="H178" s="18">
        <v>2.8479348031818099</v>
      </c>
      <c r="I178" s="18">
        <v>580.97869984909005</v>
      </c>
      <c r="J178" s="18">
        <v>4519.0213001509001</v>
      </c>
      <c r="K178" s="22">
        <v>0</v>
      </c>
      <c r="L178" s="22" t="str">
        <f t="shared" si="2"/>
        <v>45962, 1, 15</v>
      </c>
    </row>
    <row r="179" spans="1:12">
      <c r="A179" s="9">
        <v>45962</v>
      </c>
      <c r="B179">
        <v>1</v>
      </c>
      <c r="C179" s="16" t="s">
        <v>37</v>
      </c>
      <c r="D179">
        <v>16</v>
      </c>
      <c r="E179" s="16" t="s">
        <v>53</v>
      </c>
      <c r="F179" s="18">
        <v>1557</v>
      </c>
      <c r="G179" s="22">
        <v>173</v>
      </c>
      <c r="H179" s="18">
        <v>1.53101754156249</v>
      </c>
      <c r="I179" s="18">
        <v>264.86603469031201</v>
      </c>
      <c r="J179" s="18">
        <v>1292.13396530968</v>
      </c>
      <c r="K179" s="22">
        <v>0</v>
      </c>
      <c r="L179" s="22" t="str">
        <f t="shared" si="2"/>
        <v>45962, 1, 16</v>
      </c>
    </row>
    <row r="180" spans="1:12">
      <c r="A180" s="9">
        <v>45962</v>
      </c>
      <c r="B180">
        <v>1</v>
      </c>
      <c r="C180" s="16" t="s">
        <v>37</v>
      </c>
      <c r="D180">
        <v>17</v>
      </c>
      <c r="E180" s="16" t="s">
        <v>54</v>
      </c>
      <c r="F180" s="18">
        <v>1640</v>
      </c>
      <c r="G180" s="22">
        <v>205</v>
      </c>
      <c r="H180" s="18">
        <v>1.3753274038888801</v>
      </c>
      <c r="I180" s="18">
        <v>281.94211779722201</v>
      </c>
      <c r="J180" s="18">
        <v>1358.0578822027701</v>
      </c>
      <c r="K180" s="22">
        <v>0</v>
      </c>
      <c r="L180" s="22" t="str">
        <f t="shared" si="2"/>
        <v>45962, 1, 17</v>
      </c>
    </row>
    <row r="181" spans="1:12">
      <c r="A181" s="9">
        <v>45962</v>
      </c>
      <c r="B181">
        <v>1</v>
      </c>
      <c r="C181" s="16" t="s">
        <v>37</v>
      </c>
      <c r="D181">
        <v>18</v>
      </c>
      <c r="E181" s="16" t="s">
        <v>55</v>
      </c>
      <c r="F181" s="18">
        <v>2585</v>
      </c>
      <c r="G181" s="22">
        <v>110</v>
      </c>
      <c r="H181" s="18">
        <v>5.9574564819705804</v>
      </c>
      <c r="I181" s="18">
        <v>655.320213016764</v>
      </c>
      <c r="J181" s="18">
        <v>1929.6797869832301</v>
      </c>
      <c r="K181" s="22">
        <v>0</v>
      </c>
      <c r="L181" s="22" t="str">
        <f t="shared" si="2"/>
        <v>45962, 1, 18</v>
      </c>
    </row>
    <row r="182" spans="1:12">
      <c r="A182" s="9">
        <v>45992</v>
      </c>
      <c r="B182">
        <v>1</v>
      </c>
      <c r="C182" s="16" t="s">
        <v>37</v>
      </c>
      <c r="D182">
        <v>1</v>
      </c>
      <c r="E182" s="16" t="s">
        <v>38</v>
      </c>
      <c r="F182" s="18">
        <v>6864</v>
      </c>
      <c r="G182" s="22">
        <v>312</v>
      </c>
      <c r="H182" s="18">
        <v>3.9110269423076902</v>
      </c>
      <c r="I182" s="18">
        <v>1220.2404059999999</v>
      </c>
      <c r="J182" s="18">
        <v>5643.7595939999901</v>
      </c>
      <c r="K182" s="22">
        <v>0</v>
      </c>
      <c r="L182" s="22" t="str">
        <f t="shared" si="2"/>
        <v>45992, 1, 1</v>
      </c>
    </row>
    <row r="183" spans="1:12">
      <c r="A183" s="9">
        <v>45992</v>
      </c>
      <c r="B183">
        <v>1</v>
      </c>
      <c r="C183" s="16" t="s">
        <v>37</v>
      </c>
      <c r="D183">
        <v>2</v>
      </c>
      <c r="E183" s="16" t="s">
        <v>40</v>
      </c>
      <c r="F183" s="18">
        <v>7296</v>
      </c>
      <c r="G183" s="22">
        <v>304</v>
      </c>
      <c r="H183" s="18">
        <v>6.7764806677999996</v>
      </c>
      <c r="I183" s="18">
        <v>2060.0501230112</v>
      </c>
      <c r="J183" s="18">
        <v>5235.9498769887996</v>
      </c>
      <c r="K183" s="22">
        <v>0</v>
      </c>
      <c r="L183" s="22" t="str">
        <f t="shared" si="2"/>
        <v>45992, 1, 2</v>
      </c>
    </row>
    <row r="184" spans="1:12">
      <c r="A184" s="9">
        <v>45992</v>
      </c>
      <c r="B184">
        <v>1</v>
      </c>
      <c r="C184" s="16" t="s">
        <v>37</v>
      </c>
      <c r="D184">
        <v>3</v>
      </c>
      <c r="E184" s="16" t="s">
        <v>41</v>
      </c>
      <c r="F184" s="18">
        <v>4870.5</v>
      </c>
      <c r="G184" s="22">
        <v>191</v>
      </c>
      <c r="H184" s="18">
        <v>3.63901966188235</v>
      </c>
      <c r="I184" s="18">
        <v>695.05275541952903</v>
      </c>
      <c r="J184" s="18">
        <v>4175.4472445804704</v>
      </c>
      <c r="K184" s="22">
        <v>0</v>
      </c>
      <c r="L184" s="22" t="str">
        <f t="shared" si="2"/>
        <v>45992, 1, 3</v>
      </c>
    </row>
    <row r="185" spans="1:12">
      <c r="A185" s="9">
        <v>45992</v>
      </c>
      <c r="B185">
        <v>1</v>
      </c>
      <c r="C185" s="16" t="s">
        <v>37</v>
      </c>
      <c r="D185">
        <v>4</v>
      </c>
      <c r="E185" s="16" t="s">
        <v>42</v>
      </c>
      <c r="F185" s="18">
        <v>4725</v>
      </c>
      <c r="G185" s="22">
        <v>225</v>
      </c>
      <c r="H185" s="18">
        <v>7.3903723294444399</v>
      </c>
      <c r="I185" s="18">
        <v>1662.83377412499</v>
      </c>
      <c r="J185" s="18">
        <v>3062.1662258749998</v>
      </c>
      <c r="K185" s="22">
        <v>0</v>
      </c>
      <c r="L185" s="22" t="str">
        <f t="shared" si="2"/>
        <v>45992, 1, 4</v>
      </c>
    </row>
    <row r="186" spans="1:12">
      <c r="A186" s="9">
        <v>45992</v>
      </c>
      <c r="B186">
        <v>1</v>
      </c>
      <c r="C186" s="16" t="s">
        <v>37</v>
      </c>
      <c r="D186">
        <v>5</v>
      </c>
      <c r="E186" s="16" t="s">
        <v>43</v>
      </c>
      <c r="F186" s="18">
        <v>3507</v>
      </c>
      <c r="G186" s="22">
        <v>167</v>
      </c>
      <c r="H186" s="18">
        <v>7.1730555555555497</v>
      </c>
      <c r="I186" s="18">
        <v>1197.90027777777</v>
      </c>
      <c r="J186" s="18">
        <v>2309.09972222222</v>
      </c>
      <c r="K186" s="22">
        <v>0</v>
      </c>
      <c r="L186" s="22" t="str">
        <f t="shared" si="2"/>
        <v>45992, 1, 5</v>
      </c>
    </row>
    <row r="187" spans="1:12">
      <c r="A187" s="9">
        <v>45992</v>
      </c>
      <c r="B187">
        <v>1</v>
      </c>
      <c r="C187" s="16" t="s">
        <v>37</v>
      </c>
      <c r="D187">
        <v>6</v>
      </c>
      <c r="E187" s="16" t="s">
        <v>44</v>
      </c>
      <c r="F187" s="18">
        <v>6279</v>
      </c>
      <c r="G187" s="22">
        <v>273</v>
      </c>
      <c r="H187" s="18">
        <v>4.6519160732058804</v>
      </c>
      <c r="I187" s="18">
        <v>1269.9730879852</v>
      </c>
      <c r="J187" s="18">
        <v>5009.0269120147896</v>
      </c>
      <c r="K187" s="22">
        <v>0</v>
      </c>
      <c r="L187" s="22" t="str">
        <f t="shared" si="2"/>
        <v>45992, 1, 6</v>
      </c>
    </row>
    <row r="188" spans="1:12">
      <c r="A188" s="9">
        <v>45992</v>
      </c>
      <c r="B188">
        <v>1</v>
      </c>
      <c r="C188" s="16" t="s">
        <v>37</v>
      </c>
      <c r="D188">
        <v>7</v>
      </c>
      <c r="E188" s="16" t="s">
        <v>45</v>
      </c>
      <c r="F188" s="18">
        <v>3675</v>
      </c>
      <c r="G188" s="22">
        <v>350</v>
      </c>
      <c r="H188" s="18">
        <v>2.8487351370454501</v>
      </c>
      <c r="I188" s="18">
        <v>997.05729796590902</v>
      </c>
      <c r="J188" s="18">
        <v>2677.94270203409</v>
      </c>
      <c r="K188" s="22">
        <v>0</v>
      </c>
      <c r="L188" s="22" t="str">
        <f t="shared" si="2"/>
        <v>45992, 1, 7</v>
      </c>
    </row>
    <row r="189" spans="1:12">
      <c r="A189" s="9">
        <v>45992</v>
      </c>
      <c r="B189">
        <v>1</v>
      </c>
      <c r="C189" s="16" t="s">
        <v>37</v>
      </c>
      <c r="D189">
        <v>8</v>
      </c>
      <c r="E189" s="16" t="s">
        <v>46</v>
      </c>
      <c r="F189" s="18">
        <v>2775</v>
      </c>
      <c r="G189" s="22">
        <v>222</v>
      </c>
      <c r="H189" s="18">
        <v>0.70780498428571403</v>
      </c>
      <c r="I189" s="18">
        <v>157.13270651142801</v>
      </c>
      <c r="J189" s="18">
        <v>2617.8672934885699</v>
      </c>
      <c r="K189" s="22">
        <v>0</v>
      </c>
      <c r="L189" s="22" t="str">
        <f t="shared" si="2"/>
        <v>45992, 1, 8</v>
      </c>
    </row>
    <row r="190" spans="1:12">
      <c r="A190" s="9">
        <v>45992</v>
      </c>
      <c r="B190">
        <v>1</v>
      </c>
      <c r="C190" s="16" t="s">
        <v>37</v>
      </c>
      <c r="D190">
        <v>9</v>
      </c>
      <c r="E190" s="16" t="s">
        <v>47</v>
      </c>
      <c r="F190" s="18">
        <v>5841</v>
      </c>
      <c r="G190" s="22">
        <v>118</v>
      </c>
      <c r="H190" s="18">
        <v>18.028978762149698</v>
      </c>
      <c r="I190" s="18">
        <v>2127.4194939336599</v>
      </c>
      <c r="J190" s="18">
        <v>3713.5805060663301</v>
      </c>
      <c r="K190" s="22">
        <v>0</v>
      </c>
      <c r="L190" s="22" t="str">
        <f t="shared" si="2"/>
        <v>45992, 1, 9</v>
      </c>
    </row>
    <row r="191" spans="1:12">
      <c r="A191" s="9">
        <v>45992</v>
      </c>
      <c r="B191">
        <v>1</v>
      </c>
      <c r="C191" s="16" t="s">
        <v>37</v>
      </c>
      <c r="D191">
        <v>10</v>
      </c>
      <c r="E191" s="16" t="s">
        <v>57</v>
      </c>
      <c r="F191" s="18">
        <v>966</v>
      </c>
      <c r="G191" s="22">
        <v>69</v>
      </c>
      <c r="H191" s="18">
        <v>2.3029553297624998</v>
      </c>
      <c r="I191" s="18">
        <v>158.90391775361201</v>
      </c>
      <c r="J191" s="18">
        <v>807.09608224638703</v>
      </c>
      <c r="K191" s="22">
        <v>0</v>
      </c>
      <c r="L191" s="22" t="str">
        <f t="shared" si="2"/>
        <v>45992, 1, 10</v>
      </c>
    </row>
    <row r="192" spans="1:12">
      <c r="A192" s="9">
        <v>45992</v>
      </c>
      <c r="B192">
        <v>1</v>
      </c>
      <c r="C192" s="16" t="s">
        <v>37</v>
      </c>
      <c r="D192">
        <v>11</v>
      </c>
      <c r="E192" s="16" t="s">
        <v>48</v>
      </c>
      <c r="F192" s="18">
        <v>5523</v>
      </c>
      <c r="G192" s="22">
        <v>263</v>
      </c>
      <c r="H192" s="18">
        <v>1.9938861931818099</v>
      </c>
      <c r="I192" s="18">
        <v>524.39206880681797</v>
      </c>
      <c r="J192" s="18">
        <v>4998.6079311931799</v>
      </c>
      <c r="K192" s="22">
        <v>0</v>
      </c>
      <c r="L192" s="22" t="str">
        <f t="shared" si="2"/>
        <v>45992, 1, 11</v>
      </c>
    </row>
    <row r="193" spans="1:12">
      <c r="A193" s="9">
        <v>45992</v>
      </c>
      <c r="B193">
        <v>1</v>
      </c>
      <c r="C193" s="16" t="s">
        <v>37</v>
      </c>
      <c r="D193">
        <v>12</v>
      </c>
      <c r="E193" s="16" t="s">
        <v>49</v>
      </c>
      <c r="F193" s="18">
        <v>3564</v>
      </c>
      <c r="G193" s="22">
        <v>162</v>
      </c>
      <c r="H193" s="18">
        <v>2.5966684583928501</v>
      </c>
      <c r="I193" s="18">
        <v>420.66029025964201</v>
      </c>
      <c r="J193" s="18">
        <v>3143.3397097403499</v>
      </c>
      <c r="K193" s="22">
        <v>0</v>
      </c>
      <c r="L193" s="22" t="str">
        <f t="shared" si="2"/>
        <v>45992, 1, 12</v>
      </c>
    </row>
    <row r="194" spans="1:12">
      <c r="A194" s="9">
        <v>45992</v>
      </c>
      <c r="B194">
        <v>1</v>
      </c>
      <c r="C194" s="16" t="s">
        <v>37</v>
      </c>
      <c r="D194">
        <v>13</v>
      </c>
      <c r="E194" s="16" t="s">
        <v>50</v>
      </c>
      <c r="F194" s="18">
        <v>5359</v>
      </c>
      <c r="G194" s="22">
        <v>233</v>
      </c>
      <c r="H194" s="18">
        <v>6.7857117499999999</v>
      </c>
      <c r="I194" s="18">
        <v>1581.07083775</v>
      </c>
      <c r="J194" s="18">
        <v>3777.92916225</v>
      </c>
      <c r="K194" s="22">
        <v>0</v>
      </c>
      <c r="L194" s="22" t="str">
        <f t="shared" si="2"/>
        <v>45992, 1, 13</v>
      </c>
    </row>
    <row r="195" spans="1:12">
      <c r="A195" s="9">
        <v>45992</v>
      </c>
      <c r="B195">
        <v>1</v>
      </c>
      <c r="C195" s="16" t="s">
        <v>37</v>
      </c>
      <c r="D195">
        <v>14</v>
      </c>
      <c r="E195" s="16" t="s">
        <v>51</v>
      </c>
      <c r="F195" s="18">
        <v>7448</v>
      </c>
      <c r="G195" s="22">
        <v>266</v>
      </c>
      <c r="H195" s="18">
        <v>4.5854346365416596</v>
      </c>
      <c r="I195" s="18">
        <v>1219.7256133200799</v>
      </c>
      <c r="J195" s="18">
        <v>6228.2743866799101</v>
      </c>
      <c r="K195" s="22">
        <v>0</v>
      </c>
      <c r="L195" s="22" t="str">
        <f t="shared" ref="L195:L258" si="3">(A195&amp; ", "&amp; B195&amp; ", "&amp; D195)</f>
        <v>45992, 1, 14</v>
      </c>
    </row>
    <row r="196" spans="1:12">
      <c r="A196" s="9">
        <v>45992</v>
      </c>
      <c r="B196">
        <v>1</v>
      </c>
      <c r="C196" s="16" t="s">
        <v>37</v>
      </c>
      <c r="D196">
        <v>15</v>
      </c>
      <c r="E196" s="16" t="s">
        <v>52</v>
      </c>
      <c r="F196" s="18">
        <v>4250</v>
      </c>
      <c r="G196" s="22">
        <v>170</v>
      </c>
      <c r="H196" s="18">
        <v>2.8663629361666598</v>
      </c>
      <c r="I196" s="18">
        <v>487.28169914833302</v>
      </c>
      <c r="J196" s="18">
        <v>3762.7183008516599</v>
      </c>
      <c r="K196" s="22">
        <v>0</v>
      </c>
      <c r="L196" s="22" t="str">
        <f t="shared" si="3"/>
        <v>45992, 1, 15</v>
      </c>
    </row>
    <row r="197" spans="1:12">
      <c r="A197" s="9">
        <v>45992</v>
      </c>
      <c r="B197">
        <v>1</v>
      </c>
      <c r="C197" s="16" t="s">
        <v>37</v>
      </c>
      <c r="D197">
        <v>16</v>
      </c>
      <c r="E197" s="16" t="s">
        <v>53</v>
      </c>
      <c r="F197" s="18">
        <v>2070</v>
      </c>
      <c r="G197" s="22">
        <v>230</v>
      </c>
      <c r="H197" s="18">
        <v>1.5323363362301501</v>
      </c>
      <c r="I197" s="18">
        <v>352.43735733293602</v>
      </c>
      <c r="J197" s="18">
        <v>1717.5626426670599</v>
      </c>
      <c r="K197" s="22">
        <v>0</v>
      </c>
      <c r="L197" s="22" t="str">
        <f t="shared" si="3"/>
        <v>45992, 1, 16</v>
      </c>
    </row>
    <row r="198" spans="1:12">
      <c r="A198" s="9">
        <v>45992</v>
      </c>
      <c r="B198">
        <v>1</v>
      </c>
      <c r="C198" s="16" t="s">
        <v>37</v>
      </c>
      <c r="D198">
        <v>17</v>
      </c>
      <c r="E198" s="16" t="s">
        <v>54</v>
      </c>
      <c r="F198" s="18">
        <v>1400</v>
      </c>
      <c r="G198" s="22">
        <v>175</v>
      </c>
      <c r="H198" s="18">
        <v>1.3813262976315701</v>
      </c>
      <c r="I198" s="18">
        <v>241.73210208552601</v>
      </c>
      <c r="J198" s="18">
        <v>1158.26789791447</v>
      </c>
      <c r="K198" s="22">
        <v>0</v>
      </c>
      <c r="L198" s="22" t="str">
        <f t="shared" si="3"/>
        <v>45992, 1, 17</v>
      </c>
    </row>
    <row r="199" spans="1:12">
      <c r="A199" s="9">
        <v>45992</v>
      </c>
      <c r="B199">
        <v>1</v>
      </c>
      <c r="C199" s="16" t="s">
        <v>37</v>
      </c>
      <c r="D199">
        <v>18</v>
      </c>
      <c r="E199" s="16" t="s">
        <v>55</v>
      </c>
      <c r="F199" s="18">
        <v>1974</v>
      </c>
      <c r="G199" s="22">
        <v>84</v>
      </c>
      <c r="H199" s="18">
        <v>6.3254186004722204</v>
      </c>
      <c r="I199" s="18">
        <v>531.33516243966596</v>
      </c>
      <c r="J199" s="18">
        <v>1442.6648375603299</v>
      </c>
      <c r="K199" s="22">
        <v>0</v>
      </c>
      <c r="L199" s="22" t="str">
        <f t="shared" si="3"/>
        <v>45992, 1, 18</v>
      </c>
    </row>
    <row r="200" spans="1:12">
      <c r="A200" s="9">
        <v>46023</v>
      </c>
      <c r="B200">
        <v>1</v>
      </c>
      <c r="C200" s="16" t="s">
        <v>37</v>
      </c>
      <c r="D200">
        <v>1</v>
      </c>
      <c r="E200" s="16" t="s">
        <v>38</v>
      </c>
      <c r="F200" s="18">
        <v>4554</v>
      </c>
      <c r="G200" s="22">
        <v>207</v>
      </c>
      <c r="H200" s="18">
        <v>3.87332170833333</v>
      </c>
      <c r="I200" s="18">
        <v>801.77759362499899</v>
      </c>
      <c r="J200" s="18">
        <v>3752.222406375</v>
      </c>
      <c r="K200" s="22">
        <v>0</v>
      </c>
      <c r="L200" s="22" t="str">
        <f t="shared" si="3"/>
        <v>46023, 1, 1</v>
      </c>
    </row>
    <row r="201" spans="1:12">
      <c r="A201" s="9">
        <v>46023</v>
      </c>
      <c r="B201">
        <v>1</v>
      </c>
      <c r="C201" s="16" t="s">
        <v>37</v>
      </c>
      <c r="D201">
        <v>2</v>
      </c>
      <c r="E201" s="16" t="s">
        <v>40</v>
      </c>
      <c r="F201" s="18">
        <v>6720</v>
      </c>
      <c r="G201" s="22">
        <v>280</v>
      </c>
      <c r="H201" s="18">
        <v>6.8731330949</v>
      </c>
      <c r="I201" s="18">
        <v>1924.477266572</v>
      </c>
      <c r="J201" s="18">
        <v>4795.5227334279998</v>
      </c>
      <c r="K201" s="22">
        <v>0</v>
      </c>
      <c r="L201" s="22" t="str">
        <f t="shared" si="3"/>
        <v>46023, 1, 2</v>
      </c>
    </row>
    <row r="202" spans="1:12">
      <c r="A202" s="9">
        <v>46023</v>
      </c>
      <c r="B202">
        <v>1</v>
      </c>
      <c r="C202" s="16" t="s">
        <v>37</v>
      </c>
      <c r="D202">
        <v>3</v>
      </c>
      <c r="E202" s="16" t="s">
        <v>41</v>
      </c>
      <c r="F202" s="18">
        <v>3978</v>
      </c>
      <c r="G202" s="22">
        <v>156</v>
      </c>
      <c r="H202" s="18">
        <v>3.5937604077333298</v>
      </c>
      <c r="I202" s="18">
        <v>560.62662360639899</v>
      </c>
      <c r="J202" s="18">
        <v>3417.3733763936002</v>
      </c>
      <c r="K202" s="22">
        <v>0</v>
      </c>
      <c r="L202" s="22" t="str">
        <f t="shared" si="3"/>
        <v>46023, 1, 3</v>
      </c>
    </row>
    <row r="203" spans="1:12">
      <c r="A203" s="9">
        <v>46023</v>
      </c>
      <c r="B203">
        <v>1</v>
      </c>
      <c r="C203" s="16" t="s">
        <v>37</v>
      </c>
      <c r="D203">
        <v>4</v>
      </c>
      <c r="E203" s="16" t="s">
        <v>42</v>
      </c>
      <c r="F203" s="18">
        <v>4242</v>
      </c>
      <c r="G203" s="22">
        <v>202</v>
      </c>
      <c r="H203" s="18">
        <v>7.5368880681052604</v>
      </c>
      <c r="I203" s="18">
        <v>1522.4513897572599</v>
      </c>
      <c r="J203" s="18">
        <v>2719.5486102427299</v>
      </c>
      <c r="K203" s="22">
        <v>0</v>
      </c>
      <c r="L203" s="22" t="str">
        <f t="shared" si="3"/>
        <v>46023, 1, 4</v>
      </c>
    </row>
    <row r="204" spans="1:12">
      <c r="A204" s="9">
        <v>46023</v>
      </c>
      <c r="B204">
        <v>1</v>
      </c>
      <c r="C204" s="16" t="s">
        <v>37</v>
      </c>
      <c r="D204">
        <v>5</v>
      </c>
      <c r="E204" s="16" t="s">
        <v>43</v>
      </c>
      <c r="F204" s="18">
        <v>2835</v>
      </c>
      <c r="G204" s="22">
        <v>135</v>
      </c>
      <c r="H204" s="18">
        <v>7.2404166666666603</v>
      </c>
      <c r="I204" s="18">
        <v>977.45624999999995</v>
      </c>
      <c r="J204" s="18">
        <v>1857.54374999999</v>
      </c>
      <c r="K204" s="22">
        <v>0</v>
      </c>
      <c r="L204" s="22" t="str">
        <f t="shared" si="3"/>
        <v>46023, 1, 5</v>
      </c>
    </row>
    <row r="205" spans="1:12">
      <c r="A205" s="9">
        <v>46023</v>
      </c>
      <c r="B205">
        <v>1</v>
      </c>
      <c r="C205" s="16" t="s">
        <v>37</v>
      </c>
      <c r="D205">
        <v>6</v>
      </c>
      <c r="E205" s="16" t="s">
        <v>44</v>
      </c>
      <c r="F205" s="18">
        <v>5037</v>
      </c>
      <c r="G205" s="22">
        <v>219</v>
      </c>
      <c r="H205" s="18">
        <v>4.6078948377333298</v>
      </c>
      <c r="I205" s="18">
        <v>1009.12896946359</v>
      </c>
      <c r="J205" s="18">
        <v>4027.8710305364002</v>
      </c>
      <c r="K205" s="22">
        <v>0</v>
      </c>
      <c r="L205" s="22" t="str">
        <f t="shared" si="3"/>
        <v>46023, 1, 6</v>
      </c>
    </row>
    <row r="206" spans="1:12">
      <c r="A206" s="9">
        <v>46023</v>
      </c>
      <c r="B206">
        <v>1</v>
      </c>
      <c r="C206" s="16" t="s">
        <v>37</v>
      </c>
      <c r="D206">
        <v>7</v>
      </c>
      <c r="E206" s="16" t="s">
        <v>45</v>
      </c>
      <c r="F206" s="18">
        <v>2625</v>
      </c>
      <c r="G206" s="22">
        <v>250</v>
      </c>
      <c r="H206" s="18">
        <v>2.826675984</v>
      </c>
      <c r="I206" s="18">
        <v>706.66899599999999</v>
      </c>
      <c r="J206" s="18">
        <v>1918.3310039999999</v>
      </c>
      <c r="K206" s="22">
        <v>0</v>
      </c>
      <c r="L206" s="22" t="str">
        <f t="shared" si="3"/>
        <v>46023, 1, 7</v>
      </c>
    </row>
    <row r="207" spans="1:12">
      <c r="A207" s="9">
        <v>46023</v>
      </c>
      <c r="B207">
        <v>1</v>
      </c>
      <c r="C207" s="16" t="s">
        <v>37</v>
      </c>
      <c r="D207">
        <v>8</v>
      </c>
      <c r="E207" s="16" t="s">
        <v>46</v>
      </c>
      <c r="F207" s="18">
        <v>2550</v>
      </c>
      <c r="G207" s="22">
        <v>204</v>
      </c>
      <c r="H207" s="18">
        <v>0.70998175611111103</v>
      </c>
      <c r="I207" s="18">
        <v>144.83627824666601</v>
      </c>
      <c r="J207" s="18">
        <v>2405.1637217533298</v>
      </c>
      <c r="K207" s="22">
        <v>0</v>
      </c>
      <c r="L207" s="22" t="str">
        <f t="shared" si="3"/>
        <v>46023, 1, 8</v>
      </c>
    </row>
    <row r="208" spans="1:12">
      <c r="A208" s="9">
        <v>46023</v>
      </c>
      <c r="B208">
        <v>1</v>
      </c>
      <c r="C208" s="16" t="s">
        <v>37</v>
      </c>
      <c r="D208">
        <v>9</v>
      </c>
      <c r="E208" s="16" t="s">
        <v>47</v>
      </c>
      <c r="F208" s="18">
        <v>4900.5</v>
      </c>
      <c r="G208" s="22">
        <v>99</v>
      </c>
      <c r="H208" s="18">
        <v>18.103055282475101</v>
      </c>
      <c r="I208" s="18">
        <v>1792.20247296503</v>
      </c>
      <c r="J208" s="18">
        <v>3108.2975270349598</v>
      </c>
      <c r="K208" s="22">
        <v>0</v>
      </c>
      <c r="L208" s="22" t="str">
        <f t="shared" si="3"/>
        <v>46023, 1, 9</v>
      </c>
    </row>
    <row r="209" spans="1:12">
      <c r="A209" s="9">
        <v>46023</v>
      </c>
      <c r="B209">
        <v>1</v>
      </c>
      <c r="C209" s="16" t="s">
        <v>37</v>
      </c>
      <c r="D209">
        <v>11</v>
      </c>
      <c r="E209" s="16" t="s">
        <v>48</v>
      </c>
      <c r="F209" s="18">
        <v>4410</v>
      </c>
      <c r="G209" s="22">
        <v>210</v>
      </c>
      <c r="H209" s="18">
        <v>1.9072017125</v>
      </c>
      <c r="I209" s="18">
        <v>400.51235962499999</v>
      </c>
      <c r="J209" s="18">
        <v>4009.487640375</v>
      </c>
      <c r="K209" s="22">
        <v>0</v>
      </c>
      <c r="L209" s="22" t="str">
        <f t="shared" si="3"/>
        <v>46023, 1, 11</v>
      </c>
    </row>
    <row r="210" spans="1:12">
      <c r="A210" s="9">
        <v>46023</v>
      </c>
      <c r="B210">
        <v>1</v>
      </c>
      <c r="C210" s="16" t="s">
        <v>37</v>
      </c>
      <c r="D210">
        <v>12</v>
      </c>
      <c r="E210" s="16" t="s">
        <v>49</v>
      </c>
      <c r="F210" s="18">
        <v>2728</v>
      </c>
      <c r="G210" s="22">
        <v>124</v>
      </c>
      <c r="H210" s="18">
        <v>2.5680839398461499</v>
      </c>
      <c r="I210" s="18">
        <v>318.442408540923</v>
      </c>
      <c r="J210" s="18">
        <v>2409.55759145907</v>
      </c>
      <c r="K210" s="22">
        <v>0</v>
      </c>
      <c r="L210" s="22" t="str">
        <f t="shared" si="3"/>
        <v>46023, 1, 12</v>
      </c>
    </row>
    <row r="211" spans="1:12">
      <c r="A211" s="9">
        <v>46023</v>
      </c>
      <c r="B211">
        <v>1</v>
      </c>
      <c r="C211" s="16" t="s">
        <v>37</v>
      </c>
      <c r="D211">
        <v>13</v>
      </c>
      <c r="E211" s="16" t="s">
        <v>50</v>
      </c>
      <c r="F211" s="18">
        <v>5566</v>
      </c>
      <c r="G211" s="22">
        <v>242</v>
      </c>
      <c r="H211" s="18">
        <v>6.7346148000000001</v>
      </c>
      <c r="I211" s="18">
        <v>1629.7767816</v>
      </c>
      <c r="J211" s="18">
        <v>3936.2232184</v>
      </c>
      <c r="K211" s="22">
        <v>0</v>
      </c>
      <c r="L211" s="22" t="str">
        <f t="shared" si="3"/>
        <v>46023, 1, 13</v>
      </c>
    </row>
    <row r="212" spans="1:12">
      <c r="A212" s="9">
        <v>46023</v>
      </c>
      <c r="B212">
        <v>1</v>
      </c>
      <c r="C212" s="16" t="s">
        <v>37</v>
      </c>
      <c r="D212">
        <v>14</v>
      </c>
      <c r="E212" s="16" t="s">
        <v>51</v>
      </c>
      <c r="F212" s="18">
        <v>5852</v>
      </c>
      <c r="G212" s="22">
        <v>209</v>
      </c>
      <c r="H212" s="18">
        <v>4.5963747852638797</v>
      </c>
      <c r="I212" s="18">
        <v>960.642330120152</v>
      </c>
      <c r="J212" s="18">
        <v>4891.3576698798397</v>
      </c>
      <c r="K212" s="22">
        <v>0</v>
      </c>
      <c r="L212" s="22" t="str">
        <f t="shared" si="3"/>
        <v>46023, 1, 14</v>
      </c>
    </row>
    <row r="213" spans="1:12">
      <c r="A213" s="9">
        <v>46023</v>
      </c>
      <c r="B213">
        <v>1</v>
      </c>
      <c r="C213" s="16" t="s">
        <v>37</v>
      </c>
      <c r="D213">
        <v>15</v>
      </c>
      <c r="E213" s="16" t="s">
        <v>52</v>
      </c>
      <c r="F213" s="18">
        <v>3150</v>
      </c>
      <c r="G213" s="22">
        <v>126</v>
      </c>
      <c r="H213" s="18">
        <v>2.8528201840909002</v>
      </c>
      <c r="I213" s="18">
        <v>359.45534319545402</v>
      </c>
      <c r="J213" s="18">
        <v>2790.54465680454</v>
      </c>
      <c r="K213" s="22">
        <v>0</v>
      </c>
      <c r="L213" s="22" t="str">
        <f t="shared" si="3"/>
        <v>46023, 1, 15</v>
      </c>
    </row>
    <row r="214" spans="1:12">
      <c r="A214" s="9">
        <v>46023</v>
      </c>
      <c r="B214">
        <v>1</v>
      </c>
      <c r="C214" s="16" t="s">
        <v>37</v>
      </c>
      <c r="D214">
        <v>16</v>
      </c>
      <c r="E214" s="16" t="s">
        <v>53</v>
      </c>
      <c r="F214" s="18">
        <v>1548</v>
      </c>
      <c r="G214" s="22">
        <v>172</v>
      </c>
      <c r="H214" s="18">
        <v>1.5257262296296199</v>
      </c>
      <c r="I214" s="18">
        <v>262.42491149629598</v>
      </c>
      <c r="J214" s="18">
        <v>1285.5750885037</v>
      </c>
      <c r="K214" s="22">
        <v>0</v>
      </c>
      <c r="L214" s="22" t="str">
        <f t="shared" si="3"/>
        <v>46023, 1, 16</v>
      </c>
    </row>
    <row r="215" spans="1:12">
      <c r="A215" s="9">
        <v>46023</v>
      </c>
      <c r="B215">
        <v>1</v>
      </c>
      <c r="C215" s="16" t="s">
        <v>37</v>
      </c>
      <c r="D215">
        <v>17</v>
      </c>
      <c r="E215" s="16" t="s">
        <v>54</v>
      </c>
      <c r="F215" s="18">
        <v>1128</v>
      </c>
      <c r="G215" s="22">
        <v>141</v>
      </c>
      <c r="H215" s="18">
        <v>1.3842311437499999</v>
      </c>
      <c r="I215" s="18">
        <v>195.17659126875</v>
      </c>
      <c r="J215" s="18">
        <v>932.82340873124997</v>
      </c>
      <c r="K215" s="22">
        <v>0</v>
      </c>
      <c r="L215" s="22" t="str">
        <f t="shared" si="3"/>
        <v>46023, 1, 17</v>
      </c>
    </row>
    <row r="216" spans="1:12">
      <c r="A216" s="9">
        <v>46023</v>
      </c>
      <c r="B216">
        <v>1</v>
      </c>
      <c r="C216" s="16" t="s">
        <v>37</v>
      </c>
      <c r="D216">
        <v>18</v>
      </c>
      <c r="E216" s="16" t="s">
        <v>55</v>
      </c>
      <c r="F216" s="18">
        <v>1104.5</v>
      </c>
      <c r="G216" s="22">
        <v>47</v>
      </c>
      <c r="H216" s="18">
        <v>5.7804400727105198</v>
      </c>
      <c r="I216" s="18">
        <v>271.68068341739399</v>
      </c>
      <c r="J216" s="18">
        <v>832.81931658260498</v>
      </c>
      <c r="K216" s="22">
        <v>0</v>
      </c>
      <c r="L216" s="22" t="str">
        <f t="shared" si="3"/>
        <v>46023, 1, 18</v>
      </c>
    </row>
    <row r="217" spans="1:12">
      <c r="A217" s="9">
        <v>46054</v>
      </c>
      <c r="B217">
        <v>1</v>
      </c>
      <c r="C217" s="16" t="s">
        <v>37</v>
      </c>
      <c r="D217">
        <v>1</v>
      </c>
      <c r="E217" s="16" t="s">
        <v>38</v>
      </c>
      <c r="F217" s="18">
        <v>4510</v>
      </c>
      <c r="G217" s="22">
        <v>205</v>
      </c>
      <c r="H217" s="18">
        <v>3.8867936136363599</v>
      </c>
      <c r="I217" s="18">
        <v>796.79269079545395</v>
      </c>
      <c r="J217" s="18">
        <v>3713.2073092045398</v>
      </c>
      <c r="K217" s="22">
        <v>0</v>
      </c>
      <c r="L217" s="22" t="str">
        <f t="shared" si="3"/>
        <v>46054, 1, 1</v>
      </c>
    </row>
    <row r="218" spans="1:12">
      <c r="A218" s="9">
        <v>46054</v>
      </c>
      <c r="B218">
        <v>1</v>
      </c>
      <c r="C218" s="16" t="s">
        <v>37</v>
      </c>
      <c r="D218">
        <v>2</v>
      </c>
      <c r="E218" s="16" t="s">
        <v>40</v>
      </c>
      <c r="F218" s="18">
        <v>5256</v>
      </c>
      <c r="G218" s="22">
        <v>219</v>
      </c>
      <c r="H218" s="18">
        <v>6.8923270304444397</v>
      </c>
      <c r="I218" s="18">
        <v>1509.4196196673299</v>
      </c>
      <c r="J218" s="18">
        <v>3746.5803803326598</v>
      </c>
      <c r="K218" s="22">
        <v>0</v>
      </c>
      <c r="L218" s="22" t="str">
        <f t="shared" si="3"/>
        <v>46054, 1, 2</v>
      </c>
    </row>
    <row r="219" spans="1:12">
      <c r="A219" s="9">
        <v>46054</v>
      </c>
      <c r="B219">
        <v>1</v>
      </c>
      <c r="C219" s="16" t="s">
        <v>37</v>
      </c>
      <c r="D219">
        <v>3</v>
      </c>
      <c r="E219" s="16" t="s">
        <v>41</v>
      </c>
      <c r="F219" s="18">
        <v>3876</v>
      </c>
      <c r="G219" s="22">
        <v>152</v>
      </c>
      <c r="H219" s="18">
        <v>3.60011451314285</v>
      </c>
      <c r="I219" s="18">
        <v>547.21740599771397</v>
      </c>
      <c r="J219" s="18">
        <v>3328.7825940022799</v>
      </c>
      <c r="K219" s="22">
        <v>0</v>
      </c>
      <c r="L219" s="22" t="str">
        <f t="shared" si="3"/>
        <v>46054, 1, 3</v>
      </c>
    </row>
    <row r="220" spans="1:12">
      <c r="A220" s="9">
        <v>46054</v>
      </c>
      <c r="B220">
        <v>1</v>
      </c>
      <c r="C220" s="16" t="s">
        <v>37</v>
      </c>
      <c r="D220">
        <v>4</v>
      </c>
      <c r="E220" s="16" t="s">
        <v>42</v>
      </c>
      <c r="F220" s="18">
        <v>3927</v>
      </c>
      <c r="G220" s="22">
        <v>187</v>
      </c>
      <c r="H220" s="18">
        <v>7.5145363883529397</v>
      </c>
      <c r="I220" s="18">
        <v>1405.218304622</v>
      </c>
      <c r="J220" s="18">
        <v>2521.7816953779902</v>
      </c>
      <c r="K220" s="22">
        <v>0</v>
      </c>
      <c r="L220" s="22" t="str">
        <f t="shared" si="3"/>
        <v>46054, 1, 4</v>
      </c>
    </row>
    <row r="221" spans="1:12">
      <c r="A221" s="9">
        <v>46054</v>
      </c>
      <c r="B221">
        <v>1</v>
      </c>
      <c r="C221" s="16" t="s">
        <v>37</v>
      </c>
      <c r="D221">
        <v>5</v>
      </c>
      <c r="E221" s="16" t="s">
        <v>43</v>
      </c>
      <c r="F221" s="18">
        <v>2856</v>
      </c>
      <c r="G221" s="22">
        <v>136</v>
      </c>
      <c r="H221" s="18">
        <v>7.1271874999999998</v>
      </c>
      <c r="I221" s="18">
        <v>969.29750000000001</v>
      </c>
      <c r="J221" s="18">
        <v>1886.7025000000001</v>
      </c>
      <c r="K221" s="22">
        <v>0</v>
      </c>
      <c r="L221" s="22" t="str">
        <f t="shared" si="3"/>
        <v>46054, 1, 5</v>
      </c>
    </row>
    <row r="222" spans="1:12">
      <c r="A222" s="9">
        <v>46054</v>
      </c>
      <c r="B222">
        <v>1</v>
      </c>
      <c r="C222" s="16" t="s">
        <v>37</v>
      </c>
      <c r="D222">
        <v>6</v>
      </c>
      <c r="E222" s="16" t="s">
        <v>44</v>
      </c>
      <c r="F222" s="18">
        <v>4416</v>
      </c>
      <c r="G222" s="22">
        <v>192</v>
      </c>
      <c r="H222" s="18">
        <v>4.6155927495666598</v>
      </c>
      <c r="I222" s="18">
        <v>886.19380791679998</v>
      </c>
      <c r="J222" s="18">
        <v>3529.8061920831901</v>
      </c>
      <c r="K222" s="22">
        <v>0</v>
      </c>
      <c r="L222" s="22" t="str">
        <f t="shared" si="3"/>
        <v>46054, 1, 6</v>
      </c>
    </row>
    <row r="223" spans="1:12">
      <c r="A223" s="9">
        <v>46054</v>
      </c>
      <c r="B223">
        <v>1</v>
      </c>
      <c r="C223" s="16" t="s">
        <v>37</v>
      </c>
      <c r="D223">
        <v>7</v>
      </c>
      <c r="E223" s="16" t="s">
        <v>45</v>
      </c>
      <c r="F223" s="18">
        <v>2131.5</v>
      </c>
      <c r="G223" s="22">
        <v>203</v>
      </c>
      <c r="H223" s="18">
        <v>2.8312074159722198</v>
      </c>
      <c r="I223" s="18">
        <v>574.73510544236103</v>
      </c>
      <c r="J223" s="18">
        <v>1556.76489455763</v>
      </c>
      <c r="K223" s="22">
        <v>0</v>
      </c>
      <c r="L223" s="22" t="str">
        <f t="shared" si="3"/>
        <v>46054, 1, 7</v>
      </c>
    </row>
    <row r="224" spans="1:12">
      <c r="A224" s="9">
        <v>46054</v>
      </c>
      <c r="B224">
        <v>1</v>
      </c>
      <c r="C224" s="16" t="s">
        <v>37</v>
      </c>
      <c r="D224">
        <v>8</v>
      </c>
      <c r="E224" s="16" t="s">
        <v>46</v>
      </c>
      <c r="F224" s="18">
        <v>1950</v>
      </c>
      <c r="G224" s="22">
        <v>156</v>
      </c>
      <c r="H224" s="18">
        <v>0.70172314277777703</v>
      </c>
      <c r="I224" s="18">
        <v>109.46881027333301</v>
      </c>
      <c r="J224" s="18">
        <v>1840.5311897266599</v>
      </c>
      <c r="K224" s="22">
        <v>0</v>
      </c>
      <c r="L224" s="22" t="str">
        <f t="shared" si="3"/>
        <v>46054, 1, 8</v>
      </c>
    </row>
    <row r="225" spans="1:12">
      <c r="A225" s="9">
        <v>46054</v>
      </c>
      <c r="B225">
        <v>1</v>
      </c>
      <c r="C225" s="16" t="s">
        <v>37</v>
      </c>
      <c r="D225">
        <v>9</v>
      </c>
      <c r="E225" s="16" t="s">
        <v>47</v>
      </c>
      <c r="F225" s="18">
        <v>3960</v>
      </c>
      <c r="G225" s="22">
        <v>80</v>
      </c>
      <c r="H225" s="18">
        <v>18.260649966653201</v>
      </c>
      <c r="I225" s="18">
        <v>1460.85199733226</v>
      </c>
      <c r="J225" s="18">
        <v>2499.14800266773</v>
      </c>
      <c r="K225" s="22">
        <v>0</v>
      </c>
      <c r="L225" s="22" t="str">
        <f t="shared" si="3"/>
        <v>46054, 1, 9</v>
      </c>
    </row>
    <row r="226" spans="1:12">
      <c r="A226" s="9">
        <v>46054</v>
      </c>
      <c r="B226">
        <v>1</v>
      </c>
      <c r="C226" s="16" t="s">
        <v>37</v>
      </c>
      <c r="D226">
        <v>11</v>
      </c>
      <c r="E226" s="16" t="s">
        <v>48</v>
      </c>
      <c r="F226" s="18">
        <v>3822</v>
      </c>
      <c r="G226" s="22">
        <v>182</v>
      </c>
      <c r="H226" s="18">
        <v>1.8942234499999999</v>
      </c>
      <c r="I226" s="18">
        <v>344.74866789999999</v>
      </c>
      <c r="J226" s="18">
        <v>3477.2513321000001</v>
      </c>
      <c r="K226" s="22">
        <v>0</v>
      </c>
      <c r="L226" s="22" t="str">
        <f t="shared" si="3"/>
        <v>46054, 1, 11</v>
      </c>
    </row>
    <row r="227" spans="1:12">
      <c r="A227" s="9">
        <v>46054</v>
      </c>
      <c r="B227">
        <v>1</v>
      </c>
      <c r="C227" s="16" t="s">
        <v>37</v>
      </c>
      <c r="D227">
        <v>12</v>
      </c>
      <c r="E227" s="16" t="s">
        <v>49</v>
      </c>
      <c r="F227" s="18">
        <v>3256</v>
      </c>
      <c r="G227" s="22">
        <v>148</v>
      </c>
      <c r="H227" s="18">
        <v>2.5807998419166598</v>
      </c>
      <c r="I227" s="18">
        <v>381.95837660366601</v>
      </c>
      <c r="J227" s="18">
        <v>2874.0416233963301</v>
      </c>
      <c r="K227" s="22">
        <v>0</v>
      </c>
      <c r="L227" s="22" t="str">
        <f t="shared" si="3"/>
        <v>46054, 1, 12</v>
      </c>
    </row>
    <row r="228" spans="1:12">
      <c r="A228" s="9">
        <v>46054</v>
      </c>
      <c r="B228">
        <v>1</v>
      </c>
      <c r="C228" s="16" t="s">
        <v>37</v>
      </c>
      <c r="D228">
        <v>13</v>
      </c>
      <c r="E228" s="16" t="s">
        <v>50</v>
      </c>
      <c r="F228" s="18">
        <v>4600</v>
      </c>
      <c r="G228" s="22">
        <v>200</v>
      </c>
      <c r="H228" s="18">
        <v>6.7343803333333296</v>
      </c>
      <c r="I228" s="18">
        <v>1346.8760666666601</v>
      </c>
      <c r="J228" s="18">
        <v>3253.1239333333301</v>
      </c>
      <c r="K228" s="22">
        <v>0</v>
      </c>
      <c r="L228" s="22" t="str">
        <f t="shared" si="3"/>
        <v>46054, 1, 13</v>
      </c>
    </row>
    <row r="229" spans="1:12">
      <c r="A229" s="9">
        <v>46054</v>
      </c>
      <c r="B229">
        <v>1</v>
      </c>
      <c r="C229" s="16" t="s">
        <v>37</v>
      </c>
      <c r="D229">
        <v>14</v>
      </c>
      <c r="E229" s="16" t="s">
        <v>51</v>
      </c>
      <c r="F229" s="18">
        <v>4396</v>
      </c>
      <c r="G229" s="22">
        <v>157</v>
      </c>
      <c r="H229" s="18">
        <v>4.6676756079242399</v>
      </c>
      <c r="I229" s="18">
        <v>732.82507044410602</v>
      </c>
      <c r="J229" s="18">
        <v>3663.1749295558898</v>
      </c>
      <c r="K229" s="22">
        <v>0</v>
      </c>
      <c r="L229" s="22" t="str">
        <f t="shared" si="3"/>
        <v>46054, 1, 14</v>
      </c>
    </row>
    <row r="230" spans="1:12">
      <c r="A230" s="9">
        <v>46054</v>
      </c>
      <c r="B230">
        <v>1</v>
      </c>
      <c r="C230" s="16" t="s">
        <v>37</v>
      </c>
      <c r="D230">
        <v>15</v>
      </c>
      <c r="E230" s="16" t="s">
        <v>52</v>
      </c>
      <c r="F230" s="18">
        <v>3225</v>
      </c>
      <c r="G230" s="22">
        <v>129</v>
      </c>
      <c r="H230" s="18">
        <v>2.8412111474545401</v>
      </c>
      <c r="I230" s="18">
        <v>366.51623802163601</v>
      </c>
      <c r="J230" s="18">
        <v>2858.4837619783598</v>
      </c>
      <c r="K230" s="22">
        <v>0</v>
      </c>
      <c r="L230" s="22" t="str">
        <f t="shared" si="3"/>
        <v>46054, 1, 15</v>
      </c>
    </row>
    <row r="231" spans="1:12">
      <c r="A231" s="9">
        <v>46054</v>
      </c>
      <c r="B231">
        <v>1</v>
      </c>
      <c r="C231" s="16" t="s">
        <v>37</v>
      </c>
      <c r="D231">
        <v>16</v>
      </c>
      <c r="E231" s="16" t="s">
        <v>53</v>
      </c>
      <c r="F231" s="18">
        <v>1395</v>
      </c>
      <c r="G231" s="22">
        <v>155</v>
      </c>
      <c r="H231" s="18">
        <v>1.52233043823529</v>
      </c>
      <c r="I231" s="18">
        <v>235.96121792647</v>
      </c>
      <c r="J231" s="18">
        <v>1159.03878207352</v>
      </c>
      <c r="K231" s="22">
        <v>0</v>
      </c>
      <c r="L231" s="22" t="str">
        <f t="shared" si="3"/>
        <v>46054, 1, 16</v>
      </c>
    </row>
    <row r="232" spans="1:12">
      <c r="A232" s="9">
        <v>46054</v>
      </c>
      <c r="B232">
        <v>1</v>
      </c>
      <c r="C232" s="16" t="s">
        <v>37</v>
      </c>
      <c r="D232">
        <v>17</v>
      </c>
      <c r="E232" s="16" t="s">
        <v>54</v>
      </c>
      <c r="F232" s="18">
        <v>1112</v>
      </c>
      <c r="G232" s="22">
        <v>139</v>
      </c>
      <c r="H232" s="18">
        <v>1.3832623244117599</v>
      </c>
      <c r="I232" s="18">
        <v>192.27346309323499</v>
      </c>
      <c r="J232" s="18">
        <v>919.72653690676395</v>
      </c>
      <c r="K232" s="22">
        <v>0</v>
      </c>
      <c r="L232" s="22" t="str">
        <f t="shared" si="3"/>
        <v>46054, 1, 17</v>
      </c>
    </row>
    <row r="233" spans="1:12">
      <c r="A233" s="9">
        <v>46054</v>
      </c>
      <c r="B233">
        <v>1</v>
      </c>
      <c r="C233" s="16" t="s">
        <v>37</v>
      </c>
      <c r="D233">
        <v>18</v>
      </c>
      <c r="E233" s="16" t="s">
        <v>55</v>
      </c>
      <c r="F233" s="18">
        <v>1574.5</v>
      </c>
      <c r="G233" s="22">
        <v>67</v>
      </c>
      <c r="H233" s="18">
        <v>5.7508346483088202</v>
      </c>
      <c r="I233" s="18">
        <v>385.30592143669099</v>
      </c>
      <c r="J233" s="18">
        <v>1189.1940785633001</v>
      </c>
      <c r="K233" s="22">
        <v>0</v>
      </c>
      <c r="L233" s="22" t="str">
        <f t="shared" si="3"/>
        <v>46054, 1, 18</v>
      </c>
    </row>
    <row r="234" spans="1:12">
      <c r="A234" s="9">
        <v>46082</v>
      </c>
      <c r="B234">
        <v>1</v>
      </c>
      <c r="C234" s="16" t="s">
        <v>37</v>
      </c>
      <c r="D234">
        <v>1</v>
      </c>
      <c r="E234" s="16" t="s">
        <v>38</v>
      </c>
      <c r="F234" s="18">
        <v>4862</v>
      </c>
      <c r="G234" s="22">
        <v>221</v>
      </c>
      <c r="H234" s="18">
        <v>3.8887110769230699</v>
      </c>
      <c r="I234" s="18">
        <v>859.40514800000005</v>
      </c>
      <c r="J234" s="18">
        <v>4002.5948519999902</v>
      </c>
      <c r="K234" s="22">
        <v>0</v>
      </c>
      <c r="L234" s="22" t="str">
        <f t="shared" si="3"/>
        <v>46082, 1, 1</v>
      </c>
    </row>
    <row r="235" spans="1:12">
      <c r="A235" s="9">
        <v>46082</v>
      </c>
      <c r="B235">
        <v>1</v>
      </c>
      <c r="C235" s="16" t="s">
        <v>37</v>
      </c>
      <c r="D235">
        <v>2</v>
      </c>
      <c r="E235" s="16" t="s">
        <v>40</v>
      </c>
      <c r="F235" s="18">
        <v>6600</v>
      </c>
      <c r="G235" s="22">
        <v>275</v>
      </c>
      <c r="H235" s="18">
        <v>6.9271556462000001</v>
      </c>
      <c r="I235" s="18">
        <v>1904.9678027049999</v>
      </c>
      <c r="J235" s="18">
        <v>4695.0321972949996</v>
      </c>
      <c r="K235" s="22">
        <v>0</v>
      </c>
      <c r="L235" s="22" t="str">
        <f t="shared" si="3"/>
        <v>46082, 1, 2</v>
      </c>
    </row>
    <row r="236" spans="1:12">
      <c r="A236" s="9">
        <v>46082</v>
      </c>
      <c r="B236">
        <v>1</v>
      </c>
      <c r="C236" s="16" t="s">
        <v>37</v>
      </c>
      <c r="D236">
        <v>3</v>
      </c>
      <c r="E236" s="16" t="s">
        <v>41</v>
      </c>
      <c r="F236" s="18">
        <v>4003.5</v>
      </c>
      <c r="G236" s="22">
        <v>157</v>
      </c>
      <c r="H236" s="18">
        <v>3.6132231306249998</v>
      </c>
      <c r="I236" s="18">
        <v>567.27603150812502</v>
      </c>
      <c r="J236" s="18">
        <v>3436.22396849187</v>
      </c>
      <c r="K236" s="22">
        <v>0</v>
      </c>
      <c r="L236" s="22" t="str">
        <f t="shared" si="3"/>
        <v>46082, 1, 3</v>
      </c>
    </row>
    <row r="237" spans="1:12">
      <c r="A237" s="9">
        <v>46082</v>
      </c>
      <c r="B237">
        <v>1</v>
      </c>
      <c r="C237" s="16" t="s">
        <v>37</v>
      </c>
      <c r="D237">
        <v>4</v>
      </c>
      <c r="E237" s="16" t="s">
        <v>42</v>
      </c>
      <c r="F237" s="18">
        <v>4116</v>
      </c>
      <c r="G237" s="22">
        <v>196</v>
      </c>
      <c r="H237" s="18">
        <v>7.3983830883333299</v>
      </c>
      <c r="I237" s="18">
        <v>1450.08308531333</v>
      </c>
      <c r="J237" s="18">
        <v>2665.9169146866602</v>
      </c>
      <c r="K237" s="22">
        <v>0</v>
      </c>
      <c r="L237" s="22" t="str">
        <f t="shared" si="3"/>
        <v>46082, 1, 4</v>
      </c>
    </row>
    <row r="238" spans="1:12">
      <c r="A238" s="9">
        <v>46082</v>
      </c>
      <c r="B238">
        <v>1</v>
      </c>
      <c r="C238" s="16" t="s">
        <v>37</v>
      </c>
      <c r="D238">
        <v>5</v>
      </c>
      <c r="E238" s="16" t="s">
        <v>43</v>
      </c>
      <c r="F238" s="18">
        <v>2772</v>
      </c>
      <c r="G238" s="22">
        <v>132</v>
      </c>
      <c r="H238" s="18">
        <v>6.9695138888888799</v>
      </c>
      <c r="I238" s="18">
        <v>919.97583333333296</v>
      </c>
      <c r="J238" s="18">
        <v>1852.02416666666</v>
      </c>
      <c r="K238" s="22">
        <v>0</v>
      </c>
      <c r="L238" s="22" t="str">
        <f t="shared" si="3"/>
        <v>46082, 1, 5</v>
      </c>
    </row>
    <row r="239" spans="1:12">
      <c r="A239" s="9">
        <v>46082</v>
      </c>
      <c r="B239">
        <v>1</v>
      </c>
      <c r="C239" s="16" t="s">
        <v>37</v>
      </c>
      <c r="D239">
        <v>6</v>
      </c>
      <c r="E239" s="16" t="s">
        <v>44</v>
      </c>
      <c r="F239" s="18">
        <v>4416</v>
      </c>
      <c r="G239" s="22">
        <v>192</v>
      </c>
      <c r="H239" s="18">
        <v>4.6780917690625001</v>
      </c>
      <c r="I239" s="18">
        <v>898.19361965999997</v>
      </c>
      <c r="J239" s="18">
        <v>3517.80638034</v>
      </c>
      <c r="K239" s="22">
        <v>0</v>
      </c>
      <c r="L239" s="22" t="str">
        <f t="shared" si="3"/>
        <v>46082, 1, 6</v>
      </c>
    </row>
    <row r="240" spans="1:12">
      <c r="A240" s="9">
        <v>46082</v>
      </c>
      <c r="B240">
        <v>1</v>
      </c>
      <c r="C240" s="16" t="s">
        <v>37</v>
      </c>
      <c r="D240">
        <v>7</v>
      </c>
      <c r="E240" s="16" t="s">
        <v>45</v>
      </c>
      <c r="F240" s="18">
        <v>2835</v>
      </c>
      <c r="G240" s="22">
        <v>270</v>
      </c>
      <c r="H240" s="18">
        <v>2.8361967980952301</v>
      </c>
      <c r="I240" s="18">
        <v>765.77313548571396</v>
      </c>
      <c r="J240" s="18">
        <v>2069.2268645142799</v>
      </c>
      <c r="K240" s="22">
        <v>0</v>
      </c>
      <c r="L240" s="22" t="str">
        <f t="shared" si="3"/>
        <v>46082, 1, 7</v>
      </c>
    </row>
    <row r="241" spans="1:12">
      <c r="A241" s="9">
        <v>46082</v>
      </c>
      <c r="B241">
        <v>1</v>
      </c>
      <c r="C241" s="16" t="s">
        <v>37</v>
      </c>
      <c r="D241">
        <v>8</v>
      </c>
      <c r="E241" s="16" t="s">
        <v>46</v>
      </c>
      <c r="F241" s="18">
        <v>2200</v>
      </c>
      <c r="G241" s="22">
        <v>176</v>
      </c>
      <c r="H241" s="18">
        <v>0.73347273857142803</v>
      </c>
      <c r="I241" s="18">
        <v>129.09120198857099</v>
      </c>
      <c r="J241" s="18">
        <v>2070.90879801142</v>
      </c>
      <c r="K241" s="22">
        <v>0</v>
      </c>
      <c r="L241" s="22" t="str">
        <f t="shared" si="3"/>
        <v>46082, 1, 8</v>
      </c>
    </row>
    <row r="242" spans="1:12">
      <c r="A242" s="9">
        <v>46082</v>
      </c>
      <c r="B242">
        <v>1</v>
      </c>
      <c r="C242" s="16" t="s">
        <v>37</v>
      </c>
      <c r="D242">
        <v>9</v>
      </c>
      <c r="E242" s="16" t="s">
        <v>47</v>
      </c>
      <c r="F242" s="18">
        <v>3663</v>
      </c>
      <c r="G242" s="22">
        <v>74</v>
      </c>
      <c r="H242" s="18">
        <v>18.337763503879</v>
      </c>
      <c r="I242" s="18">
        <v>1356.9944992870401</v>
      </c>
      <c r="J242" s="18">
        <v>2306.0055007129499</v>
      </c>
      <c r="K242" s="22">
        <v>0</v>
      </c>
      <c r="L242" s="22" t="str">
        <f t="shared" si="3"/>
        <v>46082, 1, 9</v>
      </c>
    </row>
    <row r="243" spans="1:12">
      <c r="A243" s="9">
        <v>46082</v>
      </c>
      <c r="B243">
        <v>1</v>
      </c>
      <c r="C243" s="16" t="s">
        <v>37</v>
      </c>
      <c r="D243">
        <v>11</v>
      </c>
      <c r="E243" s="16" t="s">
        <v>48</v>
      </c>
      <c r="F243" s="18">
        <v>4809</v>
      </c>
      <c r="G243" s="22">
        <v>229</v>
      </c>
      <c r="H243" s="18">
        <v>1.9050856125</v>
      </c>
      <c r="I243" s="18">
        <v>436.26460526250003</v>
      </c>
      <c r="J243" s="18">
        <v>4372.7353947375004</v>
      </c>
      <c r="K243" s="22">
        <v>0</v>
      </c>
      <c r="L243" s="22" t="str">
        <f t="shared" si="3"/>
        <v>46082, 1, 11</v>
      </c>
    </row>
    <row r="244" spans="1:12">
      <c r="A244" s="9">
        <v>46082</v>
      </c>
      <c r="B244">
        <v>1</v>
      </c>
      <c r="C244" s="16" t="s">
        <v>37</v>
      </c>
      <c r="D244">
        <v>12</v>
      </c>
      <c r="E244" s="16" t="s">
        <v>49</v>
      </c>
      <c r="F244" s="18">
        <v>3476</v>
      </c>
      <c r="G244" s="22">
        <v>158</v>
      </c>
      <c r="H244" s="18">
        <v>2.61554307607142</v>
      </c>
      <c r="I244" s="18">
        <v>413.25580601928499</v>
      </c>
      <c r="J244" s="18">
        <v>3062.74419398071</v>
      </c>
      <c r="K244" s="22">
        <v>0</v>
      </c>
      <c r="L244" s="22" t="str">
        <f t="shared" si="3"/>
        <v>46082, 1, 12</v>
      </c>
    </row>
    <row r="245" spans="1:12">
      <c r="A245" s="9">
        <v>46082</v>
      </c>
      <c r="B245">
        <v>1</v>
      </c>
      <c r="C245" s="16" t="s">
        <v>37</v>
      </c>
      <c r="D245">
        <v>13</v>
      </c>
      <c r="E245" s="16" t="s">
        <v>50</v>
      </c>
      <c r="F245" s="18">
        <v>4646</v>
      </c>
      <c r="G245" s="22">
        <v>202</v>
      </c>
      <c r="H245" s="18">
        <v>6.7531853499999999</v>
      </c>
      <c r="I245" s="18">
        <v>1364.1434406999999</v>
      </c>
      <c r="J245" s="18">
        <v>3281.8565592999998</v>
      </c>
      <c r="K245" s="22">
        <v>0</v>
      </c>
      <c r="L245" s="22" t="str">
        <f t="shared" si="3"/>
        <v>46082, 1, 13</v>
      </c>
    </row>
    <row r="246" spans="1:12">
      <c r="A246" s="9">
        <v>46082</v>
      </c>
      <c r="B246">
        <v>1</v>
      </c>
      <c r="C246" s="16" t="s">
        <v>37</v>
      </c>
      <c r="D246">
        <v>14</v>
      </c>
      <c r="E246" s="16" t="s">
        <v>51</v>
      </c>
      <c r="F246" s="18">
        <v>5180</v>
      </c>
      <c r="G246" s="22">
        <v>185</v>
      </c>
      <c r="H246" s="18">
        <v>4.6852606908888799</v>
      </c>
      <c r="I246" s="18">
        <v>866.773227814444</v>
      </c>
      <c r="J246" s="18">
        <v>4313.2267721855496</v>
      </c>
      <c r="K246" s="22">
        <v>0</v>
      </c>
      <c r="L246" s="22" t="str">
        <f t="shared" si="3"/>
        <v>46082, 1, 14</v>
      </c>
    </row>
    <row r="247" spans="1:12">
      <c r="A247" s="9">
        <v>46082</v>
      </c>
      <c r="B247">
        <v>1</v>
      </c>
      <c r="C247" s="16" t="s">
        <v>37</v>
      </c>
      <c r="D247">
        <v>15</v>
      </c>
      <c r="E247" s="16" t="s">
        <v>52</v>
      </c>
      <c r="F247" s="18">
        <v>3525</v>
      </c>
      <c r="G247" s="22">
        <v>141</v>
      </c>
      <c r="H247" s="18">
        <v>2.86173285366666</v>
      </c>
      <c r="I247" s="18">
        <v>403.50433236700002</v>
      </c>
      <c r="J247" s="18">
        <v>3121.4956676329898</v>
      </c>
      <c r="K247" s="22">
        <v>0</v>
      </c>
      <c r="L247" s="22" t="str">
        <f t="shared" si="3"/>
        <v>46082, 1, 15</v>
      </c>
    </row>
    <row r="248" spans="1:12">
      <c r="A248" s="9">
        <v>46082</v>
      </c>
      <c r="B248">
        <v>1</v>
      </c>
      <c r="C248" s="16" t="s">
        <v>37</v>
      </c>
      <c r="D248">
        <v>16</v>
      </c>
      <c r="E248" s="16" t="s">
        <v>53</v>
      </c>
      <c r="F248" s="18">
        <v>1665</v>
      </c>
      <c r="G248" s="22">
        <v>185</v>
      </c>
      <c r="H248" s="18">
        <v>1.51790334837719</v>
      </c>
      <c r="I248" s="18">
        <v>280.81211944978003</v>
      </c>
      <c r="J248" s="18">
        <v>1384.1878805502099</v>
      </c>
      <c r="K248" s="22">
        <v>0</v>
      </c>
      <c r="L248" s="22" t="str">
        <f t="shared" si="3"/>
        <v>46082, 1, 16</v>
      </c>
    </row>
    <row r="249" spans="1:12">
      <c r="A249" s="9">
        <v>46082</v>
      </c>
      <c r="B249">
        <v>1</v>
      </c>
      <c r="C249" s="16" t="s">
        <v>37</v>
      </c>
      <c r="D249">
        <v>17</v>
      </c>
      <c r="E249" s="16" t="s">
        <v>54</v>
      </c>
      <c r="F249" s="18">
        <v>1248</v>
      </c>
      <c r="G249" s="22">
        <v>156</v>
      </c>
      <c r="H249" s="18">
        <v>1.3803071474999999</v>
      </c>
      <c r="I249" s="18">
        <v>215.32791501</v>
      </c>
      <c r="J249" s="18">
        <v>1032.67208499</v>
      </c>
      <c r="K249" s="22">
        <v>0</v>
      </c>
      <c r="L249" s="22" t="str">
        <f t="shared" si="3"/>
        <v>46082, 1, 17</v>
      </c>
    </row>
    <row r="250" spans="1:12">
      <c r="A250" s="9">
        <v>46082</v>
      </c>
      <c r="B250">
        <v>1</v>
      </c>
      <c r="C250" s="16" t="s">
        <v>37</v>
      </c>
      <c r="D250">
        <v>18</v>
      </c>
      <c r="E250" s="16" t="s">
        <v>55</v>
      </c>
      <c r="F250" s="18">
        <v>1833</v>
      </c>
      <c r="G250" s="22">
        <v>78</v>
      </c>
      <c r="H250" s="18">
        <v>5.7697163675000001</v>
      </c>
      <c r="I250" s="18">
        <v>450.037876665</v>
      </c>
      <c r="J250" s="18">
        <v>1382.9621233349999</v>
      </c>
      <c r="K250" s="22">
        <v>0</v>
      </c>
      <c r="L250" s="22" t="str">
        <f t="shared" si="3"/>
        <v>46082, 1, 18</v>
      </c>
    </row>
    <row r="251" spans="1:12">
      <c r="A251" s="9">
        <v>46113</v>
      </c>
      <c r="B251">
        <v>1</v>
      </c>
      <c r="C251" s="16" t="s">
        <v>37</v>
      </c>
      <c r="D251">
        <v>1</v>
      </c>
      <c r="E251" s="16" t="s">
        <v>38</v>
      </c>
      <c r="F251" s="18">
        <v>5390</v>
      </c>
      <c r="G251" s="22">
        <v>245</v>
      </c>
      <c r="H251" s="18">
        <v>3.9098820833333301</v>
      </c>
      <c r="I251" s="18">
        <v>957.92111041666601</v>
      </c>
      <c r="J251" s="18">
        <v>4432.0788895833302</v>
      </c>
      <c r="K251" s="22">
        <v>0</v>
      </c>
      <c r="L251" s="22" t="str">
        <f t="shared" si="3"/>
        <v>46113, 1, 1</v>
      </c>
    </row>
    <row r="252" spans="1:12">
      <c r="A252" s="9">
        <v>46113</v>
      </c>
      <c r="B252">
        <v>1</v>
      </c>
      <c r="C252" s="16" t="s">
        <v>37</v>
      </c>
      <c r="D252">
        <v>2</v>
      </c>
      <c r="E252" s="16" t="s">
        <v>40</v>
      </c>
      <c r="F252" s="18">
        <v>7392</v>
      </c>
      <c r="G252" s="22">
        <v>308</v>
      </c>
      <c r="H252" s="18">
        <v>6.8989739477000001</v>
      </c>
      <c r="I252" s="18">
        <v>2124.8839758916001</v>
      </c>
      <c r="J252" s="18">
        <v>5267.1160241083999</v>
      </c>
      <c r="K252" s="22">
        <v>0</v>
      </c>
      <c r="L252" s="22" t="str">
        <f t="shared" si="3"/>
        <v>46113, 1, 2</v>
      </c>
    </row>
    <row r="253" spans="1:12">
      <c r="A253" s="9">
        <v>46113</v>
      </c>
      <c r="B253">
        <v>1</v>
      </c>
      <c r="C253" s="16" t="s">
        <v>37</v>
      </c>
      <c r="D253">
        <v>3</v>
      </c>
      <c r="E253" s="16" t="s">
        <v>41</v>
      </c>
      <c r="F253" s="18">
        <v>4207.5</v>
      </c>
      <c r="G253" s="22">
        <v>165</v>
      </c>
      <c r="H253" s="18">
        <v>3.6190208988750001</v>
      </c>
      <c r="I253" s="18">
        <v>597.13844831437495</v>
      </c>
      <c r="J253" s="18">
        <v>3610.3615516856198</v>
      </c>
      <c r="K253" s="22">
        <v>0</v>
      </c>
      <c r="L253" s="22" t="str">
        <f t="shared" si="3"/>
        <v>46113, 1, 3</v>
      </c>
    </row>
    <row r="254" spans="1:12">
      <c r="A254" s="9">
        <v>46113</v>
      </c>
      <c r="B254">
        <v>1</v>
      </c>
      <c r="C254" s="16" t="s">
        <v>37</v>
      </c>
      <c r="D254">
        <v>4</v>
      </c>
      <c r="E254" s="16" t="s">
        <v>42</v>
      </c>
      <c r="F254" s="18">
        <v>4515</v>
      </c>
      <c r="G254" s="22">
        <v>215</v>
      </c>
      <c r="H254" s="18">
        <v>7.2486142075789397</v>
      </c>
      <c r="I254" s="18">
        <v>1558.45205462947</v>
      </c>
      <c r="J254" s="18">
        <v>2956.5479453705202</v>
      </c>
      <c r="K254" s="22">
        <v>0</v>
      </c>
      <c r="L254" s="22" t="str">
        <f t="shared" si="3"/>
        <v>46113, 1, 4</v>
      </c>
    </row>
    <row r="255" spans="1:12">
      <c r="A255" s="9">
        <v>46113</v>
      </c>
      <c r="B255">
        <v>1</v>
      </c>
      <c r="C255" s="16" t="s">
        <v>37</v>
      </c>
      <c r="D255">
        <v>5</v>
      </c>
      <c r="E255" s="16" t="s">
        <v>43</v>
      </c>
      <c r="F255" s="18">
        <v>3528</v>
      </c>
      <c r="G255" s="22">
        <v>168</v>
      </c>
      <c r="H255" s="18">
        <v>6.6960416666666598</v>
      </c>
      <c r="I255" s="18">
        <v>1124.9349999999999</v>
      </c>
      <c r="J255" s="18">
        <v>2403.0649999999901</v>
      </c>
      <c r="K255" s="22">
        <v>0</v>
      </c>
      <c r="L255" s="22" t="str">
        <f t="shared" si="3"/>
        <v>46113, 1, 5</v>
      </c>
    </row>
    <row r="256" spans="1:12">
      <c r="A256" s="9">
        <v>46113</v>
      </c>
      <c r="B256">
        <v>1</v>
      </c>
      <c r="C256" s="16" t="s">
        <v>37</v>
      </c>
      <c r="D256">
        <v>6</v>
      </c>
      <c r="E256" s="16" t="s">
        <v>44</v>
      </c>
      <c r="F256" s="18">
        <v>3841</v>
      </c>
      <c r="G256" s="22">
        <v>167</v>
      </c>
      <c r="H256" s="18">
        <v>4.6723579557941104</v>
      </c>
      <c r="I256" s="18">
        <v>780.28377861761703</v>
      </c>
      <c r="J256" s="18">
        <v>3060.7162213823799</v>
      </c>
      <c r="K256" s="22">
        <v>0</v>
      </c>
      <c r="L256" s="22" t="str">
        <f t="shared" si="3"/>
        <v>46113, 1, 6</v>
      </c>
    </row>
    <row r="257" spans="1:12">
      <c r="A257" s="9">
        <v>46113</v>
      </c>
      <c r="B257">
        <v>1</v>
      </c>
      <c r="C257" s="16" t="s">
        <v>37</v>
      </c>
      <c r="D257">
        <v>7</v>
      </c>
      <c r="E257" s="16" t="s">
        <v>45</v>
      </c>
      <c r="F257" s="18">
        <v>2436</v>
      </c>
      <c r="G257" s="22">
        <v>232</v>
      </c>
      <c r="H257" s="18">
        <v>2.8463445224999999</v>
      </c>
      <c r="I257" s="18">
        <v>660.35192921999999</v>
      </c>
      <c r="J257" s="18">
        <v>1775.6480707799999</v>
      </c>
      <c r="K257" s="22">
        <v>0</v>
      </c>
      <c r="L257" s="22" t="str">
        <f t="shared" si="3"/>
        <v>46113, 1, 7</v>
      </c>
    </row>
    <row r="258" spans="1:12">
      <c r="A258" s="9">
        <v>46113</v>
      </c>
      <c r="B258">
        <v>1</v>
      </c>
      <c r="C258" s="16" t="s">
        <v>37</v>
      </c>
      <c r="D258">
        <v>8</v>
      </c>
      <c r="E258" s="16" t="s">
        <v>46</v>
      </c>
      <c r="F258" s="18">
        <v>2012.5</v>
      </c>
      <c r="G258" s="22">
        <v>161</v>
      </c>
      <c r="H258" s="18">
        <v>0.73814200461538404</v>
      </c>
      <c r="I258" s="18">
        <v>118.840862743076</v>
      </c>
      <c r="J258" s="18">
        <v>1893.6591372569201</v>
      </c>
      <c r="K258" s="22">
        <v>0</v>
      </c>
      <c r="L258" s="22" t="str">
        <f t="shared" si="3"/>
        <v>46113, 1, 8</v>
      </c>
    </row>
    <row r="259" spans="1:12">
      <c r="A259" s="9">
        <v>46113</v>
      </c>
      <c r="B259">
        <v>1</v>
      </c>
      <c r="C259" s="16" t="s">
        <v>37</v>
      </c>
      <c r="D259">
        <v>9</v>
      </c>
      <c r="E259" s="16" t="s">
        <v>47</v>
      </c>
      <c r="F259" s="18">
        <v>4702.5</v>
      </c>
      <c r="G259" s="22">
        <v>95</v>
      </c>
      <c r="H259" s="18">
        <v>18.495323625424099</v>
      </c>
      <c r="I259" s="18">
        <v>1757.0557444152901</v>
      </c>
      <c r="J259" s="18">
        <v>2945.4442555846999</v>
      </c>
      <c r="K259" s="22">
        <v>0</v>
      </c>
      <c r="L259" s="22" t="str">
        <f t="shared" ref="L259:L322" si="4">(A259&amp; ", "&amp; B259&amp; ", "&amp; D259)</f>
        <v>46113, 1, 9</v>
      </c>
    </row>
    <row r="260" spans="1:12">
      <c r="A260" s="9">
        <v>46113</v>
      </c>
      <c r="B260">
        <v>1</v>
      </c>
      <c r="C260" s="16" t="s">
        <v>37</v>
      </c>
      <c r="D260">
        <v>11</v>
      </c>
      <c r="E260" s="16" t="s">
        <v>48</v>
      </c>
      <c r="F260" s="18">
        <v>4914</v>
      </c>
      <c r="G260" s="22">
        <v>234</v>
      </c>
      <c r="H260" s="18">
        <v>1.91062698611111</v>
      </c>
      <c r="I260" s="18">
        <v>447.08671474999898</v>
      </c>
      <c r="J260" s="18">
        <v>4466.9132852499997</v>
      </c>
      <c r="K260" s="22">
        <v>0</v>
      </c>
      <c r="L260" s="22" t="str">
        <f t="shared" si="4"/>
        <v>46113, 1, 11</v>
      </c>
    </row>
    <row r="261" spans="1:12">
      <c r="A261" s="9">
        <v>46113</v>
      </c>
      <c r="B261">
        <v>1</v>
      </c>
      <c r="C261" s="16" t="s">
        <v>37</v>
      </c>
      <c r="D261">
        <v>12</v>
      </c>
      <c r="E261" s="16" t="s">
        <v>49</v>
      </c>
      <c r="F261" s="18">
        <v>3850</v>
      </c>
      <c r="G261" s="22">
        <v>175</v>
      </c>
      <c r="H261" s="18">
        <v>2.60334238988461</v>
      </c>
      <c r="I261" s="18">
        <v>455.58491822980699</v>
      </c>
      <c r="J261" s="18">
        <v>3394.4150817701902</v>
      </c>
      <c r="K261" s="22">
        <v>0</v>
      </c>
      <c r="L261" s="22" t="str">
        <f t="shared" si="4"/>
        <v>46113, 1, 12</v>
      </c>
    </row>
    <row r="262" spans="1:12">
      <c r="A262" s="9">
        <v>46113</v>
      </c>
      <c r="B262">
        <v>1</v>
      </c>
      <c r="C262" s="16" t="s">
        <v>37</v>
      </c>
      <c r="D262">
        <v>13</v>
      </c>
      <c r="E262" s="16" t="s">
        <v>50</v>
      </c>
      <c r="F262" s="18">
        <v>4048</v>
      </c>
      <c r="G262" s="22">
        <v>176</v>
      </c>
      <c r="H262" s="18">
        <v>6.7636495500000002</v>
      </c>
      <c r="I262" s="18">
        <v>1190.4023208000001</v>
      </c>
      <c r="J262" s="18">
        <v>2857.5976792000001</v>
      </c>
      <c r="K262" s="22">
        <v>0</v>
      </c>
      <c r="L262" s="22" t="str">
        <f t="shared" si="4"/>
        <v>46113, 1, 13</v>
      </c>
    </row>
    <row r="263" spans="1:12">
      <c r="A263" s="9">
        <v>46113</v>
      </c>
      <c r="B263">
        <v>1</v>
      </c>
      <c r="C263" s="16" t="s">
        <v>37</v>
      </c>
      <c r="D263">
        <v>14</v>
      </c>
      <c r="E263" s="16" t="s">
        <v>51</v>
      </c>
      <c r="F263" s="18">
        <v>4144</v>
      </c>
      <c r="G263" s="22">
        <v>148</v>
      </c>
      <c r="H263" s="18">
        <v>4.6396838406388801</v>
      </c>
      <c r="I263" s="18">
        <v>686.67320841455501</v>
      </c>
      <c r="J263" s="18">
        <v>3457.3267915854399</v>
      </c>
      <c r="K263" s="22">
        <v>0</v>
      </c>
      <c r="L263" s="22" t="str">
        <f t="shared" si="4"/>
        <v>46113, 1, 14</v>
      </c>
    </row>
    <row r="264" spans="1:12">
      <c r="A264" s="9">
        <v>46113</v>
      </c>
      <c r="B264">
        <v>1</v>
      </c>
      <c r="C264" s="16" t="s">
        <v>37</v>
      </c>
      <c r="D264">
        <v>15</v>
      </c>
      <c r="E264" s="16" t="s">
        <v>52</v>
      </c>
      <c r="F264" s="18">
        <v>3175</v>
      </c>
      <c r="G264" s="22">
        <v>127</v>
      </c>
      <c r="H264" s="18">
        <v>2.8629962263333302</v>
      </c>
      <c r="I264" s="18">
        <v>363.60052074433298</v>
      </c>
      <c r="J264" s="18">
        <v>2811.39947925566</v>
      </c>
      <c r="K264" s="22">
        <v>0</v>
      </c>
      <c r="L264" s="22" t="str">
        <f t="shared" si="4"/>
        <v>46113, 1, 15</v>
      </c>
    </row>
    <row r="265" spans="1:12">
      <c r="A265" s="9">
        <v>46113</v>
      </c>
      <c r="B265">
        <v>1</v>
      </c>
      <c r="C265" s="16" t="s">
        <v>37</v>
      </c>
      <c r="D265">
        <v>16</v>
      </c>
      <c r="E265" s="16" t="s">
        <v>53</v>
      </c>
      <c r="F265" s="18">
        <v>1665</v>
      </c>
      <c r="G265" s="22">
        <v>185</v>
      </c>
      <c r="H265" s="18">
        <v>1.5349565907407401</v>
      </c>
      <c r="I265" s="18">
        <v>283.96696928703699</v>
      </c>
      <c r="J265" s="18">
        <v>1381.03303071296</v>
      </c>
      <c r="K265" s="22">
        <v>0</v>
      </c>
      <c r="L265" s="22" t="str">
        <f t="shared" si="4"/>
        <v>46113, 1, 16</v>
      </c>
    </row>
    <row r="266" spans="1:12">
      <c r="A266" s="9">
        <v>46113</v>
      </c>
      <c r="B266">
        <v>1</v>
      </c>
      <c r="C266" s="16" t="s">
        <v>37</v>
      </c>
      <c r="D266">
        <v>17</v>
      </c>
      <c r="E266" s="16" t="s">
        <v>54</v>
      </c>
      <c r="F266" s="18">
        <v>1568</v>
      </c>
      <c r="G266" s="22">
        <v>196</v>
      </c>
      <c r="H266" s="18">
        <v>1.3836024757500001</v>
      </c>
      <c r="I266" s="18">
        <v>271.18608524699999</v>
      </c>
      <c r="J266" s="18">
        <v>1296.8139147530001</v>
      </c>
      <c r="K266" s="22">
        <v>0</v>
      </c>
      <c r="L266" s="22" t="str">
        <f t="shared" si="4"/>
        <v>46113, 1, 17</v>
      </c>
    </row>
    <row r="267" spans="1:12">
      <c r="A267" s="9">
        <v>46113</v>
      </c>
      <c r="B267">
        <v>1</v>
      </c>
      <c r="C267" s="16" t="s">
        <v>37</v>
      </c>
      <c r="D267">
        <v>18</v>
      </c>
      <c r="E267" s="16" t="s">
        <v>55</v>
      </c>
      <c r="F267" s="18">
        <v>2914</v>
      </c>
      <c r="G267" s="22">
        <v>124</v>
      </c>
      <c r="H267" s="18">
        <v>5.8403083026578901</v>
      </c>
      <c r="I267" s="18">
        <v>724.19822952957804</v>
      </c>
      <c r="J267" s="18">
        <v>2189.8017704704198</v>
      </c>
      <c r="K267" s="22">
        <v>0</v>
      </c>
      <c r="L267" s="22" t="str">
        <f t="shared" si="4"/>
        <v>46113, 1, 18</v>
      </c>
    </row>
    <row r="268" spans="1:12">
      <c r="A268" s="9">
        <v>46143</v>
      </c>
      <c r="B268">
        <v>1</v>
      </c>
      <c r="C268" s="16" t="s">
        <v>37</v>
      </c>
      <c r="D268">
        <v>1</v>
      </c>
      <c r="E268" s="16" t="s">
        <v>38</v>
      </c>
      <c r="F268" s="18">
        <v>6424</v>
      </c>
      <c r="G268" s="22">
        <v>292</v>
      </c>
      <c r="H268" s="18">
        <v>3.8845604318181799</v>
      </c>
      <c r="I268" s="18">
        <v>1134.2916460909</v>
      </c>
      <c r="J268" s="18">
        <v>5289.70835390909</v>
      </c>
      <c r="K268" s="22">
        <v>0</v>
      </c>
      <c r="L268" s="22" t="str">
        <f t="shared" si="4"/>
        <v>46143, 1, 1</v>
      </c>
    </row>
    <row r="269" spans="1:12">
      <c r="A269" s="9">
        <v>46143</v>
      </c>
      <c r="B269">
        <v>1</v>
      </c>
      <c r="C269" s="16" t="s">
        <v>37</v>
      </c>
      <c r="D269">
        <v>2</v>
      </c>
      <c r="E269" s="16" t="s">
        <v>40</v>
      </c>
      <c r="F269" s="18">
        <v>7920</v>
      </c>
      <c r="G269" s="22">
        <v>330</v>
      </c>
      <c r="H269" s="18">
        <v>6.8691472065263097</v>
      </c>
      <c r="I269" s="18">
        <v>2266.8185781536799</v>
      </c>
      <c r="J269" s="18">
        <v>5653.1814218463096</v>
      </c>
      <c r="K269" s="22">
        <v>0</v>
      </c>
      <c r="L269" s="22" t="str">
        <f t="shared" si="4"/>
        <v>46143, 1, 2</v>
      </c>
    </row>
    <row r="270" spans="1:12">
      <c r="A270" s="9">
        <v>46143</v>
      </c>
      <c r="B270">
        <v>1</v>
      </c>
      <c r="C270" s="16" t="s">
        <v>37</v>
      </c>
      <c r="D270">
        <v>3</v>
      </c>
      <c r="E270" s="16" t="s">
        <v>41</v>
      </c>
      <c r="F270" s="18">
        <v>3672</v>
      </c>
      <c r="G270" s="22">
        <v>144</v>
      </c>
      <c r="H270" s="18">
        <v>3.6277926927692299</v>
      </c>
      <c r="I270" s="18">
        <v>522.40214775876905</v>
      </c>
      <c r="J270" s="18">
        <v>3149.5978522412302</v>
      </c>
      <c r="K270" s="22">
        <v>0</v>
      </c>
      <c r="L270" s="22" t="str">
        <f t="shared" si="4"/>
        <v>46143, 1, 3</v>
      </c>
    </row>
    <row r="271" spans="1:12">
      <c r="A271" s="9">
        <v>46143</v>
      </c>
      <c r="B271">
        <v>1</v>
      </c>
      <c r="C271" s="16" t="s">
        <v>37</v>
      </c>
      <c r="D271">
        <v>4</v>
      </c>
      <c r="E271" s="16" t="s">
        <v>42</v>
      </c>
      <c r="F271" s="18">
        <v>5229</v>
      </c>
      <c r="G271" s="22">
        <v>249</v>
      </c>
      <c r="H271" s="18">
        <v>7.0700474817646999</v>
      </c>
      <c r="I271" s="18">
        <v>1760.44182295941</v>
      </c>
      <c r="J271" s="18">
        <v>3468.5581770405802</v>
      </c>
      <c r="K271" s="22">
        <v>0</v>
      </c>
      <c r="L271" s="22" t="str">
        <f t="shared" si="4"/>
        <v>46143, 1, 4</v>
      </c>
    </row>
    <row r="272" spans="1:12">
      <c r="A272" s="9">
        <v>46143</v>
      </c>
      <c r="B272">
        <v>1</v>
      </c>
      <c r="C272" s="16" t="s">
        <v>37</v>
      </c>
      <c r="D272">
        <v>5</v>
      </c>
      <c r="E272" s="16" t="s">
        <v>43</v>
      </c>
      <c r="F272" s="18">
        <v>3549</v>
      </c>
      <c r="G272" s="22">
        <v>169</v>
      </c>
      <c r="H272" s="18">
        <v>6.4802343750000002</v>
      </c>
      <c r="I272" s="18">
        <v>1095.1596093749999</v>
      </c>
      <c r="J272" s="18">
        <v>2453.8403906250001</v>
      </c>
      <c r="K272" s="22">
        <v>0</v>
      </c>
      <c r="L272" s="22" t="str">
        <f t="shared" si="4"/>
        <v>46143, 1, 5</v>
      </c>
    </row>
    <row r="273" spans="1:12">
      <c r="A273" s="9">
        <v>46143</v>
      </c>
      <c r="B273">
        <v>1</v>
      </c>
      <c r="C273" s="16" t="s">
        <v>37</v>
      </c>
      <c r="D273">
        <v>6</v>
      </c>
      <c r="E273" s="16" t="s">
        <v>44</v>
      </c>
      <c r="F273" s="18">
        <v>3726</v>
      </c>
      <c r="G273" s="22">
        <v>162</v>
      </c>
      <c r="H273" s="18">
        <v>4.6403340236785704</v>
      </c>
      <c r="I273" s="18">
        <v>751.73411183592805</v>
      </c>
      <c r="J273" s="18">
        <v>2974.26588816407</v>
      </c>
      <c r="K273" s="22">
        <v>0</v>
      </c>
      <c r="L273" s="22" t="str">
        <f t="shared" si="4"/>
        <v>46143, 1, 6</v>
      </c>
    </row>
    <row r="274" spans="1:12">
      <c r="A274" s="9">
        <v>46143</v>
      </c>
      <c r="B274">
        <v>1</v>
      </c>
      <c r="C274" s="16" t="s">
        <v>37</v>
      </c>
      <c r="D274">
        <v>7</v>
      </c>
      <c r="E274" s="16" t="s">
        <v>45</v>
      </c>
      <c r="F274" s="18">
        <v>2404.5</v>
      </c>
      <c r="G274" s="22">
        <v>229</v>
      </c>
      <c r="H274" s="18">
        <v>2.8613046778750002</v>
      </c>
      <c r="I274" s="18">
        <v>655.23877123337502</v>
      </c>
      <c r="J274" s="18">
        <v>1749.26122876662</v>
      </c>
      <c r="K274" s="22">
        <v>0</v>
      </c>
      <c r="L274" s="22" t="str">
        <f t="shared" si="4"/>
        <v>46143, 1, 7</v>
      </c>
    </row>
    <row r="275" spans="1:12">
      <c r="A275" s="9">
        <v>46143</v>
      </c>
      <c r="B275">
        <v>1</v>
      </c>
      <c r="C275" s="16" t="s">
        <v>37</v>
      </c>
      <c r="D275">
        <v>8</v>
      </c>
      <c r="E275" s="16" t="s">
        <v>46</v>
      </c>
      <c r="F275" s="18">
        <v>2187.5</v>
      </c>
      <c r="G275" s="22">
        <v>175</v>
      </c>
      <c r="H275" s="18">
        <v>0.72222692527777699</v>
      </c>
      <c r="I275" s="18">
        <v>126.389711923611</v>
      </c>
      <c r="J275" s="18">
        <v>2061.1102880763801</v>
      </c>
      <c r="K275" s="22">
        <v>0</v>
      </c>
      <c r="L275" s="22" t="str">
        <f t="shared" si="4"/>
        <v>46143, 1, 8</v>
      </c>
    </row>
    <row r="276" spans="1:12">
      <c r="A276" s="9">
        <v>46143</v>
      </c>
      <c r="B276">
        <v>1</v>
      </c>
      <c r="C276" s="16" t="s">
        <v>37</v>
      </c>
      <c r="D276">
        <v>9</v>
      </c>
      <c r="E276" s="16" t="s">
        <v>47</v>
      </c>
      <c r="F276" s="18">
        <v>4653</v>
      </c>
      <c r="G276" s="22">
        <v>94</v>
      </c>
      <c r="H276" s="18">
        <v>18.3664475282628</v>
      </c>
      <c r="I276" s="18">
        <v>1726.4460676567001</v>
      </c>
      <c r="J276" s="18">
        <v>2926.5539323432899</v>
      </c>
      <c r="K276" s="22">
        <v>0</v>
      </c>
      <c r="L276" s="22" t="str">
        <f t="shared" si="4"/>
        <v>46143, 1, 9</v>
      </c>
    </row>
    <row r="277" spans="1:12">
      <c r="A277" s="9">
        <v>46143</v>
      </c>
      <c r="B277">
        <v>1</v>
      </c>
      <c r="C277" s="16" t="s">
        <v>37</v>
      </c>
      <c r="D277">
        <v>11</v>
      </c>
      <c r="E277" s="16" t="s">
        <v>48</v>
      </c>
      <c r="F277" s="18">
        <v>4977</v>
      </c>
      <c r="G277" s="22">
        <v>237</v>
      </c>
      <c r="H277" s="18">
        <v>1.8898424305555499</v>
      </c>
      <c r="I277" s="18">
        <v>447.89265604166599</v>
      </c>
      <c r="J277" s="18">
        <v>4529.1073439583297</v>
      </c>
      <c r="K277" s="22">
        <v>0</v>
      </c>
      <c r="L277" s="22" t="str">
        <f t="shared" si="4"/>
        <v>46143, 1, 11</v>
      </c>
    </row>
    <row r="278" spans="1:12">
      <c r="A278" s="9">
        <v>46143</v>
      </c>
      <c r="B278">
        <v>1</v>
      </c>
      <c r="C278" s="16" t="s">
        <v>37</v>
      </c>
      <c r="D278">
        <v>12</v>
      </c>
      <c r="E278" s="16" t="s">
        <v>49</v>
      </c>
      <c r="F278" s="18">
        <v>4334</v>
      </c>
      <c r="G278" s="22">
        <v>197</v>
      </c>
      <c r="H278" s="18">
        <v>2.5591002594166601</v>
      </c>
      <c r="I278" s="18">
        <v>504.14275110508299</v>
      </c>
      <c r="J278" s="18">
        <v>3829.8572488949098</v>
      </c>
      <c r="K278" s="22">
        <v>0</v>
      </c>
      <c r="L278" s="22" t="str">
        <f t="shared" si="4"/>
        <v>46143, 1, 12</v>
      </c>
    </row>
    <row r="279" spans="1:12">
      <c r="A279" s="9">
        <v>46143</v>
      </c>
      <c r="B279">
        <v>1</v>
      </c>
      <c r="C279" s="16" t="s">
        <v>37</v>
      </c>
      <c r="D279">
        <v>13</v>
      </c>
      <c r="E279" s="16" t="s">
        <v>50</v>
      </c>
      <c r="F279" s="18">
        <v>3680</v>
      </c>
      <c r="G279" s="22">
        <v>160</v>
      </c>
      <c r="H279" s="18">
        <v>6.7823484736842099</v>
      </c>
      <c r="I279" s="18">
        <v>1085.17575578947</v>
      </c>
      <c r="J279" s="18">
        <v>2594.8242442105202</v>
      </c>
      <c r="K279" s="22">
        <v>0</v>
      </c>
      <c r="L279" s="22" t="str">
        <f t="shared" si="4"/>
        <v>46143, 1, 13</v>
      </c>
    </row>
    <row r="280" spans="1:12">
      <c r="A280" s="9">
        <v>46143</v>
      </c>
      <c r="B280">
        <v>1</v>
      </c>
      <c r="C280" s="16" t="s">
        <v>37</v>
      </c>
      <c r="D280">
        <v>14</v>
      </c>
      <c r="E280" s="16" t="s">
        <v>51</v>
      </c>
      <c r="F280" s="18">
        <v>4368</v>
      </c>
      <c r="G280" s="22">
        <v>156</v>
      </c>
      <c r="H280" s="18">
        <v>4.6594565350333301</v>
      </c>
      <c r="I280" s="18">
        <v>726.87521946519905</v>
      </c>
      <c r="J280" s="18">
        <v>3641.1247805347998</v>
      </c>
      <c r="K280" s="22">
        <v>0</v>
      </c>
      <c r="L280" s="22" t="str">
        <f t="shared" si="4"/>
        <v>46143, 1, 14</v>
      </c>
    </row>
    <row r="281" spans="1:12">
      <c r="A281" s="9">
        <v>46143</v>
      </c>
      <c r="B281">
        <v>1</v>
      </c>
      <c r="C281" s="16" t="s">
        <v>37</v>
      </c>
      <c r="D281">
        <v>15</v>
      </c>
      <c r="E281" s="16" t="s">
        <v>52</v>
      </c>
      <c r="F281" s="18">
        <v>5450</v>
      </c>
      <c r="G281" s="22">
        <v>218</v>
      </c>
      <c r="H281" s="18">
        <v>2.8578650784000001</v>
      </c>
      <c r="I281" s="18">
        <v>623.01458709120004</v>
      </c>
      <c r="J281" s="18">
        <v>4826.9854129087998</v>
      </c>
      <c r="K281" s="22">
        <v>0</v>
      </c>
      <c r="L281" s="22" t="str">
        <f t="shared" si="4"/>
        <v>46143, 1, 15</v>
      </c>
    </row>
    <row r="282" spans="1:12">
      <c r="A282" s="9">
        <v>46143</v>
      </c>
      <c r="B282">
        <v>1</v>
      </c>
      <c r="C282" s="16" t="s">
        <v>37</v>
      </c>
      <c r="D282">
        <v>16</v>
      </c>
      <c r="E282" s="16" t="s">
        <v>53</v>
      </c>
      <c r="F282" s="18">
        <v>1521</v>
      </c>
      <c r="G282" s="22">
        <v>169</v>
      </c>
      <c r="H282" s="18">
        <v>1.5481078795833301</v>
      </c>
      <c r="I282" s="18">
        <v>261.63023164958298</v>
      </c>
      <c r="J282" s="18">
        <v>1259.3697683504099</v>
      </c>
      <c r="K282" s="22">
        <v>0</v>
      </c>
      <c r="L282" s="22" t="str">
        <f t="shared" si="4"/>
        <v>46143, 1, 16</v>
      </c>
    </row>
    <row r="283" spans="1:12">
      <c r="A283" s="9">
        <v>46143</v>
      </c>
      <c r="B283">
        <v>1</v>
      </c>
      <c r="C283" s="16" t="s">
        <v>37</v>
      </c>
      <c r="D283">
        <v>17</v>
      </c>
      <c r="E283" s="16" t="s">
        <v>54</v>
      </c>
      <c r="F283" s="18">
        <v>1856</v>
      </c>
      <c r="G283" s="22">
        <v>232</v>
      </c>
      <c r="H283" s="18">
        <v>1.3739797318421001</v>
      </c>
      <c r="I283" s="18">
        <v>318.763297787368</v>
      </c>
      <c r="J283" s="18">
        <v>1537.23670221263</v>
      </c>
      <c r="K283" s="22">
        <v>0</v>
      </c>
      <c r="L283" s="22" t="str">
        <f t="shared" si="4"/>
        <v>46143, 1, 17</v>
      </c>
    </row>
    <row r="284" spans="1:12">
      <c r="A284" s="9">
        <v>46143</v>
      </c>
      <c r="B284">
        <v>1</v>
      </c>
      <c r="C284" s="16" t="s">
        <v>37</v>
      </c>
      <c r="D284">
        <v>18</v>
      </c>
      <c r="E284" s="16" t="s">
        <v>55</v>
      </c>
      <c r="F284" s="18">
        <v>3102</v>
      </c>
      <c r="G284" s="22">
        <v>132</v>
      </c>
      <c r="H284" s="18">
        <v>5.8456920888088204</v>
      </c>
      <c r="I284" s="18">
        <v>771.63135572276406</v>
      </c>
      <c r="J284" s="18">
        <v>2330.36864427723</v>
      </c>
      <c r="K284" s="22">
        <v>0</v>
      </c>
      <c r="L284" s="22" t="str">
        <f t="shared" si="4"/>
        <v>46143, 1, 18</v>
      </c>
    </row>
    <row r="285" spans="1:12">
      <c r="A285" s="9">
        <v>46174</v>
      </c>
      <c r="B285">
        <v>1</v>
      </c>
      <c r="C285" s="16" t="s">
        <v>37</v>
      </c>
      <c r="D285">
        <v>1</v>
      </c>
      <c r="E285" s="16" t="s">
        <v>38</v>
      </c>
      <c r="F285" s="18">
        <v>5852</v>
      </c>
      <c r="G285" s="22">
        <v>266</v>
      </c>
      <c r="H285" s="18">
        <v>3.9331443125000001</v>
      </c>
      <c r="I285" s="18">
        <v>1046.216387125</v>
      </c>
      <c r="J285" s="18">
        <v>4805.7836128749996</v>
      </c>
      <c r="K285" s="22">
        <v>0</v>
      </c>
      <c r="L285" s="22" t="str">
        <f t="shared" si="4"/>
        <v>46174, 1, 1</v>
      </c>
    </row>
    <row r="286" spans="1:12">
      <c r="A286" s="9">
        <v>46174</v>
      </c>
      <c r="B286">
        <v>1</v>
      </c>
      <c r="C286" s="16" t="s">
        <v>37</v>
      </c>
      <c r="D286">
        <v>2</v>
      </c>
      <c r="E286" s="16" t="s">
        <v>40</v>
      </c>
      <c r="F286" s="18">
        <v>7488</v>
      </c>
      <c r="G286" s="22">
        <v>312</v>
      </c>
      <c r="H286" s="18">
        <v>6.8441076638947296</v>
      </c>
      <c r="I286" s="18">
        <v>2135.3615911351499</v>
      </c>
      <c r="J286" s="18">
        <v>5352.6384088648401</v>
      </c>
      <c r="K286" s="22">
        <v>0</v>
      </c>
      <c r="L286" s="22" t="str">
        <f t="shared" si="4"/>
        <v>46174, 1, 2</v>
      </c>
    </row>
    <row r="287" spans="1:12">
      <c r="A287" s="9">
        <v>46174</v>
      </c>
      <c r="B287">
        <v>1</v>
      </c>
      <c r="C287" s="16" t="s">
        <v>37</v>
      </c>
      <c r="D287">
        <v>3</v>
      </c>
      <c r="E287" s="16" t="s">
        <v>41</v>
      </c>
      <c r="F287" s="18">
        <v>3162</v>
      </c>
      <c r="G287" s="22">
        <v>124</v>
      </c>
      <c r="H287" s="18">
        <v>3.6347818848750002</v>
      </c>
      <c r="I287" s="18">
        <v>450.71295372449998</v>
      </c>
      <c r="J287" s="18">
        <v>2711.2870462755</v>
      </c>
      <c r="K287" s="22">
        <v>0</v>
      </c>
      <c r="L287" s="22" t="str">
        <f t="shared" si="4"/>
        <v>46174, 1, 3</v>
      </c>
    </row>
    <row r="288" spans="1:12">
      <c r="A288" s="9">
        <v>46174</v>
      </c>
      <c r="B288">
        <v>1</v>
      </c>
      <c r="C288" s="16" t="s">
        <v>37</v>
      </c>
      <c r="D288">
        <v>4</v>
      </c>
      <c r="E288" s="16" t="s">
        <v>42</v>
      </c>
      <c r="F288" s="18">
        <v>4935</v>
      </c>
      <c r="G288" s="22">
        <v>235</v>
      </c>
      <c r="H288" s="18">
        <v>6.9200160430000004</v>
      </c>
      <c r="I288" s="18">
        <v>1626.2037701050001</v>
      </c>
      <c r="J288" s="18">
        <v>3308.7962298950001</v>
      </c>
      <c r="K288" s="22">
        <v>0</v>
      </c>
      <c r="L288" s="22" t="str">
        <f t="shared" si="4"/>
        <v>46174, 1, 4</v>
      </c>
    </row>
    <row r="289" spans="1:12">
      <c r="A289" s="9">
        <v>46174</v>
      </c>
      <c r="B289">
        <v>1</v>
      </c>
      <c r="C289" s="16" t="s">
        <v>37</v>
      </c>
      <c r="D289">
        <v>5</v>
      </c>
      <c r="E289" s="16" t="s">
        <v>43</v>
      </c>
      <c r="F289" s="18">
        <v>3045</v>
      </c>
      <c r="G289" s="22">
        <v>145</v>
      </c>
      <c r="H289" s="18">
        <v>6.2514583333333302</v>
      </c>
      <c r="I289" s="18">
        <v>906.46145833333298</v>
      </c>
      <c r="J289" s="18">
        <v>2138.53854166666</v>
      </c>
      <c r="K289" s="22">
        <v>0</v>
      </c>
      <c r="L289" s="22" t="str">
        <f t="shared" si="4"/>
        <v>46174, 1, 5</v>
      </c>
    </row>
    <row r="290" spans="1:12">
      <c r="A290" s="9">
        <v>46174</v>
      </c>
      <c r="B290">
        <v>1</v>
      </c>
      <c r="C290" s="16" t="s">
        <v>37</v>
      </c>
      <c r="D290">
        <v>6</v>
      </c>
      <c r="E290" s="16" t="s">
        <v>44</v>
      </c>
      <c r="F290" s="18">
        <v>3059</v>
      </c>
      <c r="G290" s="22">
        <v>133</v>
      </c>
      <c r="H290" s="18">
        <v>4.6761717496250004</v>
      </c>
      <c r="I290" s="18">
        <v>621.93084270012503</v>
      </c>
      <c r="J290" s="18">
        <v>2437.0691572998699</v>
      </c>
      <c r="K290" s="22">
        <v>0</v>
      </c>
      <c r="L290" s="22" t="str">
        <f t="shared" si="4"/>
        <v>46174, 1, 6</v>
      </c>
    </row>
    <row r="291" spans="1:12">
      <c r="A291" s="9">
        <v>46174</v>
      </c>
      <c r="B291">
        <v>1</v>
      </c>
      <c r="C291" s="16" t="s">
        <v>37</v>
      </c>
      <c r="D291">
        <v>7</v>
      </c>
      <c r="E291" s="16" t="s">
        <v>45</v>
      </c>
      <c r="F291" s="18">
        <v>1858.5</v>
      </c>
      <c r="G291" s="22">
        <v>177</v>
      </c>
      <c r="H291" s="18">
        <v>2.8936805318420999</v>
      </c>
      <c r="I291" s="18">
        <v>512.18145413605203</v>
      </c>
      <c r="J291" s="18">
        <v>1346.31854586394</v>
      </c>
      <c r="K291" s="22">
        <v>0</v>
      </c>
      <c r="L291" s="22" t="str">
        <f t="shared" si="4"/>
        <v>46174, 1, 7</v>
      </c>
    </row>
    <row r="292" spans="1:12">
      <c r="A292" s="9">
        <v>46174</v>
      </c>
      <c r="B292">
        <v>1</v>
      </c>
      <c r="C292" s="16" t="s">
        <v>37</v>
      </c>
      <c r="D292">
        <v>8</v>
      </c>
      <c r="E292" s="16" t="s">
        <v>46</v>
      </c>
      <c r="F292" s="18">
        <v>1712.5</v>
      </c>
      <c r="G292" s="22">
        <v>137</v>
      </c>
      <c r="H292" s="18">
        <v>0.72224977461538398</v>
      </c>
      <c r="I292" s="18">
        <v>98.948219122307606</v>
      </c>
      <c r="J292" s="18">
        <v>1613.5517808776899</v>
      </c>
      <c r="K292" s="22">
        <v>0</v>
      </c>
      <c r="L292" s="22" t="str">
        <f t="shared" si="4"/>
        <v>46174, 1, 8</v>
      </c>
    </row>
    <row r="293" spans="1:12">
      <c r="A293" s="9">
        <v>46174</v>
      </c>
      <c r="B293">
        <v>1</v>
      </c>
      <c r="C293" s="16" t="s">
        <v>37</v>
      </c>
      <c r="D293">
        <v>9</v>
      </c>
      <c r="E293" s="16" t="s">
        <v>47</v>
      </c>
      <c r="F293" s="18">
        <v>2376</v>
      </c>
      <c r="G293" s="22">
        <v>48</v>
      </c>
      <c r="H293" s="18">
        <v>18.390981387303299</v>
      </c>
      <c r="I293" s="18">
        <v>882.76710659055902</v>
      </c>
      <c r="J293" s="18">
        <v>1493.2328934094401</v>
      </c>
      <c r="K293" s="22">
        <v>0</v>
      </c>
      <c r="L293" s="22" t="str">
        <f t="shared" si="4"/>
        <v>46174, 1, 9</v>
      </c>
    </row>
    <row r="294" spans="1:12">
      <c r="A294" s="9">
        <v>46174</v>
      </c>
      <c r="B294">
        <v>1</v>
      </c>
      <c r="C294" s="16" t="s">
        <v>37</v>
      </c>
      <c r="D294">
        <v>11</v>
      </c>
      <c r="E294" s="16" t="s">
        <v>48</v>
      </c>
      <c r="F294" s="18">
        <v>5502</v>
      </c>
      <c r="G294" s="22">
        <v>262</v>
      </c>
      <c r="H294" s="18">
        <v>1.8931040795454499</v>
      </c>
      <c r="I294" s="18">
        <v>495.99326884090902</v>
      </c>
      <c r="J294" s="18">
        <v>5006.0067311590901</v>
      </c>
      <c r="K294" s="22">
        <v>0</v>
      </c>
      <c r="L294" s="22" t="str">
        <f t="shared" si="4"/>
        <v>46174, 1, 11</v>
      </c>
    </row>
    <row r="295" spans="1:12">
      <c r="A295" s="9">
        <v>46174</v>
      </c>
      <c r="B295">
        <v>1</v>
      </c>
      <c r="C295" s="16" t="s">
        <v>37</v>
      </c>
      <c r="D295">
        <v>12</v>
      </c>
      <c r="E295" s="16" t="s">
        <v>49</v>
      </c>
      <c r="F295" s="18">
        <v>4158</v>
      </c>
      <c r="G295" s="22">
        <v>189</v>
      </c>
      <c r="H295" s="18">
        <v>2.5679473017307601</v>
      </c>
      <c r="I295" s="18">
        <v>485.34204002711499</v>
      </c>
      <c r="J295" s="18">
        <v>3672.6579599728798</v>
      </c>
      <c r="K295" s="22">
        <v>0</v>
      </c>
      <c r="L295" s="22" t="str">
        <f t="shared" si="4"/>
        <v>46174, 1, 12</v>
      </c>
    </row>
    <row r="296" spans="1:12">
      <c r="A296" s="9">
        <v>46174</v>
      </c>
      <c r="B296">
        <v>1</v>
      </c>
      <c r="C296" s="16" t="s">
        <v>37</v>
      </c>
      <c r="D296">
        <v>13</v>
      </c>
      <c r="E296" s="16" t="s">
        <v>50</v>
      </c>
      <c r="F296" s="18">
        <v>3266</v>
      </c>
      <c r="G296" s="22">
        <v>142</v>
      </c>
      <c r="H296" s="18">
        <v>6.7806050526315698</v>
      </c>
      <c r="I296" s="18">
        <v>962.84591747368404</v>
      </c>
      <c r="J296" s="18">
        <v>2303.15408252631</v>
      </c>
      <c r="K296" s="22">
        <v>0</v>
      </c>
      <c r="L296" s="22" t="str">
        <f t="shared" si="4"/>
        <v>46174, 1, 13</v>
      </c>
    </row>
    <row r="297" spans="1:12">
      <c r="A297" s="9">
        <v>46174</v>
      </c>
      <c r="B297">
        <v>1</v>
      </c>
      <c r="C297" s="16" t="s">
        <v>37</v>
      </c>
      <c r="D297">
        <v>14</v>
      </c>
      <c r="E297" s="16" t="s">
        <v>51</v>
      </c>
      <c r="F297" s="18">
        <v>3304</v>
      </c>
      <c r="G297" s="22">
        <v>118</v>
      </c>
      <c r="H297" s="18">
        <v>4.6523423799444403</v>
      </c>
      <c r="I297" s="18">
        <v>548.97640083344402</v>
      </c>
      <c r="J297" s="18">
        <v>2755.02359916655</v>
      </c>
      <c r="K297" s="22">
        <v>0</v>
      </c>
      <c r="L297" s="22" t="str">
        <f t="shared" si="4"/>
        <v>46174, 1, 14</v>
      </c>
    </row>
    <row r="298" spans="1:12">
      <c r="A298" s="9">
        <v>46174</v>
      </c>
      <c r="B298">
        <v>1</v>
      </c>
      <c r="C298" s="16" t="s">
        <v>37</v>
      </c>
      <c r="D298">
        <v>15</v>
      </c>
      <c r="E298" s="16" t="s">
        <v>52</v>
      </c>
      <c r="F298" s="18">
        <v>4425</v>
      </c>
      <c r="G298" s="22">
        <v>177</v>
      </c>
      <c r="H298" s="18">
        <v>2.8401875990000001</v>
      </c>
      <c r="I298" s="18">
        <v>502.713205023</v>
      </c>
      <c r="J298" s="18">
        <v>3922.2867949770002</v>
      </c>
      <c r="K298" s="22">
        <v>0</v>
      </c>
      <c r="L298" s="22" t="str">
        <f t="shared" si="4"/>
        <v>46174, 1, 15</v>
      </c>
    </row>
    <row r="299" spans="1:12">
      <c r="A299" s="9">
        <v>46174</v>
      </c>
      <c r="B299">
        <v>1</v>
      </c>
      <c r="C299" s="16" t="s">
        <v>37</v>
      </c>
      <c r="D299">
        <v>16</v>
      </c>
      <c r="E299" s="16" t="s">
        <v>53</v>
      </c>
      <c r="F299" s="18">
        <v>1422</v>
      </c>
      <c r="G299" s="22">
        <v>158</v>
      </c>
      <c r="H299" s="18">
        <v>1.54362585083333</v>
      </c>
      <c r="I299" s="18">
        <v>243.892884431666</v>
      </c>
      <c r="J299" s="18">
        <v>1178.1071155683301</v>
      </c>
      <c r="K299" s="22">
        <v>0</v>
      </c>
      <c r="L299" s="22" t="str">
        <f t="shared" si="4"/>
        <v>46174, 1, 16</v>
      </c>
    </row>
    <row r="300" spans="1:12">
      <c r="A300" s="9">
        <v>46174</v>
      </c>
      <c r="B300">
        <v>1</v>
      </c>
      <c r="C300" s="16" t="s">
        <v>37</v>
      </c>
      <c r="D300">
        <v>17</v>
      </c>
      <c r="E300" s="16" t="s">
        <v>54</v>
      </c>
      <c r="F300" s="18">
        <v>1712</v>
      </c>
      <c r="G300" s="22">
        <v>214</v>
      </c>
      <c r="H300" s="18">
        <v>1.38941839947368</v>
      </c>
      <c r="I300" s="18">
        <v>297.33553748736801</v>
      </c>
      <c r="J300" s="18">
        <v>1414.6644625126301</v>
      </c>
      <c r="K300" s="22">
        <v>0</v>
      </c>
      <c r="L300" s="22" t="str">
        <f t="shared" si="4"/>
        <v>46174, 1, 17</v>
      </c>
    </row>
    <row r="301" spans="1:12">
      <c r="A301" s="9">
        <v>46174</v>
      </c>
      <c r="B301">
        <v>1</v>
      </c>
      <c r="C301" s="16" t="s">
        <v>37</v>
      </c>
      <c r="D301">
        <v>18</v>
      </c>
      <c r="E301" s="16" t="s">
        <v>55</v>
      </c>
      <c r="F301" s="18">
        <v>3125.5</v>
      </c>
      <c r="G301" s="22">
        <v>133</v>
      </c>
      <c r="H301" s="18">
        <v>5.8575561452083296</v>
      </c>
      <c r="I301" s="18">
        <v>779.05496731270796</v>
      </c>
      <c r="J301" s="18">
        <v>2346.4450326872902</v>
      </c>
      <c r="K301" s="22">
        <v>0</v>
      </c>
      <c r="L301" s="22" t="str">
        <f t="shared" si="4"/>
        <v>46174, 1, 18</v>
      </c>
    </row>
    <row r="302" spans="1:12">
      <c r="A302" s="9">
        <v>46204</v>
      </c>
      <c r="B302">
        <v>1</v>
      </c>
      <c r="C302" s="16" t="s">
        <v>37</v>
      </c>
      <c r="D302">
        <v>1</v>
      </c>
      <c r="E302" s="16" t="s">
        <v>38</v>
      </c>
      <c r="F302" s="18">
        <v>6534</v>
      </c>
      <c r="G302" s="22">
        <v>297</v>
      </c>
      <c r="H302" s="18">
        <v>3.9716720833333299</v>
      </c>
      <c r="I302" s="18">
        <v>1179.5866087499901</v>
      </c>
      <c r="J302" s="18">
        <v>5354.4133912500001</v>
      </c>
      <c r="K302" s="22">
        <v>0</v>
      </c>
      <c r="L302" s="22" t="str">
        <f t="shared" si="4"/>
        <v>46204, 1, 1</v>
      </c>
    </row>
    <row r="303" spans="1:12">
      <c r="A303" s="9">
        <v>46204</v>
      </c>
      <c r="B303">
        <v>1</v>
      </c>
      <c r="C303" s="16" t="s">
        <v>37</v>
      </c>
      <c r="D303">
        <v>2</v>
      </c>
      <c r="E303" s="16" t="s">
        <v>40</v>
      </c>
      <c r="F303" s="18">
        <v>7992</v>
      </c>
      <c r="G303" s="22">
        <v>333</v>
      </c>
      <c r="H303" s="18">
        <v>6.8443090142857104</v>
      </c>
      <c r="I303" s="18">
        <v>2279.1549017571401</v>
      </c>
      <c r="J303" s="18">
        <v>5712.8450982428503</v>
      </c>
      <c r="K303" s="22">
        <v>0</v>
      </c>
      <c r="L303" s="22" t="str">
        <f t="shared" si="4"/>
        <v>46204, 1, 2</v>
      </c>
    </row>
    <row r="304" spans="1:12">
      <c r="A304" s="9">
        <v>46204</v>
      </c>
      <c r="B304">
        <v>1</v>
      </c>
      <c r="C304" s="16" t="s">
        <v>37</v>
      </c>
      <c r="D304">
        <v>3</v>
      </c>
      <c r="E304" s="16" t="s">
        <v>41</v>
      </c>
      <c r="F304" s="18">
        <v>2958</v>
      </c>
      <c r="G304" s="22">
        <v>116</v>
      </c>
      <c r="H304" s="18">
        <v>3.6502201105333301</v>
      </c>
      <c r="I304" s="18">
        <v>423.425532821866</v>
      </c>
      <c r="J304" s="18">
        <v>2534.5744671781299</v>
      </c>
      <c r="K304" s="22">
        <v>0</v>
      </c>
      <c r="L304" s="22" t="str">
        <f t="shared" si="4"/>
        <v>46204, 1, 3</v>
      </c>
    </row>
    <row r="305" spans="1:12">
      <c r="A305" s="9">
        <v>46204</v>
      </c>
      <c r="B305">
        <v>1</v>
      </c>
      <c r="C305" s="16" t="s">
        <v>37</v>
      </c>
      <c r="D305">
        <v>4</v>
      </c>
      <c r="E305" s="16" t="s">
        <v>42</v>
      </c>
      <c r="F305" s="18">
        <v>5901</v>
      </c>
      <c r="G305" s="22">
        <v>281</v>
      </c>
      <c r="H305" s="18">
        <v>6.8807687500999997</v>
      </c>
      <c r="I305" s="18">
        <v>1933.4960187781001</v>
      </c>
      <c r="J305" s="18">
        <v>3967.5039812219002</v>
      </c>
      <c r="K305" s="22">
        <v>0</v>
      </c>
      <c r="L305" s="22" t="str">
        <f t="shared" si="4"/>
        <v>46204, 1, 4</v>
      </c>
    </row>
    <row r="306" spans="1:12">
      <c r="A306" s="9">
        <v>46204</v>
      </c>
      <c r="B306">
        <v>1</v>
      </c>
      <c r="C306" s="16" t="s">
        <v>37</v>
      </c>
      <c r="D306">
        <v>5</v>
      </c>
      <c r="E306" s="16" t="s">
        <v>43</v>
      </c>
      <c r="F306" s="18">
        <v>3339</v>
      </c>
      <c r="G306" s="22">
        <v>159</v>
      </c>
      <c r="H306" s="18">
        <v>6.2368750000000004</v>
      </c>
      <c r="I306" s="18">
        <v>991.66312500000004</v>
      </c>
      <c r="J306" s="18">
        <v>2347.336875</v>
      </c>
      <c r="K306" s="22">
        <v>0</v>
      </c>
      <c r="L306" s="22" t="str">
        <f t="shared" si="4"/>
        <v>46204, 1, 5</v>
      </c>
    </row>
    <row r="307" spans="1:12">
      <c r="A307" s="9">
        <v>46204</v>
      </c>
      <c r="B307">
        <v>1</v>
      </c>
      <c r="C307" s="16" t="s">
        <v>37</v>
      </c>
      <c r="D307">
        <v>6</v>
      </c>
      <c r="E307" s="16" t="s">
        <v>44</v>
      </c>
      <c r="F307" s="18">
        <v>3496</v>
      </c>
      <c r="G307" s="22">
        <v>152</v>
      </c>
      <c r="H307" s="18">
        <v>4.7126397180000001</v>
      </c>
      <c r="I307" s="18">
        <v>716.32123713600004</v>
      </c>
      <c r="J307" s="18">
        <v>2779.678762864</v>
      </c>
      <c r="K307" s="22">
        <v>0</v>
      </c>
      <c r="L307" s="22" t="str">
        <f t="shared" si="4"/>
        <v>46204, 1, 6</v>
      </c>
    </row>
    <row r="308" spans="1:12">
      <c r="A308" s="9">
        <v>46204</v>
      </c>
      <c r="B308">
        <v>1</v>
      </c>
      <c r="C308" s="16" t="s">
        <v>37</v>
      </c>
      <c r="D308">
        <v>7</v>
      </c>
      <c r="E308" s="16" t="s">
        <v>45</v>
      </c>
      <c r="F308" s="18">
        <v>2719.5</v>
      </c>
      <c r="G308" s="22">
        <v>259</v>
      </c>
      <c r="H308" s="18">
        <v>2.8660665111956498</v>
      </c>
      <c r="I308" s="18">
        <v>742.31122639967305</v>
      </c>
      <c r="J308" s="18">
        <v>1977.18877360032</v>
      </c>
      <c r="K308" s="22">
        <v>0</v>
      </c>
      <c r="L308" s="22" t="str">
        <f t="shared" si="4"/>
        <v>46204, 1, 7</v>
      </c>
    </row>
    <row r="309" spans="1:12">
      <c r="A309" s="9">
        <v>46204</v>
      </c>
      <c r="B309">
        <v>1</v>
      </c>
      <c r="C309" s="16" t="s">
        <v>37</v>
      </c>
      <c r="D309">
        <v>8</v>
      </c>
      <c r="E309" s="16" t="s">
        <v>46</v>
      </c>
      <c r="F309" s="18">
        <v>1837.5</v>
      </c>
      <c r="G309" s="22">
        <v>147</v>
      </c>
      <c r="H309" s="18">
        <v>0.69504703461538397</v>
      </c>
      <c r="I309" s="18">
        <v>102.17191408846099</v>
      </c>
      <c r="J309" s="18">
        <v>1735.32808591153</v>
      </c>
      <c r="K309" s="22">
        <v>0</v>
      </c>
      <c r="L309" s="22" t="str">
        <f t="shared" si="4"/>
        <v>46204, 1, 8</v>
      </c>
    </row>
    <row r="310" spans="1:12">
      <c r="A310" s="9">
        <v>46204</v>
      </c>
      <c r="B310">
        <v>1</v>
      </c>
      <c r="C310" s="16" t="s">
        <v>37</v>
      </c>
      <c r="D310">
        <v>9</v>
      </c>
      <c r="E310" s="16" t="s">
        <v>47</v>
      </c>
      <c r="F310" s="18">
        <v>2920.5</v>
      </c>
      <c r="G310" s="22">
        <v>59</v>
      </c>
      <c r="H310" s="18">
        <v>18.2693679077734</v>
      </c>
      <c r="I310" s="18">
        <v>1077.8927065586299</v>
      </c>
      <c r="J310" s="18">
        <v>1842.6072934413601</v>
      </c>
      <c r="K310" s="22">
        <v>0</v>
      </c>
      <c r="L310" s="22" t="str">
        <f t="shared" si="4"/>
        <v>46204, 1, 9</v>
      </c>
    </row>
    <row r="311" spans="1:12">
      <c r="A311" s="9">
        <v>46204</v>
      </c>
      <c r="B311">
        <v>1</v>
      </c>
      <c r="C311" s="16" t="s">
        <v>37</v>
      </c>
      <c r="D311">
        <v>11</v>
      </c>
      <c r="E311" s="16" t="s">
        <v>48</v>
      </c>
      <c r="F311" s="18">
        <v>7182</v>
      </c>
      <c r="G311" s="22">
        <v>342</v>
      </c>
      <c r="H311" s="18">
        <v>1.9551309545454501</v>
      </c>
      <c r="I311" s="18">
        <v>668.65478645454505</v>
      </c>
      <c r="J311" s="18">
        <v>6513.34521354545</v>
      </c>
      <c r="K311" s="22">
        <v>0</v>
      </c>
      <c r="L311" s="22" t="str">
        <f t="shared" si="4"/>
        <v>46204, 1, 11</v>
      </c>
    </row>
    <row r="312" spans="1:12">
      <c r="A312" s="9">
        <v>46204</v>
      </c>
      <c r="B312">
        <v>1</v>
      </c>
      <c r="C312" s="16" t="s">
        <v>37</v>
      </c>
      <c r="D312">
        <v>12</v>
      </c>
      <c r="E312" s="16" t="s">
        <v>49</v>
      </c>
      <c r="F312" s="18">
        <v>3828</v>
      </c>
      <c r="G312" s="22">
        <v>174</v>
      </c>
      <c r="H312" s="18">
        <v>2.53874342642857</v>
      </c>
      <c r="I312" s="18">
        <v>441.741356198571</v>
      </c>
      <c r="J312" s="18">
        <v>3386.25864380142</v>
      </c>
      <c r="K312" s="22">
        <v>0</v>
      </c>
      <c r="L312" s="22" t="str">
        <f t="shared" si="4"/>
        <v>46204, 1, 12</v>
      </c>
    </row>
    <row r="313" spans="1:12">
      <c r="A313" s="9">
        <v>46204</v>
      </c>
      <c r="B313">
        <v>1</v>
      </c>
      <c r="C313" s="16" t="s">
        <v>37</v>
      </c>
      <c r="D313">
        <v>13</v>
      </c>
      <c r="E313" s="16" t="s">
        <v>50</v>
      </c>
      <c r="F313" s="18">
        <v>3243</v>
      </c>
      <c r="G313" s="22">
        <v>141</v>
      </c>
      <c r="H313" s="18">
        <v>6.8905940476190404</v>
      </c>
      <c r="I313" s="18">
        <v>971.57376071428496</v>
      </c>
      <c r="J313" s="18">
        <v>2271.4262392857099</v>
      </c>
      <c r="K313" s="22">
        <v>0</v>
      </c>
      <c r="L313" s="22" t="str">
        <f t="shared" si="4"/>
        <v>46204, 1, 13</v>
      </c>
    </row>
    <row r="314" spans="1:12">
      <c r="A314" s="9">
        <v>46204</v>
      </c>
      <c r="B314">
        <v>1</v>
      </c>
      <c r="C314" s="16" t="s">
        <v>37</v>
      </c>
      <c r="D314">
        <v>14</v>
      </c>
      <c r="E314" s="16" t="s">
        <v>51</v>
      </c>
      <c r="F314" s="18">
        <v>3192</v>
      </c>
      <c r="G314" s="22">
        <v>114</v>
      </c>
      <c r="H314" s="18">
        <v>4.6401621461282003</v>
      </c>
      <c r="I314" s="18">
        <v>528.978484658615</v>
      </c>
      <c r="J314" s="18">
        <v>2663.0215153413801</v>
      </c>
      <c r="K314" s="22">
        <v>0</v>
      </c>
      <c r="L314" s="22" t="str">
        <f t="shared" si="4"/>
        <v>46204, 1, 14</v>
      </c>
    </row>
    <row r="315" spans="1:12">
      <c r="A315" s="9">
        <v>46204</v>
      </c>
      <c r="B315">
        <v>1</v>
      </c>
      <c r="C315" s="16" t="s">
        <v>37</v>
      </c>
      <c r="D315">
        <v>15</v>
      </c>
      <c r="E315" s="16" t="s">
        <v>52</v>
      </c>
      <c r="F315" s="18">
        <v>4675</v>
      </c>
      <c r="G315" s="22">
        <v>187</v>
      </c>
      <c r="H315" s="18">
        <v>2.8407725400000001</v>
      </c>
      <c r="I315" s="18">
        <v>531.22446497999999</v>
      </c>
      <c r="J315" s="18">
        <v>4143.7755350199996</v>
      </c>
      <c r="K315" s="22">
        <v>0</v>
      </c>
      <c r="L315" s="22" t="str">
        <f t="shared" si="4"/>
        <v>46204, 1, 15</v>
      </c>
    </row>
    <row r="316" spans="1:12">
      <c r="A316" s="9">
        <v>46204</v>
      </c>
      <c r="B316">
        <v>1</v>
      </c>
      <c r="C316" s="16" t="s">
        <v>37</v>
      </c>
      <c r="D316">
        <v>16</v>
      </c>
      <c r="E316" s="16" t="s">
        <v>53</v>
      </c>
      <c r="F316" s="18">
        <v>1395</v>
      </c>
      <c r="G316" s="22">
        <v>155</v>
      </c>
      <c r="H316" s="18">
        <v>1.5495203782017499</v>
      </c>
      <c r="I316" s="18">
        <v>240.175658621271</v>
      </c>
      <c r="J316" s="18">
        <v>1154.82434137872</v>
      </c>
      <c r="K316" s="22">
        <v>0</v>
      </c>
      <c r="L316" s="22" t="str">
        <f t="shared" si="4"/>
        <v>46204, 1, 16</v>
      </c>
    </row>
    <row r="317" spans="1:12">
      <c r="A317" s="9">
        <v>46204</v>
      </c>
      <c r="B317">
        <v>1</v>
      </c>
      <c r="C317" s="16" t="s">
        <v>37</v>
      </c>
      <c r="D317">
        <v>17</v>
      </c>
      <c r="E317" s="16" t="s">
        <v>54</v>
      </c>
      <c r="F317" s="18">
        <v>2160</v>
      </c>
      <c r="G317" s="22">
        <v>270</v>
      </c>
      <c r="H317" s="18">
        <v>1.3917842064285699</v>
      </c>
      <c r="I317" s="18">
        <v>375.78173573571399</v>
      </c>
      <c r="J317" s="18">
        <v>1784.2182642642799</v>
      </c>
      <c r="K317" s="22">
        <v>0</v>
      </c>
      <c r="L317" s="22" t="str">
        <f t="shared" si="4"/>
        <v>46204, 1, 17</v>
      </c>
    </row>
    <row r="318" spans="1:12">
      <c r="A318" s="9">
        <v>46204</v>
      </c>
      <c r="B318">
        <v>1</v>
      </c>
      <c r="C318" s="16" t="s">
        <v>37</v>
      </c>
      <c r="D318">
        <v>18</v>
      </c>
      <c r="E318" s="16" t="s">
        <v>55</v>
      </c>
      <c r="F318" s="18">
        <v>4230</v>
      </c>
      <c r="G318" s="22">
        <v>180</v>
      </c>
      <c r="H318" s="18">
        <v>5.8725383864124998</v>
      </c>
      <c r="I318" s="18">
        <v>1057.0569095542501</v>
      </c>
      <c r="J318" s="18">
        <v>3172.9430904457499</v>
      </c>
      <c r="K318" s="22">
        <v>0</v>
      </c>
      <c r="L318" s="22" t="str">
        <f t="shared" si="4"/>
        <v>46204, 1, 18</v>
      </c>
    </row>
    <row r="319" spans="1:12">
      <c r="A319" s="9">
        <v>46235</v>
      </c>
      <c r="B319">
        <v>1</v>
      </c>
      <c r="C319" s="16" t="s">
        <v>37</v>
      </c>
      <c r="D319">
        <v>1</v>
      </c>
      <c r="E319" s="16" t="s">
        <v>38</v>
      </c>
      <c r="F319" s="18">
        <v>5654</v>
      </c>
      <c r="G319" s="22">
        <v>257</v>
      </c>
      <c r="H319" s="18">
        <v>3.9768762291666602</v>
      </c>
      <c r="I319" s="18">
        <v>1022.05719089583</v>
      </c>
      <c r="J319" s="18">
        <v>4631.94280910416</v>
      </c>
      <c r="K319" s="22">
        <v>0</v>
      </c>
      <c r="L319" s="22" t="str">
        <f t="shared" si="4"/>
        <v>46235, 1, 1</v>
      </c>
    </row>
    <row r="320" spans="1:12">
      <c r="A320" s="9">
        <v>46235</v>
      </c>
      <c r="B320">
        <v>1</v>
      </c>
      <c r="C320" s="16" t="s">
        <v>37</v>
      </c>
      <c r="D320">
        <v>2</v>
      </c>
      <c r="E320" s="16" t="s">
        <v>40</v>
      </c>
      <c r="F320" s="18">
        <v>7464</v>
      </c>
      <c r="G320" s="22">
        <v>311</v>
      </c>
      <c r="H320" s="18">
        <v>6.7523122585263096</v>
      </c>
      <c r="I320" s="18">
        <v>2099.9691124016799</v>
      </c>
      <c r="J320" s="18">
        <v>5364.0308875983101</v>
      </c>
      <c r="K320" s="22">
        <v>0</v>
      </c>
      <c r="L320" s="22" t="str">
        <f t="shared" si="4"/>
        <v>46235, 1, 2</v>
      </c>
    </row>
    <row r="321" spans="1:12">
      <c r="A321" s="9">
        <v>46235</v>
      </c>
      <c r="B321">
        <v>1</v>
      </c>
      <c r="C321" s="16" t="s">
        <v>37</v>
      </c>
      <c r="D321">
        <v>3</v>
      </c>
      <c r="E321" s="16" t="s">
        <v>41</v>
      </c>
      <c r="F321" s="18">
        <v>3238.5</v>
      </c>
      <c r="G321" s="22">
        <v>127</v>
      </c>
      <c r="H321" s="18">
        <v>3.6256878050000001</v>
      </c>
      <c r="I321" s="18">
        <v>460.46235123500003</v>
      </c>
      <c r="J321" s="18">
        <v>2778.0376487650001</v>
      </c>
      <c r="K321" s="22">
        <v>0</v>
      </c>
      <c r="L321" s="22" t="str">
        <f t="shared" si="4"/>
        <v>46235, 1, 3</v>
      </c>
    </row>
    <row r="322" spans="1:12">
      <c r="A322" s="9">
        <v>46235</v>
      </c>
      <c r="B322">
        <v>1</v>
      </c>
      <c r="C322" s="16" t="s">
        <v>37</v>
      </c>
      <c r="D322">
        <v>4</v>
      </c>
      <c r="E322" s="16" t="s">
        <v>42</v>
      </c>
      <c r="F322" s="18">
        <v>4452</v>
      </c>
      <c r="G322" s="22">
        <v>212</v>
      </c>
      <c r="H322" s="18">
        <v>6.8559925049411703</v>
      </c>
      <c r="I322" s="18">
        <v>1453.47041104752</v>
      </c>
      <c r="J322" s="18">
        <v>2998.52958895247</v>
      </c>
      <c r="K322" s="22">
        <v>0</v>
      </c>
      <c r="L322" s="22" t="str">
        <f t="shared" si="4"/>
        <v>46235, 1, 4</v>
      </c>
    </row>
    <row r="323" spans="1:12">
      <c r="A323" s="9">
        <v>46235</v>
      </c>
      <c r="B323">
        <v>1</v>
      </c>
      <c r="C323" s="16" t="s">
        <v>37</v>
      </c>
      <c r="D323">
        <v>5</v>
      </c>
      <c r="E323" s="16" t="s">
        <v>43</v>
      </c>
      <c r="F323" s="18">
        <v>3318</v>
      </c>
      <c r="G323" s="22">
        <v>158</v>
      </c>
      <c r="H323" s="18">
        <v>6.3640972222222203</v>
      </c>
      <c r="I323" s="18">
        <v>1005.5273611111101</v>
      </c>
      <c r="J323" s="18">
        <v>2312.4726388888798</v>
      </c>
      <c r="K323" s="22">
        <v>0</v>
      </c>
      <c r="L323" s="22" t="str">
        <f t="shared" ref="L323:L386" si="5">(A323&amp; ", "&amp; B323&amp; ", "&amp; D323)</f>
        <v>46235, 1, 5</v>
      </c>
    </row>
    <row r="324" spans="1:12">
      <c r="A324" s="9">
        <v>46235</v>
      </c>
      <c r="B324">
        <v>1</v>
      </c>
      <c r="C324" s="16" t="s">
        <v>37</v>
      </c>
      <c r="D324">
        <v>6</v>
      </c>
      <c r="E324" s="16" t="s">
        <v>44</v>
      </c>
      <c r="F324" s="18">
        <v>2990</v>
      </c>
      <c r="G324" s="22">
        <v>130</v>
      </c>
      <c r="H324" s="18">
        <v>4.7024598366071402</v>
      </c>
      <c r="I324" s="18">
        <v>611.31977875892801</v>
      </c>
      <c r="J324" s="18">
        <v>2378.6802212410698</v>
      </c>
      <c r="K324" s="22">
        <v>0</v>
      </c>
      <c r="L324" s="22" t="str">
        <f t="shared" si="5"/>
        <v>46235, 1, 6</v>
      </c>
    </row>
    <row r="325" spans="1:12">
      <c r="A325" s="9">
        <v>46235</v>
      </c>
      <c r="B325">
        <v>1</v>
      </c>
      <c r="C325" s="16" t="s">
        <v>37</v>
      </c>
      <c r="D325">
        <v>7</v>
      </c>
      <c r="E325" s="16" t="s">
        <v>45</v>
      </c>
      <c r="F325" s="18">
        <v>1911</v>
      </c>
      <c r="G325" s="22">
        <v>182</v>
      </c>
      <c r="H325" s="18">
        <v>2.8836995070237998</v>
      </c>
      <c r="I325" s="18">
        <v>524.83331027833299</v>
      </c>
      <c r="J325" s="18">
        <v>1386.1666897216601</v>
      </c>
      <c r="K325" s="22">
        <v>0</v>
      </c>
      <c r="L325" s="22" t="str">
        <f t="shared" si="5"/>
        <v>46235, 1, 7</v>
      </c>
    </row>
    <row r="326" spans="1:12">
      <c r="A326" s="9">
        <v>46235</v>
      </c>
      <c r="B326">
        <v>1</v>
      </c>
      <c r="C326" s="16" t="s">
        <v>37</v>
      </c>
      <c r="D326">
        <v>8</v>
      </c>
      <c r="E326" s="16" t="s">
        <v>46</v>
      </c>
      <c r="F326" s="18">
        <v>1962.5</v>
      </c>
      <c r="G326" s="22">
        <v>157</v>
      </c>
      <c r="H326" s="18">
        <v>0.67411816444444395</v>
      </c>
      <c r="I326" s="18">
        <v>105.83655181777701</v>
      </c>
      <c r="J326" s="18">
        <v>1856.66344818222</v>
      </c>
      <c r="K326" s="22">
        <v>0</v>
      </c>
      <c r="L326" s="22" t="str">
        <f t="shared" si="5"/>
        <v>46235, 1, 8</v>
      </c>
    </row>
    <row r="327" spans="1:12">
      <c r="A327" s="9">
        <v>46235</v>
      </c>
      <c r="B327">
        <v>1</v>
      </c>
      <c r="C327" s="16" t="s">
        <v>37</v>
      </c>
      <c r="D327">
        <v>9</v>
      </c>
      <c r="E327" s="16" t="s">
        <v>47</v>
      </c>
      <c r="F327" s="18">
        <v>2821.5</v>
      </c>
      <c r="G327" s="22">
        <v>57</v>
      </c>
      <c r="H327" s="18">
        <v>18.2162731013679</v>
      </c>
      <c r="I327" s="18">
        <v>1038.3275667779701</v>
      </c>
      <c r="J327" s="18">
        <v>1783.1724332220199</v>
      </c>
      <c r="K327" s="22">
        <v>0</v>
      </c>
      <c r="L327" s="22" t="str">
        <f t="shared" si="5"/>
        <v>46235, 1, 9</v>
      </c>
    </row>
    <row r="328" spans="1:12">
      <c r="A328" s="9">
        <v>46235</v>
      </c>
      <c r="B328">
        <v>1</v>
      </c>
      <c r="C328" s="16" t="s">
        <v>37</v>
      </c>
      <c r="D328">
        <v>11</v>
      </c>
      <c r="E328" s="16" t="s">
        <v>48</v>
      </c>
      <c r="F328" s="18">
        <v>5565</v>
      </c>
      <c r="G328" s="22">
        <v>265</v>
      </c>
      <c r="H328" s="18">
        <v>1.9744733750000001</v>
      </c>
      <c r="I328" s="18">
        <v>523.23544437500004</v>
      </c>
      <c r="J328" s="18">
        <v>5041.764555625</v>
      </c>
      <c r="K328" s="22">
        <v>0</v>
      </c>
      <c r="L328" s="22" t="str">
        <f t="shared" si="5"/>
        <v>46235, 1, 11</v>
      </c>
    </row>
    <row r="329" spans="1:12">
      <c r="A329" s="9">
        <v>46235</v>
      </c>
      <c r="B329">
        <v>1</v>
      </c>
      <c r="C329" s="16" t="s">
        <v>37</v>
      </c>
      <c r="D329">
        <v>12</v>
      </c>
      <c r="E329" s="16" t="s">
        <v>49</v>
      </c>
      <c r="F329" s="18">
        <v>3916</v>
      </c>
      <c r="G329" s="22">
        <v>178</v>
      </c>
      <c r="H329" s="18">
        <v>2.5141255976153798</v>
      </c>
      <c r="I329" s="18">
        <v>447.514356375538</v>
      </c>
      <c r="J329" s="18">
        <v>3468.48564362446</v>
      </c>
      <c r="K329" s="22">
        <v>0</v>
      </c>
      <c r="L329" s="22" t="str">
        <f t="shared" si="5"/>
        <v>46235, 1, 12</v>
      </c>
    </row>
    <row r="330" spans="1:12">
      <c r="A330" s="9">
        <v>46235</v>
      </c>
      <c r="B330">
        <v>1</v>
      </c>
      <c r="C330" s="16" t="s">
        <v>37</v>
      </c>
      <c r="D330">
        <v>13</v>
      </c>
      <c r="E330" s="16" t="s">
        <v>50</v>
      </c>
      <c r="F330" s="18">
        <v>3335</v>
      </c>
      <c r="G330" s="22">
        <v>145</v>
      </c>
      <c r="H330" s="18">
        <v>6.8420194210526297</v>
      </c>
      <c r="I330" s="18">
        <v>992.09281605263095</v>
      </c>
      <c r="J330" s="18">
        <v>2342.90718394736</v>
      </c>
      <c r="K330" s="22">
        <v>0</v>
      </c>
      <c r="L330" s="22" t="str">
        <f t="shared" si="5"/>
        <v>46235, 1, 13</v>
      </c>
    </row>
    <row r="331" spans="1:12">
      <c r="A331" s="9">
        <v>46235</v>
      </c>
      <c r="B331">
        <v>1</v>
      </c>
      <c r="C331" s="16" t="s">
        <v>37</v>
      </c>
      <c r="D331">
        <v>14</v>
      </c>
      <c r="E331" s="16" t="s">
        <v>51</v>
      </c>
      <c r="F331" s="18">
        <v>3192</v>
      </c>
      <c r="G331" s="22">
        <v>114</v>
      </c>
      <c r="H331" s="18">
        <v>4.5875572110454499</v>
      </c>
      <c r="I331" s="18">
        <v>522.98152205918097</v>
      </c>
      <c r="J331" s="18">
        <v>2669.01847794081</v>
      </c>
      <c r="K331" s="22">
        <v>0</v>
      </c>
      <c r="L331" s="22" t="str">
        <f t="shared" si="5"/>
        <v>46235, 1, 14</v>
      </c>
    </row>
    <row r="332" spans="1:12">
      <c r="A332" s="9">
        <v>46235</v>
      </c>
      <c r="B332">
        <v>1</v>
      </c>
      <c r="C332" s="16" t="s">
        <v>37</v>
      </c>
      <c r="D332">
        <v>15</v>
      </c>
      <c r="E332" s="16" t="s">
        <v>52</v>
      </c>
      <c r="F332" s="18">
        <v>4525</v>
      </c>
      <c r="G332" s="22">
        <v>181</v>
      </c>
      <c r="H332" s="18">
        <v>2.8353306545454502</v>
      </c>
      <c r="I332" s="18">
        <v>513.19484847272702</v>
      </c>
      <c r="J332" s="18">
        <v>4011.80515152727</v>
      </c>
      <c r="K332" s="22">
        <v>0</v>
      </c>
      <c r="L332" s="22" t="str">
        <f t="shared" si="5"/>
        <v>46235, 1, 15</v>
      </c>
    </row>
    <row r="333" spans="1:12">
      <c r="A333" s="9">
        <v>46235</v>
      </c>
      <c r="B333">
        <v>1</v>
      </c>
      <c r="C333" s="16" t="s">
        <v>37</v>
      </c>
      <c r="D333">
        <v>16</v>
      </c>
      <c r="E333" s="16" t="s">
        <v>53</v>
      </c>
      <c r="F333" s="18">
        <v>1467</v>
      </c>
      <c r="G333" s="22">
        <v>163</v>
      </c>
      <c r="H333" s="18">
        <v>1.5608137442647001</v>
      </c>
      <c r="I333" s="18">
        <v>254.412640315147</v>
      </c>
      <c r="J333" s="18">
        <v>1212.5873596848501</v>
      </c>
      <c r="K333" s="22">
        <v>0</v>
      </c>
      <c r="L333" s="22" t="str">
        <f t="shared" si="5"/>
        <v>46235, 1, 16</v>
      </c>
    </row>
    <row r="334" spans="1:12">
      <c r="A334" s="9">
        <v>46235</v>
      </c>
      <c r="B334">
        <v>1</v>
      </c>
      <c r="C334" s="16" t="s">
        <v>37</v>
      </c>
      <c r="D334">
        <v>17</v>
      </c>
      <c r="E334" s="16" t="s">
        <v>54</v>
      </c>
      <c r="F334" s="18">
        <v>1720</v>
      </c>
      <c r="G334" s="22">
        <v>215</v>
      </c>
      <c r="H334" s="18">
        <v>1.3896824097368401</v>
      </c>
      <c r="I334" s="18">
        <v>298.78171809342098</v>
      </c>
      <c r="J334" s="18">
        <v>1421.2182819065699</v>
      </c>
      <c r="K334" s="22">
        <v>0</v>
      </c>
      <c r="L334" s="22" t="str">
        <f t="shared" si="5"/>
        <v>46235, 1, 17</v>
      </c>
    </row>
    <row r="335" spans="1:12">
      <c r="A335" s="9">
        <v>46235</v>
      </c>
      <c r="B335">
        <v>1</v>
      </c>
      <c r="C335" s="16" t="s">
        <v>37</v>
      </c>
      <c r="D335">
        <v>18</v>
      </c>
      <c r="E335" s="16" t="s">
        <v>55</v>
      </c>
      <c r="F335" s="18">
        <v>3595.5</v>
      </c>
      <c r="G335" s="22">
        <v>153</v>
      </c>
      <c r="H335" s="18">
        <v>5.8830437704999996</v>
      </c>
      <c r="I335" s="18">
        <v>900.10569688650003</v>
      </c>
      <c r="J335" s="18">
        <v>2695.3943031135</v>
      </c>
      <c r="K335" s="22">
        <v>0</v>
      </c>
      <c r="L335" s="22" t="str">
        <f t="shared" si="5"/>
        <v>46235, 1, 18</v>
      </c>
    </row>
    <row r="336" spans="1:12">
      <c r="A336" s="9">
        <v>46266</v>
      </c>
      <c r="B336">
        <v>1</v>
      </c>
      <c r="C336" s="16" t="s">
        <v>37</v>
      </c>
      <c r="D336">
        <v>1</v>
      </c>
      <c r="E336" s="16" t="s">
        <v>38</v>
      </c>
      <c r="F336" s="18">
        <v>6490</v>
      </c>
      <c r="G336" s="22">
        <v>295</v>
      </c>
      <c r="H336" s="18">
        <v>3.9731546875000001</v>
      </c>
      <c r="I336" s="18">
        <v>1172.0806328125</v>
      </c>
      <c r="J336" s="18">
        <v>5317.9193671875</v>
      </c>
      <c r="K336" s="22">
        <v>0</v>
      </c>
      <c r="L336" s="22" t="str">
        <f t="shared" si="5"/>
        <v>46266, 1, 1</v>
      </c>
    </row>
    <row r="337" spans="1:12">
      <c r="A337" s="9">
        <v>46266</v>
      </c>
      <c r="B337">
        <v>1</v>
      </c>
      <c r="C337" s="16" t="s">
        <v>37</v>
      </c>
      <c r="D337">
        <v>2</v>
      </c>
      <c r="E337" s="16" t="s">
        <v>40</v>
      </c>
      <c r="F337" s="18">
        <v>7128</v>
      </c>
      <c r="G337" s="22">
        <v>297</v>
      </c>
      <c r="H337" s="18">
        <v>6.8161870238000004</v>
      </c>
      <c r="I337" s="18">
        <v>2024.4075460685999</v>
      </c>
      <c r="J337" s="18">
        <v>5103.5924539314001</v>
      </c>
      <c r="K337" s="22">
        <v>0</v>
      </c>
      <c r="L337" s="22" t="str">
        <f t="shared" si="5"/>
        <v>46266, 1, 2</v>
      </c>
    </row>
    <row r="338" spans="1:12">
      <c r="A338" s="9">
        <v>46266</v>
      </c>
      <c r="B338">
        <v>1</v>
      </c>
      <c r="C338" s="16" t="s">
        <v>37</v>
      </c>
      <c r="D338">
        <v>3</v>
      </c>
      <c r="E338" s="16" t="s">
        <v>41</v>
      </c>
      <c r="F338" s="18">
        <v>3901.5</v>
      </c>
      <c r="G338" s="22">
        <v>153</v>
      </c>
      <c r="H338" s="18">
        <v>3.6647621757333302</v>
      </c>
      <c r="I338" s="18">
        <v>560.70861288719902</v>
      </c>
      <c r="J338" s="18">
        <v>3340.7913871127998</v>
      </c>
      <c r="K338" s="22">
        <v>0</v>
      </c>
      <c r="L338" s="22" t="str">
        <f t="shared" si="5"/>
        <v>46266, 1, 3</v>
      </c>
    </row>
    <row r="339" spans="1:12">
      <c r="A339" s="9">
        <v>46266</v>
      </c>
      <c r="B339">
        <v>1</v>
      </c>
      <c r="C339" s="16" t="s">
        <v>37</v>
      </c>
      <c r="D339">
        <v>4</v>
      </c>
      <c r="E339" s="16" t="s">
        <v>42</v>
      </c>
      <c r="F339" s="18">
        <v>5754</v>
      </c>
      <c r="G339" s="22">
        <v>274</v>
      </c>
      <c r="H339" s="18">
        <v>6.9787422045555498</v>
      </c>
      <c r="I339" s="18">
        <v>1912.17536404822</v>
      </c>
      <c r="J339" s="18">
        <v>3841.8246359517698</v>
      </c>
      <c r="K339" s="22">
        <v>0</v>
      </c>
      <c r="L339" s="22" t="str">
        <f t="shared" si="5"/>
        <v>46266, 1, 4</v>
      </c>
    </row>
    <row r="340" spans="1:12">
      <c r="A340" s="9">
        <v>46266</v>
      </c>
      <c r="B340">
        <v>1</v>
      </c>
      <c r="C340" s="16" t="s">
        <v>37</v>
      </c>
      <c r="D340">
        <v>5</v>
      </c>
      <c r="E340" s="16" t="s">
        <v>43</v>
      </c>
      <c r="F340" s="18">
        <v>3738</v>
      </c>
      <c r="G340" s="22">
        <v>178</v>
      </c>
      <c r="H340" s="18">
        <v>6.5296874999999996</v>
      </c>
      <c r="I340" s="18">
        <v>1162.284375</v>
      </c>
      <c r="J340" s="18">
        <v>2575.7156249999998</v>
      </c>
      <c r="K340" s="22">
        <v>0</v>
      </c>
      <c r="L340" s="22" t="str">
        <f t="shared" si="5"/>
        <v>46266, 1, 5</v>
      </c>
    </row>
    <row r="341" spans="1:12">
      <c r="A341" s="9">
        <v>46266</v>
      </c>
      <c r="B341">
        <v>1</v>
      </c>
      <c r="C341" s="16" t="s">
        <v>37</v>
      </c>
      <c r="D341">
        <v>6</v>
      </c>
      <c r="E341" s="16" t="s">
        <v>44</v>
      </c>
      <c r="F341" s="18">
        <v>3772</v>
      </c>
      <c r="G341" s="22">
        <v>164</v>
      </c>
      <c r="H341" s="18">
        <v>4.78560649471875</v>
      </c>
      <c r="I341" s="18">
        <v>784.83946513387502</v>
      </c>
      <c r="J341" s="18">
        <v>2987.1605348661201</v>
      </c>
      <c r="K341" s="22">
        <v>0</v>
      </c>
      <c r="L341" s="22" t="str">
        <f t="shared" si="5"/>
        <v>46266, 1, 6</v>
      </c>
    </row>
    <row r="342" spans="1:12">
      <c r="A342" s="9">
        <v>46266</v>
      </c>
      <c r="B342">
        <v>1</v>
      </c>
      <c r="C342" s="16" t="s">
        <v>37</v>
      </c>
      <c r="D342">
        <v>7</v>
      </c>
      <c r="E342" s="16" t="s">
        <v>45</v>
      </c>
      <c r="F342" s="18">
        <v>2425.5</v>
      </c>
      <c r="G342" s="22">
        <v>231</v>
      </c>
      <c r="H342" s="18">
        <v>2.8965010285526298</v>
      </c>
      <c r="I342" s="18">
        <v>669.09173759565704</v>
      </c>
      <c r="J342" s="18">
        <v>1756.4082624043399</v>
      </c>
      <c r="K342" s="22">
        <v>0</v>
      </c>
      <c r="L342" s="22" t="str">
        <f t="shared" si="5"/>
        <v>46266, 1, 7</v>
      </c>
    </row>
    <row r="343" spans="1:12">
      <c r="A343" s="9">
        <v>46266</v>
      </c>
      <c r="B343">
        <v>1</v>
      </c>
      <c r="C343" s="16" t="s">
        <v>37</v>
      </c>
      <c r="D343">
        <v>8</v>
      </c>
      <c r="E343" s="16" t="s">
        <v>46</v>
      </c>
      <c r="F343" s="18">
        <v>1762.5</v>
      </c>
      <c r="G343" s="22">
        <v>141</v>
      </c>
      <c r="H343" s="18">
        <v>0.68486747435897399</v>
      </c>
      <c r="I343" s="18">
        <v>96.566313884615298</v>
      </c>
      <c r="J343" s="18">
        <v>1665.9336861153799</v>
      </c>
      <c r="K343" s="22">
        <v>0</v>
      </c>
      <c r="L343" s="22" t="str">
        <f t="shared" si="5"/>
        <v>46266, 1, 8</v>
      </c>
    </row>
    <row r="344" spans="1:12">
      <c r="A344" s="9">
        <v>46266</v>
      </c>
      <c r="B344">
        <v>1</v>
      </c>
      <c r="C344" s="16" t="s">
        <v>37</v>
      </c>
      <c r="D344">
        <v>9</v>
      </c>
      <c r="E344" s="16" t="s">
        <v>47</v>
      </c>
      <c r="F344" s="18">
        <v>3613.5</v>
      </c>
      <c r="G344" s="22">
        <v>73</v>
      </c>
      <c r="H344" s="18">
        <v>18.286396482725898</v>
      </c>
      <c r="I344" s="18">
        <v>1334.9069432389899</v>
      </c>
      <c r="J344" s="18">
        <v>2278.5930567609998</v>
      </c>
      <c r="K344" s="22">
        <v>0</v>
      </c>
      <c r="L344" s="22" t="str">
        <f t="shared" si="5"/>
        <v>46266, 1, 9</v>
      </c>
    </row>
    <row r="345" spans="1:12">
      <c r="A345" s="9">
        <v>46266</v>
      </c>
      <c r="B345">
        <v>1</v>
      </c>
      <c r="C345" s="16" t="s">
        <v>37</v>
      </c>
      <c r="D345">
        <v>11</v>
      </c>
      <c r="E345" s="16" t="s">
        <v>48</v>
      </c>
      <c r="F345" s="18">
        <v>6300</v>
      </c>
      <c r="G345" s="22">
        <v>300</v>
      </c>
      <c r="H345" s="18">
        <v>1.9653191750000001</v>
      </c>
      <c r="I345" s="18">
        <v>589.5957525</v>
      </c>
      <c r="J345" s="18">
        <v>5710.4042474999997</v>
      </c>
      <c r="K345" s="22">
        <v>0</v>
      </c>
      <c r="L345" s="22" t="str">
        <f t="shared" si="5"/>
        <v>46266, 1, 11</v>
      </c>
    </row>
    <row r="346" spans="1:12">
      <c r="A346" s="9">
        <v>46266</v>
      </c>
      <c r="B346">
        <v>1</v>
      </c>
      <c r="C346" s="16" t="s">
        <v>37</v>
      </c>
      <c r="D346">
        <v>12</v>
      </c>
      <c r="E346" s="16" t="s">
        <v>49</v>
      </c>
      <c r="F346" s="18">
        <v>4114</v>
      </c>
      <c r="G346" s="22">
        <v>187</v>
      </c>
      <c r="H346" s="18">
        <v>2.5671257870000002</v>
      </c>
      <c r="I346" s="18">
        <v>480.05252216899999</v>
      </c>
      <c r="J346" s="18">
        <v>3633.947477831</v>
      </c>
      <c r="K346" s="22">
        <v>0</v>
      </c>
      <c r="L346" s="22" t="str">
        <f t="shared" si="5"/>
        <v>46266, 1, 12</v>
      </c>
    </row>
    <row r="347" spans="1:12">
      <c r="A347" s="9">
        <v>46266</v>
      </c>
      <c r="B347">
        <v>1</v>
      </c>
      <c r="C347" s="16" t="s">
        <v>37</v>
      </c>
      <c r="D347">
        <v>13</v>
      </c>
      <c r="E347" s="16" t="s">
        <v>50</v>
      </c>
      <c r="F347" s="18">
        <v>3979</v>
      </c>
      <c r="G347" s="22">
        <v>173</v>
      </c>
      <c r="H347" s="18">
        <v>6.8663515999999998</v>
      </c>
      <c r="I347" s="18">
        <v>1187.8788268000001</v>
      </c>
      <c r="J347" s="18">
        <v>2791.1211732000002</v>
      </c>
      <c r="K347" s="22">
        <v>0</v>
      </c>
      <c r="L347" s="22" t="str">
        <f t="shared" si="5"/>
        <v>46266, 1, 13</v>
      </c>
    </row>
    <row r="348" spans="1:12">
      <c r="A348" s="9">
        <v>46266</v>
      </c>
      <c r="B348">
        <v>1</v>
      </c>
      <c r="C348" s="16" t="s">
        <v>37</v>
      </c>
      <c r="D348">
        <v>14</v>
      </c>
      <c r="E348" s="16" t="s">
        <v>51</v>
      </c>
      <c r="F348" s="18">
        <v>4648</v>
      </c>
      <c r="G348" s="22">
        <v>166</v>
      </c>
      <c r="H348" s="18">
        <v>4.6004469682121201</v>
      </c>
      <c r="I348" s="18">
        <v>763.67419672321205</v>
      </c>
      <c r="J348" s="18">
        <v>3884.3258032767799</v>
      </c>
      <c r="K348" s="22">
        <v>0</v>
      </c>
      <c r="L348" s="22" t="str">
        <f t="shared" si="5"/>
        <v>46266, 1, 14</v>
      </c>
    </row>
    <row r="349" spans="1:12">
      <c r="A349" s="9">
        <v>46266</v>
      </c>
      <c r="B349">
        <v>1</v>
      </c>
      <c r="C349" s="16" t="s">
        <v>37</v>
      </c>
      <c r="D349">
        <v>15</v>
      </c>
      <c r="E349" s="16" t="s">
        <v>52</v>
      </c>
      <c r="F349" s="18">
        <v>4325</v>
      </c>
      <c r="G349" s="22">
        <v>173</v>
      </c>
      <c r="H349" s="18">
        <v>2.85975452654545</v>
      </c>
      <c r="I349" s="18">
        <v>494.73753309236298</v>
      </c>
      <c r="J349" s="18">
        <v>3830.2624669076299</v>
      </c>
      <c r="K349" s="22">
        <v>0</v>
      </c>
      <c r="L349" s="22" t="str">
        <f t="shared" si="5"/>
        <v>46266, 1, 15</v>
      </c>
    </row>
    <row r="350" spans="1:12">
      <c r="A350" s="9">
        <v>46266</v>
      </c>
      <c r="B350">
        <v>1</v>
      </c>
      <c r="C350" s="16" t="s">
        <v>37</v>
      </c>
      <c r="D350">
        <v>16</v>
      </c>
      <c r="E350" s="16" t="s">
        <v>53</v>
      </c>
      <c r="F350" s="18">
        <v>1296</v>
      </c>
      <c r="G350" s="22">
        <v>144</v>
      </c>
      <c r="H350" s="18">
        <v>1.56769288666666</v>
      </c>
      <c r="I350" s="18">
        <v>225.74777567999899</v>
      </c>
      <c r="J350" s="18">
        <v>1070.2522243200001</v>
      </c>
      <c r="K350" s="22">
        <v>0</v>
      </c>
      <c r="L350" s="22" t="str">
        <f t="shared" si="5"/>
        <v>46266, 1, 16</v>
      </c>
    </row>
    <row r="351" spans="1:12">
      <c r="A351" s="9">
        <v>46266</v>
      </c>
      <c r="B351">
        <v>1</v>
      </c>
      <c r="C351" s="16" t="s">
        <v>37</v>
      </c>
      <c r="D351">
        <v>17</v>
      </c>
      <c r="E351" s="16" t="s">
        <v>54</v>
      </c>
      <c r="F351" s="18">
        <v>1880</v>
      </c>
      <c r="G351" s="22">
        <v>235</v>
      </c>
      <c r="H351" s="18">
        <v>1.39921802736842</v>
      </c>
      <c r="I351" s="18">
        <v>328.81623643157798</v>
      </c>
      <c r="J351" s="18">
        <v>1551.1837635684201</v>
      </c>
      <c r="K351" s="22">
        <v>0</v>
      </c>
      <c r="L351" s="22" t="str">
        <f t="shared" si="5"/>
        <v>46266, 1, 17</v>
      </c>
    </row>
    <row r="352" spans="1:12">
      <c r="A352" s="9">
        <v>46266</v>
      </c>
      <c r="B352">
        <v>1</v>
      </c>
      <c r="C352" s="16" t="s">
        <v>37</v>
      </c>
      <c r="D352">
        <v>18</v>
      </c>
      <c r="E352" s="16" t="s">
        <v>55</v>
      </c>
      <c r="F352" s="18">
        <v>3689.5</v>
      </c>
      <c r="G352" s="22">
        <v>157</v>
      </c>
      <c r="H352" s="18">
        <v>5.8814907745833302</v>
      </c>
      <c r="I352" s="18">
        <v>923.39405160958302</v>
      </c>
      <c r="J352" s="18">
        <v>2766.10594839041</v>
      </c>
      <c r="K352" s="22">
        <v>0</v>
      </c>
      <c r="L352" s="22" t="str">
        <f t="shared" si="5"/>
        <v>46266, 1, 18</v>
      </c>
    </row>
    <row r="353" spans="1:12">
      <c r="A353" s="9">
        <v>45689</v>
      </c>
      <c r="B353">
        <v>2</v>
      </c>
      <c r="C353" s="16" t="s">
        <v>56</v>
      </c>
      <c r="D353">
        <v>1</v>
      </c>
      <c r="E353" s="16" t="s">
        <v>38</v>
      </c>
      <c r="F353" s="18">
        <v>3652</v>
      </c>
      <c r="G353" s="22">
        <v>166</v>
      </c>
      <c r="H353" s="18">
        <v>3.7674334558823501</v>
      </c>
      <c r="I353" s="18">
        <v>625.39395367647001</v>
      </c>
      <c r="J353" s="18">
        <v>3026.6060463235199</v>
      </c>
      <c r="K353" s="22">
        <v>0</v>
      </c>
      <c r="L353" s="22" t="str">
        <f t="shared" si="5"/>
        <v>45689, 2, 1</v>
      </c>
    </row>
    <row r="354" spans="1:12">
      <c r="A354" s="9">
        <v>45689</v>
      </c>
      <c r="B354">
        <v>2</v>
      </c>
      <c r="C354" s="16" t="s">
        <v>56</v>
      </c>
      <c r="D354">
        <v>2</v>
      </c>
      <c r="E354" s="16" t="s">
        <v>40</v>
      </c>
      <c r="F354" s="18">
        <v>3744</v>
      </c>
      <c r="G354" s="22">
        <v>156</v>
      </c>
      <c r="H354" s="18">
        <v>6.4637679241428501</v>
      </c>
      <c r="I354" s="18">
        <v>1008.34779616628</v>
      </c>
      <c r="J354" s="18">
        <v>2735.6522038337098</v>
      </c>
      <c r="K354" s="22">
        <v>0</v>
      </c>
      <c r="L354" s="22" t="str">
        <f t="shared" si="5"/>
        <v>45689, 2, 2</v>
      </c>
    </row>
    <row r="355" spans="1:12">
      <c r="A355" s="9">
        <v>45689</v>
      </c>
      <c r="B355">
        <v>2</v>
      </c>
      <c r="C355" s="16" t="s">
        <v>56</v>
      </c>
      <c r="D355">
        <v>3</v>
      </c>
      <c r="E355" s="16" t="s">
        <v>41</v>
      </c>
      <c r="F355" s="18">
        <v>3034.5</v>
      </c>
      <c r="G355" s="22">
        <v>119</v>
      </c>
      <c r="H355" s="18">
        <v>3.4719030826666599</v>
      </c>
      <c r="I355" s="18">
        <v>413.15646683733303</v>
      </c>
      <c r="J355" s="18">
        <v>2621.3435331626602</v>
      </c>
      <c r="K355" s="22">
        <v>0</v>
      </c>
      <c r="L355" s="22" t="str">
        <f t="shared" si="5"/>
        <v>45689, 2, 3</v>
      </c>
    </row>
    <row r="356" spans="1:12">
      <c r="A356" s="9">
        <v>45689</v>
      </c>
      <c r="B356">
        <v>2</v>
      </c>
      <c r="C356" s="16" t="s">
        <v>56</v>
      </c>
      <c r="D356">
        <v>4</v>
      </c>
      <c r="E356" s="16" t="s">
        <v>42</v>
      </c>
      <c r="F356" s="18">
        <v>2415</v>
      </c>
      <c r="G356" s="22">
        <v>115</v>
      </c>
      <c r="H356" s="18">
        <v>7.0095957870000003</v>
      </c>
      <c r="I356" s="18">
        <v>806.10351550500002</v>
      </c>
      <c r="J356" s="18">
        <v>1608.8964844950001</v>
      </c>
      <c r="K356" s="22">
        <v>0</v>
      </c>
      <c r="L356" s="22" t="str">
        <f t="shared" si="5"/>
        <v>45689, 2, 4</v>
      </c>
    </row>
    <row r="357" spans="1:12">
      <c r="A357" s="9">
        <v>45689</v>
      </c>
      <c r="B357">
        <v>2</v>
      </c>
      <c r="C357" s="16" t="s">
        <v>56</v>
      </c>
      <c r="D357">
        <v>5</v>
      </c>
      <c r="E357" s="16" t="s">
        <v>43</v>
      </c>
      <c r="F357" s="18">
        <v>1533</v>
      </c>
      <c r="G357" s="22">
        <v>73</v>
      </c>
      <c r="H357" s="18">
        <v>6.7603906250000003</v>
      </c>
      <c r="I357" s="18">
        <v>493.50851562499997</v>
      </c>
      <c r="J357" s="18">
        <v>1039.491484375</v>
      </c>
      <c r="K357" s="22">
        <v>0</v>
      </c>
      <c r="L357" s="22" t="str">
        <f t="shared" si="5"/>
        <v>45689, 2, 5</v>
      </c>
    </row>
    <row r="358" spans="1:12">
      <c r="A358" s="9">
        <v>45689</v>
      </c>
      <c r="B358">
        <v>2</v>
      </c>
      <c r="C358" s="16" t="s">
        <v>56</v>
      </c>
      <c r="D358">
        <v>6</v>
      </c>
      <c r="E358" s="16" t="s">
        <v>44</v>
      </c>
      <c r="F358" s="18">
        <v>3450</v>
      </c>
      <c r="G358" s="22">
        <v>150</v>
      </c>
      <c r="H358" s="18">
        <v>4.5310020024642803</v>
      </c>
      <c r="I358" s="18">
        <v>679.65030036964197</v>
      </c>
      <c r="J358" s="18">
        <v>2770.3496996303502</v>
      </c>
      <c r="K358" s="22">
        <v>0</v>
      </c>
      <c r="L358" s="22" t="str">
        <f t="shared" si="5"/>
        <v>45689, 2, 6</v>
      </c>
    </row>
    <row r="359" spans="1:12">
      <c r="A359" s="9">
        <v>45689</v>
      </c>
      <c r="B359">
        <v>2</v>
      </c>
      <c r="C359" s="16" t="s">
        <v>56</v>
      </c>
      <c r="D359">
        <v>8</v>
      </c>
      <c r="E359" s="16" t="s">
        <v>46</v>
      </c>
      <c r="F359" s="18">
        <v>1687.5</v>
      </c>
      <c r="G359" s="22">
        <v>135</v>
      </c>
      <c r="H359" s="18">
        <v>0.65824006871794805</v>
      </c>
      <c r="I359" s="18">
        <v>88.862409276923003</v>
      </c>
      <c r="J359" s="18">
        <v>1598.6375907230699</v>
      </c>
      <c r="K359" s="22">
        <v>0</v>
      </c>
      <c r="L359" s="22" t="str">
        <f t="shared" si="5"/>
        <v>45689, 2, 8</v>
      </c>
    </row>
    <row r="360" spans="1:12">
      <c r="A360" s="9">
        <v>45689</v>
      </c>
      <c r="B360">
        <v>2</v>
      </c>
      <c r="C360" s="16" t="s">
        <v>56</v>
      </c>
      <c r="D360">
        <v>10</v>
      </c>
      <c r="E360" s="16" t="s">
        <v>57</v>
      </c>
      <c r="F360" s="18">
        <v>924</v>
      </c>
      <c r="G360" s="22">
        <v>66</v>
      </c>
      <c r="H360" s="18">
        <v>2.1787557462588198</v>
      </c>
      <c r="I360" s="18">
        <v>143.79787925308199</v>
      </c>
      <c r="J360" s="18">
        <v>780.20212074691699</v>
      </c>
      <c r="K360" s="22">
        <v>0</v>
      </c>
      <c r="L360" s="22" t="str">
        <f t="shared" si="5"/>
        <v>45689, 2, 10</v>
      </c>
    </row>
    <row r="361" spans="1:12">
      <c r="A361" s="9">
        <v>45689</v>
      </c>
      <c r="B361">
        <v>2</v>
      </c>
      <c r="C361" s="16" t="s">
        <v>56</v>
      </c>
      <c r="D361">
        <v>11</v>
      </c>
      <c r="E361" s="16" t="s">
        <v>48</v>
      </c>
      <c r="F361" s="18">
        <v>3801</v>
      </c>
      <c r="G361" s="22">
        <v>181</v>
      </c>
      <c r="H361" s="18">
        <v>1.870719078125</v>
      </c>
      <c r="I361" s="18">
        <v>338.60015314062503</v>
      </c>
      <c r="J361" s="18">
        <v>3462.39984685937</v>
      </c>
      <c r="K361" s="22">
        <v>0</v>
      </c>
      <c r="L361" s="22" t="str">
        <f t="shared" si="5"/>
        <v>45689, 2, 11</v>
      </c>
    </row>
    <row r="362" spans="1:12">
      <c r="A362" s="9">
        <v>45689</v>
      </c>
      <c r="B362">
        <v>2</v>
      </c>
      <c r="C362" s="16" t="s">
        <v>56</v>
      </c>
      <c r="D362">
        <v>12</v>
      </c>
      <c r="E362" s="16" t="s">
        <v>49</v>
      </c>
      <c r="F362" s="18">
        <v>2244</v>
      </c>
      <c r="G362" s="22">
        <v>102</v>
      </c>
      <c r="H362" s="18">
        <v>2.4799806439999998</v>
      </c>
      <c r="I362" s="18">
        <v>252.95802568799999</v>
      </c>
      <c r="J362" s="18">
        <v>1991.0419743120001</v>
      </c>
      <c r="K362" s="22">
        <v>0</v>
      </c>
      <c r="L362" s="22" t="str">
        <f t="shared" si="5"/>
        <v>45689, 2, 12</v>
      </c>
    </row>
    <row r="363" spans="1:12">
      <c r="A363" s="9">
        <v>45689</v>
      </c>
      <c r="B363">
        <v>2</v>
      </c>
      <c r="C363" s="16" t="s">
        <v>56</v>
      </c>
      <c r="D363">
        <v>13</v>
      </c>
      <c r="E363" s="16" t="s">
        <v>50</v>
      </c>
      <c r="F363" s="18">
        <v>3220</v>
      </c>
      <c r="G363" s="22">
        <v>140</v>
      </c>
      <c r="H363" s="18">
        <v>6.2373203333333302</v>
      </c>
      <c r="I363" s="18">
        <v>873.22484666666605</v>
      </c>
      <c r="J363" s="18">
        <v>2346.7751533333299</v>
      </c>
      <c r="K363" s="22">
        <v>0</v>
      </c>
      <c r="L363" s="22" t="str">
        <f t="shared" si="5"/>
        <v>45689, 2, 13</v>
      </c>
    </row>
    <row r="364" spans="1:12">
      <c r="A364" s="9">
        <v>45689</v>
      </c>
      <c r="B364">
        <v>2</v>
      </c>
      <c r="C364" s="16" t="s">
        <v>56</v>
      </c>
      <c r="D364">
        <v>14</v>
      </c>
      <c r="E364" s="16" t="s">
        <v>51</v>
      </c>
      <c r="F364" s="18">
        <v>3360</v>
      </c>
      <c r="G364" s="22">
        <v>120</v>
      </c>
      <c r="H364" s="18">
        <v>4.4165281760925899</v>
      </c>
      <c r="I364" s="18">
        <v>529.98338113111095</v>
      </c>
      <c r="J364" s="18">
        <v>2830.01661886888</v>
      </c>
      <c r="K364" s="22">
        <v>0</v>
      </c>
      <c r="L364" s="22" t="str">
        <f t="shared" si="5"/>
        <v>45689, 2, 14</v>
      </c>
    </row>
    <row r="365" spans="1:12">
      <c r="A365" s="9">
        <v>45689</v>
      </c>
      <c r="B365">
        <v>2</v>
      </c>
      <c r="C365" s="16" t="s">
        <v>56</v>
      </c>
      <c r="D365">
        <v>15</v>
      </c>
      <c r="E365" s="16" t="s">
        <v>52</v>
      </c>
      <c r="F365" s="18">
        <v>2400</v>
      </c>
      <c r="G365" s="22">
        <v>96</v>
      </c>
      <c r="H365" s="18">
        <v>2.71521615364705</v>
      </c>
      <c r="I365" s="18">
        <v>260.66075075011702</v>
      </c>
      <c r="J365" s="18">
        <v>2139.3392492498801</v>
      </c>
      <c r="K365" s="22">
        <v>0</v>
      </c>
      <c r="L365" s="22" t="str">
        <f t="shared" si="5"/>
        <v>45689, 2, 15</v>
      </c>
    </row>
    <row r="366" spans="1:12">
      <c r="A366" s="9">
        <v>45689</v>
      </c>
      <c r="B366">
        <v>2</v>
      </c>
      <c r="C366" s="16" t="s">
        <v>56</v>
      </c>
      <c r="D366">
        <v>16</v>
      </c>
      <c r="E366" s="16" t="s">
        <v>53</v>
      </c>
      <c r="F366" s="18">
        <v>1809</v>
      </c>
      <c r="G366" s="22">
        <v>201</v>
      </c>
      <c r="H366" s="18">
        <v>1.5452619198333299</v>
      </c>
      <c r="I366" s="18">
        <v>310.5976458865</v>
      </c>
      <c r="J366" s="18">
        <v>1498.40235411349</v>
      </c>
      <c r="K366" s="22">
        <v>0</v>
      </c>
      <c r="L366" s="22" t="str">
        <f t="shared" si="5"/>
        <v>45689, 2, 16</v>
      </c>
    </row>
    <row r="367" spans="1:12">
      <c r="A367" s="9">
        <v>45689</v>
      </c>
      <c r="B367">
        <v>2</v>
      </c>
      <c r="C367" s="16" t="s">
        <v>56</v>
      </c>
      <c r="D367">
        <v>17</v>
      </c>
      <c r="E367" s="16" t="s">
        <v>54</v>
      </c>
      <c r="F367" s="18">
        <v>1200</v>
      </c>
      <c r="G367" s="22">
        <v>150</v>
      </c>
      <c r="H367" s="18">
        <v>1.3358082339999999</v>
      </c>
      <c r="I367" s="18">
        <v>200.37123510000001</v>
      </c>
      <c r="J367" s="18">
        <v>999.62876489999996</v>
      </c>
      <c r="K367" s="22">
        <v>0</v>
      </c>
      <c r="L367" s="22" t="str">
        <f t="shared" si="5"/>
        <v>45689, 2, 17</v>
      </c>
    </row>
    <row r="368" spans="1:12">
      <c r="A368" s="9">
        <v>45689</v>
      </c>
      <c r="B368">
        <v>2</v>
      </c>
      <c r="C368" s="16" t="s">
        <v>56</v>
      </c>
      <c r="D368">
        <v>18</v>
      </c>
      <c r="E368" s="16" t="s">
        <v>55</v>
      </c>
      <c r="F368" s="18">
        <v>1551</v>
      </c>
      <c r="G368" s="22">
        <v>66</v>
      </c>
      <c r="H368" s="18">
        <v>5.52906823455357</v>
      </c>
      <c r="I368" s="18">
        <v>364.91850348053498</v>
      </c>
      <c r="J368" s="18">
        <v>1186.08149651946</v>
      </c>
      <c r="K368" s="22">
        <v>0</v>
      </c>
      <c r="L368" s="22" t="str">
        <f t="shared" si="5"/>
        <v>45689, 2, 18</v>
      </c>
    </row>
    <row r="369" spans="1:12">
      <c r="A369" s="9">
        <v>45717</v>
      </c>
      <c r="B369">
        <v>2</v>
      </c>
      <c r="C369" s="16" t="s">
        <v>56</v>
      </c>
      <c r="D369">
        <v>1</v>
      </c>
      <c r="E369" s="16" t="s">
        <v>38</v>
      </c>
      <c r="F369" s="18">
        <v>4818</v>
      </c>
      <c r="G369" s="22">
        <v>219</v>
      </c>
      <c r="H369" s="18">
        <v>3.76121555555555</v>
      </c>
      <c r="I369" s="18">
        <v>823.70620666666605</v>
      </c>
      <c r="J369" s="18">
        <v>3994.2937933333301</v>
      </c>
      <c r="K369" s="22">
        <v>0</v>
      </c>
      <c r="L369" s="22" t="str">
        <f t="shared" si="5"/>
        <v>45717, 2, 1</v>
      </c>
    </row>
    <row r="370" spans="1:12">
      <c r="A370" s="9">
        <v>45717</v>
      </c>
      <c r="B370">
        <v>2</v>
      </c>
      <c r="C370" s="16" t="s">
        <v>56</v>
      </c>
      <c r="D370">
        <v>2</v>
      </c>
      <c r="E370" s="16" t="s">
        <v>40</v>
      </c>
      <c r="F370" s="18">
        <v>5184</v>
      </c>
      <c r="G370" s="22">
        <v>216</v>
      </c>
      <c r="H370" s="18">
        <v>6.4174633712000002</v>
      </c>
      <c r="I370" s="18">
        <v>1386.1720881792</v>
      </c>
      <c r="J370" s="18">
        <v>3797.8279118208002</v>
      </c>
      <c r="K370" s="22">
        <v>0</v>
      </c>
      <c r="L370" s="22" t="str">
        <f t="shared" si="5"/>
        <v>45717, 2, 2</v>
      </c>
    </row>
    <row r="371" spans="1:12">
      <c r="A371" s="9">
        <v>45717</v>
      </c>
      <c r="B371">
        <v>2</v>
      </c>
      <c r="C371" s="16" t="s">
        <v>56</v>
      </c>
      <c r="D371">
        <v>3</v>
      </c>
      <c r="E371" s="16" t="s">
        <v>41</v>
      </c>
      <c r="F371" s="18">
        <v>3876</v>
      </c>
      <c r="G371" s="22">
        <v>152</v>
      </c>
      <c r="H371" s="18">
        <v>3.4414562576923</v>
      </c>
      <c r="I371" s="18">
        <v>523.10135116923004</v>
      </c>
      <c r="J371" s="18">
        <v>3352.8986488307601</v>
      </c>
      <c r="K371" s="22">
        <v>0</v>
      </c>
      <c r="L371" s="22" t="str">
        <f t="shared" si="5"/>
        <v>45717, 2, 3</v>
      </c>
    </row>
    <row r="372" spans="1:12">
      <c r="A372" s="9">
        <v>45717</v>
      </c>
      <c r="B372">
        <v>2</v>
      </c>
      <c r="C372" s="16" t="s">
        <v>56</v>
      </c>
      <c r="D372">
        <v>4</v>
      </c>
      <c r="E372" s="16" t="s">
        <v>42</v>
      </c>
      <c r="F372" s="18">
        <v>2982</v>
      </c>
      <c r="G372" s="22">
        <v>142</v>
      </c>
      <c r="H372" s="18">
        <v>6.8873622738181801</v>
      </c>
      <c r="I372" s="18">
        <v>978.005442882181</v>
      </c>
      <c r="J372" s="18">
        <v>2003.99455711781</v>
      </c>
      <c r="K372" s="22">
        <v>0</v>
      </c>
      <c r="L372" s="22" t="str">
        <f t="shared" si="5"/>
        <v>45717, 2, 4</v>
      </c>
    </row>
    <row r="373" spans="1:12">
      <c r="A373" s="9">
        <v>45717</v>
      </c>
      <c r="B373">
        <v>2</v>
      </c>
      <c r="C373" s="16" t="s">
        <v>56</v>
      </c>
      <c r="D373">
        <v>5</v>
      </c>
      <c r="E373" s="16" t="s">
        <v>43</v>
      </c>
      <c r="F373" s="18">
        <v>1953</v>
      </c>
      <c r="G373" s="22">
        <v>93</v>
      </c>
      <c r="H373" s="18">
        <v>6.68611111111111</v>
      </c>
      <c r="I373" s="18">
        <v>621.80833333333305</v>
      </c>
      <c r="J373" s="18">
        <v>1331.19166666666</v>
      </c>
      <c r="K373" s="22">
        <v>0</v>
      </c>
      <c r="L373" s="22" t="str">
        <f t="shared" si="5"/>
        <v>45717, 2, 5</v>
      </c>
    </row>
    <row r="374" spans="1:12">
      <c r="A374" s="9">
        <v>45717</v>
      </c>
      <c r="B374">
        <v>2</v>
      </c>
      <c r="C374" s="16" t="s">
        <v>56</v>
      </c>
      <c r="D374">
        <v>6</v>
      </c>
      <c r="E374" s="16" t="s">
        <v>44</v>
      </c>
      <c r="F374" s="18">
        <v>3220</v>
      </c>
      <c r="G374" s="22">
        <v>140</v>
      </c>
      <c r="H374" s="18">
        <v>4.4934972613333297</v>
      </c>
      <c r="I374" s="18">
        <v>629.08961658666601</v>
      </c>
      <c r="J374" s="18">
        <v>2590.9103834133298</v>
      </c>
      <c r="K374" s="22">
        <v>0</v>
      </c>
      <c r="L374" s="22" t="str">
        <f t="shared" si="5"/>
        <v>45717, 2, 6</v>
      </c>
    </row>
    <row r="375" spans="1:12">
      <c r="A375" s="9">
        <v>45717</v>
      </c>
      <c r="B375">
        <v>2</v>
      </c>
      <c r="C375" s="16" t="s">
        <v>56</v>
      </c>
      <c r="D375">
        <v>8</v>
      </c>
      <c r="E375" s="16" t="s">
        <v>46</v>
      </c>
      <c r="F375" s="18">
        <v>1487.5</v>
      </c>
      <c r="G375" s="22">
        <v>119</v>
      </c>
      <c r="H375" s="18">
        <v>0.68628523285714305</v>
      </c>
      <c r="I375" s="18">
        <v>81.667942710000005</v>
      </c>
      <c r="J375" s="18">
        <v>1405.83205728999</v>
      </c>
      <c r="K375" s="22">
        <v>0</v>
      </c>
      <c r="L375" s="22" t="str">
        <f t="shared" si="5"/>
        <v>45717, 2, 8</v>
      </c>
    </row>
    <row r="376" spans="1:12">
      <c r="A376" s="9">
        <v>45717</v>
      </c>
      <c r="B376">
        <v>2</v>
      </c>
      <c r="C376" s="16" t="s">
        <v>56</v>
      </c>
      <c r="D376">
        <v>10</v>
      </c>
      <c r="E376" s="16" t="s">
        <v>57</v>
      </c>
      <c r="F376" s="18">
        <v>1232</v>
      </c>
      <c r="G376" s="22">
        <v>88</v>
      </c>
      <c r="H376" s="18">
        <v>2.1079975806315701</v>
      </c>
      <c r="I376" s="18">
        <v>185.50378709557799</v>
      </c>
      <c r="J376" s="18">
        <v>1046.49621290442</v>
      </c>
      <c r="K376" s="22">
        <v>0</v>
      </c>
      <c r="L376" s="22" t="str">
        <f t="shared" si="5"/>
        <v>45717, 2, 10</v>
      </c>
    </row>
    <row r="377" spans="1:12">
      <c r="A377" s="9">
        <v>45717</v>
      </c>
      <c r="B377">
        <v>2</v>
      </c>
      <c r="C377" s="16" t="s">
        <v>56</v>
      </c>
      <c r="D377">
        <v>11</v>
      </c>
      <c r="E377" s="16" t="s">
        <v>48</v>
      </c>
      <c r="F377" s="18">
        <v>4473</v>
      </c>
      <c r="G377" s="22">
        <v>213</v>
      </c>
      <c r="H377" s="18">
        <v>1.862355796875</v>
      </c>
      <c r="I377" s="18">
        <v>396.68178473437501</v>
      </c>
      <c r="J377" s="18">
        <v>4076.31821526562</v>
      </c>
      <c r="K377" s="22">
        <v>0</v>
      </c>
      <c r="L377" s="22" t="str">
        <f t="shared" si="5"/>
        <v>45717, 2, 11</v>
      </c>
    </row>
    <row r="378" spans="1:12">
      <c r="A378" s="9">
        <v>45717</v>
      </c>
      <c r="B378">
        <v>2</v>
      </c>
      <c r="C378" s="16" t="s">
        <v>56</v>
      </c>
      <c r="D378">
        <v>12</v>
      </c>
      <c r="E378" s="16" t="s">
        <v>49</v>
      </c>
      <c r="F378" s="18">
        <v>2926</v>
      </c>
      <c r="G378" s="22">
        <v>133</v>
      </c>
      <c r="H378" s="18">
        <v>2.5175252934230699</v>
      </c>
      <c r="I378" s="18">
        <v>334.83086402526902</v>
      </c>
      <c r="J378" s="18">
        <v>2591.1691359747301</v>
      </c>
      <c r="K378" s="22">
        <v>0</v>
      </c>
      <c r="L378" s="22" t="str">
        <f t="shared" si="5"/>
        <v>45717, 2, 12</v>
      </c>
    </row>
    <row r="379" spans="1:12">
      <c r="A379" s="9">
        <v>45717</v>
      </c>
      <c r="B379">
        <v>2</v>
      </c>
      <c r="C379" s="16" t="s">
        <v>56</v>
      </c>
      <c r="D379">
        <v>13</v>
      </c>
      <c r="E379" s="16" t="s">
        <v>50</v>
      </c>
      <c r="F379" s="18">
        <v>4140</v>
      </c>
      <c r="G379" s="22">
        <v>180</v>
      </c>
      <c r="H379" s="18">
        <v>6.2401260769230698</v>
      </c>
      <c r="I379" s="18">
        <v>1123.2226938461499</v>
      </c>
      <c r="J379" s="18">
        <v>3016.7773061538401</v>
      </c>
      <c r="K379" s="22">
        <v>0</v>
      </c>
      <c r="L379" s="22" t="str">
        <f t="shared" si="5"/>
        <v>45717, 2, 13</v>
      </c>
    </row>
    <row r="380" spans="1:12">
      <c r="A380" s="9">
        <v>45717</v>
      </c>
      <c r="B380">
        <v>2</v>
      </c>
      <c r="C380" s="16" t="s">
        <v>56</v>
      </c>
      <c r="D380">
        <v>14</v>
      </c>
      <c r="E380" s="16" t="s">
        <v>51</v>
      </c>
      <c r="F380" s="18">
        <v>4004</v>
      </c>
      <c r="G380" s="22">
        <v>143</v>
      </c>
      <c r="H380" s="18">
        <v>4.4073159786578904</v>
      </c>
      <c r="I380" s="18">
        <v>630.24618494807805</v>
      </c>
      <c r="J380" s="18">
        <v>3373.7538150519199</v>
      </c>
      <c r="K380" s="22">
        <v>0</v>
      </c>
      <c r="L380" s="22" t="str">
        <f t="shared" si="5"/>
        <v>45717, 2, 14</v>
      </c>
    </row>
    <row r="381" spans="1:12">
      <c r="A381" s="9">
        <v>45717</v>
      </c>
      <c r="B381">
        <v>2</v>
      </c>
      <c r="C381" s="16" t="s">
        <v>56</v>
      </c>
      <c r="D381">
        <v>15</v>
      </c>
      <c r="E381" s="16" t="s">
        <v>52</v>
      </c>
      <c r="F381" s="18">
        <v>2900</v>
      </c>
      <c r="G381" s="22">
        <v>116</v>
      </c>
      <c r="H381" s="18">
        <v>2.7449359183157802</v>
      </c>
      <c r="I381" s="18">
        <v>318.41256652463102</v>
      </c>
      <c r="J381" s="18">
        <v>2581.5874334753598</v>
      </c>
      <c r="K381" s="22">
        <v>0</v>
      </c>
      <c r="L381" s="22" t="str">
        <f t="shared" si="5"/>
        <v>45717, 2, 15</v>
      </c>
    </row>
    <row r="382" spans="1:12">
      <c r="A382" s="9">
        <v>45717</v>
      </c>
      <c r="B382">
        <v>2</v>
      </c>
      <c r="C382" s="16" t="s">
        <v>56</v>
      </c>
      <c r="D382">
        <v>16</v>
      </c>
      <c r="E382" s="16" t="s">
        <v>53</v>
      </c>
      <c r="F382" s="18">
        <v>2358</v>
      </c>
      <c r="G382" s="22">
        <v>262</v>
      </c>
      <c r="H382" s="18">
        <v>1.55085947511111</v>
      </c>
      <c r="I382" s="18">
        <v>406.32518247911099</v>
      </c>
      <c r="J382" s="18">
        <v>1951.67481752088</v>
      </c>
      <c r="K382" s="22">
        <v>0</v>
      </c>
      <c r="L382" s="22" t="str">
        <f t="shared" si="5"/>
        <v>45717, 2, 16</v>
      </c>
    </row>
    <row r="383" spans="1:12">
      <c r="A383" s="9">
        <v>45717</v>
      </c>
      <c r="B383">
        <v>2</v>
      </c>
      <c r="C383" s="16" t="s">
        <v>56</v>
      </c>
      <c r="D383">
        <v>17</v>
      </c>
      <c r="E383" s="16" t="s">
        <v>54</v>
      </c>
      <c r="F383" s="18">
        <v>1720</v>
      </c>
      <c r="G383" s="22">
        <v>215</v>
      </c>
      <c r="H383" s="18">
        <v>1.3382579891666599</v>
      </c>
      <c r="I383" s="18">
        <v>287.72546767083298</v>
      </c>
      <c r="J383" s="18">
        <v>1432.2745323291599</v>
      </c>
      <c r="K383" s="22">
        <v>0</v>
      </c>
      <c r="L383" s="22" t="str">
        <f t="shared" si="5"/>
        <v>45717, 2, 17</v>
      </c>
    </row>
    <row r="384" spans="1:12">
      <c r="A384" s="9">
        <v>45717</v>
      </c>
      <c r="B384">
        <v>2</v>
      </c>
      <c r="C384" s="16" t="s">
        <v>56</v>
      </c>
      <c r="D384">
        <v>18</v>
      </c>
      <c r="E384" s="16" t="s">
        <v>55</v>
      </c>
      <c r="F384" s="18">
        <v>1621.5</v>
      </c>
      <c r="G384" s="22">
        <v>69</v>
      </c>
      <c r="H384" s="18">
        <v>5.5664487854833302</v>
      </c>
      <c r="I384" s="18">
        <v>384.08496619834898</v>
      </c>
      <c r="J384" s="18">
        <v>1237.41503380165</v>
      </c>
      <c r="K384" s="22">
        <v>0</v>
      </c>
      <c r="L384" s="22" t="str">
        <f t="shared" si="5"/>
        <v>45717, 2, 18</v>
      </c>
    </row>
    <row r="385" spans="1:12">
      <c r="A385" s="9">
        <v>45748</v>
      </c>
      <c r="B385">
        <v>2</v>
      </c>
      <c r="C385" s="16" t="s">
        <v>56</v>
      </c>
      <c r="D385">
        <v>1</v>
      </c>
      <c r="E385" s="16" t="s">
        <v>38</v>
      </c>
      <c r="F385" s="18">
        <v>5104</v>
      </c>
      <c r="G385" s="22">
        <v>232</v>
      </c>
      <c r="H385" s="18">
        <v>3.7810306388888799</v>
      </c>
      <c r="I385" s="18">
        <v>877.19910822222198</v>
      </c>
      <c r="J385" s="18">
        <v>4226.8008917777697</v>
      </c>
      <c r="K385" s="22">
        <v>0</v>
      </c>
      <c r="L385" s="22" t="str">
        <f t="shared" si="5"/>
        <v>45748, 2, 1</v>
      </c>
    </row>
    <row r="386" spans="1:12">
      <c r="A386" s="9">
        <v>45748</v>
      </c>
      <c r="B386">
        <v>2</v>
      </c>
      <c r="C386" s="16" t="s">
        <v>56</v>
      </c>
      <c r="D386">
        <v>2</v>
      </c>
      <c r="E386" s="16" t="s">
        <v>40</v>
      </c>
      <c r="F386" s="18">
        <v>5256</v>
      </c>
      <c r="G386" s="22">
        <v>219</v>
      </c>
      <c r="H386" s="18">
        <v>6.4701835094666604</v>
      </c>
      <c r="I386" s="18">
        <v>1416.9701885731999</v>
      </c>
      <c r="J386" s="18">
        <v>3839.0298114267898</v>
      </c>
      <c r="K386" s="22">
        <v>0</v>
      </c>
      <c r="L386" s="22" t="str">
        <f t="shared" si="5"/>
        <v>45748, 2, 2</v>
      </c>
    </row>
    <row r="387" spans="1:12">
      <c r="A387" s="9">
        <v>45748</v>
      </c>
      <c r="B387">
        <v>2</v>
      </c>
      <c r="C387" s="16" t="s">
        <v>56</v>
      </c>
      <c r="D387">
        <v>3</v>
      </c>
      <c r="E387" s="16" t="s">
        <v>41</v>
      </c>
      <c r="F387" s="18">
        <v>2830.5</v>
      </c>
      <c r="G387" s="22">
        <v>111</v>
      </c>
      <c r="H387" s="18">
        <v>3.4636447838461502</v>
      </c>
      <c r="I387" s="18">
        <v>384.46457100692299</v>
      </c>
      <c r="J387" s="18">
        <v>2446.0354289930701</v>
      </c>
      <c r="K387" s="22">
        <v>0</v>
      </c>
      <c r="L387" s="22" t="str">
        <f t="shared" ref="L387:L450" si="6">(A387&amp; ", "&amp; B387&amp; ", "&amp; D387)</f>
        <v>45748, 2, 3</v>
      </c>
    </row>
    <row r="388" spans="1:12">
      <c r="A388" s="9">
        <v>45748</v>
      </c>
      <c r="B388">
        <v>2</v>
      </c>
      <c r="C388" s="16" t="s">
        <v>56</v>
      </c>
      <c r="D388">
        <v>4</v>
      </c>
      <c r="E388" s="16" t="s">
        <v>42</v>
      </c>
      <c r="F388" s="18">
        <v>3171</v>
      </c>
      <c r="G388" s="22">
        <v>151</v>
      </c>
      <c r="H388" s="18">
        <v>6.8141017545454501</v>
      </c>
      <c r="I388" s="18">
        <v>1028.9293649363599</v>
      </c>
      <c r="J388" s="18">
        <v>2142.0706350636301</v>
      </c>
      <c r="K388" s="22">
        <v>0</v>
      </c>
      <c r="L388" s="22" t="str">
        <f t="shared" si="6"/>
        <v>45748, 2, 4</v>
      </c>
    </row>
    <row r="389" spans="1:12">
      <c r="A389" s="9">
        <v>45748</v>
      </c>
      <c r="B389">
        <v>2</v>
      </c>
      <c r="C389" s="16" t="s">
        <v>56</v>
      </c>
      <c r="D389">
        <v>5</v>
      </c>
      <c r="E389" s="16" t="s">
        <v>43</v>
      </c>
      <c r="F389" s="18">
        <v>1995</v>
      </c>
      <c r="G389" s="22">
        <v>95</v>
      </c>
      <c r="H389" s="18">
        <v>6.4099218750000002</v>
      </c>
      <c r="I389" s="18">
        <v>608.94257812499995</v>
      </c>
      <c r="J389" s="18">
        <v>1386.057421875</v>
      </c>
      <c r="K389" s="22">
        <v>0</v>
      </c>
      <c r="L389" s="22" t="str">
        <f t="shared" si="6"/>
        <v>45748, 2, 5</v>
      </c>
    </row>
    <row r="390" spans="1:12">
      <c r="A390" s="9">
        <v>45748</v>
      </c>
      <c r="B390">
        <v>2</v>
      </c>
      <c r="C390" s="16" t="s">
        <v>56</v>
      </c>
      <c r="D390">
        <v>6</v>
      </c>
      <c r="E390" s="16" t="s">
        <v>44</v>
      </c>
      <c r="F390" s="18">
        <v>3657</v>
      </c>
      <c r="G390" s="22">
        <v>159</v>
      </c>
      <c r="H390" s="18">
        <v>4.514681912625</v>
      </c>
      <c r="I390" s="18">
        <v>717.83442410737496</v>
      </c>
      <c r="J390" s="18">
        <v>2939.1655758926199</v>
      </c>
      <c r="K390" s="22">
        <v>0</v>
      </c>
      <c r="L390" s="22" t="str">
        <f t="shared" si="6"/>
        <v>45748, 2, 6</v>
      </c>
    </row>
    <row r="391" spans="1:12">
      <c r="A391" s="9">
        <v>45748</v>
      </c>
      <c r="B391">
        <v>2</v>
      </c>
      <c r="C391" s="16" t="s">
        <v>56</v>
      </c>
      <c r="D391">
        <v>8</v>
      </c>
      <c r="E391" s="16" t="s">
        <v>46</v>
      </c>
      <c r="F391" s="18">
        <v>1412.5</v>
      </c>
      <c r="G391" s="22">
        <v>113</v>
      </c>
      <c r="H391" s="18">
        <v>0.68831735866666599</v>
      </c>
      <c r="I391" s="18">
        <v>77.779861529333303</v>
      </c>
      <c r="J391" s="18">
        <v>1334.72013847066</v>
      </c>
      <c r="K391" s="22">
        <v>0</v>
      </c>
      <c r="L391" s="22" t="str">
        <f t="shared" si="6"/>
        <v>45748, 2, 8</v>
      </c>
    </row>
    <row r="392" spans="1:12">
      <c r="A392" s="9">
        <v>45748</v>
      </c>
      <c r="B392">
        <v>2</v>
      </c>
      <c r="C392" s="16" t="s">
        <v>56</v>
      </c>
      <c r="D392">
        <v>10</v>
      </c>
      <c r="E392" s="16" t="s">
        <v>57</v>
      </c>
      <c r="F392" s="18">
        <v>1204</v>
      </c>
      <c r="G392" s="22">
        <v>86</v>
      </c>
      <c r="H392" s="18">
        <v>2.0062720469399999</v>
      </c>
      <c r="I392" s="18">
        <v>172.53939603684</v>
      </c>
      <c r="J392" s="18">
        <v>1031.4606039631601</v>
      </c>
      <c r="K392" s="22">
        <v>0</v>
      </c>
      <c r="L392" s="22" t="str">
        <f t="shared" si="6"/>
        <v>45748, 2, 10</v>
      </c>
    </row>
    <row r="393" spans="1:12">
      <c r="A393" s="9">
        <v>45748</v>
      </c>
      <c r="B393">
        <v>2</v>
      </c>
      <c r="C393" s="16" t="s">
        <v>56</v>
      </c>
      <c r="D393">
        <v>11</v>
      </c>
      <c r="E393" s="16" t="s">
        <v>48</v>
      </c>
      <c r="F393" s="18">
        <v>4032</v>
      </c>
      <c r="G393" s="22">
        <v>192</v>
      </c>
      <c r="H393" s="18">
        <v>1.86990002777777</v>
      </c>
      <c r="I393" s="18">
        <v>359.02080533333299</v>
      </c>
      <c r="J393" s="18">
        <v>3672.9791946666601</v>
      </c>
      <c r="K393" s="22">
        <v>0</v>
      </c>
      <c r="L393" s="22" t="str">
        <f t="shared" si="6"/>
        <v>45748, 2, 11</v>
      </c>
    </row>
    <row r="394" spans="1:12">
      <c r="A394" s="9">
        <v>45748</v>
      </c>
      <c r="B394">
        <v>2</v>
      </c>
      <c r="C394" s="16" t="s">
        <v>56</v>
      </c>
      <c r="D394">
        <v>12</v>
      </c>
      <c r="E394" s="16" t="s">
        <v>49</v>
      </c>
      <c r="F394" s="18">
        <v>3432</v>
      </c>
      <c r="G394" s="22">
        <v>156</v>
      </c>
      <c r="H394" s="18">
        <v>2.5095013434615301</v>
      </c>
      <c r="I394" s="18">
        <v>391.48220957999899</v>
      </c>
      <c r="J394" s="18">
        <v>3040.51779042</v>
      </c>
      <c r="K394" s="22">
        <v>0</v>
      </c>
      <c r="L394" s="22" t="str">
        <f t="shared" si="6"/>
        <v>45748, 2, 12</v>
      </c>
    </row>
    <row r="395" spans="1:12">
      <c r="A395" s="9">
        <v>45748</v>
      </c>
      <c r="B395">
        <v>2</v>
      </c>
      <c r="C395" s="16" t="s">
        <v>56</v>
      </c>
      <c r="D395">
        <v>13</v>
      </c>
      <c r="E395" s="16" t="s">
        <v>50</v>
      </c>
      <c r="F395" s="18">
        <v>3174</v>
      </c>
      <c r="G395" s="22">
        <v>138</v>
      </c>
      <c r="H395" s="18">
        <v>6.2916645384615304</v>
      </c>
      <c r="I395" s="18">
        <v>868.24970630769201</v>
      </c>
      <c r="J395" s="18">
        <v>2305.7502936923001</v>
      </c>
      <c r="K395" s="22">
        <v>0</v>
      </c>
      <c r="L395" s="22" t="str">
        <f t="shared" si="6"/>
        <v>45748, 2, 13</v>
      </c>
    </row>
    <row r="396" spans="1:12">
      <c r="A396" s="9">
        <v>45748</v>
      </c>
      <c r="B396">
        <v>2</v>
      </c>
      <c r="C396" s="16" t="s">
        <v>56</v>
      </c>
      <c r="D396">
        <v>14</v>
      </c>
      <c r="E396" s="16" t="s">
        <v>51</v>
      </c>
      <c r="F396" s="18">
        <v>3500</v>
      </c>
      <c r="G396" s="22">
        <v>125</v>
      </c>
      <c r="H396" s="18">
        <v>4.4316034090789396</v>
      </c>
      <c r="I396" s="18">
        <v>553.95042613486805</v>
      </c>
      <c r="J396" s="18">
        <v>2946.0495738651298</v>
      </c>
      <c r="K396" s="22">
        <v>0</v>
      </c>
      <c r="L396" s="22" t="str">
        <f t="shared" si="6"/>
        <v>45748, 2, 14</v>
      </c>
    </row>
    <row r="397" spans="1:12">
      <c r="A397" s="9">
        <v>45748</v>
      </c>
      <c r="B397">
        <v>2</v>
      </c>
      <c r="C397" s="16" t="s">
        <v>56</v>
      </c>
      <c r="D397">
        <v>15</v>
      </c>
      <c r="E397" s="16" t="s">
        <v>52</v>
      </c>
      <c r="F397" s="18">
        <v>3475</v>
      </c>
      <c r="G397" s="22">
        <v>139</v>
      </c>
      <c r="H397" s="18">
        <v>2.7112285279999999</v>
      </c>
      <c r="I397" s="18">
        <v>376.86076539200002</v>
      </c>
      <c r="J397" s="18">
        <v>3098.1392346080002</v>
      </c>
      <c r="K397" s="22">
        <v>0</v>
      </c>
      <c r="L397" s="22" t="str">
        <f t="shared" si="6"/>
        <v>45748, 2, 15</v>
      </c>
    </row>
    <row r="398" spans="1:12">
      <c r="A398" s="9">
        <v>45748</v>
      </c>
      <c r="B398">
        <v>2</v>
      </c>
      <c r="C398" s="16" t="s">
        <v>56</v>
      </c>
      <c r="D398">
        <v>16</v>
      </c>
      <c r="E398" s="16" t="s">
        <v>53</v>
      </c>
      <c r="F398" s="18">
        <v>2124</v>
      </c>
      <c r="G398" s="22">
        <v>236</v>
      </c>
      <c r="H398" s="18">
        <v>1.5620213282142801</v>
      </c>
      <c r="I398" s="18">
        <v>368.63703345857101</v>
      </c>
      <c r="J398" s="18">
        <v>1755.3629665414201</v>
      </c>
      <c r="K398" s="22">
        <v>0</v>
      </c>
      <c r="L398" s="22" t="str">
        <f t="shared" si="6"/>
        <v>45748, 2, 16</v>
      </c>
    </row>
    <row r="399" spans="1:12">
      <c r="A399" s="9">
        <v>45748</v>
      </c>
      <c r="B399">
        <v>2</v>
      </c>
      <c r="C399" s="16" t="s">
        <v>56</v>
      </c>
      <c r="D399">
        <v>17</v>
      </c>
      <c r="E399" s="16" t="s">
        <v>54</v>
      </c>
      <c r="F399" s="18">
        <v>2048</v>
      </c>
      <c r="G399" s="22">
        <v>256</v>
      </c>
      <c r="H399" s="18">
        <v>1.34103810454545</v>
      </c>
      <c r="I399" s="18">
        <v>343.305754763636</v>
      </c>
      <c r="J399" s="18">
        <v>1704.6942452363601</v>
      </c>
      <c r="K399" s="22">
        <v>0</v>
      </c>
      <c r="L399" s="22" t="str">
        <f t="shared" si="6"/>
        <v>45748, 2, 17</v>
      </c>
    </row>
    <row r="400" spans="1:12">
      <c r="A400" s="9">
        <v>45748</v>
      </c>
      <c r="B400">
        <v>2</v>
      </c>
      <c r="C400" s="16" t="s">
        <v>56</v>
      </c>
      <c r="D400">
        <v>18</v>
      </c>
      <c r="E400" s="16" t="s">
        <v>55</v>
      </c>
      <c r="F400" s="18">
        <v>2256</v>
      </c>
      <c r="G400" s="22">
        <v>96</v>
      </c>
      <c r="H400" s="18">
        <v>5.5481366001166599</v>
      </c>
      <c r="I400" s="18">
        <v>532.62111361120003</v>
      </c>
      <c r="J400" s="18">
        <v>1723.3788863887901</v>
      </c>
      <c r="K400" s="22">
        <v>0</v>
      </c>
      <c r="L400" s="22" t="str">
        <f t="shared" si="6"/>
        <v>45748, 2, 18</v>
      </c>
    </row>
    <row r="401" spans="1:12">
      <c r="A401" s="9">
        <v>45778</v>
      </c>
      <c r="B401">
        <v>2</v>
      </c>
      <c r="C401" s="16" t="s">
        <v>56</v>
      </c>
      <c r="D401">
        <v>1</v>
      </c>
      <c r="E401" s="16" t="s">
        <v>38</v>
      </c>
      <c r="F401" s="18">
        <v>5676</v>
      </c>
      <c r="G401" s="22">
        <v>258</v>
      </c>
      <c r="H401" s="18">
        <v>3.7644331710526302</v>
      </c>
      <c r="I401" s="18">
        <v>971.22375813157805</v>
      </c>
      <c r="J401" s="18">
        <v>4704.7762418684197</v>
      </c>
      <c r="K401" s="22">
        <v>0</v>
      </c>
      <c r="L401" s="22" t="str">
        <f t="shared" si="6"/>
        <v>45778, 2, 1</v>
      </c>
    </row>
    <row r="402" spans="1:12">
      <c r="A402" s="9">
        <v>45778</v>
      </c>
      <c r="B402">
        <v>2</v>
      </c>
      <c r="C402" s="16" t="s">
        <v>56</v>
      </c>
      <c r="D402">
        <v>2</v>
      </c>
      <c r="E402" s="16" t="s">
        <v>40</v>
      </c>
      <c r="F402" s="18">
        <v>5904</v>
      </c>
      <c r="G402" s="22">
        <v>246</v>
      </c>
      <c r="H402" s="18">
        <v>6.4124251878666598</v>
      </c>
      <c r="I402" s="18">
        <v>1577.4565962152001</v>
      </c>
      <c r="J402" s="18">
        <v>4326.5434037847899</v>
      </c>
      <c r="K402" s="22">
        <v>0</v>
      </c>
      <c r="L402" s="22" t="str">
        <f t="shared" si="6"/>
        <v>45778, 2, 2</v>
      </c>
    </row>
    <row r="403" spans="1:12">
      <c r="A403" s="9">
        <v>45778</v>
      </c>
      <c r="B403">
        <v>2</v>
      </c>
      <c r="C403" s="16" t="s">
        <v>56</v>
      </c>
      <c r="D403">
        <v>3</v>
      </c>
      <c r="E403" s="16" t="s">
        <v>41</v>
      </c>
      <c r="F403" s="18">
        <v>2830.5</v>
      </c>
      <c r="G403" s="22">
        <v>111</v>
      </c>
      <c r="H403" s="18">
        <v>3.5244962015384602</v>
      </c>
      <c r="I403" s="18">
        <v>391.21907837076901</v>
      </c>
      <c r="J403" s="18">
        <v>2439.2809216292299</v>
      </c>
      <c r="K403" s="22">
        <v>0</v>
      </c>
      <c r="L403" s="22" t="str">
        <f t="shared" si="6"/>
        <v>45778, 2, 3</v>
      </c>
    </row>
    <row r="404" spans="1:12">
      <c r="A404" s="9">
        <v>45778</v>
      </c>
      <c r="B404">
        <v>2</v>
      </c>
      <c r="C404" s="16" t="s">
        <v>56</v>
      </c>
      <c r="D404">
        <v>4</v>
      </c>
      <c r="E404" s="16" t="s">
        <v>42</v>
      </c>
      <c r="F404" s="18">
        <v>3339</v>
      </c>
      <c r="G404" s="22">
        <v>159</v>
      </c>
      <c r="H404" s="18">
        <v>6.5843591211666599</v>
      </c>
      <c r="I404" s="18">
        <v>1046.9131002654999</v>
      </c>
      <c r="J404" s="18">
        <v>2292.0868997344901</v>
      </c>
      <c r="K404" s="22">
        <v>0</v>
      </c>
      <c r="L404" s="22" t="str">
        <f t="shared" si="6"/>
        <v>45778, 2, 4</v>
      </c>
    </row>
    <row r="405" spans="1:12">
      <c r="A405" s="9">
        <v>45778</v>
      </c>
      <c r="B405">
        <v>2</v>
      </c>
      <c r="C405" s="16" t="s">
        <v>56</v>
      </c>
      <c r="D405">
        <v>5</v>
      </c>
      <c r="E405" s="16" t="s">
        <v>43</v>
      </c>
      <c r="F405" s="18">
        <v>2331</v>
      </c>
      <c r="G405" s="22">
        <v>111</v>
      </c>
      <c r="H405" s="18">
        <v>6.2050000000000001</v>
      </c>
      <c r="I405" s="18">
        <v>688.755</v>
      </c>
      <c r="J405" s="18">
        <v>1642.2449999999999</v>
      </c>
      <c r="K405" s="22">
        <v>0</v>
      </c>
      <c r="L405" s="22" t="str">
        <f t="shared" si="6"/>
        <v>45778, 2, 5</v>
      </c>
    </row>
    <row r="406" spans="1:12">
      <c r="A406" s="9">
        <v>45778</v>
      </c>
      <c r="B406">
        <v>2</v>
      </c>
      <c r="C406" s="16" t="s">
        <v>56</v>
      </c>
      <c r="D406">
        <v>6</v>
      </c>
      <c r="E406" s="16" t="s">
        <v>44</v>
      </c>
      <c r="F406" s="18">
        <v>2875</v>
      </c>
      <c r="G406" s="22">
        <v>125</v>
      </c>
      <c r="H406" s="18">
        <v>4.4964410081562498</v>
      </c>
      <c r="I406" s="18">
        <v>562.05512601953103</v>
      </c>
      <c r="J406" s="18">
        <v>2312.9448739804602</v>
      </c>
      <c r="K406" s="22">
        <v>0</v>
      </c>
      <c r="L406" s="22" t="str">
        <f t="shared" si="6"/>
        <v>45778, 2, 6</v>
      </c>
    </row>
    <row r="407" spans="1:12">
      <c r="A407" s="9">
        <v>45778</v>
      </c>
      <c r="B407">
        <v>2</v>
      </c>
      <c r="C407" s="16" t="s">
        <v>56</v>
      </c>
      <c r="D407">
        <v>8</v>
      </c>
      <c r="E407" s="16" t="s">
        <v>46</v>
      </c>
      <c r="F407" s="18">
        <v>1300</v>
      </c>
      <c r="G407" s="22">
        <v>104</v>
      </c>
      <c r="H407" s="18">
        <v>0.68733841044444399</v>
      </c>
      <c r="I407" s="18">
        <v>71.483194686222205</v>
      </c>
      <c r="J407" s="18">
        <v>1228.51680531377</v>
      </c>
      <c r="K407" s="22">
        <v>0</v>
      </c>
      <c r="L407" s="22" t="str">
        <f t="shared" si="6"/>
        <v>45778, 2, 8</v>
      </c>
    </row>
    <row r="408" spans="1:12">
      <c r="A408" s="9">
        <v>45778</v>
      </c>
      <c r="B408">
        <v>2</v>
      </c>
      <c r="C408" s="16" t="s">
        <v>56</v>
      </c>
      <c r="D408">
        <v>10</v>
      </c>
      <c r="E408" s="16" t="s">
        <v>57</v>
      </c>
      <c r="F408" s="18">
        <v>1386</v>
      </c>
      <c r="G408" s="22">
        <v>99</v>
      </c>
      <c r="H408" s="18">
        <v>1.8743461911238</v>
      </c>
      <c r="I408" s="18">
        <v>185.560272921257</v>
      </c>
      <c r="J408" s="18">
        <v>1200.4397270787399</v>
      </c>
      <c r="K408" s="22">
        <v>0</v>
      </c>
      <c r="L408" s="22" t="str">
        <f t="shared" si="6"/>
        <v>45778, 2, 10</v>
      </c>
    </row>
    <row r="409" spans="1:12">
      <c r="A409" s="9">
        <v>45778</v>
      </c>
      <c r="B409">
        <v>2</v>
      </c>
      <c r="C409" s="16" t="s">
        <v>56</v>
      </c>
      <c r="D409">
        <v>11</v>
      </c>
      <c r="E409" s="16" t="s">
        <v>48</v>
      </c>
      <c r="F409" s="18">
        <v>5040</v>
      </c>
      <c r="G409" s="22">
        <v>240</v>
      </c>
      <c r="H409" s="18">
        <v>1.86634755555555</v>
      </c>
      <c r="I409" s="18">
        <v>447.92341333333297</v>
      </c>
      <c r="J409" s="18">
        <v>4592.0765866666598</v>
      </c>
      <c r="K409" s="22">
        <v>0</v>
      </c>
      <c r="L409" s="22" t="str">
        <f t="shared" si="6"/>
        <v>45778, 2, 11</v>
      </c>
    </row>
    <row r="410" spans="1:12">
      <c r="A410" s="9">
        <v>45778</v>
      </c>
      <c r="B410">
        <v>2</v>
      </c>
      <c r="C410" s="16" t="s">
        <v>56</v>
      </c>
      <c r="D410">
        <v>12</v>
      </c>
      <c r="E410" s="16" t="s">
        <v>49</v>
      </c>
      <c r="F410" s="18">
        <v>3366</v>
      </c>
      <c r="G410" s="22">
        <v>153</v>
      </c>
      <c r="H410" s="18">
        <v>2.49926590746428</v>
      </c>
      <c r="I410" s="18">
        <v>382.38768384203502</v>
      </c>
      <c r="J410" s="18">
        <v>2983.6123161579599</v>
      </c>
      <c r="K410" s="22">
        <v>0</v>
      </c>
      <c r="L410" s="22" t="str">
        <f t="shared" si="6"/>
        <v>45778, 2, 12</v>
      </c>
    </row>
    <row r="411" spans="1:12">
      <c r="A411" s="9">
        <v>45778</v>
      </c>
      <c r="B411">
        <v>2</v>
      </c>
      <c r="C411" s="16" t="s">
        <v>56</v>
      </c>
      <c r="D411">
        <v>13</v>
      </c>
      <c r="E411" s="16" t="s">
        <v>50</v>
      </c>
      <c r="F411" s="18">
        <v>3473</v>
      </c>
      <c r="G411" s="22">
        <v>151</v>
      </c>
      <c r="H411" s="18">
        <v>6.3194909230769198</v>
      </c>
      <c r="I411" s="18">
        <v>954.24312938461503</v>
      </c>
      <c r="J411" s="18">
        <v>2518.7568706153802</v>
      </c>
      <c r="K411" s="22">
        <v>0</v>
      </c>
      <c r="L411" s="22" t="str">
        <f t="shared" si="6"/>
        <v>45778, 2, 13</v>
      </c>
    </row>
    <row r="412" spans="1:12">
      <c r="A412" s="9">
        <v>45778</v>
      </c>
      <c r="B412">
        <v>2</v>
      </c>
      <c r="C412" s="16" t="s">
        <v>56</v>
      </c>
      <c r="D412">
        <v>14</v>
      </c>
      <c r="E412" s="16" t="s">
        <v>51</v>
      </c>
      <c r="F412" s="18">
        <v>3192</v>
      </c>
      <c r="G412" s="22">
        <v>114</v>
      </c>
      <c r="H412" s="18">
        <v>4.3746704958416602</v>
      </c>
      <c r="I412" s="18">
        <v>498.71243652594899</v>
      </c>
      <c r="J412" s="18">
        <v>2693.2875634740499</v>
      </c>
      <c r="K412" s="22">
        <v>0</v>
      </c>
      <c r="L412" s="22" t="str">
        <f t="shared" si="6"/>
        <v>45778, 2, 14</v>
      </c>
    </row>
    <row r="413" spans="1:12">
      <c r="A413" s="9">
        <v>45778</v>
      </c>
      <c r="B413">
        <v>2</v>
      </c>
      <c r="C413" s="16" t="s">
        <v>56</v>
      </c>
      <c r="D413">
        <v>15</v>
      </c>
      <c r="E413" s="16" t="s">
        <v>52</v>
      </c>
      <c r="F413" s="18">
        <v>4050</v>
      </c>
      <c r="G413" s="22">
        <v>162</v>
      </c>
      <c r="H413" s="18">
        <v>2.6907307034499999</v>
      </c>
      <c r="I413" s="18">
        <v>435.89837395889998</v>
      </c>
      <c r="J413" s="18">
        <v>3614.1016260411002</v>
      </c>
      <c r="K413" s="22">
        <v>0</v>
      </c>
      <c r="L413" s="22" t="str">
        <f t="shared" si="6"/>
        <v>45778, 2, 15</v>
      </c>
    </row>
    <row r="414" spans="1:12">
      <c r="A414" s="9">
        <v>45778</v>
      </c>
      <c r="B414">
        <v>2</v>
      </c>
      <c r="C414" s="16" t="s">
        <v>56</v>
      </c>
      <c r="D414">
        <v>16</v>
      </c>
      <c r="E414" s="16" t="s">
        <v>53</v>
      </c>
      <c r="F414" s="18">
        <v>1845</v>
      </c>
      <c r="G414" s="22">
        <v>205</v>
      </c>
      <c r="H414" s="18">
        <v>1.57439645697916</v>
      </c>
      <c r="I414" s="18">
        <v>322.75127368072901</v>
      </c>
      <c r="J414" s="18">
        <v>1522.24872631927</v>
      </c>
      <c r="K414" s="22">
        <v>0</v>
      </c>
      <c r="L414" s="22" t="str">
        <f t="shared" si="6"/>
        <v>45778, 2, 16</v>
      </c>
    </row>
    <row r="415" spans="1:12">
      <c r="A415" s="9">
        <v>45778</v>
      </c>
      <c r="B415">
        <v>2</v>
      </c>
      <c r="C415" s="16" t="s">
        <v>56</v>
      </c>
      <c r="D415">
        <v>17</v>
      </c>
      <c r="E415" s="16" t="s">
        <v>54</v>
      </c>
      <c r="F415" s="18">
        <v>2056</v>
      </c>
      <c r="G415" s="22">
        <v>257</v>
      </c>
      <c r="H415" s="18">
        <v>1.35102460692307</v>
      </c>
      <c r="I415" s="18">
        <v>347.21332397922998</v>
      </c>
      <c r="J415" s="18">
        <v>1708.7866760207601</v>
      </c>
      <c r="K415" s="22">
        <v>0</v>
      </c>
      <c r="L415" s="22" t="str">
        <f t="shared" si="6"/>
        <v>45778, 2, 17</v>
      </c>
    </row>
    <row r="416" spans="1:12">
      <c r="A416" s="9">
        <v>45778</v>
      </c>
      <c r="B416">
        <v>2</v>
      </c>
      <c r="C416" s="16" t="s">
        <v>56</v>
      </c>
      <c r="D416">
        <v>18</v>
      </c>
      <c r="E416" s="16" t="s">
        <v>55</v>
      </c>
      <c r="F416" s="18">
        <v>3313.5</v>
      </c>
      <c r="G416" s="22">
        <v>141</v>
      </c>
      <c r="H416" s="18">
        <v>5.5640494357666599</v>
      </c>
      <c r="I416" s="18">
        <v>784.53097044310005</v>
      </c>
      <c r="J416" s="18">
        <v>2528.9690295568898</v>
      </c>
      <c r="K416" s="22">
        <v>0</v>
      </c>
      <c r="L416" s="22" t="str">
        <f t="shared" si="6"/>
        <v>45778, 2, 18</v>
      </c>
    </row>
    <row r="417" spans="1:12">
      <c r="A417" s="9">
        <v>45809</v>
      </c>
      <c r="B417">
        <v>2</v>
      </c>
      <c r="C417" s="16" t="s">
        <v>56</v>
      </c>
      <c r="D417">
        <v>1</v>
      </c>
      <c r="E417" s="16" t="s">
        <v>38</v>
      </c>
      <c r="F417" s="18">
        <v>5632</v>
      </c>
      <c r="G417" s="22">
        <v>256</v>
      </c>
      <c r="H417" s="18">
        <v>3.7885284444444398</v>
      </c>
      <c r="I417" s="18">
        <v>969.86328177777705</v>
      </c>
      <c r="J417" s="18">
        <v>4662.1367182222202</v>
      </c>
      <c r="K417" s="22">
        <v>0</v>
      </c>
      <c r="L417" s="22" t="str">
        <f t="shared" si="6"/>
        <v>45809, 2, 1</v>
      </c>
    </row>
    <row r="418" spans="1:12">
      <c r="A418" s="9">
        <v>45809</v>
      </c>
      <c r="B418">
        <v>2</v>
      </c>
      <c r="C418" s="16" t="s">
        <v>56</v>
      </c>
      <c r="D418">
        <v>2</v>
      </c>
      <c r="E418" s="16" t="s">
        <v>40</v>
      </c>
      <c r="F418" s="18">
        <v>5712</v>
      </c>
      <c r="G418" s="22">
        <v>238</v>
      </c>
      <c r="H418" s="18">
        <v>6.4513219160000004</v>
      </c>
      <c r="I418" s="18">
        <v>1535.4146160079999</v>
      </c>
      <c r="J418" s="18">
        <v>4176.5853839920001</v>
      </c>
      <c r="K418" s="22">
        <v>0</v>
      </c>
      <c r="L418" s="22" t="str">
        <f t="shared" si="6"/>
        <v>45809, 2, 2</v>
      </c>
    </row>
    <row r="419" spans="1:12">
      <c r="A419" s="9">
        <v>45809</v>
      </c>
      <c r="B419">
        <v>2</v>
      </c>
      <c r="C419" s="16" t="s">
        <v>56</v>
      </c>
      <c r="D419">
        <v>3</v>
      </c>
      <c r="E419" s="16" t="s">
        <v>41</v>
      </c>
      <c r="F419" s="18">
        <v>2295</v>
      </c>
      <c r="G419" s="22">
        <v>90</v>
      </c>
      <c r="H419" s="18">
        <v>3.5149928521666598</v>
      </c>
      <c r="I419" s="18">
        <v>316.34935669499998</v>
      </c>
      <c r="J419" s="18">
        <v>1978.6506433049899</v>
      </c>
      <c r="K419" s="22">
        <v>0</v>
      </c>
      <c r="L419" s="22" t="str">
        <f t="shared" si="6"/>
        <v>45809, 2, 3</v>
      </c>
    </row>
    <row r="420" spans="1:12">
      <c r="A420" s="9">
        <v>45809</v>
      </c>
      <c r="B420">
        <v>2</v>
      </c>
      <c r="C420" s="16" t="s">
        <v>56</v>
      </c>
      <c r="D420">
        <v>4</v>
      </c>
      <c r="E420" s="16" t="s">
        <v>42</v>
      </c>
      <c r="F420" s="18">
        <v>2898</v>
      </c>
      <c r="G420" s="22">
        <v>138</v>
      </c>
      <c r="H420" s="18">
        <v>6.5399280274000002</v>
      </c>
      <c r="I420" s="18">
        <v>902.51006778119995</v>
      </c>
      <c r="J420" s="18">
        <v>1995.4899322188</v>
      </c>
      <c r="K420" s="22">
        <v>0</v>
      </c>
      <c r="L420" s="22" t="str">
        <f t="shared" si="6"/>
        <v>45809, 2, 4</v>
      </c>
    </row>
    <row r="421" spans="1:12">
      <c r="A421" s="9">
        <v>45809</v>
      </c>
      <c r="B421">
        <v>2</v>
      </c>
      <c r="C421" s="16" t="s">
        <v>56</v>
      </c>
      <c r="D421">
        <v>5</v>
      </c>
      <c r="E421" s="16" t="s">
        <v>43</v>
      </c>
      <c r="F421" s="18">
        <v>1617</v>
      </c>
      <c r="G421" s="22">
        <v>77</v>
      </c>
      <c r="H421" s="18">
        <v>6.0993055555555502</v>
      </c>
      <c r="I421" s="18">
        <v>469.64652777777701</v>
      </c>
      <c r="J421" s="18">
        <v>1147.35347222222</v>
      </c>
      <c r="K421" s="22">
        <v>0</v>
      </c>
      <c r="L421" s="22" t="str">
        <f t="shared" si="6"/>
        <v>45809, 2, 5</v>
      </c>
    </row>
    <row r="422" spans="1:12">
      <c r="A422" s="9">
        <v>45809</v>
      </c>
      <c r="B422">
        <v>2</v>
      </c>
      <c r="C422" s="16" t="s">
        <v>56</v>
      </c>
      <c r="D422">
        <v>6</v>
      </c>
      <c r="E422" s="16" t="s">
        <v>44</v>
      </c>
      <c r="F422" s="18">
        <v>2438</v>
      </c>
      <c r="G422" s="22">
        <v>106</v>
      </c>
      <c r="H422" s="18">
        <v>4.4944528660333303</v>
      </c>
      <c r="I422" s="18">
        <v>476.41200379953301</v>
      </c>
      <c r="J422" s="18">
        <v>1961.5879962004601</v>
      </c>
      <c r="K422" s="22">
        <v>0</v>
      </c>
      <c r="L422" s="22" t="str">
        <f t="shared" si="6"/>
        <v>45809, 2, 6</v>
      </c>
    </row>
    <row r="423" spans="1:12">
      <c r="A423" s="9">
        <v>45809</v>
      </c>
      <c r="B423">
        <v>2</v>
      </c>
      <c r="C423" s="16" t="s">
        <v>56</v>
      </c>
      <c r="D423">
        <v>8</v>
      </c>
      <c r="E423" s="16" t="s">
        <v>46</v>
      </c>
      <c r="F423" s="18">
        <v>1150</v>
      </c>
      <c r="G423" s="22">
        <v>92</v>
      </c>
      <c r="H423" s="18">
        <v>0.68177835761904704</v>
      </c>
      <c r="I423" s="18">
        <v>62.7236089009523</v>
      </c>
      <c r="J423" s="18">
        <v>1087.27639109904</v>
      </c>
      <c r="K423" s="22">
        <v>0</v>
      </c>
      <c r="L423" s="22" t="str">
        <f t="shared" si="6"/>
        <v>45809, 2, 8</v>
      </c>
    </row>
    <row r="424" spans="1:12">
      <c r="A424" s="9">
        <v>45809</v>
      </c>
      <c r="B424">
        <v>2</v>
      </c>
      <c r="C424" s="16" t="s">
        <v>56</v>
      </c>
      <c r="D424">
        <v>10</v>
      </c>
      <c r="E424" s="16" t="s">
        <v>57</v>
      </c>
      <c r="F424" s="18">
        <v>1386</v>
      </c>
      <c r="G424" s="22">
        <v>99</v>
      </c>
      <c r="H424" s="18">
        <v>1.8097585766736799</v>
      </c>
      <c r="I424" s="18">
        <v>179.16609909069399</v>
      </c>
      <c r="J424" s="18">
        <v>1206.8339009092999</v>
      </c>
      <c r="K424" s="22">
        <v>0</v>
      </c>
      <c r="L424" s="22" t="str">
        <f t="shared" si="6"/>
        <v>45809, 2, 10</v>
      </c>
    </row>
    <row r="425" spans="1:12">
      <c r="A425" s="9">
        <v>45809</v>
      </c>
      <c r="B425">
        <v>2</v>
      </c>
      <c r="C425" s="16" t="s">
        <v>56</v>
      </c>
      <c r="D425">
        <v>11</v>
      </c>
      <c r="E425" s="16" t="s">
        <v>48</v>
      </c>
      <c r="F425" s="18">
        <v>4851</v>
      </c>
      <c r="G425" s="22">
        <v>231</v>
      </c>
      <c r="H425" s="18">
        <v>1.88496794444444</v>
      </c>
      <c r="I425" s="18">
        <v>435.42759516666598</v>
      </c>
      <c r="J425" s="18">
        <v>4415.5724048333304</v>
      </c>
      <c r="K425" s="22">
        <v>0</v>
      </c>
      <c r="L425" s="22" t="str">
        <f t="shared" si="6"/>
        <v>45809, 2, 11</v>
      </c>
    </row>
    <row r="426" spans="1:12">
      <c r="A426" s="9">
        <v>45809</v>
      </c>
      <c r="B426">
        <v>2</v>
      </c>
      <c r="C426" s="16" t="s">
        <v>56</v>
      </c>
      <c r="D426">
        <v>12</v>
      </c>
      <c r="E426" s="16" t="s">
        <v>49</v>
      </c>
      <c r="F426" s="18">
        <v>3344</v>
      </c>
      <c r="G426" s="22">
        <v>152</v>
      </c>
      <c r="H426" s="18">
        <v>2.4752924980769202</v>
      </c>
      <c r="I426" s="18">
        <v>376.24445970769199</v>
      </c>
      <c r="J426" s="18">
        <v>2967.7555402922999</v>
      </c>
      <c r="K426" s="22">
        <v>0</v>
      </c>
      <c r="L426" s="22" t="str">
        <f t="shared" si="6"/>
        <v>45809, 2, 12</v>
      </c>
    </row>
    <row r="427" spans="1:12">
      <c r="A427" s="9">
        <v>45809</v>
      </c>
      <c r="B427">
        <v>2</v>
      </c>
      <c r="C427" s="16" t="s">
        <v>56</v>
      </c>
      <c r="D427">
        <v>13</v>
      </c>
      <c r="E427" s="16" t="s">
        <v>50</v>
      </c>
      <c r="F427" s="18">
        <v>2346</v>
      </c>
      <c r="G427" s="22">
        <v>102</v>
      </c>
      <c r="H427" s="18">
        <v>6.3527523846153802</v>
      </c>
      <c r="I427" s="18">
        <v>647.98074323076901</v>
      </c>
      <c r="J427" s="18">
        <v>1698.01925676923</v>
      </c>
      <c r="K427" s="22">
        <v>0</v>
      </c>
      <c r="L427" s="22" t="str">
        <f t="shared" si="6"/>
        <v>45809, 2, 13</v>
      </c>
    </row>
    <row r="428" spans="1:12">
      <c r="A428" s="9">
        <v>45809</v>
      </c>
      <c r="B428">
        <v>2</v>
      </c>
      <c r="C428" s="16" t="s">
        <v>56</v>
      </c>
      <c r="D428">
        <v>14</v>
      </c>
      <c r="E428" s="16" t="s">
        <v>51</v>
      </c>
      <c r="F428" s="18">
        <v>1904</v>
      </c>
      <c r="G428" s="22">
        <v>68</v>
      </c>
      <c r="H428" s="18">
        <v>4.3782439370964896</v>
      </c>
      <c r="I428" s="18">
        <v>297.72058772256099</v>
      </c>
      <c r="J428" s="18">
        <v>1606.2794122774301</v>
      </c>
      <c r="K428" s="22">
        <v>0</v>
      </c>
      <c r="L428" s="22" t="str">
        <f t="shared" si="6"/>
        <v>45809, 2, 14</v>
      </c>
    </row>
    <row r="429" spans="1:12">
      <c r="A429" s="9">
        <v>45809</v>
      </c>
      <c r="B429">
        <v>2</v>
      </c>
      <c r="C429" s="16" t="s">
        <v>56</v>
      </c>
      <c r="D429">
        <v>15</v>
      </c>
      <c r="E429" s="16" t="s">
        <v>52</v>
      </c>
      <c r="F429" s="18">
        <v>3125</v>
      </c>
      <c r="G429" s="22">
        <v>125</v>
      </c>
      <c r="H429" s="18">
        <v>2.6787734614444401</v>
      </c>
      <c r="I429" s="18">
        <v>334.84668268055498</v>
      </c>
      <c r="J429" s="18">
        <v>2790.1533173194398</v>
      </c>
      <c r="K429" s="22">
        <v>0</v>
      </c>
      <c r="L429" s="22" t="str">
        <f t="shared" si="6"/>
        <v>45809, 2, 15</v>
      </c>
    </row>
    <row r="430" spans="1:12">
      <c r="A430" s="9">
        <v>45809</v>
      </c>
      <c r="B430">
        <v>2</v>
      </c>
      <c r="C430" s="16" t="s">
        <v>56</v>
      </c>
      <c r="D430">
        <v>16</v>
      </c>
      <c r="E430" s="16" t="s">
        <v>53</v>
      </c>
      <c r="F430" s="18">
        <v>1701</v>
      </c>
      <c r="G430" s="22">
        <v>189</v>
      </c>
      <c r="H430" s="18">
        <v>1.5727911829444401</v>
      </c>
      <c r="I430" s="18">
        <v>297.25753357650001</v>
      </c>
      <c r="J430" s="18">
        <v>1403.74246642349</v>
      </c>
      <c r="K430" s="22">
        <v>0</v>
      </c>
      <c r="L430" s="22" t="str">
        <f t="shared" si="6"/>
        <v>45809, 2, 16</v>
      </c>
    </row>
    <row r="431" spans="1:12">
      <c r="A431" s="9">
        <v>45809</v>
      </c>
      <c r="B431">
        <v>2</v>
      </c>
      <c r="C431" s="16" t="s">
        <v>56</v>
      </c>
      <c r="D431">
        <v>17</v>
      </c>
      <c r="E431" s="16" t="s">
        <v>54</v>
      </c>
      <c r="F431" s="18">
        <v>1960</v>
      </c>
      <c r="G431" s="22">
        <v>245</v>
      </c>
      <c r="H431" s="18">
        <v>1.3449485472727201</v>
      </c>
      <c r="I431" s="18">
        <v>329.512394081818</v>
      </c>
      <c r="J431" s="18">
        <v>1630.48760591818</v>
      </c>
      <c r="K431" s="22">
        <v>0</v>
      </c>
      <c r="L431" s="22" t="str">
        <f t="shared" si="6"/>
        <v>45809, 2, 17</v>
      </c>
    </row>
    <row r="432" spans="1:12">
      <c r="A432" s="9">
        <v>45809</v>
      </c>
      <c r="B432">
        <v>2</v>
      </c>
      <c r="C432" s="16" t="s">
        <v>56</v>
      </c>
      <c r="D432">
        <v>18</v>
      </c>
      <c r="E432" s="16" t="s">
        <v>55</v>
      </c>
      <c r="F432" s="18">
        <v>2538</v>
      </c>
      <c r="G432" s="22">
        <v>108</v>
      </c>
      <c r="H432" s="18">
        <v>5.5606460015666599</v>
      </c>
      <c r="I432" s="18">
        <v>600.54976816919998</v>
      </c>
      <c r="J432" s="18">
        <v>1937.45023183079</v>
      </c>
      <c r="K432" s="22">
        <v>0</v>
      </c>
      <c r="L432" s="22" t="str">
        <f t="shared" si="6"/>
        <v>45809, 2, 18</v>
      </c>
    </row>
    <row r="433" spans="1:12">
      <c r="A433" s="9">
        <v>45839</v>
      </c>
      <c r="B433">
        <v>2</v>
      </c>
      <c r="C433" s="16" t="s">
        <v>56</v>
      </c>
      <c r="D433">
        <v>1</v>
      </c>
      <c r="E433" s="16" t="s">
        <v>38</v>
      </c>
      <c r="F433" s="18">
        <v>4928</v>
      </c>
      <c r="G433" s="22">
        <v>224</v>
      </c>
      <c r="H433" s="18">
        <v>3.8388070263157799</v>
      </c>
      <c r="I433" s="18">
        <v>859.89277389473602</v>
      </c>
      <c r="J433" s="18">
        <v>4068.10722610526</v>
      </c>
      <c r="K433" s="22">
        <v>0</v>
      </c>
      <c r="L433" s="22" t="str">
        <f t="shared" si="6"/>
        <v>45839, 2, 1</v>
      </c>
    </row>
    <row r="434" spans="1:12">
      <c r="A434" s="9">
        <v>45839</v>
      </c>
      <c r="B434">
        <v>2</v>
      </c>
      <c r="C434" s="16" t="s">
        <v>56</v>
      </c>
      <c r="D434">
        <v>2</v>
      </c>
      <c r="E434" s="16" t="s">
        <v>40</v>
      </c>
      <c r="F434" s="18">
        <v>4584</v>
      </c>
      <c r="G434" s="22">
        <v>191</v>
      </c>
      <c r="H434" s="18">
        <v>6.4765880730588199</v>
      </c>
      <c r="I434" s="18">
        <v>1237.02832195423</v>
      </c>
      <c r="J434" s="18">
        <v>3346.9716780457602</v>
      </c>
      <c r="K434" s="22">
        <v>0</v>
      </c>
      <c r="L434" s="22" t="str">
        <f t="shared" si="6"/>
        <v>45839, 2, 2</v>
      </c>
    </row>
    <row r="435" spans="1:12">
      <c r="A435" s="9">
        <v>45839</v>
      </c>
      <c r="B435">
        <v>2</v>
      </c>
      <c r="C435" s="16" t="s">
        <v>56</v>
      </c>
      <c r="D435">
        <v>3</v>
      </c>
      <c r="E435" s="16" t="s">
        <v>41</v>
      </c>
      <c r="F435" s="18">
        <v>2116.5</v>
      </c>
      <c r="G435" s="22">
        <v>83</v>
      </c>
      <c r="H435" s="18">
        <v>3.5279934795714198</v>
      </c>
      <c r="I435" s="18">
        <v>292.82345880442801</v>
      </c>
      <c r="J435" s="18">
        <v>1823.6765411955701</v>
      </c>
      <c r="K435" s="22">
        <v>0</v>
      </c>
      <c r="L435" s="22" t="str">
        <f t="shared" si="6"/>
        <v>45839, 2, 3</v>
      </c>
    </row>
    <row r="436" spans="1:12">
      <c r="A436" s="9">
        <v>45839</v>
      </c>
      <c r="B436">
        <v>2</v>
      </c>
      <c r="C436" s="16" t="s">
        <v>56</v>
      </c>
      <c r="D436">
        <v>4</v>
      </c>
      <c r="E436" s="16" t="s">
        <v>42</v>
      </c>
      <c r="F436" s="18">
        <v>3045</v>
      </c>
      <c r="G436" s="22">
        <v>145</v>
      </c>
      <c r="H436" s="18">
        <v>6.5096003786153798</v>
      </c>
      <c r="I436" s="18">
        <v>943.89205489922995</v>
      </c>
      <c r="J436" s="18">
        <v>2101.1079451007599</v>
      </c>
      <c r="K436" s="22">
        <v>0</v>
      </c>
      <c r="L436" s="22" t="str">
        <f t="shared" si="6"/>
        <v>45839, 2, 4</v>
      </c>
    </row>
    <row r="437" spans="1:12">
      <c r="A437" s="9">
        <v>45839</v>
      </c>
      <c r="B437">
        <v>2</v>
      </c>
      <c r="C437" s="16" t="s">
        <v>56</v>
      </c>
      <c r="D437">
        <v>5</v>
      </c>
      <c r="E437" s="16" t="s">
        <v>43</v>
      </c>
      <c r="F437" s="18">
        <v>882</v>
      </c>
      <c r="G437" s="22">
        <v>42</v>
      </c>
      <c r="H437" s="18">
        <v>6.0137499999999999</v>
      </c>
      <c r="I437" s="18">
        <v>252.57749999999999</v>
      </c>
      <c r="J437" s="18">
        <v>629.42250000000001</v>
      </c>
      <c r="K437" s="22">
        <v>0</v>
      </c>
      <c r="L437" s="22" t="str">
        <f t="shared" si="6"/>
        <v>45839, 2, 5</v>
      </c>
    </row>
    <row r="438" spans="1:12">
      <c r="A438" s="9">
        <v>45839</v>
      </c>
      <c r="B438">
        <v>2</v>
      </c>
      <c r="C438" s="16" t="s">
        <v>56</v>
      </c>
      <c r="D438">
        <v>6</v>
      </c>
      <c r="E438" s="16" t="s">
        <v>44</v>
      </c>
      <c r="F438" s="18">
        <v>2254</v>
      </c>
      <c r="G438" s="22">
        <v>98</v>
      </c>
      <c r="H438" s="18">
        <v>4.5541254567058802</v>
      </c>
      <c r="I438" s="18">
        <v>446.30429475717602</v>
      </c>
      <c r="J438" s="18">
        <v>1807.6957052428199</v>
      </c>
      <c r="K438" s="22">
        <v>0</v>
      </c>
      <c r="L438" s="22" t="str">
        <f t="shared" si="6"/>
        <v>45839, 2, 6</v>
      </c>
    </row>
    <row r="439" spans="1:12">
      <c r="A439" s="9">
        <v>45839</v>
      </c>
      <c r="B439">
        <v>2</v>
      </c>
      <c r="C439" s="16" t="s">
        <v>56</v>
      </c>
      <c r="D439">
        <v>8</v>
      </c>
      <c r="E439" s="16" t="s">
        <v>46</v>
      </c>
      <c r="F439" s="18">
        <v>1112.5</v>
      </c>
      <c r="G439" s="22">
        <v>89</v>
      </c>
      <c r="H439" s="18">
        <v>0.64267243333333302</v>
      </c>
      <c r="I439" s="18">
        <v>57.197846566666598</v>
      </c>
      <c r="J439" s="18">
        <v>1055.30215343333</v>
      </c>
      <c r="K439" s="22">
        <v>0</v>
      </c>
      <c r="L439" s="22" t="str">
        <f t="shared" si="6"/>
        <v>45839, 2, 8</v>
      </c>
    </row>
    <row r="440" spans="1:12">
      <c r="A440" s="9">
        <v>45839</v>
      </c>
      <c r="B440">
        <v>2</v>
      </c>
      <c r="C440" s="16" t="s">
        <v>56</v>
      </c>
      <c r="D440">
        <v>10</v>
      </c>
      <c r="E440" s="16" t="s">
        <v>57</v>
      </c>
      <c r="F440" s="18">
        <v>1190</v>
      </c>
      <c r="G440" s="22">
        <v>85</v>
      </c>
      <c r="H440" s="18">
        <v>1.77301217995</v>
      </c>
      <c r="I440" s="18">
        <v>150.70603529575001</v>
      </c>
      <c r="J440" s="18">
        <v>1039.2939647042499</v>
      </c>
      <c r="K440" s="22">
        <v>0</v>
      </c>
      <c r="L440" s="22" t="str">
        <f t="shared" si="6"/>
        <v>45839, 2, 10</v>
      </c>
    </row>
    <row r="441" spans="1:12">
      <c r="A441" s="9">
        <v>45839</v>
      </c>
      <c r="B441">
        <v>2</v>
      </c>
      <c r="C441" s="16" t="s">
        <v>56</v>
      </c>
      <c r="D441">
        <v>11</v>
      </c>
      <c r="E441" s="16" t="s">
        <v>48</v>
      </c>
      <c r="F441" s="18">
        <v>3843</v>
      </c>
      <c r="G441" s="22">
        <v>183</v>
      </c>
      <c r="H441" s="18">
        <v>1.948266775</v>
      </c>
      <c r="I441" s="18">
        <v>356.53281982499999</v>
      </c>
      <c r="J441" s="18">
        <v>3486.4671801750001</v>
      </c>
      <c r="K441" s="22">
        <v>0</v>
      </c>
      <c r="L441" s="22" t="str">
        <f t="shared" si="6"/>
        <v>45839, 2, 11</v>
      </c>
    </row>
    <row r="442" spans="1:12">
      <c r="A442" s="9">
        <v>45839</v>
      </c>
      <c r="B442">
        <v>2</v>
      </c>
      <c r="C442" s="16" t="s">
        <v>56</v>
      </c>
      <c r="D442">
        <v>12</v>
      </c>
      <c r="E442" s="16" t="s">
        <v>49</v>
      </c>
      <c r="F442" s="18">
        <v>3124</v>
      </c>
      <c r="G442" s="22">
        <v>142</v>
      </c>
      <c r="H442" s="18">
        <v>2.4628399211562502</v>
      </c>
      <c r="I442" s="18">
        <v>349.723268804187</v>
      </c>
      <c r="J442" s="18">
        <v>2774.27673119581</v>
      </c>
      <c r="K442" s="22">
        <v>0</v>
      </c>
      <c r="L442" s="22" t="str">
        <f t="shared" si="6"/>
        <v>45839, 2, 12</v>
      </c>
    </row>
    <row r="443" spans="1:12">
      <c r="A443" s="9">
        <v>45839</v>
      </c>
      <c r="B443">
        <v>2</v>
      </c>
      <c r="C443" s="16" t="s">
        <v>56</v>
      </c>
      <c r="D443">
        <v>13</v>
      </c>
      <c r="E443" s="16" t="s">
        <v>50</v>
      </c>
      <c r="F443" s="18">
        <v>2323</v>
      </c>
      <c r="G443" s="22">
        <v>101</v>
      </c>
      <c r="H443" s="18">
        <v>6.5415745000000003</v>
      </c>
      <c r="I443" s="18">
        <v>660.69902449999995</v>
      </c>
      <c r="J443" s="18">
        <v>1662.3009755</v>
      </c>
      <c r="K443" s="22">
        <v>0</v>
      </c>
      <c r="L443" s="22" t="str">
        <f t="shared" si="6"/>
        <v>45839, 2, 13</v>
      </c>
    </row>
    <row r="444" spans="1:12">
      <c r="A444" s="9">
        <v>45839</v>
      </c>
      <c r="B444">
        <v>2</v>
      </c>
      <c r="C444" s="16" t="s">
        <v>56</v>
      </c>
      <c r="D444">
        <v>14</v>
      </c>
      <c r="E444" s="16" t="s">
        <v>51</v>
      </c>
      <c r="F444" s="18">
        <v>1988</v>
      </c>
      <c r="G444" s="22">
        <v>71</v>
      </c>
      <c r="H444" s="18">
        <v>4.3738833806666602</v>
      </c>
      <c r="I444" s="18">
        <v>310.545720027333</v>
      </c>
      <c r="J444" s="18">
        <v>1677.4542799726601</v>
      </c>
      <c r="K444" s="22">
        <v>0</v>
      </c>
      <c r="L444" s="22" t="str">
        <f t="shared" si="6"/>
        <v>45839, 2, 14</v>
      </c>
    </row>
    <row r="445" spans="1:12">
      <c r="A445" s="9">
        <v>45839</v>
      </c>
      <c r="B445">
        <v>2</v>
      </c>
      <c r="C445" s="16" t="s">
        <v>56</v>
      </c>
      <c r="D445">
        <v>15</v>
      </c>
      <c r="E445" s="16" t="s">
        <v>52</v>
      </c>
      <c r="F445" s="18">
        <v>3150</v>
      </c>
      <c r="G445" s="22">
        <v>126</v>
      </c>
      <c r="H445" s="18">
        <v>2.6856329475237999</v>
      </c>
      <c r="I445" s="18">
        <v>338.38975138799901</v>
      </c>
      <c r="J445" s="18">
        <v>2811.6102486119999</v>
      </c>
      <c r="K445" s="22">
        <v>0</v>
      </c>
      <c r="L445" s="22" t="str">
        <f t="shared" si="6"/>
        <v>45839, 2, 15</v>
      </c>
    </row>
    <row r="446" spans="1:12">
      <c r="A446" s="9">
        <v>45839</v>
      </c>
      <c r="B446">
        <v>2</v>
      </c>
      <c r="C446" s="16" t="s">
        <v>56</v>
      </c>
      <c r="D446">
        <v>16</v>
      </c>
      <c r="E446" s="16" t="s">
        <v>53</v>
      </c>
      <c r="F446" s="18">
        <v>990</v>
      </c>
      <c r="G446" s="22">
        <v>110</v>
      </c>
      <c r="H446" s="18">
        <v>1.5664758135294099</v>
      </c>
      <c r="I446" s="18">
        <v>172.31233948823501</v>
      </c>
      <c r="J446" s="18">
        <v>817.68766051176397</v>
      </c>
      <c r="K446" s="22">
        <v>0</v>
      </c>
      <c r="L446" s="22" t="str">
        <f t="shared" si="6"/>
        <v>45839, 2, 16</v>
      </c>
    </row>
    <row r="447" spans="1:12">
      <c r="A447" s="9">
        <v>45839</v>
      </c>
      <c r="B447">
        <v>2</v>
      </c>
      <c r="C447" s="16" t="s">
        <v>56</v>
      </c>
      <c r="D447">
        <v>17</v>
      </c>
      <c r="E447" s="16" t="s">
        <v>54</v>
      </c>
      <c r="F447" s="18">
        <v>1840</v>
      </c>
      <c r="G447" s="22">
        <v>230</v>
      </c>
      <c r="H447" s="18">
        <v>1.36502194916666</v>
      </c>
      <c r="I447" s="18">
        <v>313.95504830833301</v>
      </c>
      <c r="J447" s="18">
        <v>1526.0449516916599</v>
      </c>
      <c r="K447" s="22">
        <v>0</v>
      </c>
      <c r="L447" s="22" t="str">
        <f t="shared" si="6"/>
        <v>45839, 2, 17</v>
      </c>
    </row>
    <row r="448" spans="1:12">
      <c r="A448" s="9">
        <v>45839</v>
      </c>
      <c r="B448">
        <v>2</v>
      </c>
      <c r="C448" s="16" t="s">
        <v>56</v>
      </c>
      <c r="D448">
        <v>18</v>
      </c>
      <c r="E448" s="16" t="s">
        <v>55</v>
      </c>
      <c r="F448" s="18">
        <v>2397</v>
      </c>
      <c r="G448" s="22">
        <v>102</v>
      </c>
      <c r="H448" s="18">
        <v>5.54652586244117</v>
      </c>
      <c r="I448" s="18">
        <v>565.74563796899997</v>
      </c>
      <c r="J448" s="18">
        <v>1831.25436203099</v>
      </c>
      <c r="K448" s="22">
        <v>0</v>
      </c>
      <c r="L448" s="22" t="str">
        <f t="shared" si="6"/>
        <v>45839, 2, 18</v>
      </c>
    </row>
    <row r="449" spans="1:12">
      <c r="A449" s="9">
        <v>45870</v>
      </c>
      <c r="B449">
        <v>2</v>
      </c>
      <c r="C449" s="16" t="s">
        <v>56</v>
      </c>
      <c r="D449">
        <v>1</v>
      </c>
      <c r="E449" s="16" t="s">
        <v>38</v>
      </c>
      <c r="F449" s="18">
        <v>5456</v>
      </c>
      <c r="G449" s="22">
        <v>248</v>
      </c>
      <c r="H449" s="18">
        <v>3.8507087777777702</v>
      </c>
      <c r="I449" s="18">
        <v>954.97577688888805</v>
      </c>
      <c r="J449" s="18">
        <v>4501.0242231111097</v>
      </c>
      <c r="K449" s="22">
        <v>0</v>
      </c>
      <c r="L449" s="22" t="str">
        <f t="shared" si="6"/>
        <v>45870, 2, 1</v>
      </c>
    </row>
    <row r="450" spans="1:12">
      <c r="A450" s="9">
        <v>45870</v>
      </c>
      <c r="B450">
        <v>2</v>
      </c>
      <c r="C450" s="16" t="s">
        <v>56</v>
      </c>
      <c r="D450">
        <v>2</v>
      </c>
      <c r="E450" s="16" t="s">
        <v>40</v>
      </c>
      <c r="F450" s="18">
        <v>4824</v>
      </c>
      <c r="G450" s="22">
        <v>201</v>
      </c>
      <c r="H450" s="18">
        <v>6.4890265592857101</v>
      </c>
      <c r="I450" s="18">
        <v>1304.29433841642</v>
      </c>
      <c r="J450" s="18">
        <v>3519.70566158357</v>
      </c>
      <c r="K450" s="22">
        <v>0</v>
      </c>
      <c r="L450" s="22" t="str">
        <f t="shared" si="6"/>
        <v>45870, 2, 2</v>
      </c>
    </row>
    <row r="451" spans="1:12">
      <c r="A451" s="9">
        <v>45870</v>
      </c>
      <c r="B451">
        <v>2</v>
      </c>
      <c r="C451" s="16" t="s">
        <v>56</v>
      </c>
      <c r="D451">
        <v>3</v>
      </c>
      <c r="E451" s="16" t="s">
        <v>41</v>
      </c>
      <c r="F451" s="18">
        <v>1912.5</v>
      </c>
      <c r="G451" s="22">
        <v>75</v>
      </c>
      <c r="H451" s="18">
        <v>3.5241631560000002</v>
      </c>
      <c r="I451" s="18">
        <v>264.31223670000003</v>
      </c>
      <c r="J451" s="18">
        <v>1648.1877632999999</v>
      </c>
      <c r="K451" s="22">
        <v>0</v>
      </c>
      <c r="L451" s="22" t="str">
        <f t="shared" ref="L451:L514" si="7">(A451&amp; ", "&amp; B451&amp; ", "&amp; D451)</f>
        <v>45870, 2, 3</v>
      </c>
    </row>
    <row r="452" spans="1:12">
      <c r="A452" s="9">
        <v>45870</v>
      </c>
      <c r="B452">
        <v>2</v>
      </c>
      <c r="C452" s="16" t="s">
        <v>56</v>
      </c>
      <c r="D452">
        <v>4</v>
      </c>
      <c r="E452" s="16" t="s">
        <v>42</v>
      </c>
      <c r="F452" s="18">
        <v>3570</v>
      </c>
      <c r="G452" s="22">
        <v>170</v>
      </c>
      <c r="H452" s="18">
        <v>6.5558265579999997</v>
      </c>
      <c r="I452" s="18">
        <v>1114.4905148600001</v>
      </c>
      <c r="J452" s="18">
        <v>2455.5094851399999</v>
      </c>
      <c r="K452" s="22">
        <v>0</v>
      </c>
      <c r="L452" s="22" t="str">
        <f t="shared" si="7"/>
        <v>45870, 2, 4</v>
      </c>
    </row>
    <row r="453" spans="1:12">
      <c r="A453" s="9">
        <v>45870</v>
      </c>
      <c r="B453">
        <v>2</v>
      </c>
      <c r="C453" s="16" t="s">
        <v>56</v>
      </c>
      <c r="D453">
        <v>6</v>
      </c>
      <c r="E453" s="16" t="s">
        <v>44</v>
      </c>
      <c r="F453" s="18">
        <v>2645</v>
      </c>
      <c r="G453" s="22">
        <v>115</v>
      </c>
      <c r="H453" s="18">
        <v>4.5655347935000004</v>
      </c>
      <c r="I453" s="18">
        <v>525.03650125249999</v>
      </c>
      <c r="J453" s="18">
        <v>2119.9634987475001</v>
      </c>
      <c r="K453" s="22">
        <v>0</v>
      </c>
      <c r="L453" s="22" t="str">
        <f t="shared" si="7"/>
        <v>45870, 2, 6</v>
      </c>
    </row>
    <row r="454" spans="1:12">
      <c r="A454" s="9">
        <v>45870</v>
      </c>
      <c r="B454">
        <v>2</v>
      </c>
      <c r="C454" s="16" t="s">
        <v>56</v>
      </c>
      <c r="D454">
        <v>8</v>
      </c>
      <c r="E454" s="16" t="s">
        <v>46</v>
      </c>
      <c r="F454" s="18">
        <v>1400</v>
      </c>
      <c r="G454" s="22">
        <v>112</v>
      </c>
      <c r="H454" s="18">
        <v>0.63962593205128204</v>
      </c>
      <c r="I454" s="18">
        <v>71.638104389743603</v>
      </c>
      <c r="J454" s="18">
        <v>1328.36189561025</v>
      </c>
      <c r="K454" s="22">
        <v>0</v>
      </c>
      <c r="L454" s="22" t="str">
        <f t="shared" si="7"/>
        <v>45870, 2, 8</v>
      </c>
    </row>
    <row r="455" spans="1:12">
      <c r="A455" s="9">
        <v>45870</v>
      </c>
      <c r="B455">
        <v>2</v>
      </c>
      <c r="C455" s="16" t="s">
        <v>56</v>
      </c>
      <c r="D455">
        <v>10</v>
      </c>
      <c r="E455" s="16" t="s">
        <v>57</v>
      </c>
      <c r="F455" s="18">
        <v>1302</v>
      </c>
      <c r="G455" s="22">
        <v>93</v>
      </c>
      <c r="H455" s="18">
        <v>1.79860765457894</v>
      </c>
      <c r="I455" s="18">
        <v>167.270511875842</v>
      </c>
      <c r="J455" s="18">
        <v>1134.7294881241501</v>
      </c>
      <c r="K455" s="22">
        <v>0</v>
      </c>
      <c r="L455" s="22" t="str">
        <f t="shared" si="7"/>
        <v>45870, 2, 10</v>
      </c>
    </row>
    <row r="456" spans="1:12">
      <c r="A456" s="9">
        <v>45870</v>
      </c>
      <c r="B456">
        <v>2</v>
      </c>
      <c r="C456" s="16" t="s">
        <v>56</v>
      </c>
      <c r="D456">
        <v>11</v>
      </c>
      <c r="E456" s="16" t="s">
        <v>48</v>
      </c>
      <c r="F456" s="18">
        <v>4221</v>
      </c>
      <c r="G456" s="22">
        <v>201</v>
      </c>
      <c r="H456" s="18">
        <v>1.9688803571428499</v>
      </c>
      <c r="I456" s="18">
        <v>395.74495178571402</v>
      </c>
      <c r="J456" s="18">
        <v>3825.2550482142801</v>
      </c>
      <c r="K456" s="22">
        <v>0</v>
      </c>
      <c r="L456" s="22" t="str">
        <f t="shared" si="7"/>
        <v>45870, 2, 11</v>
      </c>
    </row>
    <row r="457" spans="1:12">
      <c r="A457" s="9">
        <v>45870</v>
      </c>
      <c r="B457">
        <v>2</v>
      </c>
      <c r="C457" s="16" t="s">
        <v>56</v>
      </c>
      <c r="D457">
        <v>12</v>
      </c>
      <c r="E457" s="16" t="s">
        <v>49</v>
      </c>
      <c r="F457" s="18">
        <v>3124</v>
      </c>
      <c r="G457" s="22">
        <v>142</v>
      </c>
      <c r="H457" s="18">
        <v>2.4643566812083302</v>
      </c>
      <c r="I457" s="18">
        <v>349.93864873158299</v>
      </c>
      <c r="J457" s="18">
        <v>2774.0613512684099</v>
      </c>
      <c r="K457" s="22">
        <v>0</v>
      </c>
      <c r="L457" s="22" t="str">
        <f t="shared" si="7"/>
        <v>45870, 2, 12</v>
      </c>
    </row>
    <row r="458" spans="1:12">
      <c r="A458" s="9">
        <v>45870</v>
      </c>
      <c r="B458">
        <v>2</v>
      </c>
      <c r="C458" s="16" t="s">
        <v>56</v>
      </c>
      <c r="D458">
        <v>13</v>
      </c>
      <c r="E458" s="16" t="s">
        <v>50</v>
      </c>
      <c r="F458" s="18">
        <v>2231</v>
      </c>
      <c r="G458" s="22">
        <v>97</v>
      </c>
      <c r="H458" s="18">
        <v>6.5528244999999998</v>
      </c>
      <c r="I458" s="18">
        <v>635.62397650000003</v>
      </c>
      <c r="J458" s="18">
        <v>1595.3760235</v>
      </c>
      <c r="K458" s="22">
        <v>0</v>
      </c>
      <c r="L458" s="22" t="str">
        <f t="shared" si="7"/>
        <v>45870, 2, 13</v>
      </c>
    </row>
    <row r="459" spans="1:12">
      <c r="A459" s="9">
        <v>45870</v>
      </c>
      <c r="B459">
        <v>2</v>
      </c>
      <c r="C459" s="16" t="s">
        <v>56</v>
      </c>
      <c r="D459">
        <v>14</v>
      </c>
      <c r="E459" s="16" t="s">
        <v>51</v>
      </c>
      <c r="F459" s="18">
        <v>2604</v>
      </c>
      <c r="G459" s="22">
        <v>93</v>
      </c>
      <c r="H459" s="18">
        <v>4.3464502020701703</v>
      </c>
      <c r="I459" s="18">
        <v>404.21986879252597</v>
      </c>
      <c r="J459" s="18">
        <v>2199.7801312074698</v>
      </c>
      <c r="K459" s="22">
        <v>0</v>
      </c>
      <c r="L459" s="22" t="str">
        <f t="shared" si="7"/>
        <v>45870, 2, 14</v>
      </c>
    </row>
    <row r="460" spans="1:12">
      <c r="A460" s="9">
        <v>45870</v>
      </c>
      <c r="B460">
        <v>2</v>
      </c>
      <c r="C460" s="16" t="s">
        <v>56</v>
      </c>
      <c r="D460">
        <v>15</v>
      </c>
      <c r="E460" s="16" t="s">
        <v>52</v>
      </c>
      <c r="F460" s="18">
        <v>3775</v>
      </c>
      <c r="G460" s="22">
        <v>151</v>
      </c>
      <c r="H460" s="18">
        <v>2.7182935452222199</v>
      </c>
      <c r="I460" s="18">
        <v>410.46232532855498</v>
      </c>
      <c r="J460" s="18">
        <v>3364.5376746714401</v>
      </c>
      <c r="K460" s="22">
        <v>0</v>
      </c>
      <c r="L460" s="22" t="str">
        <f t="shared" si="7"/>
        <v>45870, 2, 15</v>
      </c>
    </row>
    <row r="461" spans="1:12">
      <c r="A461" s="9">
        <v>45870</v>
      </c>
      <c r="B461">
        <v>2</v>
      </c>
      <c r="C461" s="16" t="s">
        <v>56</v>
      </c>
      <c r="D461">
        <v>16</v>
      </c>
      <c r="E461" s="16" t="s">
        <v>53</v>
      </c>
      <c r="F461" s="18">
        <v>1629</v>
      </c>
      <c r="G461" s="22">
        <v>181</v>
      </c>
      <c r="H461" s="18">
        <v>1.5781358315476099</v>
      </c>
      <c r="I461" s="18">
        <v>285.64258551011898</v>
      </c>
      <c r="J461" s="18">
        <v>1343.3574144898801</v>
      </c>
      <c r="K461" s="22">
        <v>0</v>
      </c>
      <c r="L461" s="22" t="str">
        <f t="shared" si="7"/>
        <v>45870, 2, 16</v>
      </c>
    </row>
    <row r="462" spans="1:12">
      <c r="A462" s="9">
        <v>45870</v>
      </c>
      <c r="B462">
        <v>2</v>
      </c>
      <c r="C462" s="16" t="s">
        <v>56</v>
      </c>
      <c r="D462">
        <v>17</v>
      </c>
      <c r="E462" s="16" t="s">
        <v>54</v>
      </c>
      <c r="F462" s="18">
        <v>1888</v>
      </c>
      <c r="G462" s="22">
        <v>236</v>
      </c>
      <c r="H462" s="18">
        <v>1.3828018786363601</v>
      </c>
      <c r="I462" s="18">
        <v>326.34124335818098</v>
      </c>
      <c r="J462" s="18">
        <v>1561.65875664181</v>
      </c>
      <c r="K462" s="22">
        <v>0</v>
      </c>
      <c r="L462" s="22" t="str">
        <f t="shared" si="7"/>
        <v>45870, 2, 17</v>
      </c>
    </row>
    <row r="463" spans="1:12">
      <c r="A463" s="9">
        <v>45870</v>
      </c>
      <c r="B463">
        <v>2</v>
      </c>
      <c r="C463" s="16" t="s">
        <v>56</v>
      </c>
      <c r="D463">
        <v>18</v>
      </c>
      <c r="E463" s="16" t="s">
        <v>55</v>
      </c>
      <c r="F463" s="18">
        <v>2867</v>
      </c>
      <c r="G463" s="22">
        <v>122</v>
      </c>
      <c r="H463" s="18">
        <v>5.5858450065357097</v>
      </c>
      <c r="I463" s="18">
        <v>681.47309079735703</v>
      </c>
      <c r="J463" s="18">
        <v>2185.5269092026401</v>
      </c>
      <c r="K463" s="22">
        <v>0</v>
      </c>
      <c r="L463" s="22" t="str">
        <f t="shared" si="7"/>
        <v>45870, 2, 18</v>
      </c>
    </row>
    <row r="464" spans="1:12">
      <c r="A464" s="9">
        <v>45901</v>
      </c>
      <c r="B464">
        <v>2</v>
      </c>
      <c r="C464" s="16" t="s">
        <v>56</v>
      </c>
      <c r="D464">
        <v>1</v>
      </c>
      <c r="E464" s="16" t="s">
        <v>38</v>
      </c>
      <c r="F464" s="18">
        <v>5390</v>
      </c>
      <c r="G464" s="22">
        <v>245</v>
      </c>
      <c r="H464" s="18">
        <v>3.83324982894736</v>
      </c>
      <c r="I464" s="18">
        <v>939.14620809210498</v>
      </c>
      <c r="J464" s="18">
        <v>4450.8537919078899</v>
      </c>
      <c r="K464" s="22">
        <v>0</v>
      </c>
      <c r="L464" s="22" t="str">
        <f t="shared" si="7"/>
        <v>45901, 2, 1</v>
      </c>
    </row>
    <row r="465" spans="1:12">
      <c r="A465" s="9">
        <v>45901</v>
      </c>
      <c r="B465">
        <v>2</v>
      </c>
      <c r="C465" s="16" t="s">
        <v>56</v>
      </c>
      <c r="D465">
        <v>2</v>
      </c>
      <c r="E465" s="16" t="s">
        <v>40</v>
      </c>
      <c r="F465" s="18">
        <v>4752</v>
      </c>
      <c r="G465" s="22">
        <v>198</v>
      </c>
      <c r="H465" s="18">
        <v>6.5088269668749996</v>
      </c>
      <c r="I465" s="18">
        <v>1288.7477394412499</v>
      </c>
      <c r="J465" s="18">
        <v>3463.2522605587501</v>
      </c>
      <c r="K465" s="22">
        <v>0</v>
      </c>
      <c r="L465" s="22" t="str">
        <f t="shared" si="7"/>
        <v>45901, 2, 2</v>
      </c>
    </row>
    <row r="466" spans="1:12">
      <c r="A466" s="9">
        <v>45901</v>
      </c>
      <c r="B466">
        <v>2</v>
      </c>
      <c r="C466" s="16" t="s">
        <v>56</v>
      </c>
      <c r="D466">
        <v>3</v>
      </c>
      <c r="E466" s="16" t="s">
        <v>41</v>
      </c>
      <c r="F466" s="18">
        <v>2550</v>
      </c>
      <c r="G466" s="22">
        <v>100</v>
      </c>
      <c r="H466" s="18">
        <v>3.53611482846153</v>
      </c>
      <c r="I466" s="18">
        <v>353.61148284615302</v>
      </c>
      <c r="J466" s="18">
        <v>2196.38851715384</v>
      </c>
      <c r="K466" s="22">
        <v>0</v>
      </c>
      <c r="L466" s="22" t="str">
        <f t="shared" si="7"/>
        <v>45901, 2, 3</v>
      </c>
    </row>
    <row r="467" spans="1:12">
      <c r="A467" s="9">
        <v>45901</v>
      </c>
      <c r="B467">
        <v>2</v>
      </c>
      <c r="C467" s="16" t="s">
        <v>56</v>
      </c>
      <c r="D467">
        <v>4</v>
      </c>
      <c r="E467" s="16" t="s">
        <v>42</v>
      </c>
      <c r="F467" s="18">
        <v>4263</v>
      </c>
      <c r="G467" s="22">
        <v>203</v>
      </c>
      <c r="H467" s="18">
        <v>6.6677987161666596</v>
      </c>
      <c r="I467" s="18">
        <v>1353.5631393818301</v>
      </c>
      <c r="J467" s="18">
        <v>2909.4368606181602</v>
      </c>
      <c r="K467" s="22">
        <v>0</v>
      </c>
      <c r="L467" s="22" t="str">
        <f t="shared" si="7"/>
        <v>45901, 2, 4</v>
      </c>
    </row>
    <row r="468" spans="1:12">
      <c r="A468" s="9">
        <v>45901</v>
      </c>
      <c r="B468">
        <v>2</v>
      </c>
      <c r="C468" s="16" t="s">
        <v>56</v>
      </c>
      <c r="D468">
        <v>6</v>
      </c>
      <c r="E468" s="16" t="s">
        <v>44</v>
      </c>
      <c r="F468" s="18">
        <v>2852</v>
      </c>
      <c r="G468" s="22">
        <v>124</v>
      </c>
      <c r="H468" s="18">
        <v>4.5698886663437497</v>
      </c>
      <c r="I468" s="18">
        <v>566.66619462662504</v>
      </c>
      <c r="J468" s="18">
        <v>2285.3338053733701</v>
      </c>
      <c r="K468" s="22">
        <v>0</v>
      </c>
      <c r="L468" s="22" t="str">
        <f t="shared" si="7"/>
        <v>45901, 2, 6</v>
      </c>
    </row>
    <row r="469" spans="1:12">
      <c r="A469" s="9">
        <v>45901</v>
      </c>
      <c r="B469">
        <v>2</v>
      </c>
      <c r="C469" s="16" t="s">
        <v>56</v>
      </c>
      <c r="D469">
        <v>8</v>
      </c>
      <c r="E469" s="16" t="s">
        <v>46</v>
      </c>
      <c r="F469" s="18">
        <v>1725</v>
      </c>
      <c r="G469" s="22">
        <v>138</v>
      </c>
      <c r="H469" s="18">
        <v>0.64604561291666596</v>
      </c>
      <c r="I469" s="18">
        <v>89.1542945825</v>
      </c>
      <c r="J469" s="18">
        <v>1635.8457054174901</v>
      </c>
      <c r="K469" s="22">
        <v>0</v>
      </c>
      <c r="L469" s="22" t="str">
        <f t="shared" si="7"/>
        <v>45901, 2, 8</v>
      </c>
    </row>
    <row r="470" spans="1:12">
      <c r="A470" s="9">
        <v>45901</v>
      </c>
      <c r="B470">
        <v>2</v>
      </c>
      <c r="C470" s="16" t="s">
        <v>56</v>
      </c>
      <c r="D470">
        <v>10</v>
      </c>
      <c r="E470" s="16" t="s">
        <v>57</v>
      </c>
      <c r="F470" s="18">
        <v>1568</v>
      </c>
      <c r="G470" s="22">
        <v>112</v>
      </c>
      <c r="H470" s="18">
        <v>1.88941635544761</v>
      </c>
      <c r="I470" s="18">
        <v>211.61463181013301</v>
      </c>
      <c r="J470" s="18">
        <v>1356.3853681898599</v>
      </c>
      <c r="K470" s="22">
        <v>0</v>
      </c>
      <c r="L470" s="22" t="str">
        <f t="shared" si="7"/>
        <v>45901, 2, 10</v>
      </c>
    </row>
    <row r="471" spans="1:12">
      <c r="A471" s="9">
        <v>45901</v>
      </c>
      <c r="B471">
        <v>2</v>
      </c>
      <c r="C471" s="16" t="s">
        <v>56</v>
      </c>
      <c r="D471">
        <v>11</v>
      </c>
      <c r="E471" s="16" t="s">
        <v>48</v>
      </c>
      <c r="F471" s="18">
        <v>4914</v>
      </c>
      <c r="G471" s="22">
        <v>234</v>
      </c>
      <c r="H471" s="18">
        <v>1.9611637749999999</v>
      </c>
      <c r="I471" s="18">
        <v>458.91232335000001</v>
      </c>
      <c r="J471" s="18">
        <v>4455.0876766499996</v>
      </c>
      <c r="K471" s="22">
        <v>0</v>
      </c>
      <c r="L471" s="22" t="str">
        <f t="shared" si="7"/>
        <v>45901, 2, 11</v>
      </c>
    </row>
    <row r="472" spans="1:12">
      <c r="A472" s="9">
        <v>45901</v>
      </c>
      <c r="B472">
        <v>2</v>
      </c>
      <c r="C472" s="16" t="s">
        <v>56</v>
      </c>
      <c r="D472">
        <v>12</v>
      </c>
      <c r="E472" s="16" t="s">
        <v>49</v>
      </c>
      <c r="F472" s="18">
        <v>3124</v>
      </c>
      <c r="G472" s="22">
        <v>142</v>
      </c>
      <c r="H472" s="18">
        <v>2.4855001886785701</v>
      </c>
      <c r="I472" s="18">
        <v>352.94102679235698</v>
      </c>
      <c r="J472" s="18">
        <v>2771.0589732076401</v>
      </c>
      <c r="K472" s="22">
        <v>0</v>
      </c>
      <c r="L472" s="22" t="str">
        <f t="shared" si="7"/>
        <v>45901, 2, 12</v>
      </c>
    </row>
    <row r="473" spans="1:12">
      <c r="A473" s="9">
        <v>45901</v>
      </c>
      <c r="B473">
        <v>2</v>
      </c>
      <c r="C473" s="16" t="s">
        <v>56</v>
      </c>
      <c r="D473">
        <v>13</v>
      </c>
      <c r="E473" s="16" t="s">
        <v>50</v>
      </c>
      <c r="F473" s="18">
        <v>3082</v>
      </c>
      <c r="G473" s="22">
        <v>134</v>
      </c>
      <c r="H473" s="18">
        <v>6.5662668571428497</v>
      </c>
      <c r="I473" s="18">
        <v>879.87975885714195</v>
      </c>
      <c r="J473" s="18">
        <v>2202.1202411428499</v>
      </c>
      <c r="K473" s="22">
        <v>0</v>
      </c>
      <c r="L473" s="22" t="str">
        <f t="shared" si="7"/>
        <v>45901, 2, 13</v>
      </c>
    </row>
    <row r="474" spans="1:12">
      <c r="A474" s="9">
        <v>45901</v>
      </c>
      <c r="B474">
        <v>2</v>
      </c>
      <c r="C474" s="16" t="s">
        <v>56</v>
      </c>
      <c r="D474">
        <v>14</v>
      </c>
      <c r="E474" s="16" t="s">
        <v>51</v>
      </c>
      <c r="F474" s="18">
        <v>2576</v>
      </c>
      <c r="G474" s="22">
        <v>92</v>
      </c>
      <c r="H474" s="18">
        <v>4.3583063334416599</v>
      </c>
      <c r="I474" s="18">
        <v>400.96418267663302</v>
      </c>
      <c r="J474" s="18">
        <v>2175.0358173233599</v>
      </c>
      <c r="K474" s="22">
        <v>0</v>
      </c>
      <c r="L474" s="22" t="str">
        <f t="shared" si="7"/>
        <v>45901, 2, 14</v>
      </c>
    </row>
    <row r="475" spans="1:12">
      <c r="A475" s="9">
        <v>45901</v>
      </c>
      <c r="B475">
        <v>2</v>
      </c>
      <c r="C475" s="16" t="s">
        <v>56</v>
      </c>
      <c r="D475">
        <v>15</v>
      </c>
      <c r="E475" s="16" t="s">
        <v>52</v>
      </c>
      <c r="F475" s="18">
        <v>3075</v>
      </c>
      <c r="G475" s="22">
        <v>123</v>
      </c>
      <c r="H475" s="18">
        <v>2.7348770132000002</v>
      </c>
      <c r="I475" s="18">
        <v>336.38987262360001</v>
      </c>
      <c r="J475" s="18">
        <v>2738.6101273764002</v>
      </c>
      <c r="K475" s="22">
        <v>0</v>
      </c>
      <c r="L475" s="22" t="str">
        <f t="shared" si="7"/>
        <v>45901, 2, 15</v>
      </c>
    </row>
    <row r="476" spans="1:12">
      <c r="A476" s="9">
        <v>45901</v>
      </c>
      <c r="B476">
        <v>2</v>
      </c>
      <c r="C476" s="16" t="s">
        <v>56</v>
      </c>
      <c r="D476">
        <v>16</v>
      </c>
      <c r="E476" s="16" t="s">
        <v>53</v>
      </c>
      <c r="F476" s="18">
        <v>1611</v>
      </c>
      <c r="G476" s="22">
        <v>179</v>
      </c>
      <c r="H476" s="18">
        <v>1.5681921974999999</v>
      </c>
      <c r="I476" s="18">
        <v>280.70640335249999</v>
      </c>
      <c r="J476" s="18">
        <v>1330.2935966475</v>
      </c>
      <c r="K476" s="22">
        <v>0</v>
      </c>
      <c r="L476" s="22" t="str">
        <f t="shared" si="7"/>
        <v>45901, 2, 16</v>
      </c>
    </row>
    <row r="477" spans="1:12">
      <c r="A477" s="9">
        <v>45901</v>
      </c>
      <c r="B477">
        <v>2</v>
      </c>
      <c r="C477" s="16" t="s">
        <v>56</v>
      </c>
      <c r="D477">
        <v>17</v>
      </c>
      <c r="E477" s="16" t="s">
        <v>54</v>
      </c>
      <c r="F477" s="18">
        <v>2056</v>
      </c>
      <c r="G477" s="22">
        <v>257</v>
      </c>
      <c r="H477" s="18">
        <v>1.3836224157692301</v>
      </c>
      <c r="I477" s="18">
        <v>355.59096085269198</v>
      </c>
      <c r="J477" s="18">
        <v>1700.4090391473001</v>
      </c>
      <c r="K477" s="22">
        <v>0</v>
      </c>
      <c r="L477" s="22" t="str">
        <f t="shared" si="7"/>
        <v>45901, 2, 17</v>
      </c>
    </row>
    <row r="478" spans="1:12">
      <c r="A478" s="9">
        <v>45901</v>
      </c>
      <c r="B478">
        <v>2</v>
      </c>
      <c r="C478" s="16" t="s">
        <v>56</v>
      </c>
      <c r="D478">
        <v>18</v>
      </c>
      <c r="E478" s="16" t="s">
        <v>55</v>
      </c>
      <c r="F478" s="18">
        <v>2749.5</v>
      </c>
      <c r="G478" s="22">
        <v>117</v>
      </c>
      <c r="H478" s="18">
        <v>5.5795822765</v>
      </c>
      <c r="I478" s="18">
        <v>652.81112635049999</v>
      </c>
      <c r="J478" s="18">
        <v>2096.6888736494998</v>
      </c>
      <c r="K478" s="22">
        <v>0</v>
      </c>
      <c r="L478" s="22" t="str">
        <f t="shared" si="7"/>
        <v>45901, 2, 18</v>
      </c>
    </row>
    <row r="479" spans="1:12">
      <c r="A479" s="9">
        <v>45931</v>
      </c>
      <c r="B479">
        <v>2</v>
      </c>
      <c r="C479" s="16" t="s">
        <v>56</v>
      </c>
      <c r="D479">
        <v>1</v>
      </c>
      <c r="E479" s="16" t="s">
        <v>38</v>
      </c>
      <c r="F479" s="18">
        <v>5346</v>
      </c>
      <c r="G479" s="22">
        <v>243</v>
      </c>
      <c r="H479" s="18">
        <v>3.8453150131578901</v>
      </c>
      <c r="I479" s="18">
        <v>934.41154819736801</v>
      </c>
      <c r="J479" s="18">
        <v>4411.5884518026296</v>
      </c>
      <c r="K479" s="22">
        <v>0</v>
      </c>
      <c r="L479" s="22" t="str">
        <f t="shared" si="7"/>
        <v>45931, 2, 1</v>
      </c>
    </row>
    <row r="480" spans="1:12">
      <c r="A480" s="9">
        <v>45931</v>
      </c>
      <c r="B480">
        <v>2</v>
      </c>
      <c r="C480" s="16" t="s">
        <v>56</v>
      </c>
      <c r="D480">
        <v>2</v>
      </c>
      <c r="E480" s="16" t="s">
        <v>40</v>
      </c>
      <c r="F480" s="18">
        <v>5520</v>
      </c>
      <c r="G480" s="22">
        <v>230</v>
      </c>
      <c r="H480" s="18">
        <v>6.5588996836</v>
      </c>
      <c r="I480" s="18">
        <v>1508.546927228</v>
      </c>
      <c r="J480" s="18">
        <v>4011.4530727719998</v>
      </c>
      <c r="K480" s="22">
        <v>0</v>
      </c>
      <c r="L480" s="22" t="str">
        <f t="shared" si="7"/>
        <v>45931, 2, 2</v>
      </c>
    </row>
    <row r="481" spans="1:12">
      <c r="A481" s="9">
        <v>45931</v>
      </c>
      <c r="B481">
        <v>2</v>
      </c>
      <c r="C481" s="16" t="s">
        <v>56</v>
      </c>
      <c r="D481">
        <v>3</v>
      </c>
      <c r="E481" s="16" t="s">
        <v>41</v>
      </c>
      <c r="F481" s="18">
        <v>3034.5</v>
      </c>
      <c r="G481" s="22">
        <v>119</v>
      </c>
      <c r="H481" s="18">
        <v>3.60478951138461</v>
      </c>
      <c r="I481" s="18">
        <v>428.96995185476902</v>
      </c>
      <c r="J481" s="18">
        <v>2605.53004814523</v>
      </c>
      <c r="K481" s="22">
        <v>0</v>
      </c>
      <c r="L481" s="22" t="str">
        <f t="shared" si="7"/>
        <v>45931, 2, 3</v>
      </c>
    </row>
    <row r="482" spans="1:12">
      <c r="A482" s="9">
        <v>45931</v>
      </c>
      <c r="B482">
        <v>2</v>
      </c>
      <c r="C482" s="16" t="s">
        <v>56</v>
      </c>
      <c r="D482">
        <v>4</v>
      </c>
      <c r="E482" s="16" t="s">
        <v>42</v>
      </c>
      <c r="F482" s="18">
        <v>3906</v>
      </c>
      <c r="G482" s="22">
        <v>186</v>
      </c>
      <c r="H482" s="18">
        <v>6.8368639785000003</v>
      </c>
      <c r="I482" s="18">
        <v>1271.656700001</v>
      </c>
      <c r="J482" s="18">
        <v>2634.343299999</v>
      </c>
      <c r="K482" s="22">
        <v>0</v>
      </c>
      <c r="L482" s="22" t="str">
        <f t="shared" si="7"/>
        <v>45931, 2, 4</v>
      </c>
    </row>
    <row r="483" spans="1:12">
      <c r="A483" s="9">
        <v>45931</v>
      </c>
      <c r="B483">
        <v>2</v>
      </c>
      <c r="C483" s="16" t="s">
        <v>56</v>
      </c>
      <c r="D483">
        <v>6</v>
      </c>
      <c r="E483" s="16" t="s">
        <v>44</v>
      </c>
      <c r="F483" s="18">
        <v>3749</v>
      </c>
      <c r="G483" s="22">
        <v>163</v>
      </c>
      <c r="H483" s="18">
        <v>4.5919858334117603</v>
      </c>
      <c r="I483" s="18">
        <v>748.49369084611703</v>
      </c>
      <c r="J483" s="18">
        <v>3000.50630915388</v>
      </c>
      <c r="K483" s="22">
        <v>0</v>
      </c>
      <c r="L483" s="22" t="str">
        <f t="shared" si="7"/>
        <v>45931, 2, 6</v>
      </c>
    </row>
    <row r="484" spans="1:12">
      <c r="A484" s="9">
        <v>45931</v>
      </c>
      <c r="B484">
        <v>2</v>
      </c>
      <c r="C484" s="16" t="s">
        <v>56</v>
      </c>
      <c r="D484">
        <v>8</v>
      </c>
      <c r="E484" s="16" t="s">
        <v>46</v>
      </c>
      <c r="F484" s="18">
        <v>1625</v>
      </c>
      <c r="G484" s="22">
        <v>130</v>
      </c>
      <c r="H484" s="18">
        <v>0.663120430222222</v>
      </c>
      <c r="I484" s="18">
        <v>86.205655928888802</v>
      </c>
      <c r="J484" s="18">
        <v>1538.7943440711099</v>
      </c>
      <c r="K484" s="22">
        <v>0</v>
      </c>
      <c r="L484" s="22" t="str">
        <f t="shared" si="7"/>
        <v>45931, 2, 8</v>
      </c>
    </row>
    <row r="485" spans="1:12">
      <c r="A485" s="9">
        <v>45931</v>
      </c>
      <c r="B485">
        <v>2</v>
      </c>
      <c r="C485" s="16" t="s">
        <v>56</v>
      </c>
      <c r="D485">
        <v>10</v>
      </c>
      <c r="E485" s="16" t="s">
        <v>57</v>
      </c>
      <c r="F485" s="18">
        <v>1526</v>
      </c>
      <c r="G485" s="22">
        <v>109</v>
      </c>
      <c r="H485" s="18">
        <v>2.00581151388571</v>
      </c>
      <c r="I485" s="18">
        <v>218.633455013542</v>
      </c>
      <c r="J485" s="18">
        <v>1307.36654498645</v>
      </c>
      <c r="K485" s="22">
        <v>0</v>
      </c>
      <c r="L485" s="22" t="str">
        <f t="shared" si="7"/>
        <v>45931, 2, 10</v>
      </c>
    </row>
    <row r="486" spans="1:12">
      <c r="A486" s="9">
        <v>45931</v>
      </c>
      <c r="B486">
        <v>2</v>
      </c>
      <c r="C486" s="16" t="s">
        <v>56</v>
      </c>
      <c r="D486">
        <v>11</v>
      </c>
      <c r="E486" s="16" t="s">
        <v>48</v>
      </c>
      <c r="F486" s="18">
        <v>5040</v>
      </c>
      <c r="G486" s="22">
        <v>240</v>
      </c>
      <c r="H486" s="18">
        <v>1.9652229204545399</v>
      </c>
      <c r="I486" s="18">
        <v>471.65350090908998</v>
      </c>
      <c r="J486" s="18">
        <v>4568.3464990908997</v>
      </c>
      <c r="K486" s="22">
        <v>0</v>
      </c>
      <c r="L486" s="22" t="str">
        <f t="shared" si="7"/>
        <v>45931, 2, 11</v>
      </c>
    </row>
    <row r="487" spans="1:12">
      <c r="A487" s="9">
        <v>45931</v>
      </c>
      <c r="B487">
        <v>2</v>
      </c>
      <c r="C487" s="16" t="s">
        <v>56</v>
      </c>
      <c r="D487">
        <v>12</v>
      </c>
      <c r="E487" s="16" t="s">
        <v>49</v>
      </c>
      <c r="F487" s="18">
        <v>3102</v>
      </c>
      <c r="G487" s="22">
        <v>141</v>
      </c>
      <c r="H487" s="18">
        <v>2.52857222975</v>
      </c>
      <c r="I487" s="18">
        <v>356.52868439474997</v>
      </c>
      <c r="J487" s="18">
        <v>2745.4713156052499</v>
      </c>
      <c r="K487" s="22">
        <v>0</v>
      </c>
      <c r="L487" s="22" t="str">
        <f t="shared" si="7"/>
        <v>45931, 2, 12</v>
      </c>
    </row>
    <row r="488" spans="1:12">
      <c r="A488" s="9">
        <v>45931</v>
      </c>
      <c r="B488">
        <v>2</v>
      </c>
      <c r="C488" s="16" t="s">
        <v>56</v>
      </c>
      <c r="D488">
        <v>13</v>
      </c>
      <c r="E488" s="16" t="s">
        <v>50</v>
      </c>
      <c r="F488" s="18">
        <v>3335</v>
      </c>
      <c r="G488" s="22">
        <v>145</v>
      </c>
      <c r="H488" s="18">
        <v>6.58771461538461</v>
      </c>
      <c r="I488" s="18">
        <v>955.21861923076904</v>
      </c>
      <c r="J488" s="18">
        <v>2379.7813807692301</v>
      </c>
      <c r="K488" s="22">
        <v>0</v>
      </c>
      <c r="L488" s="22" t="str">
        <f t="shared" si="7"/>
        <v>45931, 2, 13</v>
      </c>
    </row>
    <row r="489" spans="1:12">
      <c r="A489" s="9">
        <v>45931</v>
      </c>
      <c r="B489">
        <v>2</v>
      </c>
      <c r="C489" s="16" t="s">
        <v>56</v>
      </c>
      <c r="D489">
        <v>14</v>
      </c>
      <c r="E489" s="16" t="s">
        <v>51</v>
      </c>
      <c r="F489" s="18">
        <v>3472</v>
      </c>
      <c r="G489" s="22">
        <v>124</v>
      </c>
      <c r="H489" s="18">
        <v>4.4368621588916604</v>
      </c>
      <c r="I489" s="18">
        <v>550.17090770256596</v>
      </c>
      <c r="J489" s="18">
        <v>2921.8290922974302</v>
      </c>
      <c r="K489" s="22">
        <v>0</v>
      </c>
      <c r="L489" s="22" t="str">
        <f t="shared" si="7"/>
        <v>45931, 2, 14</v>
      </c>
    </row>
    <row r="490" spans="1:12">
      <c r="A490" s="9">
        <v>45931</v>
      </c>
      <c r="B490">
        <v>2</v>
      </c>
      <c r="C490" s="16" t="s">
        <v>56</v>
      </c>
      <c r="D490">
        <v>15</v>
      </c>
      <c r="E490" s="16" t="s">
        <v>52</v>
      </c>
      <c r="F490" s="18">
        <v>3625</v>
      </c>
      <c r="G490" s="22">
        <v>145</v>
      </c>
      <c r="H490" s="18">
        <v>2.7681485539500001</v>
      </c>
      <c r="I490" s="18">
        <v>401.38154032275003</v>
      </c>
      <c r="J490" s="18">
        <v>3223.61845967725</v>
      </c>
      <c r="K490" s="22">
        <v>0</v>
      </c>
      <c r="L490" s="22" t="str">
        <f t="shared" si="7"/>
        <v>45931, 2, 15</v>
      </c>
    </row>
    <row r="491" spans="1:12">
      <c r="A491" s="9">
        <v>45931</v>
      </c>
      <c r="B491">
        <v>2</v>
      </c>
      <c r="C491" s="16" t="s">
        <v>56</v>
      </c>
      <c r="D491">
        <v>16</v>
      </c>
      <c r="E491" s="16" t="s">
        <v>53</v>
      </c>
      <c r="F491" s="18">
        <v>2124</v>
      </c>
      <c r="G491" s="22">
        <v>236</v>
      </c>
      <c r="H491" s="18">
        <v>1.5896858604761901</v>
      </c>
      <c r="I491" s="18">
        <v>375.16586307237998</v>
      </c>
      <c r="J491" s="18">
        <v>1748.83413692761</v>
      </c>
      <c r="K491" s="22">
        <v>0</v>
      </c>
      <c r="L491" s="22" t="str">
        <f t="shared" si="7"/>
        <v>45931, 2, 16</v>
      </c>
    </row>
    <row r="492" spans="1:12">
      <c r="A492" s="9">
        <v>45931</v>
      </c>
      <c r="B492">
        <v>2</v>
      </c>
      <c r="C492" s="16" t="s">
        <v>56</v>
      </c>
      <c r="D492">
        <v>17</v>
      </c>
      <c r="E492" s="16" t="s">
        <v>54</v>
      </c>
      <c r="F492" s="18">
        <v>2192</v>
      </c>
      <c r="G492" s="22">
        <v>274</v>
      </c>
      <c r="H492" s="18">
        <v>1.37805660772727</v>
      </c>
      <c r="I492" s="18">
        <v>377.58751051727199</v>
      </c>
      <c r="J492" s="18">
        <v>1814.41248948272</v>
      </c>
      <c r="K492" s="22">
        <v>0</v>
      </c>
      <c r="L492" s="22" t="str">
        <f t="shared" si="7"/>
        <v>45931, 2, 17</v>
      </c>
    </row>
    <row r="493" spans="1:12">
      <c r="A493" s="9">
        <v>45931</v>
      </c>
      <c r="B493">
        <v>2</v>
      </c>
      <c r="C493" s="16" t="s">
        <v>56</v>
      </c>
      <c r="D493">
        <v>18</v>
      </c>
      <c r="E493" s="16" t="s">
        <v>55</v>
      </c>
      <c r="F493" s="18">
        <v>2021</v>
      </c>
      <c r="G493" s="22">
        <v>86</v>
      </c>
      <c r="H493" s="18">
        <v>5.62644825043333</v>
      </c>
      <c r="I493" s="18">
        <v>483.87454953726598</v>
      </c>
      <c r="J493" s="18">
        <v>1537.12545046273</v>
      </c>
      <c r="K493" s="22">
        <v>0</v>
      </c>
      <c r="L493" s="22" t="str">
        <f t="shared" si="7"/>
        <v>45931, 2, 18</v>
      </c>
    </row>
    <row r="494" spans="1:12">
      <c r="A494" s="9">
        <v>45962</v>
      </c>
      <c r="B494">
        <v>2</v>
      </c>
      <c r="C494" s="16" t="s">
        <v>56</v>
      </c>
      <c r="D494">
        <v>1</v>
      </c>
      <c r="E494" s="16" t="s">
        <v>38</v>
      </c>
      <c r="F494" s="18">
        <v>5082</v>
      </c>
      <c r="G494" s="22">
        <v>231</v>
      </c>
      <c r="H494" s="18">
        <v>3.8589906029411698</v>
      </c>
      <c r="I494" s="18">
        <v>891.42682927941098</v>
      </c>
      <c r="J494" s="18">
        <v>4190.5731707205796</v>
      </c>
      <c r="K494" s="22">
        <v>0</v>
      </c>
      <c r="L494" s="22" t="str">
        <f t="shared" si="7"/>
        <v>45962, 2, 1</v>
      </c>
    </row>
    <row r="495" spans="1:12">
      <c r="A495" s="9">
        <v>45962</v>
      </c>
      <c r="B495">
        <v>2</v>
      </c>
      <c r="C495" s="16" t="s">
        <v>56</v>
      </c>
      <c r="D495">
        <v>2</v>
      </c>
      <c r="E495" s="16" t="s">
        <v>40</v>
      </c>
      <c r="F495" s="18">
        <v>5304</v>
      </c>
      <c r="G495" s="22">
        <v>221</v>
      </c>
      <c r="H495" s="18">
        <v>6.5617968388571404</v>
      </c>
      <c r="I495" s="18">
        <v>1450.15710138742</v>
      </c>
      <c r="J495" s="18">
        <v>3853.84289861257</v>
      </c>
      <c r="K495" s="22">
        <v>0</v>
      </c>
      <c r="L495" s="22" t="str">
        <f t="shared" si="7"/>
        <v>45962, 2, 2</v>
      </c>
    </row>
    <row r="496" spans="1:12">
      <c r="A496" s="9">
        <v>45962</v>
      </c>
      <c r="B496">
        <v>2</v>
      </c>
      <c r="C496" s="16" t="s">
        <v>56</v>
      </c>
      <c r="D496">
        <v>3</v>
      </c>
      <c r="E496" s="16" t="s">
        <v>41</v>
      </c>
      <c r="F496" s="18">
        <v>3391.5</v>
      </c>
      <c r="G496" s="22">
        <v>133</v>
      </c>
      <c r="H496" s="18">
        <v>3.6164513976666601</v>
      </c>
      <c r="I496" s="18">
        <v>480.98803588966598</v>
      </c>
      <c r="J496" s="18">
        <v>2910.5119641103302</v>
      </c>
      <c r="K496" s="22">
        <v>0</v>
      </c>
      <c r="L496" s="22" t="str">
        <f t="shared" si="7"/>
        <v>45962, 2, 3</v>
      </c>
    </row>
    <row r="497" spans="1:12">
      <c r="A497" s="9">
        <v>45962</v>
      </c>
      <c r="B497">
        <v>2</v>
      </c>
      <c r="C497" s="16" t="s">
        <v>56</v>
      </c>
      <c r="D497">
        <v>4</v>
      </c>
      <c r="E497" s="16" t="s">
        <v>42</v>
      </c>
      <c r="F497" s="18">
        <v>3486</v>
      </c>
      <c r="G497" s="22">
        <v>166</v>
      </c>
      <c r="H497" s="18">
        <v>7.0215787780000003</v>
      </c>
      <c r="I497" s="18">
        <v>1165.5820771480001</v>
      </c>
      <c r="J497" s="18">
        <v>2320.4179228520002</v>
      </c>
      <c r="K497" s="22">
        <v>0</v>
      </c>
      <c r="L497" s="22" t="str">
        <f t="shared" si="7"/>
        <v>45962, 2, 4</v>
      </c>
    </row>
    <row r="498" spans="1:12">
      <c r="A498" s="9">
        <v>45962</v>
      </c>
      <c r="B498">
        <v>2</v>
      </c>
      <c r="C498" s="16" t="s">
        <v>56</v>
      </c>
      <c r="D498">
        <v>6</v>
      </c>
      <c r="E498" s="16" t="s">
        <v>44</v>
      </c>
      <c r="F498" s="18">
        <v>3473</v>
      </c>
      <c r="G498" s="22">
        <v>151</v>
      </c>
      <c r="H498" s="18">
        <v>4.5366943294642796</v>
      </c>
      <c r="I498" s="18">
        <v>685.04084374910701</v>
      </c>
      <c r="J498" s="18">
        <v>2787.9591562508899</v>
      </c>
      <c r="K498" s="22">
        <v>0</v>
      </c>
      <c r="L498" s="22" t="str">
        <f t="shared" si="7"/>
        <v>45962, 2, 6</v>
      </c>
    </row>
    <row r="499" spans="1:12">
      <c r="A499" s="9">
        <v>45962</v>
      </c>
      <c r="B499">
        <v>2</v>
      </c>
      <c r="C499" s="16" t="s">
        <v>56</v>
      </c>
      <c r="D499">
        <v>8</v>
      </c>
      <c r="E499" s="16" t="s">
        <v>46</v>
      </c>
      <c r="F499" s="18">
        <v>2187.5</v>
      </c>
      <c r="G499" s="22">
        <v>175</v>
      </c>
      <c r="H499" s="18">
        <v>0.67522525871794803</v>
      </c>
      <c r="I499" s="18">
        <v>118.16442027564101</v>
      </c>
      <c r="J499" s="18">
        <v>2069.3355797243498</v>
      </c>
      <c r="K499" s="22">
        <v>0</v>
      </c>
      <c r="L499" s="22" t="str">
        <f t="shared" si="7"/>
        <v>45962, 2, 8</v>
      </c>
    </row>
    <row r="500" spans="1:12">
      <c r="A500" s="9">
        <v>45962</v>
      </c>
      <c r="B500">
        <v>2</v>
      </c>
      <c r="C500" s="16" t="s">
        <v>56</v>
      </c>
      <c r="D500">
        <v>10</v>
      </c>
      <c r="E500" s="16" t="s">
        <v>57</v>
      </c>
      <c r="F500" s="18">
        <v>1260</v>
      </c>
      <c r="G500" s="22">
        <v>90</v>
      </c>
      <c r="H500" s="18">
        <v>2.12178638147777</v>
      </c>
      <c r="I500" s="18">
        <v>190.96077433299999</v>
      </c>
      <c r="J500" s="18">
        <v>1069.03922566699</v>
      </c>
      <c r="K500" s="22">
        <v>0</v>
      </c>
      <c r="L500" s="22" t="str">
        <f t="shared" si="7"/>
        <v>45962, 2, 10</v>
      </c>
    </row>
    <row r="501" spans="1:12">
      <c r="A501" s="9">
        <v>45962</v>
      </c>
      <c r="B501">
        <v>2</v>
      </c>
      <c r="C501" s="16" t="s">
        <v>56</v>
      </c>
      <c r="D501">
        <v>11</v>
      </c>
      <c r="E501" s="16" t="s">
        <v>48</v>
      </c>
      <c r="F501" s="18">
        <v>3675</v>
      </c>
      <c r="G501" s="22">
        <v>175</v>
      </c>
      <c r="H501" s="18">
        <v>1.96425658928571</v>
      </c>
      <c r="I501" s="18">
        <v>343.74490312499898</v>
      </c>
      <c r="J501" s="18">
        <v>3331.2550968750002</v>
      </c>
      <c r="K501" s="22">
        <v>0</v>
      </c>
      <c r="L501" s="22" t="str">
        <f t="shared" si="7"/>
        <v>45962, 2, 11</v>
      </c>
    </row>
    <row r="502" spans="1:12">
      <c r="A502" s="9">
        <v>45962</v>
      </c>
      <c r="B502">
        <v>2</v>
      </c>
      <c r="C502" s="16" t="s">
        <v>56</v>
      </c>
      <c r="D502">
        <v>12</v>
      </c>
      <c r="E502" s="16" t="s">
        <v>49</v>
      </c>
      <c r="F502" s="18">
        <v>2662</v>
      </c>
      <c r="G502" s="22">
        <v>121</v>
      </c>
      <c r="H502" s="18">
        <v>2.5664109017083301</v>
      </c>
      <c r="I502" s="18">
        <v>310.53571910670797</v>
      </c>
      <c r="J502" s="18">
        <v>2351.4642808932899</v>
      </c>
      <c r="K502" s="22">
        <v>0</v>
      </c>
      <c r="L502" s="22" t="str">
        <f t="shared" si="7"/>
        <v>45962, 2, 12</v>
      </c>
    </row>
    <row r="503" spans="1:12">
      <c r="A503" s="9">
        <v>45962</v>
      </c>
      <c r="B503">
        <v>2</v>
      </c>
      <c r="C503" s="16" t="s">
        <v>56</v>
      </c>
      <c r="D503">
        <v>13</v>
      </c>
      <c r="E503" s="16" t="s">
        <v>50</v>
      </c>
      <c r="F503" s="18">
        <v>3795</v>
      </c>
      <c r="G503" s="22">
        <v>165</v>
      </c>
      <c r="H503" s="18">
        <v>6.6157741666666601</v>
      </c>
      <c r="I503" s="18">
        <v>1091.6027375000001</v>
      </c>
      <c r="J503" s="18">
        <v>2703.3972624999901</v>
      </c>
      <c r="K503" s="22">
        <v>0</v>
      </c>
      <c r="L503" s="22" t="str">
        <f t="shared" si="7"/>
        <v>45962, 2, 13</v>
      </c>
    </row>
    <row r="504" spans="1:12">
      <c r="A504" s="9">
        <v>45962</v>
      </c>
      <c r="B504">
        <v>2</v>
      </c>
      <c r="C504" s="16" t="s">
        <v>56</v>
      </c>
      <c r="D504">
        <v>14</v>
      </c>
      <c r="E504" s="16" t="s">
        <v>51</v>
      </c>
      <c r="F504" s="18">
        <v>3948</v>
      </c>
      <c r="G504" s="22">
        <v>141</v>
      </c>
      <c r="H504" s="18">
        <v>4.4205996119166597</v>
      </c>
      <c r="I504" s="18">
        <v>623.30454528024995</v>
      </c>
      <c r="J504" s="18">
        <v>3324.6954547197402</v>
      </c>
      <c r="K504" s="22">
        <v>0</v>
      </c>
      <c r="L504" s="22" t="str">
        <f t="shared" si="7"/>
        <v>45962, 2, 14</v>
      </c>
    </row>
    <row r="505" spans="1:12">
      <c r="A505" s="9">
        <v>45962</v>
      </c>
      <c r="B505">
        <v>2</v>
      </c>
      <c r="C505" s="16" t="s">
        <v>56</v>
      </c>
      <c r="D505">
        <v>15</v>
      </c>
      <c r="E505" s="16" t="s">
        <v>52</v>
      </c>
      <c r="F505" s="18">
        <v>3300</v>
      </c>
      <c r="G505" s="22">
        <v>132</v>
      </c>
      <c r="H505" s="18">
        <v>2.7802666894999999</v>
      </c>
      <c r="I505" s="18">
        <v>366.99520301400003</v>
      </c>
      <c r="J505" s="18">
        <v>2933.0047969860002</v>
      </c>
      <c r="K505" s="22">
        <v>0</v>
      </c>
      <c r="L505" s="22" t="str">
        <f t="shared" si="7"/>
        <v>45962, 2, 15</v>
      </c>
    </row>
    <row r="506" spans="1:12">
      <c r="A506" s="9">
        <v>45962</v>
      </c>
      <c r="B506">
        <v>2</v>
      </c>
      <c r="C506" s="16" t="s">
        <v>56</v>
      </c>
      <c r="D506">
        <v>16</v>
      </c>
      <c r="E506" s="16" t="s">
        <v>53</v>
      </c>
      <c r="F506" s="18">
        <v>1818</v>
      </c>
      <c r="G506" s="22">
        <v>202</v>
      </c>
      <c r="H506" s="18">
        <v>1.5937702872916599</v>
      </c>
      <c r="I506" s="18">
        <v>321.94159803291598</v>
      </c>
      <c r="J506" s="18">
        <v>1496.05840196708</v>
      </c>
      <c r="K506" s="22">
        <v>0</v>
      </c>
      <c r="L506" s="22" t="str">
        <f t="shared" si="7"/>
        <v>45962, 2, 16</v>
      </c>
    </row>
    <row r="507" spans="1:12">
      <c r="A507" s="9">
        <v>45962</v>
      </c>
      <c r="B507">
        <v>2</v>
      </c>
      <c r="C507" s="16" t="s">
        <v>56</v>
      </c>
      <c r="D507">
        <v>17</v>
      </c>
      <c r="E507" s="16" t="s">
        <v>54</v>
      </c>
      <c r="F507" s="18">
        <v>1856</v>
      </c>
      <c r="G507" s="22">
        <v>232</v>
      </c>
      <c r="H507" s="18">
        <v>1.3744977174999999</v>
      </c>
      <c r="I507" s="18">
        <v>318.88347046000001</v>
      </c>
      <c r="J507" s="18">
        <v>1537.1165295400001</v>
      </c>
      <c r="K507" s="22">
        <v>0</v>
      </c>
      <c r="L507" s="22" t="str">
        <f t="shared" si="7"/>
        <v>45962, 2, 17</v>
      </c>
    </row>
    <row r="508" spans="1:12">
      <c r="A508" s="9">
        <v>45962</v>
      </c>
      <c r="B508">
        <v>2</v>
      </c>
      <c r="C508" s="16" t="s">
        <v>56</v>
      </c>
      <c r="D508">
        <v>18</v>
      </c>
      <c r="E508" s="16" t="s">
        <v>55</v>
      </c>
      <c r="F508" s="18">
        <v>1809.5</v>
      </c>
      <c r="G508" s="22">
        <v>77</v>
      </c>
      <c r="H508" s="18">
        <v>5.8818789624107097</v>
      </c>
      <c r="I508" s="18">
        <v>452.90468010562398</v>
      </c>
      <c r="J508" s="18">
        <v>1356.59531989437</v>
      </c>
      <c r="K508" s="22">
        <v>0</v>
      </c>
      <c r="L508" s="22" t="str">
        <f t="shared" si="7"/>
        <v>45962, 2, 18</v>
      </c>
    </row>
    <row r="509" spans="1:12">
      <c r="A509" s="9">
        <v>45992</v>
      </c>
      <c r="B509">
        <v>2</v>
      </c>
      <c r="C509" s="16" t="s">
        <v>56</v>
      </c>
      <c r="D509">
        <v>1</v>
      </c>
      <c r="E509" s="16" t="s">
        <v>38</v>
      </c>
      <c r="F509" s="18">
        <v>5896</v>
      </c>
      <c r="G509" s="22">
        <v>268</v>
      </c>
      <c r="H509" s="18">
        <v>3.88636005</v>
      </c>
      <c r="I509" s="18">
        <v>1041.5444934</v>
      </c>
      <c r="J509" s="18">
        <v>4854.4555066000003</v>
      </c>
      <c r="K509" s="22">
        <v>0</v>
      </c>
      <c r="L509" s="22" t="str">
        <f t="shared" si="7"/>
        <v>45992, 2, 1</v>
      </c>
    </row>
    <row r="510" spans="1:12">
      <c r="A510" s="9">
        <v>45992</v>
      </c>
      <c r="B510">
        <v>2</v>
      </c>
      <c r="C510" s="16" t="s">
        <v>56</v>
      </c>
      <c r="D510">
        <v>2</v>
      </c>
      <c r="E510" s="16" t="s">
        <v>40</v>
      </c>
      <c r="F510" s="18">
        <v>5640</v>
      </c>
      <c r="G510" s="22">
        <v>235</v>
      </c>
      <c r="H510" s="18">
        <v>6.6202180658823497</v>
      </c>
      <c r="I510" s="18">
        <v>1555.75124548235</v>
      </c>
      <c r="J510" s="18">
        <v>4084.24875451764</v>
      </c>
      <c r="K510" s="22">
        <v>0</v>
      </c>
      <c r="L510" s="22" t="str">
        <f t="shared" si="7"/>
        <v>45992, 2, 2</v>
      </c>
    </row>
    <row r="511" spans="1:12">
      <c r="A511" s="9">
        <v>45992</v>
      </c>
      <c r="B511">
        <v>2</v>
      </c>
      <c r="C511" s="16" t="s">
        <v>56</v>
      </c>
      <c r="D511">
        <v>3</v>
      </c>
      <c r="E511" s="16" t="s">
        <v>41</v>
      </c>
      <c r="F511" s="18">
        <v>4360.5</v>
      </c>
      <c r="G511" s="22">
        <v>171</v>
      </c>
      <c r="H511" s="18">
        <v>3.6044913725714198</v>
      </c>
      <c r="I511" s="18">
        <v>616.36802470971395</v>
      </c>
      <c r="J511" s="18">
        <v>3744.13197529028</v>
      </c>
      <c r="K511" s="22">
        <v>0</v>
      </c>
      <c r="L511" s="22" t="str">
        <f t="shared" si="7"/>
        <v>45992, 2, 3</v>
      </c>
    </row>
    <row r="512" spans="1:12">
      <c r="A512" s="9">
        <v>45992</v>
      </c>
      <c r="B512">
        <v>2</v>
      </c>
      <c r="C512" s="16" t="s">
        <v>56</v>
      </c>
      <c r="D512">
        <v>4</v>
      </c>
      <c r="E512" s="16" t="s">
        <v>42</v>
      </c>
      <c r="F512" s="18">
        <v>4473</v>
      </c>
      <c r="G512" s="22">
        <v>213</v>
      </c>
      <c r="H512" s="18">
        <v>7.1927124676923002</v>
      </c>
      <c r="I512" s="18">
        <v>1532.0477556184601</v>
      </c>
      <c r="J512" s="18">
        <v>2940.9522443815299</v>
      </c>
      <c r="K512" s="22">
        <v>0</v>
      </c>
      <c r="L512" s="22" t="str">
        <f t="shared" si="7"/>
        <v>45992, 2, 4</v>
      </c>
    </row>
    <row r="513" spans="1:12">
      <c r="A513" s="9">
        <v>45992</v>
      </c>
      <c r="B513">
        <v>2</v>
      </c>
      <c r="C513" s="16" t="s">
        <v>56</v>
      </c>
      <c r="D513">
        <v>6</v>
      </c>
      <c r="E513" s="16" t="s">
        <v>44</v>
      </c>
      <c r="F513" s="18">
        <v>4991</v>
      </c>
      <c r="G513" s="22">
        <v>217</v>
      </c>
      <c r="H513" s="18">
        <v>4.5655763591944396</v>
      </c>
      <c r="I513" s="18">
        <v>990.73006994519403</v>
      </c>
      <c r="J513" s="18">
        <v>4000.2699300548002</v>
      </c>
      <c r="K513" s="22">
        <v>0</v>
      </c>
      <c r="L513" s="22" t="str">
        <f t="shared" si="7"/>
        <v>45992, 2, 6</v>
      </c>
    </row>
    <row r="514" spans="1:12">
      <c r="A514" s="9">
        <v>45992</v>
      </c>
      <c r="B514">
        <v>2</v>
      </c>
      <c r="C514" s="16" t="s">
        <v>56</v>
      </c>
      <c r="D514">
        <v>8</v>
      </c>
      <c r="E514" s="16" t="s">
        <v>46</v>
      </c>
      <c r="F514" s="18">
        <v>2550</v>
      </c>
      <c r="G514" s="22">
        <v>204</v>
      </c>
      <c r="H514" s="18">
        <v>0.68952400803921499</v>
      </c>
      <c r="I514" s="18">
        <v>140.66289764000001</v>
      </c>
      <c r="J514" s="18">
        <v>2409.3371023599898</v>
      </c>
      <c r="K514" s="22">
        <v>0</v>
      </c>
      <c r="L514" s="22" t="str">
        <f t="shared" si="7"/>
        <v>45992, 2, 8</v>
      </c>
    </row>
    <row r="515" spans="1:12">
      <c r="A515" s="9">
        <v>45992</v>
      </c>
      <c r="B515">
        <v>2</v>
      </c>
      <c r="C515" s="16" t="s">
        <v>56</v>
      </c>
      <c r="D515">
        <v>10</v>
      </c>
      <c r="E515" s="16" t="s">
        <v>57</v>
      </c>
      <c r="F515" s="18">
        <v>1652</v>
      </c>
      <c r="G515" s="22">
        <v>118</v>
      </c>
      <c r="H515" s="18">
        <v>2.2164090911636301</v>
      </c>
      <c r="I515" s="18">
        <v>261.53627275730901</v>
      </c>
      <c r="J515" s="18">
        <v>1390.4637272426901</v>
      </c>
      <c r="K515" s="22">
        <v>0</v>
      </c>
      <c r="L515" s="22" t="str">
        <f t="shared" ref="L515:L578" si="8">(A515&amp; ", "&amp; B515&amp; ", "&amp; D515)</f>
        <v>45992, 2, 10</v>
      </c>
    </row>
    <row r="516" spans="1:12">
      <c r="A516" s="9">
        <v>45992</v>
      </c>
      <c r="B516">
        <v>2</v>
      </c>
      <c r="C516" s="16" t="s">
        <v>56</v>
      </c>
      <c r="D516">
        <v>11</v>
      </c>
      <c r="E516" s="16" t="s">
        <v>48</v>
      </c>
      <c r="F516" s="18">
        <v>5418</v>
      </c>
      <c r="G516" s="22">
        <v>258</v>
      </c>
      <c r="H516" s="18">
        <v>1.9782261875</v>
      </c>
      <c r="I516" s="18">
        <v>510.38235637499997</v>
      </c>
      <c r="J516" s="18">
        <v>4907.6176436249998</v>
      </c>
      <c r="K516" s="22">
        <v>0</v>
      </c>
      <c r="L516" s="22" t="str">
        <f t="shared" si="8"/>
        <v>45992, 2, 11</v>
      </c>
    </row>
    <row r="517" spans="1:12">
      <c r="A517" s="9">
        <v>45992</v>
      </c>
      <c r="B517">
        <v>2</v>
      </c>
      <c r="C517" s="16" t="s">
        <v>56</v>
      </c>
      <c r="D517">
        <v>12</v>
      </c>
      <c r="E517" s="16" t="s">
        <v>49</v>
      </c>
      <c r="F517" s="18">
        <v>3498</v>
      </c>
      <c r="G517" s="22">
        <v>159</v>
      </c>
      <c r="H517" s="18">
        <v>2.58960426665625</v>
      </c>
      <c r="I517" s="18">
        <v>411.74707839834298</v>
      </c>
      <c r="J517" s="18">
        <v>3086.2529216016501</v>
      </c>
      <c r="K517" s="22">
        <v>0</v>
      </c>
      <c r="L517" s="22" t="str">
        <f t="shared" si="8"/>
        <v>45992, 2, 12</v>
      </c>
    </row>
    <row r="518" spans="1:12">
      <c r="A518" s="9">
        <v>45992</v>
      </c>
      <c r="B518">
        <v>2</v>
      </c>
      <c r="C518" s="16" t="s">
        <v>56</v>
      </c>
      <c r="D518">
        <v>13</v>
      </c>
      <c r="E518" s="16" t="s">
        <v>50</v>
      </c>
      <c r="F518" s="18">
        <v>4416</v>
      </c>
      <c r="G518" s="22">
        <v>192</v>
      </c>
      <c r="H518" s="18">
        <v>6.6522535714285702</v>
      </c>
      <c r="I518" s="18">
        <v>1277.23268571428</v>
      </c>
      <c r="J518" s="18">
        <v>3138.7673142857102</v>
      </c>
      <c r="K518" s="22">
        <v>0</v>
      </c>
      <c r="L518" s="22" t="str">
        <f t="shared" si="8"/>
        <v>45992, 2, 13</v>
      </c>
    </row>
    <row r="519" spans="1:12">
      <c r="A519" s="9">
        <v>45992</v>
      </c>
      <c r="B519">
        <v>2</v>
      </c>
      <c r="C519" s="16" t="s">
        <v>56</v>
      </c>
      <c r="D519">
        <v>14</v>
      </c>
      <c r="E519" s="16" t="s">
        <v>51</v>
      </c>
      <c r="F519" s="18">
        <v>5740</v>
      </c>
      <c r="G519" s="22">
        <v>205</v>
      </c>
      <c r="H519" s="18">
        <v>4.43392221820634</v>
      </c>
      <c r="I519" s="18">
        <v>908.95405473230096</v>
      </c>
      <c r="J519" s="18">
        <v>4831.0459452676896</v>
      </c>
      <c r="K519" s="22">
        <v>0</v>
      </c>
      <c r="L519" s="22" t="str">
        <f t="shared" si="8"/>
        <v>45992, 2, 14</v>
      </c>
    </row>
    <row r="520" spans="1:12">
      <c r="A520" s="9">
        <v>45992</v>
      </c>
      <c r="B520">
        <v>2</v>
      </c>
      <c r="C520" s="16" t="s">
        <v>56</v>
      </c>
      <c r="D520">
        <v>15</v>
      </c>
      <c r="E520" s="16" t="s">
        <v>52</v>
      </c>
      <c r="F520" s="18">
        <v>4325</v>
      </c>
      <c r="G520" s="22">
        <v>173</v>
      </c>
      <c r="H520" s="18">
        <v>2.8095913521428502</v>
      </c>
      <c r="I520" s="18">
        <v>486.059303920714</v>
      </c>
      <c r="J520" s="18">
        <v>3838.9406960792799</v>
      </c>
      <c r="K520" s="22">
        <v>0</v>
      </c>
      <c r="L520" s="22" t="str">
        <f t="shared" si="8"/>
        <v>45992, 2, 15</v>
      </c>
    </row>
    <row r="521" spans="1:12">
      <c r="A521" s="9">
        <v>45992</v>
      </c>
      <c r="B521">
        <v>2</v>
      </c>
      <c r="C521" s="16" t="s">
        <v>56</v>
      </c>
      <c r="D521">
        <v>16</v>
      </c>
      <c r="E521" s="16" t="s">
        <v>53</v>
      </c>
      <c r="F521" s="18">
        <v>2763</v>
      </c>
      <c r="G521" s="22">
        <v>307</v>
      </c>
      <c r="H521" s="18">
        <v>1.5897663675490099</v>
      </c>
      <c r="I521" s="18">
        <v>488.05827483754899</v>
      </c>
      <c r="J521" s="18">
        <v>2274.94172516245</v>
      </c>
      <c r="K521" s="22">
        <v>0</v>
      </c>
      <c r="L521" s="22" t="str">
        <f t="shared" si="8"/>
        <v>45992, 2, 16</v>
      </c>
    </row>
    <row r="522" spans="1:12">
      <c r="A522" s="9">
        <v>45992</v>
      </c>
      <c r="B522">
        <v>2</v>
      </c>
      <c r="C522" s="16" t="s">
        <v>56</v>
      </c>
      <c r="D522">
        <v>17</v>
      </c>
      <c r="E522" s="16" t="s">
        <v>54</v>
      </c>
      <c r="F522" s="18">
        <v>2120</v>
      </c>
      <c r="G522" s="22">
        <v>265</v>
      </c>
      <c r="H522" s="18">
        <v>1.3740200283333299</v>
      </c>
      <c r="I522" s="18">
        <v>364.11530750833299</v>
      </c>
      <c r="J522" s="18">
        <v>1755.88469249166</v>
      </c>
      <c r="K522" s="22">
        <v>0</v>
      </c>
      <c r="L522" s="22" t="str">
        <f t="shared" si="8"/>
        <v>45992, 2, 17</v>
      </c>
    </row>
    <row r="523" spans="1:12">
      <c r="A523" s="9">
        <v>45992</v>
      </c>
      <c r="B523">
        <v>2</v>
      </c>
      <c r="C523" s="16" t="s">
        <v>56</v>
      </c>
      <c r="D523">
        <v>18</v>
      </c>
      <c r="E523" s="16" t="s">
        <v>55</v>
      </c>
      <c r="F523" s="18">
        <v>1786</v>
      </c>
      <c r="G523" s="22">
        <v>76</v>
      </c>
      <c r="H523" s="18">
        <v>6.2664432715</v>
      </c>
      <c r="I523" s="18">
        <v>476.24968863399999</v>
      </c>
      <c r="J523" s="18">
        <v>1309.750311366</v>
      </c>
      <c r="K523" s="22">
        <v>0</v>
      </c>
      <c r="L523" s="22" t="str">
        <f t="shared" si="8"/>
        <v>45992, 2, 18</v>
      </c>
    </row>
    <row r="524" spans="1:12">
      <c r="A524" s="9">
        <v>46023</v>
      </c>
      <c r="B524">
        <v>2</v>
      </c>
      <c r="C524" s="16" t="s">
        <v>56</v>
      </c>
      <c r="D524">
        <v>1</v>
      </c>
      <c r="E524" s="16" t="s">
        <v>38</v>
      </c>
      <c r="F524" s="18">
        <v>3696</v>
      </c>
      <c r="G524" s="22">
        <v>168</v>
      </c>
      <c r="H524" s="18">
        <v>3.85748952631578</v>
      </c>
      <c r="I524" s="18">
        <v>648.05824042105201</v>
      </c>
      <c r="J524" s="18">
        <v>3047.94175957894</v>
      </c>
      <c r="K524" s="22">
        <v>0</v>
      </c>
      <c r="L524" s="22" t="str">
        <f t="shared" si="8"/>
        <v>46023, 2, 1</v>
      </c>
    </row>
    <row r="525" spans="1:12">
      <c r="A525" s="9">
        <v>46023</v>
      </c>
      <c r="B525">
        <v>2</v>
      </c>
      <c r="C525" s="16" t="s">
        <v>56</v>
      </c>
      <c r="D525">
        <v>2</v>
      </c>
      <c r="E525" s="16" t="s">
        <v>40</v>
      </c>
      <c r="F525" s="18">
        <v>3672</v>
      </c>
      <c r="G525" s="22">
        <v>153</v>
      </c>
      <c r="H525" s="18">
        <v>6.6935460261333297</v>
      </c>
      <c r="I525" s="18">
        <v>1024.11254199839</v>
      </c>
      <c r="J525" s="18">
        <v>2647.8874580016</v>
      </c>
      <c r="K525" s="22">
        <v>0</v>
      </c>
      <c r="L525" s="22" t="str">
        <f t="shared" si="8"/>
        <v>46023, 2, 2</v>
      </c>
    </row>
    <row r="526" spans="1:12">
      <c r="A526" s="9">
        <v>46023</v>
      </c>
      <c r="B526">
        <v>2</v>
      </c>
      <c r="C526" s="16" t="s">
        <v>56</v>
      </c>
      <c r="D526">
        <v>3</v>
      </c>
      <c r="E526" s="16" t="s">
        <v>41</v>
      </c>
      <c r="F526" s="18">
        <v>2805</v>
      </c>
      <c r="G526" s="22">
        <v>110</v>
      </c>
      <c r="H526" s="18">
        <v>3.5653022867272699</v>
      </c>
      <c r="I526" s="18">
        <v>392.18325154000001</v>
      </c>
      <c r="J526" s="18">
        <v>2412.8167484599899</v>
      </c>
      <c r="K526" s="22">
        <v>0</v>
      </c>
      <c r="L526" s="22" t="str">
        <f t="shared" si="8"/>
        <v>46023, 2, 3</v>
      </c>
    </row>
    <row r="527" spans="1:12">
      <c r="A527" s="9">
        <v>46023</v>
      </c>
      <c r="B527">
        <v>2</v>
      </c>
      <c r="C527" s="16" t="s">
        <v>56</v>
      </c>
      <c r="D527">
        <v>4</v>
      </c>
      <c r="E527" s="16" t="s">
        <v>42</v>
      </c>
      <c r="F527" s="18">
        <v>2793</v>
      </c>
      <c r="G527" s="22">
        <v>133</v>
      </c>
      <c r="H527" s="18">
        <v>7.2982345081818103</v>
      </c>
      <c r="I527" s="18">
        <v>970.66518958818097</v>
      </c>
      <c r="J527" s="18">
        <v>1822.3348104118099</v>
      </c>
      <c r="K527" s="22">
        <v>0</v>
      </c>
      <c r="L527" s="22" t="str">
        <f t="shared" si="8"/>
        <v>46023, 2, 4</v>
      </c>
    </row>
    <row r="528" spans="1:12">
      <c r="A528" s="9">
        <v>46023</v>
      </c>
      <c r="B528">
        <v>2</v>
      </c>
      <c r="C528" s="16" t="s">
        <v>56</v>
      </c>
      <c r="D528">
        <v>6</v>
      </c>
      <c r="E528" s="16" t="s">
        <v>44</v>
      </c>
      <c r="F528" s="18">
        <v>3174</v>
      </c>
      <c r="G528" s="22">
        <v>138</v>
      </c>
      <c r="H528" s="18">
        <v>4.5588205213124997</v>
      </c>
      <c r="I528" s="18">
        <v>629.11723194112506</v>
      </c>
      <c r="J528" s="18">
        <v>2544.8827680588702</v>
      </c>
      <c r="K528" s="22">
        <v>0</v>
      </c>
      <c r="L528" s="22" t="str">
        <f t="shared" si="8"/>
        <v>46023, 2, 6</v>
      </c>
    </row>
    <row r="529" spans="1:12">
      <c r="A529" s="9">
        <v>46023</v>
      </c>
      <c r="B529">
        <v>2</v>
      </c>
      <c r="C529" s="16" t="s">
        <v>56</v>
      </c>
      <c r="D529">
        <v>8</v>
      </c>
      <c r="E529" s="16" t="s">
        <v>46</v>
      </c>
      <c r="F529" s="18">
        <v>1800</v>
      </c>
      <c r="G529" s="22">
        <v>144</v>
      </c>
      <c r="H529" s="18">
        <v>0.68403872666666599</v>
      </c>
      <c r="I529" s="18">
        <v>98.501576639999897</v>
      </c>
      <c r="J529" s="18">
        <v>1701.4984233600001</v>
      </c>
      <c r="K529" s="22">
        <v>0</v>
      </c>
      <c r="L529" s="22" t="str">
        <f t="shared" si="8"/>
        <v>46023, 2, 8</v>
      </c>
    </row>
    <row r="530" spans="1:12">
      <c r="A530" s="9">
        <v>46023</v>
      </c>
      <c r="B530">
        <v>2</v>
      </c>
      <c r="C530" s="16" t="s">
        <v>56</v>
      </c>
      <c r="D530">
        <v>10</v>
      </c>
      <c r="E530" s="16" t="s">
        <v>57</v>
      </c>
      <c r="F530" s="18">
        <v>938</v>
      </c>
      <c r="G530" s="22">
        <v>67</v>
      </c>
      <c r="H530" s="18">
        <v>2.25597439653684</v>
      </c>
      <c r="I530" s="18">
        <v>151.15028456796799</v>
      </c>
      <c r="J530" s="18">
        <v>786.84971543203096</v>
      </c>
      <c r="K530" s="22">
        <v>0</v>
      </c>
      <c r="L530" s="22" t="str">
        <f t="shared" si="8"/>
        <v>46023, 2, 10</v>
      </c>
    </row>
    <row r="531" spans="1:12">
      <c r="A531" s="9">
        <v>46023</v>
      </c>
      <c r="B531">
        <v>2</v>
      </c>
      <c r="C531" s="16" t="s">
        <v>56</v>
      </c>
      <c r="D531">
        <v>11</v>
      </c>
      <c r="E531" s="16" t="s">
        <v>48</v>
      </c>
      <c r="F531" s="18">
        <v>3171</v>
      </c>
      <c r="G531" s="22">
        <v>151</v>
      </c>
      <c r="H531" s="18">
        <v>1.9074475937499999</v>
      </c>
      <c r="I531" s="18">
        <v>288.02458665624999</v>
      </c>
      <c r="J531" s="18">
        <v>2882.97541334375</v>
      </c>
      <c r="K531" s="22">
        <v>0</v>
      </c>
      <c r="L531" s="22" t="str">
        <f t="shared" si="8"/>
        <v>46023, 2, 11</v>
      </c>
    </row>
    <row r="532" spans="1:12">
      <c r="A532" s="9">
        <v>46023</v>
      </c>
      <c r="B532">
        <v>2</v>
      </c>
      <c r="C532" s="16" t="s">
        <v>56</v>
      </c>
      <c r="D532">
        <v>12</v>
      </c>
      <c r="E532" s="16" t="s">
        <v>49</v>
      </c>
      <c r="F532" s="18">
        <v>2112</v>
      </c>
      <c r="G532" s="22">
        <v>96</v>
      </c>
      <c r="H532" s="18">
        <v>2.5601459175769201</v>
      </c>
      <c r="I532" s="18">
        <v>245.774008087384</v>
      </c>
      <c r="J532" s="18">
        <v>1866.22599191261</v>
      </c>
      <c r="K532" s="22">
        <v>0</v>
      </c>
      <c r="L532" s="22" t="str">
        <f t="shared" si="8"/>
        <v>46023, 2, 12</v>
      </c>
    </row>
    <row r="533" spans="1:12">
      <c r="A533" s="9">
        <v>46023</v>
      </c>
      <c r="B533">
        <v>2</v>
      </c>
      <c r="C533" s="16" t="s">
        <v>56</v>
      </c>
      <c r="D533">
        <v>13</v>
      </c>
      <c r="E533" s="16" t="s">
        <v>50</v>
      </c>
      <c r="F533" s="18">
        <v>3933</v>
      </c>
      <c r="G533" s="22">
        <v>171</v>
      </c>
      <c r="H533" s="18">
        <v>6.5419831538461501</v>
      </c>
      <c r="I533" s="18">
        <v>1118.6791193076899</v>
      </c>
      <c r="J533" s="18">
        <v>2814.3208806922999</v>
      </c>
      <c r="K533" s="22">
        <v>0</v>
      </c>
      <c r="L533" s="22" t="str">
        <f t="shared" si="8"/>
        <v>46023, 2, 13</v>
      </c>
    </row>
    <row r="534" spans="1:12">
      <c r="A534" s="9">
        <v>46023</v>
      </c>
      <c r="B534">
        <v>2</v>
      </c>
      <c r="C534" s="16" t="s">
        <v>56</v>
      </c>
      <c r="D534">
        <v>14</v>
      </c>
      <c r="E534" s="16" t="s">
        <v>51</v>
      </c>
      <c r="F534" s="18">
        <v>3080</v>
      </c>
      <c r="G534" s="22">
        <v>110</v>
      </c>
      <c r="H534" s="18">
        <v>4.4621141412083301</v>
      </c>
      <c r="I534" s="18">
        <v>490.83255553291599</v>
      </c>
      <c r="J534" s="18">
        <v>2589.1674444670798</v>
      </c>
      <c r="K534" s="22">
        <v>0</v>
      </c>
      <c r="L534" s="22" t="str">
        <f t="shared" si="8"/>
        <v>46023, 2, 14</v>
      </c>
    </row>
    <row r="535" spans="1:12">
      <c r="A535" s="9">
        <v>46023</v>
      </c>
      <c r="B535">
        <v>2</v>
      </c>
      <c r="C535" s="16" t="s">
        <v>56</v>
      </c>
      <c r="D535">
        <v>15</v>
      </c>
      <c r="E535" s="16" t="s">
        <v>52</v>
      </c>
      <c r="F535" s="18">
        <v>2475</v>
      </c>
      <c r="G535" s="22">
        <v>99</v>
      </c>
      <c r="H535" s="18">
        <v>2.81929203578947</v>
      </c>
      <c r="I535" s="18">
        <v>279.10991154315701</v>
      </c>
      <c r="J535" s="18">
        <v>2195.8900884568402</v>
      </c>
      <c r="K535" s="22">
        <v>0</v>
      </c>
      <c r="L535" s="22" t="str">
        <f t="shared" si="8"/>
        <v>46023, 2, 15</v>
      </c>
    </row>
    <row r="536" spans="1:12">
      <c r="A536" s="9">
        <v>46023</v>
      </c>
      <c r="B536">
        <v>2</v>
      </c>
      <c r="C536" s="16" t="s">
        <v>56</v>
      </c>
      <c r="D536">
        <v>16</v>
      </c>
      <c r="E536" s="16" t="s">
        <v>53</v>
      </c>
      <c r="F536" s="18">
        <v>1665</v>
      </c>
      <c r="G536" s="22">
        <v>185</v>
      </c>
      <c r="H536" s="18">
        <v>1.59928633055555</v>
      </c>
      <c r="I536" s="18">
        <v>295.86797115277699</v>
      </c>
      <c r="J536" s="18">
        <v>1369.13202884722</v>
      </c>
      <c r="K536" s="22">
        <v>0</v>
      </c>
      <c r="L536" s="22" t="str">
        <f t="shared" si="8"/>
        <v>46023, 2, 16</v>
      </c>
    </row>
    <row r="537" spans="1:12">
      <c r="A537" s="9">
        <v>46023</v>
      </c>
      <c r="B537">
        <v>2</v>
      </c>
      <c r="C537" s="16" t="s">
        <v>56</v>
      </c>
      <c r="D537">
        <v>17</v>
      </c>
      <c r="E537" s="16" t="s">
        <v>54</v>
      </c>
      <c r="F537" s="18">
        <v>1408</v>
      </c>
      <c r="G537" s="22">
        <v>176</v>
      </c>
      <c r="H537" s="18">
        <v>1.3784968222727201</v>
      </c>
      <c r="I537" s="18">
        <v>242.61544071999899</v>
      </c>
      <c r="J537" s="18">
        <v>1165.3845592800001</v>
      </c>
      <c r="K537" s="22">
        <v>0</v>
      </c>
      <c r="L537" s="22" t="str">
        <f t="shared" si="8"/>
        <v>46023, 2, 17</v>
      </c>
    </row>
    <row r="538" spans="1:12">
      <c r="A538" s="9">
        <v>46023</v>
      </c>
      <c r="B538">
        <v>2</v>
      </c>
      <c r="C538" s="16" t="s">
        <v>56</v>
      </c>
      <c r="D538">
        <v>18</v>
      </c>
      <c r="E538" s="16" t="s">
        <v>55</v>
      </c>
      <c r="F538" s="18">
        <v>752</v>
      </c>
      <c r="G538" s="22">
        <v>32</v>
      </c>
      <c r="H538" s="18">
        <v>5.7300890154583302</v>
      </c>
      <c r="I538" s="18">
        <v>183.362848494666</v>
      </c>
      <c r="J538" s="18">
        <v>568.63715150533301</v>
      </c>
      <c r="K538" s="22">
        <v>0</v>
      </c>
      <c r="L538" s="22" t="str">
        <f t="shared" si="8"/>
        <v>46023, 2, 18</v>
      </c>
    </row>
    <row r="539" spans="1:12">
      <c r="A539" s="9">
        <v>46054</v>
      </c>
      <c r="B539">
        <v>2</v>
      </c>
      <c r="C539" s="16" t="s">
        <v>56</v>
      </c>
      <c r="D539">
        <v>1</v>
      </c>
      <c r="E539" s="16" t="s">
        <v>38</v>
      </c>
      <c r="F539" s="18">
        <v>3674</v>
      </c>
      <c r="G539" s="22">
        <v>167</v>
      </c>
      <c r="H539" s="18">
        <v>3.8404304264705802</v>
      </c>
      <c r="I539" s="18">
        <v>641.35188122058798</v>
      </c>
      <c r="J539" s="18">
        <v>3032.6481187794102</v>
      </c>
      <c r="K539" s="22">
        <v>0</v>
      </c>
      <c r="L539" s="22" t="str">
        <f t="shared" si="8"/>
        <v>46054, 2, 1</v>
      </c>
    </row>
    <row r="540" spans="1:12">
      <c r="A540" s="9">
        <v>46054</v>
      </c>
      <c r="B540">
        <v>2</v>
      </c>
      <c r="C540" s="16" t="s">
        <v>56</v>
      </c>
      <c r="D540">
        <v>2</v>
      </c>
      <c r="E540" s="16" t="s">
        <v>40</v>
      </c>
      <c r="F540" s="18">
        <v>4656</v>
      </c>
      <c r="G540" s="22">
        <v>194</v>
      </c>
      <c r="H540" s="18">
        <v>6.6918210617142799</v>
      </c>
      <c r="I540" s="18">
        <v>1298.21328597257</v>
      </c>
      <c r="J540" s="18">
        <v>3357.7867140274202</v>
      </c>
      <c r="K540" s="22">
        <v>0</v>
      </c>
      <c r="L540" s="22" t="str">
        <f t="shared" si="8"/>
        <v>46054, 2, 2</v>
      </c>
    </row>
    <row r="541" spans="1:12">
      <c r="A541" s="9">
        <v>46054</v>
      </c>
      <c r="B541">
        <v>2</v>
      </c>
      <c r="C541" s="16" t="s">
        <v>56</v>
      </c>
      <c r="D541">
        <v>3</v>
      </c>
      <c r="E541" s="16" t="s">
        <v>41</v>
      </c>
      <c r="F541" s="18">
        <v>2499</v>
      </c>
      <c r="G541" s="22">
        <v>98</v>
      </c>
      <c r="H541" s="18">
        <v>3.5864238309999998</v>
      </c>
      <c r="I541" s="18">
        <v>351.46953543799998</v>
      </c>
      <c r="J541" s="18">
        <v>2147.5304645619999</v>
      </c>
      <c r="K541" s="22">
        <v>0</v>
      </c>
      <c r="L541" s="22" t="str">
        <f t="shared" si="8"/>
        <v>46054, 2, 3</v>
      </c>
    </row>
    <row r="542" spans="1:12">
      <c r="A542" s="9">
        <v>46054</v>
      </c>
      <c r="B542">
        <v>2</v>
      </c>
      <c r="C542" s="16" t="s">
        <v>56</v>
      </c>
      <c r="D542">
        <v>4</v>
      </c>
      <c r="E542" s="16" t="s">
        <v>42</v>
      </c>
      <c r="F542" s="18">
        <v>2961</v>
      </c>
      <c r="G542" s="22">
        <v>141</v>
      </c>
      <c r="H542" s="18">
        <v>7.2232656298181803</v>
      </c>
      <c r="I542" s="18">
        <v>1018.48045380436</v>
      </c>
      <c r="J542" s="18">
        <v>1942.51954619563</v>
      </c>
      <c r="K542" s="22">
        <v>0</v>
      </c>
      <c r="L542" s="22" t="str">
        <f t="shared" si="8"/>
        <v>46054, 2, 4</v>
      </c>
    </row>
    <row r="543" spans="1:12">
      <c r="A543" s="9">
        <v>46054</v>
      </c>
      <c r="B543">
        <v>2</v>
      </c>
      <c r="C543" s="16" t="s">
        <v>56</v>
      </c>
      <c r="D543">
        <v>6</v>
      </c>
      <c r="E543" s="16" t="s">
        <v>44</v>
      </c>
      <c r="F543" s="18">
        <v>3864</v>
      </c>
      <c r="G543" s="22">
        <v>168</v>
      </c>
      <c r="H543" s="18">
        <v>4.5594367771785702</v>
      </c>
      <c r="I543" s="18">
        <v>765.98537856600001</v>
      </c>
      <c r="J543" s="18">
        <v>3098.0146214339902</v>
      </c>
      <c r="K543" s="22">
        <v>0</v>
      </c>
      <c r="L543" s="22" t="str">
        <f t="shared" si="8"/>
        <v>46054, 2, 6</v>
      </c>
    </row>
    <row r="544" spans="1:12">
      <c r="A544" s="9">
        <v>46054</v>
      </c>
      <c r="B544">
        <v>2</v>
      </c>
      <c r="C544" s="16" t="s">
        <v>56</v>
      </c>
      <c r="D544">
        <v>8</v>
      </c>
      <c r="E544" s="16" t="s">
        <v>46</v>
      </c>
      <c r="F544" s="18">
        <v>1850</v>
      </c>
      <c r="G544" s="22">
        <v>148</v>
      </c>
      <c r="H544" s="18">
        <v>0.67992615692307601</v>
      </c>
      <c r="I544" s="18">
        <v>100.629071224615</v>
      </c>
      <c r="J544" s="18">
        <v>1749.37092877538</v>
      </c>
      <c r="K544" s="22">
        <v>0</v>
      </c>
      <c r="L544" s="22" t="str">
        <f t="shared" si="8"/>
        <v>46054, 2, 8</v>
      </c>
    </row>
    <row r="545" spans="1:12">
      <c r="A545" s="9">
        <v>46054</v>
      </c>
      <c r="B545">
        <v>2</v>
      </c>
      <c r="C545" s="16" t="s">
        <v>56</v>
      </c>
      <c r="D545">
        <v>10</v>
      </c>
      <c r="E545" s="16" t="s">
        <v>57</v>
      </c>
      <c r="F545" s="18">
        <v>1204</v>
      </c>
      <c r="G545" s="22">
        <v>86</v>
      </c>
      <c r="H545" s="18">
        <v>2.21109718393333</v>
      </c>
      <c r="I545" s="18">
        <v>190.15435781826599</v>
      </c>
      <c r="J545" s="18">
        <v>1013.84564218173</v>
      </c>
      <c r="K545" s="22">
        <v>0</v>
      </c>
      <c r="L545" s="22" t="str">
        <f t="shared" si="8"/>
        <v>46054, 2, 10</v>
      </c>
    </row>
    <row r="546" spans="1:12">
      <c r="A546" s="9">
        <v>46054</v>
      </c>
      <c r="B546">
        <v>2</v>
      </c>
      <c r="C546" s="16" t="s">
        <v>56</v>
      </c>
      <c r="D546">
        <v>11</v>
      </c>
      <c r="E546" s="16" t="s">
        <v>48</v>
      </c>
      <c r="F546" s="18">
        <v>3696</v>
      </c>
      <c r="G546" s="22">
        <v>176</v>
      </c>
      <c r="H546" s="18">
        <v>1.88781165277777</v>
      </c>
      <c r="I546" s="18">
        <v>332.25485088888797</v>
      </c>
      <c r="J546" s="18">
        <v>3363.7451491111101</v>
      </c>
      <c r="K546" s="22">
        <v>0</v>
      </c>
      <c r="L546" s="22" t="str">
        <f t="shared" si="8"/>
        <v>46054, 2, 11</v>
      </c>
    </row>
    <row r="547" spans="1:12">
      <c r="A547" s="9">
        <v>46054</v>
      </c>
      <c r="B547">
        <v>2</v>
      </c>
      <c r="C547" s="16" t="s">
        <v>56</v>
      </c>
      <c r="D547">
        <v>12</v>
      </c>
      <c r="E547" s="16" t="s">
        <v>49</v>
      </c>
      <c r="F547" s="18">
        <v>2266</v>
      </c>
      <c r="G547" s="22">
        <v>103</v>
      </c>
      <c r="H547" s="18">
        <v>2.5676817441538402</v>
      </c>
      <c r="I547" s="18">
        <v>264.471219647846</v>
      </c>
      <c r="J547" s="18">
        <v>2001.5287803521501</v>
      </c>
      <c r="K547" s="22">
        <v>0</v>
      </c>
      <c r="L547" s="22" t="str">
        <f t="shared" si="8"/>
        <v>46054, 2, 12</v>
      </c>
    </row>
    <row r="548" spans="1:12">
      <c r="A548" s="9">
        <v>46054</v>
      </c>
      <c r="B548">
        <v>2</v>
      </c>
      <c r="C548" s="16" t="s">
        <v>56</v>
      </c>
      <c r="D548">
        <v>13</v>
      </c>
      <c r="E548" s="16" t="s">
        <v>50</v>
      </c>
      <c r="F548" s="18">
        <v>3519</v>
      </c>
      <c r="G548" s="22">
        <v>153</v>
      </c>
      <c r="H548" s="18">
        <v>6.5489787499999998</v>
      </c>
      <c r="I548" s="18">
        <v>1001.99374875</v>
      </c>
      <c r="J548" s="18">
        <v>2517.0062512499999</v>
      </c>
      <c r="K548" s="22">
        <v>0</v>
      </c>
      <c r="L548" s="22" t="str">
        <f t="shared" si="8"/>
        <v>46054, 2, 13</v>
      </c>
    </row>
    <row r="549" spans="1:12">
      <c r="A549" s="9">
        <v>46054</v>
      </c>
      <c r="B549">
        <v>2</v>
      </c>
      <c r="C549" s="16" t="s">
        <v>56</v>
      </c>
      <c r="D549">
        <v>14</v>
      </c>
      <c r="E549" s="16" t="s">
        <v>51</v>
      </c>
      <c r="F549" s="18">
        <v>3808</v>
      </c>
      <c r="G549" s="22">
        <v>136</v>
      </c>
      <c r="H549" s="18">
        <v>4.5271749835833299</v>
      </c>
      <c r="I549" s="18">
        <v>615.69579776733303</v>
      </c>
      <c r="J549" s="18">
        <v>3192.3042022326599</v>
      </c>
      <c r="K549" s="22">
        <v>0</v>
      </c>
      <c r="L549" s="22" t="str">
        <f t="shared" si="8"/>
        <v>46054, 2, 14</v>
      </c>
    </row>
    <row r="550" spans="1:12">
      <c r="A550" s="9">
        <v>46054</v>
      </c>
      <c r="B550">
        <v>2</v>
      </c>
      <c r="C550" s="16" t="s">
        <v>56</v>
      </c>
      <c r="D550">
        <v>15</v>
      </c>
      <c r="E550" s="16" t="s">
        <v>52</v>
      </c>
      <c r="F550" s="18">
        <v>2350</v>
      </c>
      <c r="G550" s="22">
        <v>94</v>
      </c>
      <c r="H550" s="18">
        <v>2.79714771572222</v>
      </c>
      <c r="I550" s="18">
        <v>262.931885277888</v>
      </c>
      <c r="J550" s="18">
        <v>2087.0681147221098</v>
      </c>
      <c r="K550" s="22">
        <v>0</v>
      </c>
      <c r="L550" s="22" t="str">
        <f t="shared" si="8"/>
        <v>46054, 2, 15</v>
      </c>
    </row>
    <row r="551" spans="1:12">
      <c r="A551" s="9">
        <v>46054</v>
      </c>
      <c r="B551">
        <v>2</v>
      </c>
      <c r="C551" s="16" t="s">
        <v>56</v>
      </c>
      <c r="D551">
        <v>16</v>
      </c>
      <c r="E551" s="16" t="s">
        <v>53</v>
      </c>
      <c r="F551" s="18">
        <v>1440</v>
      </c>
      <c r="G551" s="22">
        <v>160</v>
      </c>
      <c r="H551" s="18">
        <v>1.60552643273809</v>
      </c>
      <c r="I551" s="18">
        <v>256.88422923809497</v>
      </c>
      <c r="J551" s="18">
        <v>1183.1157707619</v>
      </c>
      <c r="K551" s="22">
        <v>0</v>
      </c>
      <c r="L551" s="22" t="str">
        <f t="shared" si="8"/>
        <v>46054, 2, 16</v>
      </c>
    </row>
    <row r="552" spans="1:12">
      <c r="A552" s="9">
        <v>46054</v>
      </c>
      <c r="B552">
        <v>2</v>
      </c>
      <c r="C552" s="16" t="s">
        <v>56</v>
      </c>
      <c r="D552">
        <v>17</v>
      </c>
      <c r="E552" s="16" t="s">
        <v>54</v>
      </c>
      <c r="F552" s="18">
        <v>1376</v>
      </c>
      <c r="G552" s="22">
        <v>172</v>
      </c>
      <c r="H552" s="18">
        <v>1.3802415905000001</v>
      </c>
      <c r="I552" s="18">
        <v>237.40155356599999</v>
      </c>
      <c r="J552" s="18">
        <v>1138.5984464339999</v>
      </c>
      <c r="K552" s="22">
        <v>0</v>
      </c>
      <c r="L552" s="22" t="str">
        <f t="shared" si="8"/>
        <v>46054, 2, 17</v>
      </c>
    </row>
    <row r="553" spans="1:12">
      <c r="A553" s="9">
        <v>46054</v>
      </c>
      <c r="B553">
        <v>2</v>
      </c>
      <c r="C553" s="16" t="s">
        <v>56</v>
      </c>
      <c r="D553">
        <v>18</v>
      </c>
      <c r="E553" s="16" t="s">
        <v>55</v>
      </c>
      <c r="F553" s="18">
        <v>1010.5</v>
      </c>
      <c r="G553" s="22">
        <v>43</v>
      </c>
      <c r="H553" s="18">
        <v>5.7390585041964197</v>
      </c>
      <c r="I553" s="18">
        <v>246.779515680446</v>
      </c>
      <c r="J553" s="18">
        <v>763.72048431955295</v>
      </c>
      <c r="K553" s="22">
        <v>0</v>
      </c>
      <c r="L553" s="22" t="str">
        <f t="shared" si="8"/>
        <v>46054, 2, 18</v>
      </c>
    </row>
    <row r="554" spans="1:12">
      <c r="A554" s="9">
        <v>46082</v>
      </c>
      <c r="B554">
        <v>2</v>
      </c>
      <c r="C554" s="16" t="s">
        <v>56</v>
      </c>
      <c r="D554">
        <v>1</v>
      </c>
      <c r="E554" s="16" t="s">
        <v>38</v>
      </c>
      <c r="F554" s="18">
        <v>5038</v>
      </c>
      <c r="G554" s="22">
        <v>229</v>
      </c>
      <c r="H554" s="18">
        <v>3.84427984210526</v>
      </c>
      <c r="I554" s="18">
        <v>880.34008384210495</v>
      </c>
      <c r="J554" s="18">
        <v>4157.6599161578897</v>
      </c>
      <c r="K554" s="22">
        <v>0</v>
      </c>
      <c r="L554" s="22" t="str">
        <f t="shared" si="8"/>
        <v>46082, 2, 1</v>
      </c>
    </row>
    <row r="555" spans="1:12">
      <c r="A555" s="9">
        <v>46082</v>
      </c>
      <c r="B555">
        <v>2</v>
      </c>
      <c r="C555" s="16" t="s">
        <v>56</v>
      </c>
      <c r="D555">
        <v>2</v>
      </c>
      <c r="E555" s="16" t="s">
        <v>40</v>
      </c>
      <c r="F555" s="18">
        <v>4608</v>
      </c>
      <c r="G555" s="22">
        <v>192</v>
      </c>
      <c r="H555" s="18">
        <v>6.7303868148749997</v>
      </c>
      <c r="I555" s="18">
        <v>1292.2342684560001</v>
      </c>
      <c r="J555" s="18">
        <v>3315.7657315440001</v>
      </c>
      <c r="K555" s="22">
        <v>0</v>
      </c>
      <c r="L555" s="22" t="str">
        <f t="shared" si="8"/>
        <v>46082, 2, 2</v>
      </c>
    </row>
    <row r="556" spans="1:12">
      <c r="A556" s="9">
        <v>46082</v>
      </c>
      <c r="B556">
        <v>2</v>
      </c>
      <c r="C556" s="16" t="s">
        <v>56</v>
      </c>
      <c r="D556">
        <v>3</v>
      </c>
      <c r="E556" s="16" t="s">
        <v>41</v>
      </c>
      <c r="F556" s="18">
        <v>3493.5</v>
      </c>
      <c r="G556" s="22">
        <v>137</v>
      </c>
      <c r="H556" s="18">
        <v>3.5796461158571402</v>
      </c>
      <c r="I556" s="18">
        <v>490.41151787242802</v>
      </c>
      <c r="J556" s="18">
        <v>3003.0884821275699</v>
      </c>
      <c r="K556" s="22">
        <v>0</v>
      </c>
      <c r="L556" s="22" t="str">
        <f t="shared" si="8"/>
        <v>46082, 2, 3</v>
      </c>
    </row>
    <row r="557" spans="1:12">
      <c r="A557" s="9">
        <v>46082</v>
      </c>
      <c r="B557">
        <v>2</v>
      </c>
      <c r="C557" s="16" t="s">
        <v>56</v>
      </c>
      <c r="D557">
        <v>4</v>
      </c>
      <c r="E557" s="16" t="s">
        <v>42</v>
      </c>
      <c r="F557" s="18">
        <v>3570</v>
      </c>
      <c r="G557" s="22">
        <v>170</v>
      </c>
      <c r="H557" s="18">
        <v>7.1671066120000004</v>
      </c>
      <c r="I557" s="18">
        <v>1218.4081240400001</v>
      </c>
      <c r="J557" s="18">
        <v>2351.5918759599999</v>
      </c>
      <c r="K557" s="22">
        <v>0</v>
      </c>
      <c r="L557" s="22" t="str">
        <f t="shared" si="8"/>
        <v>46082, 2, 4</v>
      </c>
    </row>
    <row r="558" spans="1:12">
      <c r="A558" s="9">
        <v>46082</v>
      </c>
      <c r="B558">
        <v>2</v>
      </c>
      <c r="C558" s="16" t="s">
        <v>56</v>
      </c>
      <c r="D558">
        <v>6</v>
      </c>
      <c r="E558" s="16" t="s">
        <v>44</v>
      </c>
      <c r="F558" s="18">
        <v>3841</v>
      </c>
      <c r="G558" s="22">
        <v>167</v>
      </c>
      <c r="H558" s="18">
        <v>4.5503577051250002</v>
      </c>
      <c r="I558" s="18">
        <v>759.90973675587497</v>
      </c>
      <c r="J558" s="18">
        <v>3081.0902632441198</v>
      </c>
      <c r="K558" s="22">
        <v>0</v>
      </c>
      <c r="L558" s="22" t="str">
        <f t="shared" si="8"/>
        <v>46082, 2, 6</v>
      </c>
    </row>
    <row r="559" spans="1:12">
      <c r="A559" s="9">
        <v>46082</v>
      </c>
      <c r="B559">
        <v>2</v>
      </c>
      <c r="C559" s="16" t="s">
        <v>56</v>
      </c>
      <c r="D559">
        <v>8</v>
      </c>
      <c r="E559" s="16" t="s">
        <v>46</v>
      </c>
      <c r="F559" s="18">
        <v>1762.5</v>
      </c>
      <c r="G559" s="22">
        <v>141</v>
      </c>
      <c r="H559" s="18">
        <v>0.70670688145833305</v>
      </c>
      <c r="I559" s="18">
        <v>99.645670285624902</v>
      </c>
      <c r="J559" s="18">
        <v>1662.8543297143699</v>
      </c>
      <c r="K559" s="22">
        <v>0</v>
      </c>
      <c r="L559" s="22" t="str">
        <f t="shared" si="8"/>
        <v>46082, 2, 8</v>
      </c>
    </row>
    <row r="560" spans="1:12">
      <c r="A560" s="9">
        <v>46082</v>
      </c>
      <c r="B560">
        <v>2</v>
      </c>
      <c r="C560" s="16" t="s">
        <v>56</v>
      </c>
      <c r="D560">
        <v>10</v>
      </c>
      <c r="E560" s="16" t="s">
        <v>57</v>
      </c>
      <c r="F560" s="18">
        <v>1316</v>
      </c>
      <c r="G560" s="22">
        <v>94</v>
      </c>
      <c r="H560" s="18">
        <v>2.1516241474571398</v>
      </c>
      <c r="I560" s="18">
        <v>202.252669860971</v>
      </c>
      <c r="J560" s="18">
        <v>1113.7473301390201</v>
      </c>
      <c r="K560" s="22">
        <v>0</v>
      </c>
      <c r="L560" s="22" t="str">
        <f t="shared" si="8"/>
        <v>46082, 2, 10</v>
      </c>
    </row>
    <row r="561" spans="1:12">
      <c r="A561" s="9">
        <v>46082</v>
      </c>
      <c r="B561">
        <v>2</v>
      </c>
      <c r="C561" s="16" t="s">
        <v>56</v>
      </c>
      <c r="D561">
        <v>11</v>
      </c>
      <c r="E561" s="16" t="s">
        <v>48</v>
      </c>
      <c r="F561" s="18">
        <v>4326</v>
      </c>
      <c r="G561" s="22">
        <v>206</v>
      </c>
      <c r="H561" s="18">
        <v>1.8920819124999999</v>
      </c>
      <c r="I561" s="18">
        <v>389.76887397500002</v>
      </c>
      <c r="J561" s="18">
        <v>3936.2311260249999</v>
      </c>
      <c r="K561" s="22">
        <v>0</v>
      </c>
      <c r="L561" s="22" t="str">
        <f t="shared" si="8"/>
        <v>46082, 2, 11</v>
      </c>
    </row>
    <row r="562" spans="1:12">
      <c r="A562" s="9">
        <v>46082</v>
      </c>
      <c r="B562">
        <v>2</v>
      </c>
      <c r="C562" s="16" t="s">
        <v>56</v>
      </c>
      <c r="D562">
        <v>12</v>
      </c>
      <c r="E562" s="16" t="s">
        <v>49</v>
      </c>
      <c r="F562" s="18">
        <v>3102</v>
      </c>
      <c r="G562" s="22">
        <v>141</v>
      </c>
      <c r="H562" s="18">
        <v>2.59527374860714</v>
      </c>
      <c r="I562" s="18">
        <v>365.933598553607</v>
      </c>
      <c r="J562" s="18">
        <v>2736.06640144639</v>
      </c>
      <c r="K562" s="22">
        <v>0</v>
      </c>
      <c r="L562" s="22" t="str">
        <f t="shared" si="8"/>
        <v>46082, 2, 12</v>
      </c>
    </row>
    <row r="563" spans="1:12">
      <c r="A563" s="9">
        <v>46082</v>
      </c>
      <c r="B563">
        <v>2</v>
      </c>
      <c r="C563" s="16" t="s">
        <v>56</v>
      </c>
      <c r="D563">
        <v>13</v>
      </c>
      <c r="E563" s="16" t="s">
        <v>50</v>
      </c>
      <c r="F563" s="18">
        <v>3427</v>
      </c>
      <c r="G563" s="22">
        <v>149</v>
      </c>
      <c r="H563" s="18">
        <v>6.5718167142857098</v>
      </c>
      <c r="I563" s="18">
        <v>979.20069042857097</v>
      </c>
      <c r="J563" s="18">
        <v>2447.7993095714201</v>
      </c>
      <c r="K563" s="22">
        <v>0</v>
      </c>
      <c r="L563" s="22" t="str">
        <f t="shared" si="8"/>
        <v>46082, 2, 13</v>
      </c>
    </row>
    <row r="564" spans="1:12">
      <c r="A564" s="9">
        <v>46082</v>
      </c>
      <c r="B564">
        <v>2</v>
      </c>
      <c r="C564" s="16" t="s">
        <v>56</v>
      </c>
      <c r="D564">
        <v>14</v>
      </c>
      <c r="E564" s="16" t="s">
        <v>51</v>
      </c>
      <c r="F564" s="18">
        <v>3220</v>
      </c>
      <c r="G564" s="22">
        <v>115</v>
      </c>
      <c r="H564" s="18">
        <v>4.5252028284749999</v>
      </c>
      <c r="I564" s="18">
        <v>520.39832527462499</v>
      </c>
      <c r="J564" s="18">
        <v>2699.6016747253698</v>
      </c>
      <c r="K564" s="22">
        <v>0</v>
      </c>
      <c r="L564" s="22" t="str">
        <f t="shared" si="8"/>
        <v>46082, 2, 14</v>
      </c>
    </row>
    <row r="565" spans="1:12">
      <c r="A565" s="9">
        <v>46082</v>
      </c>
      <c r="B565">
        <v>2</v>
      </c>
      <c r="C565" s="16" t="s">
        <v>56</v>
      </c>
      <c r="D565">
        <v>15</v>
      </c>
      <c r="E565" s="16" t="s">
        <v>52</v>
      </c>
      <c r="F565" s="18">
        <v>3250</v>
      </c>
      <c r="G565" s="22">
        <v>130</v>
      </c>
      <c r="H565" s="18">
        <v>2.8089136552</v>
      </c>
      <c r="I565" s="18">
        <v>365.15877517600001</v>
      </c>
      <c r="J565" s="18">
        <v>2884.8412248240002</v>
      </c>
      <c r="K565" s="22">
        <v>0</v>
      </c>
      <c r="L565" s="22" t="str">
        <f t="shared" si="8"/>
        <v>46082, 2, 15</v>
      </c>
    </row>
    <row r="566" spans="1:12">
      <c r="A566" s="9">
        <v>46082</v>
      </c>
      <c r="B566">
        <v>2</v>
      </c>
      <c r="C566" s="16" t="s">
        <v>56</v>
      </c>
      <c r="D566">
        <v>16</v>
      </c>
      <c r="E566" s="16" t="s">
        <v>53</v>
      </c>
      <c r="F566" s="18">
        <v>2115</v>
      </c>
      <c r="G566" s="22">
        <v>235</v>
      </c>
      <c r="H566" s="18">
        <v>1.6211600475000001</v>
      </c>
      <c r="I566" s="18">
        <v>380.97261116250002</v>
      </c>
      <c r="J566" s="18">
        <v>1734.02738883749</v>
      </c>
      <c r="K566" s="22">
        <v>0</v>
      </c>
      <c r="L566" s="22" t="str">
        <f t="shared" si="8"/>
        <v>46082, 2, 16</v>
      </c>
    </row>
    <row r="567" spans="1:12">
      <c r="A567" s="9">
        <v>46082</v>
      </c>
      <c r="B567">
        <v>2</v>
      </c>
      <c r="C567" s="16" t="s">
        <v>56</v>
      </c>
      <c r="D567">
        <v>17</v>
      </c>
      <c r="E567" s="16" t="s">
        <v>54</v>
      </c>
      <c r="F567" s="18">
        <v>2000</v>
      </c>
      <c r="G567" s="22">
        <v>250</v>
      </c>
      <c r="H567" s="18">
        <v>1.39755120461538</v>
      </c>
      <c r="I567" s="18">
        <v>349.387801153846</v>
      </c>
      <c r="J567" s="18">
        <v>1650.61219884615</v>
      </c>
      <c r="K567" s="22">
        <v>0</v>
      </c>
      <c r="L567" s="22" t="str">
        <f t="shared" si="8"/>
        <v>46082, 2, 17</v>
      </c>
    </row>
    <row r="568" spans="1:12">
      <c r="A568" s="9">
        <v>46082</v>
      </c>
      <c r="B568">
        <v>2</v>
      </c>
      <c r="C568" s="16" t="s">
        <v>56</v>
      </c>
      <c r="D568">
        <v>18</v>
      </c>
      <c r="E568" s="16" t="s">
        <v>55</v>
      </c>
      <c r="F568" s="18">
        <v>1504</v>
      </c>
      <c r="G568" s="22">
        <v>64</v>
      </c>
      <c r="H568" s="18">
        <v>5.7643272665999996</v>
      </c>
      <c r="I568" s="18">
        <v>368.91694506239998</v>
      </c>
      <c r="J568" s="18">
        <v>1135.0830549376001</v>
      </c>
      <c r="K568" s="22">
        <v>0</v>
      </c>
      <c r="L568" s="22" t="str">
        <f t="shared" si="8"/>
        <v>46082, 2, 18</v>
      </c>
    </row>
    <row r="569" spans="1:12">
      <c r="A569" s="9">
        <v>46113</v>
      </c>
      <c r="B569">
        <v>2</v>
      </c>
      <c r="C569" s="16" t="s">
        <v>56</v>
      </c>
      <c r="D569">
        <v>1</v>
      </c>
      <c r="E569" s="16" t="s">
        <v>38</v>
      </c>
      <c r="F569" s="18">
        <v>5368</v>
      </c>
      <c r="G569" s="22">
        <v>244</v>
      </c>
      <c r="H569" s="18">
        <v>3.8747436666666601</v>
      </c>
      <c r="I569" s="18">
        <v>945.43745466666599</v>
      </c>
      <c r="J569" s="18">
        <v>4422.5625453333296</v>
      </c>
      <c r="K569" s="22">
        <v>0</v>
      </c>
      <c r="L569" s="22" t="str">
        <f t="shared" si="8"/>
        <v>46113, 2, 1</v>
      </c>
    </row>
    <row r="570" spans="1:12">
      <c r="A570" s="9">
        <v>46113</v>
      </c>
      <c r="B570">
        <v>2</v>
      </c>
      <c r="C570" s="16" t="s">
        <v>56</v>
      </c>
      <c r="D570">
        <v>2</v>
      </c>
      <c r="E570" s="16" t="s">
        <v>40</v>
      </c>
      <c r="F570" s="18">
        <v>5520</v>
      </c>
      <c r="G570" s="22">
        <v>230</v>
      </c>
      <c r="H570" s="18">
        <v>6.7162770709333302</v>
      </c>
      <c r="I570" s="18">
        <v>1544.7437263146601</v>
      </c>
      <c r="J570" s="18">
        <v>3975.2562736853301</v>
      </c>
      <c r="K570" s="22">
        <v>0</v>
      </c>
      <c r="L570" s="22" t="str">
        <f t="shared" si="8"/>
        <v>46113, 2, 2</v>
      </c>
    </row>
    <row r="571" spans="1:12">
      <c r="A571" s="9">
        <v>46113</v>
      </c>
      <c r="B571">
        <v>2</v>
      </c>
      <c r="C571" s="16" t="s">
        <v>56</v>
      </c>
      <c r="D571">
        <v>3</v>
      </c>
      <c r="E571" s="16" t="s">
        <v>41</v>
      </c>
      <c r="F571" s="18">
        <v>3519</v>
      </c>
      <c r="G571" s="22">
        <v>138</v>
      </c>
      <c r="H571" s="18">
        <v>3.5553190509230701</v>
      </c>
      <c r="I571" s="18">
        <v>490.63402902738397</v>
      </c>
      <c r="J571" s="18">
        <v>3028.3659709726098</v>
      </c>
      <c r="K571" s="22">
        <v>0</v>
      </c>
      <c r="L571" s="22" t="str">
        <f t="shared" si="8"/>
        <v>46113, 2, 3</v>
      </c>
    </row>
    <row r="572" spans="1:12">
      <c r="A572" s="9">
        <v>46113</v>
      </c>
      <c r="B572">
        <v>2</v>
      </c>
      <c r="C572" s="16" t="s">
        <v>56</v>
      </c>
      <c r="D572">
        <v>4</v>
      </c>
      <c r="E572" s="16" t="s">
        <v>42</v>
      </c>
      <c r="F572" s="18">
        <v>3906</v>
      </c>
      <c r="G572" s="22">
        <v>186</v>
      </c>
      <c r="H572" s="18">
        <v>6.9923801049999996</v>
      </c>
      <c r="I572" s="18">
        <v>1300.5826995299999</v>
      </c>
      <c r="J572" s="18">
        <v>2605.4173004700001</v>
      </c>
      <c r="K572" s="22">
        <v>0</v>
      </c>
      <c r="L572" s="22" t="str">
        <f t="shared" si="8"/>
        <v>46113, 2, 4</v>
      </c>
    </row>
    <row r="573" spans="1:12">
      <c r="A573" s="9">
        <v>46113</v>
      </c>
      <c r="B573">
        <v>2</v>
      </c>
      <c r="C573" s="16" t="s">
        <v>56</v>
      </c>
      <c r="D573">
        <v>6</v>
      </c>
      <c r="E573" s="16" t="s">
        <v>44</v>
      </c>
      <c r="F573" s="18">
        <v>3611</v>
      </c>
      <c r="G573" s="22">
        <v>157</v>
      </c>
      <c r="H573" s="18">
        <v>4.6003676000937501</v>
      </c>
      <c r="I573" s="18">
        <v>722.25771321471802</v>
      </c>
      <c r="J573" s="18">
        <v>2888.7422867852802</v>
      </c>
      <c r="K573" s="22">
        <v>0</v>
      </c>
      <c r="L573" s="22" t="str">
        <f t="shared" si="8"/>
        <v>46113, 2, 6</v>
      </c>
    </row>
    <row r="574" spans="1:12">
      <c r="A574" s="9">
        <v>46113</v>
      </c>
      <c r="B574">
        <v>2</v>
      </c>
      <c r="C574" s="16" t="s">
        <v>56</v>
      </c>
      <c r="D574">
        <v>8</v>
      </c>
      <c r="E574" s="16" t="s">
        <v>46</v>
      </c>
      <c r="F574" s="18">
        <v>1800</v>
      </c>
      <c r="G574" s="22">
        <v>144</v>
      </c>
      <c r="H574" s="18">
        <v>0.71271936595238095</v>
      </c>
      <c r="I574" s="18">
        <v>102.63158869714201</v>
      </c>
      <c r="J574" s="18">
        <v>1697.3684113028501</v>
      </c>
      <c r="K574" s="22">
        <v>0</v>
      </c>
      <c r="L574" s="22" t="str">
        <f t="shared" si="8"/>
        <v>46113, 2, 8</v>
      </c>
    </row>
    <row r="575" spans="1:12">
      <c r="A575" s="9">
        <v>46113</v>
      </c>
      <c r="B575">
        <v>2</v>
      </c>
      <c r="C575" s="16" t="s">
        <v>56</v>
      </c>
      <c r="D575">
        <v>10</v>
      </c>
      <c r="E575" s="16" t="s">
        <v>57</v>
      </c>
      <c r="F575" s="18">
        <v>1484</v>
      </c>
      <c r="G575" s="22">
        <v>106</v>
      </c>
      <c r="H575" s="18">
        <v>2.0345980925684199</v>
      </c>
      <c r="I575" s="18">
        <v>215.66739781225201</v>
      </c>
      <c r="J575" s="18">
        <v>1268.3326021877399</v>
      </c>
      <c r="K575" s="22">
        <v>0</v>
      </c>
      <c r="L575" s="22" t="str">
        <f t="shared" si="8"/>
        <v>46113, 2, 10</v>
      </c>
    </row>
    <row r="576" spans="1:12">
      <c r="A576" s="9">
        <v>46113</v>
      </c>
      <c r="B576">
        <v>2</v>
      </c>
      <c r="C576" s="16" t="s">
        <v>56</v>
      </c>
      <c r="D576">
        <v>11</v>
      </c>
      <c r="E576" s="16" t="s">
        <v>48</v>
      </c>
      <c r="F576" s="18">
        <v>4767</v>
      </c>
      <c r="G576" s="22">
        <v>227</v>
      </c>
      <c r="H576" s="18">
        <v>1.8996095875000001</v>
      </c>
      <c r="I576" s="18">
        <v>431.2113763625</v>
      </c>
      <c r="J576" s="18">
        <v>4335.7886236374998</v>
      </c>
      <c r="K576" s="22">
        <v>0</v>
      </c>
      <c r="L576" s="22" t="str">
        <f t="shared" si="8"/>
        <v>46113, 2, 11</v>
      </c>
    </row>
    <row r="577" spans="1:12">
      <c r="A577" s="9">
        <v>46113</v>
      </c>
      <c r="B577">
        <v>2</v>
      </c>
      <c r="C577" s="16" t="s">
        <v>56</v>
      </c>
      <c r="D577">
        <v>12</v>
      </c>
      <c r="E577" s="16" t="s">
        <v>49</v>
      </c>
      <c r="F577" s="18">
        <v>2772</v>
      </c>
      <c r="G577" s="22">
        <v>126</v>
      </c>
      <c r="H577" s="18">
        <v>2.5837294262142798</v>
      </c>
      <c r="I577" s="18">
        <v>325.54990770299997</v>
      </c>
      <c r="J577" s="18">
        <v>2446.4500922969901</v>
      </c>
      <c r="K577" s="22">
        <v>0</v>
      </c>
      <c r="L577" s="22" t="str">
        <f t="shared" si="8"/>
        <v>46113, 2, 12</v>
      </c>
    </row>
    <row r="578" spans="1:12">
      <c r="A578" s="9">
        <v>46113</v>
      </c>
      <c r="B578">
        <v>2</v>
      </c>
      <c r="C578" s="16" t="s">
        <v>56</v>
      </c>
      <c r="D578">
        <v>13</v>
      </c>
      <c r="E578" s="16" t="s">
        <v>50</v>
      </c>
      <c r="F578" s="18">
        <v>3956</v>
      </c>
      <c r="G578" s="22">
        <v>172</v>
      </c>
      <c r="H578" s="18">
        <v>6.6082180769230696</v>
      </c>
      <c r="I578" s="18">
        <v>1136.61350923076</v>
      </c>
      <c r="J578" s="18">
        <v>2819.38649076923</v>
      </c>
      <c r="K578" s="22">
        <v>0</v>
      </c>
      <c r="L578" s="22" t="str">
        <f t="shared" si="8"/>
        <v>46113, 2, 13</v>
      </c>
    </row>
    <row r="579" spans="1:12">
      <c r="A579" s="9">
        <v>46113</v>
      </c>
      <c r="B579">
        <v>2</v>
      </c>
      <c r="C579" s="16" t="s">
        <v>56</v>
      </c>
      <c r="D579">
        <v>14</v>
      </c>
      <c r="E579" s="16" t="s">
        <v>51</v>
      </c>
      <c r="F579" s="18">
        <v>4060</v>
      </c>
      <c r="G579" s="22">
        <v>145</v>
      </c>
      <c r="H579" s="18">
        <v>4.5136565508771902</v>
      </c>
      <c r="I579" s="18">
        <v>654.48019987719204</v>
      </c>
      <c r="J579" s="18">
        <v>3405.5198001228</v>
      </c>
      <c r="K579" s="22">
        <v>0</v>
      </c>
      <c r="L579" s="22" t="str">
        <f t="shared" ref="L579:L642" si="9">(A579&amp; ", "&amp; B579&amp; ", "&amp; D579)</f>
        <v>46113, 2, 14</v>
      </c>
    </row>
    <row r="580" spans="1:12">
      <c r="A580" s="9">
        <v>46113</v>
      </c>
      <c r="B580">
        <v>2</v>
      </c>
      <c r="C580" s="16" t="s">
        <v>56</v>
      </c>
      <c r="D580">
        <v>15</v>
      </c>
      <c r="E580" s="16" t="s">
        <v>52</v>
      </c>
      <c r="F580" s="18">
        <v>3325</v>
      </c>
      <c r="G580" s="22">
        <v>133</v>
      </c>
      <c r="H580" s="18">
        <v>2.79280544415789</v>
      </c>
      <c r="I580" s="18">
        <v>371.44312407299901</v>
      </c>
      <c r="J580" s="18">
        <v>2953.556875927</v>
      </c>
      <c r="K580" s="22">
        <v>0</v>
      </c>
      <c r="L580" s="22" t="str">
        <f t="shared" si="9"/>
        <v>46113, 2, 15</v>
      </c>
    </row>
    <row r="581" spans="1:12">
      <c r="A581" s="9">
        <v>46113</v>
      </c>
      <c r="B581">
        <v>2</v>
      </c>
      <c r="C581" s="16" t="s">
        <v>56</v>
      </c>
      <c r="D581">
        <v>16</v>
      </c>
      <c r="E581" s="16" t="s">
        <v>53</v>
      </c>
      <c r="F581" s="18">
        <v>1728</v>
      </c>
      <c r="G581" s="22">
        <v>192</v>
      </c>
      <c r="H581" s="18">
        <v>1.6131281447916599</v>
      </c>
      <c r="I581" s="18">
        <v>309.72060379999903</v>
      </c>
      <c r="J581" s="18">
        <v>1418.2793962000001</v>
      </c>
      <c r="K581" s="22">
        <v>0</v>
      </c>
      <c r="L581" s="22" t="str">
        <f t="shared" si="9"/>
        <v>46113, 2, 16</v>
      </c>
    </row>
    <row r="582" spans="1:12">
      <c r="A582" s="9">
        <v>46113</v>
      </c>
      <c r="B582">
        <v>2</v>
      </c>
      <c r="C582" s="16" t="s">
        <v>56</v>
      </c>
      <c r="D582">
        <v>17</v>
      </c>
      <c r="E582" s="16" t="s">
        <v>54</v>
      </c>
      <c r="F582" s="18">
        <v>2272</v>
      </c>
      <c r="G582" s="22">
        <v>284</v>
      </c>
      <c r="H582" s="18">
        <v>1.3808829337499999</v>
      </c>
      <c r="I582" s="18">
        <v>392.17075318500002</v>
      </c>
      <c r="J582" s="18">
        <v>1879.829246815</v>
      </c>
      <c r="K582" s="22">
        <v>0</v>
      </c>
      <c r="L582" s="22" t="str">
        <f t="shared" si="9"/>
        <v>46113, 2, 17</v>
      </c>
    </row>
    <row r="583" spans="1:12">
      <c r="A583" s="9">
        <v>46113</v>
      </c>
      <c r="B583">
        <v>2</v>
      </c>
      <c r="C583" s="16" t="s">
        <v>56</v>
      </c>
      <c r="D583">
        <v>18</v>
      </c>
      <c r="E583" s="16" t="s">
        <v>55</v>
      </c>
      <c r="F583" s="18">
        <v>2138.5</v>
      </c>
      <c r="G583" s="22">
        <v>91</v>
      </c>
      <c r="H583" s="18">
        <v>5.8039907882666597</v>
      </c>
      <c r="I583" s="18">
        <v>528.16316173226596</v>
      </c>
      <c r="J583" s="18">
        <v>1610.3368382677299</v>
      </c>
      <c r="K583" s="22">
        <v>0</v>
      </c>
      <c r="L583" s="22" t="str">
        <f t="shared" si="9"/>
        <v>46113, 2, 18</v>
      </c>
    </row>
    <row r="584" spans="1:12">
      <c r="A584" s="9">
        <v>46143</v>
      </c>
      <c r="B584">
        <v>2</v>
      </c>
      <c r="C584" s="16" t="s">
        <v>56</v>
      </c>
      <c r="D584">
        <v>1</v>
      </c>
      <c r="E584" s="16" t="s">
        <v>38</v>
      </c>
      <c r="F584" s="18">
        <v>6798</v>
      </c>
      <c r="G584" s="22">
        <v>309</v>
      </c>
      <c r="H584" s="18">
        <v>3.8667433194444398</v>
      </c>
      <c r="I584" s="18">
        <v>1194.82368570833</v>
      </c>
      <c r="J584" s="18">
        <v>5603.1763142916598</v>
      </c>
      <c r="K584" s="22">
        <v>0</v>
      </c>
      <c r="L584" s="22" t="str">
        <f t="shared" si="9"/>
        <v>46143, 2, 1</v>
      </c>
    </row>
    <row r="585" spans="1:12">
      <c r="A585" s="9">
        <v>46143</v>
      </c>
      <c r="B585">
        <v>2</v>
      </c>
      <c r="C585" s="16" t="s">
        <v>56</v>
      </c>
      <c r="D585">
        <v>2</v>
      </c>
      <c r="E585" s="16" t="s">
        <v>40</v>
      </c>
      <c r="F585" s="18">
        <v>6432</v>
      </c>
      <c r="G585" s="22">
        <v>268</v>
      </c>
      <c r="H585" s="18">
        <v>6.6939875672857099</v>
      </c>
      <c r="I585" s="18">
        <v>1793.9886680325701</v>
      </c>
      <c r="J585" s="18">
        <v>4638.0113319674201</v>
      </c>
      <c r="K585" s="22">
        <v>0</v>
      </c>
      <c r="L585" s="22" t="str">
        <f t="shared" si="9"/>
        <v>46143, 2, 2</v>
      </c>
    </row>
    <row r="586" spans="1:12">
      <c r="A586" s="9">
        <v>46143</v>
      </c>
      <c r="B586">
        <v>2</v>
      </c>
      <c r="C586" s="16" t="s">
        <v>56</v>
      </c>
      <c r="D586">
        <v>3</v>
      </c>
      <c r="E586" s="16" t="s">
        <v>41</v>
      </c>
      <c r="F586" s="18">
        <v>3085.5</v>
      </c>
      <c r="G586" s="22">
        <v>121</v>
      </c>
      <c r="H586" s="18">
        <v>3.581351835</v>
      </c>
      <c r="I586" s="18">
        <v>433.34357203500002</v>
      </c>
      <c r="J586" s="18">
        <v>2652.1564279650001</v>
      </c>
      <c r="K586" s="22">
        <v>0</v>
      </c>
      <c r="L586" s="22" t="str">
        <f t="shared" si="9"/>
        <v>46143, 2, 3</v>
      </c>
    </row>
    <row r="587" spans="1:12">
      <c r="A587" s="9">
        <v>46143</v>
      </c>
      <c r="B587">
        <v>2</v>
      </c>
      <c r="C587" s="16" t="s">
        <v>56</v>
      </c>
      <c r="D587">
        <v>4</v>
      </c>
      <c r="E587" s="16" t="s">
        <v>42</v>
      </c>
      <c r="F587" s="18">
        <v>5040</v>
      </c>
      <c r="G587" s="22">
        <v>240</v>
      </c>
      <c r="H587" s="18">
        <v>6.8334348458000003</v>
      </c>
      <c r="I587" s="18">
        <v>1640.0243629920001</v>
      </c>
      <c r="J587" s="18">
        <v>3399.9756370079999</v>
      </c>
      <c r="K587" s="22">
        <v>0</v>
      </c>
      <c r="L587" s="22" t="str">
        <f t="shared" si="9"/>
        <v>46143, 2, 4</v>
      </c>
    </row>
    <row r="588" spans="1:12">
      <c r="A588" s="9">
        <v>46143</v>
      </c>
      <c r="B588">
        <v>2</v>
      </c>
      <c r="C588" s="16" t="s">
        <v>56</v>
      </c>
      <c r="D588">
        <v>6</v>
      </c>
      <c r="E588" s="16" t="s">
        <v>44</v>
      </c>
      <c r="F588" s="18">
        <v>3634</v>
      </c>
      <c r="G588" s="22">
        <v>158</v>
      </c>
      <c r="H588" s="18">
        <v>4.5993132442058799</v>
      </c>
      <c r="I588" s="18">
        <v>726.69149258452899</v>
      </c>
      <c r="J588" s="18">
        <v>2907.3085074154701</v>
      </c>
      <c r="K588" s="22">
        <v>0</v>
      </c>
      <c r="L588" s="22" t="str">
        <f t="shared" si="9"/>
        <v>46143, 2, 6</v>
      </c>
    </row>
    <row r="589" spans="1:12">
      <c r="A589" s="9">
        <v>46143</v>
      </c>
      <c r="B589">
        <v>2</v>
      </c>
      <c r="C589" s="16" t="s">
        <v>56</v>
      </c>
      <c r="D589">
        <v>8</v>
      </c>
      <c r="E589" s="16" t="s">
        <v>46</v>
      </c>
      <c r="F589" s="18">
        <v>2000</v>
      </c>
      <c r="G589" s="22">
        <v>160</v>
      </c>
      <c r="H589" s="18">
        <v>0.703993571428571</v>
      </c>
      <c r="I589" s="18">
        <v>112.638971428571</v>
      </c>
      <c r="J589" s="18">
        <v>1887.3610285714201</v>
      </c>
      <c r="K589" s="22">
        <v>0</v>
      </c>
      <c r="L589" s="22" t="str">
        <f t="shared" si="9"/>
        <v>46143, 2, 8</v>
      </c>
    </row>
    <row r="590" spans="1:12">
      <c r="A590" s="9">
        <v>46143</v>
      </c>
      <c r="B590">
        <v>2</v>
      </c>
      <c r="C590" s="16" t="s">
        <v>56</v>
      </c>
      <c r="D590">
        <v>10</v>
      </c>
      <c r="E590" s="16" t="s">
        <v>57</v>
      </c>
      <c r="F590" s="18">
        <v>1750</v>
      </c>
      <c r="G590" s="22">
        <v>125</v>
      </c>
      <c r="H590" s="18">
        <v>1.9254422657400001</v>
      </c>
      <c r="I590" s="18">
        <v>240.6802832175</v>
      </c>
      <c r="J590" s="18">
        <v>1509.3197167825001</v>
      </c>
      <c r="K590" s="22">
        <v>0</v>
      </c>
      <c r="L590" s="22" t="str">
        <f t="shared" si="9"/>
        <v>46143, 2, 10</v>
      </c>
    </row>
    <row r="591" spans="1:12">
      <c r="A591" s="9">
        <v>46143</v>
      </c>
      <c r="B591">
        <v>2</v>
      </c>
      <c r="C591" s="16" t="s">
        <v>56</v>
      </c>
      <c r="D591">
        <v>11</v>
      </c>
      <c r="E591" s="16" t="s">
        <v>48</v>
      </c>
      <c r="F591" s="18">
        <v>5712</v>
      </c>
      <c r="G591" s="22">
        <v>272</v>
      </c>
      <c r="H591" s="18">
        <v>1.87778520833333</v>
      </c>
      <c r="I591" s="18">
        <v>510.75757666666601</v>
      </c>
      <c r="J591" s="18">
        <v>5201.2424233333304</v>
      </c>
      <c r="K591" s="22">
        <v>0</v>
      </c>
      <c r="L591" s="22" t="str">
        <f t="shared" si="9"/>
        <v>46143, 2, 11</v>
      </c>
    </row>
    <row r="592" spans="1:12">
      <c r="A592" s="9">
        <v>46143</v>
      </c>
      <c r="B592">
        <v>2</v>
      </c>
      <c r="C592" s="16" t="s">
        <v>56</v>
      </c>
      <c r="D592">
        <v>12</v>
      </c>
      <c r="E592" s="16" t="s">
        <v>49</v>
      </c>
      <c r="F592" s="18">
        <v>3476</v>
      </c>
      <c r="G592" s="22">
        <v>158</v>
      </c>
      <c r="H592" s="18">
        <v>2.5592058396250001</v>
      </c>
      <c r="I592" s="18">
        <v>404.35452266074998</v>
      </c>
      <c r="J592" s="18">
        <v>3071.6454773392502</v>
      </c>
      <c r="K592" s="22">
        <v>0</v>
      </c>
      <c r="L592" s="22" t="str">
        <f t="shared" si="9"/>
        <v>46143, 2, 12</v>
      </c>
    </row>
    <row r="593" spans="1:12">
      <c r="A593" s="9">
        <v>46143</v>
      </c>
      <c r="B593">
        <v>2</v>
      </c>
      <c r="C593" s="16" t="s">
        <v>56</v>
      </c>
      <c r="D593">
        <v>13</v>
      </c>
      <c r="E593" s="16" t="s">
        <v>50</v>
      </c>
      <c r="F593" s="18">
        <v>3933</v>
      </c>
      <c r="G593" s="22">
        <v>171</v>
      </c>
      <c r="H593" s="18">
        <v>6.5925970833333301</v>
      </c>
      <c r="I593" s="18">
        <v>1127.33410124999</v>
      </c>
      <c r="J593" s="18">
        <v>2805.66589875</v>
      </c>
      <c r="K593" s="22">
        <v>0</v>
      </c>
      <c r="L593" s="22" t="str">
        <f t="shared" si="9"/>
        <v>46143, 2, 13</v>
      </c>
    </row>
    <row r="594" spans="1:12">
      <c r="A594" s="9">
        <v>46143</v>
      </c>
      <c r="B594">
        <v>2</v>
      </c>
      <c r="C594" s="16" t="s">
        <v>56</v>
      </c>
      <c r="D594">
        <v>14</v>
      </c>
      <c r="E594" s="16" t="s">
        <v>51</v>
      </c>
      <c r="F594" s="18">
        <v>3780</v>
      </c>
      <c r="G594" s="22">
        <v>135</v>
      </c>
      <c r="H594" s="18">
        <v>4.5027070517017496</v>
      </c>
      <c r="I594" s="18">
        <v>607.86545197973601</v>
      </c>
      <c r="J594" s="18">
        <v>3172.1345480202599</v>
      </c>
      <c r="K594" s="22">
        <v>0</v>
      </c>
      <c r="L594" s="22" t="str">
        <f t="shared" si="9"/>
        <v>46143, 2, 14</v>
      </c>
    </row>
    <row r="595" spans="1:12">
      <c r="A595" s="9">
        <v>46143</v>
      </c>
      <c r="B595">
        <v>2</v>
      </c>
      <c r="C595" s="16" t="s">
        <v>56</v>
      </c>
      <c r="D595">
        <v>15</v>
      </c>
      <c r="E595" s="16" t="s">
        <v>52</v>
      </c>
      <c r="F595" s="18">
        <v>4100</v>
      </c>
      <c r="G595" s="22">
        <v>164</v>
      </c>
      <c r="H595" s="18">
        <v>2.7906117814736802</v>
      </c>
      <c r="I595" s="18">
        <v>457.66033216168398</v>
      </c>
      <c r="J595" s="18">
        <v>3642.3396678383101</v>
      </c>
      <c r="K595" s="22">
        <v>0</v>
      </c>
      <c r="L595" s="22" t="str">
        <f t="shared" si="9"/>
        <v>46143, 2, 15</v>
      </c>
    </row>
    <row r="596" spans="1:12">
      <c r="A596" s="9">
        <v>46143</v>
      </c>
      <c r="B596">
        <v>2</v>
      </c>
      <c r="C596" s="16" t="s">
        <v>56</v>
      </c>
      <c r="D596">
        <v>16</v>
      </c>
      <c r="E596" s="16" t="s">
        <v>53</v>
      </c>
      <c r="F596" s="18">
        <v>2124</v>
      </c>
      <c r="G596" s="22">
        <v>236</v>
      </c>
      <c r="H596" s="18">
        <v>1.60725363055555</v>
      </c>
      <c r="I596" s="18">
        <v>379.311856811111</v>
      </c>
      <c r="J596" s="18">
        <v>1744.6881431888801</v>
      </c>
      <c r="K596" s="22">
        <v>0</v>
      </c>
      <c r="L596" s="22" t="str">
        <f t="shared" si="9"/>
        <v>46143, 2, 16</v>
      </c>
    </row>
    <row r="597" spans="1:12">
      <c r="A597" s="9">
        <v>46143</v>
      </c>
      <c r="B597">
        <v>2</v>
      </c>
      <c r="C597" s="16" t="s">
        <v>56</v>
      </c>
      <c r="D597">
        <v>17</v>
      </c>
      <c r="E597" s="16" t="s">
        <v>54</v>
      </c>
      <c r="F597" s="18">
        <v>2744</v>
      </c>
      <c r="G597" s="22">
        <v>343</v>
      </c>
      <c r="H597" s="18">
        <v>1.37073132083333</v>
      </c>
      <c r="I597" s="18">
        <v>470.16084304583302</v>
      </c>
      <c r="J597" s="18">
        <v>2273.83915695416</v>
      </c>
      <c r="K597" s="22">
        <v>0</v>
      </c>
      <c r="L597" s="22" t="str">
        <f t="shared" si="9"/>
        <v>46143, 2, 17</v>
      </c>
    </row>
    <row r="598" spans="1:12">
      <c r="A598" s="9">
        <v>46143</v>
      </c>
      <c r="B598">
        <v>2</v>
      </c>
      <c r="C598" s="16" t="s">
        <v>56</v>
      </c>
      <c r="D598">
        <v>18</v>
      </c>
      <c r="E598" s="16" t="s">
        <v>55</v>
      </c>
      <c r="F598" s="18">
        <v>3219.5</v>
      </c>
      <c r="G598" s="22">
        <v>137</v>
      </c>
      <c r="H598" s="18">
        <v>5.8287305830714198</v>
      </c>
      <c r="I598" s="18">
        <v>798.53608988078497</v>
      </c>
      <c r="J598" s="18">
        <v>2420.9639101192101</v>
      </c>
      <c r="K598" s="22">
        <v>0</v>
      </c>
      <c r="L598" s="22" t="str">
        <f t="shared" si="9"/>
        <v>46143, 2, 18</v>
      </c>
    </row>
    <row r="599" spans="1:12">
      <c r="A599" s="9">
        <v>46174</v>
      </c>
      <c r="B599">
        <v>2</v>
      </c>
      <c r="C599" s="16" t="s">
        <v>56</v>
      </c>
      <c r="D599">
        <v>1</v>
      </c>
      <c r="E599" s="16" t="s">
        <v>38</v>
      </c>
      <c r="F599" s="18">
        <v>5456</v>
      </c>
      <c r="G599" s="22">
        <v>248</v>
      </c>
      <c r="H599" s="18">
        <v>3.88049807894736</v>
      </c>
      <c r="I599" s="18">
        <v>962.36352357894702</v>
      </c>
      <c r="J599" s="18">
        <v>4493.6364764210502</v>
      </c>
      <c r="K599" s="22">
        <v>0</v>
      </c>
      <c r="L599" s="22" t="str">
        <f t="shared" si="9"/>
        <v>46174, 2, 1</v>
      </c>
    </row>
    <row r="600" spans="1:12">
      <c r="A600" s="9">
        <v>46174</v>
      </c>
      <c r="B600">
        <v>2</v>
      </c>
      <c r="C600" s="16" t="s">
        <v>56</v>
      </c>
      <c r="D600">
        <v>2</v>
      </c>
      <c r="E600" s="16" t="s">
        <v>40</v>
      </c>
      <c r="F600" s="18">
        <v>6552</v>
      </c>
      <c r="G600" s="22">
        <v>273</v>
      </c>
      <c r="H600" s="18">
        <v>6.6972231023750002</v>
      </c>
      <c r="I600" s="18">
        <v>1828.34190694837</v>
      </c>
      <c r="J600" s="18">
        <v>4723.6580930516202</v>
      </c>
      <c r="K600" s="22">
        <v>0</v>
      </c>
      <c r="L600" s="22" t="str">
        <f t="shared" si="9"/>
        <v>46174, 2, 2</v>
      </c>
    </row>
    <row r="601" spans="1:12">
      <c r="A601" s="9">
        <v>46174</v>
      </c>
      <c r="B601">
        <v>2</v>
      </c>
      <c r="C601" s="16" t="s">
        <v>56</v>
      </c>
      <c r="D601">
        <v>3</v>
      </c>
      <c r="E601" s="16" t="s">
        <v>41</v>
      </c>
      <c r="F601" s="18">
        <v>2499</v>
      </c>
      <c r="G601" s="22">
        <v>98</v>
      </c>
      <c r="H601" s="18">
        <v>3.5835901758461501</v>
      </c>
      <c r="I601" s="18">
        <v>351.19183723292298</v>
      </c>
      <c r="J601" s="18">
        <v>2147.8081627670699</v>
      </c>
      <c r="K601" s="22">
        <v>0</v>
      </c>
      <c r="L601" s="22" t="str">
        <f t="shared" si="9"/>
        <v>46174, 2, 3</v>
      </c>
    </row>
    <row r="602" spans="1:12">
      <c r="A602" s="9">
        <v>46174</v>
      </c>
      <c r="B602">
        <v>2</v>
      </c>
      <c r="C602" s="16" t="s">
        <v>56</v>
      </c>
      <c r="D602">
        <v>4</v>
      </c>
      <c r="E602" s="16" t="s">
        <v>42</v>
      </c>
      <c r="F602" s="18">
        <v>3927</v>
      </c>
      <c r="G602" s="22">
        <v>187</v>
      </c>
      <c r="H602" s="18">
        <v>6.7300082663333303</v>
      </c>
      <c r="I602" s="18">
        <v>1258.5115458043299</v>
      </c>
      <c r="J602" s="18">
        <v>2668.4884541956599</v>
      </c>
      <c r="K602" s="22">
        <v>0</v>
      </c>
      <c r="L602" s="22" t="str">
        <f t="shared" si="9"/>
        <v>46174, 2, 4</v>
      </c>
    </row>
    <row r="603" spans="1:12">
      <c r="A603" s="9">
        <v>46174</v>
      </c>
      <c r="B603">
        <v>2</v>
      </c>
      <c r="C603" s="16" t="s">
        <v>56</v>
      </c>
      <c r="D603">
        <v>6</v>
      </c>
      <c r="E603" s="16" t="s">
        <v>44</v>
      </c>
      <c r="F603" s="18">
        <v>2438</v>
      </c>
      <c r="G603" s="22">
        <v>106</v>
      </c>
      <c r="H603" s="18">
        <v>4.6118396396249999</v>
      </c>
      <c r="I603" s="18">
        <v>488.85500180025002</v>
      </c>
      <c r="J603" s="18">
        <v>1949.14499819975</v>
      </c>
      <c r="K603" s="22">
        <v>0</v>
      </c>
      <c r="L603" s="22" t="str">
        <f t="shared" si="9"/>
        <v>46174, 2, 6</v>
      </c>
    </row>
    <row r="604" spans="1:12">
      <c r="A604" s="9">
        <v>46174</v>
      </c>
      <c r="B604">
        <v>2</v>
      </c>
      <c r="C604" s="16" t="s">
        <v>56</v>
      </c>
      <c r="D604">
        <v>8</v>
      </c>
      <c r="E604" s="16" t="s">
        <v>46</v>
      </c>
      <c r="F604" s="18">
        <v>1425</v>
      </c>
      <c r="G604" s="22">
        <v>114</v>
      </c>
      <c r="H604" s="18">
        <v>0.70122277520833298</v>
      </c>
      <c r="I604" s="18">
        <v>79.939396373749901</v>
      </c>
      <c r="J604" s="18">
        <v>1345.06060362625</v>
      </c>
      <c r="K604" s="22">
        <v>0</v>
      </c>
      <c r="L604" s="22" t="str">
        <f t="shared" si="9"/>
        <v>46174, 2, 8</v>
      </c>
    </row>
    <row r="605" spans="1:12">
      <c r="A605" s="9">
        <v>46174</v>
      </c>
      <c r="B605">
        <v>2</v>
      </c>
      <c r="C605" s="16" t="s">
        <v>56</v>
      </c>
      <c r="D605">
        <v>10</v>
      </c>
      <c r="E605" s="16" t="s">
        <v>57</v>
      </c>
      <c r="F605" s="18">
        <v>1806</v>
      </c>
      <c r="G605" s="22">
        <v>129</v>
      </c>
      <c r="H605" s="18">
        <v>1.84128159585714</v>
      </c>
      <c r="I605" s="18">
        <v>237.52532586557101</v>
      </c>
      <c r="J605" s="18">
        <v>1568.47467413442</v>
      </c>
      <c r="K605" s="22">
        <v>0</v>
      </c>
      <c r="L605" s="22" t="str">
        <f t="shared" si="9"/>
        <v>46174, 2, 10</v>
      </c>
    </row>
    <row r="606" spans="1:12">
      <c r="A606" s="9">
        <v>46174</v>
      </c>
      <c r="B606">
        <v>2</v>
      </c>
      <c r="C606" s="16" t="s">
        <v>56</v>
      </c>
      <c r="D606">
        <v>11</v>
      </c>
      <c r="E606" s="16" t="s">
        <v>48</v>
      </c>
      <c r="F606" s="18">
        <v>5418</v>
      </c>
      <c r="G606" s="22">
        <v>258</v>
      </c>
      <c r="H606" s="18">
        <v>1.8907409749999999</v>
      </c>
      <c r="I606" s="18">
        <v>487.81117154999998</v>
      </c>
      <c r="J606" s="18">
        <v>4930.1888284500001</v>
      </c>
      <c r="K606" s="22">
        <v>0</v>
      </c>
      <c r="L606" s="22" t="str">
        <f t="shared" si="9"/>
        <v>46174, 2, 11</v>
      </c>
    </row>
    <row r="607" spans="1:12">
      <c r="A607" s="9">
        <v>46174</v>
      </c>
      <c r="B607">
        <v>2</v>
      </c>
      <c r="C607" s="16" t="s">
        <v>56</v>
      </c>
      <c r="D607">
        <v>12</v>
      </c>
      <c r="E607" s="16" t="s">
        <v>49</v>
      </c>
      <c r="F607" s="18">
        <v>3058</v>
      </c>
      <c r="G607" s="22">
        <v>139</v>
      </c>
      <c r="H607" s="18">
        <v>2.5584723166666601</v>
      </c>
      <c r="I607" s="18">
        <v>355.62765201666599</v>
      </c>
      <c r="J607" s="18">
        <v>2702.3723479833302</v>
      </c>
      <c r="K607" s="22">
        <v>0</v>
      </c>
      <c r="L607" s="22" t="str">
        <f t="shared" si="9"/>
        <v>46174, 2, 12</v>
      </c>
    </row>
    <row r="608" spans="1:12">
      <c r="A608" s="9">
        <v>46174</v>
      </c>
      <c r="B608">
        <v>2</v>
      </c>
      <c r="C608" s="16" t="s">
        <v>56</v>
      </c>
      <c r="D608">
        <v>13</v>
      </c>
      <c r="E608" s="16" t="s">
        <v>50</v>
      </c>
      <c r="F608" s="18">
        <v>2484</v>
      </c>
      <c r="G608" s="22">
        <v>108</v>
      </c>
      <c r="H608" s="18">
        <v>6.6140276428571401</v>
      </c>
      <c r="I608" s="18">
        <v>714.31498542857105</v>
      </c>
      <c r="J608" s="18">
        <v>1769.68501457142</v>
      </c>
      <c r="K608" s="22">
        <v>0</v>
      </c>
      <c r="L608" s="22" t="str">
        <f t="shared" si="9"/>
        <v>46174, 2, 13</v>
      </c>
    </row>
    <row r="609" spans="1:12">
      <c r="A609" s="9">
        <v>46174</v>
      </c>
      <c r="B609">
        <v>2</v>
      </c>
      <c r="C609" s="16" t="s">
        <v>56</v>
      </c>
      <c r="D609">
        <v>14</v>
      </c>
      <c r="E609" s="16" t="s">
        <v>51</v>
      </c>
      <c r="F609" s="18">
        <v>2716</v>
      </c>
      <c r="G609" s="22">
        <v>97</v>
      </c>
      <c r="H609" s="18">
        <v>4.4911019591333297</v>
      </c>
      <c r="I609" s="18">
        <v>435.63689003593299</v>
      </c>
      <c r="J609" s="18">
        <v>2280.3631099640602</v>
      </c>
      <c r="K609" s="22">
        <v>0</v>
      </c>
      <c r="L609" s="22" t="str">
        <f t="shared" si="9"/>
        <v>46174, 2, 14</v>
      </c>
    </row>
    <row r="610" spans="1:12">
      <c r="A610" s="9">
        <v>46174</v>
      </c>
      <c r="B610">
        <v>2</v>
      </c>
      <c r="C610" s="16" t="s">
        <v>56</v>
      </c>
      <c r="D610">
        <v>15</v>
      </c>
      <c r="E610" s="16" t="s">
        <v>52</v>
      </c>
      <c r="F610" s="18">
        <v>3850</v>
      </c>
      <c r="G610" s="22">
        <v>154</v>
      </c>
      <c r="H610" s="18">
        <v>2.77370241165</v>
      </c>
      <c r="I610" s="18">
        <v>427.15017139410003</v>
      </c>
      <c r="J610" s="18">
        <v>3422.8498286058998</v>
      </c>
      <c r="K610" s="22">
        <v>0</v>
      </c>
      <c r="L610" s="22" t="str">
        <f t="shared" si="9"/>
        <v>46174, 2, 15</v>
      </c>
    </row>
    <row r="611" spans="1:12">
      <c r="A611" s="9">
        <v>46174</v>
      </c>
      <c r="B611">
        <v>2</v>
      </c>
      <c r="C611" s="16" t="s">
        <v>56</v>
      </c>
      <c r="D611">
        <v>16</v>
      </c>
      <c r="E611" s="16" t="s">
        <v>53</v>
      </c>
      <c r="F611" s="18">
        <v>1638</v>
      </c>
      <c r="G611" s="22">
        <v>182</v>
      </c>
      <c r="H611" s="18">
        <v>1.6187297383333299</v>
      </c>
      <c r="I611" s="18">
        <v>294.60881237666598</v>
      </c>
      <c r="J611" s="18">
        <v>1343.3911876233301</v>
      </c>
      <c r="K611" s="22">
        <v>0</v>
      </c>
      <c r="L611" s="22" t="str">
        <f t="shared" si="9"/>
        <v>46174, 2, 16</v>
      </c>
    </row>
    <row r="612" spans="1:12">
      <c r="A612" s="9">
        <v>46174</v>
      </c>
      <c r="B612">
        <v>2</v>
      </c>
      <c r="C612" s="16" t="s">
        <v>56</v>
      </c>
      <c r="D612">
        <v>17</v>
      </c>
      <c r="E612" s="16" t="s">
        <v>54</v>
      </c>
      <c r="F612" s="18">
        <v>2224</v>
      </c>
      <c r="G612" s="22">
        <v>278</v>
      </c>
      <c r="H612" s="18">
        <v>1.3867200377272699</v>
      </c>
      <c r="I612" s="18">
        <v>385.50817048818101</v>
      </c>
      <c r="J612" s="18">
        <v>1838.49182951181</v>
      </c>
      <c r="K612" s="22">
        <v>0</v>
      </c>
      <c r="L612" s="22" t="str">
        <f t="shared" si="9"/>
        <v>46174, 2, 17</v>
      </c>
    </row>
    <row r="613" spans="1:12">
      <c r="A613" s="9">
        <v>46174</v>
      </c>
      <c r="B613">
        <v>2</v>
      </c>
      <c r="C613" s="16" t="s">
        <v>56</v>
      </c>
      <c r="D613">
        <v>18</v>
      </c>
      <c r="E613" s="16" t="s">
        <v>55</v>
      </c>
      <c r="F613" s="18">
        <v>3055</v>
      </c>
      <c r="G613" s="22">
        <v>130</v>
      </c>
      <c r="H613" s="18">
        <v>5.8263557661250003</v>
      </c>
      <c r="I613" s="18">
        <v>757.42624959625005</v>
      </c>
      <c r="J613" s="18">
        <v>2297.5737504037502</v>
      </c>
      <c r="K613" s="22">
        <v>0</v>
      </c>
      <c r="L613" s="22" t="str">
        <f t="shared" si="9"/>
        <v>46174, 2, 18</v>
      </c>
    </row>
    <row r="614" spans="1:12">
      <c r="A614" s="9">
        <v>46204</v>
      </c>
      <c r="B614">
        <v>2</v>
      </c>
      <c r="C614" s="16" t="s">
        <v>56</v>
      </c>
      <c r="D614">
        <v>1</v>
      </c>
      <c r="E614" s="16" t="s">
        <v>38</v>
      </c>
      <c r="F614" s="18">
        <v>5346</v>
      </c>
      <c r="G614" s="22">
        <v>243</v>
      </c>
      <c r="H614" s="18">
        <v>3.91656640789473</v>
      </c>
      <c r="I614" s="18">
        <v>951.72563711842099</v>
      </c>
      <c r="J614" s="18">
        <v>4394.2743628815697</v>
      </c>
      <c r="K614" s="22">
        <v>0</v>
      </c>
      <c r="L614" s="22" t="str">
        <f t="shared" si="9"/>
        <v>46204, 2, 1</v>
      </c>
    </row>
    <row r="615" spans="1:12">
      <c r="A615" s="9">
        <v>46204</v>
      </c>
      <c r="B615">
        <v>2</v>
      </c>
      <c r="C615" s="16" t="s">
        <v>56</v>
      </c>
      <c r="D615">
        <v>2</v>
      </c>
      <c r="E615" s="16" t="s">
        <v>40</v>
      </c>
      <c r="F615" s="18">
        <v>6288</v>
      </c>
      <c r="G615" s="22">
        <v>262</v>
      </c>
      <c r="H615" s="18">
        <v>6.6708306182500001</v>
      </c>
      <c r="I615" s="18">
        <v>1747.7576219815001</v>
      </c>
      <c r="J615" s="18">
        <v>4540.2423780184999</v>
      </c>
      <c r="K615" s="22">
        <v>0</v>
      </c>
      <c r="L615" s="22" t="str">
        <f t="shared" si="9"/>
        <v>46204, 2, 2</v>
      </c>
    </row>
    <row r="616" spans="1:12">
      <c r="A616" s="9">
        <v>46204</v>
      </c>
      <c r="B616">
        <v>2</v>
      </c>
      <c r="C616" s="16" t="s">
        <v>56</v>
      </c>
      <c r="D616">
        <v>3</v>
      </c>
      <c r="E616" s="16" t="s">
        <v>41</v>
      </c>
      <c r="F616" s="18">
        <v>2295</v>
      </c>
      <c r="G616" s="22">
        <v>90</v>
      </c>
      <c r="H616" s="18">
        <v>3.5999206750769202</v>
      </c>
      <c r="I616" s="18">
        <v>323.99286075692299</v>
      </c>
      <c r="J616" s="18">
        <v>1971.00713924307</v>
      </c>
      <c r="K616" s="22">
        <v>0</v>
      </c>
      <c r="L616" s="22" t="str">
        <f t="shared" si="9"/>
        <v>46204, 2, 3</v>
      </c>
    </row>
    <row r="617" spans="1:12">
      <c r="A617" s="9">
        <v>46204</v>
      </c>
      <c r="B617">
        <v>2</v>
      </c>
      <c r="C617" s="16" t="s">
        <v>56</v>
      </c>
      <c r="D617">
        <v>4</v>
      </c>
      <c r="E617" s="16" t="s">
        <v>42</v>
      </c>
      <c r="F617" s="18">
        <v>4326</v>
      </c>
      <c r="G617" s="22">
        <v>206</v>
      </c>
      <c r="H617" s="18">
        <v>6.6746799416666596</v>
      </c>
      <c r="I617" s="18">
        <v>1374.9840679833301</v>
      </c>
      <c r="J617" s="18">
        <v>2951.0159320166599</v>
      </c>
      <c r="K617" s="22">
        <v>0</v>
      </c>
      <c r="L617" s="22" t="str">
        <f t="shared" si="9"/>
        <v>46204, 2, 4</v>
      </c>
    </row>
    <row r="618" spans="1:12">
      <c r="A618" s="9">
        <v>46204</v>
      </c>
      <c r="B618">
        <v>2</v>
      </c>
      <c r="C618" s="16" t="s">
        <v>56</v>
      </c>
      <c r="D618">
        <v>6</v>
      </c>
      <c r="E618" s="16" t="s">
        <v>44</v>
      </c>
      <c r="F618" s="18">
        <v>2898</v>
      </c>
      <c r="G618" s="22">
        <v>126</v>
      </c>
      <c r="H618" s="18">
        <v>4.6497854075882303</v>
      </c>
      <c r="I618" s="18">
        <v>585.872961356117</v>
      </c>
      <c r="J618" s="18">
        <v>2312.12703864388</v>
      </c>
      <c r="K618" s="22">
        <v>0</v>
      </c>
      <c r="L618" s="22" t="str">
        <f t="shared" si="9"/>
        <v>46204, 2, 6</v>
      </c>
    </row>
    <row r="619" spans="1:12">
      <c r="A619" s="9">
        <v>46204</v>
      </c>
      <c r="B619">
        <v>2</v>
      </c>
      <c r="C619" s="16" t="s">
        <v>56</v>
      </c>
      <c r="D619">
        <v>8</v>
      </c>
      <c r="E619" s="16" t="s">
        <v>46</v>
      </c>
      <c r="F619" s="18">
        <v>1725</v>
      </c>
      <c r="G619" s="22">
        <v>138</v>
      </c>
      <c r="H619" s="18">
        <v>0.65638984</v>
      </c>
      <c r="I619" s="18">
        <v>90.58179792</v>
      </c>
      <c r="J619" s="18">
        <v>1634.4182020799999</v>
      </c>
      <c r="K619" s="22">
        <v>0</v>
      </c>
      <c r="L619" s="22" t="str">
        <f t="shared" si="9"/>
        <v>46204, 2, 8</v>
      </c>
    </row>
    <row r="620" spans="1:12">
      <c r="A620" s="9">
        <v>46204</v>
      </c>
      <c r="B620">
        <v>2</v>
      </c>
      <c r="C620" s="16" t="s">
        <v>56</v>
      </c>
      <c r="D620">
        <v>10</v>
      </c>
      <c r="E620" s="16" t="s">
        <v>57</v>
      </c>
      <c r="F620" s="18">
        <v>1498</v>
      </c>
      <c r="G620" s="22">
        <v>107</v>
      </c>
      <c r="H620" s="18">
        <v>1.7964262283237999</v>
      </c>
      <c r="I620" s="18">
        <v>192.21760643064701</v>
      </c>
      <c r="J620" s="18">
        <v>1305.78239356935</v>
      </c>
      <c r="K620" s="22">
        <v>0</v>
      </c>
      <c r="L620" s="22" t="str">
        <f t="shared" si="9"/>
        <v>46204, 2, 10</v>
      </c>
    </row>
    <row r="621" spans="1:12">
      <c r="A621" s="9">
        <v>46204</v>
      </c>
      <c r="B621">
        <v>2</v>
      </c>
      <c r="C621" s="16" t="s">
        <v>56</v>
      </c>
      <c r="D621">
        <v>11</v>
      </c>
      <c r="E621" s="16" t="s">
        <v>48</v>
      </c>
      <c r="F621" s="18">
        <v>5439</v>
      </c>
      <c r="G621" s="22">
        <v>259</v>
      </c>
      <c r="H621" s="18">
        <v>1.9650647999999999</v>
      </c>
      <c r="I621" s="18">
        <v>508.95178320000002</v>
      </c>
      <c r="J621" s="18">
        <v>4930.0482167999999</v>
      </c>
      <c r="K621" s="22">
        <v>0</v>
      </c>
      <c r="L621" s="22" t="str">
        <f t="shared" si="9"/>
        <v>46204, 2, 11</v>
      </c>
    </row>
    <row r="622" spans="1:12">
      <c r="A622" s="9">
        <v>46204</v>
      </c>
      <c r="B622">
        <v>2</v>
      </c>
      <c r="C622" s="16" t="s">
        <v>56</v>
      </c>
      <c r="D622">
        <v>12</v>
      </c>
      <c r="E622" s="16" t="s">
        <v>49</v>
      </c>
      <c r="F622" s="18">
        <v>3190</v>
      </c>
      <c r="G622" s="22">
        <v>145</v>
      </c>
      <c r="H622" s="18">
        <v>2.50143940178571</v>
      </c>
      <c r="I622" s="18">
        <v>362.70871325892801</v>
      </c>
      <c r="J622" s="18">
        <v>2827.2912867410701</v>
      </c>
      <c r="K622" s="22">
        <v>0</v>
      </c>
      <c r="L622" s="22" t="str">
        <f t="shared" si="9"/>
        <v>46204, 2, 12</v>
      </c>
    </row>
    <row r="623" spans="1:12">
      <c r="A623" s="9">
        <v>46204</v>
      </c>
      <c r="B623">
        <v>2</v>
      </c>
      <c r="C623" s="16" t="s">
        <v>56</v>
      </c>
      <c r="D623">
        <v>13</v>
      </c>
      <c r="E623" s="16" t="s">
        <v>50</v>
      </c>
      <c r="F623" s="18">
        <v>2668</v>
      </c>
      <c r="G623" s="22">
        <v>116</v>
      </c>
      <c r="H623" s="18">
        <v>6.7250779999999999</v>
      </c>
      <c r="I623" s="18">
        <v>780.10904800000003</v>
      </c>
      <c r="J623" s="18">
        <v>1887.890952</v>
      </c>
      <c r="K623" s="22">
        <v>0</v>
      </c>
      <c r="L623" s="22" t="str">
        <f t="shared" si="9"/>
        <v>46204, 2, 13</v>
      </c>
    </row>
    <row r="624" spans="1:12">
      <c r="A624" s="9">
        <v>46204</v>
      </c>
      <c r="B624">
        <v>2</v>
      </c>
      <c r="C624" s="16" t="s">
        <v>56</v>
      </c>
      <c r="D624">
        <v>14</v>
      </c>
      <c r="E624" s="16" t="s">
        <v>51</v>
      </c>
      <c r="F624" s="18">
        <v>2604</v>
      </c>
      <c r="G624" s="22">
        <v>93</v>
      </c>
      <c r="H624" s="18">
        <v>4.4518678805237997</v>
      </c>
      <c r="I624" s="18">
        <v>414.02371288871399</v>
      </c>
      <c r="J624" s="18">
        <v>2189.9762871112798</v>
      </c>
      <c r="K624" s="22">
        <v>0</v>
      </c>
      <c r="L624" s="22" t="str">
        <f t="shared" si="9"/>
        <v>46204, 2, 14</v>
      </c>
    </row>
    <row r="625" spans="1:12">
      <c r="A625" s="9">
        <v>46204</v>
      </c>
      <c r="B625">
        <v>2</v>
      </c>
      <c r="C625" s="16" t="s">
        <v>56</v>
      </c>
      <c r="D625">
        <v>15</v>
      </c>
      <c r="E625" s="16" t="s">
        <v>52</v>
      </c>
      <c r="F625" s="18">
        <v>3900</v>
      </c>
      <c r="G625" s="22">
        <v>156</v>
      </c>
      <c r="H625" s="18">
        <v>2.7813277237</v>
      </c>
      <c r="I625" s="18">
        <v>433.88712489720001</v>
      </c>
      <c r="J625" s="18">
        <v>3466.1128751028</v>
      </c>
      <c r="K625" s="22">
        <v>0</v>
      </c>
      <c r="L625" s="22" t="str">
        <f t="shared" si="9"/>
        <v>46204, 2, 15</v>
      </c>
    </row>
    <row r="626" spans="1:12">
      <c r="A626" s="9">
        <v>46204</v>
      </c>
      <c r="B626">
        <v>2</v>
      </c>
      <c r="C626" s="16" t="s">
        <v>56</v>
      </c>
      <c r="D626">
        <v>16</v>
      </c>
      <c r="E626" s="16" t="s">
        <v>53</v>
      </c>
      <c r="F626" s="18">
        <v>1674</v>
      </c>
      <c r="G626" s="22">
        <v>186</v>
      </c>
      <c r="H626" s="18">
        <v>1.6230614276470501</v>
      </c>
      <c r="I626" s="18">
        <v>301.889425542352</v>
      </c>
      <c r="J626" s="18">
        <v>1372.11057445764</v>
      </c>
      <c r="K626" s="22">
        <v>0</v>
      </c>
      <c r="L626" s="22" t="str">
        <f t="shared" si="9"/>
        <v>46204, 2, 16</v>
      </c>
    </row>
    <row r="627" spans="1:12">
      <c r="A627" s="9">
        <v>46204</v>
      </c>
      <c r="B627">
        <v>2</v>
      </c>
      <c r="C627" s="16" t="s">
        <v>56</v>
      </c>
      <c r="D627">
        <v>17</v>
      </c>
      <c r="E627" s="16" t="s">
        <v>54</v>
      </c>
      <c r="F627" s="18">
        <v>2344</v>
      </c>
      <c r="G627" s="22">
        <v>293</v>
      </c>
      <c r="H627" s="18">
        <v>1.3943112028571401</v>
      </c>
      <c r="I627" s="18">
        <v>408.53318243714199</v>
      </c>
      <c r="J627" s="18">
        <v>1935.4668175628501</v>
      </c>
      <c r="K627" s="22">
        <v>0</v>
      </c>
      <c r="L627" s="22" t="str">
        <f t="shared" si="9"/>
        <v>46204, 2, 17</v>
      </c>
    </row>
    <row r="628" spans="1:12">
      <c r="A628" s="9">
        <v>46204</v>
      </c>
      <c r="B628">
        <v>2</v>
      </c>
      <c r="C628" s="16" t="s">
        <v>56</v>
      </c>
      <c r="D628">
        <v>18</v>
      </c>
      <c r="E628" s="16" t="s">
        <v>55</v>
      </c>
      <c r="F628" s="18">
        <v>2820</v>
      </c>
      <c r="G628" s="22">
        <v>120</v>
      </c>
      <c r="H628" s="18">
        <v>5.81415374378125</v>
      </c>
      <c r="I628" s="18">
        <v>697.69844925375003</v>
      </c>
      <c r="J628" s="18">
        <v>2122.3015507462501</v>
      </c>
      <c r="K628" s="22">
        <v>0</v>
      </c>
      <c r="L628" s="22" t="str">
        <f t="shared" si="9"/>
        <v>46204, 2, 18</v>
      </c>
    </row>
    <row r="629" spans="1:12">
      <c r="A629" s="9">
        <v>46235</v>
      </c>
      <c r="B629">
        <v>2</v>
      </c>
      <c r="C629" s="16" t="s">
        <v>56</v>
      </c>
      <c r="D629">
        <v>1</v>
      </c>
      <c r="E629" s="16" t="s">
        <v>38</v>
      </c>
      <c r="F629" s="18">
        <v>4950</v>
      </c>
      <c r="G629" s="22">
        <v>225</v>
      </c>
      <c r="H629" s="18">
        <v>3.92433369444444</v>
      </c>
      <c r="I629" s="18">
        <v>882.97508124999899</v>
      </c>
      <c r="J629" s="18">
        <v>4067.0249187499999</v>
      </c>
      <c r="K629" s="22">
        <v>0</v>
      </c>
      <c r="L629" s="22" t="str">
        <f t="shared" si="9"/>
        <v>46235, 2, 1</v>
      </c>
    </row>
    <row r="630" spans="1:12">
      <c r="A630" s="9">
        <v>46235</v>
      </c>
      <c r="B630">
        <v>2</v>
      </c>
      <c r="C630" s="16" t="s">
        <v>56</v>
      </c>
      <c r="D630">
        <v>2</v>
      </c>
      <c r="E630" s="16" t="s">
        <v>40</v>
      </c>
      <c r="F630" s="18">
        <v>5328</v>
      </c>
      <c r="G630" s="22">
        <v>222</v>
      </c>
      <c r="H630" s="18">
        <v>6.6255466994666596</v>
      </c>
      <c r="I630" s="18">
        <v>1470.8713672816</v>
      </c>
      <c r="J630" s="18">
        <v>3857.1286327183898</v>
      </c>
      <c r="K630" s="22">
        <v>0</v>
      </c>
      <c r="L630" s="22" t="str">
        <f t="shared" si="9"/>
        <v>46235, 2, 2</v>
      </c>
    </row>
    <row r="631" spans="1:12">
      <c r="A631" s="9">
        <v>46235</v>
      </c>
      <c r="B631">
        <v>2</v>
      </c>
      <c r="C631" s="16" t="s">
        <v>56</v>
      </c>
      <c r="D631">
        <v>3</v>
      </c>
      <c r="E631" s="16" t="s">
        <v>41</v>
      </c>
      <c r="F631" s="18">
        <v>2499</v>
      </c>
      <c r="G631" s="22">
        <v>98</v>
      </c>
      <c r="H631" s="18">
        <v>3.6224083999999999</v>
      </c>
      <c r="I631" s="18">
        <v>354.99602320000002</v>
      </c>
      <c r="J631" s="18">
        <v>2144.0039768000001</v>
      </c>
      <c r="K631" s="22">
        <v>0</v>
      </c>
      <c r="L631" s="22" t="str">
        <f t="shared" si="9"/>
        <v>46235, 2, 3</v>
      </c>
    </row>
    <row r="632" spans="1:12">
      <c r="A632" s="9">
        <v>46235</v>
      </c>
      <c r="B632">
        <v>2</v>
      </c>
      <c r="C632" s="16" t="s">
        <v>56</v>
      </c>
      <c r="D632">
        <v>4</v>
      </c>
      <c r="E632" s="16" t="s">
        <v>42</v>
      </c>
      <c r="F632" s="18">
        <v>4179</v>
      </c>
      <c r="G632" s="22">
        <v>199</v>
      </c>
      <c r="H632" s="18">
        <v>6.6711744831666602</v>
      </c>
      <c r="I632" s="18">
        <v>1327.5637221501599</v>
      </c>
      <c r="J632" s="18">
        <v>2851.4362778498298</v>
      </c>
      <c r="K632" s="22">
        <v>0</v>
      </c>
      <c r="L632" s="22" t="str">
        <f t="shared" si="9"/>
        <v>46235, 2, 4</v>
      </c>
    </row>
    <row r="633" spans="1:12">
      <c r="A633" s="9">
        <v>46235</v>
      </c>
      <c r="B633">
        <v>2</v>
      </c>
      <c r="C633" s="16" t="s">
        <v>56</v>
      </c>
      <c r="D633">
        <v>6</v>
      </c>
      <c r="E633" s="16" t="s">
        <v>44</v>
      </c>
      <c r="F633" s="18">
        <v>2622</v>
      </c>
      <c r="G633" s="22">
        <v>114</v>
      </c>
      <c r="H633" s="18">
        <v>4.6389822245333301</v>
      </c>
      <c r="I633" s="18">
        <v>528.84397359679895</v>
      </c>
      <c r="J633" s="18">
        <v>2093.1560264032</v>
      </c>
      <c r="K633" s="22">
        <v>0</v>
      </c>
      <c r="L633" s="22" t="str">
        <f t="shared" si="9"/>
        <v>46235, 2, 6</v>
      </c>
    </row>
    <row r="634" spans="1:12">
      <c r="A634" s="9">
        <v>46235</v>
      </c>
      <c r="B634">
        <v>2</v>
      </c>
      <c r="C634" s="16" t="s">
        <v>56</v>
      </c>
      <c r="D634">
        <v>8</v>
      </c>
      <c r="E634" s="16" t="s">
        <v>46</v>
      </c>
      <c r="F634" s="18">
        <v>1437.5</v>
      </c>
      <c r="G634" s="22">
        <v>115</v>
      </c>
      <c r="H634" s="18">
        <v>0.65843010977777705</v>
      </c>
      <c r="I634" s="18">
        <v>75.719462624444404</v>
      </c>
      <c r="J634" s="18">
        <v>1361.78053737555</v>
      </c>
      <c r="K634" s="22">
        <v>0</v>
      </c>
      <c r="L634" s="22" t="str">
        <f t="shared" si="9"/>
        <v>46235, 2, 8</v>
      </c>
    </row>
    <row r="635" spans="1:12">
      <c r="A635" s="9">
        <v>46235</v>
      </c>
      <c r="B635">
        <v>2</v>
      </c>
      <c r="C635" s="16" t="s">
        <v>56</v>
      </c>
      <c r="D635">
        <v>10</v>
      </c>
      <c r="E635" s="16" t="s">
        <v>57</v>
      </c>
      <c r="F635" s="18">
        <v>1400</v>
      </c>
      <c r="G635" s="22">
        <v>100</v>
      </c>
      <c r="H635" s="18">
        <v>1.81917548292</v>
      </c>
      <c r="I635" s="18">
        <v>181.91754829199999</v>
      </c>
      <c r="J635" s="18">
        <v>1218.082451708</v>
      </c>
      <c r="K635" s="22">
        <v>0</v>
      </c>
      <c r="L635" s="22" t="str">
        <f t="shared" si="9"/>
        <v>46235, 2, 10</v>
      </c>
    </row>
    <row r="636" spans="1:12">
      <c r="A636" s="9">
        <v>46235</v>
      </c>
      <c r="B636">
        <v>2</v>
      </c>
      <c r="C636" s="16" t="s">
        <v>56</v>
      </c>
      <c r="D636">
        <v>11</v>
      </c>
      <c r="E636" s="16" t="s">
        <v>48</v>
      </c>
      <c r="F636" s="18">
        <v>4515</v>
      </c>
      <c r="G636" s="22">
        <v>215</v>
      </c>
      <c r="H636" s="18">
        <v>1.9302193999999999</v>
      </c>
      <c r="I636" s="18">
        <v>414.99717099999998</v>
      </c>
      <c r="J636" s="18">
        <v>4100.002829</v>
      </c>
      <c r="K636" s="22">
        <v>0</v>
      </c>
      <c r="L636" s="22" t="str">
        <f t="shared" si="9"/>
        <v>46235, 2, 11</v>
      </c>
    </row>
    <row r="637" spans="1:12">
      <c r="A637" s="9">
        <v>46235</v>
      </c>
      <c r="B637">
        <v>2</v>
      </c>
      <c r="C637" s="16" t="s">
        <v>56</v>
      </c>
      <c r="D637">
        <v>12</v>
      </c>
      <c r="E637" s="16" t="s">
        <v>49</v>
      </c>
      <c r="F637" s="18">
        <v>2816</v>
      </c>
      <c r="G637" s="22">
        <v>128</v>
      </c>
      <c r="H637" s="18">
        <v>2.5143715675714202</v>
      </c>
      <c r="I637" s="18">
        <v>321.83956064914202</v>
      </c>
      <c r="J637" s="18">
        <v>2494.1604393508501</v>
      </c>
      <c r="K637" s="22">
        <v>0</v>
      </c>
      <c r="L637" s="22" t="str">
        <f t="shared" si="9"/>
        <v>46235, 2, 12</v>
      </c>
    </row>
    <row r="638" spans="1:12">
      <c r="A638" s="9">
        <v>46235</v>
      </c>
      <c r="B638">
        <v>2</v>
      </c>
      <c r="C638" s="16" t="s">
        <v>56</v>
      </c>
      <c r="D638">
        <v>13</v>
      </c>
      <c r="E638" s="16" t="s">
        <v>50</v>
      </c>
      <c r="F638" s="18">
        <v>2645</v>
      </c>
      <c r="G638" s="22">
        <v>115</v>
      </c>
      <c r="H638" s="18">
        <v>6.6771148461538399</v>
      </c>
      <c r="I638" s="18">
        <v>767.86820730769205</v>
      </c>
      <c r="J638" s="18">
        <v>1877.1317926923</v>
      </c>
      <c r="K638" s="22">
        <v>0</v>
      </c>
      <c r="L638" s="22" t="str">
        <f t="shared" si="9"/>
        <v>46235, 2, 13</v>
      </c>
    </row>
    <row r="639" spans="1:12">
      <c r="A639" s="9">
        <v>46235</v>
      </c>
      <c r="B639">
        <v>2</v>
      </c>
      <c r="C639" s="16" t="s">
        <v>56</v>
      </c>
      <c r="D639">
        <v>14</v>
      </c>
      <c r="E639" s="16" t="s">
        <v>51</v>
      </c>
      <c r="F639" s="18">
        <v>2436</v>
      </c>
      <c r="G639" s="22">
        <v>87</v>
      </c>
      <c r="H639" s="18">
        <v>4.4034044883859602</v>
      </c>
      <c r="I639" s="18">
        <v>383.09619048957802</v>
      </c>
      <c r="J639" s="18">
        <v>2052.9038095104202</v>
      </c>
      <c r="K639" s="22">
        <v>0</v>
      </c>
      <c r="L639" s="22" t="str">
        <f t="shared" si="9"/>
        <v>46235, 2, 14</v>
      </c>
    </row>
    <row r="640" spans="1:12">
      <c r="A640" s="9">
        <v>46235</v>
      </c>
      <c r="B640">
        <v>2</v>
      </c>
      <c r="C640" s="16" t="s">
        <v>56</v>
      </c>
      <c r="D640">
        <v>15</v>
      </c>
      <c r="E640" s="16" t="s">
        <v>52</v>
      </c>
      <c r="F640" s="18">
        <v>3375</v>
      </c>
      <c r="G640" s="22">
        <v>135</v>
      </c>
      <c r="H640" s="18">
        <v>2.7891993477894701</v>
      </c>
      <c r="I640" s="18">
        <v>376.54191195157802</v>
      </c>
      <c r="J640" s="18">
        <v>2998.45808804842</v>
      </c>
      <c r="K640" s="22">
        <v>0</v>
      </c>
      <c r="L640" s="22" t="str">
        <f t="shared" si="9"/>
        <v>46235, 2, 15</v>
      </c>
    </row>
    <row r="641" spans="1:12">
      <c r="A641" s="9">
        <v>46235</v>
      </c>
      <c r="B641">
        <v>2</v>
      </c>
      <c r="C641" s="16" t="s">
        <v>56</v>
      </c>
      <c r="D641">
        <v>16</v>
      </c>
      <c r="E641" s="16" t="s">
        <v>53</v>
      </c>
      <c r="F641" s="18">
        <v>1566</v>
      </c>
      <c r="G641" s="22">
        <v>174</v>
      </c>
      <c r="H641" s="18">
        <v>1.62451780980769</v>
      </c>
      <c r="I641" s="18">
        <v>282.66609890653802</v>
      </c>
      <c r="J641" s="18">
        <v>1283.3339010934601</v>
      </c>
      <c r="K641" s="22">
        <v>0</v>
      </c>
      <c r="L641" s="22" t="str">
        <f t="shared" si="9"/>
        <v>46235, 2, 16</v>
      </c>
    </row>
    <row r="642" spans="1:12">
      <c r="A642" s="9">
        <v>46235</v>
      </c>
      <c r="B642">
        <v>2</v>
      </c>
      <c r="C642" s="16" t="s">
        <v>56</v>
      </c>
      <c r="D642">
        <v>17</v>
      </c>
      <c r="E642" s="16" t="s">
        <v>54</v>
      </c>
      <c r="F642" s="18">
        <v>1888</v>
      </c>
      <c r="G642" s="22">
        <v>236</v>
      </c>
      <c r="H642" s="18">
        <v>1.40623858590909</v>
      </c>
      <c r="I642" s="18">
        <v>331.872306274545</v>
      </c>
      <c r="J642" s="18">
        <v>1556.1276937254499</v>
      </c>
      <c r="K642" s="22">
        <v>0</v>
      </c>
      <c r="L642" s="22" t="str">
        <f t="shared" si="9"/>
        <v>46235, 2, 17</v>
      </c>
    </row>
    <row r="643" spans="1:12">
      <c r="A643" s="9">
        <v>46235</v>
      </c>
      <c r="B643">
        <v>2</v>
      </c>
      <c r="C643" s="16" t="s">
        <v>56</v>
      </c>
      <c r="D643">
        <v>18</v>
      </c>
      <c r="E643" s="16" t="s">
        <v>55</v>
      </c>
      <c r="F643" s="18">
        <v>3478</v>
      </c>
      <c r="G643" s="22">
        <v>148</v>
      </c>
      <c r="H643" s="18">
        <v>5.83572329741666</v>
      </c>
      <c r="I643" s="18">
        <v>863.68704801766603</v>
      </c>
      <c r="J643" s="18">
        <v>2614.3129519823301</v>
      </c>
      <c r="K643" s="22">
        <v>0</v>
      </c>
      <c r="L643" s="22" t="str">
        <f t="shared" ref="L643:L706" si="10">(A643&amp; ", "&amp; B643&amp; ", "&amp; D643)</f>
        <v>46235, 2, 18</v>
      </c>
    </row>
    <row r="644" spans="1:12">
      <c r="A644" s="9">
        <v>46266</v>
      </c>
      <c r="B644">
        <v>2</v>
      </c>
      <c r="C644" s="16" t="s">
        <v>56</v>
      </c>
      <c r="D644">
        <v>1</v>
      </c>
      <c r="E644" s="16" t="s">
        <v>38</v>
      </c>
      <c r="F644" s="18">
        <v>4422</v>
      </c>
      <c r="G644" s="22">
        <v>201</v>
      </c>
      <c r="H644" s="18">
        <v>3.9435381805555498</v>
      </c>
      <c r="I644" s="18">
        <v>792.65117429166605</v>
      </c>
      <c r="J644" s="18">
        <v>3629.34882570833</v>
      </c>
      <c r="K644" s="22">
        <v>0</v>
      </c>
      <c r="L644" s="22" t="str">
        <f t="shared" si="10"/>
        <v>46266, 2, 1</v>
      </c>
    </row>
    <row r="645" spans="1:12">
      <c r="A645" s="9">
        <v>46266</v>
      </c>
      <c r="B645">
        <v>2</v>
      </c>
      <c r="C645" s="16" t="s">
        <v>56</v>
      </c>
      <c r="D645">
        <v>2</v>
      </c>
      <c r="E645" s="16" t="s">
        <v>40</v>
      </c>
      <c r="F645" s="18">
        <v>4992</v>
      </c>
      <c r="G645" s="22">
        <v>208</v>
      </c>
      <c r="H645" s="18">
        <v>6.6473620397333297</v>
      </c>
      <c r="I645" s="18">
        <v>1382.6513042645299</v>
      </c>
      <c r="J645" s="18">
        <v>3609.3486957354598</v>
      </c>
      <c r="K645" s="22">
        <v>0</v>
      </c>
      <c r="L645" s="22" t="str">
        <f t="shared" si="10"/>
        <v>46266, 2, 2</v>
      </c>
    </row>
    <row r="646" spans="1:12">
      <c r="A646" s="9">
        <v>46266</v>
      </c>
      <c r="B646">
        <v>2</v>
      </c>
      <c r="C646" s="16" t="s">
        <v>56</v>
      </c>
      <c r="D646">
        <v>3</v>
      </c>
      <c r="E646" s="16" t="s">
        <v>41</v>
      </c>
      <c r="F646" s="18">
        <v>2244</v>
      </c>
      <c r="G646" s="22">
        <v>88</v>
      </c>
      <c r="H646" s="18">
        <v>3.6268280458333302</v>
      </c>
      <c r="I646" s="18">
        <v>319.16086803333297</v>
      </c>
      <c r="J646" s="18">
        <v>1924.83913196666</v>
      </c>
      <c r="K646" s="22">
        <v>0</v>
      </c>
      <c r="L646" s="22" t="str">
        <f t="shared" si="10"/>
        <v>46266, 2, 3</v>
      </c>
    </row>
    <row r="647" spans="1:12">
      <c r="A647" s="9">
        <v>46266</v>
      </c>
      <c r="B647">
        <v>2</v>
      </c>
      <c r="C647" s="16" t="s">
        <v>56</v>
      </c>
      <c r="D647">
        <v>4</v>
      </c>
      <c r="E647" s="16" t="s">
        <v>42</v>
      </c>
      <c r="F647" s="18">
        <v>3633</v>
      </c>
      <c r="G647" s="22">
        <v>173</v>
      </c>
      <c r="H647" s="18">
        <v>6.8222342989999998</v>
      </c>
      <c r="I647" s="18">
        <v>1180.246533727</v>
      </c>
      <c r="J647" s="18">
        <v>2452.753466273</v>
      </c>
      <c r="K647" s="22">
        <v>0</v>
      </c>
      <c r="L647" s="22" t="str">
        <f t="shared" si="10"/>
        <v>46266, 2, 4</v>
      </c>
    </row>
    <row r="648" spans="1:12">
      <c r="A648" s="9">
        <v>46266</v>
      </c>
      <c r="B648">
        <v>2</v>
      </c>
      <c r="C648" s="16" t="s">
        <v>56</v>
      </c>
      <c r="D648">
        <v>6</v>
      </c>
      <c r="E648" s="16" t="s">
        <v>44</v>
      </c>
      <c r="F648" s="18">
        <v>2530</v>
      </c>
      <c r="G648" s="22">
        <v>110</v>
      </c>
      <c r="H648" s="18">
        <v>4.6467472928999998</v>
      </c>
      <c r="I648" s="18">
        <v>511.14220221900001</v>
      </c>
      <c r="J648" s="18">
        <v>2018.857797781</v>
      </c>
      <c r="K648" s="22">
        <v>0</v>
      </c>
      <c r="L648" s="22" t="str">
        <f t="shared" si="10"/>
        <v>46266, 2, 6</v>
      </c>
    </row>
    <row r="649" spans="1:12">
      <c r="A649" s="9">
        <v>46266</v>
      </c>
      <c r="B649">
        <v>2</v>
      </c>
      <c r="C649" s="16" t="s">
        <v>56</v>
      </c>
      <c r="D649">
        <v>8</v>
      </c>
      <c r="E649" s="16" t="s">
        <v>46</v>
      </c>
      <c r="F649" s="18">
        <v>1150</v>
      </c>
      <c r="G649" s="22">
        <v>92</v>
      </c>
      <c r="H649" s="18">
        <v>0.66518411238095199</v>
      </c>
      <c r="I649" s="18">
        <v>61.196938339047598</v>
      </c>
      <c r="J649" s="18">
        <v>1088.8030616609501</v>
      </c>
      <c r="K649" s="22">
        <v>0</v>
      </c>
      <c r="L649" s="22" t="str">
        <f t="shared" si="10"/>
        <v>46266, 2, 8</v>
      </c>
    </row>
    <row r="650" spans="1:12">
      <c r="A650" s="9">
        <v>46266</v>
      </c>
      <c r="B650">
        <v>2</v>
      </c>
      <c r="C650" s="16" t="s">
        <v>56</v>
      </c>
      <c r="D650">
        <v>10</v>
      </c>
      <c r="E650" s="16" t="s">
        <v>57</v>
      </c>
      <c r="F650" s="18">
        <v>1344</v>
      </c>
      <c r="G650" s="22">
        <v>96</v>
      </c>
      <c r="H650" s="18">
        <v>1.9108692902842099</v>
      </c>
      <c r="I650" s="18">
        <v>183.44345186728401</v>
      </c>
      <c r="J650" s="18">
        <v>1160.5565481327101</v>
      </c>
      <c r="K650" s="22">
        <v>0</v>
      </c>
      <c r="L650" s="22" t="str">
        <f t="shared" si="10"/>
        <v>46266, 2, 10</v>
      </c>
    </row>
    <row r="651" spans="1:12">
      <c r="A651" s="9">
        <v>46266</v>
      </c>
      <c r="B651">
        <v>2</v>
      </c>
      <c r="C651" s="16" t="s">
        <v>56</v>
      </c>
      <c r="D651">
        <v>11</v>
      </c>
      <c r="E651" s="16" t="s">
        <v>48</v>
      </c>
      <c r="F651" s="18">
        <v>4263</v>
      </c>
      <c r="G651" s="22">
        <v>203</v>
      </c>
      <c r="H651" s="18">
        <v>1.9577514285714199</v>
      </c>
      <c r="I651" s="18">
        <v>397.42353999999898</v>
      </c>
      <c r="J651" s="18">
        <v>3865.5764600000002</v>
      </c>
      <c r="K651" s="22">
        <v>0</v>
      </c>
      <c r="L651" s="22" t="str">
        <f t="shared" si="10"/>
        <v>46266, 2, 11</v>
      </c>
    </row>
    <row r="652" spans="1:12">
      <c r="A652" s="9">
        <v>46266</v>
      </c>
      <c r="B652">
        <v>2</v>
      </c>
      <c r="C652" s="16" t="s">
        <v>56</v>
      </c>
      <c r="D652">
        <v>12</v>
      </c>
      <c r="E652" s="16" t="s">
        <v>49</v>
      </c>
      <c r="F652" s="18">
        <v>2794</v>
      </c>
      <c r="G652" s="22">
        <v>127</v>
      </c>
      <c r="H652" s="18">
        <v>2.54461996345833</v>
      </c>
      <c r="I652" s="18">
        <v>323.16673535920802</v>
      </c>
      <c r="J652" s="18">
        <v>2470.8332646407898</v>
      </c>
      <c r="K652" s="22">
        <v>0</v>
      </c>
      <c r="L652" s="22" t="str">
        <f t="shared" si="10"/>
        <v>46266, 2, 12</v>
      </c>
    </row>
    <row r="653" spans="1:12">
      <c r="A653" s="9">
        <v>46266</v>
      </c>
      <c r="B653">
        <v>2</v>
      </c>
      <c r="C653" s="16" t="s">
        <v>56</v>
      </c>
      <c r="D653">
        <v>13</v>
      </c>
      <c r="E653" s="16" t="s">
        <v>50</v>
      </c>
      <c r="F653" s="18">
        <v>2875</v>
      </c>
      <c r="G653" s="22">
        <v>125</v>
      </c>
      <c r="H653" s="18">
        <v>6.7123196923076902</v>
      </c>
      <c r="I653" s="18">
        <v>839.03996153846094</v>
      </c>
      <c r="J653" s="18">
        <v>2035.9600384615301</v>
      </c>
      <c r="K653" s="22">
        <v>0</v>
      </c>
      <c r="L653" s="22" t="str">
        <f t="shared" si="10"/>
        <v>46266, 2, 13</v>
      </c>
    </row>
    <row r="654" spans="1:12">
      <c r="A654" s="9">
        <v>46266</v>
      </c>
      <c r="B654">
        <v>2</v>
      </c>
      <c r="C654" s="16" t="s">
        <v>56</v>
      </c>
      <c r="D654">
        <v>14</v>
      </c>
      <c r="E654" s="16" t="s">
        <v>51</v>
      </c>
      <c r="F654" s="18">
        <v>2548</v>
      </c>
      <c r="G654" s="22">
        <v>91</v>
      </c>
      <c r="H654" s="18">
        <v>4.4905278352456097</v>
      </c>
      <c r="I654" s="18">
        <v>408.63803300734997</v>
      </c>
      <c r="J654" s="18">
        <v>2139.3619669926402</v>
      </c>
      <c r="K654" s="22">
        <v>0</v>
      </c>
      <c r="L654" s="22" t="str">
        <f t="shared" si="10"/>
        <v>46266, 2, 14</v>
      </c>
    </row>
    <row r="655" spans="1:12">
      <c r="A655" s="9">
        <v>46266</v>
      </c>
      <c r="B655">
        <v>2</v>
      </c>
      <c r="C655" s="16" t="s">
        <v>56</v>
      </c>
      <c r="D655">
        <v>15</v>
      </c>
      <c r="E655" s="16" t="s">
        <v>52</v>
      </c>
      <c r="F655" s="18">
        <v>2900</v>
      </c>
      <c r="G655" s="22">
        <v>116</v>
      </c>
      <c r="H655" s="18">
        <v>2.80137919105263</v>
      </c>
      <c r="I655" s="18">
        <v>324.959986162105</v>
      </c>
      <c r="J655" s="18">
        <v>2575.04001383789</v>
      </c>
      <c r="K655" s="22">
        <v>0</v>
      </c>
      <c r="L655" s="22" t="str">
        <f t="shared" si="10"/>
        <v>46266, 2, 15</v>
      </c>
    </row>
    <row r="656" spans="1:12">
      <c r="A656" s="9">
        <v>46266</v>
      </c>
      <c r="B656">
        <v>2</v>
      </c>
      <c r="C656" s="16" t="s">
        <v>56</v>
      </c>
      <c r="D656">
        <v>16</v>
      </c>
      <c r="E656" s="16" t="s">
        <v>53</v>
      </c>
      <c r="F656" s="18">
        <v>1395</v>
      </c>
      <c r="G656" s="22">
        <v>155</v>
      </c>
      <c r="H656" s="18">
        <v>1.6297483156250001</v>
      </c>
      <c r="I656" s="18">
        <v>252.61098892187499</v>
      </c>
      <c r="J656" s="18">
        <v>1142.3890110781199</v>
      </c>
      <c r="K656" s="22">
        <v>0</v>
      </c>
      <c r="L656" s="22" t="str">
        <f t="shared" si="10"/>
        <v>46266, 2, 16</v>
      </c>
    </row>
    <row r="657" spans="1:12">
      <c r="A657" s="9">
        <v>46266</v>
      </c>
      <c r="B657">
        <v>2</v>
      </c>
      <c r="C657" s="16" t="s">
        <v>56</v>
      </c>
      <c r="D657">
        <v>17</v>
      </c>
      <c r="E657" s="16" t="s">
        <v>54</v>
      </c>
      <c r="F657" s="18">
        <v>1600</v>
      </c>
      <c r="G657" s="22">
        <v>200</v>
      </c>
      <c r="H657" s="18">
        <v>1.3968356290909001</v>
      </c>
      <c r="I657" s="18">
        <v>279.36712581818102</v>
      </c>
      <c r="J657" s="18">
        <v>1320.6328741818099</v>
      </c>
      <c r="K657" s="22">
        <v>0</v>
      </c>
      <c r="L657" s="22" t="str">
        <f t="shared" si="10"/>
        <v>46266, 2, 17</v>
      </c>
    </row>
    <row r="658" spans="1:12">
      <c r="A658" s="9">
        <v>46266</v>
      </c>
      <c r="B658">
        <v>2</v>
      </c>
      <c r="C658" s="16" t="s">
        <v>56</v>
      </c>
      <c r="D658">
        <v>18</v>
      </c>
      <c r="E658" s="16" t="s">
        <v>55</v>
      </c>
      <c r="F658" s="18">
        <v>2115</v>
      </c>
      <c r="G658" s="22">
        <v>90</v>
      </c>
      <c r="H658" s="18">
        <v>5.8725481640535699</v>
      </c>
      <c r="I658" s="18">
        <v>528.52933476482099</v>
      </c>
      <c r="J658" s="18">
        <v>1586.4706652351699</v>
      </c>
      <c r="K658" s="22">
        <v>0</v>
      </c>
      <c r="L658" s="22" t="str">
        <f t="shared" si="10"/>
        <v>46266, 2, 18</v>
      </c>
    </row>
    <row r="659" spans="1:12">
      <c r="A659" s="9">
        <v>45689</v>
      </c>
      <c r="B659">
        <v>3</v>
      </c>
      <c r="C659" s="16" t="s">
        <v>58</v>
      </c>
      <c r="D659">
        <v>1</v>
      </c>
      <c r="E659" s="16" t="s">
        <v>38</v>
      </c>
      <c r="F659" s="18">
        <v>2415</v>
      </c>
      <c r="G659" s="22">
        <v>115</v>
      </c>
      <c r="H659" s="18">
        <v>3.8735475294117601</v>
      </c>
      <c r="I659" s="18">
        <v>445.45796588235203</v>
      </c>
      <c r="J659" s="18">
        <v>1969.54203411764</v>
      </c>
      <c r="K659" s="22">
        <v>0</v>
      </c>
      <c r="L659" s="22" t="str">
        <f t="shared" si="10"/>
        <v>45689, 3, 1</v>
      </c>
    </row>
    <row r="660" spans="1:12">
      <c r="A660" s="9">
        <v>45689</v>
      </c>
      <c r="B660">
        <v>3</v>
      </c>
      <c r="C660" s="16" t="s">
        <v>58</v>
      </c>
      <c r="D660">
        <v>2</v>
      </c>
      <c r="E660" s="16" t="s">
        <v>40</v>
      </c>
      <c r="F660" s="18">
        <v>3013</v>
      </c>
      <c r="G660" s="22">
        <v>131</v>
      </c>
      <c r="H660" s="18">
        <v>6.5065617280000003</v>
      </c>
      <c r="I660" s="18">
        <v>852.35958636800001</v>
      </c>
      <c r="J660" s="18">
        <v>2160.6404136320002</v>
      </c>
      <c r="K660" s="22">
        <v>0</v>
      </c>
      <c r="L660" s="22" t="str">
        <f t="shared" si="10"/>
        <v>45689, 3, 2</v>
      </c>
    </row>
    <row r="661" spans="1:12">
      <c r="A661" s="9">
        <v>45689</v>
      </c>
      <c r="B661">
        <v>3</v>
      </c>
      <c r="C661" s="16" t="s">
        <v>58</v>
      </c>
      <c r="D661">
        <v>4</v>
      </c>
      <c r="E661" s="16" t="s">
        <v>42</v>
      </c>
      <c r="F661" s="18">
        <v>3720</v>
      </c>
      <c r="G661" s="22">
        <v>186</v>
      </c>
      <c r="H661" s="18">
        <v>6.9848718236666603</v>
      </c>
      <c r="I661" s="18">
        <v>1299.186159202</v>
      </c>
      <c r="J661" s="18">
        <v>2420.81384079799</v>
      </c>
      <c r="K661" s="22">
        <v>0</v>
      </c>
      <c r="L661" s="22" t="str">
        <f t="shared" si="10"/>
        <v>45689, 3, 4</v>
      </c>
    </row>
    <row r="662" spans="1:12">
      <c r="A662" s="9">
        <v>45689</v>
      </c>
      <c r="B662">
        <v>3</v>
      </c>
      <c r="C662" s="16" t="s">
        <v>58</v>
      </c>
      <c r="D662">
        <v>6</v>
      </c>
      <c r="E662" s="16" t="s">
        <v>44</v>
      </c>
      <c r="F662" s="18">
        <v>2200</v>
      </c>
      <c r="G662" s="22">
        <v>100</v>
      </c>
      <c r="H662" s="18">
        <v>4.7237318036333296</v>
      </c>
      <c r="I662" s="18">
        <v>472.37318036333301</v>
      </c>
      <c r="J662" s="18">
        <v>1727.62681963666</v>
      </c>
      <c r="K662" s="22">
        <v>0</v>
      </c>
      <c r="L662" s="22" t="str">
        <f t="shared" si="10"/>
        <v>45689, 3, 6</v>
      </c>
    </row>
    <row r="663" spans="1:12">
      <c r="A663" s="9">
        <v>45689</v>
      </c>
      <c r="B663">
        <v>3</v>
      </c>
      <c r="C663" s="16" t="s">
        <v>58</v>
      </c>
      <c r="D663">
        <v>7</v>
      </c>
      <c r="E663" s="16" t="s">
        <v>45</v>
      </c>
      <c r="F663" s="18">
        <v>1230</v>
      </c>
      <c r="G663" s="22">
        <v>123</v>
      </c>
      <c r="H663" s="18">
        <v>2.8036393137500002</v>
      </c>
      <c r="I663" s="18">
        <v>344.84763559125003</v>
      </c>
      <c r="J663" s="18">
        <v>885.15236440875003</v>
      </c>
      <c r="K663" s="22">
        <v>0</v>
      </c>
      <c r="L663" s="22" t="str">
        <f t="shared" si="10"/>
        <v>45689, 3, 7</v>
      </c>
    </row>
    <row r="664" spans="1:12">
      <c r="A664" s="9">
        <v>45689</v>
      </c>
      <c r="B664">
        <v>3</v>
      </c>
      <c r="C664" s="16" t="s">
        <v>58</v>
      </c>
      <c r="D664">
        <v>9</v>
      </c>
      <c r="E664" s="16" t="s">
        <v>47</v>
      </c>
      <c r="F664" s="18">
        <v>2802.5</v>
      </c>
      <c r="G664" s="22">
        <v>59</v>
      </c>
      <c r="H664" s="18">
        <v>17.1805258631864</v>
      </c>
      <c r="I664" s="18">
        <v>1013.651025928</v>
      </c>
      <c r="J664" s="18">
        <v>1788.8489740719899</v>
      </c>
      <c r="K664" s="22">
        <v>0</v>
      </c>
      <c r="L664" s="22" t="str">
        <f t="shared" si="10"/>
        <v>45689, 3, 9</v>
      </c>
    </row>
    <row r="665" spans="1:12">
      <c r="A665" s="9">
        <v>45689</v>
      </c>
      <c r="B665">
        <v>3</v>
      </c>
      <c r="C665" s="16" t="s">
        <v>58</v>
      </c>
      <c r="D665">
        <v>11</v>
      </c>
      <c r="E665" s="16" t="s">
        <v>48</v>
      </c>
      <c r="F665" s="18">
        <v>1460</v>
      </c>
      <c r="G665" s="22">
        <v>73</v>
      </c>
      <c r="H665" s="18">
        <v>1.9117225375</v>
      </c>
      <c r="I665" s="18">
        <v>139.55574523749999</v>
      </c>
      <c r="J665" s="18">
        <v>1320.4442547624999</v>
      </c>
      <c r="K665" s="22">
        <v>0</v>
      </c>
      <c r="L665" s="22" t="str">
        <f t="shared" si="10"/>
        <v>45689, 3, 11</v>
      </c>
    </row>
    <row r="666" spans="1:12">
      <c r="A666" s="9">
        <v>45689</v>
      </c>
      <c r="B666">
        <v>3</v>
      </c>
      <c r="C666" s="16" t="s">
        <v>58</v>
      </c>
      <c r="D666">
        <v>12</v>
      </c>
      <c r="E666" s="16" t="s">
        <v>49</v>
      </c>
      <c r="F666" s="18">
        <v>1722</v>
      </c>
      <c r="G666" s="22">
        <v>82</v>
      </c>
      <c r="H666" s="18">
        <v>2.4908955855833299</v>
      </c>
      <c r="I666" s="18">
        <v>204.25343801783299</v>
      </c>
      <c r="J666" s="18">
        <v>1517.7465619821601</v>
      </c>
      <c r="K666" s="22">
        <v>0</v>
      </c>
      <c r="L666" s="22" t="str">
        <f t="shared" si="10"/>
        <v>45689, 3, 12</v>
      </c>
    </row>
    <row r="667" spans="1:12">
      <c r="A667" s="9">
        <v>45689</v>
      </c>
      <c r="B667">
        <v>3</v>
      </c>
      <c r="C667" s="16" t="s">
        <v>58</v>
      </c>
      <c r="D667">
        <v>13</v>
      </c>
      <c r="E667" s="16" t="s">
        <v>50</v>
      </c>
      <c r="F667" s="18">
        <v>3058</v>
      </c>
      <c r="G667" s="22">
        <v>139</v>
      </c>
      <c r="H667" s="18">
        <v>6.4718055000000003</v>
      </c>
      <c r="I667" s="18">
        <v>899.58096450000005</v>
      </c>
      <c r="J667" s="18">
        <v>2158.4190355000001</v>
      </c>
      <c r="K667" s="22">
        <v>0</v>
      </c>
      <c r="L667" s="22" t="str">
        <f t="shared" si="10"/>
        <v>45689, 3, 13</v>
      </c>
    </row>
    <row r="668" spans="1:12">
      <c r="A668" s="9">
        <v>45689</v>
      </c>
      <c r="B668">
        <v>3</v>
      </c>
      <c r="C668" s="16" t="s">
        <v>58</v>
      </c>
      <c r="D668">
        <v>14</v>
      </c>
      <c r="E668" s="16" t="s">
        <v>51</v>
      </c>
      <c r="F668" s="18">
        <v>1755</v>
      </c>
      <c r="G668" s="22">
        <v>65</v>
      </c>
      <c r="H668" s="18">
        <v>4.4764278963833304</v>
      </c>
      <c r="I668" s="18">
        <v>290.967813264916</v>
      </c>
      <c r="J668" s="18">
        <v>1464.0321867350799</v>
      </c>
      <c r="K668" s="22">
        <v>0</v>
      </c>
      <c r="L668" s="22" t="str">
        <f t="shared" si="10"/>
        <v>45689, 3, 14</v>
      </c>
    </row>
    <row r="669" spans="1:12">
      <c r="A669" s="9">
        <v>45689</v>
      </c>
      <c r="B669">
        <v>3</v>
      </c>
      <c r="C669" s="16" t="s">
        <v>58</v>
      </c>
      <c r="D669">
        <v>15</v>
      </c>
      <c r="E669" s="16" t="s">
        <v>52</v>
      </c>
      <c r="F669" s="18">
        <v>1997.5</v>
      </c>
      <c r="G669" s="22">
        <v>85</v>
      </c>
      <c r="H669" s="18">
        <v>2.6984824883999998</v>
      </c>
      <c r="I669" s="18">
        <v>229.371011514</v>
      </c>
      <c r="J669" s="18">
        <v>1768.128988486</v>
      </c>
      <c r="K669" s="22">
        <v>0</v>
      </c>
      <c r="L669" s="22" t="str">
        <f t="shared" si="10"/>
        <v>45689, 3, 15</v>
      </c>
    </row>
    <row r="670" spans="1:12">
      <c r="A670" s="9">
        <v>45689</v>
      </c>
      <c r="B670">
        <v>3</v>
      </c>
      <c r="C670" s="16" t="s">
        <v>58</v>
      </c>
      <c r="D670">
        <v>16</v>
      </c>
      <c r="E670" s="16" t="s">
        <v>53</v>
      </c>
      <c r="F670" s="18">
        <v>722.5</v>
      </c>
      <c r="G670" s="22">
        <v>85</v>
      </c>
      <c r="H670" s="18">
        <v>1.4779249048611101</v>
      </c>
      <c r="I670" s="18">
        <v>125.623616913194</v>
      </c>
      <c r="J670" s="18">
        <v>596.87638308680505</v>
      </c>
      <c r="K670" s="22">
        <v>0</v>
      </c>
      <c r="L670" s="22" t="str">
        <f t="shared" si="10"/>
        <v>45689, 3, 16</v>
      </c>
    </row>
    <row r="671" spans="1:12">
      <c r="A671" s="9">
        <v>45689</v>
      </c>
      <c r="B671">
        <v>3</v>
      </c>
      <c r="C671" s="16" t="s">
        <v>58</v>
      </c>
      <c r="D671">
        <v>17</v>
      </c>
      <c r="E671" s="16" t="s">
        <v>54</v>
      </c>
      <c r="F671" s="18">
        <v>600</v>
      </c>
      <c r="G671" s="22">
        <v>80</v>
      </c>
      <c r="H671" s="18">
        <v>1.34516510576923</v>
      </c>
      <c r="I671" s="18">
        <v>107.61320846153799</v>
      </c>
      <c r="J671" s="18">
        <v>492.38679153846101</v>
      </c>
      <c r="K671" s="22">
        <v>0</v>
      </c>
      <c r="L671" s="22" t="str">
        <f t="shared" si="10"/>
        <v>45689, 3, 17</v>
      </c>
    </row>
    <row r="672" spans="1:12">
      <c r="A672" s="9">
        <v>45689</v>
      </c>
      <c r="B672">
        <v>3</v>
      </c>
      <c r="C672" s="16" t="s">
        <v>58</v>
      </c>
      <c r="D672">
        <v>18</v>
      </c>
      <c r="E672" s="16" t="s">
        <v>55</v>
      </c>
      <c r="F672" s="18">
        <v>1403</v>
      </c>
      <c r="G672" s="22">
        <v>61</v>
      </c>
      <c r="H672" s="18">
        <v>5.3718192180937496</v>
      </c>
      <c r="I672" s="18">
        <v>327.68097230371802</v>
      </c>
      <c r="J672" s="18">
        <v>1075.31902769628</v>
      </c>
      <c r="K672" s="22">
        <v>0</v>
      </c>
      <c r="L672" s="22" t="str">
        <f t="shared" si="10"/>
        <v>45689, 3, 18</v>
      </c>
    </row>
    <row r="673" spans="1:12">
      <c r="A673" s="9">
        <v>45717</v>
      </c>
      <c r="B673">
        <v>3</v>
      </c>
      <c r="C673" s="16" t="s">
        <v>58</v>
      </c>
      <c r="D673">
        <v>1</v>
      </c>
      <c r="E673" s="16" t="s">
        <v>38</v>
      </c>
      <c r="F673" s="18">
        <v>3381</v>
      </c>
      <c r="G673" s="22">
        <v>161</v>
      </c>
      <c r="H673" s="18">
        <v>3.8738448382352901</v>
      </c>
      <c r="I673" s="18">
        <v>623.68901895588203</v>
      </c>
      <c r="J673" s="18">
        <v>2757.3109810441101</v>
      </c>
      <c r="K673" s="22">
        <v>0</v>
      </c>
      <c r="L673" s="22" t="str">
        <f t="shared" si="10"/>
        <v>45717, 3, 1</v>
      </c>
    </row>
    <row r="674" spans="1:12">
      <c r="A674" s="9">
        <v>45717</v>
      </c>
      <c r="B674">
        <v>3</v>
      </c>
      <c r="C674" s="16" t="s">
        <v>58</v>
      </c>
      <c r="D674">
        <v>2</v>
      </c>
      <c r="E674" s="16" t="s">
        <v>40</v>
      </c>
      <c r="F674" s="18">
        <v>3427</v>
      </c>
      <c r="G674" s="22">
        <v>149</v>
      </c>
      <c r="H674" s="18">
        <v>6.5288903983999997</v>
      </c>
      <c r="I674" s="18">
        <v>972.80466936159996</v>
      </c>
      <c r="J674" s="18">
        <v>2454.1953306383998</v>
      </c>
      <c r="K674" s="22">
        <v>0</v>
      </c>
      <c r="L674" s="22" t="str">
        <f t="shared" si="10"/>
        <v>45717, 3, 2</v>
      </c>
    </row>
    <row r="675" spans="1:12">
      <c r="A675" s="9">
        <v>45717</v>
      </c>
      <c r="B675">
        <v>3</v>
      </c>
      <c r="C675" s="16" t="s">
        <v>58</v>
      </c>
      <c r="D675">
        <v>4</v>
      </c>
      <c r="E675" s="16" t="s">
        <v>42</v>
      </c>
      <c r="F675" s="18">
        <v>4580</v>
      </c>
      <c r="G675" s="22">
        <v>229</v>
      </c>
      <c r="H675" s="18">
        <v>6.9050576524285701</v>
      </c>
      <c r="I675" s="18">
        <v>1581.2582024061401</v>
      </c>
      <c r="J675" s="18">
        <v>2998.7417975938502</v>
      </c>
      <c r="K675" s="22">
        <v>0</v>
      </c>
      <c r="L675" s="22" t="str">
        <f t="shared" si="10"/>
        <v>45717, 3, 4</v>
      </c>
    </row>
    <row r="676" spans="1:12">
      <c r="A676" s="9">
        <v>45717</v>
      </c>
      <c r="B676">
        <v>3</v>
      </c>
      <c r="C676" s="16" t="s">
        <v>58</v>
      </c>
      <c r="D676">
        <v>6</v>
      </c>
      <c r="E676" s="16" t="s">
        <v>44</v>
      </c>
      <c r="F676" s="18">
        <v>2354</v>
      </c>
      <c r="G676" s="22">
        <v>107</v>
      </c>
      <c r="H676" s="18">
        <v>4.6892506505</v>
      </c>
      <c r="I676" s="18">
        <v>501.74981960349999</v>
      </c>
      <c r="J676" s="18">
        <v>1852.2501803964999</v>
      </c>
      <c r="K676" s="22">
        <v>0</v>
      </c>
      <c r="L676" s="22" t="str">
        <f t="shared" si="10"/>
        <v>45717, 3, 6</v>
      </c>
    </row>
    <row r="677" spans="1:12">
      <c r="A677" s="9">
        <v>45717</v>
      </c>
      <c r="B677">
        <v>3</v>
      </c>
      <c r="C677" s="16" t="s">
        <v>58</v>
      </c>
      <c r="D677">
        <v>7</v>
      </c>
      <c r="E677" s="16" t="s">
        <v>45</v>
      </c>
      <c r="F677" s="18">
        <v>1270</v>
      </c>
      <c r="G677" s="22">
        <v>127</v>
      </c>
      <c r="H677" s="18">
        <v>2.8110795763333298</v>
      </c>
      <c r="I677" s="18">
        <v>357.00710619433301</v>
      </c>
      <c r="J677" s="18">
        <v>912.99289380566597</v>
      </c>
      <c r="K677" s="22">
        <v>0</v>
      </c>
      <c r="L677" s="22" t="str">
        <f t="shared" si="10"/>
        <v>45717, 3, 7</v>
      </c>
    </row>
    <row r="678" spans="1:12">
      <c r="A678" s="9">
        <v>45717</v>
      </c>
      <c r="B678">
        <v>3</v>
      </c>
      <c r="C678" s="16" t="s">
        <v>58</v>
      </c>
      <c r="D678">
        <v>9</v>
      </c>
      <c r="E678" s="16" t="s">
        <v>47</v>
      </c>
      <c r="F678" s="18">
        <v>2185</v>
      </c>
      <c r="G678" s="22">
        <v>46</v>
      </c>
      <c r="H678" s="18">
        <v>17.221650581714599</v>
      </c>
      <c r="I678" s="18">
        <v>792.19592675887202</v>
      </c>
      <c r="J678" s="18">
        <v>1392.80407324112</v>
      </c>
      <c r="K678" s="22">
        <v>0</v>
      </c>
      <c r="L678" s="22" t="str">
        <f t="shared" si="10"/>
        <v>45717, 3, 9</v>
      </c>
    </row>
    <row r="679" spans="1:12">
      <c r="A679" s="9">
        <v>45717</v>
      </c>
      <c r="B679">
        <v>3</v>
      </c>
      <c r="C679" s="16" t="s">
        <v>58</v>
      </c>
      <c r="D679">
        <v>11</v>
      </c>
      <c r="E679" s="16" t="s">
        <v>48</v>
      </c>
      <c r="F679" s="18">
        <v>1980</v>
      </c>
      <c r="G679" s="22">
        <v>99</v>
      </c>
      <c r="H679" s="18">
        <v>1.924729390625</v>
      </c>
      <c r="I679" s="18">
        <v>190.54820967187499</v>
      </c>
      <c r="J679" s="18">
        <v>1789.4517903281201</v>
      </c>
      <c r="K679" s="22">
        <v>0</v>
      </c>
      <c r="L679" s="22" t="str">
        <f t="shared" si="10"/>
        <v>45717, 3, 11</v>
      </c>
    </row>
    <row r="680" spans="1:12">
      <c r="A680" s="9">
        <v>45717</v>
      </c>
      <c r="B680">
        <v>3</v>
      </c>
      <c r="C680" s="16" t="s">
        <v>58</v>
      </c>
      <c r="D680">
        <v>12</v>
      </c>
      <c r="E680" s="16" t="s">
        <v>49</v>
      </c>
      <c r="F680" s="18">
        <v>1953</v>
      </c>
      <c r="G680" s="22">
        <v>93</v>
      </c>
      <c r="H680" s="18">
        <v>2.4931131945499998</v>
      </c>
      <c r="I680" s="18">
        <v>231.85952709315001</v>
      </c>
      <c r="J680" s="18">
        <v>1721.1404729068499</v>
      </c>
      <c r="K680" s="22">
        <v>0</v>
      </c>
      <c r="L680" s="22" t="str">
        <f t="shared" si="10"/>
        <v>45717, 3, 12</v>
      </c>
    </row>
    <row r="681" spans="1:12">
      <c r="A681" s="9">
        <v>45717</v>
      </c>
      <c r="B681">
        <v>3</v>
      </c>
      <c r="C681" s="16" t="s">
        <v>58</v>
      </c>
      <c r="D681">
        <v>13</v>
      </c>
      <c r="E681" s="16" t="s">
        <v>50</v>
      </c>
      <c r="F681" s="18">
        <v>2420</v>
      </c>
      <c r="G681" s="22">
        <v>110</v>
      </c>
      <c r="H681" s="18">
        <v>6.4840401428571397</v>
      </c>
      <c r="I681" s="18">
        <v>713.24441571428497</v>
      </c>
      <c r="J681" s="18">
        <v>1706.75558428571</v>
      </c>
      <c r="K681" s="22">
        <v>0</v>
      </c>
      <c r="L681" s="22" t="str">
        <f t="shared" si="10"/>
        <v>45717, 3, 13</v>
      </c>
    </row>
    <row r="682" spans="1:12">
      <c r="A682" s="9">
        <v>45717</v>
      </c>
      <c r="B682">
        <v>3</v>
      </c>
      <c r="C682" s="16" t="s">
        <v>58</v>
      </c>
      <c r="D682">
        <v>14</v>
      </c>
      <c r="E682" s="16" t="s">
        <v>51</v>
      </c>
      <c r="F682" s="18">
        <v>1836</v>
      </c>
      <c r="G682" s="22">
        <v>68</v>
      </c>
      <c r="H682" s="18">
        <v>4.4842574785694396</v>
      </c>
      <c r="I682" s="18">
        <v>304.92950854272198</v>
      </c>
      <c r="J682" s="18">
        <v>1531.07049145727</v>
      </c>
      <c r="K682" s="22">
        <v>0</v>
      </c>
      <c r="L682" s="22" t="str">
        <f t="shared" si="10"/>
        <v>45717, 3, 14</v>
      </c>
    </row>
    <row r="683" spans="1:12">
      <c r="A683" s="9">
        <v>45717</v>
      </c>
      <c r="B683">
        <v>3</v>
      </c>
      <c r="C683" s="16" t="s">
        <v>58</v>
      </c>
      <c r="D683">
        <v>15</v>
      </c>
      <c r="E683" s="16" t="s">
        <v>52</v>
      </c>
      <c r="F683" s="18">
        <v>2350</v>
      </c>
      <c r="G683" s="22">
        <v>100</v>
      </c>
      <c r="H683" s="18">
        <v>2.7120914322499998</v>
      </c>
      <c r="I683" s="18">
        <v>271.20914322499999</v>
      </c>
      <c r="J683" s="18">
        <v>2078.7908567750001</v>
      </c>
      <c r="K683" s="22">
        <v>0</v>
      </c>
      <c r="L683" s="22" t="str">
        <f t="shared" si="10"/>
        <v>45717, 3, 15</v>
      </c>
    </row>
    <row r="684" spans="1:12">
      <c r="A684" s="9">
        <v>45717</v>
      </c>
      <c r="B684">
        <v>3</v>
      </c>
      <c r="C684" s="16" t="s">
        <v>58</v>
      </c>
      <c r="D684">
        <v>16</v>
      </c>
      <c r="E684" s="16" t="s">
        <v>53</v>
      </c>
      <c r="F684" s="18">
        <v>943.5</v>
      </c>
      <c r="G684" s="22">
        <v>111</v>
      </c>
      <c r="H684" s="18">
        <v>1.48690014944444</v>
      </c>
      <c r="I684" s="18">
        <v>165.045916588333</v>
      </c>
      <c r="J684" s="18">
        <v>778.45408341166603</v>
      </c>
      <c r="K684" s="22">
        <v>0</v>
      </c>
      <c r="L684" s="22" t="str">
        <f t="shared" si="10"/>
        <v>45717, 3, 16</v>
      </c>
    </row>
    <row r="685" spans="1:12">
      <c r="A685" s="9">
        <v>45717</v>
      </c>
      <c r="B685">
        <v>3</v>
      </c>
      <c r="C685" s="16" t="s">
        <v>58</v>
      </c>
      <c r="D685">
        <v>17</v>
      </c>
      <c r="E685" s="16" t="s">
        <v>54</v>
      </c>
      <c r="F685" s="18">
        <v>690</v>
      </c>
      <c r="G685" s="22">
        <v>92</v>
      </c>
      <c r="H685" s="18">
        <v>1.3511377217857099</v>
      </c>
      <c r="I685" s="18">
        <v>124.30467040428501</v>
      </c>
      <c r="J685" s="18">
        <v>565.69532959571404</v>
      </c>
      <c r="K685" s="22">
        <v>0</v>
      </c>
      <c r="L685" s="22" t="str">
        <f t="shared" si="10"/>
        <v>45717, 3, 17</v>
      </c>
    </row>
    <row r="686" spans="1:12">
      <c r="A686" s="9">
        <v>45717</v>
      </c>
      <c r="B686">
        <v>3</v>
      </c>
      <c r="C686" s="16" t="s">
        <v>58</v>
      </c>
      <c r="D686">
        <v>18</v>
      </c>
      <c r="E686" s="16" t="s">
        <v>55</v>
      </c>
      <c r="F686" s="18">
        <v>1748</v>
      </c>
      <c r="G686" s="22">
        <v>76</v>
      </c>
      <c r="H686" s="18">
        <v>5.3862538701805498</v>
      </c>
      <c r="I686" s="18">
        <v>409.355294133722</v>
      </c>
      <c r="J686" s="18">
        <v>1338.64470586627</v>
      </c>
      <c r="K686" s="22">
        <v>0</v>
      </c>
      <c r="L686" s="22" t="str">
        <f t="shared" si="10"/>
        <v>45717, 3, 18</v>
      </c>
    </row>
    <row r="687" spans="1:12">
      <c r="A687" s="9">
        <v>45748</v>
      </c>
      <c r="B687">
        <v>3</v>
      </c>
      <c r="C687" s="16" t="s">
        <v>58</v>
      </c>
      <c r="D687">
        <v>1</v>
      </c>
      <c r="E687" s="16" t="s">
        <v>38</v>
      </c>
      <c r="F687" s="18">
        <v>3759</v>
      </c>
      <c r="G687" s="22">
        <v>179</v>
      </c>
      <c r="H687" s="18">
        <v>3.87320482894736</v>
      </c>
      <c r="I687" s="18">
        <v>693.30366438157796</v>
      </c>
      <c r="J687" s="18">
        <v>3065.6963356184201</v>
      </c>
      <c r="K687" s="22">
        <v>0</v>
      </c>
      <c r="L687" s="22" t="str">
        <f t="shared" si="10"/>
        <v>45748, 3, 1</v>
      </c>
    </row>
    <row r="688" spans="1:12">
      <c r="A688" s="9">
        <v>45748</v>
      </c>
      <c r="B688">
        <v>3</v>
      </c>
      <c r="C688" s="16" t="s">
        <v>58</v>
      </c>
      <c r="D688">
        <v>2</v>
      </c>
      <c r="E688" s="16" t="s">
        <v>40</v>
      </c>
      <c r="F688" s="18">
        <v>4255</v>
      </c>
      <c r="G688" s="22">
        <v>185</v>
      </c>
      <c r="H688" s="18">
        <v>6.5773866710666598</v>
      </c>
      <c r="I688" s="18">
        <v>1216.81653414733</v>
      </c>
      <c r="J688" s="18">
        <v>3038.18346585266</v>
      </c>
      <c r="K688" s="22">
        <v>0</v>
      </c>
      <c r="L688" s="22" t="str">
        <f t="shared" si="10"/>
        <v>45748, 3, 2</v>
      </c>
    </row>
    <row r="689" spans="1:12">
      <c r="A689" s="9">
        <v>45748</v>
      </c>
      <c r="B689">
        <v>3</v>
      </c>
      <c r="C689" s="16" t="s">
        <v>58</v>
      </c>
      <c r="D689">
        <v>4</v>
      </c>
      <c r="E689" s="16" t="s">
        <v>42</v>
      </c>
      <c r="F689" s="18">
        <v>5920</v>
      </c>
      <c r="G689" s="22">
        <v>296</v>
      </c>
      <c r="H689" s="18">
        <v>6.8395589000000001</v>
      </c>
      <c r="I689" s="18">
        <v>2024.5094343999999</v>
      </c>
      <c r="J689" s="18">
        <v>3895.4905656000001</v>
      </c>
      <c r="K689" s="22">
        <v>0</v>
      </c>
      <c r="L689" s="22" t="str">
        <f t="shared" si="10"/>
        <v>45748, 3, 4</v>
      </c>
    </row>
    <row r="690" spans="1:12">
      <c r="A690" s="9">
        <v>45748</v>
      </c>
      <c r="B690">
        <v>3</v>
      </c>
      <c r="C690" s="16" t="s">
        <v>58</v>
      </c>
      <c r="D690">
        <v>6</v>
      </c>
      <c r="E690" s="16" t="s">
        <v>44</v>
      </c>
      <c r="F690" s="18">
        <v>3344</v>
      </c>
      <c r="G690" s="22">
        <v>152</v>
      </c>
      <c r="H690" s="18">
        <v>4.6912178850000004</v>
      </c>
      <c r="I690" s="18">
        <v>713.06511852000006</v>
      </c>
      <c r="J690" s="18">
        <v>2630.9348814800001</v>
      </c>
      <c r="K690" s="22">
        <v>0</v>
      </c>
      <c r="L690" s="22" t="str">
        <f t="shared" si="10"/>
        <v>45748, 3, 6</v>
      </c>
    </row>
    <row r="691" spans="1:12">
      <c r="A691" s="9">
        <v>45748</v>
      </c>
      <c r="B691">
        <v>3</v>
      </c>
      <c r="C691" s="16" t="s">
        <v>58</v>
      </c>
      <c r="D691">
        <v>7</v>
      </c>
      <c r="E691" s="16" t="s">
        <v>45</v>
      </c>
      <c r="F691" s="18">
        <v>1600</v>
      </c>
      <c r="G691" s="22">
        <v>160</v>
      </c>
      <c r="H691" s="18">
        <v>2.8345977279687502</v>
      </c>
      <c r="I691" s="18">
        <v>453.53563647499999</v>
      </c>
      <c r="J691" s="18">
        <v>1146.464363525</v>
      </c>
      <c r="K691" s="22">
        <v>0</v>
      </c>
      <c r="L691" s="22" t="str">
        <f t="shared" si="10"/>
        <v>45748, 3, 7</v>
      </c>
    </row>
    <row r="692" spans="1:12">
      <c r="A692" s="9">
        <v>45748</v>
      </c>
      <c r="B692">
        <v>3</v>
      </c>
      <c r="C692" s="16" t="s">
        <v>58</v>
      </c>
      <c r="D692">
        <v>9</v>
      </c>
      <c r="E692" s="16" t="s">
        <v>47</v>
      </c>
      <c r="F692" s="18">
        <v>2755</v>
      </c>
      <c r="G692" s="22">
        <v>58</v>
      </c>
      <c r="H692" s="18">
        <v>17.2524621398777</v>
      </c>
      <c r="I692" s="18">
        <v>1000.6428041129</v>
      </c>
      <c r="J692" s="18">
        <v>1754.35719588709</v>
      </c>
      <c r="K692" s="22">
        <v>0</v>
      </c>
      <c r="L692" s="22" t="str">
        <f t="shared" si="10"/>
        <v>45748, 3, 9</v>
      </c>
    </row>
    <row r="693" spans="1:12">
      <c r="A693" s="9">
        <v>45748</v>
      </c>
      <c r="B693">
        <v>3</v>
      </c>
      <c r="C693" s="16" t="s">
        <v>58</v>
      </c>
      <c r="D693">
        <v>11</v>
      </c>
      <c r="E693" s="16" t="s">
        <v>48</v>
      </c>
      <c r="F693" s="18">
        <v>2560</v>
      </c>
      <c r="G693" s="22">
        <v>128</v>
      </c>
      <c r="H693" s="18">
        <v>1.9069579999999999</v>
      </c>
      <c r="I693" s="18">
        <v>244.09062399999999</v>
      </c>
      <c r="J693" s="18">
        <v>2315.9093760000001</v>
      </c>
      <c r="K693" s="22">
        <v>0</v>
      </c>
      <c r="L693" s="22" t="str">
        <f t="shared" si="10"/>
        <v>45748, 3, 11</v>
      </c>
    </row>
    <row r="694" spans="1:12">
      <c r="A694" s="9">
        <v>45748</v>
      </c>
      <c r="B694">
        <v>3</v>
      </c>
      <c r="C694" s="16" t="s">
        <v>58</v>
      </c>
      <c r="D694">
        <v>12</v>
      </c>
      <c r="E694" s="16" t="s">
        <v>49</v>
      </c>
      <c r="F694" s="18">
        <v>2625</v>
      </c>
      <c r="G694" s="22">
        <v>125</v>
      </c>
      <c r="H694" s="18">
        <v>2.52326675642857</v>
      </c>
      <c r="I694" s="18">
        <v>315.408344553571</v>
      </c>
      <c r="J694" s="18">
        <v>2309.5916554464202</v>
      </c>
      <c r="K694" s="22">
        <v>0</v>
      </c>
      <c r="L694" s="22" t="str">
        <f t="shared" si="10"/>
        <v>45748, 3, 12</v>
      </c>
    </row>
    <row r="695" spans="1:12">
      <c r="A695" s="9">
        <v>45748</v>
      </c>
      <c r="B695">
        <v>3</v>
      </c>
      <c r="C695" s="16" t="s">
        <v>58</v>
      </c>
      <c r="D695">
        <v>13</v>
      </c>
      <c r="E695" s="16" t="s">
        <v>50</v>
      </c>
      <c r="F695" s="18">
        <v>2508</v>
      </c>
      <c r="G695" s="22">
        <v>114</v>
      </c>
      <c r="H695" s="18">
        <v>6.54499986666666</v>
      </c>
      <c r="I695" s="18">
        <v>746.12998479999999</v>
      </c>
      <c r="J695" s="18">
        <v>1761.8700151999899</v>
      </c>
      <c r="K695" s="22">
        <v>0</v>
      </c>
      <c r="L695" s="22" t="str">
        <f t="shared" si="10"/>
        <v>45748, 3, 13</v>
      </c>
    </row>
    <row r="696" spans="1:12">
      <c r="A696" s="9">
        <v>45748</v>
      </c>
      <c r="B696">
        <v>3</v>
      </c>
      <c r="C696" s="16" t="s">
        <v>58</v>
      </c>
      <c r="D696">
        <v>14</v>
      </c>
      <c r="E696" s="16" t="s">
        <v>51</v>
      </c>
      <c r="F696" s="18">
        <v>2295</v>
      </c>
      <c r="G696" s="22">
        <v>85</v>
      </c>
      <c r="H696" s="18">
        <v>4.5158952150769203</v>
      </c>
      <c r="I696" s="18">
        <v>383.851093281538</v>
      </c>
      <c r="J696" s="18">
        <v>1911.14890671846</v>
      </c>
      <c r="K696" s="22">
        <v>0</v>
      </c>
      <c r="L696" s="22" t="str">
        <f t="shared" si="10"/>
        <v>45748, 3, 14</v>
      </c>
    </row>
    <row r="697" spans="1:12">
      <c r="A697" s="9">
        <v>45748</v>
      </c>
      <c r="B697">
        <v>3</v>
      </c>
      <c r="C697" s="16" t="s">
        <v>58</v>
      </c>
      <c r="D697">
        <v>15</v>
      </c>
      <c r="E697" s="16" t="s">
        <v>52</v>
      </c>
      <c r="F697" s="18">
        <v>2890.5</v>
      </c>
      <c r="G697" s="22">
        <v>123</v>
      </c>
      <c r="H697" s="18">
        <v>2.7076608851666601</v>
      </c>
      <c r="I697" s="18">
        <v>333.04228887549999</v>
      </c>
      <c r="J697" s="18">
        <v>2557.4577111244898</v>
      </c>
      <c r="K697" s="22">
        <v>0</v>
      </c>
      <c r="L697" s="22" t="str">
        <f t="shared" si="10"/>
        <v>45748, 3, 15</v>
      </c>
    </row>
    <row r="698" spans="1:12">
      <c r="A698" s="9">
        <v>45748</v>
      </c>
      <c r="B698">
        <v>3</v>
      </c>
      <c r="C698" s="16" t="s">
        <v>58</v>
      </c>
      <c r="D698">
        <v>16</v>
      </c>
      <c r="E698" s="16" t="s">
        <v>53</v>
      </c>
      <c r="F698" s="18">
        <v>935</v>
      </c>
      <c r="G698" s="22">
        <v>110</v>
      </c>
      <c r="H698" s="18">
        <v>1.50545525988888</v>
      </c>
      <c r="I698" s="18">
        <v>165.60007858777701</v>
      </c>
      <c r="J698" s="18">
        <v>769.39992141222206</v>
      </c>
      <c r="K698" s="22">
        <v>0</v>
      </c>
      <c r="L698" s="22" t="str">
        <f t="shared" si="10"/>
        <v>45748, 3, 16</v>
      </c>
    </row>
    <row r="699" spans="1:12">
      <c r="A699" s="9">
        <v>45748</v>
      </c>
      <c r="B699">
        <v>3</v>
      </c>
      <c r="C699" s="16" t="s">
        <v>58</v>
      </c>
      <c r="D699">
        <v>17</v>
      </c>
      <c r="E699" s="16" t="s">
        <v>54</v>
      </c>
      <c r="F699" s="18">
        <v>900</v>
      </c>
      <c r="G699" s="22">
        <v>120</v>
      </c>
      <c r="H699" s="18">
        <v>1.35947046466666</v>
      </c>
      <c r="I699" s="18">
        <v>163.13645575999999</v>
      </c>
      <c r="J699" s="18">
        <v>736.86354423999899</v>
      </c>
      <c r="K699" s="22">
        <v>0</v>
      </c>
      <c r="L699" s="22" t="str">
        <f t="shared" si="10"/>
        <v>45748, 3, 17</v>
      </c>
    </row>
    <row r="700" spans="1:12">
      <c r="A700" s="9">
        <v>45748</v>
      </c>
      <c r="B700">
        <v>3</v>
      </c>
      <c r="C700" s="16" t="s">
        <v>58</v>
      </c>
      <c r="D700">
        <v>18</v>
      </c>
      <c r="E700" s="16" t="s">
        <v>55</v>
      </c>
      <c r="F700" s="18">
        <v>2783</v>
      </c>
      <c r="G700" s="22">
        <v>121</v>
      </c>
      <c r="H700" s="18">
        <v>5.3875559289861101</v>
      </c>
      <c r="I700" s="18">
        <v>651.89426740731903</v>
      </c>
      <c r="J700" s="18">
        <v>2131.1057325926799</v>
      </c>
      <c r="K700" s="22">
        <v>0</v>
      </c>
      <c r="L700" s="22" t="str">
        <f t="shared" si="10"/>
        <v>45748, 3, 18</v>
      </c>
    </row>
    <row r="701" spans="1:12">
      <c r="A701" s="9">
        <v>45778</v>
      </c>
      <c r="B701">
        <v>3</v>
      </c>
      <c r="C701" s="16" t="s">
        <v>58</v>
      </c>
      <c r="D701">
        <v>1</v>
      </c>
      <c r="E701" s="16" t="s">
        <v>38</v>
      </c>
      <c r="F701" s="18">
        <v>3465</v>
      </c>
      <c r="G701" s="22">
        <v>165</v>
      </c>
      <c r="H701" s="18">
        <v>3.866264825</v>
      </c>
      <c r="I701" s="18">
        <v>637.93369612499998</v>
      </c>
      <c r="J701" s="18">
        <v>2827.0663038749999</v>
      </c>
      <c r="K701" s="22">
        <v>0</v>
      </c>
      <c r="L701" s="22" t="str">
        <f t="shared" si="10"/>
        <v>45778, 3, 1</v>
      </c>
    </row>
    <row r="702" spans="1:12">
      <c r="A702" s="9">
        <v>45778</v>
      </c>
      <c r="B702">
        <v>3</v>
      </c>
      <c r="C702" s="16" t="s">
        <v>58</v>
      </c>
      <c r="D702">
        <v>2</v>
      </c>
      <c r="E702" s="16" t="s">
        <v>40</v>
      </c>
      <c r="F702" s="18">
        <v>4761</v>
      </c>
      <c r="G702" s="22">
        <v>207</v>
      </c>
      <c r="H702" s="18">
        <v>6.5291022809333299</v>
      </c>
      <c r="I702" s="18">
        <v>1351.52417215319</v>
      </c>
      <c r="J702" s="18">
        <v>3409.4758278467998</v>
      </c>
      <c r="K702" s="22">
        <v>0</v>
      </c>
      <c r="L702" s="22" t="str">
        <f t="shared" si="10"/>
        <v>45778, 3, 2</v>
      </c>
    </row>
    <row r="703" spans="1:12">
      <c r="A703" s="9">
        <v>45778</v>
      </c>
      <c r="B703">
        <v>3</v>
      </c>
      <c r="C703" s="16" t="s">
        <v>58</v>
      </c>
      <c r="D703">
        <v>4</v>
      </c>
      <c r="E703" s="16" t="s">
        <v>42</v>
      </c>
      <c r="F703" s="18">
        <v>5480</v>
      </c>
      <c r="G703" s="22">
        <v>274</v>
      </c>
      <c r="H703" s="18">
        <v>6.618854571</v>
      </c>
      <c r="I703" s="18">
        <v>1813.5661524540001</v>
      </c>
      <c r="J703" s="18">
        <v>3666.4338475459999</v>
      </c>
      <c r="K703" s="22">
        <v>0</v>
      </c>
      <c r="L703" s="22" t="str">
        <f t="shared" si="10"/>
        <v>45778, 3, 4</v>
      </c>
    </row>
    <row r="704" spans="1:12">
      <c r="A704" s="9">
        <v>45778</v>
      </c>
      <c r="B704">
        <v>3</v>
      </c>
      <c r="C704" s="16" t="s">
        <v>58</v>
      </c>
      <c r="D704">
        <v>6</v>
      </c>
      <c r="E704" s="16" t="s">
        <v>44</v>
      </c>
      <c r="F704" s="18">
        <v>2090</v>
      </c>
      <c r="G704" s="22">
        <v>95</v>
      </c>
      <c r="H704" s="18">
        <v>4.6971217747105198</v>
      </c>
      <c r="I704" s="18">
        <v>446.22656859749998</v>
      </c>
      <c r="J704" s="18">
        <v>1643.7734314024899</v>
      </c>
      <c r="K704" s="22">
        <v>0</v>
      </c>
      <c r="L704" s="22" t="str">
        <f t="shared" si="10"/>
        <v>45778, 3, 6</v>
      </c>
    </row>
    <row r="705" spans="1:12">
      <c r="A705" s="9">
        <v>45778</v>
      </c>
      <c r="B705">
        <v>3</v>
      </c>
      <c r="C705" s="16" t="s">
        <v>58</v>
      </c>
      <c r="D705">
        <v>7</v>
      </c>
      <c r="E705" s="16" t="s">
        <v>45</v>
      </c>
      <c r="F705" s="18">
        <v>1480</v>
      </c>
      <c r="G705" s="22">
        <v>148</v>
      </c>
      <c r="H705" s="18">
        <v>2.83634837133333</v>
      </c>
      <c r="I705" s="18">
        <v>419.77955895733299</v>
      </c>
      <c r="J705" s="18">
        <v>1060.22044104266</v>
      </c>
      <c r="K705" s="22">
        <v>0</v>
      </c>
      <c r="L705" s="22" t="str">
        <f t="shared" si="10"/>
        <v>45778, 3, 7</v>
      </c>
    </row>
    <row r="706" spans="1:12">
      <c r="A706" s="9">
        <v>45778</v>
      </c>
      <c r="B706">
        <v>3</v>
      </c>
      <c r="C706" s="16" t="s">
        <v>58</v>
      </c>
      <c r="D706">
        <v>9</v>
      </c>
      <c r="E706" s="16" t="s">
        <v>47</v>
      </c>
      <c r="F706" s="18">
        <v>2137.5</v>
      </c>
      <c r="G706" s="22">
        <v>45</v>
      </c>
      <c r="H706" s="18">
        <v>17.323665979418202</v>
      </c>
      <c r="I706" s="18">
        <v>779.564969073822</v>
      </c>
      <c r="J706" s="18">
        <v>1357.9350309261699</v>
      </c>
      <c r="K706" s="22">
        <v>0</v>
      </c>
      <c r="L706" s="22" t="str">
        <f t="shared" si="10"/>
        <v>45778, 3, 9</v>
      </c>
    </row>
    <row r="707" spans="1:12">
      <c r="A707" s="9">
        <v>45778</v>
      </c>
      <c r="B707">
        <v>3</v>
      </c>
      <c r="C707" s="16" t="s">
        <v>58</v>
      </c>
      <c r="D707">
        <v>11</v>
      </c>
      <c r="E707" s="16" t="s">
        <v>48</v>
      </c>
      <c r="F707" s="18">
        <v>2840</v>
      </c>
      <c r="G707" s="22">
        <v>142</v>
      </c>
      <c r="H707" s="18">
        <v>1.9276644999999999</v>
      </c>
      <c r="I707" s="18">
        <v>273.72835900000001</v>
      </c>
      <c r="J707" s="18">
        <v>2566.2716409999998</v>
      </c>
      <c r="K707" s="22">
        <v>0</v>
      </c>
      <c r="L707" s="22" t="str">
        <f t="shared" ref="L707:L770" si="11">(A707&amp; ", "&amp; B707&amp; ", "&amp; D707)</f>
        <v>45778, 3, 11</v>
      </c>
    </row>
    <row r="708" spans="1:12">
      <c r="A708" s="9">
        <v>45778</v>
      </c>
      <c r="B708">
        <v>3</v>
      </c>
      <c r="C708" s="16" t="s">
        <v>58</v>
      </c>
      <c r="D708">
        <v>12</v>
      </c>
      <c r="E708" s="16" t="s">
        <v>49</v>
      </c>
      <c r="F708" s="18">
        <v>2751</v>
      </c>
      <c r="G708" s="22">
        <v>131</v>
      </c>
      <c r="H708" s="18">
        <v>2.4898578475952302</v>
      </c>
      <c r="I708" s="18">
        <v>326.17137803497599</v>
      </c>
      <c r="J708" s="18">
        <v>2424.8286219650199</v>
      </c>
      <c r="K708" s="22">
        <v>0</v>
      </c>
      <c r="L708" s="22" t="str">
        <f t="shared" si="11"/>
        <v>45778, 3, 12</v>
      </c>
    </row>
    <row r="709" spans="1:12">
      <c r="A709" s="9">
        <v>45778</v>
      </c>
      <c r="B709">
        <v>3</v>
      </c>
      <c r="C709" s="16" t="s">
        <v>58</v>
      </c>
      <c r="D709">
        <v>13</v>
      </c>
      <c r="E709" s="16" t="s">
        <v>50</v>
      </c>
      <c r="F709" s="18">
        <v>2288</v>
      </c>
      <c r="G709" s="22">
        <v>104</v>
      </c>
      <c r="H709" s="18">
        <v>6.5381008749999996</v>
      </c>
      <c r="I709" s="18">
        <v>679.962491</v>
      </c>
      <c r="J709" s="18">
        <v>1608.037509</v>
      </c>
      <c r="K709" s="22">
        <v>0</v>
      </c>
      <c r="L709" s="22" t="str">
        <f t="shared" si="11"/>
        <v>45778, 3, 13</v>
      </c>
    </row>
    <row r="710" spans="1:12">
      <c r="A710" s="9">
        <v>45778</v>
      </c>
      <c r="B710">
        <v>3</v>
      </c>
      <c r="C710" s="16" t="s">
        <v>58</v>
      </c>
      <c r="D710">
        <v>14</v>
      </c>
      <c r="E710" s="16" t="s">
        <v>51</v>
      </c>
      <c r="F710" s="18">
        <v>1782</v>
      </c>
      <c r="G710" s="22">
        <v>66</v>
      </c>
      <c r="H710" s="18">
        <v>4.4945150394487099</v>
      </c>
      <c r="I710" s="18">
        <v>296.63799260361498</v>
      </c>
      <c r="J710" s="18">
        <v>1485.36200739638</v>
      </c>
      <c r="K710" s="22">
        <v>0</v>
      </c>
      <c r="L710" s="22" t="str">
        <f t="shared" si="11"/>
        <v>45778, 3, 14</v>
      </c>
    </row>
    <row r="711" spans="1:12">
      <c r="A711" s="9">
        <v>45778</v>
      </c>
      <c r="B711">
        <v>3</v>
      </c>
      <c r="C711" s="16" t="s">
        <v>58</v>
      </c>
      <c r="D711">
        <v>15</v>
      </c>
      <c r="E711" s="16" t="s">
        <v>52</v>
      </c>
      <c r="F711" s="18">
        <v>2608.5</v>
      </c>
      <c r="G711" s="22">
        <v>111</v>
      </c>
      <c r="H711" s="18">
        <v>2.6630490939230702</v>
      </c>
      <c r="I711" s="18">
        <v>295.59844942546101</v>
      </c>
      <c r="J711" s="18">
        <v>2312.9015505745301</v>
      </c>
      <c r="K711" s="22">
        <v>0</v>
      </c>
      <c r="L711" s="22" t="str">
        <f t="shared" si="11"/>
        <v>45778, 3, 15</v>
      </c>
    </row>
    <row r="712" spans="1:12">
      <c r="A712" s="9">
        <v>45778</v>
      </c>
      <c r="B712">
        <v>3</v>
      </c>
      <c r="C712" s="16" t="s">
        <v>58</v>
      </c>
      <c r="D712">
        <v>16</v>
      </c>
      <c r="E712" s="16" t="s">
        <v>53</v>
      </c>
      <c r="F712" s="18">
        <v>926.5</v>
      </c>
      <c r="G712" s="22">
        <v>109</v>
      </c>
      <c r="H712" s="18">
        <v>1.50495127214285</v>
      </c>
      <c r="I712" s="18">
        <v>164.03968866357101</v>
      </c>
      <c r="J712" s="18">
        <v>762.46031133642805</v>
      </c>
      <c r="K712" s="22">
        <v>0</v>
      </c>
      <c r="L712" s="22" t="str">
        <f t="shared" si="11"/>
        <v>45778, 3, 16</v>
      </c>
    </row>
    <row r="713" spans="1:12">
      <c r="A713" s="9">
        <v>45778</v>
      </c>
      <c r="B713">
        <v>3</v>
      </c>
      <c r="C713" s="16" t="s">
        <v>58</v>
      </c>
      <c r="D713">
        <v>17</v>
      </c>
      <c r="E713" s="16" t="s">
        <v>54</v>
      </c>
      <c r="F713" s="18">
        <v>952.5</v>
      </c>
      <c r="G713" s="22">
        <v>127</v>
      </c>
      <c r="H713" s="18">
        <v>1.36718105892857</v>
      </c>
      <c r="I713" s="18">
        <v>173.631994483928</v>
      </c>
      <c r="J713" s="18">
        <v>778.86800551607098</v>
      </c>
      <c r="K713" s="22">
        <v>0</v>
      </c>
      <c r="L713" s="22" t="str">
        <f t="shared" si="11"/>
        <v>45778, 3, 17</v>
      </c>
    </row>
    <row r="714" spans="1:12">
      <c r="A714" s="9">
        <v>45778</v>
      </c>
      <c r="B714">
        <v>3</v>
      </c>
      <c r="C714" s="16" t="s">
        <v>58</v>
      </c>
      <c r="D714">
        <v>18</v>
      </c>
      <c r="E714" s="16" t="s">
        <v>55</v>
      </c>
      <c r="F714" s="18">
        <v>2691</v>
      </c>
      <c r="G714" s="22">
        <v>117</v>
      </c>
      <c r="H714" s="18">
        <v>5.3920407312368397</v>
      </c>
      <c r="I714" s="18">
        <v>630.86876555470997</v>
      </c>
      <c r="J714" s="18">
        <v>2060.1312344452799</v>
      </c>
      <c r="K714" s="22">
        <v>0</v>
      </c>
      <c r="L714" s="22" t="str">
        <f t="shared" si="11"/>
        <v>45778, 3, 18</v>
      </c>
    </row>
    <row r="715" spans="1:12">
      <c r="A715" s="9">
        <v>45809</v>
      </c>
      <c r="B715">
        <v>3</v>
      </c>
      <c r="C715" s="16" t="s">
        <v>58</v>
      </c>
      <c r="D715">
        <v>1</v>
      </c>
      <c r="E715" s="16" t="s">
        <v>38</v>
      </c>
      <c r="F715" s="18">
        <v>3213</v>
      </c>
      <c r="G715" s="22">
        <v>153</v>
      </c>
      <c r="H715" s="18">
        <v>3.8630655972222199</v>
      </c>
      <c r="I715" s="18">
        <v>591.04903637499899</v>
      </c>
      <c r="J715" s="18">
        <v>2621.950963625</v>
      </c>
      <c r="K715" s="22">
        <v>0</v>
      </c>
      <c r="L715" s="22" t="str">
        <f t="shared" si="11"/>
        <v>45809, 3, 1</v>
      </c>
    </row>
    <row r="716" spans="1:12">
      <c r="A716" s="9">
        <v>45809</v>
      </c>
      <c r="B716">
        <v>3</v>
      </c>
      <c r="C716" s="16" t="s">
        <v>58</v>
      </c>
      <c r="D716">
        <v>2</v>
      </c>
      <c r="E716" s="16" t="s">
        <v>40</v>
      </c>
      <c r="F716" s="18">
        <v>4186</v>
      </c>
      <c r="G716" s="22">
        <v>182</v>
      </c>
      <c r="H716" s="18">
        <v>6.5498373340000002</v>
      </c>
      <c r="I716" s="18">
        <v>1192.0703947879999</v>
      </c>
      <c r="J716" s="18">
        <v>2993.9296052119998</v>
      </c>
      <c r="K716" s="22">
        <v>0</v>
      </c>
      <c r="L716" s="22" t="str">
        <f t="shared" si="11"/>
        <v>45809, 3, 2</v>
      </c>
    </row>
    <row r="717" spans="1:12">
      <c r="A717" s="9">
        <v>45809</v>
      </c>
      <c r="B717">
        <v>3</v>
      </c>
      <c r="C717" s="16" t="s">
        <v>58</v>
      </c>
      <c r="D717">
        <v>4</v>
      </c>
      <c r="E717" s="16" t="s">
        <v>42</v>
      </c>
      <c r="F717" s="18">
        <v>5460</v>
      </c>
      <c r="G717" s="22">
        <v>273</v>
      </c>
      <c r="H717" s="18">
        <v>6.5589978459999996</v>
      </c>
      <c r="I717" s="18">
        <v>1790.6064119580001</v>
      </c>
      <c r="J717" s="18">
        <v>3669.3935880419999</v>
      </c>
      <c r="K717" s="22">
        <v>0</v>
      </c>
      <c r="L717" s="22" t="str">
        <f t="shared" si="11"/>
        <v>45809, 3, 4</v>
      </c>
    </row>
    <row r="718" spans="1:12">
      <c r="A718" s="9">
        <v>45809</v>
      </c>
      <c r="B718">
        <v>3</v>
      </c>
      <c r="C718" s="16" t="s">
        <v>58</v>
      </c>
      <c r="D718">
        <v>6</v>
      </c>
      <c r="E718" s="16" t="s">
        <v>44</v>
      </c>
      <c r="F718" s="18">
        <v>1936</v>
      </c>
      <c r="G718" s="22">
        <v>88</v>
      </c>
      <c r="H718" s="18">
        <v>4.6935197818823502</v>
      </c>
      <c r="I718" s="18">
        <v>413.02974080564701</v>
      </c>
      <c r="J718" s="18">
        <v>1522.9702591943501</v>
      </c>
      <c r="K718" s="22">
        <v>0</v>
      </c>
      <c r="L718" s="22" t="str">
        <f t="shared" si="11"/>
        <v>45809, 3, 6</v>
      </c>
    </row>
    <row r="719" spans="1:12">
      <c r="A719" s="9">
        <v>45809</v>
      </c>
      <c r="B719">
        <v>3</v>
      </c>
      <c r="C719" s="16" t="s">
        <v>58</v>
      </c>
      <c r="D719">
        <v>7</v>
      </c>
      <c r="E719" s="16" t="s">
        <v>45</v>
      </c>
      <c r="F719" s="18">
        <v>1310</v>
      </c>
      <c r="G719" s="22">
        <v>131</v>
      </c>
      <c r="H719" s="18">
        <v>2.8240349226666601</v>
      </c>
      <c r="I719" s="18">
        <v>369.94857486933302</v>
      </c>
      <c r="J719" s="18">
        <v>940.05142513066596</v>
      </c>
      <c r="K719" s="22">
        <v>0</v>
      </c>
      <c r="L719" s="22" t="str">
        <f t="shared" si="11"/>
        <v>45809, 3, 7</v>
      </c>
    </row>
    <row r="720" spans="1:12">
      <c r="A720" s="9">
        <v>45809</v>
      </c>
      <c r="B720">
        <v>3</v>
      </c>
      <c r="C720" s="16" t="s">
        <v>58</v>
      </c>
      <c r="D720">
        <v>9</v>
      </c>
      <c r="E720" s="16" t="s">
        <v>47</v>
      </c>
      <c r="F720" s="18">
        <v>1615</v>
      </c>
      <c r="G720" s="22">
        <v>34</v>
      </c>
      <c r="H720" s="18">
        <v>17.298765631810902</v>
      </c>
      <c r="I720" s="18">
        <v>588.15803148157204</v>
      </c>
      <c r="J720" s="18">
        <v>1026.8419685184199</v>
      </c>
      <c r="K720" s="22">
        <v>0</v>
      </c>
      <c r="L720" s="22" t="str">
        <f t="shared" si="11"/>
        <v>45809, 3, 9</v>
      </c>
    </row>
    <row r="721" spans="1:12">
      <c r="A721" s="9">
        <v>45809</v>
      </c>
      <c r="B721">
        <v>3</v>
      </c>
      <c r="C721" s="16" t="s">
        <v>58</v>
      </c>
      <c r="D721">
        <v>11</v>
      </c>
      <c r="E721" s="16" t="s">
        <v>48</v>
      </c>
      <c r="F721" s="18">
        <v>2620</v>
      </c>
      <c r="G721" s="22">
        <v>131</v>
      </c>
      <c r="H721" s="18">
        <v>1.9280950125</v>
      </c>
      <c r="I721" s="18">
        <v>252.58044663749999</v>
      </c>
      <c r="J721" s="18">
        <v>2367.4195533625002</v>
      </c>
      <c r="K721" s="22">
        <v>0</v>
      </c>
      <c r="L721" s="22" t="str">
        <f t="shared" si="11"/>
        <v>45809, 3, 11</v>
      </c>
    </row>
    <row r="722" spans="1:12">
      <c r="A722" s="9">
        <v>45809</v>
      </c>
      <c r="B722">
        <v>3</v>
      </c>
      <c r="C722" s="16" t="s">
        <v>58</v>
      </c>
      <c r="D722">
        <v>12</v>
      </c>
      <c r="E722" s="16" t="s">
        <v>49</v>
      </c>
      <c r="F722" s="18">
        <v>2247</v>
      </c>
      <c r="G722" s="22">
        <v>107</v>
      </c>
      <c r="H722" s="18">
        <v>2.4907370236999999</v>
      </c>
      <c r="I722" s="18">
        <v>266.5088615359</v>
      </c>
      <c r="J722" s="18">
        <v>1980.4911384641</v>
      </c>
      <c r="K722" s="22">
        <v>0</v>
      </c>
      <c r="L722" s="22" t="str">
        <f t="shared" si="11"/>
        <v>45809, 3, 12</v>
      </c>
    </row>
    <row r="723" spans="1:12">
      <c r="A723" s="9">
        <v>45809</v>
      </c>
      <c r="B723">
        <v>3</v>
      </c>
      <c r="C723" s="16" t="s">
        <v>58</v>
      </c>
      <c r="D723">
        <v>13</v>
      </c>
      <c r="E723" s="16" t="s">
        <v>50</v>
      </c>
      <c r="F723" s="18">
        <v>1738</v>
      </c>
      <c r="G723" s="22">
        <v>79</v>
      </c>
      <c r="H723" s="18">
        <v>6.6015846428571399</v>
      </c>
      <c r="I723" s="18">
        <v>521.52518678571403</v>
      </c>
      <c r="J723" s="18">
        <v>1216.4748132142799</v>
      </c>
      <c r="K723" s="22">
        <v>0</v>
      </c>
      <c r="L723" s="22" t="str">
        <f t="shared" si="11"/>
        <v>45809, 3, 13</v>
      </c>
    </row>
    <row r="724" spans="1:12">
      <c r="A724" s="9">
        <v>45809</v>
      </c>
      <c r="B724">
        <v>3</v>
      </c>
      <c r="C724" s="16" t="s">
        <v>58</v>
      </c>
      <c r="D724">
        <v>14</v>
      </c>
      <c r="E724" s="16" t="s">
        <v>51</v>
      </c>
      <c r="F724" s="18">
        <v>1107</v>
      </c>
      <c r="G724" s="22">
        <v>41</v>
      </c>
      <c r="H724" s="18">
        <v>4.4809445907361098</v>
      </c>
      <c r="I724" s="18">
        <v>183.71872822018</v>
      </c>
      <c r="J724" s="18">
        <v>923.28127177981901</v>
      </c>
      <c r="K724" s="22">
        <v>0</v>
      </c>
      <c r="L724" s="22" t="str">
        <f t="shared" si="11"/>
        <v>45809, 3, 14</v>
      </c>
    </row>
    <row r="725" spans="1:12">
      <c r="A725" s="9">
        <v>45809</v>
      </c>
      <c r="B725">
        <v>3</v>
      </c>
      <c r="C725" s="16" t="s">
        <v>58</v>
      </c>
      <c r="D725">
        <v>15</v>
      </c>
      <c r="E725" s="16" t="s">
        <v>52</v>
      </c>
      <c r="F725" s="18">
        <v>2538</v>
      </c>
      <c r="G725" s="22">
        <v>108</v>
      </c>
      <c r="H725" s="18">
        <v>2.6840301531666602</v>
      </c>
      <c r="I725" s="18">
        <v>289.87525654199999</v>
      </c>
      <c r="J725" s="18">
        <v>2248.12474345799</v>
      </c>
      <c r="K725" s="22">
        <v>0</v>
      </c>
      <c r="L725" s="22" t="str">
        <f t="shared" si="11"/>
        <v>45809, 3, 15</v>
      </c>
    </row>
    <row r="726" spans="1:12">
      <c r="A726" s="9">
        <v>45809</v>
      </c>
      <c r="B726">
        <v>3</v>
      </c>
      <c r="C726" s="16" t="s">
        <v>58</v>
      </c>
      <c r="D726">
        <v>16</v>
      </c>
      <c r="E726" s="16" t="s">
        <v>53</v>
      </c>
      <c r="F726" s="18">
        <v>867</v>
      </c>
      <c r="G726" s="22">
        <v>102</v>
      </c>
      <c r="H726" s="18">
        <v>1.5104685146527701</v>
      </c>
      <c r="I726" s="18">
        <v>154.067788494583</v>
      </c>
      <c r="J726" s="18">
        <v>712.93221150541603</v>
      </c>
      <c r="K726" s="22">
        <v>0</v>
      </c>
      <c r="L726" s="22" t="str">
        <f t="shared" si="11"/>
        <v>45809, 3, 16</v>
      </c>
    </row>
    <row r="727" spans="1:12">
      <c r="A727" s="9">
        <v>45809</v>
      </c>
      <c r="B727">
        <v>3</v>
      </c>
      <c r="C727" s="16" t="s">
        <v>58</v>
      </c>
      <c r="D727">
        <v>17</v>
      </c>
      <c r="E727" s="16" t="s">
        <v>54</v>
      </c>
      <c r="F727" s="18">
        <v>810</v>
      </c>
      <c r="G727" s="22">
        <v>108</v>
      </c>
      <c r="H727" s="18">
        <v>1.36156345178571</v>
      </c>
      <c r="I727" s="18">
        <v>147.04885279285699</v>
      </c>
      <c r="J727" s="18">
        <v>662.95114720714196</v>
      </c>
      <c r="K727" s="22">
        <v>0</v>
      </c>
      <c r="L727" s="22" t="str">
        <f t="shared" si="11"/>
        <v>45809, 3, 17</v>
      </c>
    </row>
    <row r="728" spans="1:12">
      <c r="A728" s="9">
        <v>45809</v>
      </c>
      <c r="B728">
        <v>3</v>
      </c>
      <c r="C728" s="16" t="s">
        <v>58</v>
      </c>
      <c r="D728">
        <v>18</v>
      </c>
      <c r="E728" s="16" t="s">
        <v>55</v>
      </c>
      <c r="F728" s="18">
        <v>4600</v>
      </c>
      <c r="G728" s="22">
        <v>200</v>
      </c>
      <c r="H728" s="18">
        <v>5.4117133913194397</v>
      </c>
      <c r="I728" s="18">
        <v>1082.3426782638801</v>
      </c>
      <c r="J728" s="18">
        <v>3517.6573217361101</v>
      </c>
      <c r="K728" s="22">
        <v>0</v>
      </c>
      <c r="L728" s="22" t="str">
        <f t="shared" si="11"/>
        <v>45809, 3, 18</v>
      </c>
    </row>
    <row r="729" spans="1:12">
      <c r="A729" s="9">
        <v>45839</v>
      </c>
      <c r="B729">
        <v>3</v>
      </c>
      <c r="C729" s="16" t="s">
        <v>58</v>
      </c>
      <c r="D729">
        <v>1</v>
      </c>
      <c r="E729" s="16" t="s">
        <v>38</v>
      </c>
      <c r="F729" s="18">
        <v>3801</v>
      </c>
      <c r="G729" s="22">
        <v>181</v>
      </c>
      <c r="H729" s="18">
        <v>3.9357751250000002</v>
      </c>
      <c r="I729" s="18">
        <v>712.37529762500003</v>
      </c>
      <c r="J729" s="18">
        <v>3088.6247023750002</v>
      </c>
      <c r="K729" s="22">
        <v>0</v>
      </c>
      <c r="L729" s="22" t="str">
        <f t="shared" si="11"/>
        <v>45839, 3, 1</v>
      </c>
    </row>
    <row r="730" spans="1:12">
      <c r="A730" s="9">
        <v>45839</v>
      </c>
      <c r="B730">
        <v>3</v>
      </c>
      <c r="C730" s="16" t="s">
        <v>58</v>
      </c>
      <c r="D730">
        <v>2</v>
      </c>
      <c r="E730" s="16" t="s">
        <v>40</v>
      </c>
      <c r="F730" s="18">
        <v>4117</v>
      </c>
      <c r="G730" s="22">
        <v>179</v>
      </c>
      <c r="H730" s="18">
        <v>6.5511900471764699</v>
      </c>
      <c r="I730" s="18">
        <v>1172.6630184445801</v>
      </c>
      <c r="J730" s="18">
        <v>2944.3369815554101</v>
      </c>
      <c r="K730" s="22">
        <v>0</v>
      </c>
      <c r="L730" s="22" t="str">
        <f t="shared" si="11"/>
        <v>45839, 3, 2</v>
      </c>
    </row>
    <row r="731" spans="1:12">
      <c r="A731" s="9">
        <v>45839</v>
      </c>
      <c r="B731">
        <v>3</v>
      </c>
      <c r="C731" s="16" t="s">
        <v>58</v>
      </c>
      <c r="D731">
        <v>4</v>
      </c>
      <c r="E731" s="16" t="s">
        <v>42</v>
      </c>
      <c r="F731" s="18">
        <v>5860</v>
      </c>
      <c r="G731" s="22">
        <v>293</v>
      </c>
      <c r="H731" s="18">
        <v>6.5106627434666597</v>
      </c>
      <c r="I731" s="18">
        <v>1907.62418383573</v>
      </c>
      <c r="J731" s="18">
        <v>3952.37581616426</v>
      </c>
      <c r="K731" s="22">
        <v>0</v>
      </c>
      <c r="L731" s="22" t="str">
        <f t="shared" si="11"/>
        <v>45839, 3, 4</v>
      </c>
    </row>
    <row r="732" spans="1:12">
      <c r="A732" s="9">
        <v>45839</v>
      </c>
      <c r="B732">
        <v>3</v>
      </c>
      <c r="C732" s="16" t="s">
        <v>58</v>
      </c>
      <c r="D732">
        <v>6</v>
      </c>
      <c r="E732" s="16" t="s">
        <v>44</v>
      </c>
      <c r="F732" s="18">
        <v>1936</v>
      </c>
      <c r="G732" s="22">
        <v>88</v>
      </c>
      <c r="H732" s="18">
        <v>4.7625003649000002</v>
      </c>
      <c r="I732" s="18">
        <v>419.10003211119999</v>
      </c>
      <c r="J732" s="18">
        <v>1516.8999678887999</v>
      </c>
      <c r="K732" s="22">
        <v>0</v>
      </c>
      <c r="L732" s="22" t="str">
        <f t="shared" si="11"/>
        <v>45839, 3, 6</v>
      </c>
    </row>
    <row r="733" spans="1:12">
      <c r="A733" s="9">
        <v>45839</v>
      </c>
      <c r="B733">
        <v>3</v>
      </c>
      <c r="C733" s="16" t="s">
        <v>58</v>
      </c>
      <c r="D733">
        <v>7</v>
      </c>
      <c r="E733" s="16" t="s">
        <v>45</v>
      </c>
      <c r="F733" s="18">
        <v>1240</v>
      </c>
      <c r="G733" s="22">
        <v>124</v>
      </c>
      <c r="H733" s="18">
        <v>2.8503101259374999</v>
      </c>
      <c r="I733" s="18">
        <v>353.43845561625</v>
      </c>
      <c r="J733" s="18">
        <v>886.56154438374995</v>
      </c>
      <c r="K733" s="22">
        <v>0</v>
      </c>
      <c r="L733" s="22" t="str">
        <f t="shared" si="11"/>
        <v>45839, 3, 7</v>
      </c>
    </row>
    <row r="734" spans="1:12">
      <c r="A734" s="9">
        <v>45839</v>
      </c>
      <c r="B734">
        <v>3</v>
      </c>
      <c r="C734" s="16" t="s">
        <v>58</v>
      </c>
      <c r="D734">
        <v>9</v>
      </c>
      <c r="E734" s="16" t="s">
        <v>47</v>
      </c>
      <c r="F734" s="18">
        <v>1472.5</v>
      </c>
      <c r="G734" s="22">
        <v>31</v>
      </c>
      <c r="H734" s="18">
        <v>17.2707975822915</v>
      </c>
      <c r="I734" s="18">
        <v>535.39472505103595</v>
      </c>
      <c r="J734" s="18">
        <v>937.10527494896303</v>
      </c>
      <c r="K734" s="22">
        <v>0</v>
      </c>
      <c r="L734" s="22" t="str">
        <f t="shared" si="11"/>
        <v>45839, 3, 9</v>
      </c>
    </row>
    <row r="735" spans="1:12">
      <c r="A735" s="9">
        <v>45839</v>
      </c>
      <c r="B735">
        <v>3</v>
      </c>
      <c r="C735" s="16" t="s">
        <v>58</v>
      </c>
      <c r="D735">
        <v>11</v>
      </c>
      <c r="E735" s="16" t="s">
        <v>48</v>
      </c>
      <c r="F735" s="18">
        <v>2720</v>
      </c>
      <c r="G735" s="22">
        <v>136</v>
      </c>
      <c r="H735" s="18">
        <v>2.0205385874999999</v>
      </c>
      <c r="I735" s="18">
        <v>274.79324789999998</v>
      </c>
      <c r="J735" s="18">
        <v>2445.2067520999999</v>
      </c>
      <c r="K735" s="22">
        <v>0</v>
      </c>
      <c r="L735" s="22" t="str">
        <f t="shared" si="11"/>
        <v>45839, 3, 11</v>
      </c>
    </row>
    <row r="736" spans="1:12">
      <c r="A736" s="9">
        <v>45839</v>
      </c>
      <c r="B736">
        <v>3</v>
      </c>
      <c r="C736" s="16" t="s">
        <v>58</v>
      </c>
      <c r="D736">
        <v>12</v>
      </c>
      <c r="E736" s="16" t="s">
        <v>49</v>
      </c>
      <c r="F736" s="18">
        <v>2331</v>
      </c>
      <c r="G736" s="22">
        <v>111</v>
      </c>
      <c r="H736" s="18">
        <v>2.5062001792142801</v>
      </c>
      <c r="I736" s="18">
        <v>278.18821989278501</v>
      </c>
      <c r="J736" s="18">
        <v>2052.8117801072099</v>
      </c>
      <c r="K736" s="22">
        <v>0</v>
      </c>
      <c r="L736" s="22" t="str">
        <f t="shared" si="11"/>
        <v>45839, 3, 12</v>
      </c>
    </row>
    <row r="737" spans="1:12">
      <c r="A737" s="9">
        <v>45839</v>
      </c>
      <c r="B737">
        <v>3</v>
      </c>
      <c r="C737" s="16" t="s">
        <v>58</v>
      </c>
      <c r="D737">
        <v>13</v>
      </c>
      <c r="E737" s="16" t="s">
        <v>50</v>
      </c>
      <c r="F737" s="18">
        <v>1892</v>
      </c>
      <c r="G737" s="22">
        <v>86</v>
      </c>
      <c r="H737" s="18">
        <v>6.7198018235294104</v>
      </c>
      <c r="I737" s="18">
        <v>577.90295682352905</v>
      </c>
      <c r="J737" s="18">
        <v>1314.0970431764699</v>
      </c>
      <c r="K737" s="22">
        <v>0</v>
      </c>
      <c r="L737" s="22" t="str">
        <f t="shared" si="11"/>
        <v>45839, 3, 13</v>
      </c>
    </row>
    <row r="738" spans="1:12">
      <c r="A738" s="9">
        <v>45839</v>
      </c>
      <c r="B738">
        <v>3</v>
      </c>
      <c r="C738" s="16" t="s">
        <v>58</v>
      </c>
      <c r="D738">
        <v>14</v>
      </c>
      <c r="E738" s="16" t="s">
        <v>51</v>
      </c>
      <c r="F738" s="18">
        <v>1080</v>
      </c>
      <c r="G738" s="22">
        <v>40</v>
      </c>
      <c r="H738" s="18">
        <v>4.4836510808717902</v>
      </c>
      <c r="I738" s="18">
        <v>179.34604323487099</v>
      </c>
      <c r="J738" s="18">
        <v>900.65395676512799</v>
      </c>
      <c r="K738" s="22">
        <v>0</v>
      </c>
      <c r="L738" s="22" t="str">
        <f t="shared" si="11"/>
        <v>45839, 3, 14</v>
      </c>
    </row>
    <row r="739" spans="1:12">
      <c r="A739" s="9">
        <v>45839</v>
      </c>
      <c r="B739">
        <v>3</v>
      </c>
      <c r="C739" s="16" t="s">
        <v>58</v>
      </c>
      <c r="D739">
        <v>15</v>
      </c>
      <c r="E739" s="16" t="s">
        <v>52</v>
      </c>
      <c r="F739" s="18">
        <v>2726</v>
      </c>
      <c r="G739" s="22">
        <v>116</v>
      </c>
      <c r="H739" s="18">
        <v>2.7036045806153801</v>
      </c>
      <c r="I739" s="18">
        <v>313.61813135138402</v>
      </c>
      <c r="J739" s="18">
        <v>2412.3818686486102</v>
      </c>
      <c r="K739" s="22">
        <v>0</v>
      </c>
      <c r="L739" s="22" t="str">
        <f t="shared" si="11"/>
        <v>45839, 3, 15</v>
      </c>
    </row>
    <row r="740" spans="1:12">
      <c r="A740" s="9">
        <v>45839</v>
      </c>
      <c r="B740">
        <v>3</v>
      </c>
      <c r="C740" s="16" t="s">
        <v>58</v>
      </c>
      <c r="D740">
        <v>16</v>
      </c>
      <c r="E740" s="16" t="s">
        <v>53</v>
      </c>
      <c r="F740" s="18">
        <v>782</v>
      </c>
      <c r="G740" s="22">
        <v>92</v>
      </c>
      <c r="H740" s="18">
        <v>1.5156840430952301</v>
      </c>
      <c r="I740" s="18">
        <v>139.44293196476099</v>
      </c>
      <c r="J740" s="18">
        <v>642.55706803523799</v>
      </c>
      <c r="K740" s="22">
        <v>0</v>
      </c>
      <c r="L740" s="22" t="str">
        <f t="shared" si="11"/>
        <v>45839, 3, 16</v>
      </c>
    </row>
    <row r="741" spans="1:12">
      <c r="A741" s="9">
        <v>45839</v>
      </c>
      <c r="B741">
        <v>3</v>
      </c>
      <c r="C741" s="16" t="s">
        <v>58</v>
      </c>
      <c r="D741">
        <v>17</v>
      </c>
      <c r="E741" s="16" t="s">
        <v>54</v>
      </c>
      <c r="F741" s="18">
        <v>1012.5</v>
      </c>
      <c r="G741" s="22">
        <v>135</v>
      </c>
      <c r="H741" s="18">
        <v>1.3886981783333301</v>
      </c>
      <c r="I741" s="18">
        <v>187.47425407499901</v>
      </c>
      <c r="J741" s="18">
        <v>825.02574592500002</v>
      </c>
      <c r="K741" s="22">
        <v>0</v>
      </c>
      <c r="L741" s="22" t="str">
        <f t="shared" si="11"/>
        <v>45839, 3, 17</v>
      </c>
    </row>
    <row r="742" spans="1:12">
      <c r="A742" s="9">
        <v>45839</v>
      </c>
      <c r="B742">
        <v>3</v>
      </c>
      <c r="C742" s="16" t="s">
        <v>58</v>
      </c>
      <c r="D742">
        <v>18</v>
      </c>
      <c r="E742" s="16" t="s">
        <v>55</v>
      </c>
      <c r="F742" s="18">
        <v>5014</v>
      </c>
      <c r="G742" s="22">
        <v>218</v>
      </c>
      <c r="H742" s="18">
        <v>5.4054501904868397</v>
      </c>
      <c r="I742" s="18">
        <v>1178.3881415261301</v>
      </c>
      <c r="J742" s="18">
        <v>3835.6118584738601</v>
      </c>
      <c r="K742" s="22">
        <v>0</v>
      </c>
      <c r="L742" s="22" t="str">
        <f t="shared" si="11"/>
        <v>45839, 3, 18</v>
      </c>
    </row>
    <row r="743" spans="1:12">
      <c r="A743" s="9">
        <v>45870</v>
      </c>
      <c r="B743">
        <v>3</v>
      </c>
      <c r="C743" s="16" t="s">
        <v>58</v>
      </c>
      <c r="D743">
        <v>1</v>
      </c>
      <c r="E743" s="16" t="s">
        <v>38</v>
      </c>
      <c r="F743" s="18">
        <v>3885</v>
      </c>
      <c r="G743" s="22">
        <v>185</v>
      </c>
      <c r="H743" s="18">
        <v>3.9491650416666602</v>
      </c>
      <c r="I743" s="18">
        <v>730.59553270833305</v>
      </c>
      <c r="J743" s="18">
        <v>3154.4044672916598</v>
      </c>
      <c r="K743" s="22">
        <v>0</v>
      </c>
      <c r="L743" s="22" t="str">
        <f t="shared" si="11"/>
        <v>45870, 3, 1</v>
      </c>
    </row>
    <row r="744" spans="1:12">
      <c r="A744" s="9">
        <v>45870</v>
      </c>
      <c r="B744">
        <v>3</v>
      </c>
      <c r="C744" s="16" t="s">
        <v>58</v>
      </c>
      <c r="D744">
        <v>2</v>
      </c>
      <c r="E744" s="16" t="s">
        <v>40</v>
      </c>
      <c r="F744" s="18">
        <v>4140</v>
      </c>
      <c r="G744" s="22">
        <v>180</v>
      </c>
      <c r="H744" s="18">
        <v>6.5387512709999998</v>
      </c>
      <c r="I744" s="18">
        <v>1176.97522878</v>
      </c>
      <c r="J744" s="18">
        <v>2963.0247712199998</v>
      </c>
      <c r="K744" s="22">
        <v>0</v>
      </c>
      <c r="L744" s="22" t="str">
        <f t="shared" si="11"/>
        <v>45870, 3, 2</v>
      </c>
    </row>
    <row r="745" spans="1:12">
      <c r="A745" s="9">
        <v>45870</v>
      </c>
      <c r="B745">
        <v>3</v>
      </c>
      <c r="C745" s="16" t="s">
        <v>58</v>
      </c>
      <c r="D745">
        <v>4</v>
      </c>
      <c r="E745" s="16" t="s">
        <v>42</v>
      </c>
      <c r="F745" s="18">
        <v>5900</v>
      </c>
      <c r="G745" s="22">
        <v>295</v>
      </c>
      <c r="H745" s="18">
        <v>6.5624785306153797</v>
      </c>
      <c r="I745" s="18">
        <v>1935.9311665315299</v>
      </c>
      <c r="J745" s="18">
        <v>3964.0688334684601</v>
      </c>
      <c r="K745" s="22">
        <v>0</v>
      </c>
      <c r="L745" s="22" t="str">
        <f t="shared" si="11"/>
        <v>45870, 3, 4</v>
      </c>
    </row>
    <row r="746" spans="1:12">
      <c r="A746" s="9">
        <v>45870</v>
      </c>
      <c r="B746">
        <v>3</v>
      </c>
      <c r="C746" s="16" t="s">
        <v>58</v>
      </c>
      <c r="D746">
        <v>6</v>
      </c>
      <c r="E746" s="16" t="s">
        <v>44</v>
      </c>
      <c r="F746" s="18">
        <v>2200</v>
      </c>
      <c r="G746" s="22">
        <v>100</v>
      </c>
      <c r="H746" s="18">
        <v>4.7431293906388801</v>
      </c>
      <c r="I746" s="18">
        <v>474.312939063888</v>
      </c>
      <c r="J746" s="18">
        <v>1725.6870609361099</v>
      </c>
      <c r="K746" s="22">
        <v>0</v>
      </c>
      <c r="L746" s="22" t="str">
        <f t="shared" si="11"/>
        <v>45870, 3, 6</v>
      </c>
    </row>
    <row r="747" spans="1:12">
      <c r="A747" s="9">
        <v>45870</v>
      </c>
      <c r="B747">
        <v>3</v>
      </c>
      <c r="C747" s="16" t="s">
        <v>58</v>
      </c>
      <c r="D747">
        <v>7</v>
      </c>
      <c r="E747" s="16" t="s">
        <v>45</v>
      </c>
      <c r="F747" s="18">
        <v>1410</v>
      </c>
      <c r="G747" s="22">
        <v>141</v>
      </c>
      <c r="H747" s="18">
        <v>2.8740006312499999</v>
      </c>
      <c r="I747" s="18">
        <v>405.23408900624997</v>
      </c>
      <c r="J747" s="18">
        <v>1004.76591099375</v>
      </c>
      <c r="K747" s="22">
        <v>0</v>
      </c>
      <c r="L747" s="22" t="str">
        <f t="shared" si="11"/>
        <v>45870, 3, 7</v>
      </c>
    </row>
    <row r="748" spans="1:12">
      <c r="A748" s="9">
        <v>45870</v>
      </c>
      <c r="B748">
        <v>3</v>
      </c>
      <c r="C748" s="16" t="s">
        <v>58</v>
      </c>
      <c r="D748">
        <v>9</v>
      </c>
      <c r="E748" s="16" t="s">
        <v>47</v>
      </c>
      <c r="F748" s="18">
        <v>2137.5</v>
      </c>
      <c r="G748" s="22">
        <v>45</v>
      </c>
      <c r="H748" s="18">
        <v>17.328395974052199</v>
      </c>
      <c r="I748" s="18">
        <v>779.77781883235298</v>
      </c>
      <c r="J748" s="18">
        <v>1357.72218116764</v>
      </c>
      <c r="K748" s="22">
        <v>0</v>
      </c>
      <c r="L748" s="22" t="str">
        <f t="shared" si="11"/>
        <v>45870, 3, 9</v>
      </c>
    </row>
    <row r="749" spans="1:12">
      <c r="A749" s="9">
        <v>45870</v>
      </c>
      <c r="B749">
        <v>3</v>
      </c>
      <c r="C749" s="16" t="s">
        <v>58</v>
      </c>
      <c r="D749">
        <v>11</v>
      </c>
      <c r="E749" s="16" t="s">
        <v>48</v>
      </c>
      <c r="F749" s="18">
        <v>3120</v>
      </c>
      <c r="G749" s="22">
        <v>156</v>
      </c>
      <c r="H749" s="18">
        <v>2.0117876590909001</v>
      </c>
      <c r="I749" s="18">
        <v>313.83887481818101</v>
      </c>
      <c r="J749" s="18">
        <v>2806.1611251818099</v>
      </c>
      <c r="K749" s="22">
        <v>0</v>
      </c>
      <c r="L749" s="22" t="str">
        <f t="shared" si="11"/>
        <v>45870, 3, 11</v>
      </c>
    </row>
    <row r="750" spans="1:12">
      <c r="A750" s="9">
        <v>45870</v>
      </c>
      <c r="B750">
        <v>3</v>
      </c>
      <c r="C750" s="16" t="s">
        <v>58</v>
      </c>
      <c r="D750">
        <v>12</v>
      </c>
      <c r="E750" s="16" t="s">
        <v>49</v>
      </c>
      <c r="F750" s="18">
        <v>2331</v>
      </c>
      <c r="G750" s="22">
        <v>111</v>
      </c>
      <c r="H750" s="18">
        <v>2.4822648262999998</v>
      </c>
      <c r="I750" s="18">
        <v>275.53139571930001</v>
      </c>
      <c r="J750" s="18">
        <v>2055.4686042807002</v>
      </c>
      <c r="K750" s="22">
        <v>0</v>
      </c>
      <c r="L750" s="22" t="str">
        <f t="shared" si="11"/>
        <v>45870, 3, 12</v>
      </c>
    </row>
    <row r="751" spans="1:12">
      <c r="A751" s="9">
        <v>45870</v>
      </c>
      <c r="B751">
        <v>3</v>
      </c>
      <c r="C751" s="16" t="s">
        <v>58</v>
      </c>
      <c r="D751">
        <v>13</v>
      </c>
      <c r="E751" s="16" t="s">
        <v>50</v>
      </c>
      <c r="F751" s="18">
        <v>1496</v>
      </c>
      <c r="G751" s="22">
        <v>68</v>
      </c>
      <c r="H751" s="18">
        <v>6.7808263333333301</v>
      </c>
      <c r="I751" s="18">
        <v>461.09619066666602</v>
      </c>
      <c r="J751" s="18">
        <v>1034.9038093333299</v>
      </c>
      <c r="K751" s="22">
        <v>0</v>
      </c>
      <c r="L751" s="22" t="str">
        <f t="shared" si="11"/>
        <v>45870, 3, 13</v>
      </c>
    </row>
    <row r="752" spans="1:12">
      <c r="A752" s="9">
        <v>45870</v>
      </c>
      <c r="B752">
        <v>3</v>
      </c>
      <c r="C752" s="16" t="s">
        <v>58</v>
      </c>
      <c r="D752">
        <v>14</v>
      </c>
      <c r="E752" s="16" t="s">
        <v>51</v>
      </c>
      <c r="F752" s="18">
        <v>1566</v>
      </c>
      <c r="G752" s="22">
        <v>58</v>
      </c>
      <c r="H752" s="18">
        <v>4.4701060724722197</v>
      </c>
      <c r="I752" s="18">
        <v>259.266152203388</v>
      </c>
      <c r="J752" s="18">
        <v>1306.73384779661</v>
      </c>
      <c r="K752" s="22">
        <v>0</v>
      </c>
      <c r="L752" s="22" t="str">
        <f t="shared" si="11"/>
        <v>45870, 3, 14</v>
      </c>
    </row>
    <row r="753" spans="1:12">
      <c r="A753" s="9">
        <v>45870</v>
      </c>
      <c r="B753">
        <v>3</v>
      </c>
      <c r="C753" s="16" t="s">
        <v>58</v>
      </c>
      <c r="D753">
        <v>15</v>
      </c>
      <c r="E753" s="16" t="s">
        <v>52</v>
      </c>
      <c r="F753" s="18">
        <v>3078.5</v>
      </c>
      <c r="G753" s="22">
        <v>131</v>
      </c>
      <c r="H753" s="18">
        <v>2.7364775320909001</v>
      </c>
      <c r="I753" s="18">
        <v>358.47855670390902</v>
      </c>
      <c r="J753" s="18">
        <v>2720.0214432960902</v>
      </c>
      <c r="K753" s="22">
        <v>0</v>
      </c>
      <c r="L753" s="22" t="str">
        <f t="shared" si="11"/>
        <v>45870, 3, 15</v>
      </c>
    </row>
    <row r="754" spans="1:12">
      <c r="A754" s="9">
        <v>45870</v>
      </c>
      <c r="B754">
        <v>3</v>
      </c>
      <c r="C754" s="16" t="s">
        <v>58</v>
      </c>
      <c r="D754">
        <v>16</v>
      </c>
      <c r="E754" s="16" t="s">
        <v>53</v>
      </c>
      <c r="F754" s="18">
        <v>875.5</v>
      </c>
      <c r="G754" s="22">
        <v>103</v>
      </c>
      <c r="H754" s="18">
        <v>1.5116228006944401</v>
      </c>
      <c r="I754" s="18">
        <v>155.69714847152699</v>
      </c>
      <c r="J754" s="18">
        <v>719.80285152847205</v>
      </c>
      <c r="K754" s="22">
        <v>0</v>
      </c>
      <c r="L754" s="22" t="str">
        <f t="shared" si="11"/>
        <v>45870, 3, 16</v>
      </c>
    </row>
    <row r="755" spans="1:12">
      <c r="A755" s="9">
        <v>45870</v>
      </c>
      <c r="B755">
        <v>3</v>
      </c>
      <c r="C755" s="16" t="s">
        <v>58</v>
      </c>
      <c r="D755">
        <v>17</v>
      </c>
      <c r="E755" s="16" t="s">
        <v>54</v>
      </c>
      <c r="F755" s="18">
        <v>1132.5</v>
      </c>
      <c r="G755" s="22">
        <v>151</v>
      </c>
      <c r="H755" s="18">
        <v>1.3881500646153799</v>
      </c>
      <c r="I755" s="18">
        <v>209.61065975692301</v>
      </c>
      <c r="J755" s="18">
        <v>922.88934024307605</v>
      </c>
      <c r="K755" s="22">
        <v>0</v>
      </c>
      <c r="L755" s="22" t="str">
        <f t="shared" si="11"/>
        <v>45870, 3, 17</v>
      </c>
    </row>
    <row r="756" spans="1:12">
      <c r="A756" s="9">
        <v>45870</v>
      </c>
      <c r="B756">
        <v>3</v>
      </c>
      <c r="C756" s="16" t="s">
        <v>58</v>
      </c>
      <c r="D756">
        <v>18</v>
      </c>
      <c r="E756" s="16" t="s">
        <v>55</v>
      </c>
      <c r="F756" s="18">
        <v>5060</v>
      </c>
      <c r="G756" s="22">
        <v>220</v>
      </c>
      <c r="H756" s="18">
        <v>5.3951101932083301</v>
      </c>
      <c r="I756" s="18">
        <v>1186.9242425058301</v>
      </c>
      <c r="J756" s="18">
        <v>3873.0757574941599</v>
      </c>
      <c r="K756" s="22">
        <v>0</v>
      </c>
      <c r="L756" s="22" t="str">
        <f t="shared" si="11"/>
        <v>45870, 3, 18</v>
      </c>
    </row>
    <row r="757" spans="1:12">
      <c r="A757" s="9">
        <v>45901</v>
      </c>
      <c r="B757">
        <v>3</v>
      </c>
      <c r="C757" s="16" t="s">
        <v>58</v>
      </c>
      <c r="D757">
        <v>1</v>
      </c>
      <c r="E757" s="16" t="s">
        <v>38</v>
      </c>
      <c r="F757" s="18">
        <v>3843</v>
      </c>
      <c r="G757" s="22">
        <v>183</v>
      </c>
      <c r="H757" s="18">
        <v>3.9492861874999998</v>
      </c>
      <c r="I757" s="18">
        <v>722.71937231250001</v>
      </c>
      <c r="J757" s="18">
        <v>3120.2806276874999</v>
      </c>
      <c r="K757" s="22">
        <v>0</v>
      </c>
      <c r="L757" s="22" t="str">
        <f t="shared" si="11"/>
        <v>45901, 3, 1</v>
      </c>
    </row>
    <row r="758" spans="1:12">
      <c r="A758" s="9">
        <v>45901</v>
      </c>
      <c r="B758">
        <v>3</v>
      </c>
      <c r="C758" s="16" t="s">
        <v>58</v>
      </c>
      <c r="D758">
        <v>2</v>
      </c>
      <c r="E758" s="16" t="s">
        <v>40</v>
      </c>
      <c r="F758" s="18">
        <v>3726</v>
      </c>
      <c r="G758" s="22">
        <v>162</v>
      </c>
      <c r="H758" s="18">
        <v>6.5370529617499997</v>
      </c>
      <c r="I758" s="18">
        <v>1059.0025798035001</v>
      </c>
      <c r="J758" s="18">
        <v>2666.9974201965001</v>
      </c>
      <c r="K758" s="22">
        <v>0</v>
      </c>
      <c r="L758" s="22" t="str">
        <f t="shared" si="11"/>
        <v>45901, 3, 2</v>
      </c>
    </row>
    <row r="759" spans="1:12">
      <c r="A759" s="9">
        <v>45901</v>
      </c>
      <c r="B759">
        <v>3</v>
      </c>
      <c r="C759" s="16" t="s">
        <v>58</v>
      </c>
      <c r="D759">
        <v>4</v>
      </c>
      <c r="E759" s="16" t="s">
        <v>42</v>
      </c>
      <c r="F759" s="18">
        <v>4780</v>
      </c>
      <c r="G759" s="22">
        <v>239</v>
      </c>
      <c r="H759" s="18">
        <v>6.6297287885333303</v>
      </c>
      <c r="I759" s="18">
        <v>1584.50518045946</v>
      </c>
      <c r="J759" s="18">
        <v>3195.49481954053</v>
      </c>
      <c r="K759" s="22">
        <v>0</v>
      </c>
      <c r="L759" s="22" t="str">
        <f t="shared" si="11"/>
        <v>45901, 3, 4</v>
      </c>
    </row>
    <row r="760" spans="1:12">
      <c r="A760" s="9">
        <v>45901</v>
      </c>
      <c r="B760">
        <v>3</v>
      </c>
      <c r="C760" s="16" t="s">
        <v>58</v>
      </c>
      <c r="D760">
        <v>6</v>
      </c>
      <c r="E760" s="16" t="s">
        <v>44</v>
      </c>
      <c r="F760" s="18">
        <v>2508</v>
      </c>
      <c r="G760" s="22">
        <v>114</v>
      </c>
      <c r="H760" s="18">
        <v>4.7479667967857102</v>
      </c>
      <c r="I760" s="18">
        <v>541.26821483357105</v>
      </c>
      <c r="J760" s="18">
        <v>1966.73178516642</v>
      </c>
      <c r="K760" s="22">
        <v>0</v>
      </c>
      <c r="L760" s="22" t="str">
        <f t="shared" si="11"/>
        <v>45901, 3, 6</v>
      </c>
    </row>
    <row r="761" spans="1:12">
      <c r="A761" s="9">
        <v>45901</v>
      </c>
      <c r="B761">
        <v>3</v>
      </c>
      <c r="C761" s="16" t="s">
        <v>58</v>
      </c>
      <c r="D761">
        <v>7</v>
      </c>
      <c r="E761" s="16" t="s">
        <v>45</v>
      </c>
      <c r="F761" s="18">
        <v>1250</v>
      </c>
      <c r="G761" s="22">
        <v>125</v>
      </c>
      <c r="H761" s="18">
        <v>2.8612822356250001</v>
      </c>
      <c r="I761" s="18">
        <v>357.66027945312499</v>
      </c>
      <c r="J761" s="18">
        <v>892.33972054687501</v>
      </c>
      <c r="K761" s="22">
        <v>0</v>
      </c>
      <c r="L761" s="22" t="str">
        <f t="shared" si="11"/>
        <v>45901, 3, 7</v>
      </c>
    </row>
    <row r="762" spans="1:12">
      <c r="A762" s="9">
        <v>45901</v>
      </c>
      <c r="B762">
        <v>3</v>
      </c>
      <c r="C762" s="16" t="s">
        <v>58</v>
      </c>
      <c r="D762">
        <v>9</v>
      </c>
      <c r="E762" s="16" t="s">
        <v>47</v>
      </c>
      <c r="F762" s="18">
        <v>2090</v>
      </c>
      <c r="G762" s="22">
        <v>44</v>
      </c>
      <c r="H762" s="18">
        <v>17.5158260797092</v>
      </c>
      <c r="I762" s="18">
        <v>770.69634750720604</v>
      </c>
      <c r="J762" s="18">
        <v>1319.30365249279</v>
      </c>
      <c r="K762" s="22">
        <v>0</v>
      </c>
      <c r="L762" s="22" t="str">
        <f t="shared" si="11"/>
        <v>45901, 3, 9</v>
      </c>
    </row>
    <row r="763" spans="1:12">
      <c r="A763" s="9">
        <v>45901</v>
      </c>
      <c r="B763">
        <v>3</v>
      </c>
      <c r="C763" s="16" t="s">
        <v>58</v>
      </c>
      <c r="D763">
        <v>11</v>
      </c>
      <c r="E763" s="16" t="s">
        <v>48</v>
      </c>
      <c r="F763" s="18">
        <v>2700</v>
      </c>
      <c r="G763" s="22">
        <v>135</v>
      </c>
      <c r="H763" s="18">
        <v>2.04154567708333</v>
      </c>
      <c r="I763" s="18">
        <v>275.60866640624897</v>
      </c>
      <c r="J763" s="18">
        <v>2424.39133359375</v>
      </c>
      <c r="K763" s="22">
        <v>0</v>
      </c>
      <c r="L763" s="22" t="str">
        <f t="shared" si="11"/>
        <v>45901, 3, 11</v>
      </c>
    </row>
    <row r="764" spans="1:12">
      <c r="A764" s="9">
        <v>45901</v>
      </c>
      <c r="B764">
        <v>3</v>
      </c>
      <c r="C764" s="16" t="s">
        <v>58</v>
      </c>
      <c r="D764">
        <v>12</v>
      </c>
      <c r="E764" s="16" t="s">
        <v>49</v>
      </c>
      <c r="F764" s="18">
        <v>1974</v>
      </c>
      <c r="G764" s="22">
        <v>94</v>
      </c>
      <c r="H764" s="18">
        <v>2.4976285426904701</v>
      </c>
      <c r="I764" s="18">
        <v>234.777083012904</v>
      </c>
      <c r="J764" s="18">
        <v>1739.22291698709</v>
      </c>
      <c r="K764" s="22">
        <v>0</v>
      </c>
      <c r="L764" s="22" t="str">
        <f t="shared" si="11"/>
        <v>45901, 3, 12</v>
      </c>
    </row>
    <row r="765" spans="1:12">
      <c r="A765" s="9">
        <v>45901</v>
      </c>
      <c r="B765">
        <v>3</v>
      </c>
      <c r="C765" s="16" t="s">
        <v>58</v>
      </c>
      <c r="D765">
        <v>13</v>
      </c>
      <c r="E765" s="16" t="s">
        <v>50</v>
      </c>
      <c r="F765" s="18">
        <v>2288</v>
      </c>
      <c r="G765" s="22">
        <v>104</v>
      </c>
      <c r="H765" s="18">
        <v>6.7853263333333302</v>
      </c>
      <c r="I765" s="18">
        <v>705.673938666666</v>
      </c>
      <c r="J765" s="18">
        <v>1582.32606133333</v>
      </c>
      <c r="K765" s="22">
        <v>0</v>
      </c>
      <c r="L765" s="22" t="str">
        <f t="shared" si="11"/>
        <v>45901, 3, 13</v>
      </c>
    </row>
    <row r="766" spans="1:12">
      <c r="A766" s="9">
        <v>45901</v>
      </c>
      <c r="B766">
        <v>3</v>
      </c>
      <c r="C766" s="16" t="s">
        <v>58</v>
      </c>
      <c r="D766">
        <v>14</v>
      </c>
      <c r="E766" s="16" t="s">
        <v>51</v>
      </c>
      <c r="F766" s="18">
        <v>1431</v>
      </c>
      <c r="G766" s="22">
        <v>53</v>
      </c>
      <c r="H766" s="18">
        <v>4.4914622373888804</v>
      </c>
      <c r="I766" s="18">
        <v>238.04749858161099</v>
      </c>
      <c r="J766" s="18">
        <v>1192.9525014183801</v>
      </c>
      <c r="K766" s="22">
        <v>0</v>
      </c>
      <c r="L766" s="22" t="str">
        <f t="shared" si="11"/>
        <v>45901, 3, 14</v>
      </c>
    </row>
    <row r="767" spans="1:12">
      <c r="A767" s="9">
        <v>45901</v>
      </c>
      <c r="B767">
        <v>3</v>
      </c>
      <c r="C767" s="16" t="s">
        <v>58</v>
      </c>
      <c r="D767">
        <v>15</v>
      </c>
      <c r="E767" s="16" t="s">
        <v>52</v>
      </c>
      <c r="F767" s="18">
        <v>2632</v>
      </c>
      <c r="G767" s="22">
        <v>112</v>
      </c>
      <c r="H767" s="18">
        <v>2.7433315910833298</v>
      </c>
      <c r="I767" s="18">
        <v>307.253138201333</v>
      </c>
      <c r="J767" s="18">
        <v>2324.7468617986601</v>
      </c>
      <c r="K767" s="22">
        <v>0</v>
      </c>
      <c r="L767" s="22" t="str">
        <f t="shared" si="11"/>
        <v>45901, 3, 15</v>
      </c>
    </row>
    <row r="768" spans="1:12">
      <c r="A768" s="9">
        <v>45901</v>
      </c>
      <c r="B768">
        <v>3</v>
      </c>
      <c r="C768" s="16" t="s">
        <v>58</v>
      </c>
      <c r="D768">
        <v>16</v>
      </c>
      <c r="E768" s="16" t="s">
        <v>53</v>
      </c>
      <c r="F768" s="18">
        <v>748</v>
      </c>
      <c r="G768" s="22">
        <v>88</v>
      </c>
      <c r="H768" s="18">
        <v>1.51080894455128</v>
      </c>
      <c r="I768" s="18">
        <v>132.951187120512</v>
      </c>
      <c r="J768" s="18">
        <v>615.04881287948695</v>
      </c>
      <c r="K768" s="22">
        <v>0</v>
      </c>
      <c r="L768" s="22" t="str">
        <f t="shared" si="11"/>
        <v>45901, 3, 16</v>
      </c>
    </row>
    <row r="769" spans="1:12">
      <c r="A769" s="9">
        <v>45901</v>
      </c>
      <c r="B769">
        <v>3</v>
      </c>
      <c r="C769" s="16" t="s">
        <v>58</v>
      </c>
      <c r="D769">
        <v>17</v>
      </c>
      <c r="E769" s="16" t="s">
        <v>54</v>
      </c>
      <c r="F769" s="18">
        <v>712.5</v>
      </c>
      <c r="G769" s="22">
        <v>95</v>
      </c>
      <c r="H769" s="18">
        <v>1.38229394233333</v>
      </c>
      <c r="I769" s="18">
        <v>131.31792452166599</v>
      </c>
      <c r="J769" s="18">
        <v>581.18207547833299</v>
      </c>
      <c r="K769" s="22">
        <v>0</v>
      </c>
      <c r="L769" s="22" t="str">
        <f t="shared" si="11"/>
        <v>45901, 3, 17</v>
      </c>
    </row>
    <row r="770" spans="1:12">
      <c r="A770" s="9">
        <v>45901</v>
      </c>
      <c r="B770">
        <v>3</v>
      </c>
      <c r="C770" s="16" t="s">
        <v>58</v>
      </c>
      <c r="D770">
        <v>18</v>
      </c>
      <c r="E770" s="16" t="s">
        <v>55</v>
      </c>
      <c r="F770" s="18">
        <v>3105</v>
      </c>
      <c r="G770" s="22">
        <v>135</v>
      </c>
      <c r="H770" s="18">
        <v>5.4252663674210497</v>
      </c>
      <c r="I770" s="18">
        <v>732.41095960184202</v>
      </c>
      <c r="J770" s="18">
        <v>2372.5890403981498</v>
      </c>
      <c r="K770" s="22">
        <v>0</v>
      </c>
      <c r="L770" s="22" t="str">
        <f t="shared" si="11"/>
        <v>45901, 3, 18</v>
      </c>
    </row>
    <row r="771" spans="1:12">
      <c r="A771" s="9">
        <v>45931</v>
      </c>
      <c r="B771">
        <v>3</v>
      </c>
      <c r="C771" s="16" t="s">
        <v>58</v>
      </c>
      <c r="D771">
        <v>1</v>
      </c>
      <c r="E771" s="16" t="s">
        <v>38</v>
      </c>
      <c r="F771" s="18">
        <v>3192</v>
      </c>
      <c r="G771" s="22">
        <v>152</v>
      </c>
      <c r="H771" s="18">
        <v>3.97374264473684</v>
      </c>
      <c r="I771" s="18">
        <v>604.00888199999997</v>
      </c>
      <c r="J771" s="18">
        <v>2587.9911179999899</v>
      </c>
      <c r="K771" s="22">
        <v>0</v>
      </c>
      <c r="L771" s="22" t="str">
        <f t="shared" ref="L771:L834" si="12">(A771&amp; ", "&amp; B771&amp; ", "&amp; D771)</f>
        <v>45931, 3, 1</v>
      </c>
    </row>
    <row r="772" spans="1:12">
      <c r="A772" s="9">
        <v>45931</v>
      </c>
      <c r="B772">
        <v>3</v>
      </c>
      <c r="C772" s="16" t="s">
        <v>58</v>
      </c>
      <c r="D772">
        <v>2</v>
      </c>
      <c r="E772" s="16" t="s">
        <v>40</v>
      </c>
      <c r="F772" s="18">
        <v>3680</v>
      </c>
      <c r="G772" s="22">
        <v>160</v>
      </c>
      <c r="H772" s="18">
        <v>6.5956719758666598</v>
      </c>
      <c r="I772" s="18">
        <v>1055.30751613866</v>
      </c>
      <c r="J772" s="18">
        <v>2624.6924838613299</v>
      </c>
      <c r="K772" s="22">
        <v>0</v>
      </c>
      <c r="L772" s="22" t="str">
        <f t="shared" si="12"/>
        <v>45931, 3, 2</v>
      </c>
    </row>
    <row r="773" spans="1:12">
      <c r="A773" s="9">
        <v>45931</v>
      </c>
      <c r="B773">
        <v>3</v>
      </c>
      <c r="C773" s="16" t="s">
        <v>58</v>
      </c>
      <c r="D773">
        <v>4</v>
      </c>
      <c r="E773" s="16" t="s">
        <v>42</v>
      </c>
      <c r="F773" s="18">
        <v>4440</v>
      </c>
      <c r="G773" s="22">
        <v>222</v>
      </c>
      <c r="H773" s="18">
        <v>6.8368619184615298</v>
      </c>
      <c r="I773" s="18">
        <v>1517.7833458984601</v>
      </c>
      <c r="J773" s="18">
        <v>2922.2166541015299</v>
      </c>
      <c r="K773" s="22">
        <v>0</v>
      </c>
      <c r="L773" s="22" t="str">
        <f t="shared" si="12"/>
        <v>45931, 3, 4</v>
      </c>
    </row>
    <row r="774" spans="1:12">
      <c r="A774" s="9">
        <v>45931</v>
      </c>
      <c r="B774">
        <v>3</v>
      </c>
      <c r="C774" s="16" t="s">
        <v>58</v>
      </c>
      <c r="D774">
        <v>6</v>
      </c>
      <c r="E774" s="16" t="s">
        <v>44</v>
      </c>
      <c r="F774" s="18">
        <v>1826</v>
      </c>
      <c r="G774" s="22">
        <v>83</v>
      </c>
      <c r="H774" s="18">
        <v>4.7482343800000004</v>
      </c>
      <c r="I774" s="18">
        <v>394.10345353999998</v>
      </c>
      <c r="J774" s="18">
        <v>1431.8965464600001</v>
      </c>
      <c r="K774" s="22">
        <v>0</v>
      </c>
      <c r="L774" s="22" t="str">
        <f t="shared" si="12"/>
        <v>45931, 3, 6</v>
      </c>
    </row>
    <row r="775" spans="1:12">
      <c r="A775" s="9">
        <v>45931</v>
      </c>
      <c r="B775">
        <v>3</v>
      </c>
      <c r="C775" s="16" t="s">
        <v>58</v>
      </c>
      <c r="D775">
        <v>7</v>
      </c>
      <c r="E775" s="16" t="s">
        <v>45</v>
      </c>
      <c r="F775" s="18">
        <v>1430</v>
      </c>
      <c r="G775" s="22">
        <v>143</v>
      </c>
      <c r="H775" s="18">
        <v>2.8700222418750001</v>
      </c>
      <c r="I775" s="18">
        <v>410.41318058812499</v>
      </c>
      <c r="J775" s="18">
        <v>1019.58681941187</v>
      </c>
      <c r="K775" s="22">
        <v>0</v>
      </c>
      <c r="L775" s="22" t="str">
        <f t="shared" si="12"/>
        <v>45931, 3, 7</v>
      </c>
    </row>
    <row r="776" spans="1:12">
      <c r="A776" s="9">
        <v>45931</v>
      </c>
      <c r="B776">
        <v>3</v>
      </c>
      <c r="C776" s="16" t="s">
        <v>58</v>
      </c>
      <c r="D776">
        <v>9</v>
      </c>
      <c r="E776" s="16" t="s">
        <v>47</v>
      </c>
      <c r="F776" s="18">
        <v>2327.5</v>
      </c>
      <c r="G776" s="22">
        <v>49</v>
      </c>
      <c r="H776" s="18">
        <v>17.581144497790099</v>
      </c>
      <c r="I776" s="18">
        <v>861.47608039171905</v>
      </c>
      <c r="J776" s="18">
        <v>1466.02391960828</v>
      </c>
      <c r="K776" s="22">
        <v>0</v>
      </c>
      <c r="L776" s="22" t="str">
        <f t="shared" si="12"/>
        <v>45931, 3, 9</v>
      </c>
    </row>
    <row r="777" spans="1:12">
      <c r="A777" s="9">
        <v>45931</v>
      </c>
      <c r="B777">
        <v>3</v>
      </c>
      <c r="C777" s="16" t="s">
        <v>58</v>
      </c>
      <c r="D777">
        <v>11</v>
      </c>
      <c r="E777" s="16" t="s">
        <v>48</v>
      </c>
      <c r="F777" s="18">
        <v>2360</v>
      </c>
      <c r="G777" s="22">
        <v>118</v>
      </c>
      <c r="H777" s="18">
        <v>2.0434783749999998</v>
      </c>
      <c r="I777" s="18">
        <v>241.13044825</v>
      </c>
      <c r="J777" s="18">
        <v>2118.86955175</v>
      </c>
      <c r="K777" s="22">
        <v>0</v>
      </c>
      <c r="L777" s="22" t="str">
        <f t="shared" si="12"/>
        <v>45931, 3, 11</v>
      </c>
    </row>
    <row r="778" spans="1:12">
      <c r="A778" s="9">
        <v>45931</v>
      </c>
      <c r="B778">
        <v>3</v>
      </c>
      <c r="C778" s="16" t="s">
        <v>58</v>
      </c>
      <c r="D778">
        <v>12</v>
      </c>
      <c r="E778" s="16" t="s">
        <v>49</v>
      </c>
      <c r="F778" s="18">
        <v>1806</v>
      </c>
      <c r="G778" s="22">
        <v>86</v>
      </c>
      <c r="H778" s="18">
        <v>2.5237878214761902</v>
      </c>
      <c r="I778" s="18">
        <v>217.045752646952</v>
      </c>
      <c r="J778" s="18">
        <v>1588.95424735304</v>
      </c>
      <c r="K778" s="22">
        <v>0</v>
      </c>
      <c r="L778" s="22" t="str">
        <f t="shared" si="12"/>
        <v>45931, 3, 12</v>
      </c>
    </row>
    <row r="779" spans="1:12">
      <c r="A779" s="9">
        <v>45931</v>
      </c>
      <c r="B779">
        <v>3</v>
      </c>
      <c r="C779" s="16" t="s">
        <v>58</v>
      </c>
      <c r="D779">
        <v>13</v>
      </c>
      <c r="E779" s="16" t="s">
        <v>50</v>
      </c>
      <c r="F779" s="18">
        <v>2200</v>
      </c>
      <c r="G779" s="22">
        <v>100</v>
      </c>
      <c r="H779" s="18">
        <v>6.8262195625000004</v>
      </c>
      <c r="I779" s="18">
        <v>682.62195625000004</v>
      </c>
      <c r="J779" s="18">
        <v>1517.37804375</v>
      </c>
      <c r="K779" s="22">
        <v>0</v>
      </c>
      <c r="L779" s="22" t="str">
        <f t="shared" si="12"/>
        <v>45931, 3, 13</v>
      </c>
    </row>
    <row r="780" spans="1:12">
      <c r="A780" s="9">
        <v>45931</v>
      </c>
      <c r="B780">
        <v>3</v>
      </c>
      <c r="C780" s="16" t="s">
        <v>58</v>
      </c>
      <c r="D780">
        <v>14</v>
      </c>
      <c r="E780" s="16" t="s">
        <v>51</v>
      </c>
      <c r="F780" s="18">
        <v>1944</v>
      </c>
      <c r="G780" s="22">
        <v>72</v>
      </c>
      <c r="H780" s="18">
        <v>4.4710459547361099</v>
      </c>
      <c r="I780" s="18">
        <v>321.91530874099902</v>
      </c>
      <c r="J780" s="18">
        <v>1622.084691259</v>
      </c>
      <c r="K780" s="22">
        <v>0</v>
      </c>
      <c r="L780" s="22" t="str">
        <f t="shared" si="12"/>
        <v>45931, 3, 14</v>
      </c>
    </row>
    <row r="781" spans="1:12">
      <c r="A781" s="9">
        <v>45931</v>
      </c>
      <c r="B781">
        <v>3</v>
      </c>
      <c r="C781" s="16" t="s">
        <v>58</v>
      </c>
      <c r="D781">
        <v>15</v>
      </c>
      <c r="E781" s="16" t="s">
        <v>52</v>
      </c>
      <c r="F781" s="18">
        <v>2115</v>
      </c>
      <c r="G781" s="22">
        <v>90</v>
      </c>
      <c r="H781" s="18">
        <v>2.7425085762727202</v>
      </c>
      <c r="I781" s="18">
        <v>246.825771864545</v>
      </c>
      <c r="J781" s="18">
        <v>1868.17422813545</v>
      </c>
      <c r="K781" s="22">
        <v>0</v>
      </c>
      <c r="L781" s="22" t="str">
        <f t="shared" si="12"/>
        <v>45931, 3, 15</v>
      </c>
    </row>
    <row r="782" spans="1:12">
      <c r="A782" s="9">
        <v>45931</v>
      </c>
      <c r="B782">
        <v>3</v>
      </c>
      <c r="C782" s="16" t="s">
        <v>58</v>
      </c>
      <c r="D782">
        <v>16</v>
      </c>
      <c r="E782" s="16" t="s">
        <v>53</v>
      </c>
      <c r="F782" s="18">
        <v>926.5</v>
      </c>
      <c r="G782" s="22">
        <v>109</v>
      </c>
      <c r="H782" s="18">
        <v>1.52658257339285</v>
      </c>
      <c r="I782" s="18">
        <v>166.39750049982101</v>
      </c>
      <c r="J782" s="18">
        <v>760.10249950017806</v>
      </c>
      <c r="K782" s="22">
        <v>0</v>
      </c>
      <c r="L782" s="22" t="str">
        <f t="shared" si="12"/>
        <v>45931, 3, 16</v>
      </c>
    </row>
    <row r="783" spans="1:12">
      <c r="A783" s="9">
        <v>45931</v>
      </c>
      <c r="B783">
        <v>3</v>
      </c>
      <c r="C783" s="16" t="s">
        <v>58</v>
      </c>
      <c r="D783">
        <v>17</v>
      </c>
      <c r="E783" s="16" t="s">
        <v>54</v>
      </c>
      <c r="F783" s="18">
        <v>682.5</v>
      </c>
      <c r="G783" s="22">
        <v>91</v>
      </c>
      <c r="H783" s="18">
        <v>1.4028634842857099</v>
      </c>
      <c r="I783" s="18">
        <v>127.66057706999899</v>
      </c>
      <c r="J783" s="18">
        <v>554.83942292999996</v>
      </c>
      <c r="K783" s="22">
        <v>0</v>
      </c>
      <c r="L783" s="22" t="str">
        <f t="shared" si="12"/>
        <v>45931, 3, 17</v>
      </c>
    </row>
    <row r="784" spans="1:12">
      <c r="A784" s="9">
        <v>45931</v>
      </c>
      <c r="B784">
        <v>3</v>
      </c>
      <c r="C784" s="16" t="s">
        <v>58</v>
      </c>
      <c r="D784">
        <v>18</v>
      </c>
      <c r="E784" s="16" t="s">
        <v>55</v>
      </c>
      <c r="F784" s="18">
        <v>2070</v>
      </c>
      <c r="G784" s="22">
        <v>90</v>
      </c>
      <c r="H784" s="18">
        <v>5.4472282804444401</v>
      </c>
      <c r="I784" s="18">
        <v>490.25054523999898</v>
      </c>
      <c r="J784" s="18">
        <v>1579.7494547599999</v>
      </c>
      <c r="K784" s="22">
        <v>0</v>
      </c>
      <c r="L784" s="22" t="str">
        <f t="shared" si="12"/>
        <v>45931, 3, 18</v>
      </c>
    </row>
    <row r="785" spans="1:12">
      <c r="A785" s="9">
        <v>45962</v>
      </c>
      <c r="B785">
        <v>3</v>
      </c>
      <c r="C785" s="16" t="s">
        <v>58</v>
      </c>
      <c r="D785">
        <v>1</v>
      </c>
      <c r="E785" s="16" t="s">
        <v>38</v>
      </c>
      <c r="F785" s="18">
        <v>3003</v>
      </c>
      <c r="G785" s="22">
        <v>143</v>
      </c>
      <c r="H785" s="18">
        <v>3.9553652083333302</v>
      </c>
      <c r="I785" s="18">
        <v>565.61722479166599</v>
      </c>
      <c r="J785" s="18">
        <v>2437.3827752083298</v>
      </c>
      <c r="K785" s="22">
        <v>0</v>
      </c>
      <c r="L785" s="22" t="str">
        <f t="shared" si="12"/>
        <v>45962, 3, 1</v>
      </c>
    </row>
    <row r="786" spans="1:12">
      <c r="A786" s="9">
        <v>45962</v>
      </c>
      <c r="B786">
        <v>3</v>
      </c>
      <c r="C786" s="16" t="s">
        <v>58</v>
      </c>
      <c r="D786">
        <v>2</v>
      </c>
      <c r="E786" s="16" t="s">
        <v>40</v>
      </c>
      <c r="F786" s="18">
        <v>3565</v>
      </c>
      <c r="G786" s="22">
        <v>155</v>
      </c>
      <c r="H786" s="18">
        <v>6.6534623660000003</v>
      </c>
      <c r="I786" s="18">
        <v>1031.28666673</v>
      </c>
      <c r="J786" s="18">
        <v>2533.71333327</v>
      </c>
      <c r="K786" s="22">
        <v>0</v>
      </c>
      <c r="L786" s="22" t="str">
        <f t="shared" si="12"/>
        <v>45962, 3, 2</v>
      </c>
    </row>
    <row r="787" spans="1:12">
      <c r="A787" s="9">
        <v>45962</v>
      </c>
      <c r="B787">
        <v>3</v>
      </c>
      <c r="C787" s="16" t="s">
        <v>58</v>
      </c>
      <c r="D787">
        <v>4</v>
      </c>
      <c r="E787" s="16" t="s">
        <v>42</v>
      </c>
      <c r="F787" s="18">
        <v>4520</v>
      </c>
      <c r="G787" s="22">
        <v>226</v>
      </c>
      <c r="H787" s="18">
        <v>7.0179298715384597</v>
      </c>
      <c r="I787" s="18">
        <v>1586.0521509676901</v>
      </c>
      <c r="J787" s="18">
        <v>2933.9478490322999</v>
      </c>
      <c r="K787" s="22">
        <v>0</v>
      </c>
      <c r="L787" s="22" t="str">
        <f t="shared" si="12"/>
        <v>45962, 3, 4</v>
      </c>
    </row>
    <row r="788" spans="1:12">
      <c r="A788" s="9">
        <v>45962</v>
      </c>
      <c r="B788">
        <v>3</v>
      </c>
      <c r="C788" s="16" t="s">
        <v>58</v>
      </c>
      <c r="D788">
        <v>6</v>
      </c>
      <c r="E788" s="16" t="s">
        <v>44</v>
      </c>
      <c r="F788" s="18">
        <v>2684</v>
      </c>
      <c r="G788" s="22">
        <v>122</v>
      </c>
      <c r="H788" s="18">
        <v>4.7600465153823501</v>
      </c>
      <c r="I788" s="18">
        <v>580.72567487664696</v>
      </c>
      <c r="J788" s="18">
        <v>2103.2743251233501</v>
      </c>
      <c r="K788" s="22">
        <v>0</v>
      </c>
      <c r="L788" s="22" t="str">
        <f t="shared" si="12"/>
        <v>45962, 3, 6</v>
      </c>
    </row>
    <row r="789" spans="1:12">
      <c r="A789" s="9">
        <v>45962</v>
      </c>
      <c r="B789">
        <v>3</v>
      </c>
      <c r="C789" s="16" t="s">
        <v>58</v>
      </c>
      <c r="D789">
        <v>7</v>
      </c>
      <c r="E789" s="16" t="s">
        <v>45</v>
      </c>
      <c r="F789" s="18">
        <v>1080</v>
      </c>
      <c r="G789" s="22">
        <v>108</v>
      </c>
      <c r="H789" s="18">
        <v>2.8859528514285699</v>
      </c>
      <c r="I789" s="18">
        <v>311.68290795428499</v>
      </c>
      <c r="J789" s="18">
        <v>768.31709204571405</v>
      </c>
      <c r="K789" s="22">
        <v>0</v>
      </c>
      <c r="L789" s="22" t="str">
        <f t="shared" si="12"/>
        <v>45962, 3, 7</v>
      </c>
    </row>
    <row r="790" spans="1:12">
      <c r="A790" s="9">
        <v>45962</v>
      </c>
      <c r="B790">
        <v>3</v>
      </c>
      <c r="C790" s="16" t="s">
        <v>58</v>
      </c>
      <c r="D790">
        <v>9</v>
      </c>
      <c r="E790" s="16" t="s">
        <v>47</v>
      </c>
      <c r="F790" s="18">
        <v>2090</v>
      </c>
      <c r="G790" s="22">
        <v>44</v>
      </c>
      <c r="H790" s="18">
        <v>17.9187999927045</v>
      </c>
      <c r="I790" s="18">
        <v>788.42719967900098</v>
      </c>
      <c r="J790" s="18">
        <v>1301.5728003209899</v>
      </c>
      <c r="K790" s="22">
        <v>0</v>
      </c>
      <c r="L790" s="22" t="str">
        <f t="shared" si="12"/>
        <v>45962, 3, 9</v>
      </c>
    </row>
    <row r="791" spans="1:12">
      <c r="A791" s="9">
        <v>45962</v>
      </c>
      <c r="B791">
        <v>3</v>
      </c>
      <c r="C791" s="16" t="s">
        <v>58</v>
      </c>
      <c r="D791">
        <v>11</v>
      </c>
      <c r="E791" s="16" t="s">
        <v>48</v>
      </c>
      <c r="F791" s="18">
        <v>2320</v>
      </c>
      <c r="G791" s="22">
        <v>116</v>
      </c>
      <c r="H791" s="18">
        <v>2.0322833295454501</v>
      </c>
      <c r="I791" s="18">
        <v>235.74486622727201</v>
      </c>
      <c r="J791" s="18">
        <v>2084.25513377272</v>
      </c>
      <c r="K791" s="22">
        <v>0</v>
      </c>
      <c r="L791" s="22" t="str">
        <f t="shared" si="12"/>
        <v>45962, 3, 11</v>
      </c>
    </row>
    <row r="792" spans="1:12">
      <c r="A792" s="9">
        <v>45962</v>
      </c>
      <c r="B792">
        <v>3</v>
      </c>
      <c r="C792" s="16" t="s">
        <v>58</v>
      </c>
      <c r="D792">
        <v>12</v>
      </c>
      <c r="E792" s="16" t="s">
        <v>49</v>
      </c>
      <c r="F792" s="18">
        <v>1806</v>
      </c>
      <c r="G792" s="22">
        <v>86</v>
      </c>
      <c r="H792" s="18">
        <v>2.5682451893420999</v>
      </c>
      <c r="I792" s="18">
        <v>220.86908628342101</v>
      </c>
      <c r="J792" s="18">
        <v>1585.1309137165699</v>
      </c>
      <c r="K792" s="22">
        <v>0</v>
      </c>
      <c r="L792" s="22" t="str">
        <f t="shared" si="12"/>
        <v>45962, 3, 12</v>
      </c>
    </row>
    <row r="793" spans="1:12">
      <c r="A793" s="9">
        <v>45962</v>
      </c>
      <c r="B793">
        <v>3</v>
      </c>
      <c r="C793" s="16" t="s">
        <v>58</v>
      </c>
      <c r="D793">
        <v>13</v>
      </c>
      <c r="E793" s="16" t="s">
        <v>50</v>
      </c>
      <c r="F793" s="18">
        <v>2420</v>
      </c>
      <c r="G793" s="22">
        <v>110</v>
      </c>
      <c r="H793" s="18">
        <v>6.8476700714285696</v>
      </c>
      <c r="I793" s="18">
        <v>753.243707857142</v>
      </c>
      <c r="J793" s="18">
        <v>1666.75629214285</v>
      </c>
      <c r="K793" s="22">
        <v>0</v>
      </c>
      <c r="L793" s="22" t="str">
        <f t="shared" si="12"/>
        <v>45962, 3, 13</v>
      </c>
    </row>
    <row r="794" spans="1:12">
      <c r="A794" s="9">
        <v>45962</v>
      </c>
      <c r="B794">
        <v>3</v>
      </c>
      <c r="C794" s="16" t="s">
        <v>58</v>
      </c>
      <c r="D794">
        <v>14</v>
      </c>
      <c r="E794" s="16" t="s">
        <v>51</v>
      </c>
      <c r="F794" s="18">
        <v>1539</v>
      </c>
      <c r="G794" s="22">
        <v>57</v>
      </c>
      <c r="H794" s="18">
        <v>4.5053625295303004</v>
      </c>
      <c r="I794" s="18">
        <v>256.80566418322701</v>
      </c>
      <c r="J794" s="18">
        <v>1282.19433581677</v>
      </c>
      <c r="K794" s="22">
        <v>0</v>
      </c>
      <c r="L794" s="22" t="str">
        <f t="shared" si="12"/>
        <v>45962, 3, 14</v>
      </c>
    </row>
    <row r="795" spans="1:12">
      <c r="A795" s="9">
        <v>45962</v>
      </c>
      <c r="B795">
        <v>3</v>
      </c>
      <c r="C795" s="16" t="s">
        <v>58</v>
      </c>
      <c r="D795">
        <v>15</v>
      </c>
      <c r="E795" s="16" t="s">
        <v>52</v>
      </c>
      <c r="F795" s="18">
        <v>2373.5</v>
      </c>
      <c r="G795" s="22">
        <v>101</v>
      </c>
      <c r="H795" s="18">
        <v>2.7703681580000001</v>
      </c>
      <c r="I795" s="18">
        <v>279.807183958</v>
      </c>
      <c r="J795" s="18">
        <v>2093.6928160419998</v>
      </c>
      <c r="K795" s="22">
        <v>0</v>
      </c>
      <c r="L795" s="22" t="str">
        <f t="shared" si="12"/>
        <v>45962, 3, 15</v>
      </c>
    </row>
    <row r="796" spans="1:12">
      <c r="A796" s="9">
        <v>45962</v>
      </c>
      <c r="B796">
        <v>3</v>
      </c>
      <c r="C796" s="16" t="s">
        <v>58</v>
      </c>
      <c r="D796">
        <v>16</v>
      </c>
      <c r="E796" s="16" t="s">
        <v>53</v>
      </c>
      <c r="F796" s="18">
        <v>765</v>
      </c>
      <c r="G796" s="22">
        <v>90</v>
      </c>
      <c r="H796" s="18">
        <v>1.52007242576388</v>
      </c>
      <c r="I796" s="18">
        <v>136.80651831874999</v>
      </c>
      <c r="J796" s="18">
        <v>628.19348168124895</v>
      </c>
      <c r="K796" s="22">
        <v>0</v>
      </c>
      <c r="L796" s="22" t="str">
        <f t="shared" si="12"/>
        <v>45962, 3, 16</v>
      </c>
    </row>
    <row r="797" spans="1:12">
      <c r="A797" s="9">
        <v>45962</v>
      </c>
      <c r="B797">
        <v>3</v>
      </c>
      <c r="C797" s="16" t="s">
        <v>58</v>
      </c>
      <c r="D797">
        <v>17</v>
      </c>
      <c r="E797" s="16" t="s">
        <v>54</v>
      </c>
      <c r="F797" s="18">
        <v>555</v>
      </c>
      <c r="G797" s="22">
        <v>74</v>
      </c>
      <c r="H797" s="18">
        <v>1.3907768965384599</v>
      </c>
      <c r="I797" s="18">
        <v>102.917490343846</v>
      </c>
      <c r="J797" s="18">
        <v>452.08250965615298</v>
      </c>
      <c r="K797" s="22">
        <v>0</v>
      </c>
      <c r="L797" s="22" t="str">
        <f t="shared" si="12"/>
        <v>45962, 3, 17</v>
      </c>
    </row>
    <row r="798" spans="1:12">
      <c r="A798" s="9">
        <v>45962</v>
      </c>
      <c r="B798">
        <v>3</v>
      </c>
      <c r="C798" s="16" t="s">
        <v>58</v>
      </c>
      <c r="D798">
        <v>18</v>
      </c>
      <c r="E798" s="16" t="s">
        <v>55</v>
      </c>
      <c r="F798" s="18">
        <v>1495</v>
      </c>
      <c r="G798" s="22">
        <v>65</v>
      </c>
      <c r="H798" s="18">
        <v>5.7420569924264697</v>
      </c>
      <c r="I798" s="18">
        <v>373.23370450772001</v>
      </c>
      <c r="J798" s="18">
        <v>1121.76629549227</v>
      </c>
      <c r="K798" s="22">
        <v>0</v>
      </c>
      <c r="L798" s="22" t="str">
        <f t="shared" si="12"/>
        <v>45962, 3, 18</v>
      </c>
    </row>
    <row r="799" spans="1:12">
      <c r="A799" s="9">
        <v>45992</v>
      </c>
      <c r="B799">
        <v>3</v>
      </c>
      <c r="C799" s="16" t="s">
        <v>58</v>
      </c>
      <c r="D799">
        <v>1</v>
      </c>
      <c r="E799" s="16" t="s">
        <v>38</v>
      </c>
      <c r="F799" s="18">
        <v>3129</v>
      </c>
      <c r="G799" s="22">
        <v>149</v>
      </c>
      <c r="H799" s="18">
        <v>3.9880809374999999</v>
      </c>
      <c r="I799" s="18">
        <v>594.22405968750002</v>
      </c>
      <c r="J799" s="18">
        <v>2534.7759403125001</v>
      </c>
      <c r="K799" s="22">
        <v>0</v>
      </c>
      <c r="L799" s="22" t="str">
        <f t="shared" si="12"/>
        <v>45992, 3, 1</v>
      </c>
    </row>
    <row r="800" spans="1:12">
      <c r="A800" s="9">
        <v>45992</v>
      </c>
      <c r="B800">
        <v>3</v>
      </c>
      <c r="C800" s="16" t="s">
        <v>58</v>
      </c>
      <c r="D800">
        <v>2</v>
      </c>
      <c r="E800" s="16" t="s">
        <v>40</v>
      </c>
      <c r="F800" s="18">
        <v>3680</v>
      </c>
      <c r="G800" s="22">
        <v>160</v>
      </c>
      <c r="H800" s="18">
        <v>6.6815320605882302</v>
      </c>
      <c r="I800" s="18">
        <v>1069.0451296941101</v>
      </c>
      <c r="J800" s="18">
        <v>2610.9548703058799</v>
      </c>
      <c r="K800" s="22">
        <v>0</v>
      </c>
      <c r="L800" s="22" t="str">
        <f t="shared" si="12"/>
        <v>45992, 3, 2</v>
      </c>
    </row>
    <row r="801" spans="1:12">
      <c r="A801" s="9">
        <v>45992</v>
      </c>
      <c r="B801">
        <v>3</v>
      </c>
      <c r="C801" s="16" t="s">
        <v>58</v>
      </c>
      <c r="D801">
        <v>4</v>
      </c>
      <c r="E801" s="16" t="s">
        <v>42</v>
      </c>
      <c r="F801" s="18">
        <v>4940</v>
      </c>
      <c r="G801" s="22">
        <v>247</v>
      </c>
      <c r="H801" s="18">
        <v>7.1688418796000004</v>
      </c>
      <c r="I801" s="18">
        <v>1770.7039442611999</v>
      </c>
      <c r="J801" s="18">
        <v>3169.2960557388001</v>
      </c>
      <c r="K801" s="22">
        <v>0</v>
      </c>
      <c r="L801" s="22" t="str">
        <f t="shared" si="12"/>
        <v>45992, 3, 4</v>
      </c>
    </row>
    <row r="802" spans="1:12">
      <c r="A802" s="9">
        <v>45992</v>
      </c>
      <c r="B802">
        <v>3</v>
      </c>
      <c r="C802" s="16" t="s">
        <v>58</v>
      </c>
      <c r="D802">
        <v>6</v>
      </c>
      <c r="E802" s="16" t="s">
        <v>44</v>
      </c>
      <c r="F802" s="18">
        <v>2948</v>
      </c>
      <c r="G802" s="22">
        <v>134</v>
      </c>
      <c r="H802" s="18">
        <v>4.7772713364047599</v>
      </c>
      <c r="I802" s="18">
        <v>640.15435907823803</v>
      </c>
      <c r="J802" s="18">
        <v>2307.8456409217602</v>
      </c>
      <c r="K802" s="22">
        <v>0</v>
      </c>
      <c r="L802" s="22" t="str">
        <f t="shared" si="12"/>
        <v>45992, 3, 6</v>
      </c>
    </row>
    <row r="803" spans="1:12">
      <c r="A803" s="9">
        <v>45992</v>
      </c>
      <c r="B803">
        <v>3</v>
      </c>
      <c r="C803" s="16" t="s">
        <v>58</v>
      </c>
      <c r="D803">
        <v>7</v>
      </c>
      <c r="E803" s="16" t="s">
        <v>45</v>
      </c>
      <c r="F803" s="18">
        <v>1260</v>
      </c>
      <c r="G803" s="22">
        <v>126</v>
      </c>
      <c r="H803" s="18">
        <v>2.8860341359374999</v>
      </c>
      <c r="I803" s="18">
        <v>363.64030112812497</v>
      </c>
      <c r="J803" s="18">
        <v>896.35969887187503</v>
      </c>
      <c r="K803" s="22">
        <v>0</v>
      </c>
      <c r="L803" s="22" t="str">
        <f t="shared" si="12"/>
        <v>45992, 3, 7</v>
      </c>
    </row>
    <row r="804" spans="1:12">
      <c r="A804" s="9">
        <v>45992</v>
      </c>
      <c r="B804">
        <v>3</v>
      </c>
      <c r="C804" s="16" t="s">
        <v>58</v>
      </c>
      <c r="D804">
        <v>9</v>
      </c>
      <c r="E804" s="16" t="s">
        <v>47</v>
      </c>
      <c r="F804" s="18">
        <v>2897.5</v>
      </c>
      <c r="G804" s="22">
        <v>61</v>
      </c>
      <c r="H804" s="18">
        <v>17.885481534187299</v>
      </c>
      <c r="I804" s="18">
        <v>1091.0143735854199</v>
      </c>
      <c r="J804" s="18">
        <v>1806.4856264145701</v>
      </c>
      <c r="K804" s="22">
        <v>0</v>
      </c>
      <c r="L804" s="22" t="str">
        <f t="shared" si="12"/>
        <v>45992, 3, 9</v>
      </c>
    </row>
    <row r="805" spans="1:12">
      <c r="A805" s="9">
        <v>45992</v>
      </c>
      <c r="B805">
        <v>3</v>
      </c>
      <c r="C805" s="16" t="s">
        <v>58</v>
      </c>
      <c r="D805">
        <v>11</v>
      </c>
      <c r="E805" s="16" t="s">
        <v>48</v>
      </c>
      <c r="F805" s="18">
        <v>2560</v>
      </c>
      <c r="G805" s="22">
        <v>128</v>
      </c>
      <c r="H805" s="18">
        <v>2.0483739895833302</v>
      </c>
      <c r="I805" s="18">
        <v>262.19187066666598</v>
      </c>
      <c r="J805" s="18">
        <v>2297.8081293333298</v>
      </c>
      <c r="K805" s="22">
        <v>0</v>
      </c>
      <c r="L805" s="22" t="str">
        <f t="shared" si="12"/>
        <v>45992, 3, 11</v>
      </c>
    </row>
    <row r="806" spans="1:12">
      <c r="A806" s="9">
        <v>45992</v>
      </c>
      <c r="B806">
        <v>3</v>
      </c>
      <c r="C806" s="16" t="s">
        <v>58</v>
      </c>
      <c r="D806">
        <v>12</v>
      </c>
      <c r="E806" s="16" t="s">
        <v>49</v>
      </c>
      <c r="F806" s="18">
        <v>2079</v>
      </c>
      <c r="G806" s="22">
        <v>99</v>
      </c>
      <c r="H806" s="18">
        <v>2.56614361764285</v>
      </c>
      <c r="I806" s="18">
        <v>254.048218146642</v>
      </c>
      <c r="J806" s="18">
        <v>1824.95178185335</v>
      </c>
      <c r="K806" s="22">
        <v>0</v>
      </c>
      <c r="L806" s="22" t="str">
        <f t="shared" si="12"/>
        <v>45992, 3, 12</v>
      </c>
    </row>
    <row r="807" spans="1:12">
      <c r="A807" s="9">
        <v>45992</v>
      </c>
      <c r="B807">
        <v>3</v>
      </c>
      <c r="C807" s="16" t="s">
        <v>58</v>
      </c>
      <c r="D807">
        <v>13</v>
      </c>
      <c r="E807" s="16" t="s">
        <v>50</v>
      </c>
      <c r="F807" s="18">
        <v>3498</v>
      </c>
      <c r="G807" s="22">
        <v>159</v>
      </c>
      <c r="H807" s="18">
        <v>6.8828766874999996</v>
      </c>
      <c r="I807" s="18">
        <v>1094.3773933125001</v>
      </c>
      <c r="J807" s="18">
        <v>2403.6226066875001</v>
      </c>
      <c r="K807" s="22">
        <v>0</v>
      </c>
      <c r="L807" s="22" t="str">
        <f t="shared" si="12"/>
        <v>45992, 3, 13</v>
      </c>
    </row>
    <row r="808" spans="1:12">
      <c r="A808" s="9">
        <v>45992</v>
      </c>
      <c r="B808">
        <v>3</v>
      </c>
      <c r="C808" s="16" t="s">
        <v>58</v>
      </c>
      <c r="D808">
        <v>14</v>
      </c>
      <c r="E808" s="16" t="s">
        <v>51</v>
      </c>
      <c r="F808" s="18">
        <v>2403</v>
      </c>
      <c r="G808" s="22">
        <v>89</v>
      </c>
      <c r="H808" s="18">
        <v>4.5684377688928501</v>
      </c>
      <c r="I808" s="18">
        <v>406.590961431464</v>
      </c>
      <c r="J808" s="18">
        <v>1996.4090385685299</v>
      </c>
      <c r="K808" s="22">
        <v>0</v>
      </c>
      <c r="L808" s="22" t="str">
        <f t="shared" si="12"/>
        <v>45992, 3, 14</v>
      </c>
    </row>
    <row r="809" spans="1:12">
      <c r="A809" s="9">
        <v>45992</v>
      </c>
      <c r="B809">
        <v>3</v>
      </c>
      <c r="C809" s="16" t="s">
        <v>58</v>
      </c>
      <c r="D809">
        <v>15</v>
      </c>
      <c r="E809" s="16" t="s">
        <v>52</v>
      </c>
      <c r="F809" s="18">
        <v>1833</v>
      </c>
      <c r="G809" s="22">
        <v>78</v>
      </c>
      <c r="H809" s="18">
        <v>2.78090116258333</v>
      </c>
      <c r="I809" s="18">
        <v>216.91029068149899</v>
      </c>
      <c r="J809" s="18">
        <v>1616.0897093184999</v>
      </c>
      <c r="K809" s="22">
        <v>0</v>
      </c>
      <c r="L809" s="22" t="str">
        <f t="shared" si="12"/>
        <v>45992, 3, 15</v>
      </c>
    </row>
    <row r="810" spans="1:12">
      <c r="A810" s="9">
        <v>45992</v>
      </c>
      <c r="B810">
        <v>3</v>
      </c>
      <c r="C810" s="16" t="s">
        <v>58</v>
      </c>
      <c r="D810">
        <v>16</v>
      </c>
      <c r="E810" s="16" t="s">
        <v>53</v>
      </c>
      <c r="F810" s="18">
        <v>909.5</v>
      </c>
      <c r="G810" s="22">
        <v>107</v>
      </c>
      <c r="H810" s="18">
        <v>1.52317564472222</v>
      </c>
      <c r="I810" s="18">
        <v>162.97979398527701</v>
      </c>
      <c r="J810" s="18">
        <v>746.52020601472202</v>
      </c>
      <c r="K810" s="22">
        <v>0</v>
      </c>
      <c r="L810" s="22" t="str">
        <f t="shared" si="12"/>
        <v>45992, 3, 16</v>
      </c>
    </row>
    <row r="811" spans="1:12">
      <c r="A811" s="9">
        <v>45992</v>
      </c>
      <c r="B811">
        <v>3</v>
      </c>
      <c r="C811" s="16" t="s">
        <v>58</v>
      </c>
      <c r="D811">
        <v>17</v>
      </c>
      <c r="E811" s="16" t="s">
        <v>54</v>
      </c>
      <c r="F811" s="18">
        <v>772.5</v>
      </c>
      <c r="G811" s="22">
        <v>103</v>
      </c>
      <c r="H811" s="18">
        <v>1.3940251476666601</v>
      </c>
      <c r="I811" s="18">
        <v>143.584590209666</v>
      </c>
      <c r="J811" s="18">
        <v>628.915409790333</v>
      </c>
      <c r="K811" s="22">
        <v>0</v>
      </c>
      <c r="L811" s="22" t="str">
        <f t="shared" si="12"/>
        <v>45992, 3, 17</v>
      </c>
    </row>
    <row r="812" spans="1:12">
      <c r="A812" s="9">
        <v>45992</v>
      </c>
      <c r="B812">
        <v>3</v>
      </c>
      <c r="C812" s="16" t="s">
        <v>58</v>
      </c>
      <c r="D812">
        <v>18</v>
      </c>
      <c r="E812" s="16" t="s">
        <v>55</v>
      </c>
      <c r="F812" s="18">
        <v>1104</v>
      </c>
      <c r="G812" s="22">
        <v>48</v>
      </c>
      <c r="H812" s="18">
        <v>6.0552530233333304</v>
      </c>
      <c r="I812" s="18">
        <v>290.65214511999898</v>
      </c>
      <c r="J812" s="18">
        <v>813.34785488</v>
      </c>
      <c r="K812" s="22">
        <v>0</v>
      </c>
      <c r="L812" s="22" t="str">
        <f t="shared" si="12"/>
        <v>45992, 3, 18</v>
      </c>
    </row>
    <row r="813" spans="1:12">
      <c r="A813" s="9">
        <v>46023</v>
      </c>
      <c r="B813">
        <v>3</v>
      </c>
      <c r="C813" s="16" t="s">
        <v>58</v>
      </c>
      <c r="D813">
        <v>1</v>
      </c>
      <c r="E813" s="16" t="s">
        <v>38</v>
      </c>
      <c r="F813" s="18">
        <v>2646</v>
      </c>
      <c r="G813" s="22">
        <v>126</v>
      </c>
      <c r="H813" s="18">
        <v>3.9508058500000001</v>
      </c>
      <c r="I813" s="18">
        <v>497.80153710000002</v>
      </c>
      <c r="J813" s="18">
        <v>2148.1984628999999</v>
      </c>
      <c r="K813" s="22">
        <v>0</v>
      </c>
      <c r="L813" s="22" t="str">
        <f t="shared" si="12"/>
        <v>46023, 3, 1</v>
      </c>
    </row>
    <row r="814" spans="1:12">
      <c r="A814" s="9">
        <v>46023</v>
      </c>
      <c r="B814">
        <v>3</v>
      </c>
      <c r="C814" s="16" t="s">
        <v>58</v>
      </c>
      <c r="D814">
        <v>2</v>
      </c>
      <c r="E814" s="16" t="s">
        <v>40</v>
      </c>
      <c r="F814" s="18">
        <v>3565</v>
      </c>
      <c r="G814" s="22">
        <v>155</v>
      </c>
      <c r="H814" s="18">
        <v>6.7085466529333297</v>
      </c>
      <c r="I814" s="18">
        <v>1039.8247312046601</v>
      </c>
      <c r="J814" s="18">
        <v>2525.1752687953299</v>
      </c>
      <c r="K814" s="22">
        <v>0</v>
      </c>
      <c r="L814" s="22" t="str">
        <f t="shared" si="12"/>
        <v>46023, 3, 2</v>
      </c>
    </row>
    <row r="815" spans="1:12">
      <c r="A815" s="9">
        <v>46023</v>
      </c>
      <c r="B815">
        <v>3</v>
      </c>
      <c r="C815" s="16" t="s">
        <v>58</v>
      </c>
      <c r="D815">
        <v>4</v>
      </c>
      <c r="E815" s="16" t="s">
        <v>42</v>
      </c>
      <c r="F815" s="18">
        <v>4940</v>
      </c>
      <c r="G815" s="22">
        <v>247</v>
      </c>
      <c r="H815" s="18">
        <v>7.236596853</v>
      </c>
      <c r="I815" s="18">
        <v>1787.4394226909999</v>
      </c>
      <c r="J815" s="18">
        <v>3152.5605773090001</v>
      </c>
      <c r="K815" s="22">
        <v>0</v>
      </c>
      <c r="L815" s="22" t="str">
        <f t="shared" si="12"/>
        <v>46023, 3, 4</v>
      </c>
    </row>
    <row r="816" spans="1:12">
      <c r="A816" s="9">
        <v>46023</v>
      </c>
      <c r="B816">
        <v>3</v>
      </c>
      <c r="C816" s="16" t="s">
        <v>58</v>
      </c>
      <c r="D816">
        <v>6</v>
      </c>
      <c r="E816" s="16" t="s">
        <v>44</v>
      </c>
      <c r="F816" s="18">
        <v>2992</v>
      </c>
      <c r="G816" s="22">
        <v>136</v>
      </c>
      <c r="H816" s="18">
        <v>4.7237934563055504</v>
      </c>
      <c r="I816" s="18">
        <v>642.43591005755502</v>
      </c>
      <c r="J816" s="18">
        <v>2349.5640899424402</v>
      </c>
      <c r="K816" s="22">
        <v>0</v>
      </c>
      <c r="L816" s="22" t="str">
        <f t="shared" si="12"/>
        <v>46023, 3, 6</v>
      </c>
    </row>
    <row r="817" spans="1:12">
      <c r="A817" s="9">
        <v>46023</v>
      </c>
      <c r="B817">
        <v>3</v>
      </c>
      <c r="C817" s="16" t="s">
        <v>58</v>
      </c>
      <c r="D817">
        <v>7</v>
      </c>
      <c r="E817" s="16" t="s">
        <v>45</v>
      </c>
      <c r="F817" s="18">
        <v>1640</v>
      </c>
      <c r="G817" s="22">
        <v>164</v>
      </c>
      <c r="H817" s="18">
        <v>2.8940545151666601</v>
      </c>
      <c r="I817" s="18">
        <v>474.62494048733299</v>
      </c>
      <c r="J817" s="18">
        <v>1165.3750595126601</v>
      </c>
      <c r="K817" s="22">
        <v>0</v>
      </c>
      <c r="L817" s="22" t="str">
        <f t="shared" si="12"/>
        <v>46023, 3, 7</v>
      </c>
    </row>
    <row r="818" spans="1:12">
      <c r="A818" s="9">
        <v>46023</v>
      </c>
      <c r="B818">
        <v>3</v>
      </c>
      <c r="C818" s="16" t="s">
        <v>58</v>
      </c>
      <c r="D818">
        <v>9</v>
      </c>
      <c r="E818" s="16" t="s">
        <v>47</v>
      </c>
      <c r="F818" s="18">
        <v>2612.5</v>
      </c>
      <c r="G818" s="22">
        <v>55</v>
      </c>
      <c r="H818" s="18">
        <v>17.969664489304002</v>
      </c>
      <c r="I818" s="18">
        <v>988.33154691172194</v>
      </c>
      <c r="J818" s="18">
        <v>1624.1684530882701</v>
      </c>
      <c r="K818" s="22">
        <v>0</v>
      </c>
      <c r="L818" s="22" t="str">
        <f t="shared" si="12"/>
        <v>46023, 3, 9</v>
      </c>
    </row>
    <row r="819" spans="1:12">
      <c r="A819" s="9">
        <v>46023</v>
      </c>
      <c r="B819">
        <v>3</v>
      </c>
      <c r="C819" s="16" t="s">
        <v>58</v>
      </c>
      <c r="D819">
        <v>11</v>
      </c>
      <c r="E819" s="16" t="s">
        <v>48</v>
      </c>
      <c r="F819" s="18">
        <v>1780</v>
      </c>
      <c r="G819" s="22">
        <v>89</v>
      </c>
      <c r="H819" s="18">
        <v>1.9470679791666601</v>
      </c>
      <c r="I819" s="18">
        <v>173.28905014583299</v>
      </c>
      <c r="J819" s="18">
        <v>1606.7109498541599</v>
      </c>
      <c r="K819" s="22">
        <v>0</v>
      </c>
      <c r="L819" s="22" t="str">
        <f t="shared" si="12"/>
        <v>46023, 3, 11</v>
      </c>
    </row>
    <row r="820" spans="1:12">
      <c r="A820" s="9">
        <v>46023</v>
      </c>
      <c r="B820">
        <v>3</v>
      </c>
      <c r="C820" s="16" t="s">
        <v>58</v>
      </c>
      <c r="D820">
        <v>12</v>
      </c>
      <c r="E820" s="16" t="s">
        <v>49</v>
      </c>
      <c r="F820" s="18">
        <v>2037</v>
      </c>
      <c r="G820" s="22">
        <v>97</v>
      </c>
      <c r="H820" s="18">
        <v>2.5709507490000001</v>
      </c>
      <c r="I820" s="18">
        <v>249.38222265300001</v>
      </c>
      <c r="J820" s="18">
        <v>1787.6177773469999</v>
      </c>
      <c r="K820" s="22">
        <v>0</v>
      </c>
      <c r="L820" s="22" t="str">
        <f t="shared" si="12"/>
        <v>46023, 3, 12</v>
      </c>
    </row>
    <row r="821" spans="1:12">
      <c r="A821" s="9">
        <v>46023</v>
      </c>
      <c r="B821">
        <v>3</v>
      </c>
      <c r="C821" s="16" t="s">
        <v>58</v>
      </c>
      <c r="D821">
        <v>13</v>
      </c>
      <c r="E821" s="16" t="s">
        <v>50</v>
      </c>
      <c r="F821" s="18">
        <v>3542</v>
      </c>
      <c r="G821" s="22">
        <v>161</v>
      </c>
      <c r="H821" s="18">
        <v>6.7553029374999998</v>
      </c>
      <c r="I821" s="18">
        <v>1087.6037729375</v>
      </c>
      <c r="J821" s="18">
        <v>2454.3962270625002</v>
      </c>
      <c r="K821" s="22">
        <v>0</v>
      </c>
      <c r="L821" s="22" t="str">
        <f t="shared" si="12"/>
        <v>46023, 3, 13</v>
      </c>
    </row>
    <row r="822" spans="1:12">
      <c r="A822" s="9">
        <v>46023</v>
      </c>
      <c r="B822">
        <v>3</v>
      </c>
      <c r="C822" s="16" t="s">
        <v>58</v>
      </c>
      <c r="D822">
        <v>14</v>
      </c>
      <c r="E822" s="16" t="s">
        <v>51</v>
      </c>
      <c r="F822" s="18">
        <v>2106</v>
      </c>
      <c r="G822" s="22">
        <v>78</v>
      </c>
      <c r="H822" s="18">
        <v>4.5809644600897403</v>
      </c>
      <c r="I822" s="18">
        <v>357.31522788699999</v>
      </c>
      <c r="J822" s="18">
        <v>1748.68477211299</v>
      </c>
      <c r="K822" s="22">
        <v>0</v>
      </c>
      <c r="L822" s="22" t="str">
        <f t="shared" si="12"/>
        <v>46023, 3, 14</v>
      </c>
    </row>
    <row r="823" spans="1:12">
      <c r="A823" s="9">
        <v>46023</v>
      </c>
      <c r="B823">
        <v>3</v>
      </c>
      <c r="C823" s="16" t="s">
        <v>58</v>
      </c>
      <c r="D823">
        <v>15</v>
      </c>
      <c r="E823" s="16" t="s">
        <v>52</v>
      </c>
      <c r="F823" s="18">
        <v>1880</v>
      </c>
      <c r="G823" s="22">
        <v>80</v>
      </c>
      <c r="H823" s="18">
        <v>2.8011070115000001</v>
      </c>
      <c r="I823" s="18">
        <v>224.08856091999999</v>
      </c>
      <c r="J823" s="18">
        <v>1655.91143908</v>
      </c>
      <c r="K823" s="22">
        <v>0</v>
      </c>
      <c r="L823" s="22" t="str">
        <f t="shared" si="12"/>
        <v>46023, 3, 15</v>
      </c>
    </row>
    <row r="824" spans="1:12">
      <c r="A824" s="9">
        <v>46023</v>
      </c>
      <c r="B824">
        <v>3</v>
      </c>
      <c r="C824" s="16" t="s">
        <v>58</v>
      </c>
      <c r="D824">
        <v>16</v>
      </c>
      <c r="E824" s="16" t="s">
        <v>53</v>
      </c>
      <c r="F824" s="18">
        <v>994.5</v>
      </c>
      <c r="G824" s="22">
        <v>117</v>
      </c>
      <c r="H824" s="18">
        <v>1.5270928660119001</v>
      </c>
      <c r="I824" s="18">
        <v>178.669865323392</v>
      </c>
      <c r="J824" s="18">
        <v>815.83013467660703</v>
      </c>
      <c r="K824" s="22">
        <v>0</v>
      </c>
      <c r="L824" s="22" t="str">
        <f t="shared" si="12"/>
        <v>46023, 3, 16</v>
      </c>
    </row>
    <row r="825" spans="1:12">
      <c r="A825" s="9">
        <v>46023</v>
      </c>
      <c r="B825">
        <v>3</v>
      </c>
      <c r="C825" s="16" t="s">
        <v>58</v>
      </c>
      <c r="D825">
        <v>17</v>
      </c>
      <c r="E825" s="16" t="s">
        <v>54</v>
      </c>
      <c r="F825" s="18">
        <v>615</v>
      </c>
      <c r="G825" s="22">
        <v>82</v>
      </c>
      <c r="H825" s="18">
        <v>1.4066889625000001</v>
      </c>
      <c r="I825" s="18">
        <v>115.348494925</v>
      </c>
      <c r="J825" s="18">
        <v>499.65150507499999</v>
      </c>
      <c r="K825" s="22">
        <v>0</v>
      </c>
      <c r="L825" s="22" t="str">
        <f t="shared" si="12"/>
        <v>46023, 3, 17</v>
      </c>
    </row>
    <row r="826" spans="1:12">
      <c r="A826" s="9">
        <v>46023</v>
      </c>
      <c r="B826">
        <v>3</v>
      </c>
      <c r="C826" s="16" t="s">
        <v>58</v>
      </c>
      <c r="D826">
        <v>18</v>
      </c>
      <c r="E826" s="16" t="s">
        <v>55</v>
      </c>
      <c r="F826" s="18">
        <v>1334</v>
      </c>
      <c r="G826" s="22">
        <v>58</v>
      </c>
      <c r="H826" s="18">
        <v>5.5803097659605196</v>
      </c>
      <c r="I826" s="18">
        <v>323.65796642571001</v>
      </c>
      <c r="J826" s="18">
        <v>1010.34203357428</v>
      </c>
      <c r="K826" s="22">
        <v>0</v>
      </c>
      <c r="L826" s="22" t="str">
        <f t="shared" si="12"/>
        <v>46023, 3, 18</v>
      </c>
    </row>
    <row r="827" spans="1:12">
      <c r="A827" s="9">
        <v>46054</v>
      </c>
      <c r="B827">
        <v>3</v>
      </c>
      <c r="C827" s="16" t="s">
        <v>58</v>
      </c>
      <c r="D827">
        <v>1</v>
      </c>
      <c r="E827" s="16" t="s">
        <v>38</v>
      </c>
      <c r="F827" s="18">
        <v>2919</v>
      </c>
      <c r="G827" s="22">
        <v>139</v>
      </c>
      <c r="H827" s="18">
        <v>3.9326150000000002</v>
      </c>
      <c r="I827" s="18">
        <v>546.63348499999995</v>
      </c>
      <c r="J827" s="18">
        <v>2372.3665150000002</v>
      </c>
      <c r="K827" s="22">
        <v>0</v>
      </c>
      <c r="L827" s="22" t="str">
        <f t="shared" si="12"/>
        <v>46054, 3, 1</v>
      </c>
    </row>
    <row r="828" spans="1:12">
      <c r="A828" s="9">
        <v>46054</v>
      </c>
      <c r="B828">
        <v>3</v>
      </c>
      <c r="C828" s="16" t="s">
        <v>58</v>
      </c>
      <c r="D828">
        <v>2</v>
      </c>
      <c r="E828" s="16" t="s">
        <v>40</v>
      </c>
      <c r="F828" s="18">
        <v>3473</v>
      </c>
      <c r="G828" s="22">
        <v>151</v>
      </c>
      <c r="H828" s="18">
        <v>6.7965035708571397</v>
      </c>
      <c r="I828" s="18">
        <v>1026.2720391994201</v>
      </c>
      <c r="J828" s="18">
        <v>2446.7279608005701</v>
      </c>
      <c r="K828" s="22">
        <v>0</v>
      </c>
      <c r="L828" s="22" t="str">
        <f t="shared" si="12"/>
        <v>46054, 3, 2</v>
      </c>
    </row>
    <row r="829" spans="1:12">
      <c r="A829" s="9">
        <v>46054</v>
      </c>
      <c r="B829">
        <v>3</v>
      </c>
      <c r="C829" s="16" t="s">
        <v>58</v>
      </c>
      <c r="D829">
        <v>4</v>
      </c>
      <c r="E829" s="16" t="s">
        <v>42</v>
      </c>
      <c r="F829" s="18">
        <v>4460</v>
      </c>
      <c r="G829" s="22">
        <v>223</v>
      </c>
      <c r="H829" s="18">
        <v>7.2789589778333301</v>
      </c>
      <c r="I829" s="18">
        <v>1623.20785205683</v>
      </c>
      <c r="J829" s="18">
        <v>2836.7921479431602</v>
      </c>
      <c r="K829" s="22">
        <v>0</v>
      </c>
      <c r="L829" s="22" t="str">
        <f t="shared" si="12"/>
        <v>46054, 3, 4</v>
      </c>
    </row>
    <row r="830" spans="1:12">
      <c r="A830" s="9">
        <v>46054</v>
      </c>
      <c r="B830">
        <v>3</v>
      </c>
      <c r="C830" s="16" t="s">
        <v>58</v>
      </c>
      <c r="D830">
        <v>6</v>
      </c>
      <c r="E830" s="16" t="s">
        <v>44</v>
      </c>
      <c r="F830" s="18">
        <v>2794</v>
      </c>
      <c r="G830" s="22">
        <v>127</v>
      </c>
      <c r="H830" s="18">
        <v>4.7313195252058797</v>
      </c>
      <c r="I830" s="18">
        <v>600.87757970114706</v>
      </c>
      <c r="J830" s="18">
        <v>2193.1224202988501</v>
      </c>
      <c r="K830" s="22">
        <v>0</v>
      </c>
      <c r="L830" s="22" t="str">
        <f t="shared" si="12"/>
        <v>46054, 3, 6</v>
      </c>
    </row>
    <row r="831" spans="1:12">
      <c r="A831" s="9">
        <v>46054</v>
      </c>
      <c r="B831">
        <v>3</v>
      </c>
      <c r="C831" s="16" t="s">
        <v>58</v>
      </c>
      <c r="D831">
        <v>7</v>
      </c>
      <c r="E831" s="16" t="s">
        <v>45</v>
      </c>
      <c r="F831" s="18">
        <v>1370</v>
      </c>
      <c r="G831" s="22">
        <v>137</v>
      </c>
      <c r="H831" s="18">
        <v>2.8948472164285701</v>
      </c>
      <c r="I831" s="18">
        <v>396.59406865071401</v>
      </c>
      <c r="J831" s="18">
        <v>973.40593134928497</v>
      </c>
      <c r="K831" s="22">
        <v>0</v>
      </c>
      <c r="L831" s="22" t="str">
        <f t="shared" si="12"/>
        <v>46054, 3, 7</v>
      </c>
    </row>
    <row r="832" spans="1:12">
      <c r="A832" s="9">
        <v>46054</v>
      </c>
      <c r="B832">
        <v>3</v>
      </c>
      <c r="C832" s="16" t="s">
        <v>58</v>
      </c>
      <c r="D832">
        <v>9</v>
      </c>
      <c r="E832" s="16" t="s">
        <v>47</v>
      </c>
      <c r="F832" s="18">
        <v>2090</v>
      </c>
      <c r="G832" s="22">
        <v>44</v>
      </c>
      <c r="H832" s="18">
        <v>18.204521549568302</v>
      </c>
      <c r="I832" s="18">
        <v>800.99894818100597</v>
      </c>
      <c r="J832" s="18">
        <v>1289.0010518189899</v>
      </c>
      <c r="K832" s="22">
        <v>0</v>
      </c>
      <c r="L832" s="22" t="str">
        <f t="shared" si="12"/>
        <v>46054, 3, 9</v>
      </c>
    </row>
    <row r="833" spans="1:12">
      <c r="A833" s="9">
        <v>46054</v>
      </c>
      <c r="B833">
        <v>3</v>
      </c>
      <c r="C833" s="16" t="s">
        <v>58</v>
      </c>
      <c r="D833">
        <v>11</v>
      </c>
      <c r="E833" s="16" t="s">
        <v>48</v>
      </c>
      <c r="F833" s="18">
        <v>2040</v>
      </c>
      <c r="G833" s="22">
        <v>102</v>
      </c>
      <c r="H833" s="18">
        <v>1.9412696250000001</v>
      </c>
      <c r="I833" s="18">
        <v>198.00950175</v>
      </c>
      <c r="J833" s="18">
        <v>1841.99049825</v>
      </c>
      <c r="K833" s="22">
        <v>0</v>
      </c>
      <c r="L833" s="22" t="str">
        <f t="shared" si="12"/>
        <v>46054, 3, 11</v>
      </c>
    </row>
    <row r="834" spans="1:12">
      <c r="A834" s="9">
        <v>46054</v>
      </c>
      <c r="B834">
        <v>3</v>
      </c>
      <c r="C834" s="16" t="s">
        <v>58</v>
      </c>
      <c r="D834">
        <v>12</v>
      </c>
      <c r="E834" s="16" t="s">
        <v>49</v>
      </c>
      <c r="F834" s="18">
        <v>1533</v>
      </c>
      <c r="G834" s="22">
        <v>73</v>
      </c>
      <c r="H834" s="18">
        <v>2.5615891851666599</v>
      </c>
      <c r="I834" s="18">
        <v>186.99601051716601</v>
      </c>
      <c r="J834" s="18">
        <v>1346.0039894828301</v>
      </c>
      <c r="K834" s="22">
        <v>0</v>
      </c>
      <c r="L834" s="22" t="str">
        <f t="shared" si="12"/>
        <v>46054, 3, 12</v>
      </c>
    </row>
    <row r="835" spans="1:12">
      <c r="A835" s="9">
        <v>46054</v>
      </c>
      <c r="B835">
        <v>3</v>
      </c>
      <c r="C835" s="16" t="s">
        <v>58</v>
      </c>
      <c r="D835">
        <v>13</v>
      </c>
      <c r="E835" s="16" t="s">
        <v>50</v>
      </c>
      <c r="F835" s="18">
        <v>2552</v>
      </c>
      <c r="G835" s="22">
        <v>116</v>
      </c>
      <c r="H835" s="18">
        <v>6.8227527142857101</v>
      </c>
      <c r="I835" s="18">
        <v>791.43931485714199</v>
      </c>
      <c r="J835" s="18">
        <v>1760.5606851428499</v>
      </c>
      <c r="K835" s="22">
        <v>0</v>
      </c>
      <c r="L835" s="22" t="str">
        <f t="shared" ref="L835:L898" si="13">(A835&amp; ", "&amp; B835&amp; ", "&amp; D835)</f>
        <v>46054, 3, 13</v>
      </c>
    </row>
    <row r="836" spans="1:12">
      <c r="A836" s="9">
        <v>46054</v>
      </c>
      <c r="B836">
        <v>3</v>
      </c>
      <c r="C836" s="16" t="s">
        <v>58</v>
      </c>
      <c r="D836">
        <v>14</v>
      </c>
      <c r="E836" s="16" t="s">
        <v>51</v>
      </c>
      <c r="F836" s="18">
        <v>2295</v>
      </c>
      <c r="G836" s="22">
        <v>85</v>
      </c>
      <c r="H836" s="18">
        <v>4.5961195357833304</v>
      </c>
      <c r="I836" s="18">
        <v>390.67016054158302</v>
      </c>
      <c r="J836" s="18">
        <v>1904.3298394584101</v>
      </c>
      <c r="K836" s="22">
        <v>0</v>
      </c>
      <c r="L836" s="22" t="str">
        <f t="shared" si="13"/>
        <v>46054, 3, 14</v>
      </c>
    </row>
    <row r="837" spans="1:12">
      <c r="A837" s="9">
        <v>46054</v>
      </c>
      <c r="B837">
        <v>3</v>
      </c>
      <c r="C837" s="16" t="s">
        <v>58</v>
      </c>
      <c r="D837">
        <v>15</v>
      </c>
      <c r="E837" s="16" t="s">
        <v>52</v>
      </c>
      <c r="F837" s="18">
        <v>1880</v>
      </c>
      <c r="G837" s="22">
        <v>80</v>
      </c>
      <c r="H837" s="18">
        <v>2.7905401938000001</v>
      </c>
      <c r="I837" s="18">
        <v>223.24321550400001</v>
      </c>
      <c r="J837" s="18">
        <v>1656.7567844959999</v>
      </c>
      <c r="K837" s="22">
        <v>0</v>
      </c>
      <c r="L837" s="22" t="str">
        <f t="shared" si="13"/>
        <v>46054, 3, 15</v>
      </c>
    </row>
    <row r="838" spans="1:12">
      <c r="A838" s="9">
        <v>46054</v>
      </c>
      <c r="B838">
        <v>3</v>
      </c>
      <c r="C838" s="16" t="s">
        <v>58</v>
      </c>
      <c r="D838">
        <v>16</v>
      </c>
      <c r="E838" s="16" t="s">
        <v>53</v>
      </c>
      <c r="F838" s="18">
        <v>705.5</v>
      </c>
      <c r="G838" s="22">
        <v>83</v>
      </c>
      <c r="H838" s="18">
        <v>1.51129231583333</v>
      </c>
      <c r="I838" s="18">
        <v>125.437262214166</v>
      </c>
      <c r="J838" s="18">
        <v>580.06273778583295</v>
      </c>
      <c r="K838" s="22">
        <v>0</v>
      </c>
      <c r="L838" s="22" t="str">
        <f t="shared" si="13"/>
        <v>46054, 3, 16</v>
      </c>
    </row>
    <row r="839" spans="1:12">
      <c r="A839" s="9">
        <v>46054</v>
      </c>
      <c r="B839">
        <v>3</v>
      </c>
      <c r="C839" s="16" t="s">
        <v>58</v>
      </c>
      <c r="D839">
        <v>17</v>
      </c>
      <c r="E839" s="16" t="s">
        <v>54</v>
      </c>
      <c r="F839" s="18">
        <v>637.5</v>
      </c>
      <c r="G839" s="22">
        <v>85</v>
      </c>
      <c r="H839" s="18">
        <v>1.40600408653846</v>
      </c>
      <c r="I839" s="18">
        <v>119.510347355769</v>
      </c>
      <c r="J839" s="18">
        <v>517.98965264422998</v>
      </c>
      <c r="K839" s="22">
        <v>0</v>
      </c>
      <c r="L839" s="22" t="str">
        <f t="shared" si="13"/>
        <v>46054, 3, 17</v>
      </c>
    </row>
    <row r="840" spans="1:12">
      <c r="A840" s="9">
        <v>46054</v>
      </c>
      <c r="B840">
        <v>3</v>
      </c>
      <c r="C840" s="16" t="s">
        <v>58</v>
      </c>
      <c r="D840">
        <v>18</v>
      </c>
      <c r="E840" s="16" t="s">
        <v>55</v>
      </c>
      <c r="F840" s="18">
        <v>1725</v>
      </c>
      <c r="G840" s="22">
        <v>75</v>
      </c>
      <c r="H840" s="18">
        <v>5.5657529945312501</v>
      </c>
      <c r="I840" s="18">
        <v>417.43147458984299</v>
      </c>
      <c r="J840" s="18">
        <v>1307.56852541015</v>
      </c>
      <c r="K840" s="22">
        <v>0</v>
      </c>
      <c r="L840" s="22" t="str">
        <f t="shared" si="13"/>
        <v>46054, 3, 18</v>
      </c>
    </row>
    <row r="841" spans="1:12">
      <c r="A841" s="9">
        <v>46082</v>
      </c>
      <c r="B841">
        <v>3</v>
      </c>
      <c r="C841" s="16" t="s">
        <v>58</v>
      </c>
      <c r="D841">
        <v>1</v>
      </c>
      <c r="E841" s="16" t="s">
        <v>38</v>
      </c>
      <c r="F841" s="18">
        <v>2856</v>
      </c>
      <c r="G841" s="22">
        <v>136</v>
      </c>
      <c r="H841" s="18">
        <v>3.95270661842105</v>
      </c>
      <c r="I841" s="18">
        <v>537.56810010526306</v>
      </c>
      <c r="J841" s="18">
        <v>2318.4318998947301</v>
      </c>
      <c r="K841" s="22">
        <v>0</v>
      </c>
      <c r="L841" s="22" t="str">
        <f t="shared" si="13"/>
        <v>46082, 3, 1</v>
      </c>
    </row>
    <row r="842" spans="1:12">
      <c r="A842" s="9">
        <v>46082</v>
      </c>
      <c r="B842">
        <v>3</v>
      </c>
      <c r="C842" s="16" t="s">
        <v>58</v>
      </c>
      <c r="D842">
        <v>2</v>
      </c>
      <c r="E842" s="16" t="s">
        <v>40</v>
      </c>
      <c r="F842" s="18">
        <v>3956</v>
      </c>
      <c r="G842" s="22">
        <v>172</v>
      </c>
      <c r="H842" s="18">
        <v>6.8042779917500003</v>
      </c>
      <c r="I842" s="18">
        <v>1170.335814581</v>
      </c>
      <c r="J842" s="18">
        <v>2785.6641854190002</v>
      </c>
      <c r="K842" s="22">
        <v>0</v>
      </c>
      <c r="L842" s="22" t="str">
        <f t="shared" si="13"/>
        <v>46082, 3, 2</v>
      </c>
    </row>
    <row r="843" spans="1:12">
      <c r="A843" s="9">
        <v>46082</v>
      </c>
      <c r="B843">
        <v>3</v>
      </c>
      <c r="C843" s="16" t="s">
        <v>58</v>
      </c>
      <c r="D843">
        <v>4</v>
      </c>
      <c r="E843" s="16" t="s">
        <v>42</v>
      </c>
      <c r="F843" s="18">
        <v>4540</v>
      </c>
      <c r="G843" s="22">
        <v>227</v>
      </c>
      <c r="H843" s="18">
        <v>7.1730315967999996</v>
      </c>
      <c r="I843" s="18">
        <v>1628.2781724736001</v>
      </c>
      <c r="J843" s="18">
        <v>2911.7218275263999</v>
      </c>
      <c r="K843" s="22">
        <v>0</v>
      </c>
      <c r="L843" s="22" t="str">
        <f t="shared" si="13"/>
        <v>46082, 3, 4</v>
      </c>
    </row>
    <row r="844" spans="1:12">
      <c r="A844" s="9">
        <v>46082</v>
      </c>
      <c r="B844">
        <v>3</v>
      </c>
      <c r="C844" s="16" t="s">
        <v>58</v>
      </c>
      <c r="D844">
        <v>6</v>
      </c>
      <c r="E844" s="16" t="s">
        <v>44</v>
      </c>
      <c r="F844" s="18">
        <v>3014</v>
      </c>
      <c r="G844" s="22">
        <v>137</v>
      </c>
      <c r="H844" s="18">
        <v>4.7512554505526303</v>
      </c>
      <c r="I844" s="18">
        <v>650.92199672570996</v>
      </c>
      <c r="J844" s="18">
        <v>2363.07800327428</v>
      </c>
      <c r="K844" s="22">
        <v>0</v>
      </c>
      <c r="L844" s="22" t="str">
        <f t="shared" si="13"/>
        <v>46082, 3, 6</v>
      </c>
    </row>
    <row r="845" spans="1:12">
      <c r="A845" s="9">
        <v>46082</v>
      </c>
      <c r="B845">
        <v>3</v>
      </c>
      <c r="C845" s="16" t="s">
        <v>58</v>
      </c>
      <c r="D845">
        <v>7</v>
      </c>
      <c r="E845" s="16" t="s">
        <v>45</v>
      </c>
      <c r="F845" s="18">
        <v>1290</v>
      </c>
      <c r="G845" s="22">
        <v>129</v>
      </c>
      <c r="H845" s="18">
        <v>2.8971268225000002</v>
      </c>
      <c r="I845" s="18">
        <v>373.72936010249998</v>
      </c>
      <c r="J845" s="18">
        <v>916.27063989750002</v>
      </c>
      <c r="K845" s="22">
        <v>0</v>
      </c>
      <c r="L845" s="22" t="str">
        <f t="shared" si="13"/>
        <v>46082, 3, 7</v>
      </c>
    </row>
    <row r="846" spans="1:12">
      <c r="A846" s="9">
        <v>46082</v>
      </c>
      <c r="B846">
        <v>3</v>
      </c>
      <c r="C846" s="16" t="s">
        <v>58</v>
      </c>
      <c r="D846">
        <v>9</v>
      </c>
      <c r="E846" s="16" t="s">
        <v>47</v>
      </c>
      <c r="F846" s="18">
        <v>2137.5</v>
      </c>
      <c r="G846" s="22">
        <v>45</v>
      </c>
      <c r="H846" s="18">
        <v>18.045623100496901</v>
      </c>
      <c r="I846" s="18">
        <v>812.05303952236102</v>
      </c>
      <c r="J846" s="18">
        <v>1325.44696047763</v>
      </c>
      <c r="K846" s="22">
        <v>0</v>
      </c>
      <c r="L846" s="22" t="str">
        <f t="shared" si="13"/>
        <v>46082, 3, 9</v>
      </c>
    </row>
    <row r="847" spans="1:12">
      <c r="A847" s="9">
        <v>46082</v>
      </c>
      <c r="B847">
        <v>3</v>
      </c>
      <c r="C847" s="16" t="s">
        <v>58</v>
      </c>
      <c r="D847">
        <v>11</v>
      </c>
      <c r="E847" s="16" t="s">
        <v>48</v>
      </c>
      <c r="F847" s="18">
        <v>2520</v>
      </c>
      <c r="G847" s="22">
        <v>126</v>
      </c>
      <c r="H847" s="18">
        <v>1.9298909090909</v>
      </c>
      <c r="I847" s="18">
        <v>243.166254545454</v>
      </c>
      <c r="J847" s="18">
        <v>2276.8337454545399</v>
      </c>
      <c r="K847" s="22">
        <v>0</v>
      </c>
      <c r="L847" s="22" t="str">
        <f t="shared" si="13"/>
        <v>46082, 3, 11</v>
      </c>
    </row>
    <row r="848" spans="1:12">
      <c r="A848" s="9">
        <v>46082</v>
      </c>
      <c r="B848">
        <v>3</v>
      </c>
      <c r="C848" s="16" t="s">
        <v>58</v>
      </c>
      <c r="D848">
        <v>12</v>
      </c>
      <c r="E848" s="16" t="s">
        <v>49</v>
      </c>
      <c r="F848" s="18">
        <v>2205</v>
      </c>
      <c r="G848" s="22">
        <v>105</v>
      </c>
      <c r="H848" s="18">
        <v>2.6014984827380898</v>
      </c>
      <c r="I848" s="18">
        <v>273.15734068749998</v>
      </c>
      <c r="J848" s="18">
        <v>1931.84265931249</v>
      </c>
      <c r="K848" s="22">
        <v>0</v>
      </c>
      <c r="L848" s="22" t="str">
        <f t="shared" si="13"/>
        <v>46082, 3, 12</v>
      </c>
    </row>
    <row r="849" spans="1:12">
      <c r="A849" s="9">
        <v>46082</v>
      </c>
      <c r="B849">
        <v>3</v>
      </c>
      <c r="C849" s="16" t="s">
        <v>58</v>
      </c>
      <c r="D849">
        <v>13</v>
      </c>
      <c r="E849" s="16" t="s">
        <v>50</v>
      </c>
      <c r="F849" s="18">
        <v>2904</v>
      </c>
      <c r="G849" s="22">
        <v>132</v>
      </c>
      <c r="H849" s="18">
        <v>6.7848661999999997</v>
      </c>
      <c r="I849" s="18">
        <v>895.60233840000001</v>
      </c>
      <c r="J849" s="18">
        <v>2008.3976616</v>
      </c>
      <c r="K849" s="22">
        <v>0</v>
      </c>
      <c r="L849" s="22" t="str">
        <f t="shared" si="13"/>
        <v>46082, 3, 13</v>
      </c>
    </row>
    <row r="850" spans="1:12">
      <c r="A850" s="9">
        <v>46082</v>
      </c>
      <c r="B850">
        <v>3</v>
      </c>
      <c r="C850" s="16" t="s">
        <v>58</v>
      </c>
      <c r="D850">
        <v>14</v>
      </c>
      <c r="E850" s="16" t="s">
        <v>51</v>
      </c>
      <c r="F850" s="18">
        <v>1836</v>
      </c>
      <c r="G850" s="22">
        <v>68</v>
      </c>
      <c r="H850" s="18">
        <v>4.6120060736309503</v>
      </c>
      <c r="I850" s="18">
        <v>313.616413006904</v>
      </c>
      <c r="J850" s="18">
        <v>1522.3835869930899</v>
      </c>
      <c r="K850" s="22">
        <v>0</v>
      </c>
      <c r="L850" s="22" t="str">
        <f t="shared" si="13"/>
        <v>46082, 3, 14</v>
      </c>
    </row>
    <row r="851" spans="1:12">
      <c r="A851" s="9">
        <v>46082</v>
      </c>
      <c r="B851">
        <v>3</v>
      </c>
      <c r="C851" s="16" t="s">
        <v>58</v>
      </c>
      <c r="D851">
        <v>15</v>
      </c>
      <c r="E851" s="16" t="s">
        <v>52</v>
      </c>
      <c r="F851" s="18">
        <v>2068</v>
      </c>
      <c r="G851" s="22">
        <v>88</v>
      </c>
      <c r="H851" s="18">
        <v>2.78399451776923</v>
      </c>
      <c r="I851" s="18">
        <v>244.99151756369201</v>
      </c>
      <c r="J851" s="18">
        <v>1823.0084824363</v>
      </c>
      <c r="K851" s="22">
        <v>0</v>
      </c>
      <c r="L851" s="22" t="str">
        <f t="shared" si="13"/>
        <v>46082, 3, 15</v>
      </c>
    </row>
    <row r="852" spans="1:12">
      <c r="A852" s="9">
        <v>46082</v>
      </c>
      <c r="B852">
        <v>3</v>
      </c>
      <c r="C852" s="16" t="s">
        <v>58</v>
      </c>
      <c r="D852">
        <v>16</v>
      </c>
      <c r="E852" s="16" t="s">
        <v>53</v>
      </c>
      <c r="F852" s="18">
        <v>722.5</v>
      </c>
      <c r="G852" s="22">
        <v>85</v>
      </c>
      <c r="H852" s="18">
        <v>1.51828413673076</v>
      </c>
      <c r="I852" s="18">
        <v>129.054151622115</v>
      </c>
      <c r="J852" s="18">
        <v>593.44584837788398</v>
      </c>
      <c r="K852" s="22">
        <v>0</v>
      </c>
      <c r="L852" s="22" t="str">
        <f t="shared" si="13"/>
        <v>46082, 3, 16</v>
      </c>
    </row>
    <row r="853" spans="1:12">
      <c r="A853" s="9">
        <v>46082</v>
      </c>
      <c r="B853">
        <v>3</v>
      </c>
      <c r="C853" s="16" t="s">
        <v>58</v>
      </c>
      <c r="D853">
        <v>17</v>
      </c>
      <c r="E853" s="16" t="s">
        <v>54</v>
      </c>
      <c r="F853" s="18">
        <v>787.5</v>
      </c>
      <c r="G853" s="22">
        <v>105</v>
      </c>
      <c r="H853" s="18">
        <v>1.41665371733333</v>
      </c>
      <c r="I853" s="18">
        <v>148.748640319999</v>
      </c>
      <c r="J853" s="18">
        <v>638.75135967999995</v>
      </c>
      <c r="K853" s="22">
        <v>0</v>
      </c>
      <c r="L853" s="22" t="str">
        <f t="shared" si="13"/>
        <v>46082, 3, 17</v>
      </c>
    </row>
    <row r="854" spans="1:12">
      <c r="A854" s="9">
        <v>46082</v>
      </c>
      <c r="B854">
        <v>3</v>
      </c>
      <c r="C854" s="16" t="s">
        <v>58</v>
      </c>
      <c r="D854">
        <v>18</v>
      </c>
      <c r="E854" s="16" t="s">
        <v>55</v>
      </c>
      <c r="F854" s="18">
        <v>1656</v>
      </c>
      <c r="G854" s="22">
        <v>72</v>
      </c>
      <c r="H854" s="18">
        <v>5.5813543501447302</v>
      </c>
      <c r="I854" s="18">
        <v>401.85751321042102</v>
      </c>
      <c r="J854" s="18">
        <v>1254.1424867895701</v>
      </c>
      <c r="K854" s="22">
        <v>0</v>
      </c>
      <c r="L854" s="22" t="str">
        <f t="shared" si="13"/>
        <v>46082, 3, 18</v>
      </c>
    </row>
    <row r="855" spans="1:12">
      <c r="A855" s="9">
        <v>46113</v>
      </c>
      <c r="B855">
        <v>3</v>
      </c>
      <c r="C855" s="16" t="s">
        <v>58</v>
      </c>
      <c r="D855">
        <v>1</v>
      </c>
      <c r="E855" s="16" t="s">
        <v>38</v>
      </c>
      <c r="F855" s="18">
        <v>3864</v>
      </c>
      <c r="G855" s="22">
        <v>184</v>
      </c>
      <c r="H855" s="18">
        <v>3.9450615</v>
      </c>
      <c r="I855" s="18">
        <v>725.89131599999996</v>
      </c>
      <c r="J855" s="18">
        <v>3138.1086839999998</v>
      </c>
      <c r="K855" s="22">
        <v>0</v>
      </c>
      <c r="L855" s="22" t="str">
        <f t="shared" si="13"/>
        <v>46113, 3, 1</v>
      </c>
    </row>
    <row r="856" spans="1:12">
      <c r="A856" s="9">
        <v>46113</v>
      </c>
      <c r="B856">
        <v>3</v>
      </c>
      <c r="C856" s="16" t="s">
        <v>58</v>
      </c>
      <c r="D856">
        <v>2</v>
      </c>
      <c r="E856" s="16" t="s">
        <v>40</v>
      </c>
      <c r="F856" s="18">
        <v>4117</v>
      </c>
      <c r="G856" s="22">
        <v>179</v>
      </c>
      <c r="H856" s="18">
        <v>6.8134318368000004</v>
      </c>
      <c r="I856" s="18">
        <v>1219.6042987871999</v>
      </c>
      <c r="J856" s="18">
        <v>2897.3957012127998</v>
      </c>
      <c r="K856" s="22">
        <v>0</v>
      </c>
      <c r="L856" s="22" t="str">
        <f t="shared" si="13"/>
        <v>46113, 3, 2</v>
      </c>
    </row>
    <row r="857" spans="1:12">
      <c r="A857" s="9">
        <v>46113</v>
      </c>
      <c r="B857">
        <v>3</v>
      </c>
      <c r="C857" s="16" t="s">
        <v>58</v>
      </c>
      <c r="D857">
        <v>4</v>
      </c>
      <c r="E857" s="16" t="s">
        <v>42</v>
      </c>
      <c r="F857" s="18">
        <v>5380</v>
      </c>
      <c r="G857" s="22">
        <v>269</v>
      </c>
      <c r="H857" s="18">
        <v>7.0334444239999998</v>
      </c>
      <c r="I857" s="18">
        <v>1891.9965500559999</v>
      </c>
      <c r="J857" s="18">
        <v>3488.0034499439998</v>
      </c>
      <c r="K857" s="22">
        <v>0</v>
      </c>
      <c r="L857" s="22" t="str">
        <f t="shared" si="13"/>
        <v>46113, 3, 4</v>
      </c>
    </row>
    <row r="858" spans="1:12">
      <c r="A858" s="9">
        <v>46113</v>
      </c>
      <c r="B858">
        <v>3</v>
      </c>
      <c r="C858" s="16" t="s">
        <v>58</v>
      </c>
      <c r="D858">
        <v>6</v>
      </c>
      <c r="E858" s="16" t="s">
        <v>44</v>
      </c>
      <c r="F858" s="18">
        <v>2442</v>
      </c>
      <c r="G858" s="22">
        <v>111</v>
      </c>
      <c r="H858" s="18">
        <v>4.7605928644736801</v>
      </c>
      <c r="I858" s="18">
        <v>528.42580795657796</v>
      </c>
      <c r="J858" s="18">
        <v>1913.57419204342</v>
      </c>
      <c r="K858" s="22">
        <v>0</v>
      </c>
      <c r="L858" s="22" t="str">
        <f t="shared" si="13"/>
        <v>46113, 3, 6</v>
      </c>
    </row>
    <row r="859" spans="1:12">
      <c r="A859" s="9">
        <v>46113</v>
      </c>
      <c r="B859">
        <v>3</v>
      </c>
      <c r="C859" s="16" t="s">
        <v>58</v>
      </c>
      <c r="D859">
        <v>7</v>
      </c>
      <c r="E859" s="16" t="s">
        <v>45</v>
      </c>
      <c r="F859" s="18">
        <v>1370</v>
      </c>
      <c r="G859" s="22">
        <v>137</v>
      </c>
      <c r="H859" s="18">
        <v>2.8965237578125</v>
      </c>
      <c r="I859" s="18">
        <v>396.82375482031199</v>
      </c>
      <c r="J859" s="18">
        <v>973.17624517968704</v>
      </c>
      <c r="K859" s="22">
        <v>0</v>
      </c>
      <c r="L859" s="22" t="str">
        <f t="shared" si="13"/>
        <v>46113, 3, 7</v>
      </c>
    </row>
    <row r="860" spans="1:12">
      <c r="A860" s="9">
        <v>46113</v>
      </c>
      <c r="B860">
        <v>3</v>
      </c>
      <c r="C860" s="16" t="s">
        <v>58</v>
      </c>
      <c r="D860">
        <v>9</v>
      </c>
      <c r="E860" s="16" t="s">
        <v>47</v>
      </c>
      <c r="F860" s="18">
        <v>2137.5</v>
      </c>
      <c r="G860" s="22">
        <v>45</v>
      </c>
      <c r="H860" s="18">
        <v>18.232278293066098</v>
      </c>
      <c r="I860" s="18">
        <v>820.452523187976</v>
      </c>
      <c r="J860" s="18">
        <v>1317.04747681202</v>
      </c>
      <c r="K860" s="22">
        <v>0</v>
      </c>
      <c r="L860" s="22" t="str">
        <f t="shared" si="13"/>
        <v>46113, 3, 9</v>
      </c>
    </row>
    <row r="861" spans="1:12">
      <c r="A861" s="9">
        <v>46113</v>
      </c>
      <c r="B861">
        <v>3</v>
      </c>
      <c r="C861" s="16" t="s">
        <v>58</v>
      </c>
      <c r="D861">
        <v>11</v>
      </c>
      <c r="E861" s="16" t="s">
        <v>48</v>
      </c>
      <c r="F861" s="18">
        <v>2280</v>
      </c>
      <c r="G861" s="22">
        <v>114</v>
      </c>
      <c r="H861" s="18">
        <v>1.93987244318181</v>
      </c>
      <c r="I861" s="18">
        <v>221.14545852272701</v>
      </c>
      <c r="J861" s="18">
        <v>2058.8545414772698</v>
      </c>
      <c r="K861" s="22">
        <v>0</v>
      </c>
      <c r="L861" s="22" t="str">
        <f t="shared" si="13"/>
        <v>46113, 3, 11</v>
      </c>
    </row>
    <row r="862" spans="1:12">
      <c r="A862" s="9">
        <v>46113</v>
      </c>
      <c r="B862">
        <v>3</v>
      </c>
      <c r="C862" s="16" t="s">
        <v>58</v>
      </c>
      <c r="D862">
        <v>12</v>
      </c>
      <c r="E862" s="16" t="s">
        <v>49</v>
      </c>
      <c r="F862" s="18">
        <v>2184</v>
      </c>
      <c r="G862" s="22">
        <v>104</v>
      </c>
      <c r="H862" s="18">
        <v>2.5974516227380899</v>
      </c>
      <c r="I862" s="18">
        <v>270.13496876476103</v>
      </c>
      <c r="J862" s="18">
        <v>1913.8650312352299</v>
      </c>
      <c r="K862" s="22">
        <v>0</v>
      </c>
      <c r="L862" s="22" t="str">
        <f t="shared" si="13"/>
        <v>46113, 3, 12</v>
      </c>
    </row>
    <row r="863" spans="1:12">
      <c r="A863" s="9">
        <v>46113</v>
      </c>
      <c r="B863">
        <v>3</v>
      </c>
      <c r="C863" s="16" t="s">
        <v>58</v>
      </c>
      <c r="D863">
        <v>13</v>
      </c>
      <c r="E863" s="16" t="s">
        <v>50</v>
      </c>
      <c r="F863" s="18">
        <v>2596</v>
      </c>
      <c r="G863" s="22">
        <v>118</v>
      </c>
      <c r="H863" s="18">
        <v>6.8214471999999997</v>
      </c>
      <c r="I863" s="18">
        <v>804.93076959999996</v>
      </c>
      <c r="J863" s="18">
        <v>1791.0692303999999</v>
      </c>
      <c r="K863" s="22">
        <v>0</v>
      </c>
      <c r="L863" s="22" t="str">
        <f t="shared" si="13"/>
        <v>46113, 3, 13</v>
      </c>
    </row>
    <row r="864" spans="1:12">
      <c r="A864" s="9">
        <v>46113</v>
      </c>
      <c r="B864">
        <v>3</v>
      </c>
      <c r="C864" s="16" t="s">
        <v>58</v>
      </c>
      <c r="D864">
        <v>14</v>
      </c>
      <c r="E864" s="16" t="s">
        <v>51</v>
      </c>
      <c r="F864" s="18">
        <v>1782</v>
      </c>
      <c r="G864" s="22">
        <v>66</v>
      </c>
      <c r="H864" s="18">
        <v>4.6287509541111103</v>
      </c>
      <c r="I864" s="18">
        <v>305.49756297133302</v>
      </c>
      <c r="J864" s="18">
        <v>1476.5024370286601</v>
      </c>
      <c r="K864" s="22">
        <v>0</v>
      </c>
      <c r="L864" s="22" t="str">
        <f t="shared" si="13"/>
        <v>46113, 3, 14</v>
      </c>
    </row>
    <row r="865" spans="1:12">
      <c r="A865" s="9">
        <v>46113</v>
      </c>
      <c r="B865">
        <v>3</v>
      </c>
      <c r="C865" s="16" t="s">
        <v>58</v>
      </c>
      <c r="D865">
        <v>15</v>
      </c>
      <c r="E865" s="16" t="s">
        <v>52</v>
      </c>
      <c r="F865" s="18">
        <v>2726</v>
      </c>
      <c r="G865" s="22">
        <v>116</v>
      </c>
      <c r="H865" s="18">
        <v>2.79351899933333</v>
      </c>
      <c r="I865" s="18">
        <v>324.048203922666</v>
      </c>
      <c r="J865" s="18">
        <v>2401.9517960773301</v>
      </c>
      <c r="K865" s="22">
        <v>0</v>
      </c>
      <c r="L865" s="22" t="str">
        <f t="shared" si="13"/>
        <v>46113, 3, 15</v>
      </c>
    </row>
    <row r="866" spans="1:12">
      <c r="A866" s="9">
        <v>46113</v>
      </c>
      <c r="B866">
        <v>3</v>
      </c>
      <c r="C866" s="16" t="s">
        <v>58</v>
      </c>
      <c r="D866">
        <v>16</v>
      </c>
      <c r="E866" s="16" t="s">
        <v>53</v>
      </c>
      <c r="F866" s="18">
        <v>612</v>
      </c>
      <c r="G866" s="22">
        <v>72</v>
      </c>
      <c r="H866" s="18">
        <v>1.5187466200555499</v>
      </c>
      <c r="I866" s="18">
        <v>109.349756643999</v>
      </c>
      <c r="J866" s="18">
        <v>502.65024335599998</v>
      </c>
      <c r="K866" s="22">
        <v>0</v>
      </c>
      <c r="L866" s="22" t="str">
        <f t="shared" si="13"/>
        <v>46113, 3, 16</v>
      </c>
    </row>
    <row r="867" spans="1:12">
      <c r="A867" s="9">
        <v>46113</v>
      </c>
      <c r="B867">
        <v>3</v>
      </c>
      <c r="C867" s="16" t="s">
        <v>58</v>
      </c>
      <c r="D867">
        <v>17</v>
      </c>
      <c r="E867" s="16" t="s">
        <v>54</v>
      </c>
      <c r="F867" s="18">
        <v>780</v>
      </c>
      <c r="G867" s="22">
        <v>104</v>
      </c>
      <c r="H867" s="18">
        <v>1.40227810076923</v>
      </c>
      <c r="I867" s="18">
        <v>145.836922479999</v>
      </c>
      <c r="J867" s="18">
        <v>634.16307752</v>
      </c>
      <c r="K867" s="22">
        <v>0</v>
      </c>
      <c r="L867" s="22" t="str">
        <f t="shared" si="13"/>
        <v>46113, 3, 17</v>
      </c>
    </row>
    <row r="868" spans="1:12">
      <c r="A868" s="9">
        <v>46113</v>
      </c>
      <c r="B868">
        <v>3</v>
      </c>
      <c r="C868" s="16" t="s">
        <v>58</v>
      </c>
      <c r="D868">
        <v>18</v>
      </c>
      <c r="E868" s="16" t="s">
        <v>55</v>
      </c>
      <c r="F868" s="18">
        <v>2254</v>
      </c>
      <c r="G868" s="22">
        <v>98</v>
      </c>
      <c r="H868" s="18">
        <v>5.6296726894305502</v>
      </c>
      <c r="I868" s="18">
        <v>551.70792356419395</v>
      </c>
      <c r="J868" s="18">
        <v>1702.2920764358</v>
      </c>
      <c r="K868" s="22">
        <v>0</v>
      </c>
      <c r="L868" s="22" t="str">
        <f t="shared" si="13"/>
        <v>46113, 3, 18</v>
      </c>
    </row>
    <row r="869" spans="1:12">
      <c r="A869" s="9">
        <v>46143</v>
      </c>
      <c r="B869">
        <v>3</v>
      </c>
      <c r="C869" s="16" t="s">
        <v>58</v>
      </c>
      <c r="D869">
        <v>1</v>
      </c>
      <c r="E869" s="16" t="s">
        <v>38</v>
      </c>
      <c r="F869" s="18">
        <v>4347</v>
      </c>
      <c r="G869" s="22">
        <v>207</v>
      </c>
      <c r="H869" s="18">
        <v>3.9714951805555501</v>
      </c>
      <c r="I869" s="18">
        <v>822.09950237500004</v>
      </c>
      <c r="J869" s="18">
        <v>3524.9004976249898</v>
      </c>
      <c r="K869" s="22">
        <v>0</v>
      </c>
      <c r="L869" s="22" t="str">
        <f t="shared" si="13"/>
        <v>46143, 3, 1</v>
      </c>
    </row>
    <row r="870" spans="1:12">
      <c r="A870" s="9">
        <v>46143</v>
      </c>
      <c r="B870">
        <v>3</v>
      </c>
      <c r="C870" s="16" t="s">
        <v>58</v>
      </c>
      <c r="D870">
        <v>2</v>
      </c>
      <c r="E870" s="16" t="s">
        <v>40</v>
      </c>
      <c r="F870" s="18">
        <v>4186</v>
      </c>
      <c r="G870" s="22">
        <v>182</v>
      </c>
      <c r="H870" s="18">
        <v>6.7887120410000001</v>
      </c>
      <c r="I870" s="18">
        <v>1235.5455914619999</v>
      </c>
      <c r="J870" s="18">
        <v>2950.4544085379998</v>
      </c>
      <c r="K870" s="22">
        <v>0</v>
      </c>
      <c r="L870" s="22" t="str">
        <f t="shared" si="13"/>
        <v>46143, 3, 2</v>
      </c>
    </row>
    <row r="871" spans="1:12">
      <c r="A871" s="9">
        <v>46143</v>
      </c>
      <c r="B871">
        <v>3</v>
      </c>
      <c r="C871" s="16" t="s">
        <v>58</v>
      </c>
      <c r="D871">
        <v>4</v>
      </c>
      <c r="E871" s="16" t="s">
        <v>42</v>
      </c>
      <c r="F871" s="18">
        <v>5100</v>
      </c>
      <c r="G871" s="22">
        <v>255</v>
      </c>
      <c r="H871" s="18">
        <v>6.8681481307692298</v>
      </c>
      <c r="I871" s="18">
        <v>1751.37777334615</v>
      </c>
      <c r="J871" s="18">
        <v>3348.6222266538398</v>
      </c>
      <c r="K871" s="22">
        <v>0</v>
      </c>
      <c r="L871" s="22" t="str">
        <f t="shared" si="13"/>
        <v>46143, 3, 4</v>
      </c>
    </row>
    <row r="872" spans="1:12">
      <c r="A872" s="9">
        <v>46143</v>
      </c>
      <c r="B872">
        <v>3</v>
      </c>
      <c r="C872" s="16" t="s">
        <v>58</v>
      </c>
      <c r="D872">
        <v>6</v>
      </c>
      <c r="E872" s="16" t="s">
        <v>44</v>
      </c>
      <c r="F872" s="18">
        <v>2112</v>
      </c>
      <c r="G872" s="22">
        <v>96</v>
      </c>
      <c r="H872" s="18">
        <v>4.7837137831666601</v>
      </c>
      <c r="I872" s="18">
        <v>459.23652318400002</v>
      </c>
      <c r="J872" s="18">
        <v>1652.7634768159901</v>
      </c>
      <c r="K872" s="22">
        <v>0</v>
      </c>
      <c r="L872" s="22" t="str">
        <f t="shared" si="13"/>
        <v>46143, 3, 6</v>
      </c>
    </row>
    <row r="873" spans="1:12">
      <c r="A873" s="9">
        <v>46143</v>
      </c>
      <c r="B873">
        <v>3</v>
      </c>
      <c r="C873" s="16" t="s">
        <v>58</v>
      </c>
      <c r="D873">
        <v>7</v>
      </c>
      <c r="E873" s="16" t="s">
        <v>45</v>
      </c>
      <c r="F873" s="18">
        <v>1080</v>
      </c>
      <c r="G873" s="22">
        <v>108</v>
      </c>
      <c r="H873" s="18">
        <v>2.90686478678571</v>
      </c>
      <c r="I873" s="18">
        <v>313.94139697285698</v>
      </c>
      <c r="J873" s="18">
        <v>766.058603027142</v>
      </c>
      <c r="K873" s="22">
        <v>0</v>
      </c>
      <c r="L873" s="22" t="str">
        <f t="shared" si="13"/>
        <v>46143, 3, 7</v>
      </c>
    </row>
    <row r="874" spans="1:12">
      <c r="A874" s="9">
        <v>46143</v>
      </c>
      <c r="B874">
        <v>3</v>
      </c>
      <c r="C874" s="16" t="s">
        <v>58</v>
      </c>
      <c r="D874">
        <v>9</v>
      </c>
      <c r="E874" s="16" t="s">
        <v>47</v>
      </c>
      <c r="F874" s="18">
        <v>1900</v>
      </c>
      <c r="G874" s="22">
        <v>40</v>
      </c>
      <c r="H874" s="18">
        <v>18.224422548952202</v>
      </c>
      <c r="I874" s="18">
        <v>728.97690195809105</v>
      </c>
      <c r="J874" s="18">
        <v>1171.0230980419001</v>
      </c>
      <c r="K874" s="22">
        <v>0</v>
      </c>
      <c r="L874" s="22" t="str">
        <f t="shared" si="13"/>
        <v>46143, 3, 9</v>
      </c>
    </row>
    <row r="875" spans="1:12">
      <c r="A875" s="9">
        <v>46143</v>
      </c>
      <c r="B875">
        <v>3</v>
      </c>
      <c r="C875" s="16" t="s">
        <v>58</v>
      </c>
      <c r="D875">
        <v>11</v>
      </c>
      <c r="E875" s="16" t="s">
        <v>48</v>
      </c>
      <c r="F875" s="18">
        <v>2980</v>
      </c>
      <c r="G875" s="22">
        <v>149</v>
      </c>
      <c r="H875" s="18">
        <v>1.9251915340909</v>
      </c>
      <c r="I875" s="18">
        <v>286.85353857954499</v>
      </c>
      <c r="J875" s="18">
        <v>2693.1464614204501</v>
      </c>
      <c r="K875" s="22">
        <v>0</v>
      </c>
      <c r="L875" s="22" t="str">
        <f t="shared" si="13"/>
        <v>46143, 3, 11</v>
      </c>
    </row>
    <row r="876" spans="1:12">
      <c r="A876" s="9">
        <v>46143</v>
      </c>
      <c r="B876">
        <v>3</v>
      </c>
      <c r="C876" s="16" t="s">
        <v>58</v>
      </c>
      <c r="D876">
        <v>12</v>
      </c>
      <c r="E876" s="16" t="s">
        <v>49</v>
      </c>
      <c r="F876" s="18">
        <v>2625</v>
      </c>
      <c r="G876" s="22">
        <v>125</v>
      </c>
      <c r="H876" s="18">
        <v>2.5796337916000001</v>
      </c>
      <c r="I876" s="18">
        <v>322.45422395000003</v>
      </c>
      <c r="J876" s="18">
        <v>2302.5457760499999</v>
      </c>
      <c r="K876" s="22">
        <v>0</v>
      </c>
      <c r="L876" s="22" t="str">
        <f t="shared" si="13"/>
        <v>46143, 3, 12</v>
      </c>
    </row>
    <row r="877" spans="1:12">
      <c r="A877" s="9">
        <v>46143</v>
      </c>
      <c r="B877">
        <v>3</v>
      </c>
      <c r="C877" s="16" t="s">
        <v>58</v>
      </c>
      <c r="D877">
        <v>13</v>
      </c>
      <c r="E877" s="16" t="s">
        <v>50</v>
      </c>
      <c r="F877" s="18">
        <v>2596</v>
      </c>
      <c r="G877" s="22">
        <v>118</v>
      </c>
      <c r="H877" s="18">
        <v>6.8338923333333303</v>
      </c>
      <c r="I877" s="18">
        <v>806.39929533333304</v>
      </c>
      <c r="J877" s="18">
        <v>1789.60070466666</v>
      </c>
      <c r="K877" s="22">
        <v>0</v>
      </c>
      <c r="L877" s="22" t="str">
        <f t="shared" si="13"/>
        <v>46143, 3, 13</v>
      </c>
    </row>
    <row r="878" spans="1:12">
      <c r="A878" s="9">
        <v>46143</v>
      </c>
      <c r="B878">
        <v>3</v>
      </c>
      <c r="C878" s="16" t="s">
        <v>58</v>
      </c>
      <c r="D878">
        <v>14</v>
      </c>
      <c r="E878" s="16" t="s">
        <v>51</v>
      </c>
      <c r="F878" s="18">
        <v>1485</v>
      </c>
      <c r="G878" s="22">
        <v>55</v>
      </c>
      <c r="H878" s="18">
        <v>4.6074143692361096</v>
      </c>
      <c r="I878" s="18">
        <v>253.40779030798601</v>
      </c>
      <c r="J878" s="18">
        <v>1231.5922096920101</v>
      </c>
      <c r="K878" s="22">
        <v>0</v>
      </c>
      <c r="L878" s="22" t="str">
        <f t="shared" si="13"/>
        <v>46143, 3, 14</v>
      </c>
    </row>
    <row r="879" spans="1:12">
      <c r="A879" s="9">
        <v>46143</v>
      </c>
      <c r="B879">
        <v>3</v>
      </c>
      <c r="C879" s="16" t="s">
        <v>58</v>
      </c>
      <c r="D879">
        <v>15</v>
      </c>
      <c r="E879" s="16" t="s">
        <v>52</v>
      </c>
      <c r="F879" s="18">
        <v>2444</v>
      </c>
      <c r="G879" s="22">
        <v>104</v>
      </c>
      <c r="H879" s="18">
        <v>2.7765183119999999</v>
      </c>
      <c r="I879" s="18">
        <v>288.75790444799998</v>
      </c>
      <c r="J879" s="18">
        <v>2155.2420955520001</v>
      </c>
      <c r="K879" s="22">
        <v>0</v>
      </c>
      <c r="L879" s="22" t="str">
        <f t="shared" si="13"/>
        <v>46143, 3, 15</v>
      </c>
    </row>
    <row r="880" spans="1:12">
      <c r="A880" s="9">
        <v>46143</v>
      </c>
      <c r="B880">
        <v>3</v>
      </c>
      <c r="C880" s="16" t="s">
        <v>58</v>
      </c>
      <c r="D880">
        <v>16</v>
      </c>
      <c r="E880" s="16" t="s">
        <v>53</v>
      </c>
      <c r="F880" s="18">
        <v>816</v>
      </c>
      <c r="G880" s="22">
        <v>96</v>
      </c>
      <c r="H880" s="18">
        <v>1.5364912384090901</v>
      </c>
      <c r="I880" s="18">
        <v>147.50315888727201</v>
      </c>
      <c r="J880" s="18">
        <v>668.496841112727</v>
      </c>
      <c r="K880" s="22">
        <v>0</v>
      </c>
      <c r="L880" s="22" t="str">
        <f t="shared" si="13"/>
        <v>46143, 3, 16</v>
      </c>
    </row>
    <row r="881" spans="1:12">
      <c r="A881" s="9">
        <v>46143</v>
      </c>
      <c r="B881">
        <v>3</v>
      </c>
      <c r="C881" s="16" t="s">
        <v>58</v>
      </c>
      <c r="D881">
        <v>17</v>
      </c>
      <c r="E881" s="16" t="s">
        <v>54</v>
      </c>
      <c r="F881" s="18">
        <v>1117.5</v>
      </c>
      <c r="G881" s="22">
        <v>149</v>
      </c>
      <c r="H881" s="18">
        <v>1.40708532384615</v>
      </c>
      <c r="I881" s="18">
        <v>209.65571325307599</v>
      </c>
      <c r="J881" s="18">
        <v>907.84428674692299</v>
      </c>
      <c r="K881" s="22">
        <v>0</v>
      </c>
      <c r="L881" s="22" t="str">
        <f t="shared" si="13"/>
        <v>46143, 3, 17</v>
      </c>
    </row>
    <row r="882" spans="1:12">
      <c r="A882" s="9">
        <v>46143</v>
      </c>
      <c r="B882">
        <v>3</v>
      </c>
      <c r="C882" s="16" t="s">
        <v>58</v>
      </c>
      <c r="D882">
        <v>18</v>
      </c>
      <c r="E882" s="16" t="s">
        <v>55</v>
      </c>
      <c r="F882" s="18">
        <v>3289</v>
      </c>
      <c r="G882" s="22">
        <v>143</v>
      </c>
      <c r="H882" s="18">
        <v>5.6636249181805498</v>
      </c>
      <c r="I882" s="18">
        <v>809.89836329981904</v>
      </c>
      <c r="J882" s="18">
        <v>2479.1016367001798</v>
      </c>
      <c r="K882" s="22">
        <v>0</v>
      </c>
      <c r="L882" s="22" t="str">
        <f t="shared" si="13"/>
        <v>46143, 3, 18</v>
      </c>
    </row>
    <row r="883" spans="1:12">
      <c r="A883" s="9">
        <v>46174</v>
      </c>
      <c r="B883">
        <v>3</v>
      </c>
      <c r="C883" s="16" t="s">
        <v>58</v>
      </c>
      <c r="D883">
        <v>1</v>
      </c>
      <c r="E883" s="16" t="s">
        <v>38</v>
      </c>
      <c r="F883" s="18">
        <v>4158</v>
      </c>
      <c r="G883" s="22">
        <v>198</v>
      </c>
      <c r="H883" s="18">
        <v>3.9709979342105202</v>
      </c>
      <c r="I883" s="18">
        <v>786.25759097368405</v>
      </c>
      <c r="J883" s="18">
        <v>3371.7424090263098</v>
      </c>
      <c r="K883" s="22">
        <v>0</v>
      </c>
      <c r="L883" s="22" t="str">
        <f t="shared" si="13"/>
        <v>46174, 3, 1</v>
      </c>
    </row>
    <row r="884" spans="1:12">
      <c r="A884" s="9">
        <v>46174</v>
      </c>
      <c r="B884">
        <v>3</v>
      </c>
      <c r="C884" s="16" t="s">
        <v>58</v>
      </c>
      <c r="D884">
        <v>2</v>
      </c>
      <c r="E884" s="16" t="s">
        <v>40</v>
      </c>
      <c r="F884" s="18">
        <v>5060</v>
      </c>
      <c r="G884" s="22">
        <v>220</v>
      </c>
      <c r="H884" s="18">
        <v>6.7896935853749998</v>
      </c>
      <c r="I884" s="18">
        <v>1493.7325887825</v>
      </c>
      <c r="J884" s="18">
        <v>3566.2674112175</v>
      </c>
      <c r="K884" s="22">
        <v>0</v>
      </c>
      <c r="L884" s="22" t="str">
        <f t="shared" si="13"/>
        <v>46174, 3, 2</v>
      </c>
    </row>
    <row r="885" spans="1:12">
      <c r="A885" s="9">
        <v>46174</v>
      </c>
      <c r="B885">
        <v>3</v>
      </c>
      <c r="C885" s="16" t="s">
        <v>58</v>
      </c>
      <c r="D885">
        <v>4</v>
      </c>
      <c r="E885" s="16" t="s">
        <v>42</v>
      </c>
      <c r="F885" s="18">
        <v>5600</v>
      </c>
      <c r="G885" s="22">
        <v>280</v>
      </c>
      <c r="H885" s="18">
        <v>6.7468728355999996</v>
      </c>
      <c r="I885" s="18">
        <v>1889.124393968</v>
      </c>
      <c r="J885" s="18">
        <v>3710.8756060320002</v>
      </c>
      <c r="K885" s="22">
        <v>0</v>
      </c>
      <c r="L885" s="22" t="str">
        <f t="shared" si="13"/>
        <v>46174, 3, 4</v>
      </c>
    </row>
    <row r="886" spans="1:12">
      <c r="A886" s="9">
        <v>46174</v>
      </c>
      <c r="B886">
        <v>3</v>
      </c>
      <c r="C886" s="16" t="s">
        <v>58</v>
      </c>
      <c r="D886">
        <v>6</v>
      </c>
      <c r="E886" s="16" t="s">
        <v>44</v>
      </c>
      <c r="F886" s="18">
        <v>1980</v>
      </c>
      <c r="G886" s="22">
        <v>90</v>
      </c>
      <c r="H886" s="18">
        <v>4.8221379885789402</v>
      </c>
      <c r="I886" s="18">
        <v>433.99241897210499</v>
      </c>
      <c r="J886" s="18">
        <v>1546.00758102789</v>
      </c>
      <c r="K886" s="22">
        <v>0</v>
      </c>
      <c r="L886" s="22" t="str">
        <f t="shared" si="13"/>
        <v>46174, 3, 6</v>
      </c>
    </row>
    <row r="887" spans="1:12">
      <c r="A887" s="9">
        <v>46174</v>
      </c>
      <c r="B887">
        <v>3</v>
      </c>
      <c r="C887" s="16" t="s">
        <v>58</v>
      </c>
      <c r="D887">
        <v>7</v>
      </c>
      <c r="E887" s="16" t="s">
        <v>45</v>
      </c>
      <c r="F887" s="18">
        <v>1370</v>
      </c>
      <c r="G887" s="22">
        <v>137</v>
      </c>
      <c r="H887" s="18">
        <v>2.9341851501562499</v>
      </c>
      <c r="I887" s="18">
        <v>401.98336557140601</v>
      </c>
      <c r="J887" s="18">
        <v>968.01663442859297</v>
      </c>
      <c r="K887" s="22">
        <v>0</v>
      </c>
      <c r="L887" s="22" t="str">
        <f t="shared" si="13"/>
        <v>46174, 3, 7</v>
      </c>
    </row>
    <row r="888" spans="1:12">
      <c r="A888" s="9">
        <v>46174</v>
      </c>
      <c r="B888">
        <v>3</v>
      </c>
      <c r="C888" s="16" t="s">
        <v>58</v>
      </c>
      <c r="D888">
        <v>9</v>
      </c>
      <c r="E888" s="16" t="s">
        <v>47</v>
      </c>
      <c r="F888" s="18">
        <v>1615</v>
      </c>
      <c r="G888" s="22">
        <v>34</v>
      </c>
      <c r="H888" s="18">
        <v>18.197806166197299</v>
      </c>
      <c r="I888" s="18">
        <v>618.725409650708</v>
      </c>
      <c r="J888" s="18">
        <v>996.27459034929097</v>
      </c>
      <c r="K888" s="22">
        <v>0</v>
      </c>
      <c r="L888" s="22" t="str">
        <f t="shared" si="13"/>
        <v>46174, 3, 9</v>
      </c>
    </row>
    <row r="889" spans="1:12">
      <c r="A889" s="9">
        <v>46174</v>
      </c>
      <c r="B889">
        <v>3</v>
      </c>
      <c r="C889" s="16" t="s">
        <v>58</v>
      </c>
      <c r="D889">
        <v>11</v>
      </c>
      <c r="E889" s="16" t="s">
        <v>48</v>
      </c>
      <c r="F889" s="18">
        <v>2740</v>
      </c>
      <c r="G889" s="22">
        <v>137</v>
      </c>
      <c r="H889" s="18">
        <v>1.92214270454545</v>
      </c>
      <c r="I889" s="18">
        <v>263.33355052272702</v>
      </c>
      <c r="J889" s="18">
        <v>2476.6664494772699</v>
      </c>
      <c r="K889" s="22">
        <v>0</v>
      </c>
      <c r="L889" s="22" t="str">
        <f t="shared" si="13"/>
        <v>46174, 3, 11</v>
      </c>
    </row>
    <row r="890" spans="1:12">
      <c r="A890" s="9">
        <v>46174</v>
      </c>
      <c r="B890">
        <v>3</v>
      </c>
      <c r="C890" s="16" t="s">
        <v>58</v>
      </c>
      <c r="D890">
        <v>12</v>
      </c>
      <c r="E890" s="16" t="s">
        <v>49</v>
      </c>
      <c r="F890" s="18">
        <v>2730</v>
      </c>
      <c r="G890" s="22">
        <v>130</v>
      </c>
      <c r="H890" s="18">
        <v>2.54794132111904</v>
      </c>
      <c r="I890" s="18">
        <v>331.23237174547597</v>
      </c>
      <c r="J890" s="18">
        <v>2398.7676282545199</v>
      </c>
      <c r="K890" s="22">
        <v>0</v>
      </c>
      <c r="L890" s="22" t="str">
        <f t="shared" si="13"/>
        <v>46174, 3, 12</v>
      </c>
    </row>
    <row r="891" spans="1:12">
      <c r="A891" s="9">
        <v>46174</v>
      </c>
      <c r="B891">
        <v>3</v>
      </c>
      <c r="C891" s="16" t="s">
        <v>58</v>
      </c>
      <c r="D891">
        <v>13</v>
      </c>
      <c r="E891" s="16" t="s">
        <v>50</v>
      </c>
      <c r="F891" s="18">
        <v>2178</v>
      </c>
      <c r="G891" s="22">
        <v>99</v>
      </c>
      <c r="H891" s="18">
        <v>6.8265245999999999</v>
      </c>
      <c r="I891" s="18">
        <v>675.82593540000005</v>
      </c>
      <c r="J891" s="18">
        <v>1502.1740646000001</v>
      </c>
      <c r="K891" s="22">
        <v>0</v>
      </c>
      <c r="L891" s="22" t="str">
        <f t="shared" si="13"/>
        <v>46174, 3, 13</v>
      </c>
    </row>
    <row r="892" spans="1:12">
      <c r="A892" s="9">
        <v>46174</v>
      </c>
      <c r="B892">
        <v>3</v>
      </c>
      <c r="C892" s="16" t="s">
        <v>58</v>
      </c>
      <c r="D892">
        <v>14</v>
      </c>
      <c r="E892" s="16" t="s">
        <v>51</v>
      </c>
      <c r="F892" s="18">
        <v>1431</v>
      </c>
      <c r="G892" s="22">
        <v>53</v>
      </c>
      <c r="H892" s="18">
        <v>4.60937793565384</v>
      </c>
      <c r="I892" s="18">
        <v>244.29703058965299</v>
      </c>
      <c r="J892" s="18">
        <v>1186.7029694103401</v>
      </c>
      <c r="K892" s="22">
        <v>0</v>
      </c>
      <c r="L892" s="22" t="str">
        <f t="shared" si="13"/>
        <v>46174, 3, 14</v>
      </c>
    </row>
    <row r="893" spans="1:12">
      <c r="A893" s="9">
        <v>46174</v>
      </c>
      <c r="B893">
        <v>3</v>
      </c>
      <c r="C893" s="16" t="s">
        <v>58</v>
      </c>
      <c r="D893">
        <v>15</v>
      </c>
      <c r="E893" s="16" t="s">
        <v>52</v>
      </c>
      <c r="F893" s="18">
        <v>2820</v>
      </c>
      <c r="G893" s="22">
        <v>120</v>
      </c>
      <c r="H893" s="18">
        <v>2.7859286013846098</v>
      </c>
      <c r="I893" s="18">
        <v>334.311432166153</v>
      </c>
      <c r="J893" s="18">
        <v>2485.6885678338399</v>
      </c>
      <c r="K893" s="22">
        <v>0</v>
      </c>
      <c r="L893" s="22" t="str">
        <f t="shared" si="13"/>
        <v>46174, 3, 15</v>
      </c>
    </row>
    <row r="894" spans="1:12">
      <c r="A894" s="9">
        <v>46174</v>
      </c>
      <c r="B894">
        <v>3</v>
      </c>
      <c r="C894" s="16" t="s">
        <v>58</v>
      </c>
      <c r="D894">
        <v>16</v>
      </c>
      <c r="E894" s="16" t="s">
        <v>53</v>
      </c>
      <c r="F894" s="18">
        <v>799</v>
      </c>
      <c r="G894" s="22">
        <v>94</v>
      </c>
      <c r="H894" s="18">
        <v>1.53366846487179</v>
      </c>
      <c r="I894" s="18">
        <v>144.16483569794801</v>
      </c>
      <c r="J894" s="18">
        <v>654.835164302051</v>
      </c>
      <c r="K894" s="22">
        <v>0</v>
      </c>
      <c r="L894" s="22" t="str">
        <f t="shared" si="13"/>
        <v>46174, 3, 16</v>
      </c>
    </row>
    <row r="895" spans="1:12">
      <c r="A895" s="9">
        <v>46174</v>
      </c>
      <c r="B895">
        <v>3</v>
      </c>
      <c r="C895" s="16" t="s">
        <v>58</v>
      </c>
      <c r="D895">
        <v>17</v>
      </c>
      <c r="E895" s="16" t="s">
        <v>54</v>
      </c>
      <c r="F895" s="18">
        <v>1110</v>
      </c>
      <c r="G895" s="22">
        <v>148</v>
      </c>
      <c r="H895" s="18">
        <v>1.3987178578124999</v>
      </c>
      <c r="I895" s="18">
        <v>207.01024295625001</v>
      </c>
      <c r="J895" s="18">
        <v>902.98975704375005</v>
      </c>
      <c r="K895" s="22">
        <v>0</v>
      </c>
      <c r="L895" s="22" t="str">
        <f t="shared" si="13"/>
        <v>46174, 3, 17</v>
      </c>
    </row>
    <row r="896" spans="1:12">
      <c r="A896" s="9">
        <v>46174</v>
      </c>
      <c r="B896">
        <v>3</v>
      </c>
      <c r="C896" s="16" t="s">
        <v>58</v>
      </c>
      <c r="D896">
        <v>18</v>
      </c>
      <c r="E896" s="16" t="s">
        <v>55</v>
      </c>
      <c r="F896" s="18">
        <v>3657</v>
      </c>
      <c r="G896" s="22">
        <v>159</v>
      </c>
      <c r="H896" s="18">
        <v>5.6392267053815699</v>
      </c>
      <c r="I896" s="18">
        <v>896.63704615567099</v>
      </c>
      <c r="J896" s="18">
        <v>2760.3629538443201</v>
      </c>
      <c r="K896" s="22">
        <v>0</v>
      </c>
      <c r="L896" s="22" t="str">
        <f t="shared" si="13"/>
        <v>46174, 3, 18</v>
      </c>
    </row>
    <row r="897" spans="1:12">
      <c r="A897" s="9">
        <v>46204</v>
      </c>
      <c r="B897">
        <v>3</v>
      </c>
      <c r="C897" s="16" t="s">
        <v>58</v>
      </c>
      <c r="D897">
        <v>1</v>
      </c>
      <c r="E897" s="16" t="s">
        <v>38</v>
      </c>
      <c r="F897" s="18">
        <v>3864</v>
      </c>
      <c r="G897" s="22">
        <v>184</v>
      </c>
      <c r="H897" s="18">
        <v>4.0350558026315699</v>
      </c>
      <c r="I897" s="18">
        <v>742.45026768420996</v>
      </c>
      <c r="J897" s="18">
        <v>3121.5497323157801</v>
      </c>
      <c r="K897" s="22">
        <v>0</v>
      </c>
      <c r="L897" s="22" t="str">
        <f t="shared" si="13"/>
        <v>46204, 3, 1</v>
      </c>
    </row>
    <row r="898" spans="1:12">
      <c r="A898" s="9">
        <v>46204</v>
      </c>
      <c r="B898">
        <v>3</v>
      </c>
      <c r="C898" s="16" t="s">
        <v>58</v>
      </c>
      <c r="D898">
        <v>2</v>
      </c>
      <c r="E898" s="16" t="s">
        <v>40</v>
      </c>
      <c r="F898" s="18">
        <v>4163</v>
      </c>
      <c r="G898" s="22">
        <v>181</v>
      </c>
      <c r="H898" s="18">
        <v>6.7611649807500003</v>
      </c>
      <c r="I898" s="18">
        <v>1223.7708615157501</v>
      </c>
      <c r="J898" s="18">
        <v>2939.2291384842501</v>
      </c>
      <c r="K898" s="22">
        <v>0</v>
      </c>
      <c r="L898" s="22" t="str">
        <f t="shared" si="13"/>
        <v>46204, 3, 2</v>
      </c>
    </row>
    <row r="899" spans="1:12">
      <c r="A899" s="9">
        <v>46204</v>
      </c>
      <c r="B899">
        <v>3</v>
      </c>
      <c r="C899" s="16" t="s">
        <v>58</v>
      </c>
      <c r="D899">
        <v>4</v>
      </c>
      <c r="E899" s="16" t="s">
        <v>42</v>
      </c>
      <c r="F899" s="18">
        <v>5560</v>
      </c>
      <c r="G899" s="22">
        <v>278</v>
      </c>
      <c r="H899" s="18">
        <v>6.6898436465714202</v>
      </c>
      <c r="I899" s="18">
        <v>1859.77653374685</v>
      </c>
      <c r="J899" s="18">
        <v>3700.22346625314</v>
      </c>
      <c r="K899" s="22">
        <v>0</v>
      </c>
      <c r="L899" s="22" t="str">
        <f t="shared" ref="L899:L962" si="14">(A899&amp; ", "&amp; B899&amp; ", "&amp; D899)</f>
        <v>46204, 3, 4</v>
      </c>
    </row>
    <row r="900" spans="1:12">
      <c r="A900" s="9">
        <v>46204</v>
      </c>
      <c r="B900">
        <v>3</v>
      </c>
      <c r="C900" s="16" t="s">
        <v>58</v>
      </c>
      <c r="D900">
        <v>6</v>
      </c>
      <c r="E900" s="16" t="s">
        <v>44</v>
      </c>
      <c r="F900" s="18">
        <v>2002</v>
      </c>
      <c r="G900" s="22">
        <v>91</v>
      </c>
      <c r="H900" s="18">
        <v>4.8660912087222199</v>
      </c>
      <c r="I900" s="18">
        <v>442.81429999372199</v>
      </c>
      <c r="J900" s="18">
        <v>1559.1857000062701</v>
      </c>
      <c r="K900" s="22">
        <v>0</v>
      </c>
      <c r="L900" s="22" t="str">
        <f t="shared" si="14"/>
        <v>46204, 3, 6</v>
      </c>
    </row>
    <row r="901" spans="1:12">
      <c r="A901" s="9">
        <v>46204</v>
      </c>
      <c r="B901">
        <v>3</v>
      </c>
      <c r="C901" s="16" t="s">
        <v>58</v>
      </c>
      <c r="D901">
        <v>7</v>
      </c>
      <c r="E901" s="16" t="s">
        <v>45</v>
      </c>
      <c r="F901" s="18">
        <v>1340</v>
      </c>
      <c r="G901" s="22">
        <v>134</v>
      </c>
      <c r="H901" s="18">
        <v>2.9389654023333298</v>
      </c>
      <c r="I901" s="18">
        <v>393.82136391266602</v>
      </c>
      <c r="J901" s="18">
        <v>946.17863608733296</v>
      </c>
      <c r="K901" s="22">
        <v>0</v>
      </c>
      <c r="L901" s="22" t="str">
        <f t="shared" si="14"/>
        <v>46204, 3, 7</v>
      </c>
    </row>
    <row r="902" spans="1:12">
      <c r="A902" s="9">
        <v>46204</v>
      </c>
      <c r="B902">
        <v>3</v>
      </c>
      <c r="C902" s="16" t="s">
        <v>58</v>
      </c>
      <c r="D902">
        <v>9</v>
      </c>
      <c r="E902" s="16" t="s">
        <v>47</v>
      </c>
      <c r="F902" s="18">
        <v>1425</v>
      </c>
      <c r="G902" s="22">
        <v>30</v>
      </c>
      <c r="H902" s="18">
        <v>18.239360176397099</v>
      </c>
      <c r="I902" s="18">
        <v>547.180805291914</v>
      </c>
      <c r="J902" s="18">
        <v>877.81919470808498</v>
      </c>
      <c r="K902" s="22">
        <v>0</v>
      </c>
      <c r="L902" s="22" t="str">
        <f t="shared" si="14"/>
        <v>46204, 3, 9</v>
      </c>
    </row>
    <row r="903" spans="1:12">
      <c r="A903" s="9">
        <v>46204</v>
      </c>
      <c r="B903">
        <v>3</v>
      </c>
      <c r="C903" s="16" t="s">
        <v>58</v>
      </c>
      <c r="D903">
        <v>11</v>
      </c>
      <c r="E903" s="16" t="s">
        <v>48</v>
      </c>
      <c r="F903" s="18">
        <v>3080</v>
      </c>
      <c r="G903" s="22">
        <v>154</v>
      </c>
      <c r="H903" s="18">
        <v>2.0001047954545399</v>
      </c>
      <c r="I903" s="18">
        <v>308.01613849999899</v>
      </c>
      <c r="J903" s="18">
        <v>2771.9838614999999</v>
      </c>
      <c r="K903" s="22">
        <v>0</v>
      </c>
      <c r="L903" s="22" t="str">
        <f t="shared" si="14"/>
        <v>46204, 3, 11</v>
      </c>
    </row>
    <row r="904" spans="1:12">
      <c r="A904" s="9">
        <v>46204</v>
      </c>
      <c r="B904">
        <v>3</v>
      </c>
      <c r="C904" s="16" t="s">
        <v>58</v>
      </c>
      <c r="D904">
        <v>12</v>
      </c>
      <c r="E904" s="16" t="s">
        <v>49</v>
      </c>
      <c r="F904" s="18">
        <v>2730</v>
      </c>
      <c r="G904" s="22">
        <v>130</v>
      </c>
      <c r="H904" s="18">
        <v>2.56276324954761</v>
      </c>
      <c r="I904" s="18">
        <v>333.15922244119002</v>
      </c>
      <c r="J904" s="18">
        <v>2396.8407775587998</v>
      </c>
      <c r="K904" s="22">
        <v>0</v>
      </c>
      <c r="L904" s="22" t="str">
        <f t="shared" si="14"/>
        <v>46204, 3, 12</v>
      </c>
    </row>
    <row r="905" spans="1:12">
      <c r="A905" s="9">
        <v>46204</v>
      </c>
      <c r="B905">
        <v>3</v>
      </c>
      <c r="C905" s="16" t="s">
        <v>58</v>
      </c>
      <c r="D905">
        <v>13</v>
      </c>
      <c r="E905" s="16" t="s">
        <v>50</v>
      </c>
      <c r="F905" s="18">
        <v>1914</v>
      </c>
      <c r="G905" s="22">
        <v>87</v>
      </c>
      <c r="H905" s="18">
        <v>6.9296227058823501</v>
      </c>
      <c r="I905" s="18">
        <v>602.87717541176403</v>
      </c>
      <c r="J905" s="18">
        <v>1311.1228245882301</v>
      </c>
      <c r="K905" s="22">
        <v>0</v>
      </c>
      <c r="L905" s="22" t="str">
        <f t="shared" si="14"/>
        <v>46204, 3, 13</v>
      </c>
    </row>
    <row r="906" spans="1:12">
      <c r="A906" s="9">
        <v>46204</v>
      </c>
      <c r="B906">
        <v>3</v>
      </c>
      <c r="C906" s="16" t="s">
        <v>58</v>
      </c>
      <c r="D906">
        <v>14</v>
      </c>
      <c r="E906" s="16" t="s">
        <v>51</v>
      </c>
      <c r="F906" s="18">
        <v>1134</v>
      </c>
      <c r="G906" s="22">
        <v>42</v>
      </c>
      <c r="H906" s="18">
        <v>4.6008804361282003</v>
      </c>
      <c r="I906" s="18">
        <v>193.236978317384</v>
      </c>
      <c r="J906" s="18">
        <v>940.76302168261498</v>
      </c>
      <c r="K906" s="22">
        <v>0</v>
      </c>
      <c r="L906" s="22" t="str">
        <f t="shared" si="14"/>
        <v>46204, 3, 14</v>
      </c>
    </row>
    <row r="907" spans="1:12">
      <c r="A907" s="9">
        <v>46204</v>
      </c>
      <c r="B907">
        <v>3</v>
      </c>
      <c r="C907" s="16" t="s">
        <v>58</v>
      </c>
      <c r="D907">
        <v>15</v>
      </c>
      <c r="E907" s="16" t="s">
        <v>52</v>
      </c>
      <c r="F907" s="18">
        <v>2937.5</v>
      </c>
      <c r="G907" s="22">
        <v>125</v>
      </c>
      <c r="H907" s="18">
        <v>2.7774653844166601</v>
      </c>
      <c r="I907" s="18">
        <v>347.18317305208302</v>
      </c>
      <c r="J907" s="18">
        <v>2590.3168269479102</v>
      </c>
      <c r="K907" s="22">
        <v>0</v>
      </c>
      <c r="L907" s="22" t="str">
        <f t="shared" si="14"/>
        <v>46204, 3, 15</v>
      </c>
    </row>
    <row r="908" spans="1:12">
      <c r="A908" s="9">
        <v>46204</v>
      </c>
      <c r="B908">
        <v>3</v>
      </c>
      <c r="C908" s="16" t="s">
        <v>58</v>
      </c>
      <c r="D908">
        <v>16</v>
      </c>
      <c r="E908" s="16" t="s">
        <v>53</v>
      </c>
      <c r="F908" s="18">
        <v>722.5</v>
      </c>
      <c r="G908" s="22">
        <v>85</v>
      </c>
      <c r="H908" s="18">
        <v>1.5327660861904699</v>
      </c>
      <c r="I908" s="18">
        <v>130.28511732619</v>
      </c>
      <c r="J908" s="18">
        <v>592.21488267380903</v>
      </c>
      <c r="K908" s="22">
        <v>0</v>
      </c>
      <c r="L908" s="22" t="str">
        <f t="shared" si="14"/>
        <v>46204, 3, 16</v>
      </c>
    </row>
    <row r="909" spans="1:12">
      <c r="A909" s="9">
        <v>46204</v>
      </c>
      <c r="B909">
        <v>3</v>
      </c>
      <c r="C909" s="16" t="s">
        <v>58</v>
      </c>
      <c r="D909">
        <v>17</v>
      </c>
      <c r="E909" s="16" t="s">
        <v>54</v>
      </c>
      <c r="F909" s="18">
        <v>1170</v>
      </c>
      <c r="G909" s="22">
        <v>156</v>
      </c>
      <c r="H909" s="18">
        <v>1.4099305150000001</v>
      </c>
      <c r="I909" s="18">
        <v>219.94916033999999</v>
      </c>
      <c r="J909" s="18">
        <v>950.05083965999995</v>
      </c>
      <c r="K909" s="22">
        <v>0</v>
      </c>
      <c r="L909" s="22" t="str">
        <f t="shared" si="14"/>
        <v>46204, 3, 17</v>
      </c>
    </row>
    <row r="910" spans="1:12">
      <c r="A910" s="9">
        <v>46204</v>
      </c>
      <c r="B910">
        <v>3</v>
      </c>
      <c r="C910" s="16" t="s">
        <v>58</v>
      </c>
      <c r="D910">
        <v>18</v>
      </c>
      <c r="E910" s="16" t="s">
        <v>55</v>
      </c>
      <c r="F910" s="18">
        <v>3450</v>
      </c>
      <c r="G910" s="22">
        <v>150</v>
      </c>
      <c r="H910" s="18">
        <v>5.6646055776052604</v>
      </c>
      <c r="I910" s="18">
        <v>849.69083664078903</v>
      </c>
      <c r="J910" s="18">
        <v>2600.3091633592098</v>
      </c>
      <c r="K910" s="22">
        <v>0</v>
      </c>
      <c r="L910" s="22" t="str">
        <f t="shared" si="14"/>
        <v>46204, 3, 18</v>
      </c>
    </row>
    <row r="911" spans="1:12">
      <c r="A911" s="9">
        <v>46235</v>
      </c>
      <c r="B911">
        <v>3</v>
      </c>
      <c r="C911" s="16" t="s">
        <v>58</v>
      </c>
      <c r="D911">
        <v>1</v>
      </c>
      <c r="E911" s="16" t="s">
        <v>38</v>
      </c>
      <c r="F911" s="18">
        <v>3276</v>
      </c>
      <c r="G911" s="22">
        <v>156</v>
      </c>
      <c r="H911" s="18">
        <v>4.0443580138888802</v>
      </c>
      <c r="I911" s="18">
        <v>630.91985016666604</v>
      </c>
      <c r="J911" s="18">
        <v>2645.0801498333299</v>
      </c>
      <c r="K911" s="22">
        <v>0</v>
      </c>
      <c r="L911" s="22" t="str">
        <f t="shared" si="14"/>
        <v>46235, 3, 1</v>
      </c>
    </row>
    <row r="912" spans="1:12">
      <c r="A912" s="9">
        <v>46235</v>
      </c>
      <c r="B912">
        <v>3</v>
      </c>
      <c r="C912" s="16" t="s">
        <v>58</v>
      </c>
      <c r="D912">
        <v>2</v>
      </c>
      <c r="E912" s="16" t="s">
        <v>40</v>
      </c>
      <c r="F912" s="18">
        <v>3864</v>
      </c>
      <c r="G912" s="22">
        <v>168</v>
      </c>
      <c r="H912" s="18">
        <v>6.6824111459999997</v>
      </c>
      <c r="I912" s="18">
        <v>1122.6450725279999</v>
      </c>
      <c r="J912" s="18">
        <v>2741.3549274719999</v>
      </c>
      <c r="K912" s="22">
        <v>0</v>
      </c>
      <c r="L912" s="22" t="str">
        <f t="shared" si="14"/>
        <v>46235, 3, 2</v>
      </c>
    </row>
    <row r="913" spans="1:12">
      <c r="A913" s="9">
        <v>46235</v>
      </c>
      <c r="B913">
        <v>3</v>
      </c>
      <c r="C913" s="16" t="s">
        <v>58</v>
      </c>
      <c r="D913">
        <v>4</v>
      </c>
      <c r="E913" s="16" t="s">
        <v>42</v>
      </c>
      <c r="F913" s="18">
        <v>5140</v>
      </c>
      <c r="G913" s="22">
        <v>257</v>
      </c>
      <c r="H913" s="18">
        <v>6.690819705</v>
      </c>
      <c r="I913" s="18">
        <v>1719.540664185</v>
      </c>
      <c r="J913" s="18">
        <v>3420.459335815</v>
      </c>
      <c r="K913" s="22">
        <v>0</v>
      </c>
      <c r="L913" s="22" t="str">
        <f t="shared" si="14"/>
        <v>46235, 3, 4</v>
      </c>
    </row>
    <row r="914" spans="1:12">
      <c r="A914" s="9">
        <v>46235</v>
      </c>
      <c r="B914">
        <v>3</v>
      </c>
      <c r="C914" s="16" t="s">
        <v>58</v>
      </c>
      <c r="D914">
        <v>6</v>
      </c>
      <c r="E914" s="16" t="s">
        <v>44</v>
      </c>
      <c r="F914" s="18">
        <v>1540</v>
      </c>
      <c r="G914" s="22">
        <v>70</v>
      </c>
      <c r="H914" s="18">
        <v>4.8065553537777701</v>
      </c>
      <c r="I914" s="18">
        <v>336.45887476444398</v>
      </c>
      <c r="J914" s="18">
        <v>1203.54112523555</v>
      </c>
      <c r="K914" s="22">
        <v>0</v>
      </c>
      <c r="L914" s="22" t="str">
        <f t="shared" si="14"/>
        <v>46235, 3, 6</v>
      </c>
    </row>
    <row r="915" spans="1:12">
      <c r="A915" s="9">
        <v>46235</v>
      </c>
      <c r="B915">
        <v>3</v>
      </c>
      <c r="C915" s="16" t="s">
        <v>58</v>
      </c>
      <c r="D915">
        <v>7</v>
      </c>
      <c r="E915" s="16" t="s">
        <v>45</v>
      </c>
      <c r="F915" s="18">
        <v>1050</v>
      </c>
      <c r="G915" s="22">
        <v>105</v>
      </c>
      <c r="H915" s="18">
        <v>2.9527476841666598</v>
      </c>
      <c r="I915" s="18">
        <v>310.03850683749999</v>
      </c>
      <c r="J915" s="18">
        <v>739.96149316249898</v>
      </c>
      <c r="K915" s="22">
        <v>0</v>
      </c>
      <c r="L915" s="22" t="str">
        <f t="shared" si="14"/>
        <v>46235, 3, 7</v>
      </c>
    </row>
    <row r="916" spans="1:12">
      <c r="A916" s="9">
        <v>46235</v>
      </c>
      <c r="B916">
        <v>3</v>
      </c>
      <c r="C916" s="16" t="s">
        <v>58</v>
      </c>
      <c r="D916">
        <v>9</v>
      </c>
      <c r="E916" s="16" t="s">
        <v>47</v>
      </c>
      <c r="F916" s="18">
        <v>1615</v>
      </c>
      <c r="G916" s="22">
        <v>34</v>
      </c>
      <c r="H916" s="18">
        <v>18.1802651920603</v>
      </c>
      <c r="I916" s="18">
        <v>618.12901653005304</v>
      </c>
      <c r="J916" s="18">
        <v>996.87098346994605</v>
      </c>
      <c r="K916" s="22">
        <v>0</v>
      </c>
      <c r="L916" s="22" t="str">
        <f t="shared" si="14"/>
        <v>46235, 3, 9</v>
      </c>
    </row>
    <row r="917" spans="1:12">
      <c r="A917" s="9">
        <v>46235</v>
      </c>
      <c r="B917">
        <v>3</v>
      </c>
      <c r="C917" s="16" t="s">
        <v>58</v>
      </c>
      <c r="D917">
        <v>11</v>
      </c>
      <c r="E917" s="16" t="s">
        <v>48</v>
      </c>
      <c r="F917" s="18">
        <v>3020</v>
      </c>
      <c r="G917" s="22">
        <v>151</v>
      </c>
      <c r="H917" s="18">
        <v>1.9943894124999999</v>
      </c>
      <c r="I917" s="18">
        <v>301.15280128749998</v>
      </c>
      <c r="J917" s="18">
        <v>2718.8471987124999</v>
      </c>
      <c r="K917" s="22">
        <v>0</v>
      </c>
      <c r="L917" s="22" t="str">
        <f t="shared" si="14"/>
        <v>46235, 3, 11</v>
      </c>
    </row>
    <row r="918" spans="1:12">
      <c r="A918" s="9">
        <v>46235</v>
      </c>
      <c r="B918">
        <v>3</v>
      </c>
      <c r="C918" s="16" t="s">
        <v>58</v>
      </c>
      <c r="D918">
        <v>12</v>
      </c>
      <c r="E918" s="16" t="s">
        <v>49</v>
      </c>
      <c r="F918" s="18">
        <v>2541</v>
      </c>
      <c r="G918" s="22">
        <v>121</v>
      </c>
      <c r="H918" s="18">
        <v>2.506898138575</v>
      </c>
      <c r="I918" s="18">
        <v>303.334674767575</v>
      </c>
      <c r="J918" s="18">
        <v>2237.6653252324199</v>
      </c>
      <c r="K918" s="22">
        <v>0</v>
      </c>
      <c r="L918" s="22" t="str">
        <f t="shared" si="14"/>
        <v>46235, 3, 12</v>
      </c>
    </row>
    <row r="919" spans="1:12">
      <c r="A919" s="9">
        <v>46235</v>
      </c>
      <c r="B919">
        <v>3</v>
      </c>
      <c r="C919" s="16" t="s">
        <v>58</v>
      </c>
      <c r="D919">
        <v>13</v>
      </c>
      <c r="E919" s="16" t="s">
        <v>50</v>
      </c>
      <c r="F919" s="18">
        <v>1914</v>
      </c>
      <c r="G919" s="22">
        <v>87</v>
      </c>
      <c r="H919" s="18">
        <v>6.9148743571428497</v>
      </c>
      <c r="I919" s="18">
        <v>601.59406907142795</v>
      </c>
      <c r="J919" s="18">
        <v>1312.4059309285699</v>
      </c>
      <c r="K919" s="22">
        <v>0</v>
      </c>
      <c r="L919" s="22" t="str">
        <f t="shared" si="14"/>
        <v>46235, 3, 13</v>
      </c>
    </row>
    <row r="920" spans="1:12">
      <c r="A920" s="9">
        <v>46235</v>
      </c>
      <c r="B920">
        <v>3</v>
      </c>
      <c r="C920" s="16" t="s">
        <v>58</v>
      </c>
      <c r="D920">
        <v>14</v>
      </c>
      <c r="E920" s="16" t="s">
        <v>51</v>
      </c>
      <c r="F920" s="18">
        <v>1512</v>
      </c>
      <c r="G920" s="22">
        <v>56</v>
      </c>
      <c r="H920" s="18">
        <v>4.5375154984861101</v>
      </c>
      <c r="I920" s="18">
        <v>254.10086791522201</v>
      </c>
      <c r="J920" s="18">
        <v>1257.8991320847699</v>
      </c>
      <c r="K920" s="22">
        <v>0</v>
      </c>
      <c r="L920" s="22" t="str">
        <f t="shared" si="14"/>
        <v>46235, 3, 14</v>
      </c>
    </row>
    <row r="921" spans="1:12">
      <c r="A921" s="9">
        <v>46235</v>
      </c>
      <c r="B921">
        <v>3</v>
      </c>
      <c r="C921" s="16" t="s">
        <v>58</v>
      </c>
      <c r="D921">
        <v>15</v>
      </c>
      <c r="E921" s="16" t="s">
        <v>52</v>
      </c>
      <c r="F921" s="18">
        <v>2444</v>
      </c>
      <c r="G921" s="22">
        <v>104</v>
      </c>
      <c r="H921" s="18">
        <v>2.78901365225</v>
      </c>
      <c r="I921" s="18">
        <v>290.05741983399997</v>
      </c>
      <c r="J921" s="18">
        <v>2153.942580166</v>
      </c>
      <c r="K921" s="22">
        <v>0</v>
      </c>
      <c r="L921" s="22" t="str">
        <f t="shared" si="14"/>
        <v>46235, 3, 15</v>
      </c>
    </row>
    <row r="922" spans="1:12">
      <c r="A922" s="9">
        <v>46235</v>
      </c>
      <c r="B922">
        <v>3</v>
      </c>
      <c r="C922" s="16" t="s">
        <v>58</v>
      </c>
      <c r="D922">
        <v>16</v>
      </c>
      <c r="E922" s="16" t="s">
        <v>53</v>
      </c>
      <c r="F922" s="18">
        <v>799</v>
      </c>
      <c r="G922" s="22">
        <v>94</v>
      </c>
      <c r="H922" s="18">
        <v>1.5416008531060601</v>
      </c>
      <c r="I922" s="18">
        <v>144.91048019196899</v>
      </c>
      <c r="J922" s="18">
        <v>654.08951980802999</v>
      </c>
      <c r="K922" s="22">
        <v>0</v>
      </c>
      <c r="L922" s="22" t="str">
        <f t="shared" si="14"/>
        <v>46235, 3, 16</v>
      </c>
    </row>
    <row r="923" spans="1:12">
      <c r="A923" s="9">
        <v>46235</v>
      </c>
      <c r="B923">
        <v>3</v>
      </c>
      <c r="C923" s="16" t="s">
        <v>58</v>
      </c>
      <c r="D923">
        <v>17</v>
      </c>
      <c r="E923" s="16" t="s">
        <v>54</v>
      </c>
      <c r="F923" s="18">
        <v>1057.5</v>
      </c>
      <c r="G923" s="22">
        <v>141</v>
      </c>
      <c r="H923" s="18">
        <v>1.4160104775</v>
      </c>
      <c r="I923" s="18">
        <v>199.6574773275</v>
      </c>
      <c r="J923" s="18">
        <v>857.84252267249997</v>
      </c>
      <c r="K923" s="22">
        <v>0</v>
      </c>
      <c r="L923" s="22" t="str">
        <f t="shared" si="14"/>
        <v>46235, 3, 17</v>
      </c>
    </row>
    <row r="924" spans="1:12">
      <c r="A924" s="9">
        <v>46235</v>
      </c>
      <c r="B924">
        <v>3</v>
      </c>
      <c r="C924" s="16" t="s">
        <v>58</v>
      </c>
      <c r="D924">
        <v>18</v>
      </c>
      <c r="E924" s="16" t="s">
        <v>55</v>
      </c>
      <c r="F924" s="18">
        <v>3289</v>
      </c>
      <c r="G924" s="22">
        <v>143</v>
      </c>
      <c r="H924" s="18">
        <v>5.6516805645000003</v>
      </c>
      <c r="I924" s="18">
        <v>808.19032072350001</v>
      </c>
      <c r="J924" s="18">
        <v>2480.8096792765</v>
      </c>
      <c r="K924" s="22">
        <v>0</v>
      </c>
      <c r="L924" s="22" t="str">
        <f t="shared" si="14"/>
        <v>46235, 3, 18</v>
      </c>
    </row>
    <row r="925" spans="1:12">
      <c r="A925" s="9">
        <v>46266</v>
      </c>
      <c r="B925">
        <v>3</v>
      </c>
      <c r="C925" s="16" t="s">
        <v>58</v>
      </c>
      <c r="D925">
        <v>1</v>
      </c>
      <c r="E925" s="16" t="s">
        <v>38</v>
      </c>
      <c r="F925" s="18">
        <v>3192</v>
      </c>
      <c r="G925" s="22">
        <v>152</v>
      </c>
      <c r="H925" s="18">
        <v>4.02333315277777</v>
      </c>
      <c r="I925" s="18">
        <v>611.54663922222198</v>
      </c>
      <c r="J925" s="18">
        <v>2580.4533607777698</v>
      </c>
      <c r="K925" s="22">
        <v>0</v>
      </c>
      <c r="L925" s="22" t="str">
        <f t="shared" si="14"/>
        <v>46266, 3, 1</v>
      </c>
    </row>
    <row r="926" spans="1:12">
      <c r="A926" s="9">
        <v>46266</v>
      </c>
      <c r="B926">
        <v>3</v>
      </c>
      <c r="C926" s="16" t="s">
        <v>58</v>
      </c>
      <c r="D926">
        <v>2</v>
      </c>
      <c r="E926" s="16" t="s">
        <v>40</v>
      </c>
      <c r="F926" s="18">
        <v>4094</v>
      </c>
      <c r="G926" s="22">
        <v>178</v>
      </c>
      <c r="H926" s="18">
        <v>6.6813110637333297</v>
      </c>
      <c r="I926" s="18">
        <v>1189.27336934453</v>
      </c>
      <c r="J926" s="18">
        <v>2904.7266306554602</v>
      </c>
      <c r="K926" s="22">
        <v>0</v>
      </c>
      <c r="L926" s="22" t="str">
        <f t="shared" si="14"/>
        <v>46266, 3, 2</v>
      </c>
    </row>
    <row r="927" spans="1:12">
      <c r="A927" s="9">
        <v>46266</v>
      </c>
      <c r="B927">
        <v>3</v>
      </c>
      <c r="C927" s="16" t="s">
        <v>58</v>
      </c>
      <c r="D927">
        <v>4</v>
      </c>
      <c r="E927" s="16" t="s">
        <v>42</v>
      </c>
      <c r="F927" s="18">
        <v>5240</v>
      </c>
      <c r="G927" s="22">
        <v>262</v>
      </c>
      <c r="H927" s="18">
        <v>6.7788483863076898</v>
      </c>
      <c r="I927" s="18">
        <v>1776.0582772126099</v>
      </c>
      <c r="J927" s="18">
        <v>3463.9417227873801</v>
      </c>
      <c r="K927" s="22">
        <v>0</v>
      </c>
      <c r="L927" s="22" t="str">
        <f t="shared" si="14"/>
        <v>46266, 3, 4</v>
      </c>
    </row>
    <row r="928" spans="1:12">
      <c r="A928" s="9">
        <v>46266</v>
      </c>
      <c r="B928">
        <v>3</v>
      </c>
      <c r="C928" s="16" t="s">
        <v>58</v>
      </c>
      <c r="D928">
        <v>6</v>
      </c>
      <c r="E928" s="16" t="s">
        <v>44</v>
      </c>
      <c r="F928" s="18">
        <v>1914</v>
      </c>
      <c r="G928" s="22">
        <v>87</v>
      </c>
      <c r="H928" s="18">
        <v>4.7653505009375001</v>
      </c>
      <c r="I928" s="18">
        <v>414.58549358156199</v>
      </c>
      <c r="J928" s="18">
        <v>1499.4145064184299</v>
      </c>
      <c r="K928" s="22">
        <v>0</v>
      </c>
      <c r="L928" s="22" t="str">
        <f t="shared" si="14"/>
        <v>46266, 3, 6</v>
      </c>
    </row>
    <row r="929" spans="1:12">
      <c r="A929" s="9">
        <v>46266</v>
      </c>
      <c r="B929">
        <v>3</v>
      </c>
      <c r="C929" s="16" t="s">
        <v>58</v>
      </c>
      <c r="D929">
        <v>7</v>
      </c>
      <c r="E929" s="16" t="s">
        <v>45</v>
      </c>
      <c r="F929" s="18">
        <v>1010</v>
      </c>
      <c r="G929" s="22">
        <v>101</v>
      </c>
      <c r="H929" s="18">
        <v>2.95479061983333</v>
      </c>
      <c r="I929" s="18">
        <v>298.43385260316597</v>
      </c>
      <c r="J929" s="18">
        <v>711.566147396833</v>
      </c>
      <c r="K929" s="22">
        <v>0</v>
      </c>
      <c r="L929" s="22" t="str">
        <f t="shared" si="14"/>
        <v>46266, 3, 7</v>
      </c>
    </row>
    <row r="930" spans="1:12">
      <c r="A930" s="9">
        <v>46266</v>
      </c>
      <c r="B930">
        <v>3</v>
      </c>
      <c r="C930" s="16" t="s">
        <v>58</v>
      </c>
      <c r="D930">
        <v>9</v>
      </c>
      <c r="E930" s="16" t="s">
        <v>47</v>
      </c>
      <c r="F930" s="18">
        <v>1805</v>
      </c>
      <c r="G930" s="22">
        <v>38</v>
      </c>
      <c r="H930" s="18">
        <v>18.326346101848301</v>
      </c>
      <c r="I930" s="18">
        <v>696.40115187023605</v>
      </c>
      <c r="J930" s="18">
        <v>1108.59884812976</v>
      </c>
      <c r="K930" s="22">
        <v>0</v>
      </c>
      <c r="L930" s="22" t="str">
        <f t="shared" si="14"/>
        <v>46266, 3, 9</v>
      </c>
    </row>
    <row r="931" spans="1:12">
      <c r="A931" s="9">
        <v>46266</v>
      </c>
      <c r="B931">
        <v>3</v>
      </c>
      <c r="C931" s="16" t="s">
        <v>58</v>
      </c>
      <c r="D931">
        <v>11</v>
      </c>
      <c r="E931" s="16" t="s">
        <v>48</v>
      </c>
      <c r="F931" s="18">
        <v>2220</v>
      </c>
      <c r="G931" s="22">
        <v>111</v>
      </c>
      <c r="H931" s="18">
        <v>2.0117903181818102</v>
      </c>
      <c r="I931" s="18">
        <v>223.30872531818099</v>
      </c>
      <c r="J931" s="18">
        <v>1996.69127468181</v>
      </c>
      <c r="K931" s="22">
        <v>0</v>
      </c>
      <c r="L931" s="22" t="str">
        <f t="shared" si="14"/>
        <v>46266, 3, 11</v>
      </c>
    </row>
    <row r="932" spans="1:12">
      <c r="A932" s="9">
        <v>46266</v>
      </c>
      <c r="B932">
        <v>3</v>
      </c>
      <c r="C932" s="16" t="s">
        <v>58</v>
      </c>
      <c r="D932">
        <v>12</v>
      </c>
      <c r="E932" s="16" t="s">
        <v>49</v>
      </c>
      <c r="F932" s="18">
        <v>2205</v>
      </c>
      <c r="G932" s="22">
        <v>105</v>
      </c>
      <c r="H932" s="18">
        <v>2.5238383848749999</v>
      </c>
      <c r="I932" s="18">
        <v>265.00303041187499</v>
      </c>
      <c r="J932" s="18">
        <v>1939.99696958812</v>
      </c>
      <c r="K932" s="22">
        <v>0</v>
      </c>
      <c r="L932" s="22" t="str">
        <f t="shared" si="14"/>
        <v>46266, 3, 12</v>
      </c>
    </row>
    <row r="933" spans="1:12">
      <c r="A933" s="9">
        <v>46266</v>
      </c>
      <c r="B933">
        <v>3</v>
      </c>
      <c r="C933" s="16" t="s">
        <v>58</v>
      </c>
      <c r="D933">
        <v>13</v>
      </c>
      <c r="E933" s="16" t="s">
        <v>50</v>
      </c>
      <c r="F933" s="18">
        <v>1650</v>
      </c>
      <c r="G933" s="22">
        <v>75</v>
      </c>
      <c r="H933" s="18">
        <v>6.9245346666666601</v>
      </c>
      <c r="I933" s="18">
        <v>519.34010000000001</v>
      </c>
      <c r="J933" s="18">
        <v>1130.6598999999901</v>
      </c>
      <c r="K933" s="22">
        <v>0</v>
      </c>
      <c r="L933" s="22" t="str">
        <f t="shared" si="14"/>
        <v>46266, 3, 13</v>
      </c>
    </row>
    <row r="934" spans="1:12">
      <c r="A934" s="9">
        <v>46266</v>
      </c>
      <c r="B934">
        <v>3</v>
      </c>
      <c r="C934" s="16" t="s">
        <v>58</v>
      </c>
      <c r="D934">
        <v>14</v>
      </c>
      <c r="E934" s="16" t="s">
        <v>51</v>
      </c>
      <c r="F934" s="18">
        <v>891</v>
      </c>
      <c r="G934" s="22">
        <v>33</v>
      </c>
      <c r="H934" s="18">
        <v>4.54903016269696</v>
      </c>
      <c r="I934" s="18">
        <v>150.117995368999</v>
      </c>
      <c r="J934" s="18">
        <v>740.88200463099997</v>
      </c>
      <c r="K934" s="22">
        <v>0</v>
      </c>
      <c r="L934" s="22" t="str">
        <f t="shared" si="14"/>
        <v>46266, 3, 14</v>
      </c>
    </row>
    <row r="935" spans="1:12">
      <c r="A935" s="9">
        <v>46266</v>
      </c>
      <c r="B935">
        <v>3</v>
      </c>
      <c r="C935" s="16" t="s">
        <v>58</v>
      </c>
      <c r="D935">
        <v>15</v>
      </c>
      <c r="E935" s="16" t="s">
        <v>52</v>
      </c>
      <c r="F935" s="18">
        <v>2162</v>
      </c>
      <c r="G935" s="22">
        <v>92</v>
      </c>
      <c r="H935" s="18">
        <v>2.7899834140999999</v>
      </c>
      <c r="I935" s="18">
        <v>256.67847409720002</v>
      </c>
      <c r="J935" s="18">
        <v>1905.3215259028</v>
      </c>
      <c r="K935" s="22">
        <v>0</v>
      </c>
      <c r="L935" s="22" t="str">
        <f t="shared" si="14"/>
        <v>46266, 3, 15</v>
      </c>
    </row>
    <row r="936" spans="1:12">
      <c r="A936" s="9">
        <v>46266</v>
      </c>
      <c r="B936">
        <v>3</v>
      </c>
      <c r="C936" s="16" t="s">
        <v>58</v>
      </c>
      <c r="D936">
        <v>16</v>
      </c>
      <c r="E936" s="16" t="s">
        <v>53</v>
      </c>
      <c r="F936" s="18">
        <v>680</v>
      </c>
      <c r="G936" s="22">
        <v>80</v>
      </c>
      <c r="H936" s="18">
        <v>1.5533113355555499</v>
      </c>
      <c r="I936" s="18">
        <v>124.264906844444</v>
      </c>
      <c r="J936" s="18">
        <v>555.73509315555498</v>
      </c>
      <c r="K936" s="22">
        <v>0</v>
      </c>
      <c r="L936" s="22" t="str">
        <f t="shared" si="14"/>
        <v>46266, 3, 16</v>
      </c>
    </row>
    <row r="937" spans="1:12">
      <c r="A937" s="9">
        <v>46266</v>
      </c>
      <c r="B937">
        <v>3</v>
      </c>
      <c r="C937" s="16" t="s">
        <v>58</v>
      </c>
      <c r="D937">
        <v>17</v>
      </c>
      <c r="E937" s="16" t="s">
        <v>54</v>
      </c>
      <c r="F937" s="18">
        <v>802.5</v>
      </c>
      <c r="G937" s="22">
        <v>107</v>
      </c>
      <c r="H937" s="18">
        <v>1.41884144428571</v>
      </c>
      <c r="I937" s="18">
        <v>151.81603453857099</v>
      </c>
      <c r="J937" s="18">
        <v>650.68396546142799</v>
      </c>
      <c r="K937" s="22">
        <v>0</v>
      </c>
      <c r="L937" s="22" t="str">
        <f t="shared" si="14"/>
        <v>46266, 3, 17</v>
      </c>
    </row>
    <row r="938" spans="1:12">
      <c r="A938" s="9">
        <v>46266</v>
      </c>
      <c r="B938">
        <v>3</v>
      </c>
      <c r="C938" s="16" t="s">
        <v>58</v>
      </c>
      <c r="D938">
        <v>18</v>
      </c>
      <c r="E938" s="16" t="s">
        <v>55</v>
      </c>
      <c r="F938" s="18">
        <v>2116</v>
      </c>
      <c r="G938" s="22">
        <v>92</v>
      </c>
      <c r="H938" s="18">
        <v>5.6857557650294099</v>
      </c>
      <c r="I938" s="18">
        <v>523.08953038270499</v>
      </c>
      <c r="J938" s="18">
        <v>1592.9104696172899</v>
      </c>
      <c r="K938" s="22">
        <v>0</v>
      </c>
      <c r="L938" s="22" t="str">
        <f t="shared" si="14"/>
        <v>46266, 3, 18</v>
      </c>
    </row>
    <row r="939" spans="1:12">
      <c r="A939" s="9">
        <v>45689</v>
      </c>
      <c r="B939">
        <v>4</v>
      </c>
      <c r="C939" s="16" t="s">
        <v>59</v>
      </c>
      <c r="D939">
        <v>1</v>
      </c>
      <c r="E939" s="16" t="s">
        <v>38</v>
      </c>
      <c r="F939" s="18">
        <v>2415</v>
      </c>
      <c r="G939" s="22">
        <v>115</v>
      </c>
      <c r="H939" s="18">
        <v>3.6357206527777701</v>
      </c>
      <c r="I939" s="18">
        <v>418.10787506944399</v>
      </c>
      <c r="J939" s="18">
        <v>1996.8921249305499</v>
      </c>
      <c r="K939" s="22">
        <v>0</v>
      </c>
      <c r="L939" s="22" t="str">
        <f t="shared" si="14"/>
        <v>45689, 4, 1</v>
      </c>
    </row>
    <row r="940" spans="1:12">
      <c r="A940" s="9">
        <v>45689</v>
      </c>
      <c r="B940">
        <v>4</v>
      </c>
      <c r="C940" s="16" t="s">
        <v>59</v>
      </c>
      <c r="D940">
        <v>2</v>
      </c>
      <c r="E940" s="16" t="s">
        <v>40</v>
      </c>
      <c r="F940" s="18">
        <v>2737</v>
      </c>
      <c r="G940" s="22">
        <v>119</v>
      </c>
      <c r="H940" s="18">
        <v>5.8249138311250004</v>
      </c>
      <c r="I940" s="18">
        <v>693.16474590387497</v>
      </c>
      <c r="J940" s="18">
        <v>2043.83525409612</v>
      </c>
      <c r="K940" s="22">
        <v>0</v>
      </c>
      <c r="L940" s="22" t="str">
        <f t="shared" si="14"/>
        <v>45689, 4, 2</v>
      </c>
    </row>
    <row r="941" spans="1:12">
      <c r="A941" s="9">
        <v>45689</v>
      </c>
      <c r="B941">
        <v>4</v>
      </c>
      <c r="C941" s="16" t="s">
        <v>59</v>
      </c>
      <c r="D941">
        <v>3</v>
      </c>
      <c r="E941" s="16" t="s">
        <v>41</v>
      </c>
      <c r="F941" s="18">
        <v>2744</v>
      </c>
      <c r="G941" s="22">
        <v>112</v>
      </c>
      <c r="H941" s="18">
        <v>3.1211890035555498</v>
      </c>
      <c r="I941" s="18">
        <v>349.57316839822198</v>
      </c>
      <c r="J941" s="18">
        <v>2394.4268316017701</v>
      </c>
      <c r="K941" s="22">
        <v>0</v>
      </c>
      <c r="L941" s="22" t="str">
        <f t="shared" si="14"/>
        <v>45689, 4, 3</v>
      </c>
    </row>
    <row r="942" spans="1:12">
      <c r="A942" s="9">
        <v>45689</v>
      </c>
      <c r="B942">
        <v>4</v>
      </c>
      <c r="C942" s="16" t="s">
        <v>59</v>
      </c>
      <c r="D942">
        <v>5</v>
      </c>
      <c r="E942" s="16" t="s">
        <v>43</v>
      </c>
      <c r="F942" s="18">
        <v>1300</v>
      </c>
      <c r="G942" s="22">
        <v>65</v>
      </c>
      <c r="H942" s="18">
        <v>6.3777343750000002</v>
      </c>
      <c r="I942" s="18">
        <v>414.552734375</v>
      </c>
      <c r="J942" s="18">
        <v>885.447265625</v>
      </c>
      <c r="K942" s="22">
        <v>0</v>
      </c>
      <c r="L942" s="22" t="str">
        <f t="shared" si="14"/>
        <v>45689, 4, 5</v>
      </c>
    </row>
    <row r="943" spans="1:12">
      <c r="A943" s="9">
        <v>45689</v>
      </c>
      <c r="B943">
        <v>4</v>
      </c>
      <c r="C943" s="16" t="s">
        <v>59</v>
      </c>
      <c r="D943">
        <v>6</v>
      </c>
      <c r="E943" s="16" t="s">
        <v>44</v>
      </c>
      <c r="F943" s="18">
        <v>2244</v>
      </c>
      <c r="G943" s="22">
        <v>102</v>
      </c>
      <c r="H943" s="18">
        <v>4.4433433922307604</v>
      </c>
      <c r="I943" s="18">
        <v>453.221026007538</v>
      </c>
      <c r="J943" s="18">
        <v>1790.7789739924599</v>
      </c>
      <c r="K943" s="22">
        <v>0</v>
      </c>
      <c r="L943" s="22" t="str">
        <f t="shared" si="14"/>
        <v>45689, 4, 6</v>
      </c>
    </row>
    <row r="944" spans="1:12">
      <c r="A944" s="9">
        <v>45689</v>
      </c>
      <c r="B944">
        <v>4</v>
      </c>
      <c r="C944" s="16" t="s">
        <v>59</v>
      </c>
      <c r="D944">
        <v>8</v>
      </c>
      <c r="E944" s="16" t="s">
        <v>46</v>
      </c>
      <c r="F944" s="18">
        <v>1380</v>
      </c>
      <c r="G944" s="22">
        <v>120</v>
      </c>
      <c r="H944" s="18">
        <v>0.64975737615384599</v>
      </c>
      <c r="I944" s="18">
        <v>77.970885138461497</v>
      </c>
      <c r="J944" s="18">
        <v>1302.0291148615299</v>
      </c>
      <c r="K944" s="22">
        <v>0</v>
      </c>
      <c r="L944" s="22" t="str">
        <f t="shared" si="14"/>
        <v>45689, 4, 8</v>
      </c>
    </row>
    <row r="945" spans="1:12">
      <c r="A945" s="9">
        <v>45689</v>
      </c>
      <c r="B945">
        <v>4</v>
      </c>
      <c r="C945" s="16" t="s">
        <v>59</v>
      </c>
      <c r="D945">
        <v>9</v>
      </c>
      <c r="E945" s="16" t="s">
        <v>47</v>
      </c>
      <c r="F945" s="18">
        <v>3325</v>
      </c>
      <c r="G945" s="22">
        <v>70</v>
      </c>
      <c r="H945" s="18">
        <v>16.335104172871699</v>
      </c>
      <c r="I945" s="18">
        <v>1143.4572921010099</v>
      </c>
      <c r="J945" s="18">
        <v>2181.5427078989801</v>
      </c>
      <c r="K945" s="22">
        <v>0</v>
      </c>
      <c r="L945" s="22" t="str">
        <f t="shared" si="14"/>
        <v>45689, 4, 9</v>
      </c>
    </row>
    <row r="946" spans="1:12">
      <c r="A946" s="9">
        <v>45689</v>
      </c>
      <c r="B946">
        <v>4</v>
      </c>
      <c r="C946" s="16" t="s">
        <v>59</v>
      </c>
      <c r="D946">
        <v>10</v>
      </c>
      <c r="E946" s="16" t="s">
        <v>57</v>
      </c>
      <c r="F946" s="18">
        <v>918</v>
      </c>
      <c r="G946" s="22">
        <v>68</v>
      </c>
      <c r="H946" s="18">
        <v>2.3182439276705802</v>
      </c>
      <c r="I946" s="18">
        <v>157.64058708159999</v>
      </c>
      <c r="J946" s="18">
        <v>760.35941291839902</v>
      </c>
      <c r="K946" s="22">
        <v>0</v>
      </c>
      <c r="L946" s="22" t="str">
        <f t="shared" si="14"/>
        <v>45689, 4, 10</v>
      </c>
    </row>
    <row r="947" spans="1:12">
      <c r="A947" s="9">
        <v>45689</v>
      </c>
      <c r="B947">
        <v>4</v>
      </c>
      <c r="C947" s="16" t="s">
        <v>59</v>
      </c>
      <c r="D947">
        <v>11</v>
      </c>
      <c r="E947" s="16" t="s">
        <v>48</v>
      </c>
      <c r="F947" s="18">
        <v>1760</v>
      </c>
      <c r="G947" s="22">
        <v>88</v>
      </c>
      <c r="H947" s="18">
        <v>1.6957273625</v>
      </c>
      <c r="I947" s="18">
        <v>149.2240079</v>
      </c>
      <c r="J947" s="18">
        <v>1610.7759920999999</v>
      </c>
      <c r="K947" s="22">
        <v>0</v>
      </c>
      <c r="L947" s="22" t="str">
        <f t="shared" si="14"/>
        <v>45689, 4, 11</v>
      </c>
    </row>
    <row r="948" spans="1:12">
      <c r="A948" s="9">
        <v>45689</v>
      </c>
      <c r="B948">
        <v>4</v>
      </c>
      <c r="C948" s="16" t="s">
        <v>59</v>
      </c>
      <c r="D948">
        <v>12</v>
      </c>
      <c r="E948" s="16" t="s">
        <v>49</v>
      </c>
      <c r="F948" s="18">
        <v>1281</v>
      </c>
      <c r="G948" s="22">
        <v>61</v>
      </c>
      <c r="H948" s="18">
        <v>2.4781299037368401</v>
      </c>
      <c r="I948" s="18">
        <v>151.16592412794699</v>
      </c>
      <c r="J948" s="18">
        <v>1129.8340758720501</v>
      </c>
      <c r="K948" s="22">
        <v>0</v>
      </c>
      <c r="L948" s="22" t="str">
        <f t="shared" si="14"/>
        <v>45689, 4, 12</v>
      </c>
    </row>
    <row r="949" spans="1:12">
      <c r="A949" s="9">
        <v>45689</v>
      </c>
      <c r="B949">
        <v>4</v>
      </c>
      <c r="C949" s="16" t="s">
        <v>59</v>
      </c>
      <c r="D949">
        <v>13</v>
      </c>
      <c r="E949" s="16" t="s">
        <v>50</v>
      </c>
      <c r="F949" s="18">
        <v>3102</v>
      </c>
      <c r="G949" s="22">
        <v>141</v>
      </c>
      <c r="H949" s="18">
        <v>5.6883076666666597</v>
      </c>
      <c r="I949" s="18">
        <v>802.05138099999999</v>
      </c>
      <c r="J949" s="18">
        <v>2299.9486189999898</v>
      </c>
      <c r="K949" s="22">
        <v>0</v>
      </c>
      <c r="L949" s="22" t="str">
        <f t="shared" si="14"/>
        <v>45689, 4, 13</v>
      </c>
    </row>
    <row r="950" spans="1:12">
      <c r="A950" s="9">
        <v>45689</v>
      </c>
      <c r="B950">
        <v>4</v>
      </c>
      <c r="C950" s="16" t="s">
        <v>59</v>
      </c>
      <c r="D950">
        <v>14</v>
      </c>
      <c r="E950" s="16" t="s">
        <v>51</v>
      </c>
      <c r="F950" s="18">
        <v>1998</v>
      </c>
      <c r="G950" s="22">
        <v>74</v>
      </c>
      <c r="H950" s="18">
        <v>4.1525751571578899</v>
      </c>
      <c r="I950" s="18">
        <v>307.29056162968402</v>
      </c>
      <c r="J950" s="18">
        <v>1690.70943837031</v>
      </c>
      <c r="K950" s="22">
        <v>0</v>
      </c>
      <c r="L950" s="22" t="str">
        <f t="shared" si="14"/>
        <v>45689, 4, 14</v>
      </c>
    </row>
    <row r="951" spans="1:12">
      <c r="A951" s="9">
        <v>45689</v>
      </c>
      <c r="B951">
        <v>4</v>
      </c>
      <c r="C951" s="16" t="s">
        <v>59</v>
      </c>
      <c r="D951">
        <v>15</v>
      </c>
      <c r="E951" s="16" t="s">
        <v>52</v>
      </c>
      <c r="F951" s="18">
        <v>1880</v>
      </c>
      <c r="G951" s="22">
        <v>80</v>
      </c>
      <c r="H951" s="18">
        <v>2.6679445143888798</v>
      </c>
      <c r="I951" s="18">
        <v>213.43556115111099</v>
      </c>
      <c r="J951" s="18">
        <v>1666.5644388488799</v>
      </c>
      <c r="K951" s="22">
        <v>0</v>
      </c>
      <c r="L951" s="22" t="str">
        <f t="shared" si="14"/>
        <v>45689, 4, 15</v>
      </c>
    </row>
    <row r="952" spans="1:12">
      <c r="A952" s="9">
        <v>45689</v>
      </c>
      <c r="B952">
        <v>4</v>
      </c>
      <c r="C952" s="16" t="s">
        <v>59</v>
      </c>
      <c r="D952">
        <v>16</v>
      </c>
      <c r="E952" s="16" t="s">
        <v>53</v>
      </c>
      <c r="F952" s="18">
        <v>1674.5</v>
      </c>
      <c r="G952" s="22">
        <v>197</v>
      </c>
      <c r="H952" s="18">
        <v>1.2443862465908999</v>
      </c>
      <c r="I952" s="18">
        <v>245.14409057840899</v>
      </c>
      <c r="J952" s="18">
        <v>1429.35590942159</v>
      </c>
      <c r="K952" s="22">
        <v>0</v>
      </c>
      <c r="L952" s="22" t="str">
        <f t="shared" si="14"/>
        <v>45689, 4, 16</v>
      </c>
    </row>
    <row r="953" spans="1:12">
      <c r="A953" s="9">
        <v>45689</v>
      </c>
      <c r="B953">
        <v>4</v>
      </c>
      <c r="C953" s="16" t="s">
        <v>59</v>
      </c>
      <c r="D953">
        <v>17</v>
      </c>
      <c r="E953" s="16" t="s">
        <v>54</v>
      </c>
      <c r="F953" s="18">
        <v>802.5</v>
      </c>
      <c r="G953" s="22">
        <v>107</v>
      </c>
      <c r="H953" s="18">
        <v>1.2141174425000001</v>
      </c>
      <c r="I953" s="18">
        <v>129.91056634750001</v>
      </c>
      <c r="J953" s="18">
        <v>672.58943365250002</v>
      </c>
      <c r="K953" s="22">
        <v>0</v>
      </c>
      <c r="L953" s="22" t="str">
        <f t="shared" si="14"/>
        <v>45689, 4, 17</v>
      </c>
    </row>
    <row r="954" spans="1:12">
      <c r="A954" s="9">
        <v>45689</v>
      </c>
      <c r="B954">
        <v>4</v>
      </c>
      <c r="C954" s="16" t="s">
        <v>59</v>
      </c>
      <c r="D954">
        <v>18</v>
      </c>
      <c r="E954" s="16" t="s">
        <v>55</v>
      </c>
      <c r="F954" s="18">
        <v>851</v>
      </c>
      <c r="G954" s="22">
        <v>37</v>
      </c>
      <c r="H954" s="18">
        <v>6.2626614240937499</v>
      </c>
      <c r="I954" s="18">
        <v>231.71847269146801</v>
      </c>
      <c r="J954" s="18">
        <v>619.28152730853105</v>
      </c>
      <c r="K954" s="22">
        <v>0</v>
      </c>
      <c r="L954" s="22" t="str">
        <f t="shared" si="14"/>
        <v>45689, 4, 18</v>
      </c>
    </row>
    <row r="955" spans="1:12">
      <c r="A955" s="9">
        <v>45717</v>
      </c>
      <c r="B955">
        <v>4</v>
      </c>
      <c r="C955" s="16" t="s">
        <v>59</v>
      </c>
      <c r="D955">
        <v>1</v>
      </c>
      <c r="E955" s="16" t="s">
        <v>38</v>
      </c>
      <c r="F955" s="18">
        <v>2289</v>
      </c>
      <c r="G955" s="22">
        <v>109</v>
      </c>
      <c r="H955" s="18">
        <v>3.6434061052631499</v>
      </c>
      <c r="I955" s="18">
        <v>397.13126547368398</v>
      </c>
      <c r="J955" s="18">
        <v>1891.8687345263099</v>
      </c>
      <c r="K955" s="22">
        <v>0</v>
      </c>
      <c r="L955" s="22" t="str">
        <f t="shared" si="14"/>
        <v>45717, 4, 1</v>
      </c>
    </row>
    <row r="956" spans="1:12">
      <c r="A956" s="9">
        <v>45717</v>
      </c>
      <c r="B956">
        <v>4</v>
      </c>
      <c r="C956" s="16" t="s">
        <v>59</v>
      </c>
      <c r="D956">
        <v>2</v>
      </c>
      <c r="E956" s="16" t="s">
        <v>40</v>
      </c>
      <c r="F956" s="18">
        <v>2484</v>
      </c>
      <c r="G956" s="22">
        <v>108</v>
      </c>
      <c r="H956" s="18">
        <v>5.8801721554117599</v>
      </c>
      <c r="I956" s="18">
        <v>635.05859278446997</v>
      </c>
      <c r="J956" s="18">
        <v>1848.94140721552</v>
      </c>
      <c r="K956" s="22">
        <v>0</v>
      </c>
      <c r="L956" s="22" t="str">
        <f t="shared" si="14"/>
        <v>45717, 4, 2</v>
      </c>
    </row>
    <row r="957" spans="1:12">
      <c r="A957" s="9">
        <v>45717</v>
      </c>
      <c r="B957">
        <v>4</v>
      </c>
      <c r="C957" s="16" t="s">
        <v>59</v>
      </c>
      <c r="D957">
        <v>3</v>
      </c>
      <c r="E957" s="16" t="s">
        <v>41</v>
      </c>
      <c r="F957" s="18">
        <v>2842</v>
      </c>
      <c r="G957" s="22">
        <v>116</v>
      </c>
      <c r="H957" s="18">
        <v>3.1323151489000001</v>
      </c>
      <c r="I957" s="18">
        <v>363.3485572724</v>
      </c>
      <c r="J957" s="18">
        <v>2478.6514427276002</v>
      </c>
      <c r="K957" s="22">
        <v>0</v>
      </c>
      <c r="L957" s="22" t="str">
        <f t="shared" si="14"/>
        <v>45717, 4, 3</v>
      </c>
    </row>
    <row r="958" spans="1:12">
      <c r="A958" s="9">
        <v>45717</v>
      </c>
      <c r="B958">
        <v>4</v>
      </c>
      <c r="C958" s="16" t="s">
        <v>59</v>
      </c>
      <c r="D958">
        <v>5</v>
      </c>
      <c r="E958" s="16" t="s">
        <v>43</v>
      </c>
      <c r="F958" s="18">
        <v>1220</v>
      </c>
      <c r="G958" s="22">
        <v>61</v>
      </c>
      <c r="H958" s="18">
        <v>6.1612499999999999</v>
      </c>
      <c r="I958" s="18">
        <v>375.83625000000001</v>
      </c>
      <c r="J958" s="18">
        <v>844.16375000000005</v>
      </c>
      <c r="K958" s="22">
        <v>0</v>
      </c>
      <c r="L958" s="22" t="str">
        <f t="shared" si="14"/>
        <v>45717, 4, 5</v>
      </c>
    </row>
    <row r="959" spans="1:12">
      <c r="A959" s="9">
        <v>45717</v>
      </c>
      <c r="B959">
        <v>4</v>
      </c>
      <c r="C959" s="16" t="s">
        <v>59</v>
      </c>
      <c r="D959">
        <v>6</v>
      </c>
      <c r="E959" s="16" t="s">
        <v>44</v>
      </c>
      <c r="F959" s="18">
        <v>2222</v>
      </c>
      <c r="G959" s="22">
        <v>101</v>
      </c>
      <c r="H959" s="18">
        <v>4.53228975439285</v>
      </c>
      <c r="I959" s="18">
        <v>457.76126519367801</v>
      </c>
      <c r="J959" s="18">
        <v>1764.2387348063201</v>
      </c>
      <c r="K959" s="22">
        <v>0</v>
      </c>
      <c r="L959" s="22" t="str">
        <f t="shared" si="14"/>
        <v>45717, 4, 6</v>
      </c>
    </row>
    <row r="960" spans="1:12">
      <c r="A960" s="9">
        <v>45717</v>
      </c>
      <c r="B960">
        <v>4</v>
      </c>
      <c r="C960" s="16" t="s">
        <v>59</v>
      </c>
      <c r="D960">
        <v>8</v>
      </c>
      <c r="E960" s="16" t="s">
        <v>46</v>
      </c>
      <c r="F960" s="18">
        <v>1380</v>
      </c>
      <c r="G960" s="22">
        <v>120</v>
      </c>
      <c r="H960" s="18">
        <v>0.68707277088888796</v>
      </c>
      <c r="I960" s="18">
        <v>82.448732506666602</v>
      </c>
      <c r="J960" s="18">
        <v>1297.55126749333</v>
      </c>
      <c r="K960" s="22">
        <v>0</v>
      </c>
      <c r="L960" s="22" t="str">
        <f t="shared" si="14"/>
        <v>45717, 4, 8</v>
      </c>
    </row>
    <row r="961" spans="1:12">
      <c r="A961" s="9">
        <v>45717</v>
      </c>
      <c r="B961">
        <v>4</v>
      </c>
      <c r="C961" s="16" t="s">
        <v>59</v>
      </c>
      <c r="D961">
        <v>9</v>
      </c>
      <c r="E961" s="16" t="s">
        <v>47</v>
      </c>
      <c r="F961" s="18">
        <v>2090</v>
      </c>
      <c r="G961" s="22">
        <v>44</v>
      </c>
      <c r="H961" s="18">
        <v>16.544759631044599</v>
      </c>
      <c r="I961" s="18">
        <v>727.96942376596405</v>
      </c>
      <c r="J961" s="18">
        <v>1362.0305762340299</v>
      </c>
      <c r="K961" s="22">
        <v>0</v>
      </c>
      <c r="L961" s="22" t="str">
        <f t="shared" si="14"/>
        <v>45717, 4, 9</v>
      </c>
    </row>
    <row r="962" spans="1:12">
      <c r="A962" s="9">
        <v>45717</v>
      </c>
      <c r="B962">
        <v>4</v>
      </c>
      <c r="C962" s="16" t="s">
        <v>59</v>
      </c>
      <c r="D962">
        <v>10</v>
      </c>
      <c r="E962" s="16" t="s">
        <v>57</v>
      </c>
      <c r="F962" s="18">
        <v>1026</v>
      </c>
      <c r="G962" s="22">
        <v>76</v>
      </c>
      <c r="H962" s="18">
        <v>2.2655751026500002</v>
      </c>
      <c r="I962" s="18">
        <v>172.1837078014</v>
      </c>
      <c r="J962" s="18">
        <v>853.81629219859997</v>
      </c>
      <c r="K962" s="22">
        <v>0</v>
      </c>
      <c r="L962" s="22" t="str">
        <f t="shared" si="14"/>
        <v>45717, 4, 10</v>
      </c>
    </row>
    <row r="963" spans="1:12">
      <c r="A963" s="9">
        <v>45717</v>
      </c>
      <c r="B963">
        <v>4</v>
      </c>
      <c r="C963" s="16" t="s">
        <v>59</v>
      </c>
      <c r="D963">
        <v>11</v>
      </c>
      <c r="E963" s="16" t="s">
        <v>48</v>
      </c>
      <c r="F963" s="18">
        <v>1920</v>
      </c>
      <c r="G963" s="22">
        <v>96</v>
      </c>
      <c r="H963" s="18">
        <v>1.706826</v>
      </c>
      <c r="I963" s="18">
        <v>163.85529600000001</v>
      </c>
      <c r="J963" s="18">
        <v>1756.144704</v>
      </c>
      <c r="K963" s="22">
        <v>0</v>
      </c>
      <c r="L963" s="22" t="str">
        <f t="shared" ref="L963:L1026" si="15">(A963&amp; ", "&amp; B963&amp; ", "&amp; D963)</f>
        <v>45717, 4, 11</v>
      </c>
    </row>
    <row r="964" spans="1:12">
      <c r="A964" s="9">
        <v>45717</v>
      </c>
      <c r="B964">
        <v>4</v>
      </c>
      <c r="C964" s="16" t="s">
        <v>59</v>
      </c>
      <c r="D964">
        <v>12</v>
      </c>
      <c r="E964" s="16" t="s">
        <v>49</v>
      </c>
      <c r="F964" s="18">
        <v>798</v>
      </c>
      <c r="G964" s="22">
        <v>38</v>
      </c>
      <c r="H964" s="18">
        <v>2.5316447992</v>
      </c>
      <c r="I964" s="18">
        <v>96.202502369599998</v>
      </c>
      <c r="J964" s="18">
        <v>701.79749763040002</v>
      </c>
      <c r="K964" s="22">
        <v>0</v>
      </c>
      <c r="L964" s="22" t="str">
        <f t="shared" si="15"/>
        <v>45717, 4, 12</v>
      </c>
    </row>
    <row r="965" spans="1:12">
      <c r="A965" s="9">
        <v>45717</v>
      </c>
      <c r="B965">
        <v>4</v>
      </c>
      <c r="C965" s="16" t="s">
        <v>59</v>
      </c>
      <c r="D965">
        <v>13</v>
      </c>
      <c r="E965" s="16" t="s">
        <v>50</v>
      </c>
      <c r="F965" s="18">
        <v>2750</v>
      </c>
      <c r="G965" s="22">
        <v>125</v>
      </c>
      <c r="H965" s="18">
        <v>5.7066227894736796</v>
      </c>
      <c r="I965" s="18">
        <v>713.32784868421004</v>
      </c>
      <c r="J965" s="18">
        <v>2036.67215131578</v>
      </c>
      <c r="K965" s="22">
        <v>0</v>
      </c>
      <c r="L965" s="22" t="str">
        <f t="shared" si="15"/>
        <v>45717, 4, 13</v>
      </c>
    </row>
    <row r="966" spans="1:12">
      <c r="A966" s="9">
        <v>45717</v>
      </c>
      <c r="B966">
        <v>4</v>
      </c>
      <c r="C966" s="16" t="s">
        <v>59</v>
      </c>
      <c r="D966">
        <v>14</v>
      </c>
      <c r="E966" s="16" t="s">
        <v>51</v>
      </c>
      <c r="F966" s="18">
        <v>2403</v>
      </c>
      <c r="G966" s="22">
        <v>89</v>
      </c>
      <c r="H966" s="18">
        <v>4.1990847937666604</v>
      </c>
      <c r="I966" s="18">
        <v>373.718546645233</v>
      </c>
      <c r="J966" s="18">
        <v>2029.2814533547601</v>
      </c>
      <c r="K966" s="22">
        <v>0</v>
      </c>
      <c r="L966" s="22" t="str">
        <f t="shared" si="15"/>
        <v>45717, 4, 14</v>
      </c>
    </row>
    <row r="967" spans="1:12">
      <c r="A967" s="9">
        <v>45717</v>
      </c>
      <c r="B967">
        <v>4</v>
      </c>
      <c r="C967" s="16" t="s">
        <v>59</v>
      </c>
      <c r="D967">
        <v>15</v>
      </c>
      <c r="E967" s="16" t="s">
        <v>52</v>
      </c>
      <c r="F967" s="18">
        <v>1903.5</v>
      </c>
      <c r="G967" s="22">
        <v>81</v>
      </c>
      <c r="H967" s="18">
        <v>2.7033478152999999</v>
      </c>
      <c r="I967" s="18">
        <v>218.9711730393</v>
      </c>
      <c r="J967" s="18">
        <v>1684.5288269606999</v>
      </c>
      <c r="K967" s="22">
        <v>0</v>
      </c>
      <c r="L967" s="22" t="str">
        <f t="shared" si="15"/>
        <v>45717, 4, 15</v>
      </c>
    </row>
    <row r="968" spans="1:12">
      <c r="A968" s="9">
        <v>45717</v>
      </c>
      <c r="B968">
        <v>4</v>
      </c>
      <c r="C968" s="16" t="s">
        <v>59</v>
      </c>
      <c r="D968">
        <v>16</v>
      </c>
      <c r="E968" s="16" t="s">
        <v>53</v>
      </c>
      <c r="F968" s="18">
        <v>1292</v>
      </c>
      <c r="G968" s="22">
        <v>152</v>
      </c>
      <c r="H968" s="18">
        <v>1.25473449395833</v>
      </c>
      <c r="I968" s="18">
        <v>190.71964308166599</v>
      </c>
      <c r="J968" s="18">
        <v>1101.28035691833</v>
      </c>
      <c r="K968" s="22">
        <v>0</v>
      </c>
      <c r="L968" s="22" t="str">
        <f t="shared" si="15"/>
        <v>45717, 4, 16</v>
      </c>
    </row>
    <row r="969" spans="1:12">
      <c r="A969" s="9">
        <v>45717</v>
      </c>
      <c r="B969">
        <v>4</v>
      </c>
      <c r="C969" s="16" t="s">
        <v>59</v>
      </c>
      <c r="D969">
        <v>17</v>
      </c>
      <c r="E969" s="16" t="s">
        <v>54</v>
      </c>
      <c r="F969" s="18">
        <v>990</v>
      </c>
      <c r="G969" s="22">
        <v>132</v>
      </c>
      <c r="H969" s="18">
        <v>1.213770735</v>
      </c>
      <c r="I969" s="18">
        <v>160.21773701999999</v>
      </c>
      <c r="J969" s="18">
        <v>829.78226298000004</v>
      </c>
      <c r="K969" s="22">
        <v>0</v>
      </c>
      <c r="L969" s="22" t="str">
        <f t="shared" si="15"/>
        <v>45717, 4, 17</v>
      </c>
    </row>
    <row r="970" spans="1:12">
      <c r="A970" s="9">
        <v>45717</v>
      </c>
      <c r="B970">
        <v>4</v>
      </c>
      <c r="C970" s="16" t="s">
        <v>59</v>
      </c>
      <c r="D970">
        <v>18</v>
      </c>
      <c r="E970" s="16" t="s">
        <v>55</v>
      </c>
      <c r="F970" s="18">
        <v>1058</v>
      </c>
      <c r="G970" s="22">
        <v>46</v>
      </c>
      <c r="H970" s="18">
        <v>6.2924893871911696</v>
      </c>
      <c r="I970" s="18">
        <v>289.45451181079397</v>
      </c>
      <c r="J970" s="18">
        <v>768.545488189205</v>
      </c>
      <c r="K970" s="22">
        <v>0</v>
      </c>
      <c r="L970" s="22" t="str">
        <f t="shared" si="15"/>
        <v>45717, 4, 18</v>
      </c>
    </row>
    <row r="971" spans="1:12">
      <c r="A971" s="9">
        <v>45748</v>
      </c>
      <c r="B971">
        <v>4</v>
      </c>
      <c r="C971" s="16" t="s">
        <v>59</v>
      </c>
      <c r="D971">
        <v>1</v>
      </c>
      <c r="E971" s="16" t="s">
        <v>38</v>
      </c>
      <c r="F971" s="18">
        <v>2940</v>
      </c>
      <c r="G971" s="22">
        <v>140</v>
      </c>
      <c r="H971" s="18">
        <v>3.6179858125000002</v>
      </c>
      <c r="I971" s="18">
        <v>506.51801375000002</v>
      </c>
      <c r="J971" s="18">
        <v>2433.4819862499999</v>
      </c>
      <c r="K971" s="22">
        <v>0</v>
      </c>
      <c r="L971" s="22" t="str">
        <f t="shared" si="15"/>
        <v>45748, 4, 1</v>
      </c>
    </row>
    <row r="972" spans="1:12">
      <c r="A972" s="9">
        <v>45748</v>
      </c>
      <c r="B972">
        <v>4</v>
      </c>
      <c r="C972" s="16" t="s">
        <v>59</v>
      </c>
      <c r="D972">
        <v>2</v>
      </c>
      <c r="E972" s="16" t="s">
        <v>40</v>
      </c>
      <c r="F972" s="18">
        <v>4071</v>
      </c>
      <c r="G972" s="22">
        <v>177</v>
      </c>
      <c r="H972" s="18">
        <v>5.8366368141111096</v>
      </c>
      <c r="I972" s="18">
        <v>1033.08471609766</v>
      </c>
      <c r="J972" s="18">
        <v>3037.91528390233</v>
      </c>
      <c r="K972" s="22">
        <v>0</v>
      </c>
      <c r="L972" s="22" t="str">
        <f t="shared" si="15"/>
        <v>45748, 4, 2</v>
      </c>
    </row>
    <row r="973" spans="1:12">
      <c r="A973" s="9">
        <v>45748</v>
      </c>
      <c r="B973">
        <v>4</v>
      </c>
      <c r="C973" s="16" t="s">
        <v>59</v>
      </c>
      <c r="D973">
        <v>3</v>
      </c>
      <c r="E973" s="16" t="s">
        <v>41</v>
      </c>
      <c r="F973" s="18">
        <v>2572.5</v>
      </c>
      <c r="G973" s="22">
        <v>105</v>
      </c>
      <c r="H973" s="18">
        <v>3.1560913768571401</v>
      </c>
      <c r="I973" s="18">
        <v>331.38959456999902</v>
      </c>
      <c r="J973" s="18">
        <v>2241.1104054299999</v>
      </c>
      <c r="K973" s="22">
        <v>0</v>
      </c>
      <c r="L973" s="22" t="str">
        <f t="shared" si="15"/>
        <v>45748, 4, 3</v>
      </c>
    </row>
    <row r="974" spans="1:12">
      <c r="A974" s="9">
        <v>45748</v>
      </c>
      <c r="B974">
        <v>4</v>
      </c>
      <c r="C974" s="16" t="s">
        <v>59</v>
      </c>
      <c r="D974">
        <v>5</v>
      </c>
      <c r="E974" s="16" t="s">
        <v>43</v>
      </c>
      <c r="F974" s="18">
        <v>1580</v>
      </c>
      <c r="G974" s="22">
        <v>79</v>
      </c>
      <c r="H974" s="18">
        <v>5.9116176470588204</v>
      </c>
      <c r="I974" s="18">
        <v>467.01779411764699</v>
      </c>
      <c r="J974" s="18">
        <v>1112.9822058823499</v>
      </c>
      <c r="K974" s="22">
        <v>0</v>
      </c>
      <c r="L974" s="22" t="str">
        <f t="shared" si="15"/>
        <v>45748, 4, 5</v>
      </c>
    </row>
    <row r="975" spans="1:12">
      <c r="A975" s="9">
        <v>45748</v>
      </c>
      <c r="B975">
        <v>4</v>
      </c>
      <c r="C975" s="16" t="s">
        <v>59</v>
      </c>
      <c r="D975">
        <v>6</v>
      </c>
      <c r="E975" s="16" t="s">
        <v>44</v>
      </c>
      <c r="F975" s="18">
        <v>2376</v>
      </c>
      <c r="G975" s="22">
        <v>108</v>
      </c>
      <c r="H975" s="18">
        <v>4.4863108011249997</v>
      </c>
      <c r="I975" s="18">
        <v>484.52156652150001</v>
      </c>
      <c r="J975" s="18">
        <v>1891.4784334784999</v>
      </c>
      <c r="K975" s="22">
        <v>0</v>
      </c>
      <c r="L975" s="22" t="str">
        <f t="shared" si="15"/>
        <v>45748, 4, 6</v>
      </c>
    </row>
    <row r="976" spans="1:12">
      <c r="A976" s="9">
        <v>45748</v>
      </c>
      <c r="B976">
        <v>4</v>
      </c>
      <c r="C976" s="16" t="s">
        <v>59</v>
      </c>
      <c r="D976">
        <v>8</v>
      </c>
      <c r="E976" s="16" t="s">
        <v>46</v>
      </c>
      <c r="F976" s="18">
        <v>1253.5</v>
      </c>
      <c r="G976" s="22">
        <v>109</v>
      </c>
      <c r="H976" s="18">
        <v>0.68826179166666601</v>
      </c>
      <c r="I976" s="18">
        <v>75.020535291666604</v>
      </c>
      <c r="J976" s="18">
        <v>1178.4794647083299</v>
      </c>
      <c r="K976" s="22">
        <v>0</v>
      </c>
      <c r="L976" s="22" t="str">
        <f t="shared" si="15"/>
        <v>45748, 4, 8</v>
      </c>
    </row>
    <row r="977" spans="1:12">
      <c r="A977" s="9">
        <v>45748</v>
      </c>
      <c r="B977">
        <v>4</v>
      </c>
      <c r="C977" s="16" t="s">
        <v>59</v>
      </c>
      <c r="D977">
        <v>9</v>
      </c>
      <c r="E977" s="16" t="s">
        <v>47</v>
      </c>
      <c r="F977" s="18">
        <v>2612.5</v>
      </c>
      <c r="G977" s="22">
        <v>55</v>
      </c>
      <c r="H977" s="18">
        <v>16.541108100286301</v>
      </c>
      <c r="I977" s="18">
        <v>909.76094551575</v>
      </c>
      <c r="J977" s="18">
        <v>1702.7390544842399</v>
      </c>
      <c r="K977" s="22">
        <v>0</v>
      </c>
      <c r="L977" s="22" t="str">
        <f t="shared" si="15"/>
        <v>45748, 4, 9</v>
      </c>
    </row>
    <row r="978" spans="1:12">
      <c r="A978" s="9">
        <v>45748</v>
      </c>
      <c r="B978">
        <v>4</v>
      </c>
      <c r="C978" s="16" t="s">
        <v>59</v>
      </c>
      <c r="D978">
        <v>10</v>
      </c>
      <c r="E978" s="16" t="s">
        <v>57</v>
      </c>
      <c r="F978" s="18">
        <v>1498.5</v>
      </c>
      <c r="G978" s="22">
        <v>111</v>
      </c>
      <c r="H978" s="18">
        <v>2.1379814860857098</v>
      </c>
      <c r="I978" s="18">
        <v>237.315944955514</v>
      </c>
      <c r="J978" s="18">
        <v>1261.1840550444799</v>
      </c>
      <c r="K978" s="22">
        <v>0</v>
      </c>
      <c r="L978" s="22" t="str">
        <f t="shared" si="15"/>
        <v>45748, 4, 10</v>
      </c>
    </row>
    <row r="979" spans="1:12">
      <c r="A979" s="9">
        <v>45748</v>
      </c>
      <c r="B979">
        <v>4</v>
      </c>
      <c r="C979" s="16" t="s">
        <v>59</v>
      </c>
      <c r="D979">
        <v>11</v>
      </c>
      <c r="E979" s="16" t="s">
        <v>48</v>
      </c>
      <c r="F979" s="18">
        <v>2160</v>
      </c>
      <c r="G979" s="22">
        <v>108</v>
      </c>
      <c r="H979" s="18">
        <v>1.69308639583333</v>
      </c>
      <c r="I979" s="18">
        <v>182.853330749999</v>
      </c>
      <c r="J979" s="18">
        <v>1977.1466692500001</v>
      </c>
      <c r="K979" s="22">
        <v>0</v>
      </c>
      <c r="L979" s="22" t="str">
        <f t="shared" si="15"/>
        <v>45748, 4, 11</v>
      </c>
    </row>
    <row r="980" spans="1:12">
      <c r="A980" s="9">
        <v>45748</v>
      </c>
      <c r="B980">
        <v>4</v>
      </c>
      <c r="C980" s="16" t="s">
        <v>59</v>
      </c>
      <c r="D980">
        <v>12</v>
      </c>
      <c r="E980" s="16" t="s">
        <v>49</v>
      </c>
      <c r="F980" s="18">
        <v>1386</v>
      </c>
      <c r="G980" s="22">
        <v>66</v>
      </c>
      <c r="H980" s="18">
        <v>2.5088125702499999</v>
      </c>
      <c r="I980" s="18">
        <v>165.5816296365</v>
      </c>
      <c r="J980" s="18">
        <v>1220.4183703634999</v>
      </c>
      <c r="K980" s="22">
        <v>0</v>
      </c>
      <c r="L980" s="22" t="str">
        <f t="shared" si="15"/>
        <v>45748, 4, 12</v>
      </c>
    </row>
    <row r="981" spans="1:12">
      <c r="A981" s="9">
        <v>45748</v>
      </c>
      <c r="B981">
        <v>4</v>
      </c>
      <c r="C981" s="16" t="s">
        <v>59</v>
      </c>
      <c r="D981">
        <v>13</v>
      </c>
      <c r="E981" s="16" t="s">
        <v>50</v>
      </c>
      <c r="F981" s="18">
        <v>3234</v>
      </c>
      <c r="G981" s="22">
        <v>147</v>
      </c>
      <c r="H981" s="18">
        <v>5.74485475</v>
      </c>
      <c r="I981" s="18">
        <v>844.49364824999998</v>
      </c>
      <c r="J981" s="18">
        <v>2389.5063517499998</v>
      </c>
      <c r="K981" s="22">
        <v>0</v>
      </c>
      <c r="L981" s="22" t="str">
        <f t="shared" si="15"/>
        <v>45748, 4, 13</v>
      </c>
    </row>
    <row r="982" spans="1:12">
      <c r="A982" s="9">
        <v>45748</v>
      </c>
      <c r="B982">
        <v>4</v>
      </c>
      <c r="C982" s="16" t="s">
        <v>59</v>
      </c>
      <c r="D982">
        <v>14</v>
      </c>
      <c r="E982" s="16" t="s">
        <v>51</v>
      </c>
      <c r="F982" s="18">
        <v>1971</v>
      </c>
      <c r="G982" s="22">
        <v>73</v>
      </c>
      <c r="H982" s="18">
        <v>4.1609377385984798</v>
      </c>
      <c r="I982" s="18">
        <v>303.748454917689</v>
      </c>
      <c r="J982" s="18">
        <v>1667.25154508231</v>
      </c>
      <c r="K982" s="22">
        <v>0</v>
      </c>
      <c r="L982" s="22" t="str">
        <f t="shared" si="15"/>
        <v>45748, 4, 14</v>
      </c>
    </row>
    <row r="983" spans="1:12">
      <c r="A983" s="9">
        <v>45748</v>
      </c>
      <c r="B983">
        <v>4</v>
      </c>
      <c r="C983" s="16" t="s">
        <v>59</v>
      </c>
      <c r="D983">
        <v>15</v>
      </c>
      <c r="E983" s="16" t="s">
        <v>52</v>
      </c>
      <c r="F983" s="18">
        <v>2021</v>
      </c>
      <c r="G983" s="22">
        <v>86</v>
      </c>
      <c r="H983" s="18">
        <v>2.6887011329047601</v>
      </c>
      <c r="I983" s="18">
        <v>231.228297429809</v>
      </c>
      <c r="J983" s="18">
        <v>1789.77170257019</v>
      </c>
      <c r="K983" s="22">
        <v>0</v>
      </c>
      <c r="L983" s="22" t="str">
        <f t="shared" si="15"/>
        <v>45748, 4, 15</v>
      </c>
    </row>
    <row r="984" spans="1:12">
      <c r="A984" s="9">
        <v>45748</v>
      </c>
      <c r="B984">
        <v>4</v>
      </c>
      <c r="C984" s="16" t="s">
        <v>59</v>
      </c>
      <c r="D984">
        <v>16</v>
      </c>
      <c r="E984" s="16" t="s">
        <v>53</v>
      </c>
      <c r="F984" s="18">
        <v>1181.5</v>
      </c>
      <c r="G984" s="22">
        <v>139</v>
      </c>
      <c r="H984" s="18">
        <v>1.2795762981410199</v>
      </c>
      <c r="I984" s="18">
        <v>177.86110544160201</v>
      </c>
      <c r="J984" s="18">
        <v>1003.63889455839</v>
      </c>
      <c r="K984" s="22">
        <v>0</v>
      </c>
      <c r="L984" s="22" t="str">
        <f t="shared" si="15"/>
        <v>45748, 4, 16</v>
      </c>
    </row>
    <row r="985" spans="1:12">
      <c r="A985" s="9">
        <v>45748</v>
      </c>
      <c r="B985">
        <v>4</v>
      </c>
      <c r="C985" s="16" t="s">
        <v>59</v>
      </c>
      <c r="D985">
        <v>17</v>
      </c>
      <c r="E985" s="16" t="s">
        <v>54</v>
      </c>
      <c r="F985" s="18">
        <v>1237.5</v>
      </c>
      <c r="G985" s="22">
        <v>165</v>
      </c>
      <c r="H985" s="18">
        <v>1.23517244625</v>
      </c>
      <c r="I985" s="18">
        <v>203.80345363124999</v>
      </c>
      <c r="J985" s="18">
        <v>1033.69654636875</v>
      </c>
      <c r="K985" s="22">
        <v>0</v>
      </c>
      <c r="L985" s="22" t="str">
        <f t="shared" si="15"/>
        <v>45748, 4, 17</v>
      </c>
    </row>
    <row r="986" spans="1:12">
      <c r="A986" s="9">
        <v>45748</v>
      </c>
      <c r="B986">
        <v>4</v>
      </c>
      <c r="C986" s="16" t="s">
        <v>59</v>
      </c>
      <c r="D986">
        <v>18</v>
      </c>
      <c r="E986" s="16" t="s">
        <v>55</v>
      </c>
      <c r="F986" s="18">
        <v>1311</v>
      </c>
      <c r="G986" s="22">
        <v>57</v>
      </c>
      <c r="H986" s="18">
        <v>6.25776253134722</v>
      </c>
      <c r="I986" s="18">
        <v>356.69246428679099</v>
      </c>
      <c r="J986" s="18">
        <v>954.30753571320804</v>
      </c>
      <c r="K986" s="22">
        <v>0</v>
      </c>
      <c r="L986" s="22" t="str">
        <f t="shared" si="15"/>
        <v>45748, 4, 18</v>
      </c>
    </row>
    <row r="987" spans="1:12">
      <c r="A987" s="9">
        <v>45778</v>
      </c>
      <c r="B987">
        <v>4</v>
      </c>
      <c r="C987" s="16" t="s">
        <v>59</v>
      </c>
      <c r="D987">
        <v>1</v>
      </c>
      <c r="E987" s="16" t="s">
        <v>38</v>
      </c>
      <c r="F987" s="18">
        <v>4116</v>
      </c>
      <c r="G987" s="22">
        <v>196</v>
      </c>
      <c r="H987" s="18">
        <v>3.668860375</v>
      </c>
      <c r="I987" s="18">
        <v>719.09663350000005</v>
      </c>
      <c r="J987" s="18">
        <v>3396.9033665000002</v>
      </c>
      <c r="K987" s="22">
        <v>0</v>
      </c>
      <c r="L987" s="22" t="str">
        <f t="shared" si="15"/>
        <v>45778, 4, 1</v>
      </c>
    </row>
    <row r="988" spans="1:12">
      <c r="A988" s="9">
        <v>45778</v>
      </c>
      <c r="B988">
        <v>4</v>
      </c>
      <c r="C988" s="16" t="s">
        <v>59</v>
      </c>
      <c r="D988">
        <v>2</v>
      </c>
      <c r="E988" s="16" t="s">
        <v>40</v>
      </c>
      <c r="F988" s="18">
        <v>3772</v>
      </c>
      <c r="G988" s="22">
        <v>164</v>
      </c>
      <c r="H988" s="18">
        <v>5.7819341369411701</v>
      </c>
      <c r="I988" s="18">
        <v>948.23719845835205</v>
      </c>
      <c r="J988" s="18">
        <v>2823.7628015416399</v>
      </c>
      <c r="K988" s="22">
        <v>0</v>
      </c>
      <c r="L988" s="22" t="str">
        <f t="shared" si="15"/>
        <v>45778, 4, 2</v>
      </c>
    </row>
    <row r="989" spans="1:12">
      <c r="A989" s="9">
        <v>45778</v>
      </c>
      <c r="B989">
        <v>4</v>
      </c>
      <c r="C989" s="16" t="s">
        <v>59</v>
      </c>
      <c r="D989">
        <v>3</v>
      </c>
      <c r="E989" s="16" t="s">
        <v>41</v>
      </c>
      <c r="F989" s="18">
        <v>2278.5</v>
      </c>
      <c r="G989" s="22">
        <v>93</v>
      </c>
      <c r="H989" s="18">
        <v>3.1369945579</v>
      </c>
      <c r="I989" s="18">
        <v>291.74049388470002</v>
      </c>
      <c r="J989" s="18">
        <v>1986.7595061152999</v>
      </c>
      <c r="K989" s="22">
        <v>0</v>
      </c>
      <c r="L989" s="22" t="str">
        <f t="shared" si="15"/>
        <v>45778, 4, 3</v>
      </c>
    </row>
    <row r="990" spans="1:12">
      <c r="A990" s="9">
        <v>45778</v>
      </c>
      <c r="B990">
        <v>4</v>
      </c>
      <c r="C990" s="16" t="s">
        <v>59</v>
      </c>
      <c r="D990">
        <v>5</v>
      </c>
      <c r="E990" s="16" t="s">
        <v>43</v>
      </c>
      <c r="F990" s="18">
        <v>1800</v>
      </c>
      <c r="G990" s="22">
        <v>90</v>
      </c>
      <c r="H990" s="18">
        <v>5.7122916666666601</v>
      </c>
      <c r="I990" s="18">
        <v>514.10625000000005</v>
      </c>
      <c r="J990" s="18">
        <v>1285.89374999999</v>
      </c>
      <c r="K990" s="22">
        <v>0</v>
      </c>
      <c r="L990" s="22" t="str">
        <f t="shared" si="15"/>
        <v>45778, 4, 5</v>
      </c>
    </row>
    <row r="991" spans="1:12">
      <c r="A991" s="9">
        <v>45778</v>
      </c>
      <c r="B991">
        <v>4</v>
      </c>
      <c r="C991" s="16" t="s">
        <v>59</v>
      </c>
      <c r="D991">
        <v>6</v>
      </c>
      <c r="E991" s="16" t="s">
        <v>44</v>
      </c>
      <c r="F991" s="18">
        <v>2706</v>
      </c>
      <c r="G991" s="22">
        <v>123</v>
      </c>
      <c r="H991" s="18">
        <v>4.4979075494333296</v>
      </c>
      <c r="I991" s="18">
        <v>553.24262858029897</v>
      </c>
      <c r="J991" s="18">
        <v>2152.7573714197001</v>
      </c>
      <c r="K991" s="22">
        <v>0</v>
      </c>
      <c r="L991" s="22" t="str">
        <f t="shared" si="15"/>
        <v>45778, 4, 6</v>
      </c>
    </row>
    <row r="992" spans="1:12">
      <c r="A992" s="9">
        <v>45778</v>
      </c>
      <c r="B992">
        <v>4</v>
      </c>
      <c r="C992" s="16" t="s">
        <v>59</v>
      </c>
      <c r="D992">
        <v>8</v>
      </c>
      <c r="E992" s="16" t="s">
        <v>46</v>
      </c>
      <c r="F992" s="18">
        <v>1587</v>
      </c>
      <c r="G992" s="22">
        <v>138</v>
      </c>
      <c r="H992" s="18">
        <v>0.68818600066666602</v>
      </c>
      <c r="I992" s="18">
        <v>94.969668091999907</v>
      </c>
      <c r="J992" s="18">
        <v>1492.0303319080001</v>
      </c>
      <c r="K992" s="22">
        <v>0</v>
      </c>
      <c r="L992" s="22" t="str">
        <f t="shared" si="15"/>
        <v>45778, 4, 8</v>
      </c>
    </row>
    <row r="993" spans="1:12">
      <c r="A993" s="9">
        <v>45778</v>
      </c>
      <c r="B993">
        <v>4</v>
      </c>
      <c r="C993" s="16" t="s">
        <v>59</v>
      </c>
      <c r="D993">
        <v>9</v>
      </c>
      <c r="E993" s="16" t="s">
        <v>47</v>
      </c>
      <c r="F993" s="18">
        <v>3230</v>
      </c>
      <c r="G993" s="22">
        <v>68</v>
      </c>
      <c r="H993" s="18">
        <v>16.243785186188202</v>
      </c>
      <c r="I993" s="18">
        <v>1104.5773926607999</v>
      </c>
      <c r="J993" s="18">
        <v>2125.4226073391901</v>
      </c>
      <c r="K993" s="22">
        <v>0</v>
      </c>
      <c r="L993" s="22" t="str">
        <f t="shared" si="15"/>
        <v>45778, 4, 9</v>
      </c>
    </row>
    <row r="994" spans="1:12">
      <c r="A994" s="9">
        <v>45778</v>
      </c>
      <c r="B994">
        <v>4</v>
      </c>
      <c r="C994" s="16" t="s">
        <v>59</v>
      </c>
      <c r="D994">
        <v>10</v>
      </c>
      <c r="E994" s="16" t="s">
        <v>57</v>
      </c>
      <c r="F994" s="18">
        <v>1660.5</v>
      </c>
      <c r="G994" s="22">
        <v>123</v>
      </c>
      <c r="H994" s="18">
        <v>2.0181813538380902</v>
      </c>
      <c r="I994" s="18">
        <v>248.23630652208499</v>
      </c>
      <c r="J994" s="18">
        <v>1412.26369347791</v>
      </c>
      <c r="K994" s="22">
        <v>0</v>
      </c>
      <c r="L994" s="22" t="str">
        <f t="shared" si="15"/>
        <v>45778, 4, 10</v>
      </c>
    </row>
    <row r="995" spans="1:12">
      <c r="A995" s="9">
        <v>45778</v>
      </c>
      <c r="B995">
        <v>4</v>
      </c>
      <c r="C995" s="16" t="s">
        <v>59</v>
      </c>
      <c r="D995">
        <v>11</v>
      </c>
      <c r="E995" s="16" t="s">
        <v>48</v>
      </c>
      <c r="F995" s="18">
        <v>2800</v>
      </c>
      <c r="G995" s="22">
        <v>140</v>
      </c>
      <c r="H995" s="18">
        <v>1.7103214375</v>
      </c>
      <c r="I995" s="18">
        <v>239.44500124999999</v>
      </c>
      <c r="J995" s="18">
        <v>2560.5549987499999</v>
      </c>
      <c r="K995" s="22">
        <v>0</v>
      </c>
      <c r="L995" s="22" t="str">
        <f t="shared" si="15"/>
        <v>45778, 4, 11</v>
      </c>
    </row>
    <row r="996" spans="1:12">
      <c r="A996" s="9">
        <v>45778</v>
      </c>
      <c r="B996">
        <v>4</v>
      </c>
      <c r="C996" s="16" t="s">
        <v>59</v>
      </c>
      <c r="D996">
        <v>12</v>
      </c>
      <c r="E996" s="16" t="s">
        <v>49</v>
      </c>
      <c r="F996" s="18">
        <v>1533</v>
      </c>
      <c r="G996" s="22">
        <v>73</v>
      </c>
      <c r="H996" s="18">
        <v>2.4893575196136299</v>
      </c>
      <c r="I996" s="18">
        <v>181.72309893179499</v>
      </c>
      <c r="J996" s="18">
        <v>1351.2769010682</v>
      </c>
      <c r="K996" s="22">
        <v>0</v>
      </c>
      <c r="L996" s="22" t="str">
        <f t="shared" si="15"/>
        <v>45778, 4, 12</v>
      </c>
    </row>
    <row r="997" spans="1:12">
      <c r="A997" s="9">
        <v>45778</v>
      </c>
      <c r="B997">
        <v>4</v>
      </c>
      <c r="C997" s="16" t="s">
        <v>59</v>
      </c>
      <c r="D997">
        <v>13</v>
      </c>
      <c r="E997" s="16" t="s">
        <v>50</v>
      </c>
      <c r="F997" s="18">
        <v>3102</v>
      </c>
      <c r="G997" s="22">
        <v>141</v>
      </c>
      <c r="H997" s="18">
        <v>5.7129848000000001</v>
      </c>
      <c r="I997" s="18">
        <v>805.53085680000004</v>
      </c>
      <c r="J997" s="18">
        <v>2296.4691432</v>
      </c>
      <c r="K997" s="22">
        <v>0</v>
      </c>
      <c r="L997" s="22" t="str">
        <f t="shared" si="15"/>
        <v>45778, 4, 13</v>
      </c>
    </row>
    <row r="998" spans="1:12">
      <c r="A998" s="9">
        <v>45778</v>
      </c>
      <c r="B998">
        <v>4</v>
      </c>
      <c r="C998" s="16" t="s">
        <v>59</v>
      </c>
      <c r="D998">
        <v>14</v>
      </c>
      <c r="E998" s="16" t="s">
        <v>51</v>
      </c>
      <c r="F998" s="18">
        <v>2376</v>
      </c>
      <c r="G998" s="22">
        <v>88</v>
      </c>
      <c r="H998" s="18">
        <v>4.1347969126515096</v>
      </c>
      <c r="I998" s="18">
        <v>363.86212831333302</v>
      </c>
      <c r="J998" s="18">
        <v>2012.13787168666</v>
      </c>
      <c r="K998" s="22">
        <v>0</v>
      </c>
      <c r="L998" s="22" t="str">
        <f t="shared" si="15"/>
        <v>45778, 4, 14</v>
      </c>
    </row>
    <row r="999" spans="1:12">
      <c r="A999" s="9">
        <v>45778</v>
      </c>
      <c r="B999">
        <v>4</v>
      </c>
      <c r="C999" s="16" t="s">
        <v>59</v>
      </c>
      <c r="D999">
        <v>15</v>
      </c>
      <c r="E999" s="16" t="s">
        <v>52</v>
      </c>
      <c r="F999" s="18">
        <v>2585</v>
      </c>
      <c r="G999" s="22">
        <v>110</v>
      </c>
      <c r="H999" s="18">
        <v>2.7190702231428499</v>
      </c>
      <c r="I999" s="18">
        <v>299.09772454571402</v>
      </c>
      <c r="J999" s="18">
        <v>2285.9022754542798</v>
      </c>
      <c r="K999" s="22">
        <v>0</v>
      </c>
      <c r="L999" s="22" t="str">
        <f t="shared" si="15"/>
        <v>45778, 4, 15</v>
      </c>
    </row>
    <row r="1000" spans="1:12">
      <c r="A1000" s="9">
        <v>45778</v>
      </c>
      <c r="B1000">
        <v>4</v>
      </c>
      <c r="C1000" s="16" t="s">
        <v>59</v>
      </c>
      <c r="D1000">
        <v>16</v>
      </c>
      <c r="E1000" s="16" t="s">
        <v>53</v>
      </c>
      <c r="F1000" s="18">
        <v>1326</v>
      </c>
      <c r="G1000" s="22">
        <v>156</v>
      </c>
      <c r="H1000" s="18">
        <v>1.26360558089743</v>
      </c>
      <c r="I1000" s="18">
        <v>197.12247062</v>
      </c>
      <c r="J1000" s="18">
        <v>1128.8775293799899</v>
      </c>
      <c r="K1000" s="22">
        <v>0</v>
      </c>
      <c r="L1000" s="22" t="str">
        <f t="shared" si="15"/>
        <v>45778, 4, 16</v>
      </c>
    </row>
    <row r="1001" spans="1:12">
      <c r="A1001" s="9">
        <v>45778</v>
      </c>
      <c r="B1001">
        <v>4</v>
      </c>
      <c r="C1001" s="16" t="s">
        <v>59</v>
      </c>
      <c r="D1001">
        <v>17</v>
      </c>
      <c r="E1001" s="16" t="s">
        <v>54</v>
      </c>
      <c r="F1001" s="18">
        <v>1672.5</v>
      </c>
      <c r="G1001" s="22">
        <v>223</v>
      </c>
      <c r="H1001" s="18">
        <v>1.22475673227272</v>
      </c>
      <c r="I1001" s="18">
        <v>273.12075129681801</v>
      </c>
      <c r="J1001" s="18">
        <v>1399.3792487031801</v>
      </c>
      <c r="K1001" s="22">
        <v>0</v>
      </c>
      <c r="L1001" s="22" t="str">
        <f t="shared" si="15"/>
        <v>45778, 4, 17</v>
      </c>
    </row>
    <row r="1002" spans="1:12">
      <c r="A1002" s="9">
        <v>45778</v>
      </c>
      <c r="B1002">
        <v>4</v>
      </c>
      <c r="C1002" s="16" t="s">
        <v>59</v>
      </c>
      <c r="D1002">
        <v>18</v>
      </c>
      <c r="E1002" s="16" t="s">
        <v>55</v>
      </c>
      <c r="F1002" s="18">
        <v>2231</v>
      </c>
      <c r="G1002" s="22">
        <v>97</v>
      </c>
      <c r="H1002" s="18">
        <v>6.2233690767647003</v>
      </c>
      <c r="I1002" s="18">
        <v>603.66680044617601</v>
      </c>
      <c r="J1002" s="18">
        <v>1627.3331995538199</v>
      </c>
      <c r="K1002" s="22">
        <v>0</v>
      </c>
      <c r="L1002" s="22" t="str">
        <f t="shared" si="15"/>
        <v>45778, 4, 18</v>
      </c>
    </row>
    <row r="1003" spans="1:12">
      <c r="A1003" s="9">
        <v>45809</v>
      </c>
      <c r="B1003">
        <v>4</v>
      </c>
      <c r="C1003" s="16" t="s">
        <v>59</v>
      </c>
      <c r="D1003">
        <v>1</v>
      </c>
      <c r="E1003" s="16" t="s">
        <v>38</v>
      </c>
      <c r="F1003" s="18">
        <v>3675</v>
      </c>
      <c r="G1003" s="22">
        <v>175</v>
      </c>
      <c r="H1003" s="18">
        <v>3.6779140263157801</v>
      </c>
      <c r="I1003" s="18">
        <v>643.63495460526303</v>
      </c>
      <c r="J1003" s="18">
        <v>3031.3650453947298</v>
      </c>
      <c r="K1003" s="22">
        <v>0</v>
      </c>
      <c r="L1003" s="22" t="str">
        <f t="shared" si="15"/>
        <v>45809, 4, 1</v>
      </c>
    </row>
    <row r="1004" spans="1:12">
      <c r="A1004" s="9">
        <v>45809</v>
      </c>
      <c r="B1004">
        <v>4</v>
      </c>
      <c r="C1004" s="16" t="s">
        <v>59</v>
      </c>
      <c r="D1004">
        <v>2</v>
      </c>
      <c r="E1004" s="16" t="s">
        <v>40</v>
      </c>
      <c r="F1004" s="18">
        <v>4301</v>
      </c>
      <c r="G1004" s="22">
        <v>187</v>
      </c>
      <c r="H1004" s="18">
        <v>5.7901632441176396</v>
      </c>
      <c r="I1004" s="18">
        <v>1082.76052664999</v>
      </c>
      <c r="J1004" s="18">
        <v>3218.23947335</v>
      </c>
      <c r="K1004" s="22">
        <v>0</v>
      </c>
      <c r="L1004" s="22" t="str">
        <f t="shared" si="15"/>
        <v>45809, 4, 2</v>
      </c>
    </row>
    <row r="1005" spans="1:12">
      <c r="A1005" s="9">
        <v>45809</v>
      </c>
      <c r="B1005">
        <v>4</v>
      </c>
      <c r="C1005" s="16" t="s">
        <v>59</v>
      </c>
      <c r="D1005">
        <v>3</v>
      </c>
      <c r="E1005" s="16" t="s">
        <v>41</v>
      </c>
      <c r="F1005" s="18">
        <v>2229.5</v>
      </c>
      <c r="G1005" s="22">
        <v>91</v>
      </c>
      <c r="H1005" s="18">
        <v>3.143262134</v>
      </c>
      <c r="I1005" s="18">
        <v>286.036854194</v>
      </c>
      <c r="J1005" s="18">
        <v>1943.4631458060001</v>
      </c>
      <c r="K1005" s="22">
        <v>0</v>
      </c>
      <c r="L1005" s="22" t="str">
        <f t="shared" si="15"/>
        <v>45809, 4, 3</v>
      </c>
    </row>
    <row r="1006" spans="1:12">
      <c r="A1006" s="9">
        <v>45809</v>
      </c>
      <c r="B1006">
        <v>4</v>
      </c>
      <c r="C1006" s="16" t="s">
        <v>59</v>
      </c>
      <c r="D1006">
        <v>5</v>
      </c>
      <c r="E1006" s="16" t="s">
        <v>43</v>
      </c>
      <c r="F1006" s="18">
        <v>1920</v>
      </c>
      <c r="G1006" s="22">
        <v>96</v>
      </c>
      <c r="H1006" s="18">
        <v>5.5167647058823501</v>
      </c>
      <c r="I1006" s="18">
        <v>529.60941176470499</v>
      </c>
      <c r="J1006" s="18">
        <v>1390.3905882352899</v>
      </c>
      <c r="K1006" s="22">
        <v>0</v>
      </c>
      <c r="L1006" s="22" t="str">
        <f t="shared" si="15"/>
        <v>45809, 4, 5</v>
      </c>
    </row>
    <row r="1007" spans="1:12">
      <c r="A1007" s="9">
        <v>45809</v>
      </c>
      <c r="B1007">
        <v>4</v>
      </c>
      <c r="C1007" s="16" t="s">
        <v>59</v>
      </c>
      <c r="D1007">
        <v>6</v>
      </c>
      <c r="E1007" s="16" t="s">
        <v>44</v>
      </c>
      <c r="F1007" s="18">
        <v>1892</v>
      </c>
      <c r="G1007" s="22">
        <v>86</v>
      </c>
      <c r="H1007" s="18">
        <v>4.4921752807999997</v>
      </c>
      <c r="I1007" s="18">
        <v>386.32707414880002</v>
      </c>
      <c r="J1007" s="18">
        <v>1505.6729258512</v>
      </c>
      <c r="K1007" s="22">
        <v>0</v>
      </c>
      <c r="L1007" s="22" t="str">
        <f t="shared" si="15"/>
        <v>45809, 4, 6</v>
      </c>
    </row>
    <row r="1008" spans="1:12">
      <c r="A1008" s="9">
        <v>45809</v>
      </c>
      <c r="B1008">
        <v>4</v>
      </c>
      <c r="C1008" s="16" t="s">
        <v>59</v>
      </c>
      <c r="D1008">
        <v>8</v>
      </c>
      <c r="E1008" s="16" t="s">
        <v>46</v>
      </c>
      <c r="F1008" s="18">
        <v>1242</v>
      </c>
      <c r="G1008" s="22">
        <v>108</v>
      </c>
      <c r="H1008" s="18">
        <v>0.68485030399999902</v>
      </c>
      <c r="I1008" s="18">
        <v>73.963832831999895</v>
      </c>
      <c r="J1008" s="18">
        <v>1168.036167168</v>
      </c>
      <c r="K1008" s="22">
        <v>0</v>
      </c>
      <c r="L1008" s="22" t="str">
        <f t="shared" si="15"/>
        <v>45809, 4, 8</v>
      </c>
    </row>
    <row r="1009" spans="1:12">
      <c r="A1009" s="9">
        <v>45809</v>
      </c>
      <c r="B1009">
        <v>4</v>
      </c>
      <c r="C1009" s="16" t="s">
        <v>59</v>
      </c>
      <c r="D1009">
        <v>9</v>
      </c>
      <c r="E1009" s="16" t="s">
        <v>47</v>
      </c>
      <c r="F1009" s="18">
        <v>2090</v>
      </c>
      <c r="G1009" s="22">
        <v>44</v>
      </c>
      <c r="H1009" s="18">
        <v>16.367128051161501</v>
      </c>
      <c r="I1009" s="18">
        <v>720.15363425110797</v>
      </c>
      <c r="J1009" s="18">
        <v>1369.8463657488901</v>
      </c>
      <c r="K1009" s="22">
        <v>0</v>
      </c>
      <c r="L1009" s="22" t="str">
        <f t="shared" si="15"/>
        <v>45809, 4, 9</v>
      </c>
    </row>
    <row r="1010" spans="1:12">
      <c r="A1010" s="9">
        <v>45809</v>
      </c>
      <c r="B1010">
        <v>4</v>
      </c>
      <c r="C1010" s="16" t="s">
        <v>59</v>
      </c>
      <c r="D1010">
        <v>10</v>
      </c>
      <c r="E1010" s="16" t="s">
        <v>57</v>
      </c>
      <c r="F1010" s="18">
        <v>1660.5</v>
      </c>
      <c r="G1010" s="22">
        <v>123</v>
      </c>
      <c r="H1010" s="18">
        <v>1.9199729210800001</v>
      </c>
      <c r="I1010" s="18">
        <v>236.15666929284001</v>
      </c>
      <c r="J1010" s="18">
        <v>1424.34333070716</v>
      </c>
      <c r="K1010" s="22">
        <v>0</v>
      </c>
      <c r="L1010" s="22" t="str">
        <f t="shared" si="15"/>
        <v>45809, 4, 10</v>
      </c>
    </row>
    <row r="1011" spans="1:12">
      <c r="A1011" s="9">
        <v>45809</v>
      </c>
      <c r="B1011">
        <v>4</v>
      </c>
      <c r="C1011" s="16" t="s">
        <v>59</v>
      </c>
      <c r="D1011">
        <v>11</v>
      </c>
      <c r="E1011" s="16" t="s">
        <v>48</v>
      </c>
      <c r="F1011" s="18">
        <v>2980</v>
      </c>
      <c r="G1011" s="22">
        <v>149</v>
      </c>
      <c r="H1011" s="18">
        <v>1.7187805340908999</v>
      </c>
      <c r="I1011" s="18">
        <v>256.09829957954503</v>
      </c>
      <c r="J1011" s="18">
        <v>2723.9017004204502</v>
      </c>
      <c r="K1011" s="22">
        <v>0</v>
      </c>
      <c r="L1011" s="22" t="str">
        <f t="shared" si="15"/>
        <v>45809, 4, 11</v>
      </c>
    </row>
    <row r="1012" spans="1:12">
      <c r="A1012" s="9">
        <v>45809</v>
      </c>
      <c r="B1012">
        <v>4</v>
      </c>
      <c r="C1012" s="16" t="s">
        <v>59</v>
      </c>
      <c r="D1012">
        <v>12</v>
      </c>
      <c r="E1012" s="16" t="s">
        <v>49</v>
      </c>
      <c r="F1012" s="18">
        <v>1638</v>
      </c>
      <c r="G1012" s="22">
        <v>78</v>
      </c>
      <c r="H1012" s="18">
        <v>2.4859134288571401</v>
      </c>
      <c r="I1012" s="18">
        <v>193.901247450857</v>
      </c>
      <c r="J1012" s="18">
        <v>1444.09875254914</v>
      </c>
      <c r="K1012" s="22">
        <v>0</v>
      </c>
      <c r="L1012" s="22" t="str">
        <f t="shared" si="15"/>
        <v>45809, 4, 12</v>
      </c>
    </row>
    <row r="1013" spans="1:12">
      <c r="A1013" s="9">
        <v>45809</v>
      </c>
      <c r="B1013">
        <v>4</v>
      </c>
      <c r="C1013" s="16" t="s">
        <v>59</v>
      </c>
      <c r="D1013">
        <v>13</v>
      </c>
      <c r="E1013" s="16" t="s">
        <v>50</v>
      </c>
      <c r="F1013" s="18">
        <v>2640</v>
      </c>
      <c r="G1013" s="22">
        <v>120</v>
      </c>
      <c r="H1013" s="18">
        <v>5.76240215789473</v>
      </c>
      <c r="I1013" s="18">
        <v>691.48825894736797</v>
      </c>
      <c r="J1013" s="18">
        <v>1948.51174105263</v>
      </c>
      <c r="K1013" s="22">
        <v>0</v>
      </c>
      <c r="L1013" s="22" t="str">
        <f t="shared" si="15"/>
        <v>45809, 4, 13</v>
      </c>
    </row>
    <row r="1014" spans="1:12">
      <c r="A1014" s="9">
        <v>45809</v>
      </c>
      <c r="B1014">
        <v>4</v>
      </c>
      <c r="C1014" s="16" t="s">
        <v>59</v>
      </c>
      <c r="D1014">
        <v>14</v>
      </c>
      <c r="E1014" s="16" t="s">
        <v>51</v>
      </c>
      <c r="F1014" s="18">
        <v>1593</v>
      </c>
      <c r="G1014" s="22">
        <v>59</v>
      </c>
      <c r="H1014" s="18">
        <v>4.1590482572999896</v>
      </c>
      <c r="I1014" s="18">
        <v>245.38384718069901</v>
      </c>
      <c r="J1014" s="18">
        <v>1347.6161528192999</v>
      </c>
      <c r="K1014" s="22">
        <v>0</v>
      </c>
      <c r="L1014" s="22" t="str">
        <f t="shared" si="15"/>
        <v>45809, 4, 14</v>
      </c>
    </row>
    <row r="1015" spans="1:12">
      <c r="A1015" s="9">
        <v>45809</v>
      </c>
      <c r="B1015">
        <v>4</v>
      </c>
      <c r="C1015" s="16" t="s">
        <v>59</v>
      </c>
      <c r="D1015">
        <v>15</v>
      </c>
      <c r="E1015" s="16" t="s">
        <v>52</v>
      </c>
      <c r="F1015" s="18">
        <v>3384</v>
      </c>
      <c r="G1015" s="22">
        <v>144</v>
      </c>
      <c r="H1015" s="18">
        <v>2.7127060727500001</v>
      </c>
      <c r="I1015" s="18">
        <v>390.62967447599999</v>
      </c>
      <c r="J1015" s="18">
        <v>2993.3703255239998</v>
      </c>
      <c r="K1015" s="22">
        <v>0</v>
      </c>
      <c r="L1015" s="22" t="str">
        <f t="shared" si="15"/>
        <v>45809, 4, 15</v>
      </c>
    </row>
    <row r="1016" spans="1:12">
      <c r="A1016" s="9">
        <v>45809</v>
      </c>
      <c r="B1016">
        <v>4</v>
      </c>
      <c r="C1016" s="16" t="s">
        <v>59</v>
      </c>
      <c r="D1016">
        <v>16</v>
      </c>
      <c r="E1016" s="16" t="s">
        <v>53</v>
      </c>
      <c r="F1016" s="18">
        <v>1530</v>
      </c>
      <c r="G1016" s="22">
        <v>180</v>
      </c>
      <c r="H1016" s="18">
        <v>1.2684670173611099</v>
      </c>
      <c r="I1016" s="18">
        <v>228.32406312499899</v>
      </c>
      <c r="J1016" s="18">
        <v>1301.6759368749999</v>
      </c>
      <c r="K1016" s="22">
        <v>0</v>
      </c>
      <c r="L1016" s="22" t="str">
        <f t="shared" si="15"/>
        <v>45809, 4, 16</v>
      </c>
    </row>
    <row r="1017" spans="1:12">
      <c r="A1017" s="9">
        <v>45809</v>
      </c>
      <c r="B1017">
        <v>4</v>
      </c>
      <c r="C1017" s="16" t="s">
        <v>59</v>
      </c>
      <c r="D1017">
        <v>17</v>
      </c>
      <c r="E1017" s="16" t="s">
        <v>54</v>
      </c>
      <c r="F1017" s="18">
        <v>1627.5</v>
      </c>
      <c r="G1017" s="22">
        <v>217</v>
      </c>
      <c r="H1017" s="18">
        <v>1.2467257785000001</v>
      </c>
      <c r="I1017" s="18">
        <v>270.5394939345</v>
      </c>
      <c r="J1017" s="18">
        <v>1356.9605060655001</v>
      </c>
      <c r="K1017" s="22">
        <v>0</v>
      </c>
      <c r="L1017" s="22" t="str">
        <f t="shared" si="15"/>
        <v>45809, 4, 17</v>
      </c>
    </row>
    <row r="1018" spans="1:12">
      <c r="A1018" s="9">
        <v>45809</v>
      </c>
      <c r="B1018">
        <v>4</v>
      </c>
      <c r="C1018" s="16" t="s">
        <v>59</v>
      </c>
      <c r="D1018">
        <v>18</v>
      </c>
      <c r="E1018" s="16" t="s">
        <v>55</v>
      </c>
      <c r="F1018" s="18">
        <v>2921</v>
      </c>
      <c r="G1018" s="22">
        <v>127</v>
      </c>
      <c r="H1018" s="18">
        <v>6.2203462474411699</v>
      </c>
      <c r="I1018" s="18">
        <v>789.98397342502903</v>
      </c>
      <c r="J1018" s="18">
        <v>2131.0160265749701</v>
      </c>
      <c r="K1018" s="22">
        <v>0</v>
      </c>
      <c r="L1018" s="22" t="str">
        <f t="shared" si="15"/>
        <v>45809, 4, 18</v>
      </c>
    </row>
    <row r="1019" spans="1:12">
      <c r="A1019" s="9">
        <v>45839</v>
      </c>
      <c r="B1019">
        <v>4</v>
      </c>
      <c r="C1019" s="16" t="s">
        <v>59</v>
      </c>
      <c r="D1019">
        <v>1</v>
      </c>
      <c r="E1019" s="16" t="s">
        <v>38</v>
      </c>
      <c r="F1019" s="18">
        <v>3066</v>
      </c>
      <c r="G1019" s="22">
        <v>146</v>
      </c>
      <c r="H1019" s="18">
        <v>3.7264756999999999</v>
      </c>
      <c r="I1019" s="18">
        <v>544.06545219999998</v>
      </c>
      <c r="J1019" s="18">
        <v>2521.9345478</v>
      </c>
      <c r="K1019" s="22">
        <v>0</v>
      </c>
      <c r="L1019" s="22" t="str">
        <f t="shared" si="15"/>
        <v>45839, 4, 1</v>
      </c>
    </row>
    <row r="1020" spans="1:12">
      <c r="A1020" s="9">
        <v>45839</v>
      </c>
      <c r="B1020">
        <v>4</v>
      </c>
      <c r="C1020" s="16" t="s">
        <v>59</v>
      </c>
      <c r="D1020">
        <v>2</v>
      </c>
      <c r="E1020" s="16" t="s">
        <v>40</v>
      </c>
      <c r="F1020" s="18">
        <v>4439</v>
      </c>
      <c r="G1020" s="22">
        <v>193</v>
      </c>
      <c r="H1020" s="18">
        <v>5.7674131126666603</v>
      </c>
      <c r="I1020" s="18">
        <v>1113.11073074466</v>
      </c>
      <c r="J1020" s="18">
        <v>3325.88926925533</v>
      </c>
      <c r="K1020" s="22">
        <v>0</v>
      </c>
      <c r="L1020" s="22" t="str">
        <f t="shared" si="15"/>
        <v>45839, 4, 2</v>
      </c>
    </row>
    <row r="1021" spans="1:12">
      <c r="A1021" s="9">
        <v>45839</v>
      </c>
      <c r="B1021">
        <v>4</v>
      </c>
      <c r="C1021" s="16" t="s">
        <v>59</v>
      </c>
      <c r="D1021">
        <v>3</v>
      </c>
      <c r="E1021" s="16" t="s">
        <v>41</v>
      </c>
      <c r="F1021" s="18">
        <v>2180.5</v>
      </c>
      <c r="G1021" s="22">
        <v>89</v>
      </c>
      <c r="H1021" s="18">
        <v>3.1849136877142801</v>
      </c>
      <c r="I1021" s="18">
        <v>283.45731820657102</v>
      </c>
      <c r="J1021" s="18">
        <v>1897.0426817934199</v>
      </c>
      <c r="K1021" s="22">
        <v>0</v>
      </c>
      <c r="L1021" s="22" t="str">
        <f t="shared" si="15"/>
        <v>45839, 4, 3</v>
      </c>
    </row>
    <row r="1022" spans="1:12">
      <c r="A1022" s="9">
        <v>45839</v>
      </c>
      <c r="B1022">
        <v>4</v>
      </c>
      <c r="C1022" s="16" t="s">
        <v>59</v>
      </c>
      <c r="D1022">
        <v>5</v>
      </c>
      <c r="E1022" s="16" t="s">
        <v>43</v>
      </c>
      <c r="F1022" s="18">
        <v>1560</v>
      </c>
      <c r="G1022" s="22">
        <v>78</v>
      </c>
      <c r="H1022" s="18">
        <v>5.4052777777777701</v>
      </c>
      <c r="I1022" s="18">
        <v>421.611666666666</v>
      </c>
      <c r="J1022" s="18">
        <v>1138.3883333333299</v>
      </c>
      <c r="K1022" s="22">
        <v>0</v>
      </c>
      <c r="L1022" s="22" t="str">
        <f t="shared" si="15"/>
        <v>45839, 4, 5</v>
      </c>
    </row>
    <row r="1023" spans="1:12">
      <c r="A1023" s="9">
        <v>45839</v>
      </c>
      <c r="B1023">
        <v>4</v>
      </c>
      <c r="C1023" s="16" t="s">
        <v>59</v>
      </c>
      <c r="D1023">
        <v>6</v>
      </c>
      <c r="E1023" s="16" t="s">
        <v>44</v>
      </c>
      <c r="F1023" s="18">
        <v>1474</v>
      </c>
      <c r="G1023" s="22">
        <v>67</v>
      </c>
      <c r="H1023" s="18">
        <v>4.5690972933823497</v>
      </c>
      <c r="I1023" s="18">
        <v>306.12951865661699</v>
      </c>
      <c r="J1023" s="18">
        <v>1167.8704813433801</v>
      </c>
      <c r="K1023" s="22">
        <v>0</v>
      </c>
      <c r="L1023" s="22" t="str">
        <f t="shared" si="15"/>
        <v>45839, 4, 6</v>
      </c>
    </row>
    <row r="1024" spans="1:12">
      <c r="A1024" s="9">
        <v>45839</v>
      </c>
      <c r="B1024">
        <v>4</v>
      </c>
      <c r="C1024" s="16" t="s">
        <v>59</v>
      </c>
      <c r="D1024">
        <v>8</v>
      </c>
      <c r="E1024" s="16" t="s">
        <v>46</v>
      </c>
      <c r="F1024" s="18">
        <v>1230.5</v>
      </c>
      <c r="G1024" s="22">
        <v>107</v>
      </c>
      <c r="H1024" s="18">
        <v>0.64181783533333303</v>
      </c>
      <c r="I1024" s="18">
        <v>68.674508380666595</v>
      </c>
      <c r="J1024" s="18">
        <v>1161.82549161933</v>
      </c>
      <c r="K1024" s="22">
        <v>0</v>
      </c>
      <c r="L1024" s="22" t="str">
        <f t="shared" si="15"/>
        <v>45839, 4, 8</v>
      </c>
    </row>
    <row r="1025" spans="1:12">
      <c r="A1025" s="9">
        <v>45839</v>
      </c>
      <c r="B1025">
        <v>4</v>
      </c>
      <c r="C1025" s="16" t="s">
        <v>59</v>
      </c>
      <c r="D1025">
        <v>9</v>
      </c>
      <c r="E1025" s="16" t="s">
        <v>47</v>
      </c>
      <c r="F1025" s="18">
        <v>2090</v>
      </c>
      <c r="G1025" s="22">
        <v>44</v>
      </c>
      <c r="H1025" s="18">
        <v>16.388431769942802</v>
      </c>
      <c r="I1025" s="18">
        <v>721.09099787748403</v>
      </c>
      <c r="J1025" s="18">
        <v>1368.9090021225099</v>
      </c>
      <c r="K1025" s="22">
        <v>0</v>
      </c>
      <c r="L1025" s="22" t="str">
        <f t="shared" si="15"/>
        <v>45839, 4, 9</v>
      </c>
    </row>
    <row r="1026" spans="1:12">
      <c r="A1026" s="9">
        <v>45839</v>
      </c>
      <c r="B1026">
        <v>4</v>
      </c>
      <c r="C1026" s="16" t="s">
        <v>59</v>
      </c>
      <c r="D1026">
        <v>10</v>
      </c>
      <c r="E1026" s="16" t="s">
        <v>57</v>
      </c>
      <c r="F1026" s="18">
        <v>1417.5</v>
      </c>
      <c r="G1026" s="22">
        <v>105</v>
      </c>
      <c r="H1026" s="18">
        <v>1.8701174636380899</v>
      </c>
      <c r="I1026" s="18">
        <v>196.36233368200001</v>
      </c>
      <c r="J1026" s="18">
        <v>1221.1376663179899</v>
      </c>
      <c r="K1026" s="22">
        <v>0</v>
      </c>
      <c r="L1026" s="22" t="str">
        <f t="shared" si="15"/>
        <v>45839, 4, 10</v>
      </c>
    </row>
    <row r="1027" spans="1:12">
      <c r="A1027" s="9">
        <v>45839</v>
      </c>
      <c r="B1027">
        <v>4</v>
      </c>
      <c r="C1027" s="16" t="s">
        <v>59</v>
      </c>
      <c r="D1027">
        <v>11</v>
      </c>
      <c r="E1027" s="16" t="s">
        <v>48</v>
      </c>
      <c r="F1027" s="18">
        <v>2860</v>
      </c>
      <c r="G1027" s="22">
        <v>143</v>
      </c>
      <c r="H1027" s="18">
        <v>1.79962722115384</v>
      </c>
      <c r="I1027" s="18">
        <v>257.34669262499898</v>
      </c>
      <c r="J1027" s="18">
        <v>2602.6533073750002</v>
      </c>
      <c r="K1027" s="22">
        <v>0</v>
      </c>
      <c r="L1027" s="22" t="str">
        <f t="shared" ref="L1027:L1090" si="16">(A1027&amp; ", "&amp; B1027&amp; ", "&amp; D1027)</f>
        <v>45839, 4, 11</v>
      </c>
    </row>
    <row r="1028" spans="1:12">
      <c r="A1028" s="9">
        <v>45839</v>
      </c>
      <c r="B1028">
        <v>4</v>
      </c>
      <c r="C1028" s="16" t="s">
        <v>59</v>
      </c>
      <c r="D1028">
        <v>12</v>
      </c>
      <c r="E1028" s="16" t="s">
        <v>49</v>
      </c>
      <c r="F1028" s="18">
        <v>1533</v>
      </c>
      <c r="G1028" s="22">
        <v>73</v>
      </c>
      <c r="H1028" s="18">
        <v>2.4512124311956498</v>
      </c>
      <c r="I1028" s="18">
        <v>178.938507477282</v>
      </c>
      <c r="J1028" s="18">
        <v>1354.0614925227101</v>
      </c>
      <c r="K1028" s="22">
        <v>0</v>
      </c>
      <c r="L1028" s="22" t="str">
        <f t="shared" si="16"/>
        <v>45839, 4, 12</v>
      </c>
    </row>
    <row r="1029" spans="1:12">
      <c r="A1029" s="9">
        <v>45839</v>
      </c>
      <c r="B1029">
        <v>4</v>
      </c>
      <c r="C1029" s="16" t="s">
        <v>59</v>
      </c>
      <c r="D1029">
        <v>13</v>
      </c>
      <c r="E1029" s="16" t="s">
        <v>50</v>
      </c>
      <c r="F1029" s="18">
        <v>2222</v>
      </c>
      <c r="G1029" s="22">
        <v>101</v>
      </c>
      <c r="H1029" s="18">
        <v>5.87736825</v>
      </c>
      <c r="I1029" s="18">
        <v>593.61419324999997</v>
      </c>
      <c r="J1029" s="18">
        <v>1628.38580675</v>
      </c>
      <c r="K1029" s="22">
        <v>0</v>
      </c>
      <c r="L1029" s="22" t="str">
        <f t="shared" si="16"/>
        <v>45839, 4, 13</v>
      </c>
    </row>
    <row r="1030" spans="1:12">
      <c r="A1030" s="9">
        <v>45839</v>
      </c>
      <c r="B1030">
        <v>4</v>
      </c>
      <c r="C1030" s="16" t="s">
        <v>59</v>
      </c>
      <c r="D1030">
        <v>14</v>
      </c>
      <c r="E1030" s="16" t="s">
        <v>51</v>
      </c>
      <c r="F1030" s="18">
        <v>1647</v>
      </c>
      <c r="G1030" s="22">
        <v>61</v>
      </c>
      <c r="H1030" s="18">
        <v>4.1831682948913</v>
      </c>
      <c r="I1030" s="18">
        <v>255.173265988369</v>
      </c>
      <c r="J1030" s="18">
        <v>1391.8267340116299</v>
      </c>
      <c r="K1030" s="22">
        <v>0</v>
      </c>
      <c r="L1030" s="22" t="str">
        <f t="shared" si="16"/>
        <v>45839, 4, 14</v>
      </c>
    </row>
    <row r="1031" spans="1:12">
      <c r="A1031" s="9">
        <v>45839</v>
      </c>
      <c r="B1031">
        <v>4</v>
      </c>
      <c r="C1031" s="16" t="s">
        <v>59</v>
      </c>
      <c r="D1031">
        <v>15</v>
      </c>
      <c r="E1031" s="16" t="s">
        <v>52</v>
      </c>
      <c r="F1031" s="18">
        <v>2749.5</v>
      </c>
      <c r="G1031" s="22">
        <v>117</v>
      </c>
      <c r="H1031" s="18">
        <v>2.6809025956818102</v>
      </c>
      <c r="I1031" s="18">
        <v>313.66560369477202</v>
      </c>
      <c r="J1031" s="18">
        <v>2435.8343963052198</v>
      </c>
      <c r="K1031" s="22">
        <v>0</v>
      </c>
      <c r="L1031" s="22" t="str">
        <f t="shared" si="16"/>
        <v>45839, 4, 15</v>
      </c>
    </row>
    <row r="1032" spans="1:12">
      <c r="A1032" s="9">
        <v>45839</v>
      </c>
      <c r="B1032">
        <v>4</v>
      </c>
      <c r="C1032" s="16" t="s">
        <v>59</v>
      </c>
      <c r="D1032">
        <v>16</v>
      </c>
      <c r="E1032" s="16" t="s">
        <v>53</v>
      </c>
      <c r="F1032" s="18">
        <v>1190</v>
      </c>
      <c r="G1032" s="22">
        <v>140</v>
      </c>
      <c r="H1032" s="18">
        <v>1.27292726314102</v>
      </c>
      <c r="I1032" s="18">
        <v>178.20981683974301</v>
      </c>
      <c r="J1032" s="18">
        <v>1011.79018316025</v>
      </c>
      <c r="K1032" s="22">
        <v>0</v>
      </c>
      <c r="L1032" s="22" t="str">
        <f t="shared" si="16"/>
        <v>45839, 4, 16</v>
      </c>
    </row>
    <row r="1033" spans="1:12">
      <c r="A1033" s="9">
        <v>45839</v>
      </c>
      <c r="B1033">
        <v>4</v>
      </c>
      <c r="C1033" s="16" t="s">
        <v>59</v>
      </c>
      <c r="D1033">
        <v>17</v>
      </c>
      <c r="E1033" s="16" t="s">
        <v>54</v>
      </c>
      <c r="F1033" s="18">
        <v>1522.5</v>
      </c>
      <c r="G1033" s="22">
        <v>203</v>
      </c>
      <c r="H1033" s="18">
        <v>1.24698303227272</v>
      </c>
      <c r="I1033" s="18">
        <v>253.13755555136299</v>
      </c>
      <c r="J1033" s="18">
        <v>1269.36244444863</v>
      </c>
      <c r="K1033" s="22">
        <v>0</v>
      </c>
      <c r="L1033" s="22" t="str">
        <f t="shared" si="16"/>
        <v>45839, 4, 17</v>
      </c>
    </row>
    <row r="1034" spans="1:12">
      <c r="A1034" s="9">
        <v>45839</v>
      </c>
      <c r="B1034">
        <v>4</v>
      </c>
      <c r="C1034" s="16" t="s">
        <v>59</v>
      </c>
      <c r="D1034">
        <v>18</v>
      </c>
      <c r="E1034" s="16" t="s">
        <v>55</v>
      </c>
      <c r="F1034" s="18">
        <v>2599</v>
      </c>
      <c r="G1034" s="22">
        <v>113</v>
      </c>
      <c r="H1034" s="18">
        <v>6.1810952222777704</v>
      </c>
      <c r="I1034" s="18">
        <v>698.46376011738801</v>
      </c>
      <c r="J1034" s="18">
        <v>1900.5362398826101</v>
      </c>
      <c r="K1034" s="22">
        <v>0</v>
      </c>
      <c r="L1034" s="22" t="str">
        <f t="shared" si="16"/>
        <v>45839, 4, 18</v>
      </c>
    </row>
    <row r="1035" spans="1:12">
      <c r="A1035" s="9">
        <v>45870</v>
      </c>
      <c r="B1035">
        <v>4</v>
      </c>
      <c r="C1035" s="16" t="s">
        <v>59</v>
      </c>
      <c r="D1035">
        <v>1</v>
      </c>
      <c r="E1035" s="16" t="s">
        <v>38</v>
      </c>
      <c r="F1035" s="18">
        <v>4851</v>
      </c>
      <c r="G1035" s="22">
        <v>231</v>
      </c>
      <c r="H1035" s="18">
        <v>3.7284096842105199</v>
      </c>
      <c r="I1035" s="18">
        <v>861.26263705263102</v>
      </c>
      <c r="J1035" s="18">
        <v>3989.73736294736</v>
      </c>
      <c r="K1035" s="22">
        <v>0</v>
      </c>
      <c r="L1035" s="22" t="str">
        <f t="shared" si="16"/>
        <v>45870, 4, 1</v>
      </c>
    </row>
    <row r="1036" spans="1:12">
      <c r="A1036" s="9">
        <v>45870</v>
      </c>
      <c r="B1036">
        <v>4</v>
      </c>
      <c r="C1036" s="16" t="s">
        <v>59</v>
      </c>
      <c r="D1036">
        <v>2</v>
      </c>
      <c r="E1036" s="16" t="s">
        <v>40</v>
      </c>
      <c r="F1036" s="18">
        <v>4807</v>
      </c>
      <c r="G1036" s="22">
        <v>209</v>
      </c>
      <c r="H1036" s="18">
        <v>5.78424748352941</v>
      </c>
      <c r="I1036" s="18">
        <v>1208.9077240576401</v>
      </c>
      <c r="J1036" s="18">
        <v>3598.0922759423502</v>
      </c>
      <c r="K1036" s="22">
        <v>0</v>
      </c>
      <c r="L1036" s="22" t="str">
        <f t="shared" si="16"/>
        <v>45870, 4, 2</v>
      </c>
    </row>
    <row r="1037" spans="1:12">
      <c r="A1037" s="9">
        <v>45870</v>
      </c>
      <c r="B1037">
        <v>4</v>
      </c>
      <c r="C1037" s="16" t="s">
        <v>59</v>
      </c>
      <c r="D1037">
        <v>3</v>
      </c>
      <c r="E1037" s="16" t="s">
        <v>41</v>
      </c>
      <c r="F1037" s="18">
        <v>2229.5</v>
      </c>
      <c r="G1037" s="22">
        <v>91</v>
      </c>
      <c r="H1037" s="18">
        <v>3.1846736796842099</v>
      </c>
      <c r="I1037" s="18">
        <v>289.80530485126297</v>
      </c>
      <c r="J1037" s="18">
        <v>1939.69469514873</v>
      </c>
      <c r="K1037" s="22">
        <v>0</v>
      </c>
      <c r="L1037" s="22" t="str">
        <f t="shared" si="16"/>
        <v>45870, 4, 3</v>
      </c>
    </row>
    <row r="1038" spans="1:12">
      <c r="A1038" s="9">
        <v>45870</v>
      </c>
      <c r="B1038">
        <v>4</v>
      </c>
      <c r="C1038" s="16" t="s">
        <v>59</v>
      </c>
      <c r="D1038">
        <v>5</v>
      </c>
      <c r="E1038" s="16" t="s">
        <v>43</v>
      </c>
      <c r="F1038" s="18">
        <v>2700</v>
      </c>
      <c r="G1038" s="22">
        <v>135</v>
      </c>
      <c r="H1038" s="18">
        <v>5.4472058823529403</v>
      </c>
      <c r="I1038" s="18">
        <v>735.372794117647</v>
      </c>
      <c r="J1038" s="18">
        <v>1964.6272058823499</v>
      </c>
      <c r="K1038" s="22">
        <v>0</v>
      </c>
      <c r="L1038" s="22" t="str">
        <f t="shared" si="16"/>
        <v>45870, 4, 5</v>
      </c>
    </row>
    <row r="1039" spans="1:12">
      <c r="A1039" s="9">
        <v>45870</v>
      </c>
      <c r="B1039">
        <v>4</v>
      </c>
      <c r="C1039" s="16" t="s">
        <v>59</v>
      </c>
      <c r="D1039">
        <v>6</v>
      </c>
      <c r="E1039" s="16" t="s">
        <v>44</v>
      </c>
      <c r="F1039" s="18">
        <v>2794</v>
      </c>
      <c r="G1039" s="22">
        <v>127</v>
      </c>
      <c r="H1039" s="18">
        <v>4.5623433095000001</v>
      </c>
      <c r="I1039" s="18">
        <v>579.41760030650005</v>
      </c>
      <c r="J1039" s="18">
        <v>2214.5823996935001</v>
      </c>
      <c r="K1039" s="22">
        <v>0</v>
      </c>
      <c r="L1039" s="22" t="str">
        <f t="shared" si="16"/>
        <v>45870, 4, 6</v>
      </c>
    </row>
    <row r="1040" spans="1:12">
      <c r="A1040" s="9">
        <v>45870</v>
      </c>
      <c r="B1040">
        <v>4</v>
      </c>
      <c r="C1040" s="16" t="s">
        <v>59</v>
      </c>
      <c r="D1040">
        <v>8</v>
      </c>
      <c r="E1040" s="16" t="s">
        <v>46</v>
      </c>
      <c r="F1040" s="18">
        <v>1437.5</v>
      </c>
      <c r="G1040" s="22">
        <v>125</v>
      </c>
      <c r="H1040" s="18">
        <v>0.63088828088888904</v>
      </c>
      <c r="I1040" s="18">
        <v>78.861035111111093</v>
      </c>
      <c r="J1040" s="18">
        <v>1358.6389648888801</v>
      </c>
      <c r="K1040" s="22">
        <v>0</v>
      </c>
      <c r="L1040" s="22" t="str">
        <f t="shared" si="16"/>
        <v>45870, 4, 8</v>
      </c>
    </row>
    <row r="1041" spans="1:12">
      <c r="A1041" s="9">
        <v>45870</v>
      </c>
      <c r="B1041">
        <v>4</v>
      </c>
      <c r="C1041" s="16" t="s">
        <v>59</v>
      </c>
      <c r="D1041">
        <v>9</v>
      </c>
      <c r="E1041" s="16" t="s">
        <v>47</v>
      </c>
      <c r="F1041" s="18">
        <v>2517.5</v>
      </c>
      <c r="G1041" s="22">
        <v>53</v>
      </c>
      <c r="H1041" s="18">
        <v>16.430653064150299</v>
      </c>
      <c r="I1041" s="18">
        <v>870.82461239996803</v>
      </c>
      <c r="J1041" s="18">
        <v>1646.67538760003</v>
      </c>
      <c r="K1041" s="22">
        <v>0</v>
      </c>
      <c r="L1041" s="22" t="str">
        <f t="shared" si="16"/>
        <v>45870, 4, 9</v>
      </c>
    </row>
    <row r="1042" spans="1:12">
      <c r="A1042" s="9">
        <v>45870</v>
      </c>
      <c r="B1042">
        <v>4</v>
      </c>
      <c r="C1042" s="16" t="s">
        <v>59</v>
      </c>
      <c r="D1042">
        <v>10</v>
      </c>
      <c r="E1042" s="16" t="s">
        <v>57</v>
      </c>
      <c r="F1042" s="18">
        <v>1606.5</v>
      </c>
      <c r="G1042" s="22">
        <v>119</v>
      </c>
      <c r="H1042" s="18">
        <v>1.88532368043</v>
      </c>
      <c r="I1042" s="18">
        <v>224.35351797116999</v>
      </c>
      <c r="J1042" s="18">
        <v>1382.14648202883</v>
      </c>
      <c r="K1042" s="22">
        <v>0</v>
      </c>
      <c r="L1042" s="22" t="str">
        <f t="shared" si="16"/>
        <v>45870, 4, 10</v>
      </c>
    </row>
    <row r="1043" spans="1:12">
      <c r="A1043" s="9">
        <v>45870</v>
      </c>
      <c r="B1043">
        <v>4</v>
      </c>
      <c r="C1043" s="16" t="s">
        <v>59</v>
      </c>
      <c r="D1043">
        <v>11</v>
      </c>
      <c r="E1043" s="16" t="s">
        <v>48</v>
      </c>
      <c r="F1043" s="18">
        <v>3640</v>
      </c>
      <c r="G1043" s="22">
        <v>182</v>
      </c>
      <c r="H1043" s="18">
        <v>1.79890945833333</v>
      </c>
      <c r="I1043" s="18">
        <v>327.40152141666601</v>
      </c>
      <c r="J1043" s="18">
        <v>3312.5984785833298</v>
      </c>
      <c r="K1043" s="22">
        <v>0</v>
      </c>
      <c r="L1043" s="22" t="str">
        <f t="shared" si="16"/>
        <v>45870, 4, 11</v>
      </c>
    </row>
    <row r="1044" spans="1:12">
      <c r="A1044" s="9">
        <v>45870</v>
      </c>
      <c r="B1044">
        <v>4</v>
      </c>
      <c r="C1044" s="16" t="s">
        <v>59</v>
      </c>
      <c r="D1044">
        <v>12</v>
      </c>
      <c r="E1044" s="16" t="s">
        <v>49</v>
      </c>
      <c r="F1044" s="18">
        <v>1932</v>
      </c>
      <c r="G1044" s="22">
        <v>92</v>
      </c>
      <c r="H1044" s="18">
        <v>2.4359973784523801</v>
      </c>
      <c r="I1044" s="18">
        <v>224.11175881761901</v>
      </c>
      <c r="J1044" s="18">
        <v>1707.8882411823799</v>
      </c>
      <c r="K1044" s="22">
        <v>0</v>
      </c>
      <c r="L1044" s="22" t="str">
        <f t="shared" si="16"/>
        <v>45870, 4, 12</v>
      </c>
    </row>
    <row r="1045" spans="1:12">
      <c r="A1045" s="9">
        <v>45870</v>
      </c>
      <c r="B1045">
        <v>4</v>
      </c>
      <c r="C1045" s="16" t="s">
        <v>59</v>
      </c>
      <c r="D1045">
        <v>13</v>
      </c>
      <c r="E1045" s="16" t="s">
        <v>50</v>
      </c>
      <c r="F1045" s="18">
        <v>2618</v>
      </c>
      <c r="G1045" s="22">
        <v>119</v>
      </c>
      <c r="H1045" s="18">
        <v>5.8865676315789397</v>
      </c>
      <c r="I1045" s="18">
        <v>700.50154815789404</v>
      </c>
      <c r="J1045" s="18">
        <v>1917.4984518420999</v>
      </c>
      <c r="K1045" s="22">
        <v>0</v>
      </c>
      <c r="L1045" s="22" t="str">
        <f t="shared" si="16"/>
        <v>45870, 4, 13</v>
      </c>
    </row>
    <row r="1046" spans="1:12">
      <c r="A1046" s="9">
        <v>45870</v>
      </c>
      <c r="B1046">
        <v>4</v>
      </c>
      <c r="C1046" s="16" t="s">
        <v>59</v>
      </c>
      <c r="D1046">
        <v>14</v>
      </c>
      <c r="E1046" s="16" t="s">
        <v>51</v>
      </c>
      <c r="F1046" s="18">
        <v>2025</v>
      </c>
      <c r="G1046" s="22">
        <v>75</v>
      </c>
      <c r="H1046" s="18">
        <v>4.1698891879206297</v>
      </c>
      <c r="I1046" s="18">
        <v>312.74168909404699</v>
      </c>
      <c r="J1046" s="18">
        <v>1712.2583109059501</v>
      </c>
      <c r="K1046" s="22">
        <v>0</v>
      </c>
      <c r="L1046" s="22" t="str">
        <f t="shared" si="16"/>
        <v>45870, 4, 14</v>
      </c>
    </row>
    <row r="1047" spans="1:12">
      <c r="A1047" s="9">
        <v>45870</v>
      </c>
      <c r="B1047">
        <v>4</v>
      </c>
      <c r="C1047" s="16" t="s">
        <v>59</v>
      </c>
      <c r="D1047">
        <v>15</v>
      </c>
      <c r="E1047" s="16" t="s">
        <v>52</v>
      </c>
      <c r="F1047" s="18">
        <v>3172.5</v>
      </c>
      <c r="G1047" s="22">
        <v>135</v>
      </c>
      <c r="H1047" s="18">
        <v>2.6838655890499998</v>
      </c>
      <c r="I1047" s="18">
        <v>362.32185452175003</v>
      </c>
      <c r="J1047" s="18">
        <v>2810.1781454782499</v>
      </c>
      <c r="K1047" s="22">
        <v>0</v>
      </c>
      <c r="L1047" s="22" t="str">
        <f t="shared" si="16"/>
        <v>45870, 4, 15</v>
      </c>
    </row>
    <row r="1048" spans="1:12">
      <c r="A1048" s="9">
        <v>45870</v>
      </c>
      <c r="B1048">
        <v>4</v>
      </c>
      <c r="C1048" s="16" t="s">
        <v>59</v>
      </c>
      <c r="D1048">
        <v>16</v>
      </c>
      <c r="E1048" s="16" t="s">
        <v>53</v>
      </c>
      <c r="F1048" s="18">
        <v>1504.5</v>
      </c>
      <c r="G1048" s="22">
        <v>177</v>
      </c>
      <c r="H1048" s="18">
        <v>1.27506814237179</v>
      </c>
      <c r="I1048" s="18">
        <v>225.687061199807</v>
      </c>
      <c r="J1048" s="18">
        <v>1278.8129388001901</v>
      </c>
      <c r="K1048" s="22">
        <v>0</v>
      </c>
      <c r="L1048" s="22" t="str">
        <f t="shared" si="16"/>
        <v>45870, 4, 16</v>
      </c>
    </row>
    <row r="1049" spans="1:12">
      <c r="A1049" s="9">
        <v>45870</v>
      </c>
      <c r="B1049">
        <v>4</v>
      </c>
      <c r="C1049" s="16" t="s">
        <v>59</v>
      </c>
      <c r="D1049">
        <v>17</v>
      </c>
      <c r="E1049" s="16" t="s">
        <v>54</v>
      </c>
      <c r="F1049" s="18">
        <v>1822.5</v>
      </c>
      <c r="G1049" s="22">
        <v>243</v>
      </c>
      <c r="H1049" s="18">
        <v>1.2437302236363601</v>
      </c>
      <c r="I1049" s="18">
        <v>302.22644434363599</v>
      </c>
      <c r="J1049" s="18">
        <v>1520.27355565636</v>
      </c>
      <c r="K1049" s="22">
        <v>0</v>
      </c>
      <c r="L1049" s="22" t="str">
        <f t="shared" si="16"/>
        <v>45870, 4, 17</v>
      </c>
    </row>
    <row r="1050" spans="1:12">
      <c r="A1050" s="9">
        <v>45870</v>
      </c>
      <c r="B1050">
        <v>4</v>
      </c>
      <c r="C1050" s="16" t="s">
        <v>59</v>
      </c>
      <c r="D1050">
        <v>18</v>
      </c>
      <c r="E1050" s="16" t="s">
        <v>55</v>
      </c>
      <c r="F1050" s="18">
        <v>2346</v>
      </c>
      <c r="G1050" s="22">
        <v>102</v>
      </c>
      <c r="H1050" s="18">
        <v>6.1994570234411697</v>
      </c>
      <c r="I1050" s="18">
        <v>632.34461639100005</v>
      </c>
      <c r="J1050" s="18">
        <v>1713.65538360899</v>
      </c>
      <c r="K1050" s="22">
        <v>0</v>
      </c>
      <c r="L1050" s="22" t="str">
        <f t="shared" si="16"/>
        <v>45870, 4, 18</v>
      </c>
    </row>
    <row r="1051" spans="1:12">
      <c r="A1051" s="9">
        <v>45901</v>
      </c>
      <c r="B1051">
        <v>4</v>
      </c>
      <c r="C1051" s="16" t="s">
        <v>59</v>
      </c>
      <c r="D1051">
        <v>1</v>
      </c>
      <c r="E1051" s="16" t="s">
        <v>38</v>
      </c>
      <c r="F1051" s="18">
        <v>3843</v>
      </c>
      <c r="G1051" s="22">
        <v>183</v>
      </c>
      <c r="H1051" s="18">
        <v>3.7561490124999999</v>
      </c>
      <c r="I1051" s="18">
        <v>687.37526928750003</v>
      </c>
      <c r="J1051" s="18">
        <v>3155.6247307125</v>
      </c>
      <c r="K1051" s="22">
        <v>0</v>
      </c>
      <c r="L1051" s="22" t="str">
        <f t="shared" si="16"/>
        <v>45901, 4, 1</v>
      </c>
    </row>
    <row r="1052" spans="1:12">
      <c r="A1052" s="9">
        <v>45901</v>
      </c>
      <c r="B1052">
        <v>4</v>
      </c>
      <c r="C1052" s="16" t="s">
        <v>59</v>
      </c>
      <c r="D1052">
        <v>2</v>
      </c>
      <c r="E1052" s="16" t="s">
        <v>40</v>
      </c>
      <c r="F1052" s="18">
        <v>3910</v>
      </c>
      <c r="G1052" s="22">
        <v>170</v>
      </c>
      <c r="H1052" s="18">
        <v>5.7996839232222204</v>
      </c>
      <c r="I1052" s="18">
        <v>985.94626694777696</v>
      </c>
      <c r="J1052" s="18">
        <v>2924.0537330522202</v>
      </c>
      <c r="K1052" s="22">
        <v>0</v>
      </c>
      <c r="L1052" s="22" t="str">
        <f t="shared" si="16"/>
        <v>45901, 4, 2</v>
      </c>
    </row>
    <row r="1053" spans="1:12">
      <c r="A1053" s="9">
        <v>45901</v>
      </c>
      <c r="B1053">
        <v>4</v>
      </c>
      <c r="C1053" s="16" t="s">
        <v>59</v>
      </c>
      <c r="D1053">
        <v>3</v>
      </c>
      <c r="E1053" s="16" t="s">
        <v>41</v>
      </c>
      <c r="F1053" s="18">
        <v>2499</v>
      </c>
      <c r="G1053" s="22">
        <v>102</v>
      </c>
      <c r="H1053" s="18">
        <v>3.1997462728000001</v>
      </c>
      <c r="I1053" s="18">
        <v>326.37411982560002</v>
      </c>
      <c r="J1053" s="18">
        <v>2172.6258801744002</v>
      </c>
      <c r="K1053" s="22">
        <v>0</v>
      </c>
      <c r="L1053" s="22" t="str">
        <f t="shared" si="16"/>
        <v>45901, 4, 3</v>
      </c>
    </row>
    <row r="1054" spans="1:12">
      <c r="A1054" s="9">
        <v>45901</v>
      </c>
      <c r="B1054">
        <v>4</v>
      </c>
      <c r="C1054" s="16" t="s">
        <v>59</v>
      </c>
      <c r="D1054">
        <v>5</v>
      </c>
      <c r="E1054" s="16" t="s">
        <v>43</v>
      </c>
      <c r="F1054" s="18">
        <v>1820</v>
      </c>
      <c r="G1054" s="22">
        <v>91</v>
      </c>
      <c r="H1054" s="18">
        <v>5.6287867647058798</v>
      </c>
      <c r="I1054" s="18">
        <v>512.21959558823505</v>
      </c>
      <c r="J1054" s="18">
        <v>1307.7804044117599</v>
      </c>
      <c r="K1054" s="22">
        <v>0</v>
      </c>
      <c r="L1054" s="22" t="str">
        <f t="shared" si="16"/>
        <v>45901, 4, 5</v>
      </c>
    </row>
    <row r="1055" spans="1:12">
      <c r="A1055" s="9">
        <v>45901</v>
      </c>
      <c r="B1055">
        <v>4</v>
      </c>
      <c r="C1055" s="16" t="s">
        <v>59</v>
      </c>
      <c r="D1055">
        <v>6</v>
      </c>
      <c r="E1055" s="16" t="s">
        <v>44</v>
      </c>
      <c r="F1055" s="18">
        <v>2266</v>
      </c>
      <c r="G1055" s="22">
        <v>103</v>
      </c>
      <c r="H1055" s="18">
        <v>4.5901787437187496</v>
      </c>
      <c r="I1055" s="18">
        <v>472.78841060303102</v>
      </c>
      <c r="J1055" s="18">
        <v>1793.2115893969601</v>
      </c>
      <c r="K1055" s="22">
        <v>0</v>
      </c>
      <c r="L1055" s="22" t="str">
        <f t="shared" si="16"/>
        <v>45901, 4, 6</v>
      </c>
    </row>
    <row r="1056" spans="1:12">
      <c r="A1056" s="9">
        <v>45901</v>
      </c>
      <c r="B1056">
        <v>4</v>
      </c>
      <c r="C1056" s="16" t="s">
        <v>59</v>
      </c>
      <c r="D1056">
        <v>8</v>
      </c>
      <c r="E1056" s="16" t="s">
        <v>46</v>
      </c>
      <c r="F1056" s="18">
        <v>1081</v>
      </c>
      <c r="G1056" s="22">
        <v>94</v>
      </c>
      <c r="H1056" s="18">
        <v>0.63984176499999901</v>
      </c>
      <c r="I1056" s="18">
        <v>60.145125909999898</v>
      </c>
      <c r="J1056" s="18">
        <v>1020.85487409</v>
      </c>
      <c r="K1056" s="22">
        <v>0</v>
      </c>
      <c r="L1056" s="22" t="str">
        <f t="shared" si="16"/>
        <v>45901, 4, 8</v>
      </c>
    </row>
    <row r="1057" spans="1:12">
      <c r="A1057" s="9">
        <v>45901</v>
      </c>
      <c r="B1057">
        <v>4</v>
      </c>
      <c r="C1057" s="16" t="s">
        <v>59</v>
      </c>
      <c r="D1057">
        <v>9</v>
      </c>
      <c r="E1057" s="16" t="s">
        <v>47</v>
      </c>
      <c r="F1057" s="18">
        <v>2660</v>
      </c>
      <c r="G1057" s="22">
        <v>56</v>
      </c>
      <c r="H1057" s="18">
        <v>16.553393928127601</v>
      </c>
      <c r="I1057" s="18">
        <v>926.99005997514598</v>
      </c>
      <c r="J1057" s="18">
        <v>1733.00994002485</v>
      </c>
      <c r="K1057" s="22">
        <v>0</v>
      </c>
      <c r="L1057" s="22" t="str">
        <f t="shared" si="16"/>
        <v>45901, 4, 9</v>
      </c>
    </row>
    <row r="1058" spans="1:12">
      <c r="A1058" s="9">
        <v>45901</v>
      </c>
      <c r="B1058">
        <v>4</v>
      </c>
      <c r="C1058" s="16" t="s">
        <v>59</v>
      </c>
      <c r="D1058">
        <v>10</v>
      </c>
      <c r="E1058" s="16" t="s">
        <v>57</v>
      </c>
      <c r="F1058" s="18">
        <v>1701</v>
      </c>
      <c r="G1058" s="22">
        <v>126</v>
      </c>
      <c r="H1058" s="18">
        <v>1.9846905112380899</v>
      </c>
      <c r="I1058" s="18">
        <v>250.07100441599999</v>
      </c>
      <c r="J1058" s="18">
        <v>1450.9289955839899</v>
      </c>
      <c r="K1058" s="22">
        <v>0</v>
      </c>
      <c r="L1058" s="22" t="str">
        <f t="shared" si="16"/>
        <v>45901, 4, 10</v>
      </c>
    </row>
    <row r="1059" spans="1:12">
      <c r="A1059" s="9">
        <v>45901</v>
      </c>
      <c r="B1059">
        <v>4</v>
      </c>
      <c r="C1059" s="16" t="s">
        <v>59</v>
      </c>
      <c r="D1059">
        <v>11</v>
      </c>
      <c r="E1059" s="16" t="s">
        <v>48</v>
      </c>
      <c r="F1059" s="18">
        <v>2440</v>
      </c>
      <c r="G1059" s="22">
        <v>122</v>
      </c>
      <c r="H1059" s="18">
        <v>1.79618266666666</v>
      </c>
      <c r="I1059" s="18">
        <v>219.134285333333</v>
      </c>
      <c r="J1059" s="18">
        <v>2220.8657146666601</v>
      </c>
      <c r="K1059" s="22">
        <v>0</v>
      </c>
      <c r="L1059" s="22" t="str">
        <f t="shared" si="16"/>
        <v>45901, 4, 11</v>
      </c>
    </row>
    <row r="1060" spans="1:12">
      <c r="A1060" s="9">
        <v>45901</v>
      </c>
      <c r="B1060">
        <v>4</v>
      </c>
      <c r="C1060" s="16" t="s">
        <v>59</v>
      </c>
      <c r="D1060">
        <v>12</v>
      </c>
      <c r="E1060" s="16" t="s">
        <v>49</v>
      </c>
      <c r="F1060" s="18">
        <v>1470</v>
      </c>
      <c r="G1060" s="22">
        <v>70</v>
      </c>
      <c r="H1060" s="18">
        <v>2.4804347620454501</v>
      </c>
      <c r="I1060" s="18">
        <v>173.63043334318101</v>
      </c>
      <c r="J1060" s="18">
        <v>1296.3695666568101</v>
      </c>
      <c r="K1060" s="22">
        <v>0</v>
      </c>
      <c r="L1060" s="22" t="str">
        <f t="shared" si="16"/>
        <v>45901, 4, 12</v>
      </c>
    </row>
    <row r="1061" spans="1:12">
      <c r="A1061" s="9">
        <v>45901</v>
      </c>
      <c r="B1061">
        <v>4</v>
      </c>
      <c r="C1061" s="16" t="s">
        <v>59</v>
      </c>
      <c r="D1061">
        <v>13</v>
      </c>
      <c r="E1061" s="16" t="s">
        <v>50</v>
      </c>
      <c r="F1061" s="18">
        <v>2860</v>
      </c>
      <c r="G1061" s="22">
        <v>130</v>
      </c>
      <c r="H1061" s="18">
        <v>5.9025026499999997</v>
      </c>
      <c r="I1061" s="18">
        <v>767.32534450000003</v>
      </c>
      <c r="J1061" s="18">
        <v>2092.6746555</v>
      </c>
      <c r="K1061" s="22">
        <v>0</v>
      </c>
      <c r="L1061" s="22" t="str">
        <f t="shared" si="16"/>
        <v>45901, 4, 13</v>
      </c>
    </row>
    <row r="1062" spans="1:12">
      <c r="A1062" s="9">
        <v>45901</v>
      </c>
      <c r="B1062">
        <v>4</v>
      </c>
      <c r="C1062" s="16" t="s">
        <v>59</v>
      </c>
      <c r="D1062">
        <v>14</v>
      </c>
      <c r="E1062" s="16" t="s">
        <v>51</v>
      </c>
      <c r="F1062" s="18">
        <v>2106</v>
      </c>
      <c r="G1062" s="22">
        <v>78</v>
      </c>
      <c r="H1062" s="18">
        <v>4.2070025215634903</v>
      </c>
      <c r="I1062" s="18">
        <v>328.14619668195201</v>
      </c>
      <c r="J1062" s="18">
        <v>1777.85380331804</v>
      </c>
      <c r="K1062" s="22">
        <v>0</v>
      </c>
      <c r="L1062" s="22" t="str">
        <f t="shared" si="16"/>
        <v>45901, 4, 14</v>
      </c>
    </row>
    <row r="1063" spans="1:12">
      <c r="A1063" s="9">
        <v>45901</v>
      </c>
      <c r="B1063">
        <v>4</v>
      </c>
      <c r="C1063" s="16" t="s">
        <v>59</v>
      </c>
      <c r="D1063">
        <v>15</v>
      </c>
      <c r="E1063" s="16" t="s">
        <v>52</v>
      </c>
      <c r="F1063" s="18">
        <v>3055</v>
      </c>
      <c r="G1063" s="22">
        <v>130</v>
      </c>
      <c r="H1063" s="18">
        <v>2.69900803457142</v>
      </c>
      <c r="I1063" s="18">
        <v>350.871044494285</v>
      </c>
      <c r="J1063" s="18">
        <v>2704.1289555057101</v>
      </c>
      <c r="K1063" s="22">
        <v>0</v>
      </c>
      <c r="L1063" s="22" t="str">
        <f t="shared" si="16"/>
        <v>45901, 4, 15</v>
      </c>
    </row>
    <row r="1064" spans="1:12">
      <c r="A1064" s="9">
        <v>45901</v>
      </c>
      <c r="B1064">
        <v>4</v>
      </c>
      <c r="C1064" s="16" t="s">
        <v>59</v>
      </c>
      <c r="D1064">
        <v>16</v>
      </c>
      <c r="E1064" s="16" t="s">
        <v>53</v>
      </c>
      <c r="F1064" s="18">
        <v>1122</v>
      </c>
      <c r="G1064" s="22">
        <v>132</v>
      </c>
      <c r="H1064" s="18">
        <v>1.27973027333333</v>
      </c>
      <c r="I1064" s="18">
        <v>168.92439607999901</v>
      </c>
      <c r="J1064" s="18">
        <v>953.07560392000005</v>
      </c>
      <c r="K1064" s="22">
        <v>0</v>
      </c>
      <c r="L1064" s="22" t="str">
        <f t="shared" si="16"/>
        <v>45901, 4, 16</v>
      </c>
    </row>
    <row r="1065" spans="1:12">
      <c r="A1065" s="9">
        <v>45901</v>
      </c>
      <c r="B1065">
        <v>4</v>
      </c>
      <c r="C1065" s="16" t="s">
        <v>59</v>
      </c>
      <c r="D1065">
        <v>17</v>
      </c>
      <c r="E1065" s="16" t="s">
        <v>54</v>
      </c>
      <c r="F1065" s="18">
        <v>1507.5</v>
      </c>
      <c r="G1065" s="22">
        <v>201</v>
      </c>
      <c r="H1065" s="18">
        <v>1.2453733477272699</v>
      </c>
      <c r="I1065" s="18">
        <v>250.32004289318101</v>
      </c>
      <c r="J1065" s="18">
        <v>1257.17995710681</v>
      </c>
      <c r="K1065" s="22">
        <v>0</v>
      </c>
      <c r="L1065" s="22" t="str">
        <f t="shared" si="16"/>
        <v>45901, 4, 17</v>
      </c>
    </row>
    <row r="1066" spans="1:12">
      <c r="A1066" s="9">
        <v>45901</v>
      </c>
      <c r="B1066">
        <v>4</v>
      </c>
      <c r="C1066" s="16" t="s">
        <v>59</v>
      </c>
      <c r="D1066">
        <v>18</v>
      </c>
      <c r="E1066" s="16" t="s">
        <v>55</v>
      </c>
      <c r="F1066" s="18">
        <v>2277</v>
      </c>
      <c r="G1066" s="22">
        <v>99</v>
      </c>
      <c r="H1066" s="18">
        <v>6.22325362066666</v>
      </c>
      <c r="I1066" s="18">
        <v>616.10210844599999</v>
      </c>
      <c r="J1066" s="18">
        <v>1660.8978915539899</v>
      </c>
      <c r="K1066" s="22">
        <v>0</v>
      </c>
      <c r="L1066" s="22" t="str">
        <f t="shared" si="16"/>
        <v>45901, 4, 18</v>
      </c>
    </row>
    <row r="1067" spans="1:12">
      <c r="A1067" s="9">
        <v>45931</v>
      </c>
      <c r="B1067">
        <v>4</v>
      </c>
      <c r="C1067" s="16" t="s">
        <v>59</v>
      </c>
      <c r="D1067">
        <v>1</v>
      </c>
      <c r="E1067" s="16" t="s">
        <v>38</v>
      </c>
      <c r="F1067" s="18">
        <v>3801</v>
      </c>
      <c r="G1067" s="22">
        <v>181</v>
      </c>
      <c r="H1067" s="18">
        <v>3.7007205119047599</v>
      </c>
      <c r="I1067" s="18">
        <v>669.83041265476095</v>
      </c>
      <c r="J1067" s="18">
        <v>3131.16958734523</v>
      </c>
      <c r="K1067" s="22">
        <v>0</v>
      </c>
      <c r="L1067" s="22" t="str">
        <f t="shared" si="16"/>
        <v>45931, 4, 1</v>
      </c>
    </row>
    <row r="1068" spans="1:12">
      <c r="A1068" s="9">
        <v>45931</v>
      </c>
      <c r="B1068">
        <v>4</v>
      </c>
      <c r="C1068" s="16" t="s">
        <v>59</v>
      </c>
      <c r="D1068">
        <v>2</v>
      </c>
      <c r="E1068" s="16" t="s">
        <v>40</v>
      </c>
      <c r="F1068" s="18">
        <v>3013</v>
      </c>
      <c r="G1068" s="22">
        <v>131</v>
      </c>
      <c r="H1068" s="18">
        <v>5.83889172644444</v>
      </c>
      <c r="I1068" s="18">
        <v>764.89481616422199</v>
      </c>
      <c r="J1068" s="18">
        <v>2248.1051838357698</v>
      </c>
      <c r="K1068" s="22">
        <v>0</v>
      </c>
      <c r="L1068" s="22" t="str">
        <f t="shared" si="16"/>
        <v>45931, 4, 2</v>
      </c>
    </row>
    <row r="1069" spans="1:12">
      <c r="A1069" s="9">
        <v>45931</v>
      </c>
      <c r="B1069">
        <v>4</v>
      </c>
      <c r="C1069" s="16" t="s">
        <v>59</v>
      </c>
      <c r="D1069">
        <v>3</v>
      </c>
      <c r="E1069" s="16" t="s">
        <v>41</v>
      </c>
      <c r="F1069" s="18">
        <v>2891</v>
      </c>
      <c r="G1069" s="22">
        <v>118</v>
      </c>
      <c r="H1069" s="18">
        <v>3.2059943159130402</v>
      </c>
      <c r="I1069" s="18">
        <v>378.30732927773897</v>
      </c>
      <c r="J1069" s="18">
        <v>2512.6926707222601</v>
      </c>
      <c r="K1069" s="22">
        <v>0</v>
      </c>
      <c r="L1069" s="22" t="str">
        <f t="shared" si="16"/>
        <v>45931, 4, 3</v>
      </c>
    </row>
    <row r="1070" spans="1:12">
      <c r="A1070" s="9">
        <v>45931</v>
      </c>
      <c r="B1070">
        <v>4</v>
      </c>
      <c r="C1070" s="16" t="s">
        <v>59</v>
      </c>
      <c r="D1070">
        <v>5</v>
      </c>
      <c r="E1070" s="16" t="s">
        <v>43</v>
      </c>
      <c r="F1070" s="18">
        <v>1860</v>
      </c>
      <c r="G1070" s="22">
        <v>93</v>
      </c>
      <c r="H1070" s="18">
        <v>5.9177960526315703</v>
      </c>
      <c r="I1070" s="18">
        <v>550.35503289473604</v>
      </c>
      <c r="J1070" s="18">
        <v>1309.6449671052601</v>
      </c>
      <c r="K1070" s="22">
        <v>0</v>
      </c>
      <c r="L1070" s="22" t="str">
        <f t="shared" si="16"/>
        <v>45931, 4, 5</v>
      </c>
    </row>
    <row r="1071" spans="1:12">
      <c r="A1071" s="9">
        <v>45931</v>
      </c>
      <c r="B1071">
        <v>4</v>
      </c>
      <c r="C1071" s="16" t="s">
        <v>59</v>
      </c>
      <c r="D1071">
        <v>6</v>
      </c>
      <c r="E1071" s="16" t="s">
        <v>44</v>
      </c>
      <c r="F1071" s="18">
        <v>2420</v>
      </c>
      <c r="G1071" s="22">
        <v>110</v>
      </c>
      <c r="H1071" s="18">
        <v>4.5748431443125002</v>
      </c>
      <c r="I1071" s="18">
        <v>503.23274587437498</v>
      </c>
      <c r="J1071" s="18">
        <v>1916.76725412562</v>
      </c>
      <c r="K1071" s="22">
        <v>0</v>
      </c>
      <c r="L1071" s="22" t="str">
        <f t="shared" si="16"/>
        <v>45931, 4, 6</v>
      </c>
    </row>
    <row r="1072" spans="1:12">
      <c r="A1072" s="9">
        <v>45931</v>
      </c>
      <c r="B1072">
        <v>4</v>
      </c>
      <c r="C1072" s="16" t="s">
        <v>59</v>
      </c>
      <c r="D1072">
        <v>8</v>
      </c>
      <c r="E1072" s="16" t="s">
        <v>46</v>
      </c>
      <c r="F1072" s="18">
        <v>1380</v>
      </c>
      <c r="G1072" s="22">
        <v>120</v>
      </c>
      <c r="H1072" s="18">
        <v>0.64895533270833305</v>
      </c>
      <c r="I1072" s="18">
        <v>77.874639924999997</v>
      </c>
      <c r="J1072" s="18">
        <v>1302.1253600749901</v>
      </c>
      <c r="K1072" s="22">
        <v>0</v>
      </c>
      <c r="L1072" s="22" t="str">
        <f t="shared" si="16"/>
        <v>45931, 4, 8</v>
      </c>
    </row>
    <row r="1073" spans="1:12">
      <c r="A1073" s="9">
        <v>45931</v>
      </c>
      <c r="B1073">
        <v>4</v>
      </c>
      <c r="C1073" s="16" t="s">
        <v>59</v>
      </c>
      <c r="D1073">
        <v>9</v>
      </c>
      <c r="E1073" s="16" t="s">
        <v>47</v>
      </c>
      <c r="F1073" s="18">
        <v>2707.5</v>
      </c>
      <c r="G1073" s="22">
        <v>57</v>
      </c>
      <c r="H1073" s="18">
        <v>16.572921660997299</v>
      </c>
      <c r="I1073" s="18">
        <v>944.65653467685104</v>
      </c>
      <c r="J1073" s="18">
        <v>1762.84346532314</v>
      </c>
      <c r="K1073" s="22">
        <v>0</v>
      </c>
      <c r="L1073" s="22" t="str">
        <f t="shared" si="16"/>
        <v>45931, 4, 9</v>
      </c>
    </row>
    <row r="1074" spans="1:12">
      <c r="A1074" s="9">
        <v>45931</v>
      </c>
      <c r="B1074">
        <v>4</v>
      </c>
      <c r="C1074" s="16" t="s">
        <v>59</v>
      </c>
      <c r="D1074">
        <v>10</v>
      </c>
      <c r="E1074" s="16" t="s">
        <v>57</v>
      </c>
      <c r="F1074" s="18">
        <v>1309.5</v>
      </c>
      <c r="G1074" s="22">
        <v>97</v>
      </c>
      <c r="H1074" s="18">
        <v>2.1255584862908998</v>
      </c>
      <c r="I1074" s="18">
        <v>206.17917317021801</v>
      </c>
      <c r="J1074" s="18">
        <v>1103.3208268297799</v>
      </c>
      <c r="K1074" s="22">
        <v>0</v>
      </c>
      <c r="L1074" s="22" t="str">
        <f t="shared" si="16"/>
        <v>45931, 4, 10</v>
      </c>
    </row>
    <row r="1075" spans="1:12">
      <c r="A1075" s="9">
        <v>45931</v>
      </c>
      <c r="B1075">
        <v>4</v>
      </c>
      <c r="C1075" s="16" t="s">
        <v>59</v>
      </c>
      <c r="D1075">
        <v>11</v>
      </c>
      <c r="E1075" s="16" t="s">
        <v>48</v>
      </c>
      <c r="F1075" s="18">
        <v>2700</v>
      </c>
      <c r="G1075" s="22">
        <v>135</v>
      </c>
      <c r="H1075" s="18">
        <v>1.79737567708333</v>
      </c>
      <c r="I1075" s="18">
        <v>242.64571640624899</v>
      </c>
      <c r="J1075" s="18">
        <v>2457.3542835937501</v>
      </c>
      <c r="K1075" s="22">
        <v>0</v>
      </c>
      <c r="L1075" s="22" t="str">
        <f t="shared" si="16"/>
        <v>45931, 4, 11</v>
      </c>
    </row>
    <row r="1076" spans="1:12">
      <c r="A1076" s="9">
        <v>45931</v>
      </c>
      <c r="B1076">
        <v>4</v>
      </c>
      <c r="C1076" s="16" t="s">
        <v>59</v>
      </c>
      <c r="D1076">
        <v>12</v>
      </c>
      <c r="E1076" s="16" t="s">
        <v>49</v>
      </c>
      <c r="F1076" s="18">
        <v>1218</v>
      </c>
      <c r="G1076" s="22">
        <v>58</v>
      </c>
      <c r="H1076" s="18">
        <v>2.5039793307608602</v>
      </c>
      <c r="I1076" s="18">
        <v>145.23080118413</v>
      </c>
      <c r="J1076" s="18">
        <v>1072.7691988158599</v>
      </c>
      <c r="K1076" s="22">
        <v>0</v>
      </c>
      <c r="L1076" s="22" t="str">
        <f t="shared" si="16"/>
        <v>45931, 4, 12</v>
      </c>
    </row>
    <row r="1077" spans="1:12">
      <c r="A1077" s="9">
        <v>45931</v>
      </c>
      <c r="B1077">
        <v>4</v>
      </c>
      <c r="C1077" s="16" t="s">
        <v>59</v>
      </c>
      <c r="D1077">
        <v>13</v>
      </c>
      <c r="E1077" s="16" t="s">
        <v>50</v>
      </c>
      <c r="F1077" s="18">
        <v>3938</v>
      </c>
      <c r="G1077" s="22">
        <v>179</v>
      </c>
      <c r="H1077" s="18">
        <v>5.9310430952380901</v>
      </c>
      <c r="I1077" s="18">
        <v>1061.65671404761</v>
      </c>
      <c r="J1077" s="18">
        <v>2876.34328595238</v>
      </c>
      <c r="K1077" s="22">
        <v>0</v>
      </c>
      <c r="L1077" s="22" t="str">
        <f t="shared" si="16"/>
        <v>45931, 4, 13</v>
      </c>
    </row>
    <row r="1078" spans="1:12">
      <c r="A1078" s="9">
        <v>45931</v>
      </c>
      <c r="B1078">
        <v>4</v>
      </c>
      <c r="C1078" s="16" t="s">
        <v>59</v>
      </c>
      <c r="D1078">
        <v>14</v>
      </c>
      <c r="E1078" s="16" t="s">
        <v>51</v>
      </c>
      <c r="F1078" s="18">
        <v>2403</v>
      </c>
      <c r="G1078" s="22">
        <v>89</v>
      </c>
      <c r="H1078" s="18">
        <v>4.2437258952391304</v>
      </c>
      <c r="I1078" s="18">
        <v>377.691604676282</v>
      </c>
      <c r="J1078" s="18">
        <v>2025.3083953237101</v>
      </c>
      <c r="K1078" s="22">
        <v>0</v>
      </c>
      <c r="L1078" s="22" t="str">
        <f t="shared" si="16"/>
        <v>45931, 4, 14</v>
      </c>
    </row>
    <row r="1079" spans="1:12">
      <c r="A1079" s="9">
        <v>45931</v>
      </c>
      <c r="B1079">
        <v>4</v>
      </c>
      <c r="C1079" s="16" t="s">
        <v>59</v>
      </c>
      <c r="D1079">
        <v>15</v>
      </c>
      <c r="E1079" s="16" t="s">
        <v>52</v>
      </c>
      <c r="F1079" s="18">
        <v>2420.5</v>
      </c>
      <c r="G1079" s="22">
        <v>103</v>
      </c>
      <c r="H1079" s="18">
        <v>2.7682148705909002</v>
      </c>
      <c r="I1079" s="18">
        <v>285.126131670863</v>
      </c>
      <c r="J1079" s="18">
        <v>2135.3738683291299</v>
      </c>
      <c r="K1079" s="22">
        <v>0</v>
      </c>
      <c r="L1079" s="22" t="str">
        <f t="shared" si="16"/>
        <v>45931, 4, 15</v>
      </c>
    </row>
    <row r="1080" spans="1:12">
      <c r="A1080" s="9">
        <v>45931</v>
      </c>
      <c r="B1080">
        <v>4</v>
      </c>
      <c r="C1080" s="16" t="s">
        <v>59</v>
      </c>
      <c r="D1080">
        <v>16</v>
      </c>
      <c r="E1080" s="16" t="s">
        <v>53</v>
      </c>
      <c r="F1080" s="18">
        <v>1232.5</v>
      </c>
      <c r="G1080" s="22">
        <v>145</v>
      </c>
      <c r="H1080" s="18">
        <v>1.2773064705952299</v>
      </c>
      <c r="I1080" s="18">
        <v>185.20943823630901</v>
      </c>
      <c r="J1080" s="18">
        <v>1047.29056176369</v>
      </c>
      <c r="K1080" s="22">
        <v>0</v>
      </c>
      <c r="L1080" s="22" t="str">
        <f t="shared" si="16"/>
        <v>45931, 4, 16</v>
      </c>
    </row>
    <row r="1081" spans="1:12">
      <c r="A1081" s="9">
        <v>45931</v>
      </c>
      <c r="B1081">
        <v>4</v>
      </c>
      <c r="C1081" s="16" t="s">
        <v>59</v>
      </c>
      <c r="D1081">
        <v>17</v>
      </c>
      <c r="E1081" s="16" t="s">
        <v>54</v>
      </c>
      <c r="F1081" s="18">
        <v>1312.5</v>
      </c>
      <c r="G1081" s="22">
        <v>175</v>
      </c>
      <c r="H1081" s="18">
        <v>1.2415355775000001</v>
      </c>
      <c r="I1081" s="18">
        <v>217.26872606250001</v>
      </c>
      <c r="J1081" s="18">
        <v>1095.2312739375</v>
      </c>
      <c r="K1081" s="22">
        <v>0</v>
      </c>
      <c r="L1081" s="22" t="str">
        <f t="shared" si="16"/>
        <v>45931, 4, 17</v>
      </c>
    </row>
    <row r="1082" spans="1:12">
      <c r="A1082" s="9">
        <v>45931</v>
      </c>
      <c r="B1082">
        <v>4</v>
      </c>
      <c r="C1082" s="16" t="s">
        <v>59</v>
      </c>
      <c r="D1082">
        <v>18</v>
      </c>
      <c r="E1082" s="16" t="s">
        <v>55</v>
      </c>
      <c r="F1082" s="18">
        <v>1196</v>
      </c>
      <c r="G1082" s="22">
        <v>52</v>
      </c>
      <c r="H1082" s="18">
        <v>6.2567226742361104</v>
      </c>
      <c r="I1082" s="18">
        <v>325.34957906027699</v>
      </c>
      <c r="J1082" s="18">
        <v>870.65042093972204</v>
      </c>
      <c r="K1082" s="22">
        <v>0</v>
      </c>
      <c r="L1082" s="22" t="str">
        <f t="shared" si="16"/>
        <v>45931, 4, 18</v>
      </c>
    </row>
    <row r="1083" spans="1:12">
      <c r="A1083" s="9">
        <v>45962</v>
      </c>
      <c r="B1083">
        <v>4</v>
      </c>
      <c r="C1083" s="16" t="s">
        <v>59</v>
      </c>
      <c r="D1083">
        <v>1</v>
      </c>
      <c r="E1083" s="16" t="s">
        <v>38</v>
      </c>
      <c r="F1083" s="18">
        <v>2688</v>
      </c>
      <c r="G1083" s="22">
        <v>128</v>
      </c>
      <c r="H1083" s="18">
        <v>3.6968162916666598</v>
      </c>
      <c r="I1083" s="18">
        <v>473.19248533333302</v>
      </c>
      <c r="J1083" s="18">
        <v>2214.8075146666602</v>
      </c>
      <c r="K1083" s="22">
        <v>0</v>
      </c>
      <c r="L1083" s="22" t="str">
        <f t="shared" si="16"/>
        <v>45962, 4, 1</v>
      </c>
    </row>
    <row r="1084" spans="1:12">
      <c r="A1084" s="9">
        <v>45962</v>
      </c>
      <c r="B1084">
        <v>4</v>
      </c>
      <c r="C1084" s="16" t="s">
        <v>59</v>
      </c>
      <c r="D1084">
        <v>2</v>
      </c>
      <c r="E1084" s="16" t="s">
        <v>40</v>
      </c>
      <c r="F1084" s="18">
        <v>3174</v>
      </c>
      <c r="G1084" s="22">
        <v>138</v>
      </c>
      <c r="H1084" s="18">
        <v>5.81623244725</v>
      </c>
      <c r="I1084" s="18">
        <v>802.64007772050002</v>
      </c>
      <c r="J1084" s="18">
        <v>2371.3599222795001</v>
      </c>
      <c r="K1084" s="22">
        <v>0</v>
      </c>
      <c r="L1084" s="22" t="str">
        <f t="shared" si="16"/>
        <v>45962, 4, 2</v>
      </c>
    </row>
    <row r="1085" spans="1:12">
      <c r="A1085" s="9">
        <v>45962</v>
      </c>
      <c r="B1085">
        <v>4</v>
      </c>
      <c r="C1085" s="16" t="s">
        <v>59</v>
      </c>
      <c r="D1085">
        <v>3</v>
      </c>
      <c r="E1085" s="16" t="s">
        <v>41</v>
      </c>
      <c r="F1085" s="18">
        <v>2670.5</v>
      </c>
      <c r="G1085" s="22">
        <v>109</v>
      </c>
      <c r="H1085" s="18">
        <v>3.2038550490526299</v>
      </c>
      <c r="I1085" s="18">
        <v>349.22020034673602</v>
      </c>
      <c r="J1085" s="18">
        <v>2321.2797996532599</v>
      </c>
      <c r="K1085" s="22">
        <v>0</v>
      </c>
      <c r="L1085" s="22" t="str">
        <f t="shared" si="16"/>
        <v>45962, 4, 3</v>
      </c>
    </row>
    <row r="1086" spans="1:12">
      <c r="A1086" s="9">
        <v>45962</v>
      </c>
      <c r="B1086">
        <v>4</v>
      </c>
      <c r="C1086" s="16" t="s">
        <v>59</v>
      </c>
      <c r="D1086">
        <v>5</v>
      </c>
      <c r="E1086" s="16" t="s">
        <v>43</v>
      </c>
      <c r="F1086" s="18">
        <v>1800</v>
      </c>
      <c r="G1086" s="22">
        <v>90</v>
      </c>
      <c r="H1086" s="18">
        <v>6.2215625000000001</v>
      </c>
      <c r="I1086" s="18">
        <v>559.94062499999995</v>
      </c>
      <c r="J1086" s="18">
        <v>1240.059375</v>
      </c>
      <c r="K1086" s="22">
        <v>0</v>
      </c>
      <c r="L1086" s="22" t="str">
        <f t="shared" si="16"/>
        <v>45962, 4, 5</v>
      </c>
    </row>
    <row r="1087" spans="1:12">
      <c r="A1087" s="9">
        <v>45962</v>
      </c>
      <c r="B1087">
        <v>4</v>
      </c>
      <c r="C1087" s="16" t="s">
        <v>59</v>
      </c>
      <c r="D1087">
        <v>6</v>
      </c>
      <c r="E1087" s="16" t="s">
        <v>44</v>
      </c>
      <c r="F1087" s="18">
        <v>2706</v>
      </c>
      <c r="G1087" s="22">
        <v>123</v>
      </c>
      <c r="H1087" s="18">
        <v>4.5196871400357104</v>
      </c>
      <c r="I1087" s="18">
        <v>555.921518224392</v>
      </c>
      <c r="J1087" s="18">
        <v>2150.0784817755998</v>
      </c>
      <c r="K1087" s="22">
        <v>0</v>
      </c>
      <c r="L1087" s="22" t="str">
        <f t="shared" si="16"/>
        <v>45962, 4, 6</v>
      </c>
    </row>
    <row r="1088" spans="1:12">
      <c r="A1088" s="9">
        <v>45962</v>
      </c>
      <c r="B1088">
        <v>4</v>
      </c>
      <c r="C1088" s="16" t="s">
        <v>59</v>
      </c>
      <c r="D1088">
        <v>8</v>
      </c>
      <c r="E1088" s="16" t="s">
        <v>46</v>
      </c>
      <c r="F1088" s="18">
        <v>1518</v>
      </c>
      <c r="G1088" s="22">
        <v>132</v>
      </c>
      <c r="H1088" s="18">
        <v>0.656720500714285</v>
      </c>
      <c r="I1088" s="18">
        <v>86.687106094285696</v>
      </c>
      <c r="J1088" s="18">
        <v>1431.3128939057101</v>
      </c>
      <c r="K1088" s="22">
        <v>0</v>
      </c>
      <c r="L1088" s="22" t="str">
        <f t="shared" si="16"/>
        <v>45962, 4, 8</v>
      </c>
    </row>
    <row r="1089" spans="1:12">
      <c r="A1089" s="9">
        <v>45962</v>
      </c>
      <c r="B1089">
        <v>4</v>
      </c>
      <c r="C1089" s="16" t="s">
        <v>59</v>
      </c>
      <c r="D1089">
        <v>9</v>
      </c>
      <c r="E1089" s="16" t="s">
        <v>47</v>
      </c>
      <c r="F1089" s="18">
        <v>2327.5</v>
      </c>
      <c r="G1089" s="22">
        <v>49</v>
      </c>
      <c r="H1089" s="18">
        <v>16.696632982036601</v>
      </c>
      <c r="I1089" s="18">
        <v>818.13501611979405</v>
      </c>
      <c r="J1089" s="18">
        <v>1509.3649838802</v>
      </c>
      <c r="K1089" s="22">
        <v>0</v>
      </c>
      <c r="L1089" s="22" t="str">
        <f t="shared" si="16"/>
        <v>45962, 4, 9</v>
      </c>
    </row>
    <row r="1090" spans="1:12">
      <c r="A1090" s="9">
        <v>45962</v>
      </c>
      <c r="B1090">
        <v>4</v>
      </c>
      <c r="C1090" s="16" t="s">
        <v>59</v>
      </c>
      <c r="D1090">
        <v>10</v>
      </c>
      <c r="E1090" s="16" t="s">
        <v>57</v>
      </c>
      <c r="F1090" s="18">
        <v>1026</v>
      </c>
      <c r="G1090" s="22">
        <v>76</v>
      </c>
      <c r="H1090" s="18">
        <v>2.2437765008444401</v>
      </c>
      <c r="I1090" s="18">
        <v>170.527014064177</v>
      </c>
      <c r="J1090" s="18">
        <v>855.47298593582195</v>
      </c>
      <c r="K1090" s="22">
        <v>0</v>
      </c>
      <c r="L1090" s="22" t="str">
        <f t="shared" si="16"/>
        <v>45962, 4, 10</v>
      </c>
    </row>
    <row r="1091" spans="1:12">
      <c r="A1091" s="9">
        <v>45962</v>
      </c>
      <c r="B1091">
        <v>4</v>
      </c>
      <c r="C1091" s="16" t="s">
        <v>59</v>
      </c>
      <c r="D1091">
        <v>11</v>
      </c>
      <c r="E1091" s="16" t="s">
        <v>48</v>
      </c>
      <c r="F1091" s="18">
        <v>2260</v>
      </c>
      <c r="G1091" s="22">
        <v>113</v>
      </c>
      <c r="H1091" s="18">
        <v>1.8194908977272699</v>
      </c>
      <c r="I1091" s="18">
        <v>205.602471443181</v>
      </c>
      <c r="J1091" s="18">
        <v>2054.3975285568099</v>
      </c>
      <c r="K1091" s="22">
        <v>0</v>
      </c>
      <c r="L1091" s="22" t="str">
        <f t="shared" ref="L1091:L1154" si="17">(A1091&amp; ", "&amp; B1091&amp; ", "&amp; D1091)</f>
        <v>45962, 4, 11</v>
      </c>
    </row>
    <row r="1092" spans="1:12">
      <c r="A1092" s="9">
        <v>45962</v>
      </c>
      <c r="B1092">
        <v>4</v>
      </c>
      <c r="C1092" s="16" t="s">
        <v>59</v>
      </c>
      <c r="D1092">
        <v>12</v>
      </c>
      <c r="E1092" s="16" t="s">
        <v>49</v>
      </c>
      <c r="F1092" s="18">
        <v>1155</v>
      </c>
      <c r="G1092" s="22">
        <v>55</v>
      </c>
      <c r="H1092" s="18">
        <v>2.5512729177368398</v>
      </c>
      <c r="I1092" s="18">
        <v>140.320010475526</v>
      </c>
      <c r="J1092" s="18">
        <v>1014.67998952447</v>
      </c>
      <c r="K1092" s="22">
        <v>0</v>
      </c>
      <c r="L1092" s="22" t="str">
        <f t="shared" si="17"/>
        <v>45962, 4, 12</v>
      </c>
    </row>
    <row r="1093" spans="1:12">
      <c r="A1093" s="9">
        <v>45962</v>
      </c>
      <c r="B1093">
        <v>4</v>
      </c>
      <c r="C1093" s="16" t="s">
        <v>59</v>
      </c>
      <c r="D1093">
        <v>13</v>
      </c>
      <c r="E1093" s="16" t="s">
        <v>50</v>
      </c>
      <c r="F1093" s="18">
        <v>3212</v>
      </c>
      <c r="G1093" s="22">
        <v>146</v>
      </c>
      <c r="H1093" s="18">
        <v>5.9105297777777697</v>
      </c>
      <c r="I1093" s="18">
        <v>862.93734755555499</v>
      </c>
      <c r="J1093" s="18">
        <v>2349.0626524444401</v>
      </c>
      <c r="K1093" s="22">
        <v>0</v>
      </c>
      <c r="L1093" s="22" t="str">
        <f t="shared" si="17"/>
        <v>45962, 4, 13</v>
      </c>
    </row>
    <row r="1094" spans="1:12">
      <c r="A1094" s="9">
        <v>45962</v>
      </c>
      <c r="B1094">
        <v>4</v>
      </c>
      <c r="C1094" s="16" t="s">
        <v>59</v>
      </c>
      <c r="D1094">
        <v>14</v>
      </c>
      <c r="E1094" s="16" t="s">
        <v>51</v>
      </c>
      <c r="F1094" s="18">
        <v>2430</v>
      </c>
      <c r="G1094" s="22">
        <v>90</v>
      </c>
      <c r="H1094" s="18">
        <v>4.31145532385833</v>
      </c>
      <c r="I1094" s="18">
        <v>388.03097914724901</v>
      </c>
      <c r="J1094" s="18">
        <v>2041.96902085275</v>
      </c>
      <c r="K1094" s="22">
        <v>0</v>
      </c>
      <c r="L1094" s="22" t="str">
        <f t="shared" si="17"/>
        <v>45962, 4, 14</v>
      </c>
    </row>
    <row r="1095" spans="1:12">
      <c r="A1095" s="9">
        <v>45962</v>
      </c>
      <c r="B1095">
        <v>4</v>
      </c>
      <c r="C1095" s="16" t="s">
        <v>59</v>
      </c>
      <c r="D1095">
        <v>15</v>
      </c>
      <c r="E1095" s="16" t="s">
        <v>52</v>
      </c>
      <c r="F1095" s="18">
        <v>2373.5</v>
      </c>
      <c r="G1095" s="22">
        <v>101</v>
      </c>
      <c r="H1095" s="18">
        <v>2.7735778874736798</v>
      </c>
      <c r="I1095" s="18">
        <v>280.13136663484198</v>
      </c>
      <c r="J1095" s="18">
        <v>2093.3686333651499</v>
      </c>
      <c r="K1095" s="22">
        <v>0</v>
      </c>
      <c r="L1095" s="22" t="str">
        <f t="shared" si="17"/>
        <v>45962, 4, 15</v>
      </c>
    </row>
    <row r="1096" spans="1:12">
      <c r="A1096" s="9">
        <v>45962</v>
      </c>
      <c r="B1096">
        <v>4</v>
      </c>
      <c r="C1096" s="16" t="s">
        <v>59</v>
      </c>
      <c r="D1096">
        <v>16</v>
      </c>
      <c r="E1096" s="16" t="s">
        <v>53</v>
      </c>
      <c r="F1096" s="18">
        <v>1385.5</v>
      </c>
      <c r="G1096" s="22">
        <v>163</v>
      </c>
      <c r="H1096" s="18">
        <v>1.27006743416666</v>
      </c>
      <c r="I1096" s="18">
        <v>207.02099176916599</v>
      </c>
      <c r="J1096" s="18">
        <v>1178.47900823083</v>
      </c>
      <c r="K1096" s="22">
        <v>0</v>
      </c>
      <c r="L1096" s="22" t="str">
        <f t="shared" si="17"/>
        <v>45962, 4, 16</v>
      </c>
    </row>
    <row r="1097" spans="1:12">
      <c r="A1097" s="9">
        <v>45962</v>
      </c>
      <c r="B1097">
        <v>4</v>
      </c>
      <c r="C1097" s="16" t="s">
        <v>59</v>
      </c>
      <c r="D1097">
        <v>17</v>
      </c>
      <c r="E1097" s="16" t="s">
        <v>54</v>
      </c>
      <c r="F1097" s="18">
        <v>1177.5</v>
      </c>
      <c r="G1097" s="22">
        <v>157</v>
      </c>
      <c r="H1097" s="18">
        <v>1.2356714820000001</v>
      </c>
      <c r="I1097" s="18">
        <v>194.00042267399999</v>
      </c>
      <c r="J1097" s="18">
        <v>983.49957732600001</v>
      </c>
      <c r="K1097" s="22">
        <v>0</v>
      </c>
      <c r="L1097" s="22" t="str">
        <f t="shared" si="17"/>
        <v>45962, 4, 17</v>
      </c>
    </row>
    <row r="1098" spans="1:12">
      <c r="A1098" s="9">
        <v>45962</v>
      </c>
      <c r="B1098">
        <v>4</v>
      </c>
      <c r="C1098" s="16" t="s">
        <v>59</v>
      </c>
      <c r="D1098">
        <v>18</v>
      </c>
      <c r="E1098" s="16" t="s">
        <v>55</v>
      </c>
      <c r="F1098" s="18">
        <v>943</v>
      </c>
      <c r="G1098" s="22">
        <v>41</v>
      </c>
      <c r="H1098" s="18">
        <v>6.5612975628281198</v>
      </c>
      <c r="I1098" s="18">
        <v>269.01320007595302</v>
      </c>
      <c r="J1098" s="18">
        <v>673.98679992404595</v>
      </c>
      <c r="K1098" s="22">
        <v>0</v>
      </c>
      <c r="L1098" s="22" t="str">
        <f t="shared" si="17"/>
        <v>45962, 4, 18</v>
      </c>
    </row>
    <row r="1099" spans="1:12">
      <c r="A1099" s="9">
        <v>45992</v>
      </c>
      <c r="B1099">
        <v>4</v>
      </c>
      <c r="C1099" s="16" t="s">
        <v>59</v>
      </c>
      <c r="D1099">
        <v>1</v>
      </c>
      <c r="E1099" s="16" t="s">
        <v>38</v>
      </c>
      <c r="F1099" s="18">
        <v>3675</v>
      </c>
      <c r="G1099" s="22">
        <v>175</v>
      </c>
      <c r="H1099" s="18">
        <v>3.6978048124999998</v>
      </c>
      <c r="I1099" s="18">
        <v>647.11584218749999</v>
      </c>
      <c r="J1099" s="18">
        <v>3027.8841578124998</v>
      </c>
      <c r="K1099" s="22">
        <v>0</v>
      </c>
      <c r="L1099" s="22" t="str">
        <f t="shared" si="17"/>
        <v>45992, 4, 1</v>
      </c>
    </row>
    <row r="1100" spans="1:12">
      <c r="A1100" s="9">
        <v>45992</v>
      </c>
      <c r="B1100">
        <v>4</v>
      </c>
      <c r="C1100" s="16" t="s">
        <v>59</v>
      </c>
      <c r="D1100">
        <v>2</v>
      </c>
      <c r="E1100" s="16" t="s">
        <v>40</v>
      </c>
      <c r="F1100" s="18">
        <v>3542</v>
      </c>
      <c r="G1100" s="22">
        <v>154</v>
      </c>
      <c r="H1100" s="18">
        <v>5.8571989767368402</v>
      </c>
      <c r="I1100" s="18">
        <v>902.00864241747297</v>
      </c>
      <c r="J1100" s="18">
        <v>2639.9913575825199</v>
      </c>
      <c r="K1100" s="22">
        <v>0</v>
      </c>
      <c r="L1100" s="22" t="str">
        <f t="shared" si="17"/>
        <v>45992, 4, 2</v>
      </c>
    </row>
    <row r="1101" spans="1:12">
      <c r="A1101" s="9">
        <v>45992</v>
      </c>
      <c r="B1101">
        <v>4</v>
      </c>
      <c r="C1101" s="16" t="s">
        <v>59</v>
      </c>
      <c r="D1101">
        <v>3</v>
      </c>
      <c r="E1101" s="16" t="s">
        <v>41</v>
      </c>
      <c r="F1101" s="18">
        <v>3724</v>
      </c>
      <c r="G1101" s="22">
        <v>152</v>
      </c>
      <c r="H1101" s="18">
        <v>3.2176448080000002</v>
      </c>
      <c r="I1101" s="18">
        <v>489.08201081599998</v>
      </c>
      <c r="J1101" s="18">
        <v>3234.9179891839999</v>
      </c>
      <c r="K1101" s="22">
        <v>0</v>
      </c>
      <c r="L1101" s="22" t="str">
        <f t="shared" si="17"/>
        <v>45992, 4, 3</v>
      </c>
    </row>
    <row r="1102" spans="1:12">
      <c r="A1102" s="9">
        <v>45992</v>
      </c>
      <c r="B1102">
        <v>4</v>
      </c>
      <c r="C1102" s="16" t="s">
        <v>59</v>
      </c>
      <c r="D1102">
        <v>5</v>
      </c>
      <c r="E1102" s="16" t="s">
        <v>43</v>
      </c>
      <c r="F1102" s="18">
        <v>1880</v>
      </c>
      <c r="G1102" s="22">
        <v>94</v>
      </c>
      <c r="H1102" s="18">
        <v>6.4109027777777703</v>
      </c>
      <c r="I1102" s="18">
        <v>602.62486111111104</v>
      </c>
      <c r="J1102" s="18">
        <v>1277.37513888888</v>
      </c>
      <c r="K1102" s="22">
        <v>0</v>
      </c>
      <c r="L1102" s="22" t="str">
        <f t="shared" si="17"/>
        <v>45992, 4, 5</v>
      </c>
    </row>
    <row r="1103" spans="1:12">
      <c r="A1103" s="9">
        <v>45992</v>
      </c>
      <c r="B1103">
        <v>4</v>
      </c>
      <c r="C1103" s="16" t="s">
        <v>59</v>
      </c>
      <c r="D1103">
        <v>6</v>
      </c>
      <c r="E1103" s="16" t="s">
        <v>44</v>
      </c>
      <c r="F1103" s="18">
        <v>3300</v>
      </c>
      <c r="G1103" s="22">
        <v>150</v>
      </c>
      <c r="H1103" s="18">
        <v>4.5652165528611102</v>
      </c>
      <c r="I1103" s="18">
        <v>684.78248292916601</v>
      </c>
      <c r="J1103" s="18">
        <v>2615.2175170708301</v>
      </c>
      <c r="K1103" s="22">
        <v>0</v>
      </c>
      <c r="L1103" s="22" t="str">
        <f t="shared" si="17"/>
        <v>45992, 4, 6</v>
      </c>
    </row>
    <row r="1104" spans="1:12">
      <c r="A1104" s="9">
        <v>45992</v>
      </c>
      <c r="B1104">
        <v>4</v>
      </c>
      <c r="C1104" s="16" t="s">
        <v>59</v>
      </c>
      <c r="D1104">
        <v>8</v>
      </c>
      <c r="E1104" s="16" t="s">
        <v>46</v>
      </c>
      <c r="F1104" s="18">
        <v>1828.5</v>
      </c>
      <c r="G1104" s="22">
        <v>159</v>
      </c>
      <c r="H1104" s="18">
        <v>0.66775119145833295</v>
      </c>
      <c r="I1104" s="18">
        <v>106.172439441874</v>
      </c>
      <c r="J1104" s="18">
        <v>1722.32756055812</v>
      </c>
      <c r="K1104" s="22">
        <v>0</v>
      </c>
      <c r="L1104" s="22" t="str">
        <f t="shared" si="17"/>
        <v>45992, 4, 8</v>
      </c>
    </row>
    <row r="1105" spans="1:12">
      <c r="A1105" s="9">
        <v>45992</v>
      </c>
      <c r="B1105">
        <v>4</v>
      </c>
      <c r="C1105" s="16" t="s">
        <v>59</v>
      </c>
      <c r="D1105">
        <v>9</v>
      </c>
      <c r="E1105" s="16" t="s">
        <v>47</v>
      </c>
      <c r="F1105" s="18">
        <v>3562.5</v>
      </c>
      <c r="G1105" s="22">
        <v>75</v>
      </c>
      <c r="H1105" s="18">
        <v>16.751138855211799</v>
      </c>
      <c r="I1105" s="18">
        <v>1256.3354141408799</v>
      </c>
      <c r="J1105" s="18">
        <v>2306.16458585911</v>
      </c>
      <c r="K1105" s="22">
        <v>0</v>
      </c>
      <c r="L1105" s="22" t="str">
        <f t="shared" si="17"/>
        <v>45992, 4, 9</v>
      </c>
    </row>
    <row r="1106" spans="1:12">
      <c r="A1106" s="9">
        <v>45992</v>
      </c>
      <c r="B1106">
        <v>4</v>
      </c>
      <c r="C1106" s="16" t="s">
        <v>59</v>
      </c>
      <c r="D1106">
        <v>10</v>
      </c>
      <c r="E1106" s="16" t="s">
        <v>57</v>
      </c>
      <c r="F1106" s="18">
        <v>1323</v>
      </c>
      <c r="G1106" s="22">
        <v>98</v>
      </c>
      <c r="H1106" s="18">
        <v>2.3513717503523801</v>
      </c>
      <c r="I1106" s="18">
        <v>230.43443153453299</v>
      </c>
      <c r="J1106" s="18">
        <v>1092.56556846546</v>
      </c>
      <c r="K1106" s="22">
        <v>0</v>
      </c>
      <c r="L1106" s="22" t="str">
        <f t="shared" si="17"/>
        <v>45992, 4, 10</v>
      </c>
    </row>
    <row r="1107" spans="1:12">
      <c r="A1107" s="9">
        <v>45992</v>
      </c>
      <c r="B1107">
        <v>4</v>
      </c>
      <c r="C1107" s="16" t="s">
        <v>59</v>
      </c>
      <c r="D1107">
        <v>11</v>
      </c>
      <c r="E1107" s="16" t="s">
        <v>48</v>
      </c>
      <c r="F1107" s="18">
        <v>2800</v>
      </c>
      <c r="G1107" s="22">
        <v>140</v>
      </c>
      <c r="H1107" s="18">
        <v>1.79410896428571</v>
      </c>
      <c r="I1107" s="18">
        <v>251.175254999999</v>
      </c>
      <c r="J1107" s="18">
        <v>2548.8247449999999</v>
      </c>
      <c r="K1107" s="22">
        <v>0</v>
      </c>
      <c r="L1107" s="22" t="str">
        <f t="shared" si="17"/>
        <v>45992, 4, 11</v>
      </c>
    </row>
    <row r="1108" spans="1:12">
      <c r="A1108" s="9">
        <v>45992</v>
      </c>
      <c r="B1108">
        <v>4</v>
      </c>
      <c r="C1108" s="16" t="s">
        <v>59</v>
      </c>
      <c r="D1108">
        <v>12</v>
      </c>
      <c r="E1108" s="16" t="s">
        <v>49</v>
      </c>
      <c r="F1108" s="18">
        <v>1491</v>
      </c>
      <c r="G1108" s="22">
        <v>71</v>
      </c>
      <c r="H1108" s="18">
        <v>2.5516458098478201</v>
      </c>
      <c r="I1108" s="18">
        <v>181.16685249919499</v>
      </c>
      <c r="J1108" s="18">
        <v>1309.8331475007999</v>
      </c>
      <c r="K1108" s="22">
        <v>0</v>
      </c>
      <c r="L1108" s="22" t="str">
        <f t="shared" si="17"/>
        <v>45992, 4, 12</v>
      </c>
    </row>
    <row r="1109" spans="1:12">
      <c r="A1109" s="9">
        <v>45992</v>
      </c>
      <c r="B1109">
        <v>4</v>
      </c>
      <c r="C1109" s="16" t="s">
        <v>59</v>
      </c>
      <c r="D1109">
        <v>13</v>
      </c>
      <c r="E1109" s="16" t="s">
        <v>50</v>
      </c>
      <c r="F1109" s="18">
        <v>4488</v>
      </c>
      <c r="G1109" s="22">
        <v>204</v>
      </c>
      <c r="H1109" s="18">
        <v>5.9427839999999996</v>
      </c>
      <c r="I1109" s="18">
        <v>1212.3279359999999</v>
      </c>
      <c r="J1109" s="18">
        <v>3275.6720639999999</v>
      </c>
      <c r="K1109" s="22">
        <v>0</v>
      </c>
      <c r="L1109" s="22" t="str">
        <f t="shared" si="17"/>
        <v>45992, 4, 13</v>
      </c>
    </row>
    <row r="1110" spans="1:12">
      <c r="A1110" s="9">
        <v>45992</v>
      </c>
      <c r="B1110">
        <v>4</v>
      </c>
      <c r="C1110" s="16" t="s">
        <v>59</v>
      </c>
      <c r="D1110">
        <v>14</v>
      </c>
      <c r="E1110" s="16" t="s">
        <v>51</v>
      </c>
      <c r="F1110" s="18">
        <v>2457</v>
      </c>
      <c r="G1110" s="22">
        <v>91</v>
      </c>
      <c r="H1110" s="18">
        <v>4.3269096256590904</v>
      </c>
      <c r="I1110" s="18">
        <v>393.748775934977</v>
      </c>
      <c r="J1110" s="18">
        <v>2063.2512240650199</v>
      </c>
      <c r="K1110" s="22">
        <v>0</v>
      </c>
      <c r="L1110" s="22" t="str">
        <f t="shared" si="17"/>
        <v>45992, 4, 14</v>
      </c>
    </row>
    <row r="1111" spans="1:12">
      <c r="A1111" s="9">
        <v>45992</v>
      </c>
      <c r="B1111">
        <v>4</v>
      </c>
      <c r="C1111" s="16" t="s">
        <v>59</v>
      </c>
      <c r="D1111">
        <v>15</v>
      </c>
      <c r="E1111" s="16" t="s">
        <v>52</v>
      </c>
      <c r="F1111" s="18">
        <v>2538</v>
      </c>
      <c r="G1111" s="22">
        <v>108</v>
      </c>
      <c r="H1111" s="18">
        <v>2.7946694681904698</v>
      </c>
      <c r="I1111" s="18">
        <v>301.82430256457098</v>
      </c>
      <c r="J1111" s="18">
        <v>2236.1756974354198</v>
      </c>
      <c r="K1111" s="22">
        <v>0</v>
      </c>
      <c r="L1111" s="22" t="str">
        <f t="shared" si="17"/>
        <v>45992, 4, 15</v>
      </c>
    </row>
    <row r="1112" spans="1:12">
      <c r="A1112" s="9">
        <v>45992</v>
      </c>
      <c r="B1112">
        <v>4</v>
      </c>
      <c r="C1112" s="16" t="s">
        <v>59</v>
      </c>
      <c r="D1112">
        <v>16</v>
      </c>
      <c r="E1112" s="16" t="s">
        <v>53</v>
      </c>
      <c r="F1112" s="18">
        <v>2108</v>
      </c>
      <c r="G1112" s="22">
        <v>248</v>
      </c>
      <c r="H1112" s="18">
        <v>1.2795840265476099</v>
      </c>
      <c r="I1112" s="18">
        <v>317.33683858380903</v>
      </c>
      <c r="J1112" s="18">
        <v>1790.66316141619</v>
      </c>
      <c r="K1112" s="22">
        <v>0</v>
      </c>
      <c r="L1112" s="22" t="str">
        <f t="shared" si="17"/>
        <v>45992, 4, 16</v>
      </c>
    </row>
    <row r="1113" spans="1:12">
      <c r="A1113" s="9">
        <v>45992</v>
      </c>
      <c r="B1113">
        <v>4</v>
      </c>
      <c r="C1113" s="16" t="s">
        <v>59</v>
      </c>
      <c r="D1113">
        <v>17</v>
      </c>
      <c r="E1113" s="16" t="s">
        <v>54</v>
      </c>
      <c r="F1113" s="18">
        <v>1387.5</v>
      </c>
      <c r="G1113" s="22">
        <v>185</v>
      </c>
      <c r="H1113" s="18">
        <v>1.2377177054545401</v>
      </c>
      <c r="I1113" s="18">
        <v>228.97777550909001</v>
      </c>
      <c r="J1113" s="18">
        <v>1158.5222244909</v>
      </c>
      <c r="K1113" s="22">
        <v>0</v>
      </c>
      <c r="L1113" s="22" t="str">
        <f t="shared" si="17"/>
        <v>45992, 4, 17</v>
      </c>
    </row>
    <row r="1114" spans="1:12">
      <c r="A1114" s="9">
        <v>45992</v>
      </c>
      <c r="B1114">
        <v>4</v>
      </c>
      <c r="C1114" s="16" t="s">
        <v>59</v>
      </c>
      <c r="D1114">
        <v>18</v>
      </c>
      <c r="E1114" s="16" t="s">
        <v>55</v>
      </c>
      <c r="F1114" s="18">
        <v>966</v>
      </c>
      <c r="G1114" s="22">
        <v>42</v>
      </c>
      <c r="H1114" s="18">
        <v>6.9791865458289397</v>
      </c>
      <c r="I1114" s="18">
        <v>293.12583492481502</v>
      </c>
      <c r="J1114" s="18">
        <v>672.87416507518401</v>
      </c>
      <c r="K1114" s="22">
        <v>0</v>
      </c>
      <c r="L1114" s="22" t="str">
        <f t="shared" si="17"/>
        <v>45992, 4, 18</v>
      </c>
    </row>
    <row r="1115" spans="1:12">
      <c r="A1115" s="9">
        <v>46023</v>
      </c>
      <c r="B1115">
        <v>4</v>
      </c>
      <c r="C1115" s="16" t="s">
        <v>59</v>
      </c>
      <c r="D1115">
        <v>1</v>
      </c>
      <c r="E1115" s="16" t="s">
        <v>38</v>
      </c>
      <c r="F1115" s="18">
        <v>2625</v>
      </c>
      <c r="G1115" s="22">
        <v>125</v>
      </c>
      <c r="H1115" s="18">
        <v>3.6188142874999998</v>
      </c>
      <c r="I1115" s="18">
        <v>452.35178593749998</v>
      </c>
      <c r="J1115" s="18">
        <v>2172.6482140624998</v>
      </c>
      <c r="K1115" s="22">
        <v>0</v>
      </c>
      <c r="L1115" s="22" t="str">
        <f t="shared" si="17"/>
        <v>46023, 4, 1</v>
      </c>
    </row>
    <row r="1116" spans="1:12">
      <c r="A1116" s="9">
        <v>46023</v>
      </c>
      <c r="B1116">
        <v>4</v>
      </c>
      <c r="C1116" s="16" t="s">
        <v>59</v>
      </c>
      <c r="D1116">
        <v>2</v>
      </c>
      <c r="E1116" s="16" t="s">
        <v>40</v>
      </c>
      <c r="F1116" s="18">
        <v>2300</v>
      </c>
      <c r="G1116" s="22">
        <v>100</v>
      </c>
      <c r="H1116" s="18">
        <v>5.9112681901176396</v>
      </c>
      <c r="I1116" s="18">
        <v>591.12681901176404</v>
      </c>
      <c r="J1116" s="18">
        <v>1708.8731809882299</v>
      </c>
      <c r="K1116" s="22">
        <v>0</v>
      </c>
      <c r="L1116" s="22" t="str">
        <f t="shared" si="17"/>
        <v>46023, 4, 2</v>
      </c>
    </row>
    <row r="1117" spans="1:12">
      <c r="A1117" s="9">
        <v>46023</v>
      </c>
      <c r="B1117">
        <v>4</v>
      </c>
      <c r="C1117" s="16" t="s">
        <v>59</v>
      </c>
      <c r="D1117">
        <v>3</v>
      </c>
      <c r="E1117" s="16" t="s">
        <v>41</v>
      </c>
      <c r="F1117" s="18">
        <v>2597</v>
      </c>
      <c r="G1117" s="22">
        <v>106</v>
      </c>
      <c r="H1117" s="18">
        <v>3.2022935604444398</v>
      </c>
      <c r="I1117" s="18">
        <v>339.443117407111</v>
      </c>
      <c r="J1117" s="18">
        <v>2257.5568825928799</v>
      </c>
      <c r="K1117" s="22">
        <v>0</v>
      </c>
      <c r="L1117" s="22" t="str">
        <f t="shared" si="17"/>
        <v>46023, 4, 3</v>
      </c>
    </row>
    <row r="1118" spans="1:12">
      <c r="A1118" s="9">
        <v>46023</v>
      </c>
      <c r="B1118">
        <v>4</v>
      </c>
      <c r="C1118" s="16" t="s">
        <v>59</v>
      </c>
      <c r="D1118">
        <v>5</v>
      </c>
      <c r="E1118" s="16" t="s">
        <v>43</v>
      </c>
      <c r="F1118" s="18">
        <v>1380</v>
      </c>
      <c r="G1118" s="22">
        <v>69</v>
      </c>
      <c r="H1118" s="18">
        <v>6.4823611111111097</v>
      </c>
      <c r="I1118" s="18">
        <v>447.28291666666598</v>
      </c>
      <c r="J1118" s="18">
        <v>932.71708333333299</v>
      </c>
      <c r="K1118" s="22">
        <v>0</v>
      </c>
      <c r="L1118" s="22" t="str">
        <f t="shared" si="17"/>
        <v>46023, 4, 5</v>
      </c>
    </row>
    <row r="1119" spans="1:12">
      <c r="A1119" s="9">
        <v>46023</v>
      </c>
      <c r="B1119">
        <v>4</v>
      </c>
      <c r="C1119" s="16" t="s">
        <v>59</v>
      </c>
      <c r="D1119">
        <v>6</v>
      </c>
      <c r="E1119" s="16" t="s">
        <v>44</v>
      </c>
      <c r="F1119" s="18">
        <v>2552</v>
      </c>
      <c r="G1119" s="22">
        <v>116</v>
      </c>
      <c r="H1119" s="18">
        <v>4.4887322996785697</v>
      </c>
      <c r="I1119" s="18">
        <v>520.69294676271397</v>
      </c>
      <c r="J1119" s="18">
        <v>2031.3070532372799</v>
      </c>
      <c r="K1119" s="22">
        <v>0</v>
      </c>
      <c r="L1119" s="22" t="str">
        <f t="shared" si="17"/>
        <v>46023, 4, 6</v>
      </c>
    </row>
    <row r="1120" spans="1:12">
      <c r="A1120" s="9">
        <v>46023</v>
      </c>
      <c r="B1120">
        <v>4</v>
      </c>
      <c r="C1120" s="16" t="s">
        <v>59</v>
      </c>
      <c r="D1120">
        <v>8</v>
      </c>
      <c r="E1120" s="16" t="s">
        <v>46</v>
      </c>
      <c r="F1120" s="18">
        <v>1391.5</v>
      </c>
      <c r="G1120" s="22">
        <v>121</v>
      </c>
      <c r="H1120" s="18">
        <v>0.67251962238095198</v>
      </c>
      <c r="I1120" s="18">
        <v>81.374874308095201</v>
      </c>
      <c r="J1120" s="18">
        <v>1310.1251256918999</v>
      </c>
      <c r="K1120" s="22">
        <v>0</v>
      </c>
      <c r="L1120" s="22" t="str">
        <f t="shared" si="17"/>
        <v>46023, 4, 8</v>
      </c>
    </row>
    <row r="1121" spans="1:12">
      <c r="A1121" s="9">
        <v>46023</v>
      </c>
      <c r="B1121">
        <v>4</v>
      </c>
      <c r="C1121" s="16" t="s">
        <v>59</v>
      </c>
      <c r="D1121">
        <v>9</v>
      </c>
      <c r="E1121" s="16" t="s">
        <v>47</v>
      </c>
      <c r="F1121" s="18">
        <v>2470</v>
      </c>
      <c r="G1121" s="22">
        <v>52</v>
      </c>
      <c r="H1121" s="18">
        <v>16.683714352985401</v>
      </c>
      <c r="I1121" s="18">
        <v>867.55314635524405</v>
      </c>
      <c r="J1121" s="18">
        <v>1602.44685364475</v>
      </c>
      <c r="K1121" s="22">
        <v>0</v>
      </c>
      <c r="L1121" s="22" t="str">
        <f t="shared" si="17"/>
        <v>46023, 4, 9</v>
      </c>
    </row>
    <row r="1122" spans="1:12">
      <c r="A1122" s="9">
        <v>46023</v>
      </c>
      <c r="B1122">
        <v>4</v>
      </c>
      <c r="C1122" s="16" t="s">
        <v>59</v>
      </c>
      <c r="D1122">
        <v>10</v>
      </c>
      <c r="E1122" s="16" t="s">
        <v>57</v>
      </c>
      <c r="F1122" s="18">
        <v>1053</v>
      </c>
      <c r="G1122" s="22">
        <v>78</v>
      </c>
      <c r="H1122" s="18">
        <v>2.3877913554100001</v>
      </c>
      <c r="I1122" s="18">
        <v>186.24772572198</v>
      </c>
      <c r="J1122" s="18">
        <v>866.75227427801997</v>
      </c>
      <c r="K1122" s="22">
        <v>0</v>
      </c>
      <c r="L1122" s="22" t="str">
        <f t="shared" si="17"/>
        <v>46023, 4, 10</v>
      </c>
    </row>
    <row r="1123" spans="1:12">
      <c r="A1123" s="9">
        <v>46023</v>
      </c>
      <c r="B1123">
        <v>4</v>
      </c>
      <c r="C1123" s="16" t="s">
        <v>59</v>
      </c>
      <c r="D1123">
        <v>11</v>
      </c>
      <c r="E1123" s="16" t="s">
        <v>48</v>
      </c>
      <c r="F1123" s="18">
        <v>1460</v>
      </c>
      <c r="G1123" s="22">
        <v>73</v>
      </c>
      <c r="H1123" s="18">
        <v>1.71813754545454</v>
      </c>
      <c r="I1123" s="18">
        <v>125.424040818181</v>
      </c>
      <c r="J1123" s="18">
        <v>1334.57595918181</v>
      </c>
      <c r="K1123" s="22">
        <v>0</v>
      </c>
      <c r="L1123" s="22" t="str">
        <f t="shared" si="17"/>
        <v>46023, 4, 11</v>
      </c>
    </row>
    <row r="1124" spans="1:12">
      <c r="A1124" s="9">
        <v>46023</v>
      </c>
      <c r="B1124">
        <v>4</v>
      </c>
      <c r="C1124" s="16" t="s">
        <v>59</v>
      </c>
      <c r="D1124">
        <v>12</v>
      </c>
      <c r="E1124" s="16" t="s">
        <v>49</v>
      </c>
      <c r="F1124" s="18">
        <v>1029</v>
      </c>
      <c r="G1124" s="22">
        <v>49</v>
      </c>
      <c r="H1124" s="18">
        <v>2.5575250481190399</v>
      </c>
      <c r="I1124" s="18">
        <v>125.318727357833</v>
      </c>
      <c r="J1124" s="18">
        <v>903.68127264216605</v>
      </c>
      <c r="K1124" s="22">
        <v>0</v>
      </c>
      <c r="L1124" s="22" t="str">
        <f t="shared" si="17"/>
        <v>46023, 4, 12</v>
      </c>
    </row>
    <row r="1125" spans="1:12">
      <c r="A1125" s="9">
        <v>46023</v>
      </c>
      <c r="B1125">
        <v>4</v>
      </c>
      <c r="C1125" s="16" t="s">
        <v>59</v>
      </c>
      <c r="D1125">
        <v>13</v>
      </c>
      <c r="E1125" s="16" t="s">
        <v>50</v>
      </c>
      <c r="F1125" s="18">
        <v>3740</v>
      </c>
      <c r="G1125" s="22">
        <v>170</v>
      </c>
      <c r="H1125" s="18">
        <v>5.8381178499999997</v>
      </c>
      <c r="I1125" s="18">
        <v>992.48003449999999</v>
      </c>
      <c r="J1125" s="18">
        <v>2747.5199655000001</v>
      </c>
      <c r="K1125" s="22">
        <v>0</v>
      </c>
      <c r="L1125" s="22" t="str">
        <f t="shared" si="17"/>
        <v>46023, 4, 13</v>
      </c>
    </row>
    <row r="1126" spans="1:12">
      <c r="A1126" s="9">
        <v>46023</v>
      </c>
      <c r="B1126">
        <v>4</v>
      </c>
      <c r="C1126" s="16" t="s">
        <v>59</v>
      </c>
      <c r="D1126">
        <v>14</v>
      </c>
      <c r="E1126" s="16" t="s">
        <v>51</v>
      </c>
      <c r="F1126" s="18">
        <v>2079</v>
      </c>
      <c r="G1126" s="22">
        <v>77</v>
      </c>
      <c r="H1126" s="18">
        <v>4.3379169386111096</v>
      </c>
      <c r="I1126" s="18">
        <v>334.01960427305499</v>
      </c>
      <c r="J1126" s="18">
        <v>1744.9803957269401</v>
      </c>
      <c r="K1126" s="22">
        <v>0</v>
      </c>
      <c r="L1126" s="22" t="str">
        <f t="shared" si="17"/>
        <v>46023, 4, 14</v>
      </c>
    </row>
    <row r="1127" spans="1:12">
      <c r="A1127" s="9">
        <v>46023</v>
      </c>
      <c r="B1127">
        <v>4</v>
      </c>
      <c r="C1127" s="16" t="s">
        <v>59</v>
      </c>
      <c r="D1127">
        <v>15</v>
      </c>
      <c r="E1127" s="16" t="s">
        <v>52</v>
      </c>
      <c r="F1127" s="18">
        <v>2021</v>
      </c>
      <c r="G1127" s="22">
        <v>86</v>
      </c>
      <c r="H1127" s="18">
        <v>2.8254108430499998</v>
      </c>
      <c r="I1127" s="18">
        <v>242.9853325023</v>
      </c>
      <c r="J1127" s="18">
        <v>1778.0146674977</v>
      </c>
      <c r="K1127" s="22">
        <v>0</v>
      </c>
      <c r="L1127" s="22" t="str">
        <f t="shared" si="17"/>
        <v>46023, 4, 15</v>
      </c>
    </row>
    <row r="1128" spans="1:12">
      <c r="A1128" s="9">
        <v>46023</v>
      </c>
      <c r="B1128">
        <v>4</v>
      </c>
      <c r="C1128" s="16" t="s">
        <v>59</v>
      </c>
      <c r="D1128">
        <v>16</v>
      </c>
      <c r="E1128" s="16" t="s">
        <v>53</v>
      </c>
      <c r="F1128" s="18">
        <v>1164.5</v>
      </c>
      <c r="G1128" s="22">
        <v>137</v>
      </c>
      <c r="H1128" s="18">
        <v>1.2807890363888801</v>
      </c>
      <c r="I1128" s="18">
        <v>175.46809798527701</v>
      </c>
      <c r="J1128" s="18">
        <v>989.03190201472205</v>
      </c>
      <c r="K1128" s="22">
        <v>0</v>
      </c>
      <c r="L1128" s="22" t="str">
        <f t="shared" si="17"/>
        <v>46023, 4, 16</v>
      </c>
    </row>
    <row r="1129" spans="1:12">
      <c r="A1129" s="9">
        <v>46023</v>
      </c>
      <c r="B1129">
        <v>4</v>
      </c>
      <c r="C1129" s="16" t="s">
        <v>59</v>
      </c>
      <c r="D1129">
        <v>17</v>
      </c>
      <c r="E1129" s="16" t="s">
        <v>54</v>
      </c>
      <c r="F1129" s="18">
        <v>900</v>
      </c>
      <c r="G1129" s="22">
        <v>120</v>
      </c>
      <c r="H1129" s="18">
        <v>1.24045669954545</v>
      </c>
      <c r="I1129" s="18">
        <v>148.85480394545399</v>
      </c>
      <c r="J1129" s="18">
        <v>751.14519605454495</v>
      </c>
      <c r="K1129" s="22">
        <v>0</v>
      </c>
      <c r="L1129" s="22" t="str">
        <f t="shared" si="17"/>
        <v>46023, 4, 17</v>
      </c>
    </row>
    <row r="1130" spans="1:12">
      <c r="A1130" s="9">
        <v>46023</v>
      </c>
      <c r="B1130">
        <v>4</v>
      </c>
      <c r="C1130" s="16" t="s">
        <v>59</v>
      </c>
      <c r="D1130">
        <v>18</v>
      </c>
      <c r="E1130" s="16" t="s">
        <v>55</v>
      </c>
      <c r="F1130" s="18">
        <v>552</v>
      </c>
      <c r="G1130" s="22">
        <v>24</v>
      </c>
      <c r="H1130" s="18">
        <v>6.3672743461911701</v>
      </c>
      <c r="I1130" s="18">
        <v>152.814584308588</v>
      </c>
      <c r="J1130" s="18">
        <v>399.18541569141098</v>
      </c>
      <c r="K1130" s="22">
        <v>0</v>
      </c>
      <c r="L1130" s="22" t="str">
        <f t="shared" si="17"/>
        <v>46023, 4, 18</v>
      </c>
    </row>
    <row r="1131" spans="1:12">
      <c r="A1131" s="9">
        <v>46054</v>
      </c>
      <c r="B1131">
        <v>4</v>
      </c>
      <c r="C1131" s="16" t="s">
        <v>59</v>
      </c>
      <c r="D1131">
        <v>1</v>
      </c>
      <c r="E1131" s="16" t="s">
        <v>38</v>
      </c>
      <c r="F1131" s="18">
        <v>2772</v>
      </c>
      <c r="G1131" s="22">
        <v>132</v>
      </c>
      <c r="H1131" s="18">
        <v>3.6165821944444398</v>
      </c>
      <c r="I1131" s="18">
        <v>477.38884966666598</v>
      </c>
      <c r="J1131" s="18">
        <v>2294.61115033333</v>
      </c>
      <c r="K1131" s="22">
        <v>0</v>
      </c>
      <c r="L1131" s="22" t="str">
        <f t="shared" si="17"/>
        <v>46054, 4, 1</v>
      </c>
    </row>
    <row r="1132" spans="1:12">
      <c r="A1132" s="9">
        <v>46054</v>
      </c>
      <c r="B1132">
        <v>4</v>
      </c>
      <c r="C1132" s="16" t="s">
        <v>59</v>
      </c>
      <c r="D1132">
        <v>2</v>
      </c>
      <c r="E1132" s="16" t="s">
        <v>40</v>
      </c>
      <c r="F1132" s="18">
        <v>2691</v>
      </c>
      <c r="G1132" s="22">
        <v>117</v>
      </c>
      <c r="H1132" s="18">
        <v>5.8713998922500004</v>
      </c>
      <c r="I1132" s="18">
        <v>686.95378739324997</v>
      </c>
      <c r="J1132" s="18">
        <v>2004.04621260675</v>
      </c>
      <c r="K1132" s="22">
        <v>0</v>
      </c>
      <c r="L1132" s="22" t="str">
        <f t="shared" si="17"/>
        <v>46054, 4, 2</v>
      </c>
    </row>
    <row r="1133" spans="1:12">
      <c r="A1133" s="9">
        <v>46054</v>
      </c>
      <c r="B1133">
        <v>4</v>
      </c>
      <c r="C1133" s="16" t="s">
        <v>59</v>
      </c>
      <c r="D1133">
        <v>3</v>
      </c>
      <c r="E1133" s="16" t="s">
        <v>41</v>
      </c>
      <c r="F1133" s="18">
        <v>2352</v>
      </c>
      <c r="G1133" s="22">
        <v>96</v>
      </c>
      <c r="H1133" s="18">
        <v>3.15634635252631</v>
      </c>
      <c r="I1133" s="18">
        <v>303.009249842526</v>
      </c>
      <c r="J1133" s="18">
        <v>2048.9907501574698</v>
      </c>
      <c r="K1133" s="22">
        <v>0</v>
      </c>
      <c r="L1133" s="22" t="str">
        <f t="shared" si="17"/>
        <v>46054, 4, 3</v>
      </c>
    </row>
    <row r="1134" spans="1:12">
      <c r="A1134" s="9">
        <v>46054</v>
      </c>
      <c r="B1134">
        <v>4</v>
      </c>
      <c r="C1134" s="16" t="s">
        <v>59</v>
      </c>
      <c r="D1134">
        <v>5</v>
      </c>
      <c r="E1134" s="16" t="s">
        <v>43</v>
      </c>
      <c r="F1134" s="18">
        <v>1500</v>
      </c>
      <c r="G1134" s="22">
        <v>75</v>
      </c>
      <c r="H1134" s="18">
        <v>6.4104687499999997</v>
      </c>
      <c r="I1134" s="18">
        <v>480.78515625</v>
      </c>
      <c r="J1134" s="18">
        <v>1019.21484375</v>
      </c>
      <c r="K1134" s="22">
        <v>0</v>
      </c>
      <c r="L1134" s="22" t="str">
        <f t="shared" si="17"/>
        <v>46054, 4, 5</v>
      </c>
    </row>
    <row r="1135" spans="1:12">
      <c r="A1135" s="9">
        <v>46054</v>
      </c>
      <c r="B1135">
        <v>4</v>
      </c>
      <c r="C1135" s="16" t="s">
        <v>59</v>
      </c>
      <c r="D1135">
        <v>6</v>
      </c>
      <c r="E1135" s="16" t="s">
        <v>44</v>
      </c>
      <c r="F1135" s="18">
        <v>2574</v>
      </c>
      <c r="G1135" s="22">
        <v>117</v>
      </c>
      <c r="H1135" s="18">
        <v>4.4829042183571399</v>
      </c>
      <c r="I1135" s="18">
        <v>524.49979354778498</v>
      </c>
      <c r="J1135" s="18">
        <v>2049.50020645221</v>
      </c>
      <c r="K1135" s="22">
        <v>0</v>
      </c>
      <c r="L1135" s="22" t="str">
        <f t="shared" si="17"/>
        <v>46054, 4, 6</v>
      </c>
    </row>
    <row r="1136" spans="1:12">
      <c r="A1136" s="9">
        <v>46054</v>
      </c>
      <c r="B1136">
        <v>4</v>
      </c>
      <c r="C1136" s="16" t="s">
        <v>59</v>
      </c>
      <c r="D1136">
        <v>8</v>
      </c>
      <c r="E1136" s="16" t="s">
        <v>46</v>
      </c>
      <c r="F1136" s="18">
        <v>1196</v>
      </c>
      <c r="G1136" s="22">
        <v>104</v>
      </c>
      <c r="H1136" s="18">
        <v>0.65934808476190399</v>
      </c>
      <c r="I1136" s="18">
        <v>68.572200815238006</v>
      </c>
      <c r="J1136" s="18">
        <v>1127.42779918476</v>
      </c>
      <c r="K1136" s="22">
        <v>0</v>
      </c>
      <c r="L1136" s="22" t="str">
        <f t="shared" si="17"/>
        <v>46054, 4, 8</v>
      </c>
    </row>
    <row r="1137" spans="1:12">
      <c r="A1137" s="9">
        <v>46054</v>
      </c>
      <c r="B1137">
        <v>4</v>
      </c>
      <c r="C1137" s="16" t="s">
        <v>59</v>
      </c>
      <c r="D1137">
        <v>9</v>
      </c>
      <c r="E1137" s="16" t="s">
        <v>47</v>
      </c>
      <c r="F1137" s="18">
        <v>2660</v>
      </c>
      <c r="G1137" s="22">
        <v>56</v>
      </c>
      <c r="H1137" s="18">
        <v>16.409264701705801</v>
      </c>
      <c r="I1137" s="18">
        <v>918.91882329552902</v>
      </c>
      <c r="J1137" s="18">
        <v>1741.08117670447</v>
      </c>
      <c r="K1137" s="22">
        <v>0</v>
      </c>
      <c r="L1137" s="22" t="str">
        <f t="shared" si="17"/>
        <v>46054, 4, 9</v>
      </c>
    </row>
    <row r="1138" spans="1:12">
      <c r="A1138" s="9">
        <v>46054</v>
      </c>
      <c r="B1138">
        <v>4</v>
      </c>
      <c r="C1138" s="16" t="s">
        <v>59</v>
      </c>
      <c r="D1138">
        <v>10</v>
      </c>
      <c r="E1138" s="16" t="s">
        <v>57</v>
      </c>
      <c r="F1138" s="18">
        <v>850.5</v>
      </c>
      <c r="G1138" s="22">
        <v>63</v>
      </c>
      <c r="H1138" s="18">
        <v>2.3468921204526301</v>
      </c>
      <c r="I1138" s="18">
        <v>147.85420358851499</v>
      </c>
      <c r="J1138" s="18">
        <v>702.64579641148396</v>
      </c>
      <c r="K1138" s="22">
        <v>0</v>
      </c>
      <c r="L1138" s="22" t="str">
        <f t="shared" si="17"/>
        <v>46054, 4, 10</v>
      </c>
    </row>
    <row r="1139" spans="1:12">
      <c r="A1139" s="9">
        <v>46054</v>
      </c>
      <c r="B1139">
        <v>4</v>
      </c>
      <c r="C1139" s="16" t="s">
        <v>59</v>
      </c>
      <c r="D1139">
        <v>11</v>
      </c>
      <c r="E1139" s="16" t="s">
        <v>48</v>
      </c>
      <c r="F1139" s="18">
        <v>1840</v>
      </c>
      <c r="G1139" s="22">
        <v>92</v>
      </c>
      <c r="H1139" s="18">
        <v>1.73951802272727</v>
      </c>
      <c r="I1139" s="18">
        <v>160.03565809090901</v>
      </c>
      <c r="J1139" s="18">
        <v>1679.9643419090901</v>
      </c>
      <c r="K1139" s="22">
        <v>0</v>
      </c>
      <c r="L1139" s="22" t="str">
        <f t="shared" si="17"/>
        <v>46054, 4, 11</v>
      </c>
    </row>
    <row r="1140" spans="1:12">
      <c r="A1140" s="9">
        <v>46054</v>
      </c>
      <c r="B1140">
        <v>4</v>
      </c>
      <c r="C1140" s="16" t="s">
        <v>59</v>
      </c>
      <c r="D1140">
        <v>12</v>
      </c>
      <c r="E1140" s="16" t="s">
        <v>49</v>
      </c>
      <c r="F1140" s="18">
        <v>882</v>
      </c>
      <c r="G1140" s="22">
        <v>42</v>
      </c>
      <c r="H1140" s="18">
        <v>2.54746322626315</v>
      </c>
      <c r="I1140" s="18">
        <v>106.993455503052</v>
      </c>
      <c r="J1140" s="18">
        <v>775.00654449694696</v>
      </c>
      <c r="K1140" s="22">
        <v>0</v>
      </c>
      <c r="L1140" s="22" t="str">
        <f t="shared" si="17"/>
        <v>46054, 4, 12</v>
      </c>
    </row>
    <row r="1141" spans="1:12">
      <c r="A1141" s="9">
        <v>46054</v>
      </c>
      <c r="B1141">
        <v>4</v>
      </c>
      <c r="C1141" s="16" t="s">
        <v>59</v>
      </c>
      <c r="D1141">
        <v>13</v>
      </c>
      <c r="E1141" s="16" t="s">
        <v>50</v>
      </c>
      <c r="F1141" s="18">
        <v>3278</v>
      </c>
      <c r="G1141" s="22">
        <v>149</v>
      </c>
      <c r="H1141" s="18">
        <v>5.8050673888888804</v>
      </c>
      <c r="I1141" s="18">
        <v>864.95504094444402</v>
      </c>
      <c r="J1141" s="18">
        <v>2413.04495905555</v>
      </c>
      <c r="K1141" s="22">
        <v>0</v>
      </c>
      <c r="L1141" s="22" t="str">
        <f t="shared" si="17"/>
        <v>46054, 4, 13</v>
      </c>
    </row>
    <row r="1142" spans="1:12">
      <c r="A1142" s="9">
        <v>46054</v>
      </c>
      <c r="B1142">
        <v>4</v>
      </c>
      <c r="C1142" s="16" t="s">
        <v>59</v>
      </c>
      <c r="D1142">
        <v>14</v>
      </c>
      <c r="E1142" s="16" t="s">
        <v>51</v>
      </c>
      <c r="F1142" s="18">
        <v>2214</v>
      </c>
      <c r="G1142" s="22">
        <v>82</v>
      </c>
      <c r="H1142" s="18">
        <v>4.3215646139666601</v>
      </c>
      <c r="I1142" s="18">
        <v>354.368298345266</v>
      </c>
      <c r="J1142" s="18">
        <v>1859.63170165473</v>
      </c>
      <c r="K1142" s="22">
        <v>0</v>
      </c>
      <c r="L1142" s="22" t="str">
        <f t="shared" si="17"/>
        <v>46054, 4, 14</v>
      </c>
    </row>
    <row r="1143" spans="1:12">
      <c r="A1143" s="9">
        <v>46054</v>
      </c>
      <c r="B1143">
        <v>4</v>
      </c>
      <c r="C1143" s="16" t="s">
        <v>59</v>
      </c>
      <c r="D1143">
        <v>15</v>
      </c>
      <c r="E1143" s="16" t="s">
        <v>52</v>
      </c>
      <c r="F1143" s="18">
        <v>1598</v>
      </c>
      <c r="G1143" s="22">
        <v>68</v>
      </c>
      <c r="H1143" s="18">
        <v>2.8072346549473601</v>
      </c>
      <c r="I1143" s="18">
        <v>190.89195653642099</v>
      </c>
      <c r="J1143" s="18">
        <v>1407.1080434635701</v>
      </c>
      <c r="K1143" s="22">
        <v>0</v>
      </c>
      <c r="L1143" s="22" t="str">
        <f t="shared" si="17"/>
        <v>46054, 4, 15</v>
      </c>
    </row>
    <row r="1144" spans="1:12">
      <c r="A1144" s="9">
        <v>46054</v>
      </c>
      <c r="B1144">
        <v>4</v>
      </c>
      <c r="C1144" s="16" t="s">
        <v>59</v>
      </c>
      <c r="D1144">
        <v>16</v>
      </c>
      <c r="E1144" s="16" t="s">
        <v>53</v>
      </c>
      <c r="F1144" s="18">
        <v>1113.5</v>
      </c>
      <c r="G1144" s="22">
        <v>131</v>
      </c>
      <c r="H1144" s="18">
        <v>1.26744493409722</v>
      </c>
      <c r="I1144" s="18">
        <v>166.03528636673599</v>
      </c>
      <c r="J1144" s="18">
        <v>947.46471363326305</v>
      </c>
      <c r="K1144" s="22">
        <v>0</v>
      </c>
      <c r="L1144" s="22" t="str">
        <f t="shared" si="17"/>
        <v>46054, 4, 16</v>
      </c>
    </row>
    <row r="1145" spans="1:12">
      <c r="A1145" s="9">
        <v>46054</v>
      </c>
      <c r="B1145">
        <v>4</v>
      </c>
      <c r="C1145" s="16" t="s">
        <v>59</v>
      </c>
      <c r="D1145">
        <v>17</v>
      </c>
      <c r="E1145" s="16" t="s">
        <v>54</v>
      </c>
      <c r="F1145" s="18">
        <v>810</v>
      </c>
      <c r="G1145" s="22">
        <v>108</v>
      </c>
      <c r="H1145" s="18">
        <v>1.23268377888888</v>
      </c>
      <c r="I1145" s="18">
        <v>133.12984811999999</v>
      </c>
      <c r="J1145" s="18">
        <v>676.87015187999896</v>
      </c>
      <c r="K1145" s="22">
        <v>0</v>
      </c>
      <c r="L1145" s="22" t="str">
        <f t="shared" si="17"/>
        <v>46054, 4, 17</v>
      </c>
    </row>
    <row r="1146" spans="1:12">
      <c r="A1146" s="9">
        <v>46054</v>
      </c>
      <c r="B1146">
        <v>4</v>
      </c>
      <c r="C1146" s="16" t="s">
        <v>59</v>
      </c>
      <c r="D1146">
        <v>18</v>
      </c>
      <c r="E1146" s="16" t="s">
        <v>55</v>
      </c>
      <c r="F1146" s="18">
        <v>943</v>
      </c>
      <c r="G1146" s="22">
        <v>41</v>
      </c>
      <c r="H1146" s="18">
        <v>6.41756419078125</v>
      </c>
      <c r="I1146" s="18">
        <v>263.120131822031</v>
      </c>
      <c r="J1146" s="18">
        <v>679.87986817796798</v>
      </c>
      <c r="K1146" s="22">
        <v>0</v>
      </c>
      <c r="L1146" s="22" t="str">
        <f t="shared" si="17"/>
        <v>46054, 4, 18</v>
      </c>
    </row>
    <row r="1147" spans="1:12">
      <c r="A1147" s="9">
        <v>46082</v>
      </c>
      <c r="B1147">
        <v>4</v>
      </c>
      <c r="C1147" s="16" t="s">
        <v>59</v>
      </c>
      <c r="D1147">
        <v>1</v>
      </c>
      <c r="E1147" s="16" t="s">
        <v>38</v>
      </c>
      <c r="F1147" s="18">
        <v>2772</v>
      </c>
      <c r="G1147" s="22">
        <v>132</v>
      </c>
      <c r="H1147" s="18">
        <v>3.6352370249999999</v>
      </c>
      <c r="I1147" s="18">
        <v>479.85128730000002</v>
      </c>
      <c r="J1147" s="18">
        <v>2292.1487127</v>
      </c>
      <c r="K1147" s="22">
        <v>0</v>
      </c>
      <c r="L1147" s="22" t="str">
        <f t="shared" si="17"/>
        <v>46082, 4, 1</v>
      </c>
    </row>
    <row r="1148" spans="1:12">
      <c r="A1148" s="9">
        <v>46082</v>
      </c>
      <c r="B1148">
        <v>4</v>
      </c>
      <c r="C1148" s="16" t="s">
        <v>59</v>
      </c>
      <c r="D1148">
        <v>2</v>
      </c>
      <c r="E1148" s="16" t="s">
        <v>40</v>
      </c>
      <c r="F1148" s="18">
        <v>2530</v>
      </c>
      <c r="G1148" s="22">
        <v>110</v>
      </c>
      <c r="H1148" s="18">
        <v>5.83880310244444</v>
      </c>
      <c r="I1148" s="18">
        <v>642.26834126888798</v>
      </c>
      <c r="J1148" s="18">
        <v>1887.73165873111</v>
      </c>
      <c r="K1148" s="22">
        <v>0</v>
      </c>
      <c r="L1148" s="22" t="str">
        <f t="shared" si="17"/>
        <v>46082, 4, 2</v>
      </c>
    </row>
    <row r="1149" spans="1:12">
      <c r="A1149" s="9">
        <v>46082</v>
      </c>
      <c r="B1149">
        <v>4</v>
      </c>
      <c r="C1149" s="16" t="s">
        <v>59</v>
      </c>
      <c r="D1149">
        <v>3</v>
      </c>
      <c r="E1149" s="16" t="s">
        <v>41</v>
      </c>
      <c r="F1149" s="18">
        <v>2278.5</v>
      </c>
      <c r="G1149" s="22">
        <v>93</v>
      </c>
      <c r="H1149" s="18">
        <v>3.1906987325</v>
      </c>
      <c r="I1149" s="18">
        <v>296.73498212250001</v>
      </c>
      <c r="J1149" s="18">
        <v>1981.7650178775</v>
      </c>
      <c r="K1149" s="22">
        <v>0</v>
      </c>
      <c r="L1149" s="22" t="str">
        <f t="shared" si="17"/>
        <v>46082, 4, 3</v>
      </c>
    </row>
    <row r="1150" spans="1:12">
      <c r="A1150" s="9">
        <v>46082</v>
      </c>
      <c r="B1150">
        <v>4</v>
      </c>
      <c r="C1150" s="16" t="s">
        <v>59</v>
      </c>
      <c r="D1150">
        <v>5</v>
      </c>
      <c r="E1150" s="16" t="s">
        <v>43</v>
      </c>
      <c r="F1150" s="18">
        <v>1440</v>
      </c>
      <c r="G1150" s="22">
        <v>72</v>
      </c>
      <c r="H1150" s="18">
        <v>6.2142578124999996</v>
      </c>
      <c r="I1150" s="18">
        <v>447.42656249999999</v>
      </c>
      <c r="J1150" s="18">
        <v>992.57343749999995</v>
      </c>
      <c r="K1150" s="22">
        <v>0</v>
      </c>
      <c r="L1150" s="22" t="str">
        <f t="shared" si="17"/>
        <v>46082, 4, 5</v>
      </c>
    </row>
    <row r="1151" spans="1:12">
      <c r="A1151" s="9">
        <v>46082</v>
      </c>
      <c r="B1151">
        <v>4</v>
      </c>
      <c r="C1151" s="16" t="s">
        <v>59</v>
      </c>
      <c r="D1151">
        <v>6</v>
      </c>
      <c r="E1151" s="16" t="s">
        <v>44</v>
      </c>
      <c r="F1151" s="18">
        <v>2288</v>
      </c>
      <c r="G1151" s="22">
        <v>104</v>
      </c>
      <c r="H1151" s="18">
        <v>4.5147321837499996</v>
      </c>
      <c r="I1151" s="18">
        <v>469.53214710999998</v>
      </c>
      <c r="J1151" s="18">
        <v>1818.4678528899999</v>
      </c>
      <c r="K1151" s="22">
        <v>0</v>
      </c>
      <c r="L1151" s="22" t="str">
        <f t="shared" si="17"/>
        <v>46082, 4, 6</v>
      </c>
    </row>
    <row r="1152" spans="1:12">
      <c r="A1152" s="9">
        <v>46082</v>
      </c>
      <c r="B1152">
        <v>4</v>
      </c>
      <c r="C1152" s="16" t="s">
        <v>59</v>
      </c>
      <c r="D1152">
        <v>8</v>
      </c>
      <c r="E1152" s="16" t="s">
        <v>46</v>
      </c>
      <c r="F1152" s="18">
        <v>1391.5</v>
      </c>
      <c r="G1152" s="22">
        <v>121</v>
      </c>
      <c r="H1152" s="18">
        <v>0.69649998854166595</v>
      </c>
      <c r="I1152" s="18">
        <v>84.276498613541605</v>
      </c>
      <c r="J1152" s="18">
        <v>1307.2235013864499</v>
      </c>
      <c r="K1152" s="22">
        <v>0</v>
      </c>
      <c r="L1152" s="22" t="str">
        <f t="shared" si="17"/>
        <v>46082, 4, 8</v>
      </c>
    </row>
    <row r="1153" spans="1:12">
      <c r="A1153" s="9">
        <v>46082</v>
      </c>
      <c r="B1153">
        <v>4</v>
      </c>
      <c r="C1153" s="16" t="s">
        <v>59</v>
      </c>
      <c r="D1153">
        <v>9</v>
      </c>
      <c r="E1153" s="16" t="s">
        <v>47</v>
      </c>
      <c r="F1153" s="18">
        <v>2992.5</v>
      </c>
      <c r="G1153" s="22">
        <v>63</v>
      </c>
      <c r="H1153" s="18">
        <v>16.445838547910601</v>
      </c>
      <c r="I1153" s="18">
        <v>1036.0878285183701</v>
      </c>
      <c r="J1153" s="18">
        <v>1956.4121714816199</v>
      </c>
      <c r="K1153" s="22">
        <v>0</v>
      </c>
      <c r="L1153" s="22" t="str">
        <f t="shared" si="17"/>
        <v>46082, 4, 9</v>
      </c>
    </row>
    <row r="1154" spans="1:12">
      <c r="A1154" s="9">
        <v>46082</v>
      </c>
      <c r="B1154">
        <v>4</v>
      </c>
      <c r="C1154" s="16" t="s">
        <v>59</v>
      </c>
      <c r="D1154">
        <v>10</v>
      </c>
      <c r="E1154" s="16" t="s">
        <v>57</v>
      </c>
      <c r="F1154" s="18">
        <v>1080</v>
      </c>
      <c r="G1154" s="22">
        <v>80</v>
      </c>
      <c r="H1154" s="18">
        <v>2.2849365745400001</v>
      </c>
      <c r="I1154" s="18">
        <v>182.7949259632</v>
      </c>
      <c r="J1154" s="18">
        <v>897.20507403680006</v>
      </c>
      <c r="K1154" s="22">
        <v>0</v>
      </c>
      <c r="L1154" s="22" t="str">
        <f t="shared" si="17"/>
        <v>46082, 4, 10</v>
      </c>
    </row>
    <row r="1155" spans="1:12">
      <c r="A1155" s="9">
        <v>46082</v>
      </c>
      <c r="B1155">
        <v>4</v>
      </c>
      <c r="C1155" s="16" t="s">
        <v>59</v>
      </c>
      <c r="D1155">
        <v>11</v>
      </c>
      <c r="E1155" s="16" t="s">
        <v>48</v>
      </c>
      <c r="F1155" s="18">
        <v>2140</v>
      </c>
      <c r="G1155" s="22">
        <v>107</v>
      </c>
      <c r="H1155" s="18">
        <v>1.7517115000000001</v>
      </c>
      <c r="I1155" s="18">
        <v>187.4331305</v>
      </c>
      <c r="J1155" s="18">
        <v>1952.5668694999999</v>
      </c>
      <c r="K1155" s="22">
        <v>0</v>
      </c>
      <c r="L1155" s="22" t="str">
        <f t="shared" ref="L1155:L1218" si="18">(A1155&amp; ", "&amp; B1155&amp; ", "&amp; D1155)</f>
        <v>46082, 4, 11</v>
      </c>
    </row>
    <row r="1156" spans="1:12">
      <c r="A1156" s="9">
        <v>46082</v>
      </c>
      <c r="B1156">
        <v>4</v>
      </c>
      <c r="C1156" s="16" t="s">
        <v>59</v>
      </c>
      <c r="D1156">
        <v>12</v>
      </c>
      <c r="E1156" s="16" t="s">
        <v>49</v>
      </c>
      <c r="F1156" s="18">
        <v>1281</v>
      </c>
      <c r="G1156" s="22">
        <v>61</v>
      </c>
      <c r="H1156" s="18">
        <v>2.61628797827272</v>
      </c>
      <c r="I1156" s="18">
        <v>159.59356667463601</v>
      </c>
      <c r="J1156" s="18">
        <v>1121.40643332536</v>
      </c>
      <c r="K1156" s="22">
        <v>0</v>
      </c>
      <c r="L1156" s="22" t="str">
        <f t="shared" si="18"/>
        <v>46082, 4, 12</v>
      </c>
    </row>
    <row r="1157" spans="1:12">
      <c r="A1157" s="9">
        <v>46082</v>
      </c>
      <c r="B1157">
        <v>4</v>
      </c>
      <c r="C1157" s="16" t="s">
        <v>59</v>
      </c>
      <c r="D1157">
        <v>13</v>
      </c>
      <c r="E1157" s="16" t="s">
        <v>50</v>
      </c>
      <c r="F1157" s="18">
        <v>3036</v>
      </c>
      <c r="G1157" s="22">
        <v>138</v>
      </c>
      <c r="H1157" s="18">
        <v>5.7885683500000003</v>
      </c>
      <c r="I1157" s="18">
        <v>798.82243229999995</v>
      </c>
      <c r="J1157" s="18">
        <v>2237.1775677000001</v>
      </c>
      <c r="K1157" s="22">
        <v>0</v>
      </c>
      <c r="L1157" s="22" t="str">
        <f t="shared" si="18"/>
        <v>46082, 4, 13</v>
      </c>
    </row>
    <row r="1158" spans="1:12">
      <c r="A1158" s="9">
        <v>46082</v>
      </c>
      <c r="B1158">
        <v>4</v>
      </c>
      <c r="C1158" s="16" t="s">
        <v>59</v>
      </c>
      <c r="D1158">
        <v>14</v>
      </c>
      <c r="E1158" s="16" t="s">
        <v>51</v>
      </c>
      <c r="F1158" s="18">
        <v>1998</v>
      </c>
      <c r="G1158" s="22">
        <v>74</v>
      </c>
      <c r="H1158" s="18">
        <v>4.3651391751439297</v>
      </c>
      <c r="I1158" s="18">
        <v>323.02029896065102</v>
      </c>
      <c r="J1158" s="18">
        <v>1674.9797010393399</v>
      </c>
      <c r="K1158" s="22">
        <v>0</v>
      </c>
      <c r="L1158" s="22" t="str">
        <f t="shared" si="18"/>
        <v>46082, 4, 14</v>
      </c>
    </row>
    <row r="1159" spans="1:12">
      <c r="A1159" s="9">
        <v>46082</v>
      </c>
      <c r="B1159">
        <v>4</v>
      </c>
      <c r="C1159" s="16" t="s">
        <v>59</v>
      </c>
      <c r="D1159">
        <v>15</v>
      </c>
      <c r="E1159" s="16" t="s">
        <v>52</v>
      </c>
      <c r="F1159" s="18">
        <v>2162</v>
      </c>
      <c r="G1159" s="22">
        <v>92</v>
      </c>
      <c r="H1159" s="18">
        <v>2.8353804561428499</v>
      </c>
      <c r="I1159" s="18">
        <v>260.85500196514198</v>
      </c>
      <c r="J1159" s="18">
        <v>1901.14499803485</v>
      </c>
      <c r="K1159" s="22">
        <v>0</v>
      </c>
      <c r="L1159" s="22" t="str">
        <f t="shared" si="18"/>
        <v>46082, 4, 15</v>
      </c>
    </row>
    <row r="1160" spans="1:12">
      <c r="A1160" s="9">
        <v>46082</v>
      </c>
      <c r="B1160">
        <v>4</v>
      </c>
      <c r="C1160" s="16" t="s">
        <v>59</v>
      </c>
      <c r="D1160">
        <v>16</v>
      </c>
      <c r="E1160" s="16" t="s">
        <v>53</v>
      </c>
      <c r="F1160" s="18">
        <v>1198.5</v>
      </c>
      <c r="G1160" s="22">
        <v>141</v>
      </c>
      <c r="H1160" s="18">
        <v>1.2861097022222201</v>
      </c>
      <c r="I1160" s="18">
        <v>181.34146801333301</v>
      </c>
      <c r="J1160" s="18">
        <v>1017.15853198666</v>
      </c>
      <c r="K1160" s="22">
        <v>0</v>
      </c>
      <c r="L1160" s="22" t="str">
        <f t="shared" si="18"/>
        <v>46082, 4, 16</v>
      </c>
    </row>
    <row r="1161" spans="1:12">
      <c r="A1161" s="9">
        <v>46082</v>
      </c>
      <c r="B1161">
        <v>4</v>
      </c>
      <c r="C1161" s="16" t="s">
        <v>59</v>
      </c>
      <c r="D1161">
        <v>17</v>
      </c>
      <c r="E1161" s="16" t="s">
        <v>54</v>
      </c>
      <c r="F1161" s="18">
        <v>1027.5</v>
      </c>
      <c r="G1161" s="22">
        <v>137</v>
      </c>
      <c r="H1161" s="18">
        <v>1.2382798077272701</v>
      </c>
      <c r="I1161" s="18">
        <v>169.64433365863599</v>
      </c>
      <c r="J1161" s="18">
        <v>857.85566634136296</v>
      </c>
      <c r="K1161" s="22">
        <v>0</v>
      </c>
      <c r="L1161" s="22" t="str">
        <f t="shared" si="18"/>
        <v>46082, 4, 17</v>
      </c>
    </row>
    <row r="1162" spans="1:12">
      <c r="A1162" s="9">
        <v>46082</v>
      </c>
      <c r="B1162">
        <v>4</v>
      </c>
      <c r="C1162" s="16" t="s">
        <v>59</v>
      </c>
      <c r="D1162">
        <v>18</v>
      </c>
      <c r="E1162" s="16" t="s">
        <v>55</v>
      </c>
      <c r="F1162" s="18">
        <v>966</v>
      </c>
      <c r="G1162" s="22">
        <v>42</v>
      </c>
      <c r="H1162" s="18">
        <v>6.4045422912638799</v>
      </c>
      <c r="I1162" s="18">
        <v>268.99077623308301</v>
      </c>
      <c r="J1162" s="18">
        <v>697.00922376691597</v>
      </c>
      <c r="K1162" s="22">
        <v>0</v>
      </c>
      <c r="L1162" s="22" t="str">
        <f t="shared" si="18"/>
        <v>46082, 4, 18</v>
      </c>
    </row>
    <row r="1163" spans="1:12">
      <c r="A1163" s="9">
        <v>46113</v>
      </c>
      <c r="B1163">
        <v>4</v>
      </c>
      <c r="C1163" s="16" t="s">
        <v>59</v>
      </c>
      <c r="D1163">
        <v>1</v>
      </c>
      <c r="E1163" s="16" t="s">
        <v>38</v>
      </c>
      <c r="F1163" s="18">
        <v>3297</v>
      </c>
      <c r="G1163" s="22">
        <v>157</v>
      </c>
      <c r="H1163" s="18">
        <v>3.6518326124999998</v>
      </c>
      <c r="I1163" s="18">
        <v>573.33772016249998</v>
      </c>
      <c r="J1163" s="18">
        <v>2723.6622798375001</v>
      </c>
      <c r="K1163" s="22">
        <v>0</v>
      </c>
      <c r="L1163" s="22" t="str">
        <f t="shared" si="18"/>
        <v>46113, 4, 1</v>
      </c>
    </row>
    <row r="1164" spans="1:12">
      <c r="A1164" s="9">
        <v>46113</v>
      </c>
      <c r="B1164">
        <v>4</v>
      </c>
      <c r="C1164" s="16" t="s">
        <v>59</v>
      </c>
      <c r="D1164">
        <v>2</v>
      </c>
      <c r="E1164" s="16" t="s">
        <v>40</v>
      </c>
      <c r="F1164" s="18">
        <v>3266</v>
      </c>
      <c r="G1164" s="22">
        <v>142</v>
      </c>
      <c r="H1164" s="18">
        <v>5.859022468</v>
      </c>
      <c r="I1164" s="18">
        <v>831.98119045600004</v>
      </c>
      <c r="J1164" s="18">
        <v>2434.0188095439999</v>
      </c>
      <c r="K1164" s="22">
        <v>0</v>
      </c>
      <c r="L1164" s="22" t="str">
        <f t="shared" si="18"/>
        <v>46113, 4, 2</v>
      </c>
    </row>
    <row r="1165" spans="1:12">
      <c r="A1165" s="9">
        <v>46113</v>
      </c>
      <c r="B1165">
        <v>4</v>
      </c>
      <c r="C1165" s="16" t="s">
        <v>59</v>
      </c>
      <c r="D1165">
        <v>3</v>
      </c>
      <c r="E1165" s="16" t="s">
        <v>41</v>
      </c>
      <c r="F1165" s="18">
        <v>2376.5</v>
      </c>
      <c r="G1165" s="22">
        <v>97</v>
      </c>
      <c r="H1165" s="18">
        <v>3.2031170116190402</v>
      </c>
      <c r="I1165" s="18">
        <v>310.702350127047</v>
      </c>
      <c r="J1165" s="18">
        <v>2065.7976498729499</v>
      </c>
      <c r="K1165" s="22">
        <v>0</v>
      </c>
      <c r="L1165" s="22" t="str">
        <f t="shared" si="18"/>
        <v>46113, 4, 3</v>
      </c>
    </row>
    <row r="1166" spans="1:12">
      <c r="A1166" s="9">
        <v>46113</v>
      </c>
      <c r="B1166">
        <v>4</v>
      </c>
      <c r="C1166" s="16" t="s">
        <v>59</v>
      </c>
      <c r="D1166">
        <v>5</v>
      </c>
      <c r="E1166" s="16" t="s">
        <v>43</v>
      </c>
      <c r="F1166" s="18">
        <v>1880</v>
      </c>
      <c r="G1166" s="22">
        <v>94</v>
      </c>
      <c r="H1166" s="18">
        <v>5.9671874999999996</v>
      </c>
      <c r="I1166" s="18">
        <v>560.91562499999998</v>
      </c>
      <c r="J1166" s="18">
        <v>1319.0843749999999</v>
      </c>
      <c r="K1166" s="22">
        <v>0</v>
      </c>
      <c r="L1166" s="22" t="str">
        <f t="shared" si="18"/>
        <v>46113, 4, 5</v>
      </c>
    </row>
    <row r="1167" spans="1:12">
      <c r="A1167" s="9">
        <v>46113</v>
      </c>
      <c r="B1167">
        <v>4</v>
      </c>
      <c r="C1167" s="16" t="s">
        <v>59</v>
      </c>
      <c r="D1167">
        <v>6</v>
      </c>
      <c r="E1167" s="16" t="s">
        <v>44</v>
      </c>
      <c r="F1167" s="18">
        <v>2574</v>
      </c>
      <c r="G1167" s="22">
        <v>117</v>
      </c>
      <c r="H1167" s="18">
        <v>4.53864971525</v>
      </c>
      <c r="I1167" s="18">
        <v>531.02201668425005</v>
      </c>
      <c r="J1167" s="18">
        <v>2042.97798331575</v>
      </c>
      <c r="K1167" s="22">
        <v>0</v>
      </c>
      <c r="L1167" s="22" t="str">
        <f t="shared" si="18"/>
        <v>46113, 4, 6</v>
      </c>
    </row>
    <row r="1168" spans="1:12">
      <c r="A1168" s="9">
        <v>46113</v>
      </c>
      <c r="B1168">
        <v>4</v>
      </c>
      <c r="C1168" s="16" t="s">
        <v>59</v>
      </c>
      <c r="D1168">
        <v>8</v>
      </c>
      <c r="E1168" s="16" t="s">
        <v>46</v>
      </c>
      <c r="F1168" s="18">
        <v>1322.5</v>
      </c>
      <c r="G1168" s="22">
        <v>115</v>
      </c>
      <c r="H1168" s="18">
        <v>0.69811211555555497</v>
      </c>
      <c r="I1168" s="18">
        <v>80.2828932888888</v>
      </c>
      <c r="J1168" s="18">
        <v>1242.2171067111101</v>
      </c>
      <c r="K1168" s="22">
        <v>0</v>
      </c>
      <c r="L1168" s="22" t="str">
        <f t="shared" si="18"/>
        <v>46113, 4, 8</v>
      </c>
    </row>
    <row r="1169" spans="1:12">
      <c r="A1169" s="9">
        <v>46113</v>
      </c>
      <c r="B1169">
        <v>4</v>
      </c>
      <c r="C1169" s="16" t="s">
        <v>59</v>
      </c>
      <c r="D1169">
        <v>9</v>
      </c>
      <c r="E1169" s="16" t="s">
        <v>47</v>
      </c>
      <c r="F1169" s="18">
        <v>1995</v>
      </c>
      <c r="G1169" s="22">
        <v>42</v>
      </c>
      <c r="H1169" s="18">
        <v>16.5424923513472</v>
      </c>
      <c r="I1169" s="18">
        <v>694.78467875658498</v>
      </c>
      <c r="J1169" s="18">
        <v>1300.21532124341</v>
      </c>
      <c r="K1169" s="22">
        <v>0</v>
      </c>
      <c r="L1169" s="22" t="str">
        <f t="shared" si="18"/>
        <v>46113, 4, 9</v>
      </c>
    </row>
    <row r="1170" spans="1:12">
      <c r="A1170" s="9">
        <v>46113</v>
      </c>
      <c r="B1170">
        <v>4</v>
      </c>
      <c r="C1170" s="16" t="s">
        <v>59</v>
      </c>
      <c r="D1170">
        <v>10</v>
      </c>
      <c r="E1170" s="16" t="s">
        <v>57</v>
      </c>
      <c r="F1170" s="18">
        <v>1458</v>
      </c>
      <c r="G1170" s="22">
        <v>108</v>
      </c>
      <c r="H1170" s="18">
        <v>2.1600661136666601</v>
      </c>
      <c r="I1170" s="18">
        <v>233.287140276</v>
      </c>
      <c r="J1170" s="18">
        <v>1224.7128597239901</v>
      </c>
      <c r="K1170" s="22">
        <v>0</v>
      </c>
      <c r="L1170" s="22" t="str">
        <f t="shared" si="18"/>
        <v>46113, 4, 10</v>
      </c>
    </row>
    <row r="1171" spans="1:12">
      <c r="A1171" s="9">
        <v>46113</v>
      </c>
      <c r="B1171">
        <v>4</v>
      </c>
      <c r="C1171" s="16" t="s">
        <v>59</v>
      </c>
      <c r="D1171">
        <v>11</v>
      </c>
      <c r="E1171" s="16" t="s">
        <v>48</v>
      </c>
      <c r="F1171" s="18">
        <v>2360</v>
      </c>
      <c r="G1171" s="22">
        <v>118</v>
      </c>
      <c r="H1171" s="18">
        <v>1.7463099375</v>
      </c>
      <c r="I1171" s="18">
        <v>206.06457262500001</v>
      </c>
      <c r="J1171" s="18">
        <v>2153.935427375</v>
      </c>
      <c r="K1171" s="22">
        <v>0</v>
      </c>
      <c r="L1171" s="22" t="str">
        <f t="shared" si="18"/>
        <v>46113, 4, 11</v>
      </c>
    </row>
    <row r="1172" spans="1:12">
      <c r="A1172" s="9">
        <v>46113</v>
      </c>
      <c r="B1172">
        <v>4</v>
      </c>
      <c r="C1172" s="16" t="s">
        <v>59</v>
      </c>
      <c r="D1172">
        <v>12</v>
      </c>
      <c r="E1172" s="16" t="s">
        <v>49</v>
      </c>
      <c r="F1172" s="18">
        <v>1260</v>
      </c>
      <c r="G1172" s="22">
        <v>60</v>
      </c>
      <c r="H1172" s="18">
        <v>2.5970375893408999</v>
      </c>
      <c r="I1172" s="18">
        <v>155.82225536045399</v>
      </c>
      <c r="J1172" s="18">
        <v>1104.1777446395399</v>
      </c>
      <c r="K1172" s="22">
        <v>0</v>
      </c>
      <c r="L1172" s="22" t="str">
        <f t="shared" si="18"/>
        <v>46113, 4, 12</v>
      </c>
    </row>
    <row r="1173" spans="1:12">
      <c r="A1173" s="9">
        <v>46113</v>
      </c>
      <c r="B1173">
        <v>4</v>
      </c>
      <c r="C1173" s="16" t="s">
        <v>59</v>
      </c>
      <c r="D1173">
        <v>13</v>
      </c>
      <c r="E1173" s="16" t="s">
        <v>50</v>
      </c>
      <c r="F1173" s="18">
        <v>3058</v>
      </c>
      <c r="G1173" s="22">
        <v>139</v>
      </c>
      <c r="H1173" s="18">
        <v>5.8031984000000003</v>
      </c>
      <c r="I1173" s="18">
        <v>806.64457760000005</v>
      </c>
      <c r="J1173" s="18">
        <v>2251.3554224</v>
      </c>
      <c r="K1173" s="22">
        <v>0</v>
      </c>
      <c r="L1173" s="22" t="str">
        <f t="shared" si="18"/>
        <v>46113, 4, 13</v>
      </c>
    </row>
    <row r="1174" spans="1:12">
      <c r="A1174" s="9">
        <v>46113</v>
      </c>
      <c r="B1174">
        <v>4</v>
      </c>
      <c r="C1174" s="16" t="s">
        <v>59</v>
      </c>
      <c r="D1174">
        <v>14</v>
      </c>
      <c r="E1174" s="16" t="s">
        <v>51</v>
      </c>
      <c r="F1174" s="18">
        <v>2241</v>
      </c>
      <c r="G1174" s="22">
        <v>83</v>
      </c>
      <c r="H1174" s="18">
        <v>4.3046502083650697</v>
      </c>
      <c r="I1174" s="18">
        <v>357.28596729430097</v>
      </c>
      <c r="J1174" s="18">
        <v>1883.71403270569</v>
      </c>
      <c r="K1174" s="22">
        <v>0</v>
      </c>
      <c r="L1174" s="22" t="str">
        <f t="shared" si="18"/>
        <v>46113, 4, 14</v>
      </c>
    </row>
    <row r="1175" spans="1:12">
      <c r="A1175" s="9">
        <v>46113</v>
      </c>
      <c r="B1175">
        <v>4</v>
      </c>
      <c r="C1175" s="16" t="s">
        <v>59</v>
      </c>
      <c r="D1175">
        <v>15</v>
      </c>
      <c r="E1175" s="16" t="s">
        <v>52</v>
      </c>
      <c r="F1175" s="18">
        <v>1927</v>
      </c>
      <c r="G1175" s="22">
        <v>82</v>
      </c>
      <c r="H1175" s="18">
        <v>2.8362001767619001</v>
      </c>
      <c r="I1175" s="18">
        <v>232.568414494476</v>
      </c>
      <c r="J1175" s="18">
        <v>1694.4315855055199</v>
      </c>
      <c r="K1175" s="22">
        <v>0</v>
      </c>
      <c r="L1175" s="22" t="str">
        <f t="shared" si="18"/>
        <v>46113, 4, 15</v>
      </c>
    </row>
    <row r="1176" spans="1:12">
      <c r="A1176" s="9">
        <v>46113</v>
      </c>
      <c r="B1176">
        <v>4</v>
      </c>
      <c r="C1176" s="16" t="s">
        <v>59</v>
      </c>
      <c r="D1176">
        <v>16</v>
      </c>
      <c r="E1176" s="16" t="s">
        <v>53</v>
      </c>
      <c r="F1176" s="18">
        <v>994.5</v>
      </c>
      <c r="G1176" s="22">
        <v>117</v>
      </c>
      <c r="H1176" s="18">
        <v>1.2826209316666599</v>
      </c>
      <c r="I1176" s="18">
        <v>150.06664900499999</v>
      </c>
      <c r="J1176" s="18">
        <v>844.43335099499905</v>
      </c>
      <c r="K1176" s="22">
        <v>0</v>
      </c>
      <c r="L1176" s="22" t="str">
        <f t="shared" si="18"/>
        <v>46113, 4, 16</v>
      </c>
    </row>
    <row r="1177" spans="1:12">
      <c r="A1177" s="9">
        <v>46113</v>
      </c>
      <c r="B1177">
        <v>4</v>
      </c>
      <c r="C1177" s="16" t="s">
        <v>59</v>
      </c>
      <c r="D1177">
        <v>17</v>
      </c>
      <c r="E1177" s="16" t="s">
        <v>54</v>
      </c>
      <c r="F1177" s="18">
        <v>1215</v>
      </c>
      <c r="G1177" s="22">
        <v>162</v>
      </c>
      <c r="H1177" s="18">
        <v>1.24372857727272</v>
      </c>
      <c r="I1177" s="18">
        <v>201.48402951818099</v>
      </c>
      <c r="J1177" s="18">
        <v>1013.51597048181</v>
      </c>
      <c r="K1177" s="22">
        <v>0</v>
      </c>
      <c r="L1177" s="22" t="str">
        <f t="shared" si="18"/>
        <v>46113, 4, 17</v>
      </c>
    </row>
    <row r="1178" spans="1:12">
      <c r="A1178" s="9">
        <v>46113</v>
      </c>
      <c r="B1178">
        <v>4</v>
      </c>
      <c r="C1178" s="16" t="s">
        <v>59</v>
      </c>
      <c r="D1178">
        <v>18</v>
      </c>
      <c r="E1178" s="16" t="s">
        <v>55</v>
      </c>
      <c r="F1178" s="18">
        <v>1288</v>
      </c>
      <c r="G1178" s="22">
        <v>56</v>
      </c>
      <c r="H1178" s="18">
        <v>6.4187176843529397</v>
      </c>
      <c r="I1178" s="18">
        <v>359.44819032376398</v>
      </c>
      <c r="J1178" s="18">
        <v>928.55180967623505</v>
      </c>
      <c r="K1178" s="22">
        <v>0</v>
      </c>
      <c r="L1178" s="22" t="str">
        <f t="shared" si="18"/>
        <v>46113, 4, 18</v>
      </c>
    </row>
    <row r="1179" spans="1:12">
      <c r="A1179" s="9">
        <v>46143</v>
      </c>
      <c r="B1179">
        <v>4</v>
      </c>
      <c r="C1179" s="16" t="s">
        <v>59</v>
      </c>
      <c r="D1179">
        <v>1</v>
      </c>
      <c r="E1179" s="16" t="s">
        <v>38</v>
      </c>
      <c r="F1179" s="18">
        <v>4011</v>
      </c>
      <c r="G1179" s="22">
        <v>191</v>
      </c>
      <c r="H1179" s="18">
        <v>3.6651104868420998</v>
      </c>
      <c r="I1179" s="18">
        <v>700.03610298684202</v>
      </c>
      <c r="J1179" s="18">
        <v>3310.96389701315</v>
      </c>
      <c r="K1179" s="22">
        <v>0</v>
      </c>
      <c r="L1179" s="22" t="str">
        <f t="shared" si="18"/>
        <v>46143, 4, 1</v>
      </c>
    </row>
    <row r="1180" spans="1:12">
      <c r="A1180" s="9">
        <v>46143</v>
      </c>
      <c r="B1180">
        <v>4</v>
      </c>
      <c r="C1180" s="16" t="s">
        <v>59</v>
      </c>
      <c r="D1180">
        <v>2</v>
      </c>
      <c r="E1180" s="16" t="s">
        <v>40</v>
      </c>
      <c r="F1180" s="18">
        <v>3611</v>
      </c>
      <c r="G1180" s="22">
        <v>157</v>
      </c>
      <c r="H1180" s="18">
        <v>5.9280568118823496</v>
      </c>
      <c r="I1180" s="18">
        <v>930.70491946552897</v>
      </c>
      <c r="J1180" s="18">
        <v>2680.2950805344699</v>
      </c>
      <c r="K1180" s="22">
        <v>0</v>
      </c>
      <c r="L1180" s="22" t="str">
        <f t="shared" si="18"/>
        <v>46143, 4, 2</v>
      </c>
    </row>
    <row r="1181" spans="1:12">
      <c r="A1181" s="9">
        <v>46143</v>
      </c>
      <c r="B1181">
        <v>4</v>
      </c>
      <c r="C1181" s="16" t="s">
        <v>59</v>
      </c>
      <c r="D1181">
        <v>3</v>
      </c>
      <c r="E1181" s="16" t="s">
        <v>41</v>
      </c>
      <c r="F1181" s="18">
        <v>2719.5</v>
      </c>
      <c r="G1181" s="22">
        <v>111</v>
      </c>
      <c r="H1181" s="18">
        <v>3.1697783627619001</v>
      </c>
      <c r="I1181" s="18">
        <v>351.84539826657101</v>
      </c>
      <c r="J1181" s="18">
        <v>2367.6546017334199</v>
      </c>
      <c r="K1181" s="22">
        <v>0</v>
      </c>
      <c r="L1181" s="22" t="str">
        <f t="shared" si="18"/>
        <v>46143, 4, 3</v>
      </c>
    </row>
    <row r="1182" spans="1:12">
      <c r="A1182" s="9">
        <v>46143</v>
      </c>
      <c r="B1182">
        <v>4</v>
      </c>
      <c r="C1182" s="16" t="s">
        <v>59</v>
      </c>
      <c r="D1182">
        <v>5</v>
      </c>
      <c r="E1182" s="16" t="s">
        <v>43</v>
      </c>
      <c r="F1182" s="18">
        <v>2140</v>
      </c>
      <c r="G1182" s="22">
        <v>107</v>
      </c>
      <c r="H1182" s="18">
        <v>5.7281985294117597</v>
      </c>
      <c r="I1182" s="18">
        <v>612.91724264705795</v>
      </c>
      <c r="J1182" s="18">
        <v>1527.08275735294</v>
      </c>
      <c r="K1182" s="22">
        <v>0</v>
      </c>
      <c r="L1182" s="22" t="str">
        <f t="shared" si="18"/>
        <v>46143, 4, 5</v>
      </c>
    </row>
    <row r="1183" spans="1:12">
      <c r="A1183" s="9">
        <v>46143</v>
      </c>
      <c r="B1183">
        <v>4</v>
      </c>
      <c r="C1183" s="16" t="s">
        <v>59</v>
      </c>
      <c r="D1183">
        <v>6</v>
      </c>
      <c r="E1183" s="16" t="s">
        <v>44</v>
      </c>
      <c r="F1183" s="18">
        <v>2442</v>
      </c>
      <c r="G1183" s="22">
        <v>111</v>
      </c>
      <c r="H1183" s="18">
        <v>4.5631025430714196</v>
      </c>
      <c r="I1183" s="18">
        <v>506.50438228092798</v>
      </c>
      <c r="J1183" s="18">
        <v>1935.49561771907</v>
      </c>
      <c r="K1183" s="22">
        <v>0</v>
      </c>
      <c r="L1183" s="22" t="str">
        <f t="shared" si="18"/>
        <v>46143, 4, 6</v>
      </c>
    </row>
    <row r="1184" spans="1:12">
      <c r="A1184" s="9">
        <v>46143</v>
      </c>
      <c r="B1184">
        <v>4</v>
      </c>
      <c r="C1184" s="16" t="s">
        <v>59</v>
      </c>
      <c r="D1184">
        <v>8</v>
      </c>
      <c r="E1184" s="16" t="s">
        <v>46</v>
      </c>
      <c r="F1184" s="18">
        <v>1472</v>
      </c>
      <c r="G1184" s="22">
        <v>128</v>
      </c>
      <c r="H1184" s="18">
        <v>0.69647959644444402</v>
      </c>
      <c r="I1184" s="18">
        <v>89.149388344888806</v>
      </c>
      <c r="J1184" s="18">
        <v>1382.85061165511</v>
      </c>
      <c r="K1184" s="22">
        <v>0</v>
      </c>
      <c r="L1184" s="22" t="str">
        <f t="shared" si="18"/>
        <v>46143, 4, 8</v>
      </c>
    </row>
    <row r="1185" spans="1:12">
      <c r="A1185" s="9">
        <v>46143</v>
      </c>
      <c r="B1185">
        <v>4</v>
      </c>
      <c r="C1185" s="16" t="s">
        <v>59</v>
      </c>
      <c r="D1185">
        <v>9</v>
      </c>
      <c r="E1185" s="16" t="s">
        <v>47</v>
      </c>
      <c r="F1185" s="18">
        <v>2992.5</v>
      </c>
      <c r="G1185" s="22">
        <v>63</v>
      </c>
      <c r="H1185" s="18">
        <v>16.812251821738901</v>
      </c>
      <c r="I1185" s="18">
        <v>1059.17186476955</v>
      </c>
      <c r="J1185" s="18">
        <v>1933.32813523044</v>
      </c>
      <c r="K1185" s="22">
        <v>0</v>
      </c>
      <c r="L1185" s="22" t="str">
        <f t="shared" si="18"/>
        <v>46143, 4, 9</v>
      </c>
    </row>
    <row r="1186" spans="1:12">
      <c r="A1186" s="9">
        <v>46143</v>
      </c>
      <c r="B1186">
        <v>4</v>
      </c>
      <c r="C1186" s="16" t="s">
        <v>59</v>
      </c>
      <c r="D1186">
        <v>10</v>
      </c>
      <c r="E1186" s="16" t="s">
        <v>57</v>
      </c>
      <c r="F1186" s="18">
        <v>1701</v>
      </c>
      <c r="G1186" s="22">
        <v>126</v>
      </c>
      <c r="H1186" s="18">
        <v>2.0413796138800002</v>
      </c>
      <c r="I1186" s="18">
        <v>257.21383134887998</v>
      </c>
      <c r="J1186" s="18">
        <v>1443.7861686511201</v>
      </c>
      <c r="K1186" s="22">
        <v>0</v>
      </c>
      <c r="L1186" s="22" t="str">
        <f t="shared" si="18"/>
        <v>46143, 4, 10</v>
      </c>
    </row>
    <row r="1187" spans="1:12">
      <c r="A1187" s="9">
        <v>46143</v>
      </c>
      <c r="B1187">
        <v>4</v>
      </c>
      <c r="C1187" s="16" t="s">
        <v>59</v>
      </c>
      <c r="D1187">
        <v>11</v>
      </c>
      <c r="E1187" s="16" t="s">
        <v>48</v>
      </c>
      <c r="F1187" s="18">
        <v>3440</v>
      </c>
      <c r="G1187" s="22">
        <v>172</v>
      </c>
      <c r="H1187" s="18">
        <v>1.7456142625</v>
      </c>
      <c r="I1187" s="18">
        <v>300.24565315000001</v>
      </c>
      <c r="J1187" s="18">
        <v>3139.7543468499998</v>
      </c>
      <c r="K1187" s="22">
        <v>0</v>
      </c>
      <c r="L1187" s="22" t="str">
        <f t="shared" si="18"/>
        <v>46143, 4, 11</v>
      </c>
    </row>
    <row r="1188" spans="1:12">
      <c r="A1188" s="9">
        <v>46143</v>
      </c>
      <c r="B1188">
        <v>4</v>
      </c>
      <c r="C1188" s="16" t="s">
        <v>59</v>
      </c>
      <c r="D1188">
        <v>12</v>
      </c>
      <c r="E1188" s="16" t="s">
        <v>49</v>
      </c>
      <c r="F1188" s="18">
        <v>1806</v>
      </c>
      <c r="G1188" s="22">
        <v>86</v>
      </c>
      <c r="H1188" s="18">
        <v>2.5822554967619</v>
      </c>
      <c r="I1188" s="18">
        <v>222.07397272152301</v>
      </c>
      <c r="J1188" s="18">
        <v>1583.92602727847</v>
      </c>
      <c r="K1188" s="22">
        <v>0</v>
      </c>
      <c r="L1188" s="22" t="str">
        <f t="shared" si="18"/>
        <v>46143, 4, 12</v>
      </c>
    </row>
    <row r="1189" spans="1:12">
      <c r="A1189" s="9">
        <v>46143</v>
      </c>
      <c r="B1189">
        <v>4</v>
      </c>
      <c r="C1189" s="16" t="s">
        <v>59</v>
      </c>
      <c r="D1189">
        <v>13</v>
      </c>
      <c r="E1189" s="16" t="s">
        <v>50</v>
      </c>
      <c r="F1189" s="18">
        <v>3080</v>
      </c>
      <c r="G1189" s="22">
        <v>140</v>
      </c>
      <c r="H1189" s="18">
        <v>5.8329923157894701</v>
      </c>
      <c r="I1189" s="18">
        <v>816.61892421052596</v>
      </c>
      <c r="J1189" s="18">
        <v>2263.3810757894698</v>
      </c>
      <c r="K1189" s="22">
        <v>0</v>
      </c>
      <c r="L1189" s="22" t="str">
        <f t="shared" si="18"/>
        <v>46143, 4, 13</v>
      </c>
    </row>
    <row r="1190" spans="1:12">
      <c r="A1190" s="9">
        <v>46143</v>
      </c>
      <c r="B1190">
        <v>4</v>
      </c>
      <c r="C1190" s="16" t="s">
        <v>59</v>
      </c>
      <c r="D1190">
        <v>14</v>
      </c>
      <c r="E1190" s="16" t="s">
        <v>51</v>
      </c>
      <c r="F1190" s="18">
        <v>2673</v>
      </c>
      <c r="G1190" s="22">
        <v>99</v>
      </c>
      <c r="H1190" s="18">
        <v>4.2531534012301497</v>
      </c>
      <c r="I1190" s="18">
        <v>421.062186721785</v>
      </c>
      <c r="J1190" s="18">
        <v>2251.9378132782099</v>
      </c>
      <c r="K1190" s="22">
        <v>0</v>
      </c>
      <c r="L1190" s="22" t="str">
        <f t="shared" si="18"/>
        <v>46143, 4, 14</v>
      </c>
    </row>
    <row r="1191" spans="1:12">
      <c r="A1191" s="9">
        <v>46143</v>
      </c>
      <c r="B1191">
        <v>4</v>
      </c>
      <c r="C1191" s="16" t="s">
        <v>59</v>
      </c>
      <c r="D1191">
        <v>15</v>
      </c>
      <c r="E1191" s="16" t="s">
        <v>52</v>
      </c>
      <c r="F1191" s="18">
        <v>2984.5</v>
      </c>
      <c r="G1191" s="22">
        <v>127</v>
      </c>
      <c r="H1191" s="18">
        <v>2.847693483</v>
      </c>
      <c r="I1191" s="18">
        <v>361.657072341</v>
      </c>
      <c r="J1191" s="18">
        <v>2622.842927659</v>
      </c>
      <c r="K1191" s="22">
        <v>0</v>
      </c>
      <c r="L1191" s="22" t="str">
        <f t="shared" si="18"/>
        <v>46143, 4, 15</v>
      </c>
    </row>
    <row r="1192" spans="1:12">
      <c r="A1192" s="9">
        <v>46143</v>
      </c>
      <c r="B1192">
        <v>4</v>
      </c>
      <c r="C1192" s="16" t="s">
        <v>59</v>
      </c>
      <c r="D1192">
        <v>16</v>
      </c>
      <c r="E1192" s="16" t="s">
        <v>53</v>
      </c>
      <c r="F1192" s="18">
        <v>1224</v>
      </c>
      <c r="G1192" s="22">
        <v>144</v>
      </c>
      <c r="H1192" s="18">
        <v>1.2892731334615299</v>
      </c>
      <c r="I1192" s="18">
        <v>185.65533121846099</v>
      </c>
      <c r="J1192" s="18">
        <v>1038.3446687815299</v>
      </c>
      <c r="K1192" s="22">
        <v>0</v>
      </c>
      <c r="L1192" s="22" t="str">
        <f t="shared" si="18"/>
        <v>46143, 4, 16</v>
      </c>
    </row>
    <row r="1193" spans="1:12">
      <c r="A1193" s="9">
        <v>46143</v>
      </c>
      <c r="B1193">
        <v>4</v>
      </c>
      <c r="C1193" s="16" t="s">
        <v>59</v>
      </c>
      <c r="D1193">
        <v>17</v>
      </c>
      <c r="E1193" s="16" t="s">
        <v>54</v>
      </c>
      <c r="F1193" s="18">
        <v>1770</v>
      </c>
      <c r="G1193" s="22">
        <v>236</v>
      </c>
      <c r="H1193" s="18">
        <v>1.2510254649999999</v>
      </c>
      <c r="I1193" s="18">
        <v>295.24200974000001</v>
      </c>
      <c r="J1193" s="18">
        <v>1474.75799026</v>
      </c>
      <c r="K1193" s="22">
        <v>0</v>
      </c>
      <c r="L1193" s="22" t="str">
        <f t="shared" si="18"/>
        <v>46143, 4, 17</v>
      </c>
    </row>
    <row r="1194" spans="1:12">
      <c r="A1194" s="9">
        <v>46143</v>
      </c>
      <c r="B1194">
        <v>4</v>
      </c>
      <c r="C1194" s="16" t="s">
        <v>59</v>
      </c>
      <c r="D1194">
        <v>18</v>
      </c>
      <c r="E1194" s="16" t="s">
        <v>55</v>
      </c>
      <c r="F1194" s="18">
        <v>2139</v>
      </c>
      <c r="G1194" s="22">
        <v>93</v>
      </c>
      <c r="H1194" s="18">
        <v>6.3975792988088198</v>
      </c>
      <c r="I1194" s="18">
        <v>594.97487478922005</v>
      </c>
      <c r="J1194" s="18">
        <v>1544.0251252107701</v>
      </c>
      <c r="K1194" s="22">
        <v>0</v>
      </c>
      <c r="L1194" s="22" t="str">
        <f t="shared" si="18"/>
        <v>46143, 4, 18</v>
      </c>
    </row>
    <row r="1195" spans="1:12">
      <c r="A1195" s="9">
        <v>46174</v>
      </c>
      <c r="B1195">
        <v>4</v>
      </c>
      <c r="C1195" s="16" t="s">
        <v>59</v>
      </c>
      <c r="D1195">
        <v>1</v>
      </c>
      <c r="E1195" s="16" t="s">
        <v>38</v>
      </c>
      <c r="F1195" s="18">
        <v>3759</v>
      </c>
      <c r="G1195" s="22">
        <v>179</v>
      </c>
      <c r="H1195" s="18">
        <v>3.6696379750000001</v>
      </c>
      <c r="I1195" s="18">
        <v>656.86519752499999</v>
      </c>
      <c r="J1195" s="18">
        <v>3102.134802475</v>
      </c>
      <c r="K1195" s="22">
        <v>0</v>
      </c>
      <c r="L1195" s="22" t="str">
        <f t="shared" si="18"/>
        <v>46174, 4, 1</v>
      </c>
    </row>
    <row r="1196" spans="1:12">
      <c r="A1196" s="9">
        <v>46174</v>
      </c>
      <c r="B1196">
        <v>4</v>
      </c>
      <c r="C1196" s="16" t="s">
        <v>59</v>
      </c>
      <c r="D1196">
        <v>2</v>
      </c>
      <c r="E1196" s="16" t="s">
        <v>40</v>
      </c>
      <c r="F1196" s="18">
        <v>3933</v>
      </c>
      <c r="G1196" s="22">
        <v>171</v>
      </c>
      <c r="H1196" s="18">
        <v>5.8713865062222199</v>
      </c>
      <c r="I1196" s="18">
        <v>1004.00709256399</v>
      </c>
      <c r="J1196" s="18">
        <v>2928.9929074360002</v>
      </c>
      <c r="K1196" s="22">
        <v>0</v>
      </c>
      <c r="L1196" s="22" t="str">
        <f t="shared" si="18"/>
        <v>46174, 4, 2</v>
      </c>
    </row>
    <row r="1197" spans="1:12">
      <c r="A1197" s="9">
        <v>46174</v>
      </c>
      <c r="B1197">
        <v>4</v>
      </c>
      <c r="C1197" s="16" t="s">
        <v>59</v>
      </c>
      <c r="D1197">
        <v>3</v>
      </c>
      <c r="E1197" s="16" t="s">
        <v>41</v>
      </c>
      <c r="F1197" s="18">
        <v>2229.5</v>
      </c>
      <c r="G1197" s="22">
        <v>91</v>
      </c>
      <c r="H1197" s="18">
        <v>3.1831253036842102</v>
      </c>
      <c r="I1197" s="18">
        <v>289.664402635263</v>
      </c>
      <c r="J1197" s="18">
        <v>1939.8355973647299</v>
      </c>
      <c r="K1197" s="22">
        <v>0</v>
      </c>
      <c r="L1197" s="22" t="str">
        <f t="shared" si="18"/>
        <v>46174, 4, 3</v>
      </c>
    </row>
    <row r="1198" spans="1:12">
      <c r="A1198" s="9">
        <v>46174</v>
      </c>
      <c r="B1198">
        <v>4</v>
      </c>
      <c r="C1198" s="16" t="s">
        <v>59</v>
      </c>
      <c r="D1198">
        <v>5</v>
      </c>
      <c r="E1198" s="16" t="s">
        <v>43</v>
      </c>
      <c r="F1198" s="18">
        <v>2020</v>
      </c>
      <c r="G1198" s="22">
        <v>101</v>
      </c>
      <c r="H1198" s="18">
        <v>5.56</v>
      </c>
      <c r="I1198" s="18">
        <v>561.55999999999995</v>
      </c>
      <c r="J1198" s="18">
        <v>1458.44</v>
      </c>
      <c r="K1198" s="22">
        <v>0</v>
      </c>
      <c r="L1198" s="22" t="str">
        <f t="shared" si="18"/>
        <v>46174, 4, 5</v>
      </c>
    </row>
    <row r="1199" spans="1:12">
      <c r="A1199" s="9">
        <v>46174</v>
      </c>
      <c r="B1199">
        <v>4</v>
      </c>
      <c r="C1199" s="16" t="s">
        <v>59</v>
      </c>
      <c r="D1199">
        <v>6</v>
      </c>
      <c r="E1199" s="16" t="s">
        <v>44</v>
      </c>
      <c r="F1199" s="18">
        <v>2332</v>
      </c>
      <c r="G1199" s="22">
        <v>106</v>
      </c>
      <c r="H1199" s="18">
        <v>4.5372046718437504</v>
      </c>
      <c r="I1199" s="18">
        <v>480.943695215437</v>
      </c>
      <c r="J1199" s="18">
        <v>1851.0563047845601</v>
      </c>
      <c r="K1199" s="22">
        <v>0</v>
      </c>
      <c r="L1199" s="22" t="str">
        <f t="shared" si="18"/>
        <v>46174, 4, 6</v>
      </c>
    </row>
    <row r="1200" spans="1:12">
      <c r="A1200" s="9">
        <v>46174</v>
      </c>
      <c r="B1200">
        <v>4</v>
      </c>
      <c r="C1200" s="16" t="s">
        <v>59</v>
      </c>
      <c r="D1200">
        <v>8</v>
      </c>
      <c r="E1200" s="16" t="s">
        <v>46</v>
      </c>
      <c r="F1200" s="18">
        <v>1391.5</v>
      </c>
      <c r="G1200" s="22">
        <v>121</v>
      </c>
      <c r="H1200" s="18">
        <v>0.68566374911111105</v>
      </c>
      <c r="I1200" s="18">
        <v>82.9653136424444</v>
      </c>
      <c r="J1200" s="18">
        <v>1308.5346863575501</v>
      </c>
      <c r="K1200" s="22">
        <v>0</v>
      </c>
      <c r="L1200" s="22" t="str">
        <f t="shared" si="18"/>
        <v>46174, 4, 8</v>
      </c>
    </row>
    <row r="1201" spans="1:12">
      <c r="A1201" s="9">
        <v>46174</v>
      </c>
      <c r="B1201">
        <v>4</v>
      </c>
      <c r="C1201" s="16" t="s">
        <v>59</v>
      </c>
      <c r="D1201">
        <v>9</v>
      </c>
      <c r="E1201" s="16" t="s">
        <v>47</v>
      </c>
      <c r="F1201" s="18">
        <v>2660</v>
      </c>
      <c r="G1201" s="22">
        <v>56</v>
      </c>
      <c r="H1201" s="18">
        <v>16.7815840710463</v>
      </c>
      <c r="I1201" s="18">
        <v>939.76870797859601</v>
      </c>
      <c r="J1201" s="18">
        <v>1720.2312920213999</v>
      </c>
      <c r="K1201" s="22">
        <v>0</v>
      </c>
      <c r="L1201" s="22" t="str">
        <f t="shared" si="18"/>
        <v>46174, 4, 9</v>
      </c>
    </row>
    <row r="1202" spans="1:12">
      <c r="A1202" s="9">
        <v>46174</v>
      </c>
      <c r="B1202">
        <v>4</v>
      </c>
      <c r="C1202" s="16" t="s">
        <v>59</v>
      </c>
      <c r="D1202">
        <v>10</v>
      </c>
      <c r="E1202" s="16" t="s">
        <v>57</v>
      </c>
      <c r="F1202" s="18">
        <v>1458</v>
      </c>
      <c r="G1202" s="22">
        <v>108</v>
      </c>
      <c r="H1202" s="18">
        <v>1.9302038023999999</v>
      </c>
      <c r="I1202" s="18">
        <v>208.46201065919999</v>
      </c>
      <c r="J1202" s="18">
        <v>1249.5379893408001</v>
      </c>
      <c r="K1202" s="22">
        <v>0</v>
      </c>
      <c r="L1202" s="22" t="str">
        <f t="shared" si="18"/>
        <v>46174, 4, 10</v>
      </c>
    </row>
    <row r="1203" spans="1:12">
      <c r="A1203" s="9">
        <v>46174</v>
      </c>
      <c r="B1203">
        <v>4</v>
      </c>
      <c r="C1203" s="16" t="s">
        <v>59</v>
      </c>
      <c r="D1203">
        <v>11</v>
      </c>
      <c r="E1203" s="16" t="s">
        <v>48</v>
      </c>
      <c r="F1203" s="18">
        <v>3240</v>
      </c>
      <c r="G1203" s="22">
        <v>162</v>
      </c>
      <c r="H1203" s="18">
        <v>1.7370559903846099</v>
      </c>
      <c r="I1203" s="18">
        <v>281.40307044230701</v>
      </c>
      <c r="J1203" s="18">
        <v>2958.5969295576901</v>
      </c>
      <c r="K1203" s="22">
        <v>0</v>
      </c>
      <c r="L1203" s="22" t="str">
        <f t="shared" si="18"/>
        <v>46174, 4, 11</v>
      </c>
    </row>
    <row r="1204" spans="1:12">
      <c r="A1204" s="9">
        <v>46174</v>
      </c>
      <c r="B1204">
        <v>4</v>
      </c>
      <c r="C1204" s="16" t="s">
        <v>59</v>
      </c>
      <c r="D1204">
        <v>12</v>
      </c>
      <c r="E1204" s="16" t="s">
        <v>49</v>
      </c>
      <c r="F1204" s="18">
        <v>1512</v>
      </c>
      <c r="G1204" s="22">
        <v>72</v>
      </c>
      <c r="H1204" s="18">
        <v>2.5418273426363598</v>
      </c>
      <c r="I1204" s="18">
        <v>183.01156866981799</v>
      </c>
      <c r="J1204" s="18">
        <v>1328.98843133018</v>
      </c>
      <c r="K1204" s="22">
        <v>0</v>
      </c>
      <c r="L1204" s="22" t="str">
        <f t="shared" si="18"/>
        <v>46174, 4, 12</v>
      </c>
    </row>
    <row r="1205" spans="1:12">
      <c r="A1205" s="9">
        <v>46174</v>
      </c>
      <c r="B1205">
        <v>4</v>
      </c>
      <c r="C1205" s="16" t="s">
        <v>59</v>
      </c>
      <c r="D1205">
        <v>13</v>
      </c>
      <c r="E1205" s="16" t="s">
        <v>50</v>
      </c>
      <c r="F1205" s="18">
        <v>2310</v>
      </c>
      <c r="G1205" s="22">
        <v>105</v>
      </c>
      <c r="H1205" s="18">
        <v>5.8164880999999999</v>
      </c>
      <c r="I1205" s="18">
        <v>610.73125049999999</v>
      </c>
      <c r="J1205" s="18">
        <v>1699.2687495</v>
      </c>
      <c r="K1205" s="22">
        <v>0</v>
      </c>
      <c r="L1205" s="22" t="str">
        <f t="shared" si="18"/>
        <v>46174, 4, 13</v>
      </c>
    </row>
    <row r="1206" spans="1:12">
      <c r="A1206" s="9">
        <v>46174</v>
      </c>
      <c r="B1206">
        <v>4</v>
      </c>
      <c r="C1206" s="16" t="s">
        <v>59</v>
      </c>
      <c r="D1206">
        <v>14</v>
      </c>
      <c r="E1206" s="16" t="s">
        <v>51</v>
      </c>
      <c r="F1206" s="18">
        <v>1836</v>
      </c>
      <c r="G1206" s="22">
        <v>68</v>
      </c>
      <c r="H1206" s="18">
        <v>4.2706354274318103</v>
      </c>
      <c r="I1206" s="18">
        <v>290.403209065363</v>
      </c>
      <c r="J1206" s="18">
        <v>1545.59679093463</v>
      </c>
      <c r="K1206" s="22">
        <v>0</v>
      </c>
      <c r="L1206" s="22" t="str">
        <f t="shared" si="18"/>
        <v>46174, 4, 14</v>
      </c>
    </row>
    <row r="1207" spans="1:12">
      <c r="A1207" s="9">
        <v>46174</v>
      </c>
      <c r="B1207">
        <v>4</v>
      </c>
      <c r="C1207" s="16" t="s">
        <v>59</v>
      </c>
      <c r="D1207">
        <v>15</v>
      </c>
      <c r="E1207" s="16" t="s">
        <v>52</v>
      </c>
      <c r="F1207" s="18">
        <v>2961</v>
      </c>
      <c r="G1207" s="22">
        <v>126</v>
      </c>
      <c r="H1207" s="18">
        <v>2.8329213102380901</v>
      </c>
      <c r="I1207" s="18">
        <v>356.94808509000001</v>
      </c>
      <c r="J1207" s="18">
        <v>2604.05191490999</v>
      </c>
      <c r="K1207" s="22">
        <v>0</v>
      </c>
      <c r="L1207" s="22" t="str">
        <f t="shared" si="18"/>
        <v>46174, 4, 15</v>
      </c>
    </row>
    <row r="1208" spans="1:12">
      <c r="A1208" s="9">
        <v>46174</v>
      </c>
      <c r="B1208">
        <v>4</v>
      </c>
      <c r="C1208" s="16" t="s">
        <v>59</v>
      </c>
      <c r="D1208">
        <v>16</v>
      </c>
      <c r="E1208" s="16" t="s">
        <v>53</v>
      </c>
      <c r="F1208" s="18">
        <v>1079.5</v>
      </c>
      <c r="G1208" s="22">
        <v>127</v>
      </c>
      <c r="H1208" s="18">
        <v>1.29589314013888</v>
      </c>
      <c r="I1208" s="18">
        <v>164.578428797638</v>
      </c>
      <c r="J1208" s="18">
        <v>914.92157120236095</v>
      </c>
      <c r="K1208" s="22">
        <v>0</v>
      </c>
      <c r="L1208" s="22" t="str">
        <f t="shared" si="18"/>
        <v>46174, 4, 16</v>
      </c>
    </row>
    <row r="1209" spans="1:12">
      <c r="A1209" s="9">
        <v>46174</v>
      </c>
      <c r="B1209">
        <v>4</v>
      </c>
      <c r="C1209" s="16" t="s">
        <v>59</v>
      </c>
      <c r="D1209">
        <v>17</v>
      </c>
      <c r="E1209" s="16" t="s">
        <v>54</v>
      </c>
      <c r="F1209" s="18">
        <v>1612.5</v>
      </c>
      <c r="G1209" s="22">
        <v>215</v>
      </c>
      <c r="H1209" s="18">
        <v>1.2542815631818101</v>
      </c>
      <c r="I1209" s="18">
        <v>269.67053608408997</v>
      </c>
      <c r="J1209" s="18">
        <v>1342.8294639159001</v>
      </c>
      <c r="K1209" s="22">
        <v>0</v>
      </c>
      <c r="L1209" s="22" t="str">
        <f t="shared" si="18"/>
        <v>46174, 4, 17</v>
      </c>
    </row>
    <row r="1210" spans="1:12">
      <c r="A1210" s="9">
        <v>46174</v>
      </c>
      <c r="B1210">
        <v>4</v>
      </c>
      <c r="C1210" s="16" t="s">
        <v>59</v>
      </c>
      <c r="D1210">
        <v>18</v>
      </c>
      <c r="E1210" s="16" t="s">
        <v>55</v>
      </c>
      <c r="F1210" s="18">
        <v>2760</v>
      </c>
      <c r="G1210" s="22">
        <v>120</v>
      </c>
      <c r="H1210" s="18">
        <v>6.42689452515277</v>
      </c>
      <c r="I1210" s="18">
        <v>771.22734301833304</v>
      </c>
      <c r="J1210" s="18">
        <v>1988.77265698166</v>
      </c>
      <c r="K1210" s="22">
        <v>0</v>
      </c>
      <c r="L1210" s="22" t="str">
        <f t="shared" si="18"/>
        <v>46174, 4, 18</v>
      </c>
    </row>
    <row r="1211" spans="1:12">
      <c r="A1211" s="9">
        <v>46204</v>
      </c>
      <c r="B1211">
        <v>4</v>
      </c>
      <c r="C1211" s="16" t="s">
        <v>59</v>
      </c>
      <c r="D1211">
        <v>1</v>
      </c>
      <c r="E1211" s="16" t="s">
        <v>38</v>
      </c>
      <c r="F1211" s="18">
        <v>4662</v>
      </c>
      <c r="G1211" s="22">
        <v>222</v>
      </c>
      <c r="H1211" s="18">
        <v>3.7290770625</v>
      </c>
      <c r="I1211" s="18">
        <v>827.85510787500004</v>
      </c>
      <c r="J1211" s="18">
        <v>3834.1448921249998</v>
      </c>
      <c r="K1211" s="22">
        <v>0</v>
      </c>
      <c r="L1211" s="22" t="str">
        <f t="shared" si="18"/>
        <v>46204, 4, 1</v>
      </c>
    </row>
    <row r="1212" spans="1:12">
      <c r="A1212" s="9">
        <v>46204</v>
      </c>
      <c r="B1212">
        <v>4</v>
      </c>
      <c r="C1212" s="16" t="s">
        <v>59</v>
      </c>
      <c r="D1212">
        <v>2</v>
      </c>
      <c r="E1212" s="16" t="s">
        <v>40</v>
      </c>
      <c r="F1212" s="18">
        <v>4922</v>
      </c>
      <c r="G1212" s="22">
        <v>214</v>
      </c>
      <c r="H1212" s="18">
        <v>5.9105719505555498</v>
      </c>
      <c r="I1212" s="18">
        <v>1264.8623974188799</v>
      </c>
      <c r="J1212" s="18">
        <v>3657.1376025811101</v>
      </c>
      <c r="K1212" s="22">
        <v>0</v>
      </c>
      <c r="L1212" s="22" t="str">
        <f t="shared" si="18"/>
        <v>46204, 4, 2</v>
      </c>
    </row>
    <row r="1213" spans="1:12">
      <c r="A1213" s="9">
        <v>46204</v>
      </c>
      <c r="B1213">
        <v>4</v>
      </c>
      <c r="C1213" s="16" t="s">
        <v>59</v>
      </c>
      <c r="D1213">
        <v>3</v>
      </c>
      <c r="E1213" s="16" t="s">
        <v>41</v>
      </c>
      <c r="F1213" s="18">
        <v>2352</v>
      </c>
      <c r="G1213" s="22">
        <v>96</v>
      </c>
      <c r="H1213" s="18">
        <v>3.1833341019090899</v>
      </c>
      <c r="I1213" s="18">
        <v>305.60007378327202</v>
      </c>
      <c r="J1213" s="18">
        <v>2046.3999262167199</v>
      </c>
      <c r="K1213" s="22">
        <v>0</v>
      </c>
      <c r="L1213" s="22" t="str">
        <f t="shared" si="18"/>
        <v>46204, 4, 3</v>
      </c>
    </row>
    <row r="1214" spans="1:12">
      <c r="A1214" s="9">
        <v>46204</v>
      </c>
      <c r="B1214">
        <v>4</v>
      </c>
      <c r="C1214" s="16" t="s">
        <v>59</v>
      </c>
      <c r="D1214">
        <v>5</v>
      </c>
      <c r="E1214" s="16" t="s">
        <v>43</v>
      </c>
      <c r="F1214" s="18">
        <v>2180</v>
      </c>
      <c r="G1214" s="22">
        <v>109</v>
      </c>
      <c r="H1214" s="18">
        <v>5.4674342105263101</v>
      </c>
      <c r="I1214" s="18">
        <v>595.95032894736801</v>
      </c>
      <c r="J1214" s="18">
        <v>1584.0496710526299</v>
      </c>
      <c r="K1214" s="22">
        <v>0</v>
      </c>
      <c r="L1214" s="22" t="str">
        <f t="shared" si="18"/>
        <v>46204, 4, 5</v>
      </c>
    </row>
    <row r="1215" spans="1:12">
      <c r="A1215" s="9">
        <v>46204</v>
      </c>
      <c r="B1215">
        <v>4</v>
      </c>
      <c r="C1215" s="16" t="s">
        <v>59</v>
      </c>
      <c r="D1215">
        <v>6</v>
      </c>
      <c r="E1215" s="16" t="s">
        <v>44</v>
      </c>
      <c r="F1215" s="18">
        <v>1914</v>
      </c>
      <c r="G1215" s="22">
        <v>87</v>
      </c>
      <c r="H1215" s="18">
        <v>4.6196023655312501</v>
      </c>
      <c r="I1215" s="18">
        <v>401.90540580121802</v>
      </c>
      <c r="J1215" s="18">
        <v>1512.09459419878</v>
      </c>
      <c r="K1215" s="22">
        <v>0</v>
      </c>
      <c r="L1215" s="22" t="str">
        <f t="shared" si="18"/>
        <v>46204, 4, 6</v>
      </c>
    </row>
    <row r="1216" spans="1:12">
      <c r="A1216" s="9">
        <v>46204</v>
      </c>
      <c r="B1216">
        <v>4</v>
      </c>
      <c r="C1216" s="16" t="s">
        <v>59</v>
      </c>
      <c r="D1216">
        <v>8</v>
      </c>
      <c r="E1216" s="16" t="s">
        <v>46</v>
      </c>
      <c r="F1216" s="18">
        <v>1414.5</v>
      </c>
      <c r="G1216" s="22">
        <v>123</v>
      </c>
      <c r="H1216" s="18">
        <v>0.65365478916666597</v>
      </c>
      <c r="I1216" s="18">
        <v>80.399539067500001</v>
      </c>
      <c r="J1216" s="18">
        <v>1334.10046093249</v>
      </c>
      <c r="K1216" s="22">
        <v>0</v>
      </c>
      <c r="L1216" s="22" t="str">
        <f t="shared" si="18"/>
        <v>46204, 4, 8</v>
      </c>
    </row>
    <row r="1217" spans="1:12">
      <c r="A1217" s="9">
        <v>46204</v>
      </c>
      <c r="B1217">
        <v>4</v>
      </c>
      <c r="C1217" s="16" t="s">
        <v>59</v>
      </c>
      <c r="D1217">
        <v>9</v>
      </c>
      <c r="E1217" s="16" t="s">
        <v>47</v>
      </c>
      <c r="F1217" s="18">
        <v>2375</v>
      </c>
      <c r="G1217" s="22">
        <v>50</v>
      </c>
      <c r="H1217" s="18">
        <v>17.080164321611001</v>
      </c>
      <c r="I1217" s="18">
        <v>854.00821608055401</v>
      </c>
      <c r="J1217" s="18">
        <v>1520.99178391944</v>
      </c>
      <c r="K1217" s="22">
        <v>0</v>
      </c>
      <c r="L1217" s="22" t="str">
        <f t="shared" si="18"/>
        <v>46204, 4, 9</v>
      </c>
    </row>
    <row r="1218" spans="1:12">
      <c r="A1218" s="9">
        <v>46204</v>
      </c>
      <c r="B1218">
        <v>4</v>
      </c>
      <c r="C1218" s="16" t="s">
        <v>59</v>
      </c>
      <c r="D1218">
        <v>10</v>
      </c>
      <c r="E1218" s="16" t="s">
        <v>57</v>
      </c>
      <c r="F1218" s="18">
        <v>1863</v>
      </c>
      <c r="G1218" s="22">
        <v>138</v>
      </c>
      <c r="H1218" s="18">
        <v>1.8871017224545401</v>
      </c>
      <c r="I1218" s="18">
        <v>260.42003769872701</v>
      </c>
      <c r="J1218" s="18">
        <v>1602.5799623012699</v>
      </c>
      <c r="K1218" s="22">
        <v>0</v>
      </c>
      <c r="L1218" s="22" t="str">
        <f t="shared" si="18"/>
        <v>46204, 4, 10</v>
      </c>
    </row>
    <row r="1219" spans="1:12">
      <c r="A1219" s="9">
        <v>46204</v>
      </c>
      <c r="B1219">
        <v>4</v>
      </c>
      <c r="C1219" s="16" t="s">
        <v>59</v>
      </c>
      <c r="D1219">
        <v>11</v>
      </c>
      <c r="E1219" s="16" t="s">
        <v>48</v>
      </c>
      <c r="F1219" s="18">
        <v>3780</v>
      </c>
      <c r="G1219" s="22">
        <v>189</v>
      </c>
      <c r="H1219" s="18">
        <v>1.82236658333333</v>
      </c>
      <c r="I1219" s="18">
        <v>344.42728424999899</v>
      </c>
      <c r="J1219" s="18">
        <v>3435.57271575</v>
      </c>
      <c r="K1219" s="22">
        <v>0</v>
      </c>
      <c r="L1219" s="22" t="str">
        <f t="shared" ref="L1219:L1282" si="19">(A1219&amp; ", "&amp; B1219&amp; ", "&amp; D1219)</f>
        <v>46204, 4, 11</v>
      </c>
    </row>
    <row r="1220" spans="1:12">
      <c r="A1220" s="9">
        <v>46204</v>
      </c>
      <c r="B1220">
        <v>4</v>
      </c>
      <c r="C1220" s="16" t="s">
        <v>59</v>
      </c>
      <c r="D1220">
        <v>12</v>
      </c>
      <c r="E1220" s="16" t="s">
        <v>49</v>
      </c>
      <c r="F1220" s="18">
        <v>1596</v>
      </c>
      <c r="G1220" s="22">
        <v>76</v>
      </c>
      <c r="H1220" s="18">
        <v>2.5240771889347799</v>
      </c>
      <c r="I1220" s="18">
        <v>191.829866359043</v>
      </c>
      <c r="J1220" s="18">
        <v>1404.1701336409501</v>
      </c>
      <c r="K1220" s="22">
        <v>0</v>
      </c>
      <c r="L1220" s="22" t="str">
        <f t="shared" si="19"/>
        <v>46204, 4, 12</v>
      </c>
    </row>
    <row r="1221" spans="1:12">
      <c r="A1221" s="9">
        <v>46204</v>
      </c>
      <c r="B1221">
        <v>4</v>
      </c>
      <c r="C1221" s="16" t="s">
        <v>59</v>
      </c>
      <c r="D1221">
        <v>13</v>
      </c>
      <c r="E1221" s="16" t="s">
        <v>50</v>
      </c>
      <c r="F1221" s="18">
        <v>3102</v>
      </c>
      <c r="G1221" s="22">
        <v>141</v>
      </c>
      <c r="H1221" s="18">
        <v>5.9515437999999996</v>
      </c>
      <c r="I1221" s="18">
        <v>839.16767579999998</v>
      </c>
      <c r="J1221" s="18">
        <v>2262.8323242000001</v>
      </c>
      <c r="K1221" s="22">
        <v>0</v>
      </c>
      <c r="L1221" s="22" t="str">
        <f t="shared" si="19"/>
        <v>46204, 4, 13</v>
      </c>
    </row>
    <row r="1222" spans="1:12">
      <c r="A1222" s="9">
        <v>46204</v>
      </c>
      <c r="B1222">
        <v>4</v>
      </c>
      <c r="C1222" s="16" t="s">
        <v>59</v>
      </c>
      <c r="D1222">
        <v>14</v>
      </c>
      <c r="E1222" s="16" t="s">
        <v>51</v>
      </c>
      <c r="F1222" s="18">
        <v>1782</v>
      </c>
      <c r="G1222" s="22">
        <v>66</v>
      </c>
      <c r="H1222" s="18">
        <v>4.2589790149242397</v>
      </c>
      <c r="I1222" s="18">
        <v>281.09261498499899</v>
      </c>
      <c r="J1222" s="18">
        <v>1500.907385015</v>
      </c>
      <c r="K1222" s="22">
        <v>0</v>
      </c>
      <c r="L1222" s="22" t="str">
        <f t="shared" si="19"/>
        <v>46204, 4, 14</v>
      </c>
    </row>
    <row r="1223" spans="1:12">
      <c r="A1223" s="9">
        <v>46204</v>
      </c>
      <c r="B1223">
        <v>4</v>
      </c>
      <c r="C1223" s="16" t="s">
        <v>59</v>
      </c>
      <c r="D1223">
        <v>15</v>
      </c>
      <c r="E1223" s="16" t="s">
        <v>52</v>
      </c>
      <c r="F1223" s="18">
        <v>3501.5</v>
      </c>
      <c r="G1223" s="22">
        <v>149</v>
      </c>
      <c r="H1223" s="18">
        <v>2.79938705468181</v>
      </c>
      <c r="I1223" s="18">
        <v>417.10867114758997</v>
      </c>
      <c r="J1223" s="18">
        <v>3084.3913288524</v>
      </c>
      <c r="K1223" s="22">
        <v>0</v>
      </c>
      <c r="L1223" s="22" t="str">
        <f t="shared" si="19"/>
        <v>46204, 4, 15</v>
      </c>
    </row>
    <row r="1224" spans="1:12">
      <c r="A1224" s="9">
        <v>46204</v>
      </c>
      <c r="B1224">
        <v>4</v>
      </c>
      <c r="C1224" s="16" t="s">
        <v>59</v>
      </c>
      <c r="D1224">
        <v>16</v>
      </c>
      <c r="E1224" s="16" t="s">
        <v>53</v>
      </c>
      <c r="F1224" s="18">
        <v>1275</v>
      </c>
      <c r="G1224" s="22">
        <v>150</v>
      </c>
      <c r="H1224" s="18">
        <v>1.30304143935897</v>
      </c>
      <c r="I1224" s="18">
        <v>195.45621590384599</v>
      </c>
      <c r="J1224" s="18">
        <v>1079.5437840961499</v>
      </c>
      <c r="K1224" s="22">
        <v>0</v>
      </c>
      <c r="L1224" s="22" t="str">
        <f t="shared" si="19"/>
        <v>46204, 4, 16</v>
      </c>
    </row>
    <row r="1225" spans="1:12">
      <c r="A1225" s="9">
        <v>46204</v>
      </c>
      <c r="B1225">
        <v>4</v>
      </c>
      <c r="C1225" s="16" t="s">
        <v>59</v>
      </c>
      <c r="D1225">
        <v>17</v>
      </c>
      <c r="E1225" s="16" t="s">
        <v>54</v>
      </c>
      <c r="F1225" s="18">
        <v>1695</v>
      </c>
      <c r="G1225" s="22">
        <v>226</v>
      </c>
      <c r="H1225" s="18">
        <v>1.25948011181818</v>
      </c>
      <c r="I1225" s="18">
        <v>284.642505270909</v>
      </c>
      <c r="J1225" s="18">
        <v>1410.3574947290899</v>
      </c>
      <c r="K1225" s="22">
        <v>0</v>
      </c>
      <c r="L1225" s="22" t="str">
        <f t="shared" si="19"/>
        <v>46204, 4, 17</v>
      </c>
    </row>
    <row r="1226" spans="1:12">
      <c r="A1226" s="9">
        <v>46204</v>
      </c>
      <c r="B1226">
        <v>4</v>
      </c>
      <c r="C1226" s="16" t="s">
        <v>59</v>
      </c>
      <c r="D1226">
        <v>18</v>
      </c>
      <c r="E1226" s="16" t="s">
        <v>55</v>
      </c>
      <c r="F1226" s="18">
        <v>2944</v>
      </c>
      <c r="G1226" s="22">
        <v>128</v>
      </c>
      <c r="H1226" s="18">
        <v>6.4168236292499996</v>
      </c>
      <c r="I1226" s="18">
        <v>821.35342454399995</v>
      </c>
      <c r="J1226" s="18">
        <v>2122.6465754559999</v>
      </c>
      <c r="K1226" s="22">
        <v>0</v>
      </c>
      <c r="L1226" s="22" t="str">
        <f t="shared" si="19"/>
        <v>46204, 4, 18</v>
      </c>
    </row>
    <row r="1227" spans="1:12">
      <c r="A1227" s="9">
        <v>46235</v>
      </c>
      <c r="B1227">
        <v>4</v>
      </c>
      <c r="C1227" s="16" t="s">
        <v>59</v>
      </c>
      <c r="D1227">
        <v>1</v>
      </c>
      <c r="E1227" s="16" t="s">
        <v>38</v>
      </c>
      <c r="F1227" s="18">
        <v>3381</v>
      </c>
      <c r="G1227" s="22">
        <v>161</v>
      </c>
      <c r="H1227" s="18">
        <v>3.7710497631578899</v>
      </c>
      <c r="I1227" s="18">
        <v>607.13901186842099</v>
      </c>
      <c r="J1227" s="18">
        <v>2773.8609881315701</v>
      </c>
      <c r="K1227" s="22">
        <v>0</v>
      </c>
      <c r="L1227" s="22" t="str">
        <f t="shared" si="19"/>
        <v>46235, 4, 1</v>
      </c>
    </row>
    <row r="1228" spans="1:12">
      <c r="A1228" s="9">
        <v>46235</v>
      </c>
      <c r="B1228">
        <v>4</v>
      </c>
      <c r="C1228" s="16" t="s">
        <v>59</v>
      </c>
      <c r="D1228">
        <v>2</v>
      </c>
      <c r="E1228" s="16" t="s">
        <v>40</v>
      </c>
      <c r="F1228" s="18">
        <v>4393</v>
      </c>
      <c r="G1228" s="22">
        <v>191</v>
      </c>
      <c r="H1228" s="18">
        <v>5.9226363852941102</v>
      </c>
      <c r="I1228" s="18">
        <v>1131.22354959117</v>
      </c>
      <c r="J1228" s="18">
        <v>3261.77645040882</v>
      </c>
      <c r="K1228" s="22">
        <v>0</v>
      </c>
      <c r="L1228" s="22" t="str">
        <f t="shared" si="19"/>
        <v>46235, 4, 2</v>
      </c>
    </row>
    <row r="1229" spans="1:12">
      <c r="A1229" s="9">
        <v>46235</v>
      </c>
      <c r="B1229">
        <v>4</v>
      </c>
      <c r="C1229" s="16" t="s">
        <v>59</v>
      </c>
      <c r="D1229">
        <v>3</v>
      </c>
      <c r="E1229" s="16" t="s">
        <v>41</v>
      </c>
      <c r="F1229" s="18">
        <v>2033.5</v>
      </c>
      <c r="G1229" s="22">
        <v>83</v>
      </c>
      <c r="H1229" s="18">
        <v>3.1823554673684198</v>
      </c>
      <c r="I1229" s="18">
        <v>264.135503791578</v>
      </c>
      <c r="J1229" s="18">
        <v>1769.36449620842</v>
      </c>
      <c r="K1229" s="22">
        <v>0</v>
      </c>
      <c r="L1229" s="22" t="str">
        <f t="shared" si="19"/>
        <v>46235, 4, 3</v>
      </c>
    </row>
    <row r="1230" spans="1:12">
      <c r="A1230" s="9">
        <v>46235</v>
      </c>
      <c r="B1230">
        <v>4</v>
      </c>
      <c r="C1230" s="16" t="s">
        <v>59</v>
      </c>
      <c r="D1230">
        <v>5</v>
      </c>
      <c r="E1230" s="16" t="s">
        <v>43</v>
      </c>
      <c r="F1230" s="18">
        <v>1960</v>
      </c>
      <c r="G1230" s="22">
        <v>98</v>
      </c>
      <c r="H1230" s="18">
        <v>5.5055078125000003</v>
      </c>
      <c r="I1230" s="18">
        <v>539.53976562499997</v>
      </c>
      <c r="J1230" s="18">
        <v>1420.460234375</v>
      </c>
      <c r="K1230" s="22">
        <v>0</v>
      </c>
      <c r="L1230" s="22" t="str">
        <f t="shared" si="19"/>
        <v>46235, 4, 5</v>
      </c>
    </row>
    <row r="1231" spans="1:12">
      <c r="A1231" s="9">
        <v>46235</v>
      </c>
      <c r="B1231">
        <v>4</v>
      </c>
      <c r="C1231" s="16" t="s">
        <v>59</v>
      </c>
      <c r="D1231">
        <v>6</v>
      </c>
      <c r="E1231" s="16" t="s">
        <v>44</v>
      </c>
      <c r="F1231" s="18">
        <v>1760</v>
      </c>
      <c r="G1231" s="22">
        <v>80</v>
      </c>
      <c r="H1231" s="18">
        <v>4.6341669711428501</v>
      </c>
      <c r="I1231" s="18">
        <v>370.73335769142801</v>
      </c>
      <c r="J1231" s="18">
        <v>1389.26664230857</v>
      </c>
      <c r="K1231" s="22">
        <v>0</v>
      </c>
      <c r="L1231" s="22" t="str">
        <f t="shared" si="19"/>
        <v>46235, 4, 6</v>
      </c>
    </row>
    <row r="1232" spans="1:12">
      <c r="A1232" s="9">
        <v>46235</v>
      </c>
      <c r="B1232">
        <v>4</v>
      </c>
      <c r="C1232" s="16" t="s">
        <v>59</v>
      </c>
      <c r="D1232">
        <v>8</v>
      </c>
      <c r="E1232" s="16" t="s">
        <v>46</v>
      </c>
      <c r="F1232" s="18">
        <v>1311</v>
      </c>
      <c r="G1232" s="22">
        <v>114</v>
      </c>
      <c r="H1232" s="18">
        <v>0.65073778777777702</v>
      </c>
      <c r="I1232" s="18">
        <v>74.184107806666603</v>
      </c>
      <c r="J1232" s="18">
        <v>1236.81589219333</v>
      </c>
      <c r="K1232" s="22">
        <v>0</v>
      </c>
      <c r="L1232" s="22" t="str">
        <f t="shared" si="19"/>
        <v>46235, 4, 8</v>
      </c>
    </row>
    <row r="1233" spans="1:12">
      <c r="A1233" s="9">
        <v>46235</v>
      </c>
      <c r="B1233">
        <v>4</v>
      </c>
      <c r="C1233" s="16" t="s">
        <v>59</v>
      </c>
      <c r="D1233">
        <v>9</v>
      </c>
      <c r="E1233" s="16" t="s">
        <v>47</v>
      </c>
      <c r="F1233" s="18">
        <v>1995</v>
      </c>
      <c r="G1233" s="22">
        <v>42</v>
      </c>
      <c r="H1233" s="18">
        <v>17.279252575373601</v>
      </c>
      <c r="I1233" s="18">
        <v>725.72860816569505</v>
      </c>
      <c r="J1233" s="18">
        <v>1269.2713918342999</v>
      </c>
      <c r="K1233" s="22">
        <v>0</v>
      </c>
      <c r="L1233" s="22" t="str">
        <f t="shared" si="19"/>
        <v>46235, 4, 9</v>
      </c>
    </row>
    <row r="1234" spans="1:12">
      <c r="A1234" s="9">
        <v>46235</v>
      </c>
      <c r="B1234">
        <v>4</v>
      </c>
      <c r="C1234" s="16" t="s">
        <v>59</v>
      </c>
      <c r="D1234">
        <v>10</v>
      </c>
      <c r="E1234" s="16" t="s">
        <v>57</v>
      </c>
      <c r="F1234" s="18">
        <v>1282.5</v>
      </c>
      <c r="G1234" s="22">
        <v>95</v>
      </c>
      <c r="H1234" s="18">
        <v>1.9366631600099999</v>
      </c>
      <c r="I1234" s="18">
        <v>183.98300020094999</v>
      </c>
      <c r="J1234" s="18">
        <v>1098.5169997990499</v>
      </c>
      <c r="K1234" s="22">
        <v>0</v>
      </c>
      <c r="L1234" s="22" t="str">
        <f t="shared" si="19"/>
        <v>46235, 4, 10</v>
      </c>
    </row>
    <row r="1235" spans="1:12">
      <c r="A1235" s="9">
        <v>46235</v>
      </c>
      <c r="B1235">
        <v>4</v>
      </c>
      <c r="C1235" s="16" t="s">
        <v>59</v>
      </c>
      <c r="D1235">
        <v>11</v>
      </c>
      <c r="E1235" s="16" t="s">
        <v>48</v>
      </c>
      <c r="F1235" s="18">
        <v>3100</v>
      </c>
      <c r="G1235" s="22">
        <v>155</v>
      </c>
      <c r="H1235" s="18">
        <v>1.8426981625000001</v>
      </c>
      <c r="I1235" s="18">
        <v>285.61821518750003</v>
      </c>
      <c r="J1235" s="18">
        <v>2814.3817848125</v>
      </c>
      <c r="K1235" s="22">
        <v>0</v>
      </c>
      <c r="L1235" s="22" t="str">
        <f t="shared" si="19"/>
        <v>46235, 4, 11</v>
      </c>
    </row>
    <row r="1236" spans="1:12">
      <c r="A1236" s="9">
        <v>46235</v>
      </c>
      <c r="B1236">
        <v>4</v>
      </c>
      <c r="C1236" s="16" t="s">
        <v>59</v>
      </c>
      <c r="D1236">
        <v>12</v>
      </c>
      <c r="E1236" s="16" t="s">
        <v>49</v>
      </c>
      <c r="F1236" s="18">
        <v>1218</v>
      </c>
      <c r="G1236" s="22">
        <v>58</v>
      </c>
      <c r="H1236" s="18">
        <v>2.5229536811666602</v>
      </c>
      <c r="I1236" s="18">
        <v>146.33131350766601</v>
      </c>
      <c r="J1236" s="18">
        <v>1071.6686864923299</v>
      </c>
      <c r="K1236" s="22">
        <v>0</v>
      </c>
      <c r="L1236" s="22" t="str">
        <f t="shared" si="19"/>
        <v>46235, 4, 12</v>
      </c>
    </row>
    <row r="1237" spans="1:12">
      <c r="A1237" s="9">
        <v>46235</v>
      </c>
      <c r="B1237">
        <v>4</v>
      </c>
      <c r="C1237" s="16" t="s">
        <v>59</v>
      </c>
      <c r="D1237">
        <v>13</v>
      </c>
      <c r="E1237" s="16" t="s">
        <v>50</v>
      </c>
      <c r="F1237" s="18">
        <v>2178</v>
      </c>
      <c r="G1237" s="22">
        <v>99</v>
      </c>
      <c r="H1237" s="18">
        <v>5.97958321052631</v>
      </c>
      <c r="I1237" s="18">
        <v>591.97873784210503</v>
      </c>
      <c r="J1237" s="18">
        <v>1586.0212621578901</v>
      </c>
      <c r="K1237" s="22">
        <v>0</v>
      </c>
      <c r="L1237" s="22" t="str">
        <f t="shared" si="19"/>
        <v>46235, 4, 13</v>
      </c>
    </row>
    <row r="1238" spans="1:12">
      <c r="A1238" s="9">
        <v>46235</v>
      </c>
      <c r="B1238">
        <v>4</v>
      </c>
      <c r="C1238" s="16" t="s">
        <v>59</v>
      </c>
      <c r="D1238">
        <v>14</v>
      </c>
      <c r="E1238" s="16" t="s">
        <v>51</v>
      </c>
      <c r="F1238" s="18">
        <v>1998</v>
      </c>
      <c r="G1238" s="22">
        <v>74</v>
      </c>
      <c r="H1238" s="18">
        <v>4.36183040444444</v>
      </c>
      <c r="I1238" s="18">
        <v>322.77544992888801</v>
      </c>
      <c r="J1238" s="18">
        <v>1675.2245500711099</v>
      </c>
      <c r="K1238" s="22">
        <v>0</v>
      </c>
      <c r="L1238" s="22" t="str">
        <f t="shared" si="19"/>
        <v>46235, 4, 14</v>
      </c>
    </row>
    <row r="1239" spans="1:12">
      <c r="A1239" s="9">
        <v>46235</v>
      </c>
      <c r="B1239">
        <v>4</v>
      </c>
      <c r="C1239" s="16" t="s">
        <v>59</v>
      </c>
      <c r="D1239">
        <v>15</v>
      </c>
      <c r="E1239" s="16" t="s">
        <v>52</v>
      </c>
      <c r="F1239" s="18">
        <v>3078.5</v>
      </c>
      <c r="G1239" s="22">
        <v>131</v>
      </c>
      <c r="H1239" s="18">
        <v>2.8260098861</v>
      </c>
      <c r="I1239" s="18">
        <v>370.20729507909999</v>
      </c>
      <c r="J1239" s="18">
        <v>2708.2927049209002</v>
      </c>
      <c r="K1239" s="22">
        <v>0</v>
      </c>
      <c r="L1239" s="22" t="str">
        <f t="shared" si="19"/>
        <v>46235, 4, 15</v>
      </c>
    </row>
    <row r="1240" spans="1:12">
      <c r="A1240" s="9">
        <v>46235</v>
      </c>
      <c r="B1240">
        <v>4</v>
      </c>
      <c r="C1240" s="16" t="s">
        <v>59</v>
      </c>
      <c r="D1240">
        <v>16</v>
      </c>
      <c r="E1240" s="16" t="s">
        <v>53</v>
      </c>
      <c r="F1240" s="18">
        <v>994.5</v>
      </c>
      <c r="G1240" s="22">
        <v>117</v>
      </c>
      <c r="H1240" s="18">
        <v>1.3022538231944401</v>
      </c>
      <c r="I1240" s="18">
        <v>152.36369731375001</v>
      </c>
      <c r="J1240" s="18">
        <v>842.136302686249</v>
      </c>
      <c r="K1240" s="22">
        <v>0</v>
      </c>
      <c r="L1240" s="22" t="str">
        <f t="shared" si="19"/>
        <v>46235, 4, 16</v>
      </c>
    </row>
    <row r="1241" spans="1:12">
      <c r="A1241" s="9">
        <v>46235</v>
      </c>
      <c r="B1241">
        <v>4</v>
      </c>
      <c r="C1241" s="16" t="s">
        <v>59</v>
      </c>
      <c r="D1241">
        <v>17</v>
      </c>
      <c r="E1241" s="16" t="s">
        <v>54</v>
      </c>
      <c r="F1241" s="18">
        <v>1605</v>
      </c>
      <c r="G1241" s="22">
        <v>214</v>
      </c>
      <c r="H1241" s="18">
        <v>1.2542221474999999</v>
      </c>
      <c r="I1241" s="18">
        <v>268.40353956500002</v>
      </c>
      <c r="J1241" s="18">
        <v>1336.5964604349999</v>
      </c>
      <c r="K1241" s="22">
        <v>0</v>
      </c>
      <c r="L1241" s="22" t="str">
        <f t="shared" si="19"/>
        <v>46235, 4, 17</v>
      </c>
    </row>
    <row r="1242" spans="1:12">
      <c r="A1242" s="9">
        <v>46235</v>
      </c>
      <c r="B1242">
        <v>4</v>
      </c>
      <c r="C1242" s="16" t="s">
        <v>59</v>
      </c>
      <c r="D1242">
        <v>18</v>
      </c>
      <c r="E1242" s="16" t="s">
        <v>55</v>
      </c>
      <c r="F1242" s="18">
        <v>2208</v>
      </c>
      <c r="G1242" s="22">
        <v>96</v>
      </c>
      <c r="H1242" s="18">
        <v>6.4467282787352902</v>
      </c>
      <c r="I1242" s="18">
        <v>618.885914758588</v>
      </c>
      <c r="J1242" s="18">
        <v>1589.1140852414101</v>
      </c>
      <c r="K1242" s="22">
        <v>0</v>
      </c>
      <c r="L1242" s="22" t="str">
        <f t="shared" si="19"/>
        <v>46235, 4, 18</v>
      </c>
    </row>
    <row r="1243" spans="1:12">
      <c r="A1243" s="9">
        <v>46266</v>
      </c>
      <c r="B1243">
        <v>4</v>
      </c>
      <c r="C1243" s="16" t="s">
        <v>59</v>
      </c>
      <c r="D1243">
        <v>1</v>
      </c>
      <c r="E1243" s="16" t="s">
        <v>38</v>
      </c>
      <c r="F1243" s="18">
        <v>3276</v>
      </c>
      <c r="G1243" s="22">
        <v>156</v>
      </c>
      <c r="H1243" s="18">
        <v>3.7629774500000002</v>
      </c>
      <c r="I1243" s="18">
        <v>587.02448219999997</v>
      </c>
      <c r="J1243" s="18">
        <v>2688.9755178</v>
      </c>
      <c r="K1243" s="22">
        <v>0</v>
      </c>
      <c r="L1243" s="22" t="str">
        <f t="shared" si="19"/>
        <v>46266, 4, 1</v>
      </c>
    </row>
    <row r="1244" spans="1:12">
      <c r="A1244" s="9">
        <v>46266</v>
      </c>
      <c r="B1244">
        <v>4</v>
      </c>
      <c r="C1244" s="16" t="s">
        <v>59</v>
      </c>
      <c r="D1244">
        <v>2</v>
      </c>
      <c r="E1244" s="16" t="s">
        <v>40</v>
      </c>
      <c r="F1244" s="18">
        <v>4209</v>
      </c>
      <c r="G1244" s="22">
        <v>183</v>
      </c>
      <c r="H1244" s="18">
        <v>5.9445421785555501</v>
      </c>
      <c r="I1244" s="18">
        <v>1087.85121867566</v>
      </c>
      <c r="J1244" s="18">
        <v>3121.1487813243298</v>
      </c>
      <c r="K1244" s="22">
        <v>0</v>
      </c>
      <c r="L1244" s="22" t="str">
        <f t="shared" si="19"/>
        <v>46266, 4, 2</v>
      </c>
    </row>
    <row r="1245" spans="1:12">
      <c r="A1245" s="9">
        <v>46266</v>
      </c>
      <c r="B1245">
        <v>4</v>
      </c>
      <c r="C1245" s="16" t="s">
        <v>59</v>
      </c>
      <c r="D1245">
        <v>3</v>
      </c>
      <c r="E1245" s="16" t="s">
        <v>41</v>
      </c>
      <c r="F1245" s="18">
        <v>1984.5</v>
      </c>
      <c r="G1245" s="22">
        <v>81</v>
      </c>
      <c r="H1245" s="18">
        <v>3.1973515863809499</v>
      </c>
      <c r="I1245" s="18">
        <v>258.98547849685701</v>
      </c>
      <c r="J1245" s="18">
        <v>1725.51452150314</v>
      </c>
      <c r="K1245" s="22">
        <v>0</v>
      </c>
      <c r="L1245" s="22" t="str">
        <f t="shared" si="19"/>
        <v>46266, 4, 3</v>
      </c>
    </row>
    <row r="1246" spans="1:12">
      <c r="A1246" s="9">
        <v>46266</v>
      </c>
      <c r="B1246">
        <v>4</v>
      </c>
      <c r="C1246" s="16" t="s">
        <v>59</v>
      </c>
      <c r="D1246">
        <v>5</v>
      </c>
      <c r="E1246" s="16" t="s">
        <v>43</v>
      </c>
      <c r="F1246" s="18">
        <v>2020</v>
      </c>
      <c r="G1246" s="22">
        <v>101</v>
      </c>
      <c r="H1246" s="18">
        <v>5.70272058823529</v>
      </c>
      <c r="I1246" s="18">
        <v>575.97477941176396</v>
      </c>
      <c r="J1246" s="18">
        <v>1444.02522058823</v>
      </c>
      <c r="K1246" s="22">
        <v>0</v>
      </c>
      <c r="L1246" s="22" t="str">
        <f t="shared" si="19"/>
        <v>46266, 4, 5</v>
      </c>
    </row>
    <row r="1247" spans="1:12">
      <c r="A1247" s="9">
        <v>46266</v>
      </c>
      <c r="B1247">
        <v>4</v>
      </c>
      <c r="C1247" s="16" t="s">
        <v>59</v>
      </c>
      <c r="D1247">
        <v>6</v>
      </c>
      <c r="E1247" s="16" t="s">
        <v>44</v>
      </c>
      <c r="F1247" s="18">
        <v>1782</v>
      </c>
      <c r="G1247" s="22">
        <v>81</v>
      </c>
      <c r="H1247" s="18">
        <v>4.6308027857500003</v>
      </c>
      <c r="I1247" s="18">
        <v>375.09502564575001</v>
      </c>
      <c r="J1247" s="18">
        <v>1406.90497435425</v>
      </c>
      <c r="K1247" s="22">
        <v>0</v>
      </c>
      <c r="L1247" s="22" t="str">
        <f t="shared" si="19"/>
        <v>46266, 4, 6</v>
      </c>
    </row>
    <row r="1248" spans="1:12">
      <c r="A1248" s="9">
        <v>46266</v>
      </c>
      <c r="B1248">
        <v>4</v>
      </c>
      <c r="C1248" s="16" t="s">
        <v>59</v>
      </c>
      <c r="D1248">
        <v>8</v>
      </c>
      <c r="E1248" s="16" t="s">
        <v>46</v>
      </c>
      <c r="F1248" s="18">
        <v>1265</v>
      </c>
      <c r="G1248" s="22">
        <v>110</v>
      </c>
      <c r="H1248" s="18">
        <v>0.652733625208333</v>
      </c>
      <c r="I1248" s="18">
        <v>71.800698772916604</v>
      </c>
      <c r="J1248" s="18">
        <v>1193.19930122708</v>
      </c>
      <c r="K1248" s="22">
        <v>0</v>
      </c>
      <c r="L1248" s="22" t="str">
        <f t="shared" si="19"/>
        <v>46266, 4, 8</v>
      </c>
    </row>
    <row r="1249" spans="1:12">
      <c r="A1249" s="9">
        <v>46266</v>
      </c>
      <c r="B1249">
        <v>4</v>
      </c>
      <c r="C1249" s="16" t="s">
        <v>59</v>
      </c>
      <c r="D1249">
        <v>9</v>
      </c>
      <c r="E1249" s="16" t="s">
        <v>47</v>
      </c>
      <c r="F1249" s="18">
        <v>2470</v>
      </c>
      <c r="G1249" s="22">
        <v>52</v>
      </c>
      <c r="H1249" s="18">
        <v>17.2672797301753</v>
      </c>
      <c r="I1249" s="18">
        <v>897.89854596911698</v>
      </c>
      <c r="J1249" s="18">
        <v>1572.1014540308799</v>
      </c>
      <c r="K1249" s="22">
        <v>0</v>
      </c>
      <c r="L1249" s="22" t="str">
        <f t="shared" si="19"/>
        <v>46266, 4, 9</v>
      </c>
    </row>
    <row r="1250" spans="1:12">
      <c r="A1250" s="9">
        <v>46266</v>
      </c>
      <c r="B1250">
        <v>4</v>
      </c>
      <c r="C1250" s="16" t="s">
        <v>59</v>
      </c>
      <c r="D1250">
        <v>10</v>
      </c>
      <c r="E1250" s="16" t="s">
        <v>57</v>
      </c>
      <c r="F1250" s="18">
        <v>1444.5</v>
      </c>
      <c r="G1250" s="22">
        <v>107</v>
      </c>
      <c r="H1250" s="18">
        <v>2.0190911335999999</v>
      </c>
      <c r="I1250" s="18">
        <v>216.04275129519999</v>
      </c>
      <c r="J1250" s="18">
        <v>1228.4572487047999</v>
      </c>
      <c r="K1250" s="22">
        <v>0</v>
      </c>
      <c r="L1250" s="22" t="str">
        <f t="shared" si="19"/>
        <v>46266, 4, 10</v>
      </c>
    </row>
    <row r="1251" spans="1:12">
      <c r="A1251" s="9">
        <v>46266</v>
      </c>
      <c r="B1251">
        <v>4</v>
      </c>
      <c r="C1251" s="16" t="s">
        <v>59</v>
      </c>
      <c r="D1251">
        <v>11</v>
      </c>
      <c r="E1251" s="16" t="s">
        <v>48</v>
      </c>
      <c r="F1251" s="18">
        <v>2740</v>
      </c>
      <c r="G1251" s="22">
        <v>137</v>
      </c>
      <c r="H1251" s="18">
        <v>1.8491321022727201</v>
      </c>
      <c r="I1251" s="18">
        <v>253.331098011363</v>
      </c>
      <c r="J1251" s="18">
        <v>2486.6689019886298</v>
      </c>
      <c r="K1251" s="22">
        <v>0</v>
      </c>
      <c r="L1251" s="22" t="str">
        <f t="shared" si="19"/>
        <v>46266, 4, 11</v>
      </c>
    </row>
    <row r="1252" spans="1:12">
      <c r="A1252" s="9">
        <v>46266</v>
      </c>
      <c r="B1252">
        <v>4</v>
      </c>
      <c r="C1252" s="16" t="s">
        <v>59</v>
      </c>
      <c r="D1252">
        <v>12</v>
      </c>
      <c r="E1252" s="16" t="s">
        <v>49</v>
      </c>
      <c r="F1252" s="18">
        <v>1302</v>
      </c>
      <c r="G1252" s="22">
        <v>62</v>
      </c>
      <c r="H1252" s="18">
        <v>2.54222892493181</v>
      </c>
      <c r="I1252" s="18">
        <v>157.618193345772</v>
      </c>
      <c r="J1252" s="18">
        <v>1144.3818066542201</v>
      </c>
      <c r="K1252" s="22">
        <v>0</v>
      </c>
      <c r="L1252" s="22" t="str">
        <f t="shared" si="19"/>
        <v>46266, 4, 12</v>
      </c>
    </row>
    <row r="1253" spans="1:12">
      <c r="A1253" s="9">
        <v>46266</v>
      </c>
      <c r="B1253">
        <v>4</v>
      </c>
      <c r="C1253" s="16" t="s">
        <v>59</v>
      </c>
      <c r="D1253">
        <v>13</v>
      </c>
      <c r="E1253" s="16" t="s">
        <v>50</v>
      </c>
      <c r="F1253" s="18">
        <v>3190</v>
      </c>
      <c r="G1253" s="22">
        <v>145</v>
      </c>
      <c r="H1253" s="18">
        <v>6.0167132499999996</v>
      </c>
      <c r="I1253" s="18">
        <v>872.42342125000005</v>
      </c>
      <c r="J1253" s="18">
        <v>2317.57657875</v>
      </c>
      <c r="K1253" s="22">
        <v>0</v>
      </c>
      <c r="L1253" s="22" t="str">
        <f t="shared" si="19"/>
        <v>46266, 4, 13</v>
      </c>
    </row>
    <row r="1254" spans="1:12">
      <c r="A1254" s="9">
        <v>46266</v>
      </c>
      <c r="B1254">
        <v>4</v>
      </c>
      <c r="C1254" s="16" t="s">
        <v>59</v>
      </c>
      <c r="D1254">
        <v>14</v>
      </c>
      <c r="E1254" s="16" t="s">
        <v>51</v>
      </c>
      <c r="F1254" s="18">
        <v>1998</v>
      </c>
      <c r="G1254" s="22">
        <v>74</v>
      </c>
      <c r="H1254" s="18">
        <v>4.3557587704924199</v>
      </c>
      <c r="I1254" s="18">
        <v>322.32614901643899</v>
      </c>
      <c r="J1254" s="18">
        <v>1675.67385098356</v>
      </c>
      <c r="K1254" s="22">
        <v>0</v>
      </c>
      <c r="L1254" s="22" t="str">
        <f t="shared" si="19"/>
        <v>46266, 4, 14</v>
      </c>
    </row>
    <row r="1255" spans="1:12">
      <c r="A1255" s="9">
        <v>46266</v>
      </c>
      <c r="B1255">
        <v>4</v>
      </c>
      <c r="C1255" s="16" t="s">
        <v>59</v>
      </c>
      <c r="D1255">
        <v>15</v>
      </c>
      <c r="E1255" s="16" t="s">
        <v>52</v>
      </c>
      <c r="F1255" s="18">
        <v>3125.5</v>
      </c>
      <c r="G1255" s="22">
        <v>133</v>
      </c>
      <c r="H1255" s="18">
        <v>2.8600855818095199</v>
      </c>
      <c r="I1255" s="18">
        <v>380.39138238066602</v>
      </c>
      <c r="J1255" s="18">
        <v>2745.1086176193298</v>
      </c>
      <c r="K1255" s="22">
        <v>0</v>
      </c>
      <c r="L1255" s="22" t="str">
        <f t="shared" si="19"/>
        <v>46266, 4, 15</v>
      </c>
    </row>
    <row r="1256" spans="1:12">
      <c r="A1256" s="9">
        <v>46266</v>
      </c>
      <c r="B1256">
        <v>4</v>
      </c>
      <c r="C1256" s="16" t="s">
        <v>59</v>
      </c>
      <c r="D1256">
        <v>16</v>
      </c>
      <c r="E1256" s="16" t="s">
        <v>53</v>
      </c>
      <c r="F1256" s="18">
        <v>1258</v>
      </c>
      <c r="G1256" s="22">
        <v>148</v>
      </c>
      <c r="H1256" s="18">
        <v>1.30637907051282</v>
      </c>
      <c r="I1256" s="18">
        <v>193.34410243589701</v>
      </c>
      <c r="J1256" s="18">
        <v>1064.6558975641001</v>
      </c>
      <c r="K1256" s="22">
        <v>0</v>
      </c>
      <c r="L1256" s="22" t="str">
        <f t="shared" si="19"/>
        <v>46266, 4, 16</v>
      </c>
    </row>
    <row r="1257" spans="1:12">
      <c r="A1257" s="9">
        <v>46266</v>
      </c>
      <c r="B1257">
        <v>4</v>
      </c>
      <c r="C1257" s="16" t="s">
        <v>59</v>
      </c>
      <c r="D1257">
        <v>17</v>
      </c>
      <c r="E1257" s="16" t="s">
        <v>54</v>
      </c>
      <c r="F1257" s="18">
        <v>1042.5</v>
      </c>
      <c r="G1257" s="22">
        <v>139</v>
      </c>
      <c r="H1257" s="18">
        <v>1.2627885740909</v>
      </c>
      <c r="I1257" s="18">
        <v>175.527611798636</v>
      </c>
      <c r="J1257" s="18">
        <v>866.97238820136295</v>
      </c>
      <c r="K1257" s="22">
        <v>0</v>
      </c>
      <c r="L1257" s="22" t="str">
        <f t="shared" si="19"/>
        <v>46266, 4, 17</v>
      </c>
    </row>
    <row r="1258" spans="1:12">
      <c r="A1258" s="9">
        <v>46266</v>
      </c>
      <c r="B1258">
        <v>4</v>
      </c>
      <c r="C1258" s="16" t="s">
        <v>59</v>
      </c>
      <c r="D1258">
        <v>18</v>
      </c>
      <c r="E1258" s="16" t="s">
        <v>55</v>
      </c>
      <c r="F1258" s="18">
        <v>1702</v>
      </c>
      <c r="G1258" s="22">
        <v>74</v>
      </c>
      <c r="H1258" s="18">
        <v>6.4666846824166599</v>
      </c>
      <c r="I1258" s="18">
        <v>478.53466649883302</v>
      </c>
      <c r="J1258" s="18">
        <v>1223.4653335011601</v>
      </c>
      <c r="K1258" s="22">
        <v>0</v>
      </c>
      <c r="L1258" s="22" t="str">
        <f t="shared" si="19"/>
        <v>46266, 4, 18</v>
      </c>
    </row>
    <row r="1259" spans="1:12">
      <c r="A1259" s="9">
        <v>45689</v>
      </c>
      <c r="B1259">
        <v>5</v>
      </c>
      <c r="C1259" s="16" t="s">
        <v>60</v>
      </c>
      <c r="D1259">
        <v>1</v>
      </c>
      <c r="E1259" s="16" t="s">
        <v>38</v>
      </c>
      <c r="F1259" s="18">
        <v>3203.5</v>
      </c>
      <c r="G1259" s="22">
        <v>149</v>
      </c>
      <c r="H1259" s="18">
        <v>4.1110677500000001</v>
      </c>
      <c r="I1259" s="18">
        <v>612.54909474999999</v>
      </c>
      <c r="J1259" s="18">
        <v>2590.9509052499998</v>
      </c>
      <c r="K1259" s="22">
        <v>0</v>
      </c>
      <c r="L1259" s="22" t="str">
        <f t="shared" si="19"/>
        <v>45689, 5, 1</v>
      </c>
    </row>
    <row r="1260" spans="1:12">
      <c r="A1260" s="9">
        <v>45689</v>
      </c>
      <c r="B1260">
        <v>5</v>
      </c>
      <c r="C1260" s="16" t="s">
        <v>60</v>
      </c>
      <c r="D1260">
        <v>2</v>
      </c>
      <c r="E1260" s="16" t="s">
        <v>40</v>
      </c>
      <c r="F1260" s="18">
        <v>3792</v>
      </c>
      <c r="G1260" s="22">
        <v>158</v>
      </c>
      <c r="H1260" s="18">
        <v>6.8932540790000001</v>
      </c>
      <c r="I1260" s="18">
        <v>1089.134144482</v>
      </c>
      <c r="J1260" s="18">
        <v>2702.865855518</v>
      </c>
      <c r="K1260" s="22">
        <v>0</v>
      </c>
      <c r="L1260" s="22" t="str">
        <f t="shared" si="19"/>
        <v>45689, 5, 2</v>
      </c>
    </row>
    <row r="1261" spans="1:12">
      <c r="A1261" s="9">
        <v>45689</v>
      </c>
      <c r="B1261">
        <v>5</v>
      </c>
      <c r="C1261" s="16" t="s">
        <v>60</v>
      </c>
      <c r="D1261">
        <v>3</v>
      </c>
      <c r="E1261" s="16" t="s">
        <v>41</v>
      </c>
      <c r="F1261" s="18">
        <v>2750</v>
      </c>
      <c r="G1261" s="22">
        <v>110</v>
      </c>
      <c r="H1261" s="18">
        <v>3.4376748319999999</v>
      </c>
      <c r="I1261" s="18">
        <v>378.14423152000001</v>
      </c>
      <c r="J1261" s="18">
        <v>2371.8557684799998</v>
      </c>
      <c r="K1261" s="22">
        <v>0</v>
      </c>
      <c r="L1261" s="22" t="str">
        <f t="shared" si="19"/>
        <v>45689, 5, 3</v>
      </c>
    </row>
    <row r="1262" spans="1:12">
      <c r="A1262" s="9">
        <v>45689</v>
      </c>
      <c r="B1262">
        <v>5</v>
      </c>
      <c r="C1262" s="16" t="s">
        <v>60</v>
      </c>
      <c r="D1262">
        <v>4</v>
      </c>
      <c r="E1262" s="16" t="s">
        <v>42</v>
      </c>
      <c r="F1262" s="18">
        <v>2624</v>
      </c>
      <c r="G1262" s="22">
        <v>128</v>
      </c>
      <c r="H1262" s="18">
        <v>7.2982718182999999</v>
      </c>
      <c r="I1262" s="18">
        <v>934.17879274239999</v>
      </c>
      <c r="J1262" s="18">
        <v>1689.8212072576</v>
      </c>
      <c r="K1262" s="22">
        <v>0</v>
      </c>
      <c r="L1262" s="22" t="str">
        <f t="shared" si="19"/>
        <v>45689, 5, 4</v>
      </c>
    </row>
    <row r="1263" spans="1:12">
      <c r="A1263" s="9">
        <v>45689</v>
      </c>
      <c r="B1263">
        <v>5</v>
      </c>
      <c r="C1263" s="16" t="s">
        <v>60</v>
      </c>
      <c r="D1263">
        <v>7</v>
      </c>
      <c r="E1263" s="16" t="s">
        <v>45</v>
      </c>
      <c r="F1263" s="18">
        <v>1428</v>
      </c>
      <c r="G1263" s="22">
        <v>136</v>
      </c>
      <c r="H1263" s="18">
        <v>2.8717497652941102</v>
      </c>
      <c r="I1263" s="18">
        <v>390.55796808000002</v>
      </c>
      <c r="J1263" s="18">
        <v>1037.4420319199901</v>
      </c>
      <c r="K1263" s="22">
        <v>0</v>
      </c>
      <c r="L1263" s="22" t="str">
        <f t="shared" si="19"/>
        <v>45689, 5, 7</v>
      </c>
    </row>
    <row r="1264" spans="1:12">
      <c r="A1264" s="9">
        <v>45689</v>
      </c>
      <c r="B1264">
        <v>5</v>
      </c>
      <c r="C1264" s="16" t="s">
        <v>60</v>
      </c>
      <c r="D1264">
        <v>8</v>
      </c>
      <c r="E1264" s="16" t="s">
        <v>46</v>
      </c>
      <c r="F1264" s="18">
        <v>804</v>
      </c>
      <c r="G1264" s="22">
        <v>67</v>
      </c>
      <c r="H1264" s="18">
        <v>0.64780240571428505</v>
      </c>
      <c r="I1264" s="18">
        <v>43.402761182857098</v>
      </c>
      <c r="J1264" s="18">
        <v>760.59723881714206</v>
      </c>
      <c r="K1264" s="22">
        <v>0</v>
      </c>
      <c r="L1264" s="22" t="str">
        <f t="shared" si="19"/>
        <v>45689, 5, 8</v>
      </c>
    </row>
    <row r="1265" spans="1:12">
      <c r="A1265" s="9">
        <v>45689</v>
      </c>
      <c r="B1265">
        <v>5</v>
      </c>
      <c r="C1265" s="16" t="s">
        <v>60</v>
      </c>
      <c r="D1265">
        <v>10</v>
      </c>
      <c r="E1265" s="16" t="s">
        <v>57</v>
      </c>
      <c r="F1265" s="18">
        <v>1036</v>
      </c>
      <c r="G1265" s="22">
        <v>74</v>
      </c>
      <c r="H1265" s="18">
        <v>2.0775565539538401</v>
      </c>
      <c r="I1265" s="18">
        <v>153.739184992584</v>
      </c>
      <c r="J1265" s="18">
        <v>882.26081500741498</v>
      </c>
      <c r="K1265" s="22">
        <v>0</v>
      </c>
      <c r="L1265" s="22" t="str">
        <f t="shared" si="19"/>
        <v>45689, 5, 10</v>
      </c>
    </row>
    <row r="1266" spans="1:12">
      <c r="A1266" s="9">
        <v>45689</v>
      </c>
      <c r="B1266">
        <v>5</v>
      </c>
      <c r="C1266" s="16" t="s">
        <v>60</v>
      </c>
      <c r="D1266">
        <v>11</v>
      </c>
      <c r="E1266" s="16" t="s">
        <v>48</v>
      </c>
      <c r="F1266" s="18">
        <v>2520</v>
      </c>
      <c r="G1266" s="22">
        <v>120</v>
      </c>
      <c r="H1266" s="18">
        <v>1.98790490625</v>
      </c>
      <c r="I1266" s="18">
        <v>238.54858874999999</v>
      </c>
      <c r="J1266" s="18">
        <v>2281.4514112500001</v>
      </c>
      <c r="K1266" s="22">
        <v>0</v>
      </c>
      <c r="L1266" s="22" t="str">
        <f t="shared" si="19"/>
        <v>45689, 5, 11</v>
      </c>
    </row>
    <row r="1267" spans="1:12">
      <c r="A1267" s="9">
        <v>45689</v>
      </c>
      <c r="B1267">
        <v>5</v>
      </c>
      <c r="C1267" s="16" t="s">
        <v>60</v>
      </c>
      <c r="D1267">
        <v>12</v>
      </c>
      <c r="E1267" s="16" t="s">
        <v>49</v>
      </c>
      <c r="F1267" s="18">
        <v>1827.5</v>
      </c>
      <c r="G1267" s="22">
        <v>85</v>
      </c>
      <c r="H1267" s="18">
        <v>2.4610737821562498</v>
      </c>
      <c r="I1267" s="18">
        <v>209.19127148328101</v>
      </c>
      <c r="J1267" s="18">
        <v>1618.3087285167101</v>
      </c>
      <c r="K1267" s="22">
        <v>0</v>
      </c>
      <c r="L1267" s="22" t="str">
        <f t="shared" si="19"/>
        <v>45689, 5, 12</v>
      </c>
    </row>
    <row r="1268" spans="1:12">
      <c r="A1268" s="9">
        <v>45689</v>
      </c>
      <c r="B1268">
        <v>5</v>
      </c>
      <c r="C1268" s="16" t="s">
        <v>60</v>
      </c>
      <c r="D1268">
        <v>13</v>
      </c>
      <c r="E1268" s="16" t="s">
        <v>50</v>
      </c>
      <c r="F1268" s="18">
        <v>2565</v>
      </c>
      <c r="G1268" s="22">
        <v>114</v>
      </c>
      <c r="H1268" s="18">
        <v>6.7517417499999999</v>
      </c>
      <c r="I1268" s="18">
        <v>769.69855949999999</v>
      </c>
      <c r="J1268" s="18">
        <v>1795.3014404999999</v>
      </c>
      <c r="K1268" s="22">
        <v>0</v>
      </c>
      <c r="L1268" s="22" t="str">
        <f t="shared" si="19"/>
        <v>45689, 5, 13</v>
      </c>
    </row>
    <row r="1269" spans="1:12">
      <c r="A1269" s="9">
        <v>45689</v>
      </c>
      <c r="B1269">
        <v>5</v>
      </c>
      <c r="C1269" s="16" t="s">
        <v>60</v>
      </c>
      <c r="D1269">
        <v>14</v>
      </c>
      <c r="E1269" s="16" t="s">
        <v>51</v>
      </c>
      <c r="F1269" s="18">
        <v>2227.5</v>
      </c>
      <c r="G1269" s="22">
        <v>81</v>
      </c>
      <c r="H1269" s="18">
        <v>4.5516332562083299</v>
      </c>
      <c r="I1269" s="18">
        <v>368.68229375287501</v>
      </c>
      <c r="J1269" s="18">
        <v>1858.81770624712</v>
      </c>
      <c r="K1269" s="22">
        <v>0</v>
      </c>
      <c r="L1269" s="22" t="str">
        <f t="shared" si="19"/>
        <v>45689, 5, 14</v>
      </c>
    </row>
    <row r="1270" spans="1:12">
      <c r="A1270" s="9">
        <v>45689</v>
      </c>
      <c r="B1270">
        <v>5</v>
      </c>
      <c r="C1270" s="16" t="s">
        <v>60</v>
      </c>
      <c r="D1270">
        <v>15</v>
      </c>
      <c r="E1270" s="16" t="s">
        <v>52</v>
      </c>
      <c r="F1270" s="18">
        <v>3072</v>
      </c>
      <c r="G1270" s="22">
        <v>128</v>
      </c>
      <c r="H1270" s="18">
        <v>2.7609851267500001</v>
      </c>
      <c r="I1270" s="18">
        <v>353.40609622400001</v>
      </c>
      <c r="J1270" s="18">
        <v>2718.5939037759999</v>
      </c>
      <c r="K1270" s="22">
        <v>0</v>
      </c>
      <c r="L1270" s="22" t="str">
        <f t="shared" si="19"/>
        <v>45689, 5, 15</v>
      </c>
    </row>
    <row r="1271" spans="1:12">
      <c r="A1271" s="9">
        <v>45689</v>
      </c>
      <c r="B1271">
        <v>5</v>
      </c>
      <c r="C1271" s="16" t="s">
        <v>60</v>
      </c>
      <c r="D1271">
        <v>16</v>
      </c>
      <c r="E1271" s="16" t="s">
        <v>53</v>
      </c>
      <c r="F1271" s="18">
        <v>855</v>
      </c>
      <c r="G1271" s="22">
        <v>95</v>
      </c>
      <c r="H1271" s="18">
        <v>1.55971111022727</v>
      </c>
      <c r="I1271" s="18">
        <v>148.17255547158999</v>
      </c>
      <c r="J1271" s="18">
        <v>706.82744452840905</v>
      </c>
      <c r="K1271" s="22">
        <v>0</v>
      </c>
      <c r="L1271" s="22" t="str">
        <f t="shared" si="19"/>
        <v>45689, 5, 16</v>
      </c>
    </row>
    <row r="1272" spans="1:12">
      <c r="A1272" s="9">
        <v>45689</v>
      </c>
      <c r="B1272">
        <v>5</v>
      </c>
      <c r="C1272" s="16" t="s">
        <v>60</v>
      </c>
      <c r="D1272">
        <v>17</v>
      </c>
      <c r="E1272" s="16" t="s">
        <v>54</v>
      </c>
      <c r="F1272" s="18">
        <v>592.5</v>
      </c>
      <c r="G1272" s="22">
        <v>79</v>
      </c>
      <c r="H1272" s="18">
        <v>1.4236852422222199</v>
      </c>
      <c r="I1272" s="18">
        <v>112.471134135555</v>
      </c>
      <c r="J1272" s="18">
        <v>480.02886586444401</v>
      </c>
      <c r="K1272" s="22">
        <v>0</v>
      </c>
      <c r="L1272" s="22" t="str">
        <f t="shared" si="19"/>
        <v>45689, 5, 17</v>
      </c>
    </row>
    <row r="1273" spans="1:12">
      <c r="A1273" s="9">
        <v>45689</v>
      </c>
      <c r="B1273">
        <v>5</v>
      </c>
      <c r="C1273" s="16" t="s">
        <v>60</v>
      </c>
      <c r="D1273">
        <v>18</v>
      </c>
      <c r="E1273" s="16" t="s">
        <v>55</v>
      </c>
      <c r="F1273" s="18">
        <v>1265</v>
      </c>
      <c r="G1273" s="22">
        <v>55</v>
      </c>
      <c r="H1273" s="18">
        <v>5.9086216246406202</v>
      </c>
      <c r="I1273" s="18">
        <v>324.97418935523399</v>
      </c>
      <c r="J1273" s="18">
        <v>940.02581064476499</v>
      </c>
      <c r="K1273" s="22">
        <v>0</v>
      </c>
      <c r="L1273" s="22" t="str">
        <f t="shared" si="19"/>
        <v>45689, 5, 18</v>
      </c>
    </row>
    <row r="1274" spans="1:12">
      <c r="A1274" s="9">
        <v>45717</v>
      </c>
      <c r="B1274">
        <v>5</v>
      </c>
      <c r="C1274" s="16" t="s">
        <v>60</v>
      </c>
      <c r="D1274">
        <v>12</v>
      </c>
      <c r="E1274" s="16" t="s">
        <v>49</v>
      </c>
      <c r="F1274" s="18">
        <v>1849</v>
      </c>
      <c r="G1274" s="22">
        <v>86</v>
      </c>
      <c r="H1274" s="18">
        <v>2.4701716149411701</v>
      </c>
      <c r="I1274" s="18">
        <v>212.434758884941</v>
      </c>
      <c r="J1274" s="18">
        <v>1636.56524111505</v>
      </c>
      <c r="K1274" s="22">
        <v>0</v>
      </c>
      <c r="L1274" s="22" t="str">
        <f t="shared" si="19"/>
        <v>45717, 5, 12</v>
      </c>
    </row>
    <row r="1275" spans="1:12">
      <c r="A1275" s="9">
        <v>45717</v>
      </c>
      <c r="B1275">
        <v>5</v>
      </c>
      <c r="C1275" s="16" t="s">
        <v>60</v>
      </c>
      <c r="D1275">
        <v>13</v>
      </c>
      <c r="E1275" s="16" t="s">
        <v>50</v>
      </c>
      <c r="F1275" s="18">
        <v>1867.5</v>
      </c>
      <c r="G1275" s="22">
        <v>83</v>
      </c>
      <c r="H1275" s="18">
        <v>6.8095010769230697</v>
      </c>
      <c r="I1275" s="18">
        <v>565.18858938461506</v>
      </c>
      <c r="J1275" s="18">
        <v>1302.3114106153801</v>
      </c>
      <c r="K1275" s="22">
        <v>0</v>
      </c>
      <c r="L1275" s="22" t="str">
        <f t="shared" si="19"/>
        <v>45717, 5, 13</v>
      </c>
    </row>
    <row r="1276" spans="1:12">
      <c r="A1276" s="9">
        <v>45717</v>
      </c>
      <c r="B1276">
        <v>5</v>
      </c>
      <c r="C1276" s="16" t="s">
        <v>60</v>
      </c>
      <c r="D1276">
        <v>14</v>
      </c>
      <c r="E1276" s="16" t="s">
        <v>51</v>
      </c>
      <c r="F1276" s="18">
        <v>1677.5</v>
      </c>
      <c r="G1276" s="22">
        <v>61</v>
      </c>
      <c r="H1276" s="18">
        <v>4.5847892628137199</v>
      </c>
      <c r="I1276" s="18">
        <v>279.672145031637</v>
      </c>
      <c r="J1276" s="18">
        <v>1397.82785496836</v>
      </c>
      <c r="K1276" s="22">
        <v>0</v>
      </c>
      <c r="L1276" s="22" t="str">
        <f t="shared" si="19"/>
        <v>45717, 5, 14</v>
      </c>
    </row>
    <row r="1277" spans="1:12">
      <c r="A1277" s="9">
        <v>45717</v>
      </c>
      <c r="B1277">
        <v>5</v>
      </c>
      <c r="C1277" s="16" t="s">
        <v>60</v>
      </c>
      <c r="D1277">
        <v>15</v>
      </c>
      <c r="E1277" s="16" t="s">
        <v>52</v>
      </c>
      <c r="F1277" s="18">
        <v>3408</v>
      </c>
      <c r="G1277" s="22">
        <v>142</v>
      </c>
      <c r="H1277" s="18">
        <v>2.8001794524705801</v>
      </c>
      <c r="I1277" s="18">
        <v>397.62548225082298</v>
      </c>
      <c r="J1277" s="18">
        <v>3010.3745177491701</v>
      </c>
      <c r="K1277" s="22">
        <v>0</v>
      </c>
      <c r="L1277" s="22" t="str">
        <f t="shared" si="19"/>
        <v>45717, 5, 15</v>
      </c>
    </row>
    <row r="1278" spans="1:12">
      <c r="A1278" s="9">
        <v>45717</v>
      </c>
      <c r="B1278">
        <v>5</v>
      </c>
      <c r="C1278" s="16" t="s">
        <v>60</v>
      </c>
      <c r="D1278">
        <v>16</v>
      </c>
      <c r="E1278" s="16" t="s">
        <v>53</v>
      </c>
      <c r="F1278" s="18">
        <v>810</v>
      </c>
      <c r="G1278" s="22">
        <v>90</v>
      </c>
      <c r="H1278" s="18">
        <v>1.56535974083333</v>
      </c>
      <c r="I1278" s="18">
        <v>140.88237667499999</v>
      </c>
      <c r="J1278" s="18">
        <v>669.11762332499904</v>
      </c>
      <c r="K1278" s="22">
        <v>0</v>
      </c>
      <c r="L1278" s="22" t="str">
        <f t="shared" si="19"/>
        <v>45717, 5, 16</v>
      </c>
    </row>
    <row r="1279" spans="1:12">
      <c r="A1279" s="9">
        <v>45717</v>
      </c>
      <c r="B1279">
        <v>5</v>
      </c>
      <c r="C1279" s="16" t="s">
        <v>60</v>
      </c>
      <c r="D1279">
        <v>17</v>
      </c>
      <c r="E1279" s="16" t="s">
        <v>54</v>
      </c>
      <c r="F1279" s="18">
        <v>495</v>
      </c>
      <c r="G1279" s="22">
        <v>66</v>
      </c>
      <c r="H1279" s="18">
        <v>1.43344112166666</v>
      </c>
      <c r="I1279" s="18">
        <v>94.607114030000005</v>
      </c>
      <c r="J1279" s="18">
        <v>400.39288596999899</v>
      </c>
      <c r="K1279" s="22">
        <v>0</v>
      </c>
      <c r="L1279" s="22" t="str">
        <f t="shared" si="19"/>
        <v>45717, 5, 17</v>
      </c>
    </row>
    <row r="1280" spans="1:12">
      <c r="A1280" s="9">
        <v>45717</v>
      </c>
      <c r="B1280">
        <v>5</v>
      </c>
      <c r="C1280" s="16" t="s">
        <v>60</v>
      </c>
      <c r="D1280">
        <v>18</v>
      </c>
      <c r="E1280" s="16" t="s">
        <v>55</v>
      </c>
      <c r="F1280" s="18">
        <v>1380</v>
      </c>
      <c r="G1280" s="22">
        <v>60</v>
      </c>
      <c r="H1280" s="18">
        <v>5.8935313521617596</v>
      </c>
      <c r="I1280" s="18">
        <v>353.61188112970501</v>
      </c>
      <c r="J1280" s="18">
        <v>1026.3881188702901</v>
      </c>
      <c r="K1280" s="22">
        <v>0</v>
      </c>
      <c r="L1280" s="22" t="str">
        <f t="shared" si="19"/>
        <v>45717, 5, 18</v>
      </c>
    </row>
    <row r="1281" spans="1:12">
      <c r="A1281" s="9">
        <v>45717</v>
      </c>
      <c r="B1281">
        <v>5</v>
      </c>
      <c r="C1281" s="16" t="s">
        <v>60</v>
      </c>
      <c r="D1281">
        <v>1</v>
      </c>
      <c r="E1281" s="16" t="s">
        <v>38</v>
      </c>
      <c r="F1281" s="18">
        <v>3203.5</v>
      </c>
      <c r="G1281" s="22">
        <v>149</v>
      </c>
      <c r="H1281" s="18">
        <v>4.1394803571428502</v>
      </c>
      <c r="I1281" s="18">
        <v>616.78257321428498</v>
      </c>
      <c r="J1281" s="18">
        <v>2586.7174267857099</v>
      </c>
      <c r="K1281" s="22">
        <v>0</v>
      </c>
      <c r="L1281" s="22" t="str">
        <f t="shared" si="19"/>
        <v>45717, 5, 1</v>
      </c>
    </row>
    <row r="1282" spans="1:12">
      <c r="A1282" s="9">
        <v>45717</v>
      </c>
      <c r="B1282">
        <v>5</v>
      </c>
      <c r="C1282" s="16" t="s">
        <v>60</v>
      </c>
      <c r="D1282">
        <v>2</v>
      </c>
      <c r="E1282" s="16" t="s">
        <v>40</v>
      </c>
      <c r="F1282" s="18">
        <v>3888</v>
      </c>
      <c r="G1282" s="22">
        <v>162</v>
      </c>
      <c r="H1282" s="18">
        <v>6.9722849275238001</v>
      </c>
      <c r="I1282" s="18">
        <v>1129.51015825885</v>
      </c>
      <c r="J1282" s="18">
        <v>2758.48984174114</v>
      </c>
      <c r="K1282" s="22">
        <v>0</v>
      </c>
      <c r="L1282" s="22" t="str">
        <f t="shared" si="19"/>
        <v>45717, 5, 2</v>
      </c>
    </row>
    <row r="1283" spans="1:12">
      <c r="A1283" s="9">
        <v>45717</v>
      </c>
      <c r="B1283">
        <v>5</v>
      </c>
      <c r="C1283" s="16" t="s">
        <v>60</v>
      </c>
      <c r="D1283">
        <v>3</v>
      </c>
      <c r="E1283" s="16" t="s">
        <v>41</v>
      </c>
      <c r="F1283" s="18">
        <v>2025</v>
      </c>
      <c r="G1283" s="22">
        <v>81</v>
      </c>
      <c r="H1283" s="18">
        <v>3.4509978637646999</v>
      </c>
      <c r="I1283" s="18">
        <v>279.53082696494101</v>
      </c>
      <c r="J1283" s="18">
        <v>1745.4691730350501</v>
      </c>
      <c r="K1283" s="22">
        <v>0</v>
      </c>
      <c r="L1283" s="22" t="str">
        <f t="shared" ref="L1283:L1346" si="20">(A1283&amp; ", "&amp; B1283&amp; ", "&amp; D1283)</f>
        <v>45717, 5, 3</v>
      </c>
    </row>
    <row r="1284" spans="1:12">
      <c r="A1284" s="9">
        <v>45717</v>
      </c>
      <c r="B1284">
        <v>5</v>
      </c>
      <c r="C1284" s="16" t="s">
        <v>60</v>
      </c>
      <c r="D1284">
        <v>4</v>
      </c>
      <c r="E1284" s="16" t="s">
        <v>42</v>
      </c>
      <c r="F1284" s="18">
        <v>2111.5</v>
      </c>
      <c r="G1284" s="22">
        <v>103</v>
      </c>
      <c r="H1284" s="18">
        <v>7.2953621794285697</v>
      </c>
      <c r="I1284" s="18">
        <v>751.42230448114196</v>
      </c>
      <c r="J1284" s="18">
        <v>1360.0776955188501</v>
      </c>
      <c r="K1284" s="22">
        <v>0</v>
      </c>
      <c r="L1284" s="22" t="str">
        <f t="shared" si="20"/>
        <v>45717, 5, 4</v>
      </c>
    </row>
    <row r="1285" spans="1:12">
      <c r="A1285" s="9">
        <v>45717</v>
      </c>
      <c r="B1285">
        <v>5</v>
      </c>
      <c r="C1285" s="16" t="s">
        <v>60</v>
      </c>
      <c r="D1285">
        <v>7</v>
      </c>
      <c r="E1285" s="16" t="s">
        <v>45</v>
      </c>
      <c r="F1285" s="18">
        <v>1113</v>
      </c>
      <c r="G1285" s="22">
        <v>106</v>
      </c>
      <c r="H1285" s="18">
        <v>2.8726047618333301</v>
      </c>
      <c r="I1285" s="18">
        <v>304.49610475433298</v>
      </c>
      <c r="J1285" s="18">
        <v>808.50389524566594</v>
      </c>
      <c r="K1285" s="22">
        <v>0</v>
      </c>
      <c r="L1285" s="22" t="str">
        <f t="shared" si="20"/>
        <v>45717, 5, 7</v>
      </c>
    </row>
    <row r="1286" spans="1:12">
      <c r="A1286" s="9">
        <v>45717</v>
      </c>
      <c r="B1286">
        <v>5</v>
      </c>
      <c r="C1286" s="16" t="s">
        <v>60</v>
      </c>
      <c r="D1286">
        <v>8</v>
      </c>
      <c r="E1286" s="16" t="s">
        <v>46</v>
      </c>
      <c r="F1286" s="18">
        <v>900</v>
      </c>
      <c r="G1286" s="22">
        <v>75</v>
      </c>
      <c r="H1286" s="18">
        <v>0.66627125044444402</v>
      </c>
      <c r="I1286" s="18">
        <v>49.970343783333298</v>
      </c>
      <c r="J1286" s="18">
        <v>850.02965621666601</v>
      </c>
      <c r="K1286" s="22">
        <v>0</v>
      </c>
      <c r="L1286" s="22" t="str">
        <f t="shared" si="20"/>
        <v>45717, 5, 8</v>
      </c>
    </row>
    <row r="1287" spans="1:12">
      <c r="A1287" s="9">
        <v>45717</v>
      </c>
      <c r="B1287">
        <v>5</v>
      </c>
      <c r="C1287" s="16" t="s">
        <v>60</v>
      </c>
      <c r="D1287">
        <v>10</v>
      </c>
      <c r="E1287" s="16" t="s">
        <v>57</v>
      </c>
      <c r="F1287" s="18">
        <v>924</v>
      </c>
      <c r="G1287" s="22">
        <v>66</v>
      </c>
      <c r="H1287" s="18">
        <v>2.02309784184615</v>
      </c>
      <c r="I1287" s="18">
        <v>133.52445756184599</v>
      </c>
      <c r="J1287" s="18">
        <v>790.47554243815296</v>
      </c>
      <c r="K1287" s="22">
        <v>0</v>
      </c>
      <c r="L1287" s="22" t="str">
        <f t="shared" si="20"/>
        <v>45717, 5, 10</v>
      </c>
    </row>
    <row r="1288" spans="1:12">
      <c r="A1288" s="9">
        <v>45717</v>
      </c>
      <c r="B1288">
        <v>5</v>
      </c>
      <c r="C1288" s="16" t="s">
        <v>60</v>
      </c>
      <c r="D1288">
        <v>11</v>
      </c>
      <c r="E1288" s="16" t="s">
        <v>48</v>
      </c>
      <c r="F1288" s="18">
        <v>2247</v>
      </c>
      <c r="G1288" s="22">
        <v>107</v>
      </c>
      <c r="H1288" s="18">
        <v>2.0122097321428498</v>
      </c>
      <c r="I1288" s="18">
        <v>215.30644133928499</v>
      </c>
      <c r="J1288" s="18">
        <v>2031.6935586607101</v>
      </c>
      <c r="K1288" s="22">
        <v>0</v>
      </c>
      <c r="L1288" s="22" t="str">
        <f t="shared" si="20"/>
        <v>45717, 5, 11</v>
      </c>
    </row>
    <row r="1289" spans="1:12">
      <c r="A1289" s="9">
        <v>45748</v>
      </c>
      <c r="B1289">
        <v>5</v>
      </c>
      <c r="C1289" s="16" t="s">
        <v>60</v>
      </c>
      <c r="D1289">
        <v>1</v>
      </c>
      <c r="E1289" s="16" t="s">
        <v>38</v>
      </c>
      <c r="F1289" s="18">
        <v>3354</v>
      </c>
      <c r="G1289" s="22">
        <v>156</v>
      </c>
      <c r="H1289" s="18">
        <v>4.1495738214285698</v>
      </c>
      <c r="I1289" s="18">
        <v>647.33351614285698</v>
      </c>
      <c r="J1289" s="18">
        <v>2706.6664838571401</v>
      </c>
      <c r="K1289" s="22">
        <v>0</v>
      </c>
      <c r="L1289" s="22" t="str">
        <f t="shared" si="20"/>
        <v>45748, 5, 1</v>
      </c>
    </row>
    <row r="1290" spans="1:12">
      <c r="A1290" s="9">
        <v>45748</v>
      </c>
      <c r="B1290">
        <v>5</v>
      </c>
      <c r="C1290" s="16" t="s">
        <v>60</v>
      </c>
      <c r="D1290">
        <v>2</v>
      </c>
      <c r="E1290" s="16" t="s">
        <v>40</v>
      </c>
      <c r="F1290" s="18">
        <v>4368</v>
      </c>
      <c r="G1290" s="22">
        <v>182</v>
      </c>
      <c r="H1290" s="18">
        <v>6.9582516714545397</v>
      </c>
      <c r="I1290" s="18">
        <v>1266.4018042047201</v>
      </c>
      <c r="J1290" s="18">
        <v>3101.5981957952699</v>
      </c>
      <c r="K1290" s="22">
        <v>0</v>
      </c>
      <c r="L1290" s="22" t="str">
        <f t="shared" si="20"/>
        <v>45748, 5, 2</v>
      </c>
    </row>
    <row r="1291" spans="1:12">
      <c r="A1291" s="9">
        <v>45748</v>
      </c>
      <c r="B1291">
        <v>5</v>
      </c>
      <c r="C1291" s="16" t="s">
        <v>60</v>
      </c>
      <c r="D1291">
        <v>3</v>
      </c>
      <c r="E1291" s="16" t="s">
        <v>41</v>
      </c>
      <c r="F1291" s="18">
        <v>2400</v>
      </c>
      <c r="G1291" s="22">
        <v>96</v>
      </c>
      <c r="H1291" s="18">
        <v>3.4659844180000001</v>
      </c>
      <c r="I1291" s="18">
        <v>332.73450412800003</v>
      </c>
      <c r="J1291" s="18">
        <v>2067.265495872</v>
      </c>
      <c r="K1291" s="22">
        <v>0</v>
      </c>
      <c r="L1291" s="22" t="str">
        <f t="shared" si="20"/>
        <v>45748, 5, 3</v>
      </c>
    </row>
    <row r="1292" spans="1:12">
      <c r="A1292" s="9">
        <v>45748</v>
      </c>
      <c r="B1292">
        <v>5</v>
      </c>
      <c r="C1292" s="16" t="s">
        <v>60</v>
      </c>
      <c r="D1292">
        <v>4</v>
      </c>
      <c r="E1292" s="16" t="s">
        <v>42</v>
      </c>
      <c r="F1292" s="18">
        <v>2337</v>
      </c>
      <c r="G1292" s="22">
        <v>114</v>
      </c>
      <c r="H1292" s="18">
        <v>7.1448712788181803</v>
      </c>
      <c r="I1292" s="18">
        <v>814.51532578527201</v>
      </c>
      <c r="J1292" s="18">
        <v>1522.4846742147199</v>
      </c>
      <c r="K1292" s="22">
        <v>0</v>
      </c>
      <c r="L1292" s="22" t="str">
        <f t="shared" si="20"/>
        <v>45748, 5, 4</v>
      </c>
    </row>
    <row r="1293" spans="1:12">
      <c r="A1293" s="9">
        <v>45748</v>
      </c>
      <c r="B1293">
        <v>5</v>
      </c>
      <c r="C1293" s="16" t="s">
        <v>60</v>
      </c>
      <c r="D1293">
        <v>7</v>
      </c>
      <c r="E1293" s="16" t="s">
        <v>45</v>
      </c>
      <c r="F1293" s="18">
        <v>1060.5</v>
      </c>
      <c r="G1293" s="22">
        <v>101</v>
      </c>
      <c r="H1293" s="18">
        <v>2.8592141148529402</v>
      </c>
      <c r="I1293" s="18">
        <v>288.780625600147</v>
      </c>
      <c r="J1293" s="18">
        <v>771.71937439985197</v>
      </c>
      <c r="K1293" s="22">
        <v>0</v>
      </c>
      <c r="L1293" s="22" t="str">
        <f t="shared" si="20"/>
        <v>45748, 5, 7</v>
      </c>
    </row>
    <row r="1294" spans="1:12">
      <c r="A1294" s="9">
        <v>45748</v>
      </c>
      <c r="B1294">
        <v>5</v>
      </c>
      <c r="C1294" s="16" t="s">
        <v>60</v>
      </c>
      <c r="D1294">
        <v>8</v>
      </c>
      <c r="E1294" s="16" t="s">
        <v>46</v>
      </c>
      <c r="F1294" s="18">
        <v>936</v>
      </c>
      <c r="G1294" s="22">
        <v>78</v>
      </c>
      <c r="H1294" s="18">
        <v>0.69149656266666604</v>
      </c>
      <c r="I1294" s="18">
        <v>53.936731887999997</v>
      </c>
      <c r="J1294" s="18">
        <v>882.06326811199904</v>
      </c>
      <c r="K1294" s="22">
        <v>0</v>
      </c>
      <c r="L1294" s="22" t="str">
        <f t="shared" si="20"/>
        <v>45748, 5, 8</v>
      </c>
    </row>
    <row r="1295" spans="1:12">
      <c r="A1295" s="9">
        <v>45748</v>
      </c>
      <c r="B1295">
        <v>5</v>
      </c>
      <c r="C1295" s="16" t="s">
        <v>60</v>
      </c>
      <c r="D1295">
        <v>10</v>
      </c>
      <c r="E1295" s="16" t="s">
        <v>57</v>
      </c>
      <c r="F1295" s="18">
        <v>1134</v>
      </c>
      <c r="G1295" s="22">
        <v>81</v>
      </c>
      <c r="H1295" s="18">
        <v>1.9307257059571401</v>
      </c>
      <c r="I1295" s="18">
        <v>156.38878218252799</v>
      </c>
      <c r="J1295" s="18">
        <v>977.61121781747102</v>
      </c>
      <c r="K1295" s="22">
        <v>0</v>
      </c>
      <c r="L1295" s="22" t="str">
        <f t="shared" si="20"/>
        <v>45748, 5, 10</v>
      </c>
    </row>
    <row r="1296" spans="1:12">
      <c r="A1296" s="9">
        <v>45748</v>
      </c>
      <c r="B1296">
        <v>5</v>
      </c>
      <c r="C1296" s="16" t="s">
        <v>60</v>
      </c>
      <c r="D1296">
        <v>11</v>
      </c>
      <c r="E1296" s="16" t="s">
        <v>48</v>
      </c>
      <c r="F1296" s="18">
        <v>2352</v>
      </c>
      <c r="G1296" s="22">
        <v>112</v>
      </c>
      <c r="H1296" s="18">
        <v>2.0210272708333301</v>
      </c>
      <c r="I1296" s="18">
        <v>226.35505433333299</v>
      </c>
      <c r="J1296" s="18">
        <v>2125.6449456666601</v>
      </c>
      <c r="K1296" s="22">
        <v>0</v>
      </c>
      <c r="L1296" s="22" t="str">
        <f t="shared" si="20"/>
        <v>45748, 5, 11</v>
      </c>
    </row>
    <row r="1297" spans="1:12">
      <c r="A1297" s="9">
        <v>45748</v>
      </c>
      <c r="B1297">
        <v>5</v>
      </c>
      <c r="C1297" s="16" t="s">
        <v>60</v>
      </c>
      <c r="D1297">
        <v>12</v>
      </c>
      <c r="E1297" s="16" t="s">
        <v>49</v>
      </c>
      <c r="F1297" s="18">
        <v>2300.5</v>
      </c>
      <c r="G1297" s="22">
        <v>107</v>
      </c>
      <c r="H1297" s="18">
        <v>2.4947444193529398</v>
      </c>
      <c r="I1297" s="18">
        <v>266.937652870764</v>
      </c>
      <c r="J1297" s="18">
        <v>2033.5623471292299</v>
      </c>
      <c r="K1297" s="22">
        <v>0</v>
      </c>
      <c r="L1297" s="22" t="str">
        <f t="shared" si="20"/>
        <v>45748, 5, 12</v>
      </c>
    </row>
    <row r="1298" spans="1:12">
      <c r="A1298" s="9">
        <v>45748</v>
      </c>
      <c r="B1298">
        <v>5</v>
      </c>
      <c r="C1298" s="16" t="s">
        <v>60</v>
      </c>
      <c r="D1298">
        <v>13</v>
      </c>
      <c r="E1298" s="16" t="s">
        <v>50</v>
      </c>
      <c r="F1298" s="18">
        <v>1890</v>
      </c>
      <c r="G1298" s="22">
        <v>84</v>
      </c>
      <c r="H1298" s="18">
        <v>6.8027931538461504</v>
      </c>
      <c r="I1298" s="18">
        <v>571.43462492307594</v>
      </c>
      <c r="J1298" s="18">
        <v>1318.56537507692</v>
      </c>
      <c r="K1298" s="22">
        <v>0</v>
      </c>
      <c r="L1298" s="22" t="str">
        <f t="shared" si="20"/>
        <v>45748, 5, 13</v>
      </c>
    </row>
    <row r="1299" spans="1:12">
      <c r="A1299" s="9">
        <v>45748</v>
      </c>
      <c r="B1299">
        <v>5</v>
      </c>
      <c r="C1299" s="16" t="s">
        <v>60</v>
      </c>
      <c r="D1299">
        <v>14</v>
      </c>
      <c r="E1299" s="16" t="s">
        <v>51</v>
      </c>
      <c r="F1299" s="18">
        <v>1870</v>
      </c>
      <c r="G1299" s="22">
        <v>68</v>
      </c>
      <c r="H1299" s="18">
        <v>4.5913117983627396</v>
      </c>
      <c r="I1299" s="18">
        <v>312.20920228866601</v>
      </c>
      <c r="J1299" s="18">
        <v>1557.79079771133</v>
      </c>
      <c r="K1299" s="22">
        <v>0</v>
      </c>
      <c r="L1299" s="22" t="str">
        <f t="shared" si="20"/>
        <v>45748, 5, 14</v>
      </c>
    </row>
    <row r="1300" spans="1:12">
      <c r="A1300" s="9">
        <v>45748</v>
      </c>
      <c r="B1300">
        <v>5</v>
      </c>
      <c r="C1300" s="16" t="s">
        <v>60</v>
      </c>
      <c r="D1300">
        <v>15</v>
      </c>
      <c r="E1300" s="16" t="s">
        <v>52</v>
      </c>
      <c r="F1300" s="18">
        <v>2784</v>
      </c>
      <c r="G1300" s="22">
        <v>116</v>
      </c>
      <c r="H1300" s="18">
        <v>2.7775626404705802</v>
      </c>
      <c r="I1300" s="18">
        <v>322.19726629458802</v>
      </c>
      <c r="J1300" s="18">
        <v>2461.80273370541</v>
      </c>
      <c r="K1300" s="22">
        <v>0</v>
      </c>
      <c r="L1300" s="22" t="str">
        <f t="shared" si="20"/>
        <v>45748, 5, 15</v>
      </c>
    </row>
    <row r="1301" spans="1:12">
      <c r="A1301" s="9">
        <v>45748</v>
      </c>
      <c r="B1301">
        <v>5</v>
      </c>
      <c r="C1301" s="16" t="s">
        <v>60</v>
      </c>
      <c r="D1301">
        <v>16</v>
      </c>
      <c r="E1301" s="16" t="s">
        <v>53</v>
      </c>
      <c r="F1301" s="18">
        <v>747</v>
      </c>
      <c r="G1301" s="22">
        <v>83</v>
      </c>
      <c r="H1301" s="18">
        <v>1.5735477817307599</v>
      </c>
      <c r="I1301" s="18">
        <v>130.60446588365301</v>
      </c>
      <c r="J1301" s="18">
        <v>616.39553411634597</v>
      </c>
      <c r="K1301" s="22">
        <v>0</v>
      </c>
      <c r="L1301" s="22" t="str">
        <f t="shared" si="20"/>
        <v>45748, 5, 16</v>
      </c>
    </row>
    <row r="1302" spans="1:12">
      <c r="A1302" s="9">
        <v>45748</v>
      </c>
      <c r="B1302">
        <v>5</v>
      </c>
      <c r="C1302" s="16" t="s">
        <v>60</v>
      </c>
      <c r="D1302">
        <v>17</v>
      </c>
      <c r="E1302" s="16" t="s">
        <v>54</v>
      </c>
      <c r="F1302" s="18">
        <v>847.5</v>
      </c>
      <c r="G1302" s="22">
        <v>113</v>
      </c>
      <c r="H1302" s="18">
        <v>1.4226613890908999</v>
      </c>
      <c r="I1302" s="18">
        <v>160.76073696727201</v>
      </c>
      <c r="J1302" s="18">
        <v>686.73926303272697</v>
      </c>
      <c r="K1302" s="22">
        <v>0</v>
      </c>
      <c r="L1302" s="22" t="str">
        <f t="shared" si="20"/>
        <v>45748, 5, 17</v>
      </c>
    </row>
    <row r="1303" spans="1:12">
      <c r="A1303" s="9">
        <v>45748</v>
      </c>
      <c r="B1303">
        <v>5</v>
      </c>
      <c r="C1303" s="16" t="s">
        <v>60</v>
      </c>
      <c r="D1303">
        <v>18</v>
      </c>
      <c r="E1303" s="16" t="s">
        <v>55</v>
      </c>
      <c r="F1303" s="18">
        <v>1886</v>
      </c>
      <c r="G1303" s="22">
        <v>82</v>
      </c>
      <c r="H1303" s="18">
        <v>5.9047543634705804</v>
      </c>
      <c r="I1303" s="18">
        <v>484.18985780458797</v>
      </c>
      <c r="J1303" s="18">
        <v>1401.81014219541</v>
      </c>
      <c r="K1303" s="22">
        <v>0</v>
      </c>
      <c r="L1303" s="22" t="str">
        <f t="shared" si="20"/>
        <v>45748, 5, 18</v>
      </c>
    </row>
    <row r="1304" spans="1:12">
      <c r="A1304" s="9">
        <v>45778</v>
      </c>
      <c r="B1304">
        <v>5</v>
      </c>
      <c r="C1304" s="16" t="s">
        <v>60</v>
      </c>
      <c r="D1304">
        <v>11</v>
      </c>
      <c r="E1304" s="16" t="s">
        <v>48</v>
      </c>
      <c r="F1304" s="18">
        <v>3108</v>
      </c>
      <c r="G1304" s="22">
        <v>148</v>
      </c>
      <c r="H1304" s="18">
        <v>2.0414010375</v>
      </c>
      <c r="I1304" s="18">
        <v>302.12735355000001</v>
      </c>
      <c r="J1304" s="18">
        <v>2805.87264645</v>
      </c>
      <c r="K1304" s="22">
        <v>0</v>
      </c>
      <c r="L1304" s="22" t="str">
        <f t="shared" si="20"/>
        <v>45778, 5, 11</v>
      </c>
    </row>
    <row r="1305" spans="1:12">
      <c r="A1305" s="9">
        <v>45778</v>
      </c>
      <c r="B1305">
        <v>5</v>
      </c>
      <c r="C1305" s="16" t="s">
        <v>60</v>
      </c>
      <c r="D1305">
        <v>12</v>
      </c>
      <c r="E1305" s="16" t="s">
        <v>49</v>
      </c>
      <c r="F1305" s="18">
        <v>2214.5</v>
      </c>
      <c r="G1305" s="22">
        <v>103</v>
      </c>
      <c r="H1305" s="18">
        <v>2.4847085251944399</v>
      </c>
      <c r="I1305" s="18">
        <v>255.924978095027</v>
      </c>
      <c r="J1305" s="18">
        <v>1958.5750219049701</v>
      </c>
      <c r="K1305" s="22">
        <v>0</v>
      </c>
      <c r="L1305" s="22" t="str">
        <f t="shared" si="20"/>
        <v>45778, 5, 12</v>
      </c>
    </row>
    <row r="1306" spans="1:12">
      <c r="A1306" s="9">
        <v>45778</v>
      </c>
      <c r="B1306">
        <v>5</v>
      </c>
      <c r="C1306" s="16" t="s">
        <v>60</v>
      </c>
      <c r="D1306">
        <v>13</v>
      </c>
      <c r="E1306" s="16" t="s">
        <v>50</v>
      </c>
      <c r="F1306" s="18">
        <v>1710</v>
      </c>
      <c r="G1306" s="22">
        <v>76</v>
      </c>
      <c r="H1306" s="18">
        <v>6.8778033076923002</v>
      </c>
      <c r="I1306" s="18">
        <v>522.71305138461503</v>
      </c>
      <c r="J1306" s="18">
        <v>1187.28694861538</v>
      </c>
      <c r="K1306" s="22">
        <v>0</v>
      </c>
      <c r="L1306" s="22" t="str">
        <f t="shared" si="20"/>
        <v>45778, 5, 13</v>
      </c>
    </row>
    <row r="1307" spans="1:12">
      <c r="A1307" s="9">
        <v>45778</v>
      </c>
      <c r="B1307">
        <v>5</v>
      </c>
      <c r="C1307" s="16" t="s">
        <v>60</v>
      </c>
      <c r="D1307">
        <v>14</v>
      </c>
      <c r="E1307" s="16" t="s">
        <v>51</v>
      </c>
      <c r="F1307" s="18">
        <v>1842.5</v>
      </c>
      <c r="G1307" s="22">
        <v>67</v>
      </c>
      <c r="H1307" s="18">
        <v>4.5861166397222197</v>
      </c>
      <c r="I1307" s="18">
        <v>307.269814861388</v>
      </c>
      <c r="J1307" s="18">
        <v>1535.2301851386101</v>
      </c>
      <c r="K1307" s="22">
        <v>0</v>
      </c>
      <c r="L1307" s="22" t="str">
        <f t="shared" si="20"/>
        <v>45778, 5, 14</v>
      </c>
    </row>
    <row r="1308" spans="1:12">
      <c r="A1308" s="9">
        <v>45778</v>
      </c>
      <c r="B1308">
        <v>5</v>
      </c>
      <c r="C1308" s="16" t="s">
        <v>60</v>
      </c>
      <c r="D1308">
        <v>15</v>
      </c>
      <c r="E1308" s="16" t="s">
        <v>52</v>
      </c>
      <c r="F1308" s="18">
        <v>3768</v>
      </c>
      <c r="G1308" s="22">
        <v>157</v>
      </c>
      <c r="H1308" s="18">
        <v>2.7829681552222199</v>
      </c>
      <c r="I1308" s="18">
        <v>436.92600036988802</v>
      </c>
      <c r="J1308" s="18">
        <v>3331.0739996301099</v>
      </c>
      <c r="K1308" s="22">
        <v>0</v>
      </c>
      <c r="L1308" s="22" t="str">
        <f t="shared" si="20"/>
        <v>45778, 5, 15</v>
      </c>
    </row>
    <row r="1309" spans="1:12">
      <c r="A1309" s="9">
        <v>45778</v>
      </c>
      <c r="B1309">
        <v>5</v>
      </c>
      <c r="C1309" s="16" t="s">
        <v>60</v>
      </c>
      <c r="D1309">
        <v>16</v>
      </c>
      <c r="E1309" s="16" t="s">
        <v>53</v>
      </c>
      <c r="F1309" s="18">
        <v>738</v>
      </c>
      <c r="G1309" s="22">
        <v>82</v>
      </c>
      <c r="H1309" s="18">
        <v>1.5895573118749899</v>
      </c>
      <c r="I1309" s="18">
        <v>130.34369957374901</v>
      </c>
      <c r="J1309" s="18">
        <v>607.65630042625003</v>
      </c>
      <c r="K1309" s="22">
        <v>0</v>
      </c>
      <c r="L1309" s="22" t="str">
        <f t="shared" si="20"/>
        <v>45778, 5, 16</v>
      </c>
    </row>
    <row r="1310" spans="1:12">
      <c r="A1310" s="9">
        <v>45778</v>
      </c>
      <c r="B1310">
        <v>5</v>
      </c>
      <c r="C1310" s="16" t="s">
        <v>60</v>
      </c>
      <c r="D1310">
        <v>17</v>
      </c>
      <c r="E1310" s="16" t="s">
        <v>54</v>
      </c>
      <c r="F1310" s="18">
        <v>982.5</v>
      </c>
      <c r="G1310" s="22">
        <v>131</v>
      </c>
      <c r="H1310" s="18">
        <v>1.4352019935</v>
      </c>
      <c r="I1310" s="18">
        <v>188.01146114849999</v>
      </c>
      <c r="J1310" s="18">
        <v>794.48853885150004</v>
      </c>
      <c r="K1310" s="22">
        <v>0</v>
      </c>
      <c r="L1310" s="22" t="str">
        <f t="shared" si="20"/>
        <v>45778, 5, 17</v>
      </c>
    </row>
    <row r="1311" spans="1:12">
      <c r="A1311" s="9">
        <v>45778</v>
      </c>
      <c r="B1311">
        <v>5</v>
      </c>
      <c r="C1311" s="16" t="s">
        <v>60</v>
      </c>
      <c r="D1311">
        <v>18</v>
      </c>
      <c r="E1311" s="16" t="s">
        <v>55</v>
      </c>
      <c r="F1311" s="18">
        <v>2484</v>
      </c>
      <c r="G1311" s="22">
        <v>108</v>
      </c>
      <c r="H1311" s="18">
        <v>5.8874270182916604</v>
      </c>
      <c r="I1311" s="18">
        <v>635.84211797549995</v>
      </c>
      <c r="J1311" s="18">
        <v>1848.1578820244899</v>
      </c>
      <c r="K1311" s="22">
        <v>0</v>
      </c>
      <c r="L1311" s="22" t="str">
        <f t="shared" si="20"/>
        <v>45778, 5, 18</v>
      </c>
    </row>
    <row r="1312" spans="1:12">
      <c r="A1312" s="9">
        <v>45778</v>
      </c>
      <c r="B1312">
        <v>5</v>
      </c>
      <c r="C1312" s="16" t="s">
        <v>60</v>
      </c>
      <c r="D1312">
        <v>1</v>
      </c>
      <c r="E1312" s="16" t="s">
        <v>38</v>
      </c>
      <c r="F1312" s="18">
        <v>3977.5</v>
      </c>
      <c r="G1312" s="22">
        <v>185</v>
      </c>
      <c r="H1312" s="18">
        <v>4.2025685892857103</v>
      </c>
      <c r="I1312" s="18">
        <v>777.47518901785702</v>
      </c>
      <c r="J1312" s="18">
        <v>3200.02481098214</v>
      </c>
      <c r="K1312" s="22">
        <v>0</v>
      </c>
      <c r="L1312" s="22" t="str">
        <f t="shared" si="20"/>
        <v>45778, 5, 1</v>
      </c>
    </row>
    <row r="1313" spans="1:12">
      <c r="A1313" s="9">
        <v>45778</v>
      </c>
      <c r="B1313">
        <v>5</v>
      </c>
      <c r="C1313" s="16" t="s">
        <v>60</v>
      </c>
      <c r="D1313">
        <v>2</v>
      </c>
      <c r="E1313" s="16" t="s">
        <v>40</v>
      </c>
      <c r="F1313" s="18">
        <v>4824</v>
      </c>
      <c r="G1313" s="22">
        <v>201</v>
      </c>
      <c r="H1313" s="18">
        <v>6.9953667427272697</v>
      </c>
      <c r="I1313" s="18">
        <v>1406.0687152881801</v>
      </c>
      <c r="J1313" s="18">
        <v>3417.9312847118099</v>
      </c>
      <c r="K1313" s="22">
        <v>0</v>
      </c>
      <c r="L1313" s="22" t="str">
        <f t="shared" si="20"/>
        <v>45778, 5, 2</v>
      </c>
    </row>
    <row r="1314" spans="1:12">
      <c r="A1314" s="9">
        <v>45778</v>
      </c>
      <c r="B1314">
        <v>5</v>
      </c>
      <c r="C1314" s="16" t="s">
        <v>60</v>
      </c>
      <c r="D1314">
        <v>3</v>
      </c>
      <c r="E1314" s="16" t="s">
        <v>41</v>
      </c>
      <c r="F1314" s="18">
        <v>2075</v>
      </c>
      <c r="G1314" s="22">
        <v>83</v>
      </c>
      <c r="H1314" s="18">
        <v>3.4699523847</v>
      </c>
      <c r="I1314" s="18">
        <v>288.00604793010001</v>
      </c>
      <c r="J1314" s="18">
        <v>1786.9939520698999</v>
      </c>
      <c r="K1314" s="22">
        <v>0</v>
      </c>
      <c r="L1314" s="22" t="str">
        <f t="shared" si="20"/>
        <v>45778, 5, 3</v>
      </c>
    </row>
    <row r="1315" spans="1:12">
      <c r="A1315" s="9">
        <v>45778</v>
      </c>
      <c r="B1315">
        <v>5</v>
      </c>
      <c r="C1315" s="16" t="s">
        <v>60</v>
      </c>
      <c r="D1315">
        <v>4</v>
      </c>
      <c r="E1315" s="16" t="s">
        <v>42</v>
      </c>
      <c r="F1315" s="18">
        <v>2931.5</v>
      </c>
      <c r="G1315" s="22">
        <v>143</v>
      </c>
      <c r="H1315" s="18">
        <v>7.0393707263636296</v>
      </c>
      <c r="I1315" s="18">
        <v>1006.63001386999</v>
      </c>
      <c r="J1315" s="18">
        <v>1924.8699861299999</v>
      </c>
      <c r="K1315" s="22">
        <v>0</v>
      </c>
      <c r="L1315" s="22" t="str">
        <f t="shared" si="20"/>
        <v>45778, 5, 4</v>
      </c>
    </row>
    <row r="1316" spans="1:12">
      <c r="A1316" s="9">
        <v>45778</v>
      </c>
      <c r="B1316">
        <v>5</v>
      </c>
      <c r="C1316" s="16" t="s">
        <v>60</v>
      </c>
      <c r="D1316">
        <v>7</v>
      </c>
      <c r="E1316" s="16" t="s">
        <v>45</v>
      </c>
      <c r="F1316" s="18">
        <v>1428</v>
      </c>
      <c r="G1316" s="22">
        <v>136</v>
      </c>
      <c r="H1316" s="18">
        <v>2.8432817495588201</v>
      </c>
      <c r="I1316" s="18">
        <v>386.68631793999901</v>
      </c>
      <c r="J1316" s="18">
        <v>1041.31368206</v>
      </c>
      <c r="K1316" s="22">
        <v>0</v>
      </c>
      <c r="L1316" s="22" t="str">
        <f t="shared" si="20"/>
        <v>45778, 5, 7</v>
      </c>
    </row>
    <row r="1317" spans="1:12">
      <c r="A1317" s="9">
        <v>45778</v>
      </c>
      <c r="B1317">
        <v>5</v>
      </c>
      <c r="C1317" s="16" t="s">
        <v>60</v>
      </c>
      <c r="D1317">
        <v>8</v>
      </c>
      <c r="E1317" s="16" t="s">
        <v>46</v>
      </c>
      <c r="F1317" s="18">
        <v>888</v>
      </c>
      <c r="G1317" s="22">
        <v>74</v>
      </c>
      <c r="H1317" s="18">
        <v>0.68258852955555505</v>
      </c>
      <c r="I1317" s="18">
        <v>50.511551187111102</v>
      </c>
      <c r="J1317" s="18">
        <v>837.48844881288801</v>
      </c>
      <c r="K1317" s="22">
        <v>0</v>
      </c>
      <c r="L1317" s="22" t="str">
        <f t="shared" si="20"/>
        <v>45778, 5, 8</v>
      </c>
    </row>
    <row r="1318" spans="1:12">
      <c r="A1318" s="9">
        <v>45778</v>
      </c>
      <c r="B1318">
        <v>5</v>
      </c>
      <c r="C1318" s="16" t="s">
        <v>60</v>
      </c>
      <c r="D1318">
        <v>10</v>
      </c>
      <c r="E1318" s="16" t="s">
        <v>57</v>
      </c>
      <c r="F1318" s="18">
        <v>1344</v>
      </c>
      <c r="G1318" s="22">
        <v>96</v>
      </c>
      <c r="H1318" s="18">
        <v>1.8205998721285701</v>
      </c>
      <c r="I1318" s="18">
        <v>174.777587724342</v>
      </c>
      <c r="J1318" s="18">
        <v>1169.22241227565</v>
      </c>
      <c r="K1318" s="22">
        <v>0</v>
      </c>
      <c r="L1318" s="22" t="str">
        <f t="shared" si="20"/>
        <v>45778, 5, 10</v>
      </c>
    </row>
    <row r="1319" spans="1:12">
      <c r="A1319" s="9">
        <v>45809</v>
      </c>
      <c r="B1319">
        <v>5</v>
      </c>
      <c r="C1319" s="16" t="s">
        <v>60</v>
      </c>
      <c r="D1319">
        <v>1</v>
      </c>
      <c r="E1319" s="16" t="s">
        <v>38</v>
      </c>
      <c r="F1319" s="18">
        <v>3461.5</v>
      </c>
      <c r="G1319" s="22">
        <v>161</v>
      </c>
      <c r="H1319" s="18">
        <v>4.2117417678571396</v>
      </c>
      <c r="I1319" s="18">
        <v>678.09042462499895</v>
      </c>
      <c r="J1319" s="18">
        <v>2783.4095753749998</v>
      </c>
      <c r="K1319" s="22">
        <v>0</v>
      </c>
      <c r="L1319" s="22" t="str">
        <f t="shared" si="20"/>
        <v>45809, 5, 1</v>
      </c>
    </row>
    <row r="1320" spans="1:12">
      <c r="A1320" s="9">
        <v>45809</v>
      </c>
      <c r="B1320">
        <v>5</v>
      </c>
      <c r="C1320" s="16" t="s">
        <v>60</v>
      </c>
      <c r="D1320">
        <v>2</v>
      </c>
      <c r="E1320" s="16" t="s">
        <v>40</v>
      </c>
      <c r="F1320" s="18">
        <v>4488</v>
      </c>
      <c r="G1320" s="22">
        <v>187</v>
      </c>
      <c r="H1320" s="18">
        <v>7.00919564590476</v>
      </c>
      <c r="I1320" s="18">
        <v>1310.71958578419</v>
      </c>
      <c r="J1320" s="18">
        <v>3177.2804142158002</v>
      </c>
      <c r="K1320" s="22">
        <v>0</v>
      </c>
      <c r="L1320" s="22" t="str">
        <f t="shared" si="20"/>
        <v>45809, 5, 2</v>
      </c>
    </row>
    <row r="1321" spans="1:12">
      <c r="A1321" s="9">
        <v>45809</v>
      </c>
      <c r="B1321">
        <v>5</v>
      </c>
      <c r="C1321" s="16" t="s">
        <v>60</v>
      </c>
      <c r="D1321">
        <v>3</v>
      </c>
      <c r="E1321" s="16" t="s">
        <v>41</v>
      </c>
      <c r="F1321" s="18">
        <v>1450</v>
      </c>
      <c r="G1321" s="22">
        <v>58</v>
      </c>
      <c r="H1321" s="18">
        <v>3.4954895578823502</v>
      </c>
      <c r="I1321" s="18">
        <v>202.73839435717599</v>
      </c>
      <c r="J1321" s="18">
        <v>1247.2616056428201</v>
      </c>
      <c r="K1321" s="22">
        <v>0</v>
      </c>
      <c r="L1321" s="22" t="str">
        <f t="shared" si="20"/>
        <v>45809, 5, 3</v>
      </c>
    </row>
    <row r="1322" spans="1:12">
      <c r="A1322" s="9">
        <v>45809</v>
      </c>
      <c r="B1322">
        <v>5</v>
      </c>
      <c r="C1322" s="16" t="s">
        <v>60</v>
      </c>
      <c r="D1322">
        <v>4</v>
      </c>
      <c r="E1322" s="16" t="s">
        <v>42</v>
      </c>
      <c r="F1322" s="18">
        <v>2849.5</v>
      </c>
      <c r="G1322" s="22">
        <v>139</v>
      </c>
      <c r="H1322" s="18">
        <v>6.95432396161904</v>
      </c>
      <c r="I1322" s="18">
        <v>966.65103066504696</v>
      </c>
      <c r="J1322" s="18">
        <v>1882.84896933495</v>
      </c>
      <c r="K1322" s="22">
        <v>0</v>
      </c>
      <c r="L1322" s="22" t="str">
        <f t="shared" si="20"/>
        <v>45809, 5, 4</v>
      </c>
    </row>
    <row r="1323" spans="1:12">
      <c r="A1323" s="9">
        <v>45809</v>
      </c>
      <c r="B1323">
        <v>5</v>
      </c>
      <c r="C1323" s="16" t="s">
        <v>60</v>
      </c>
      <c r="D1323">
        <v>7</v>
      </c>
      <c r="E1323" s="16" t="s">
        <v>45</v>
      </c>
      <c r="F1323" s="18">
        <v>1354.5</v>
      </c>
      <c r="G1323" s="22">
        <v>129</v>
      </c>
      <c r="H1323" s="18">
        <v>2.846123129</v>
      </c>
      <c r="I1323" s="18">
        <v>367.14988364099997</v>
      </c>
      <c r="J1323" s="18">
        <v>987.35011635900003</v>
      </c>
      <c r="K1323" s="22">
        <v>0</v>
      </c>
      <c r="L1323" s="22" t="str">
        <f t="shared" si="20"/>
        <v>45809, 5, 7</v>
      </c>
    </row>
    <row r="1324" spans="1:12">
      <c r="A1324" s="9">
        <v>45809</v>
      </c>
      <c r="B1324">
        <v>5</v>
      </c>
      <c r="C1324" s="16" t="s">
        <v>60</v>
      </c>
      <c r="D1324">
        <v>8</v>
      </c>
      <c r="E1324" s="16" t="s">
        <v>46</v>
      </c>
      <c r="F1324" s="18">
        <v>744</v>
      </c>
      <c r="G1324" s="22">
        <v>62</v>
      </c>
      <c r="H1324" s="18">
        <v>0.67615417222222196</v>
      </c>
      <c r="I1324" s="18">
        <v>41.921558677777703</v>
      </c>
      <c r="J1324" s="18">
        <v>702.07844132222203</v>
      </c>
      <c r="K1324" s="22">
        <v>0</v>
      </c>
      <c r="L1324" s="22" t="str">
        <f t="shared" si="20"/>
        <v>45809, 5, 8</v>
      </c>
    </row>
    <row r="1325" spans="1:12">
      <c r="A1325" s="9">
        <v>45809</v>
      </c>
      <c r="B1325">
        <v>5</v>
      </c>
      <c r="C1325" s="16" t="s">
        <v>60</v>
      </c>
      <c r="D1325">
        <v>10</v>
      </c>
      <c r="E1325" s="16" t="s">
        <v>57</v>
      </c>
      <c r="F1325" s="18">
        <v>1190</v>
      </c>
      <c r="G1325" s="22">
        <v>85</v>
      </c>
      <c r="H1325" s="18">
        <v>1.74360289982857</v>
      </c>
      <c r="I1325" s="18">
        <v>148.20624648542801</v>
      </c>
      <c r="J1325" s="18">
        <v>1041.79375351457</v>
      </c>
      <c r="K1325" s="22">
        <v>0</v>
      </c>
      <c r="L1325" s="22" t="str">
        <f t="shared" si="20"/>
        <v>45809, 5, 10</v>
      </c>
    </row>
    <row r="1326" spans="1:12">
      <c r="A1326" s="9">
        <v>45809</v>
      </c>
      <c r="B1326">
        <v>5</v>
      </c>
      <c r="C1326" s="16" t="s">
        <v>60</v>
      </c>
      <c r="D1326">
        <v>11</v>
      </c>
      <c r="E1326" s="16" t="s">
        <v>48</v>
      </c>
      <c r="F1326" s="18">
        <v>2436</v>
      </c>
      <c r="G1326" s="22">
        <v>116</v>
      </c>
      <c r="H1326" s="18">
        <v>2.02343392857142</v>
      </c>
      <c r="I1326" s="18">
        <v>234.71833571428499</v>
      </c>
      <c r="J1326" s="18">
        <v>2201.2816642857101</v>
      </c>
      <c r="K1326" s="22">
        <v>0</v>
      </c>
      <c r="L1326" s="22" t="str">
        <f t="shared" si="20"/>
        <v>45809, 5, 11</v>
      </c>
    </row>
    <row r="1327" spans="1:12">
      <c r="A1327" s="9">
        <v>45809</v>
      </c>
      <c r="B1327">
        <v>5</v>
      </c>
      <c r="C1327" s="16" t="s">
        <v>60</v>
      </c>
      <c r="D1327">
        <v>12</v>
      </c>
      <c r="E1327" s="16" t="s">
        <v>49</v>
      </c>
      <c r="F1327" s="18">
        <v>2365</v>
      </c>
      <c r="G1327" s="22">
        <v>110</v>
      </c>
      <c r="H1327" s="18">
        <v>2.45611467935294</v>
      </c>
      <c r="I1327" s="18">
        <v>270.17261472882302</v>
      </c>
      <c r="J1327" s="18">
        <v>2094.82738527117</v>
      </c>
      <c r="K1327" s="22">
        <v>0</v>
      </c>
      <c r="L1327" s="22" t="str">
        <f t="shared" si="20"/>
        <v>45809, 5, 12</v>
      </c>
    </row>
    <row r="1328" spans="1:12">
      <c r="A1328" s="9">
        <v>45809</v>
      </c>
      <c r="B1328">
        <v>5</v>
      </c>
      <c r="C1328" s="16" t="s">
        <v>60</v>
      </c>
      <c r="D1328">
        <v>13</v>
      </c>
      <c r="E1328" s="16" t="s">
        <v>50</v>
      </c>
      <c r="F1328" s="18">
        <v>1845</v>
      </c>
      <c r="G1328" s="22">
        <v>82</v>
      </c>
      <c r="H1328" s="18">
        <v>6.8885043076923003</v>
      </c>
      <c r="I1328" s="18">
        <v>564.85735323076904</v>
      </c>
      <c r="J1328" s="18">
        <v>1280.1426467692299</v>
      </c>
      <c r="K1328" s="22">
        <v>0</v>
      </c>
      <c r="L1328" s="22" t="str">
        <f t="shared" si="20"/>
        <v>45809, 5, 13</v>
      </c>
    </row>
    <row r="1329" spans="1:12">
      <c r="A1329" s="9">
        <v>45809</v>
      </c>
      <c r="B1329">
        <v>5</v>
      </c>
      <c r="C1329" s="16" t="s">
        <v>60</v>
      </c>
      <c r="D1329">
        <v>14</v>
      </c>
      <c r="E1329" s="16" t="s">
        <v>51</v>
      </c>
      <c r="F1329" s="18">
        <v>1347.5</v>
      </c>
      <c r="G1329" s="22">
        <v>49</v>
      </c>
      <c r="H1329" s="18">
        <v>4.6225856262352902</v>
      </c>
      <c r="I1329" s="18">
        <v>226.506695685529</v>
      </c>
      <c r="J1329" s="18">
        <v>1120.9933043144699</v>
      </c>
      <c r="K1329" s="22">
        <v>0</v>
      </c>
      <c r="L1329" s="22" t="str">
        <f t="shared" si="20"/>
        <v>45809, 5, 14</v>
      </c>
    </row>
    <row r="1330" spans="1:12">
      <c r="A1330" s="9">
        <v>45809</v>
      </c>
      <c r="B1330">
        <v>5</v>
      </c>
      <c r="C1330" s="16" t="s">
        <v>60</v>
      </c>
      <c r="D1330">
        <v>15</v>
      </c>
      <c r="E1330" s="16" t="s">
        <v>52</v>
      </c>
      <c r="F1330" s="18">
        <v>2832</v>
      </c>
      <c r="G1330" s="22">
        <v>118</v>
      </c>
      <c r="H1330" s="18">
        <v>2.7657753755294099</v>
      </c>
      <c r="I1330" s="18">
        <v>326.36149431246997</v>
      </c>
      <c r="J1330" s="18">
        <v>2505.6385056875201</v>
      </c>
      <c r="K1330" s="22">
        <v>0</v>
      </c>
      <c r="L1330" s="22" t="str">
        <f t="shared" si="20"/>
        <v>45809, 5, 15</v>
      </c>
    </row>
    <row r="1331" spans="1:12">
      <c r="A1331" s="9">
        <v>45809</v>
      </c>
      <c r="B1331">
        <v>5</v>
      </c>
      <c r="C1331" s="16" t="s">
        <v>60</v>
      </c>
      <c r="D1331">
        <v>16</v>
      </c>
      <c r="E1331" s="16" t="s">
        <v>53</v>
      </c>
      <c r="F1331" s="18">
        <v>819</v>
      </c>
      <c r="G1331" s="22">
        <v>91</v>
      </c>
      <c r="H1331" s="18">
        <v>1.5802717345833299</v>
      </c>
      <c r="I1331" s="18">
        <v>143.804727847083</v>
      </c>
      <c r="J1331" s="18">
        <v>675.195272152916</v>
      </c>
      <c r="K1331" s="22">
        <v>0</v>
      </c>
      <c r="L1331" s="22" t="str">
        <f t="shared" si="20"/>
        <v>45809, 5, 16</v>
      </c>
    </row>
    <row r="1332" spans="1:12">
      <c r="A1332" s="9">
        <v>45809</v>
      </c>
      <c r="B1332">
        <v>5</v>
      </c>
      <c r="C1332" s="16" t="s">
        <v>60</v>
      </c>
      <c r="D1332">
        <v>17</v>
      </c>
      <c r="E1332" s="16" t="s">
        <v>54</v>
      </c>
      <c r="F1332" s="18">
        <v>1020</v>
      </c>
      <c r="G1332" s="22">
        <v>136</v>
      </c>
      <c r="H1332" s="18">
        <v>1.441858493</v>
      </c>
      <c r="I1332" s="18">
        <v>196.09275504799999</v>
      </c>
      <c r="J1332" s="18">
        <v>823.90724495200004</v>
      </c>
      <c r="K1332" s="22">
        <v>0</v>
      </c>
      <c r="L1332" s="22" t="str">
        <f t="shared" si="20"/>
        <v>45809, 5, 17</v>
      </c>
    </row>
    <row r="1333" spans="1:12">
      <c r="A1333" s="9">
        <v>45809</v>
      </c>
      <c r="B1333">
        <v>5</v>
      </c>
      <c r="C1333" s="16" t="s">
        <v>60</v>
      </c>
      <c r="D1333">
        <v>18</v>
      </c>
      <c r="E1333" s="16" t="s">
        <v>55</v>
      </c>
      <c r="F1333" s="18">
        <v>2461</v>
      </c>
      <c r="G1333" s="22">
        <v>107</v>
      </c>
      <c r="H1333" s="18">
        <v>5.8977827400588199</v>
      </c>
      <c r="I1333" s="18">
        <v>631.062753186294</v>
      </c>
      <c r="J1333" s="18">
        <v>1829.9372468137001</v>
      </c>
      <c r="K1333" s="22">
        <v>0</v>
      </c>
      <c r="L1333" s="22" t="str">
        <f t="shared" si="20"/>
        <v>45809, 5, 18</v>
      </c>
    </row>
    <row r="1334" spans="1:12">
      <c r="A1334" s="9">
        <v>45839</v>
      </c>
      <c r="B1334">
        <v>5</v>
      </c>
      <c r="C1334" s="16" t="s">
        <v>60</v>
      </c>
      <c r="D1334">
        <v>11</v>
      </c>
      <c r="E1334" s="16" t="s">
        <v>48</v>
      </c>
      <c r="F1334" s="18">
        <v>3024</v>
      </c>
      <c r="G1334" s="22">
        <v>144</v>
      </c>
      <c r="H1334" s="18">
        <v>2.1030924305555501</v>
      </c>
      <c r="I1334" s="18">
        <v>302.84530999999998</v>
      </c>
      <c r="J1334" s="18">
        <v>2721.1546899999898</v>
      </c>
      <c r="K1334" s="22">
        <v>0</v>
      </c>
      <c r="L1334" s="22" t="str">
        <f t="shared" si="20"/>
        <v>45839, 5, 11</v>
      </c>
    </row>
    <row r="1335" spans="1:12">
      <c r="A1335" s="9">
        <v>45839</v>
      </c>
      <c r="B1335">
        <v>5</v>
      </c>
      <c r="C1335" s="16" t="s">
        <v>60</v>
      </c>
      <c r="D1335">
        <v>12</v>
      </c>
      <c r="E1335" s="16" t="s">
        <v>49</v>
      </c>
      <c r="F1335" s="18">
        <v>2537</v>
      </c>
      <c r="G1335" s="22">
        <v>118</v>
      </c>
      <c r="H1335" s="18">
        <v>2.4433003741666601</v>
      </c>
      <c r="I1335" s="18">
        <v>288.30944415166601</v>
      </c>
      <c r="J1335" s="18">
        <v>2248.69055584833</v>
      </c>
      <c r="K1335" s="22">
        <v>0</v>
      </c>
      <c r="L1335" s="22" t="str">
        <f t="shared" si="20"/>
        <v>45839, 5, 12</v>
      </c>
    </row>
    <row r="1336" spans="1:12">
      <c r="A1336" s="9">
        <v>45839</v>
      </c>
      <c r="B1336">
        <v>5</v>
      </c>
      <c r="C1336" s="16" t="s">
        <v>60</v>
      </c>
      <c r="D1336">
        <v>13</v>
      </c>
      <c r="E1336" s="16" t="s">
        <v>50</v>
      </c>
      <c r="F1336" s="18">
        <v>1710</v>
      </c>
      <c r="G1336" s="22">
        <v>76</v>
      </c>
      <c r="H1336" s="18">
        <v>6.9879844999999996</v>
      </c>
      <c r="I1336" s="18">
        <v>531.08682199999998</v>
      </c>
      <c r="J1336" s="18">
        <v>1178.913178</v>
      </c>
      <c r="K1336" s="22">
        <v>0</v>
      </c>
      <c r="L1336" s="22" t="str">
        <f t="shared" si="20"/>
        <v>45839, 5, 13</v>
      </c>
    </row>
    <row r="1337" spans="1:12">
      <c r="A1337" s="9">
        <v>45839</v>
      </c>
      <c r="B1337">
        <v>5</v>
      </c>
      <c r="C1337" s="16" t="s">
        <v>60</v>
      </c>
      <c r="D1337">
        <v>14</v>
      </c>
      <c r="E1337" s="16" t="s">
        <v>51</v>
      </c>
      <c r="F1337" s="18">
        <v>1567.5</v>
      </c>
      <c r="G1337" s="22">
        <v>57</v>
      </c>
      <c r="H1337" s="18">
        <v>4.60393822955555</v>
      </c>
      <c r="I1337" s="18">
        <v>262.42447908466602</v>
      </c>
      <c r="J1337" s="18">
        <v>1305.0755209153299</v>
      </c>
      <c r="K1337" s="22">
        <v>0</v>
      </c>
      <c r="L1337" s="22" t="str">
        <f t="shared" si="20"/>
        <v>45839, 5, 14</v>
      </c>
    </row>
    <row r="1338" spans="1:12">
      <c r="A1338" s="9">
        <v>45839</v>
      </c>
      <c r="B1338">
        <v>5</v>
      </c>
      <c r="C1338" s="16" t="s">
        <v>60</v>
      </c>
      <c r="D1338">
        <v>15</v>
      </c>
      <c r="E1338" s="16" t="s">
        <v>52</v>
      </c>
      <c r="F1338" s="18">
        <v>3504</v>
      </c>
      <c r="G1338" s="22">
        <v>146</v>
      </c>
      <c r="H1338" s="18">
        <v>2.76312983044444</v>
      </c>
      <c r="I1338" s="18">
        <v>403.41695524488802</v>
      </c>
      <c r="J1338" s="18">
        <v>3100.5830447551102</v>
      </c>
      <c r="K1338" s="22">
        <v>0</v>
      </c>
      <c r="L1338" s="22" t="str">
        <f t="shared" si="20"/>
        <v>45839, 5, 15</v>
      </c>
    </row>
    <row r="1339" spans="1:12">
      <c r="A1339" s="9">
        <v>45839</v>
      </c>
      <c r="B1339">
        <v>5</v>
      </c>
      <c r="C1339" s="16" t="s">
        <v>60</v>
      </c>
      <c r="D1339">
        <v>16</v>
      </c>
      <c r="E1339" s="16" t="s">
        <v>53</v>
      </c>
      <c r="F1339" s="18">
        <v>621</v>
      </c>
      <c r="G1339" s="22">
        <v>69</v>
      </c>
      <c r="H1339" s="18">
        <v>1.5899323366025599</v>
      </c>
      <c r="I1339" s="18">
        <v>109.705331225576</v>
      </c>
      <c r="J1339" s="18">
        <v>511.29466877442297</v>
      </c>
      <c r="K1339" s="22">
        <v>0</v>
      </c>
      <c r="L1339" s="22" t="str">
        <f t="shared" si="20"/>
        <v>45839, 5, 16</v>
      </c>
    </row>
    <row r="1340" spans="1:12">
      <c r="A1340" s="9">
        <v>45839</v>
      </c>
      <c r="B1340">
        <v>5</v>
      </c>
      <c r="C1340" s="16" t="s">
        <v>60</v>
      </c>
      <c r="D1340">
        <v>17</v>
      </c>
      <c r="E1340" s="16" t="s">
        <v>54</v>
      </c>
      <c r="F1340" s="18">
        <v>975</v>
      </c>
      <c r="G1340" s="22">
        <v>130</v>
      </c>
      <c r="H1340" s="18">
        <v>1.45283523227272</v>
      </c>
      <c r="I1340" s="18">
        <v>188.868580195454</v>
      </c>
      <c r="J1340" s="18">
        <v>786.13141980454498</v>
      </c>
      <c r="K1340" s="22">
        <v>0</v>
      </c>
      <c r="L1340" s="22" t="str">
        <f t="shared" si="20"/>
        <v>45839, 5, 17</v>
      </c>
    </row>
    <row r="1341" spans="1:12">
      <c r="A1341" s="9">
        <v>45839</v>
      </c>
      <c r="B1341">
        <v>5</v>
      </c>
      <c r="C1341" s="16" t="s">
        <v>60</v>
      </c>
      <c r="D1341">
        <v>18</v>
      </c>
      <c r="E1341" s="16" t="s">
        <v>55</v>
      </c>
      <c r="F1341" s="18">
        <v>2714</v>
      </c>
      <c r="G1341" s="22">
        <v>118</v>
      </c>
      <c r="H1341" s="18">
        <v>5.92676188581944</v>
      </c>
      <c r="I1341" s="18">
        <v>699.35790252669403</v>
      </c>
      <c r="J1341" s="18">
        <v>2014.6420974733001</v>
      </c>
      <c r="K1341" s="22">
        <v>0</v>
      </c>
      <c r="L1341" s="22" t="str">
        <f t="shared" si="20"/>
        <v>45839, 5, 18</v>
      </c>
    </row>
    <row r="1342" spans="1:12">
      <c r="A1342" s="9">
        <v>45839</v>
      </c>
      <c r="B1342">
        <v>5</v>
      </c>
      <c r="C1342" s="16" t="s">
        <v>60</v>
      </c>
      <c r="D1342">
        <v>1</v>
      </c>
      <c r="E1342" s="16" t="s">
        <v>38</v>
      </c>
      <c r="F1342" s="18">
        <v>3805.5</v>
      </c>
      <c r="G1342" s="22">
        <v>177</v>
      </c>
      <c r="H1342" s="18">
        <v>4.2724376250000002</v>
      </c>
      <c r="I1342" s="18">
        <v>756.22145962499997</v>
      </c>
      <c r="J1342" s="18">
        <v>3049.2785403749999</v>
      </c>
      <c r="K1342" s="22">
        <v>0</v>
      </c>
      <c r="L1342" s="22" t="str">
        <f t="shared" si="20"/>
        <v>45839, 5, 1</v>
      </c>
    </row>
    <row r="1343" spans="1:12">
      <c r="A1343" s="9">
        <v>45839</v>
      </c>
      <c r="B1343">
        <v>5</v>
      </c>
      <c r="C1343" s="16" t="s">
        <v>60</v>
      </c>
      <c r="D1343">
        <v>2</v>
      </c>
      <c r="E1343" s="16" t="s">
        <v>40</v>
      </c>
      <c r="F1343" s="18">
        <v>4800</v>
      </c>
      <c r="G1343" s="22">
        <v>200</v>
      </c>
      <c r="H1343" s="18">
        <v>6.9650406830434699</v>
      </c>
      <c r="I1343" s="18">
        <v>1393.0081366086899</v>
      </c>
      <c r="J1343" s="18">
        <v>3406.9918633912998</v>
      </c>
      <c r="K1343" s="22">
        <v>0</v>
      </c>
      <c r="L1343" s="22" t="str">
        <f t="shared" si="20"/>
        <v>45839, 5, 2</v>
      </c>
    </row>
    <row r="1344" spans="1:12">
      <c r="A1344" s="9">
        <v>45839</v>
      </c>
      <c r="B1344">
        <v>5</v>
      </c>
      <c r="C1344" s="16" t="s">
        <v>60</v>
      </c>
      <c r="D1344">
        <v>3</v>
      </c>
      <c r="E1344" s="16" t="s">
        <v>41</v>
      </c>
      <c r="F1344" s="18">
        <v>1850</v>
      </c>
      <c r="G1344" s="22">
        <v>74</v>
      </c>
      <c r="H1344" s="18">
        <v>3.5311669482222201</v>
      </c>
      <c r="I1344" s="18">
        <v>261.30635416844399</v>
      </c>
      <c r="J1344" s="18">
        <v>1588.6936458315499</v>
      </c>
      <c r="K1344" s="22">
        <v>0</v>
      </c>
      <c r="L1344" s="22" t="str">
        <f t="shared" si="20"/>
        <v>45839, 5, 3</v>
      </c>
    </row>
    <row r="1345" spans="1:12">
      <c r="A1345" s="9">
        <v>45839</v>
      </c>
      <c r="B1345">
        <v>5</v>
      </c>
      <c r="C1345" s="16" t="s">
        <v>60</v>
      </c>
      <c r="D1345">
        <v>4</v>
      </c>
      <c r="E1345" s="16" t="s">
        <v>42</v>
      </c>
      <c r="F1345" s="18">
        <v>2952</v>
      </c>
      <c r="G1345" s="22">
        <v>144</v>
      </c>
      <c r="H1345" s="18">
        <v>6.8803071635652104</v>
      </c>
      <c r="I1345" s="18">
        <v>990.76423155339103</v>
      </c>
      <c r="J1345" s="18">
        <v>1961.2357684466001</v>
      </c>
      <c r="K1345" s="22">
        <v>0</v>
      </c>
      <c r="L1345" s="22" t="str">
        <f t="shared" si="20"/>
        <v>45839, 5, 4</v>
      </c>
    </row>
    <row r="1346" spans="1:12">
      <c r="A1346" s="9">
        <v>45839</v>
      </c>
      <c r="B1346">
        <v>5</v>
      </c>
      <c r="C1346" s="16" t="s">
        <v>60</v>
      </c>
      <c r="D1346">
        <v>7</v>
      </c>
      <c r="E1346" s="16" t="s">
        <v>45</v>
      </c>
      <c r="F1346" s="18">
        <v>1344</v>
      </c>
      <c r="G1346" s="22">
        <v>128</v>
      </c>
      <c r="H1346" s="18">
        <v>2.8713190181249999</v>
      </c>
      <c r="I1346" s="18">
        <v>367.52883431999999</v>
      </c>
      <c r="J1346" s="18">
        <v>976.47116568000001</v>
      </c>
      <c r="K1346" s="22">
        <v>0</v>
      </c>
      <c r="L1346" s="22" t="str">
        <f t="shared" si="20"/>
        <v>45839, 5, 7</v>
      </c>
    </row>
    <row r="1347" spans="1:12">
      <c r="A1347" s="9">
        <v>45839</v>
      </c>
      <c r="B1347">
        <v>5</v>
      </c>
      <c r="C1347" s="16" t="s">
        <v>60</v>
      </c>
      <c r="D1347">
        <v>8</v>
      </c>
      <c r="E1347" s="16" t="s">
        <v>46</v>
      </c>
      <c r="F1347" s="18">
        <v>852</v>
      </c>
      <c r="G1347" s="22">
        <v>71</v>
      </c>
      <c r="H1347" s="18">
        <v>0.64814664041666603</v>
      </c>
      <c r="I1347" s="18">
        <v>46.018411469583299</v>
      </c>
      <c r="J1347" s="18">
        <v>805.98158853041605</v>
      </c>
      <c r="K1347" s="22">
        <v>0</v>
      </c>
      <c r="L1347" s="22" t="str">
        <f t="shared" ref="L1347:L1410" si="21">(A1347&amp; ", "&amp; B1347&amp; ", "&amp; D1347)</f>
        <v>45839, 5, 8</v>
      </c>
    </row>
    <row r="1348" spans="1:12">
      <c r="A1348" s="9">
        <v>45839</v>
      </c>
      <c r="B1348">
        <v>5</v>
      </c>
      <c r="C1348" s="16" t="s">
        <v>60</v>
      </c>
      <c r="D1348">
        <v>10</v>
      </c>
      <c r="E1348" s="16" t="s">
        <v>57</v>
      </c>
      <c r="F1348" s="18">
        <v>1372</v>
      </c>
      <c r="G1348" s="22">
        <v>98</v>
      </c>
      <c r="H1348" s="18">
        <v>1.71295622862857</v>
      </c>
      <c r="I1348" s="18">
        <v>167.86971040559999</v>
      </c>
      <c r="J1348" s="18">
        <v>1204.13028959439</v>
      </c>
      <c r="K1348" s="22">
        <v>0</v>
      </c>
      <c r="L1348" s="22" t="str">
        <f t="shared" si="21"/>
        <v>45839, 5, 10</v>
      </c>
    </row>
    <row r="1349" spans="1:12">
      <c r="A1349" s="9">
        <v>45870</v>
      </c>
      <c r="B1349">
        <v>5</v>
      </c>
      <c r="C1349" s="16" t="s">
        <v>60</v>
      </c>
      <c r="D1349">
        <v>1</v>
      </c>
      <c r="E1349" s="16" t="s">
        <v>38</v>
      </c>
      <c r="F1349" s="18">
        <v>4257</v>
      </c>
      <c r="G1349" s="22">
        <v>198</v>
      </c>
      <c r="H1349" s="18">
        <v>4.32058303846153</v>
      </c>
      <c r="I1349" s="18">
        <v>855.47544161538406</v>
      </c>
      <c r="J1349" s="18">
        <v>3401.5245583846099</v>
      </c>
      <c r="K1349" s="22">
        <v>0</v>
      </c>
      <c r="L1349" s="22" t="str">
        <f t="shared" si="21"/>
        <v>45870, 5, 1</v>
      </c>
    </row>
    <row r="1350" spans="1:12">
      <c r="A1350" s="9">
        <v>45870</v>
      </c>
      <c r="B1350">
        <v>5</v>
      </c>
      <c r="C1350" s="16" t="s">
        <v>60</v>
      </c>
      <c r="D1350">
        <v>2</v>
      </c>
      <c r="E1350" s="16" t="s">
        <v>40</v>
      </c>
      <c r="F1350" s="18">
        <v>4752</v>
      </c>
      <c r="G1350" s="22">
        <v>198</v>
      </c>
      <c r="H1350" s="18">
        <v>6.9714755666666601</v>
      </c>
      <c r="I1350" s="18">
        <v>1380.3521622000001</v>
      </c>
      <c r="J1350" s="18">
        <v>3371.6478377999902</v>
      </c>
      <c r="K1350" s="22">
        <v>0</v>
      </c>
      <c r="L1350" s="22" t="str">
        <f t="shared" si="21"/>
        <v>45870, 5, 2</v>
      </c>
    </row>
    <row r="1351" spans="1:12">
      <c r="A1351" s="9">
        <v>45870</v>
      </c>
      <c r="B1351">
        <v>5</v>
      </c>
      <c r="C1351" s="16" t="s">
        <v>60</v>
      </c>
      <c r="D1351">
        <v>3</v>
      </c>
      <c r="E1351" s="16" t="s">
        <v>41</v>
      </c>
      <c r="F1351" s="18">
        <v>1700</v>
      </c>
      <c r="G1351" s="22">
        <v>68</v>
      </c>
      <c r="H1351" s="18">
        <v>3.4619809623529401</v>
      </c>
      <c r="I1351" s="18">
        <v>235.41470544000001</v>
      </c>
      <c r="J1351" s="18">
        <v>1464.58529455999</v>
      </c>
      <c r="K1351" s="22">
        <v>0</v>
      </c>
      <c r="L1351" s="22" t="str">
        <f t="shared" si="21"/>
        <v>45870, 5, 3</v>
      </c>
    </row>
    <row r="1352" spans="1:12">
      <c r="A1352" s="9">
        <v>45870</v>
      </c>
      <c r="B1352">
        <v>5</v>
      </c>
      <c r="C1352" s="16" t="s">
        <v>60</v>
      </c>
      <c r="D1352">
        <v>4</v>
      </c>
      <c r="E1352" s="16" t="s">
        <v>42</v>
      </c>
      <c r="F1352" s="18">
        <v>2931.5</v>
      </c>
      <c r="G1352" s="22">
        <v>143</v>
      </c>
      <c r="H1352" s="18">
        <v>6.9278647932380899</v>
      </c>
      <c r="I1352" s="18">
        <v>990.68466543304703</v>
      </c>
      <c r="J1352" s="18">
        <v>1940.81533456695</v>
      </c>
      <c r="K1352" s="22">
        <v>0</v>
      </c>
      <c r="L1352" s="22" t="str">
        <f t="shared" si="21"/>
        <v>45870, 5, 4</v>
      </c>
    </row>
    <row r="1353" spans="1:12">
      <c r="A1353" s="9">
        <v>45870</v>
      </c>
      <c r="B1353">
        <v>5</v>
      </c>
      <c r="C1353" s="16" t="s">
        <v>60</v>
      </c>
      <c r="D1353">
        <v>7</v>
      </c>
      <c r="E1353" s="16" t="s">
        <v>45</v>
      </c>
      <c r="F1353" s="18">
        <v>1291.5</v>
      </c>
      <c r="G1353" s="22">
        <v>123</v>
      </c>
      <c r="H1353" s="18">
        <v>2.8867646248529399</v>
      </c>
      <c r="I1353" s="18">
        <v>355.07204885691101</v>
      </c>
      <c r="J1353" s="18">
        <v>936.42795114308797</v>
      </c>
      <c r="K1353" s="22">
        <v>0</v>
      </c>
      <c r="L1353" s="22" t="str">
        <f t="shared" si="21"/>
        <v>45870, 5, 7</v>
      </c>
    </row>
    <row r="1354" spans="1:12">
      <c r="A1354" s="9">
        <v>45870</v>
      </c>
      <c r="B1354">
        <v>5</v>
      </c>
      <c r="C1354" s="16" t="s">
        <v>60</v>
      </c>
      <c r="D1354">
        <v>8</v>
      </c>
      <c r="E1354" s="16" t="s">
        <v>46</v>
      </c>
      <c r="F1354" s="18">
        <v>864</v>
      </c>
      <c r="G1354" s="22">
        <v>72</v>
      </c>
      <c r="H1354" s="18">
        <v>0.632786275555555</v>
      </c>
      <c r="I1354" s="18">
        <v>45.5606118399999</v>
      </c>
      <c r="J1354" s="18">
        <v>818.43938816000002</v>
      </c>
      <c r="K1354" s="22">
        <v>0</v>
      </c>
      <c r="L1354" s="22" t="str">
        <f t="shared" si="21"/>
        <v>45870, 5, 8</v>
      </c>
    </row>
    <row r="1355" spans="1:12">
      <c r="A1355" s="9">
        <v>45870</v>
      </c>
      <c r="B1355">
        <v>5</v>
      </c>
      <c r="C1355" s="16" t="s">
        <v>60</v>
      </c>
      <c r="D1355">
        <v>10</v>
      </c>
      <c r="E1355" s="16" t="s">
        <v>57</v>
      </c>
      <c r="F1355" s="18">
        <v>1386</v>
      </c>
      <c r="G1355" s="22">
        <v>99</v>
      </c>
      <c r="H1355" s="18">
        <v>1.7506586836428499</v>
      </c>
      <c r="I1355" s="18">
        <v>173.315209680642</v>
      </c>
      <c r="J1355" s="18">
        <v>1212.68479031935</v>
      </c>
      <c r="K1355" s="22">
        <v>0</v>
      </c>
      <c r="L1355" s="22" t="str">
        <f t="shared" si="21"/>
        <v>45870, 5, 10</v>
      </c>
    </row>
    <row r="1356" spans="1:12">
      <c r="A1356" s="9">
        <v>45870</v>
      </c>
      <c r="B1356">
        <v>5</v>
      </c>
      <c r="C1356" s="16" t="s">
        <v>60</v>
      </c>
      <c r="D1356">
        <v>11</v>
      </c>
      <c r="E1356" s="16" t="s">
        <v>48</v>
      </c>
      <c r="F1356" s="18">
        <v>3192</v>
      </c>
      <c r="G1356" s="22">
        <v>152</v>
      </c>
      <c r="H1356" s="18">
        <v>2.1306016041666598</v>
      </c>
      <c r="I1356" s="18">
        <v>323.85144383333301</v>
      </c>
      <c r="J1356" s="18">
        <v>2868.14855616666</v>
      </c>
      <c r="K1356" s="22">
        <v>0</v>
      </c>
      <c r="L1356" s="22" t="str">
        <f t="shared" si="21"/>
        <v>45870, 5, 11</v>
      </c>
    </row>
    <row r="1357" spans="1:12">
      <c r="A1357" s="9">
        <v>45870</v>
      </c>
      <c r="B1357">
        <v>5</v>
      </c>
      <c r="C1357" s="16" t="s">
        <v>60</v>
      </c>
      <c r="D1357">
        <v>12</v>
      </c>
      <c r="E1357" s="16" t="s">
        <v>49</v>
      </c>
      <c r="F1357" s="18">
        <v>2816.5</v>
      </c>
      <c r="G1357" s="22">
        <v>131</v>
      </c>
      <c r="H1357" s="18">
        <v>2.4587999513235199</v>
      </c>
      <c r="I1357" s="18">
        <v>322.10279362338201</v>
      </c>
      <c r="J1357" s="18">
        <v>2494.39720637661</v>
      </c>
      <c r="K1357" s="22">
        <v>0</v>
      </c>
      <c r="L1357" s="22" t="str">
        <f t="shared" si="21"/>
        <v>45870, 5, 12</v>
      </c>
    </row>
    <row r="1358" spans="1:12">
      <c r="A1358" s="9">
        <v>45870</v>
      </c>
      <c r="B1358">
        <v>5</v>
      </c>
      <c r="C1358" s="16" t="s">
        <v>60</v>
      </c>
      <c r="D1358">
        <v>13</v>
      </c>
      <c r="E1358" s="16" t="s">
        <v>50</v>
      </c>
      <c r="F1358" s="18">
        <v>1710</v>
      </c>
      <c r="G1358" s="22">
        <v>76</v>
      </c>
      <c r="H1358" s="18">
        <v>6.9834606666666597</v>
      </c>
      <c r="I1358" s="18">
        <v>530.74301066666601</v>
      </c>
      <c r="J1358" s="18">
        <v>1179.25698933333</v>
      </c>
      <c r="K1358" s="22">
        <v>0</v>
      </c>
      <c r="L1358" s="22" t="str">
        <f t="shared" si="21"/>
        <v>45870, 5, 13</v>
      </c>
    </row>
    <row r="1359" spans="1:12">
      <c r="A1359" s="9">
        <v>45870</v>
      </c>
      <c r="B1359">
        <v>5</v>
      </c>
      <c r="C1359" s="16" t="s">
        <v>60</v>
      </c>
      <c r="D1359">
        <v>14</v>
      </c>
      <c r="E1359" s="16" t="s">
        <v>51</v>
      </c>
      <c r="F1359" s="18">
        <v>1540</v>
      </c>
      <c r="G1359" s="22">
        <v>56</v>
      </c>
      <c r="H1359" s="18">
        <v>4.5955748522548996</v>
      </c>
      <c r="I1359" s="18">
        <v>257.35219172627399</v>
      </c>
      <c r="J1359" s="18">
        <v>1282.6478082737201</v>
      </c>
      <c r="K1359" s="22">
        <v>0</v>
      </c>
      <c r="L1359" s="22" t="str">
        <f t="shared" si="21"/>
        <v>45870, 5, 14</v>
      </c>
    </row>
    <row r="1360" spans="1:12">
      <c r="A1360" s="9">
        <v>45870</v>
      </c>
      <c r="B1360">
        <v>5</v>
      </c>
      <c r="C1360" s="16" t="s">
        <v>60</v>
      </c>
      <c r="D1360">
        <v>15</v>
      </c>
      <c r="E1360" s="16" t="s">
        <v>52</v>
      </c>
      <c r="F1360" s="18">
        <v>4008</v>
      </c>
      <c r="G1360" s="22">
        <v>167</v>
      </c>
      <c r="H1360" s="18">
        <v>2.77144161670588</v>
      </c>
      <c r="I1360" s="18">
        <v>462.83074998988201</v>
      </c>
      <c r="J1360" s="18">
        <v>3545.1692500101099</v>
      </c>
      <c r="K1360" s="22">
        <v>0</v>
      </c>
      <c r="L1360" s="22" t="str">
        <f t="shared" si="21"/>
        <v>45870, 5, 15</v>
      </c>
    </row>
    <row r="1361" spans="1:12">
      <c r="A1361" s="9">
        <v>45870</v>
      </c>
      <c r="B1361">
        <v>5</v>
      </c>
      <c r="C1361" s="16" t="s">
        <v>60</v>
      </c>
      <c r="D1361">
        <v>16</v>
      </c>
      <c r="E1361" s="16" t="s">
        <v>53</v>
      </c>
      <c r="F1361" s="18">
        <v>909</v>
      </c>
      <c r="G1361" s="22">
        <v>101</v>
      </c>
      <c r="H1361" s="18">
        <v>1.59657873166666</v>
      </c>
      <c r="I1361" s="18">
        <v>161.254451898333</v>
      </c>
      <c r="J1361" s="18">
        <v>747.74554810166603</v>
      </c>
      <c r="K1361" s="22">
        <v>0</v>
      </c>
      <c r="L1361" s="22" t="str">
        <f t="shared" si="21"/>
        <v>45870, 5, 16</v>
      </c>
    </row>
    <row r="1362" spans="1:12">
      <c r="A1362" s="9">
        <v>45870</v>
      </c>
      <c r="B1362">
        <v>5</v>
      </c>
      <c r="C1362" s="16" t="s">
        <v>60</v>
      </c>
      <c r="D1362">
        <v>17</v>
      </c>
      <c r="E1362" s="16" t="s">
        <v>54</v>
      </c>
      <c r="F1362" s="18">
        <v>1087.5</v>
      </c>
      <c r="G1362" s="22">
        <v>145</v>
      </c>
      <c r="H1362" s="18">
        <v>1.4439278805</v>
      </c>
      <c r="I1362" s="18">
        <v>209.36954267249999</v>
      </c>
      <c r="J1362" s="18">
        <v>878.13045732750004</v>
      </c>
      <c r="K1362" s="22">
        <v>0</v>
      </c>
      <c r="L1362" s="22" t="str">
        <f t="shared" si="21"/>
        <v>45870, 5, 17</v>
      </c>
    </row>
    <row r="1363" spans="1:12">
      <c r="A1363" s="9">
        <v>45870</v>
      </c>
      <c r="B1363">
        <v>5</v>
      </c>
      <c r="C1363" s="16" t="s">
        <v>60</v>
      </c>
      <c r="D1363">
        <v>18</v>
      </c>
      <c r="E1363" s="16" t="s">
        <v>55</v>
      </c>
      <c r="F1363" s="18">
        <v>3174</v>
      </c>
      <c r="G1363" s="22">
        <v>138</v>
      </c>
      <c r="H1363" s="18">
        <v>5.9644316198088196</v>
      </c>
      <c r="I1363" s="18">
        <v>823.09156353361698</v>
      </c>
      <c r="J1363" s="18">
        <v>2350.90843646638</v>
      </c>
      <c r="K1363" s="22">
        <v>0</v>
      </c>
      <c r="L1363" s="22" t="str">
        <f t="shared" si="21"/>
        <v>45870, 5, 18</v>
      </c>
    </row>
    <row r="1364" spans="1:12">
      <c r="A1364" s="9">
        <v>45901</v>
      </c>
      <c r="B1364">
        <v>5</v>
      </c>
      <c r="C1364" s="16" t="s">
        <v>60</v>
      </c>
      <c r="D1364">
        <v>11</v>
      </c>
      <c r="E1364" s="16" t="s">
        <v>48</v>
      </c>
      <c r="F1364" s="18">
        <v>1785</v>
      </c>
      <c r="G1364" s="22">
        <v>85</v>
      </c>
      <c r="H1364" s="18">
        <v>2.131764</v>
      </c>
      <c r="I1364" s="18">
        <v>181.19994</v>
      </c>
      <c r="J1364" s="18">
        <v>1603.80006</v>
      </c>
      <c r="K1364" s="22">
        <v>0</v>
      </c>
      <c r="L1364" s="22" t="str">
        <f t="shared" si="21"/>
        <v>45901, 5, 11</v>
      </c>
    </row>
    <row r="1365" spans="1:12">
      <c r="A1365" s="9">
        <v>45901</v>
      </c>
      <c r="B1365">
        <v>5</v>
      </c>
      <c r="C1365" s="16" t="s">
        <v>60</v>
      </c>
      <c r="D1365">
        <v>12</v>
      </c>
      <c r="E1365" s="16" t="s">
        <v>49</v>
      </c>
      <c r="F1365" s="18">
        <v>1698.5</v>
      </c>
      <c r="G1365" s="22">
        <v>79</v>
      </c>
      <c r="H1365" s="18">
        <v>2.4843545855000002</v>
      </c>
      <c r="I1365" s="18">
        <v>196.26401225449999</v>
      </c>
      <c r="J1365" s="18">
        <v>1502.2359877455001</v>
      </c>
      <c r="K1365" s="22">
        <v>0</v>
      </c>
      <c r="L1365" s="22" t="str">
        <f t="shared" si="21"/>
        <v>45901, 5, 12</v>
      </c>
    </row>
    <row r="1366" spans="1:12">
      <c r="A1366" s="9">
        <v>45901</v>
      </c>
      <c r="B1366">
        <v>5</v>
      </c>
      <c r="C1366" s="16" t="s">
        <v>60</v>
      </c>
      <c r="D1366">
        <v>13</v>
      </c>
      <c r="E1366" s="16" t="s">
        <v>50</v>
      </c>
      <c r="F1366" s="18">
        <v>1237.5</v>
      </c>
      <c r="G1366" s="22">
        <v>55</v>
      </c>
      <c r="H1366" s="18">
        <v>7.00958221428571</v>
      </c>
      <c r="I1366" s="18">
        <v>385.527021785714</v>
      </c>
      <c r="J1366" s="18">
        <v>851.97297821428504</v>
      </c>
      <c r="K1366" s="22">
        <v>0</v>
      </c>
      <c r="L1366" s="22" t="str">
        <f t="shared" si="21"/>
        <v>45901, 5, 13</v>
      </c>
    </row>
    <row r="1367" spans="1:12">
      <c r="A1367" s="9">
        <v>45901</v>
      </c>
      <c r="B1367">
        <v>5</v>
      </c>
      <c r="C1367" s="16" t="s">
        <v>60</v>
      </c>
      <c r="D1367">
        <v>14</v>
      </c>
      <c r="E1367" s="16" t="s">
        <v>51</v>
      </c>
      <c r="F1367" s="18">
        <v>1155</v>
      </c>
      <c r="G1367" s="22">
        <v>42</v>
      </c>
      <c r="H1367" s="18">
        <v>4.6088873523627401</v>
      </c>
      <c r="I1367" s="18">
        <v>193.573268799235</v>
      </c>
      <c r="J1367" s="18">
        <v>961.42673120076404</v>
      </c>
      <c r="K1367" s="22">
        <v>0</v>
      </c>
      <c r="L1367" s="22" t="str">
        <f t="shared" si="21"/>
        <v>45901, 5, 14</v>
      </c>
    </row>
    <row r="1368" spans="1:12">
      <c r="A1368" s="9">
        <v>45901</v>
      </c>
      <c r="B1368">
        <v>5</v>
      </c>
      <c r="C1368" s="16" t="s">
        <v>60</v>
      </c>
      <c r="D1368">
        <v>15</v>
      </c>
      <c r="E1368" s="16" t="s">
        <v>52</v>
      </c>
      <c r="F1368" s="18">
        <v>2352</v>
      </c>
      <c r="G1368" s="22">
        <v>98</v>
      </c>
      <c r="H1368" s="18">
        <v>2.7929585307058802</v>
      </c>
      <c r="I1368" s="18">
        <v>273.70993600917598</v>
      </c>
      <c r="J1368" s="18">
        <v>2078.2900639908198</v>
      </c>
      <c r="K1368" s="22">
        <v>0</v>
      </c>
      <c r="L1368" s="22" t="str">
        <f t="shared" si="21"/>
        <v>45901, 5, 15</v>
      </c>
    </row>
    <row r="1369" spans="1:12">
      <c r="A1369" s="9">
        <v>45901</v>
      </c>
      <c r="B1369">
        <v>5</v>
      </c>
      <c r="C1369" s="16" t="s">
        <v>60</v>
      </c>
      <c r="D1369">
        <v>16</v>
      </c>
      <c r="E1369" s="16" t="s">
        <v>53</v>
      </c>
      <c r="F1369" s="18">
        <v>423</v>
      </c>
      <c r="G1369" s="22">
        <v>47</v>
      </c>
      <c r="H1369" s="18">
        <v>1.59144185901515</v>
      </c>
      <c r="I1369" s="18">
        <v>74.797767373712105</v>
      </c>
      <c r="J1369" s="18">
        <v>348.20223262628701</v>
      </c>
      <c r="K1369" s="22">
        <v>0</v>
      </c>
      <c r="L1369" s="22" t="str">
        <f t="shared" si="21"/>
        <v>45901, 5, 16</v>
      </c>
    </row>
    <row r="1370" spans="1:12">
      <c r="A1370" s="9">
        <v>45901</v>
      </c>
      <c r="B1370">
        <v>5</v>
      </c>
      <c r="C1370" s="16" t="s">
        <v>60</v>
      </c>
      <c r="D1370">
        <v>17</v>
      </c>
      <c r="E1370" s="16" t="s">
        <v>54</v>
      </c>
      <c r="F1370" s="18">
        <v>750</v>
      </c>
      <c r="G1370" s="22">
        <v>100</v>
      </c>
      <c r="H1370" s="18">
        <v>1.4493271555</v>
      </c>
      <c r="I1370" s="18">
        <v>144.93271555000001</v>
      </c>
      <c r="J1370" s="18">
        <v>605.06728444999999</v>
      </c>
      <c r="K1370" s="22">
        <v>0</v>
      </c>
      <c r="L1370" s="22" t="str">
        <f t="shared" si="21"/>
        <v>45901, 5, 17</v>
      </c>
    </row>
    <row r="1371" spans="1:12">
      <c r="A1371" s="9">
        <v>45901</v>
      </c>
      <c r="B1371">
        <v>5</v>
      </c>
      <c r="C1371" s="16" t="s">
        <v>60</v>
      </c>
      <c r="D1371">
        <v>18</v>
      </c>
      <c r="E1371" s="16" t="s">
        <v>55</v>
      </c>
      <c r="F1371" s="18">
        <v>1748</v>
      </c>
      <c r="G1371" s="22">
        <v>76</v>
      </c>
      <c r="H1371" s="18">
        <v>5.97700706589705</v>
      </c>
      <c r="I1371" s="18">
        <v>454.25253700817598</v>
      </c>
      <c r="J1371" s="18">
        <v>1293.7474629918199</v>
      </c>
      <c r="K1371" s="22">
        <v>0</v>
      </c>
      <c r="L1371" s="22" t="str">
        <f t="shared" si="21"/>
        <v>45901, 5, 18</v>
      </c>
    </row>
    <row r="1372" spans="1:12">
      <c r="A1372" s="9">
        <v>45901</v>
      </c>
      <c r="B1372">
        <v>5</v>
      </c>
      <c r="C1372" s="16" t="s">
        <v>60</v>
      </c>
      <c r="D1372">
        <v>1</v>
      </c>
      <c r="E1372" s="16" t="s">
        <v>38</v>
      </c>
      <c r="F1372" s="18">
        <v>2945.5</v>
      </c>
      <c r="G1372" s="22">
        <v>137</v>
      </c>
      <c r="H1372" s="18">
        <v>4.3195352666666604</v>
      </c>
      <c r="I1372" s="18">
        <v>591.77633153333295</v>
      </c>
      <c r="J1372" s="18">
        <v>2353.72366846666</v>
      </c>
      <c r="K1372" s="22">
        <v>0</v>
      </c>
      <c r="L1372" s="22" t="str">
        <f t="shared" si="21"/>
        <v>45901, 5, 1</v>
      </c>
    </row>
    <row r="1373" spans="1:12">
      <c r="A1373" s="9">
        <v>45901</v>
      </c>
      <c r="B1373">
        <v>5</v>
      </c>
      <c r="C1373" s="16" t="s">
        <v>60</v>
      </c>
      <c r="D1373">
        <v>2</v>
      </c>
      <c r="E1373" s="16" t="s">
        <v>40</v>
      </c>
      <c r="F1373" s="18">
        <v>2784</v>
      </c>
      <c r="G1373" s="22">
        <v>116</v>
      </c>
      <c r="H1373" s="18">
        <v>6.9851955378181803</v>
      </c>
      <c r="I1373" s="18">
        <v>810.28268238690896</v>
      </c>
      <c r="J1373" s="18">
        <v>1973.71731761309</v>
      </c>
      <c r="K1373" s="22">
        <v>0</v>
      </c>
      <c r="L1373" s="22" t="str">
        <f t="shared" si="21"/>
        <v>45901, 5, 2</v>
      </c>
    </row>
    <row r="1374" spans="1:12">
      <c r="A1374" s="9">
        <v>45901</v>
      </c>
      <c r="B1374">
        <v>5</v>
      </c>
      <c r="C1374" s="16" t="s">
        <v>60</v>
      </c>
      <c r="D1374">
        <v>3</v>
      </c>
      <c r="E1374" s="16" t="s">
        <v>41</v>
      </c>
      <c r="F1374" s="18">
        <v>1550</v>
      </c>
      <c r="G1374" s="22">
        <v>62</v>
      </c>
      <c r="H1374" s="18">
        <v>3.4843684818749998</v>
      </c>
      <c r="I1374" s="18">
        <v>216.03084587625</v>
      </c>
      <c r="J1374" s="18">
        <v>1333.9691541237501</v>
      </c>
      <c r="K1374" s="22">
        <v>0</v>
      </c>
      <c r="L1374" s="22" t="str">
        <f t="shared" si="21"/>
        <v>45901, 5, 3</v>
      </c>
    </row>
    <row r="1375" spans="1:12">
      <c r="A1375" s="9">
        <v>45901</v>
      </c>
      <c r="B1375">
        <v>5</v>
      </c>
      <c r="C1375" s="16" t="s">
        <v>60</v>
      </c>
      <c r="D1375">
        <v>4</v>
      </c>
      <c r="E1375" s="16" t="s">
        <v>42</v>
      </c>
      <c r="F1375" s="18">
        <v>2234.5</v>
      </c>
      <c r="G1375" s="22">
        <v>109</v>
      </c>
      <c r="H1375" s="18">
        <v>7.0651659353636296</v>
      </c>
      <c r="I1375" s="18">
        <v>770.10308695463596</v>
      </c>
      <c r="J1375" s="18">
        <v>1464.39691304536</v>
      </c>
      <c r="K1375" s="22">
        <v>0</v>
      </c>
      <c r="L1375" s="22" t="str">
        <f t="shared" si="21"/>
        <v>45901, 5, 4</v>
      </c>
    </row>
    <row r="1376" spans="1:12">
      <c r="A1376" s="9">
        <v>45901</v>
      </c>
      <c r="B1376">
        <v>5</v>
      </c>
      <c r="C1376" s="16" t="s">
        <v>60</v>
      </c>
      <c r="D1376">
        <v>7</v>
      </c>
      <c r="E1376" s="16" t="s">
        <v>45</v>
      </c>
      <c r="F1376" s="18">
        <v>924</v>
      </c>
      <c r="G1376" s="22">
        <v>88</v>
      </c>
      <c r="H1376" s="18">
        <v>2.9019489476562499</v>
      </c>
      <c r="I1376" s="18">
        <v>255.37150739374999</v>
      </c>
      <c r="J1376" s="18">
        <v>668.62849260625001</v>
      </c>
      <c r="K1376" s="22">
        <v>0</v>
      </c>
      <c r="L1376" s="22" t="str">
        <f t="shared" si="21"/>
        <v>45901, 5, 7</v>
      </c>
    </row>
    <row r="1377" spans="1:12">
      <c r="A1377" s="9">
        <v>45901</v>
      </c>
      <c r="B1377">
        <v>5</v>
      </c>
      <c r="C1377" s="16" t="s">
        <v>60</v>
      </c>
      <c r="D1377">
        <v>8</v>
      </c>
      <c r="E1377" s="16" t="s">
        <v>46</v>
      </c>
      <c r="F1377" s="18">
        <v>660</v>
      </c>
      <c r="G1377" s="22">
        <v>55</v>
      </c>
      <c r="H1377" s="18">
        <v>0.64355149333333295</v>
      </c>
      <c r="I1377" s="18">
        <v>35.395332133333298</v>
      </c>
      <c r="J1377" s="18">
        <v>624.60466786666598</v>
      </c>
      <c r="K1377" s="22">
        <v>0</v>
      </c>
      <c r="L1377" s="22" t="str">
        <f t="shared" si="21"/>
        <v>45901, 5, 8</v>
      </c>
    </row>
    <row r="1378" spans="1:12">
      <c r="A1378" s="9">
        <v>45901</v>
      </c>
      <c r="B1378">
        <v>5</v>
      </c>
      <c r="C1378" s="16" t="s">
        <v>60</v>
      </c>
      <c r="D1378">
        <v>10</v>
      </c>
      <c r="E1378" s="16" t="s">
        <v>57</v>
      </c>
      <c r="F1378" s="18">
        <v>868</v>
      </c>
      <c r="G1378" s="22">
        <v>62</v>
      </c>
      <c r="H1378" s="18">
        <v>1.84579350912857</v>
      </c>
      <c r="I1378" s="18">
        <v>114.439197565971</v>
      </c>
      <c r="J1378" s="18">
        <v>753.56080243402801</v>
      </c>
      <c r="K1378" s="22">
        <v>0</v>
      </c>
      <c r="L1378" s="22" t="str">
        <f t="shared" si="21"/>
        <v>45901, 5, 10</v>
      </c>
    </row>
    <row r="1379" spans="1:12">
      <c r="A1379" s="9">
        <v>45931</v>
      </c>
      <c r="B1379">
        <v>5</v>
      </c>
      <c r="C1379" s="16" t="s">
        <v>60</v>
      </c>
      <c r="D1379">
        <v>1</v>
      </c>
      <c r="E1379" s="16" t="s">
        <v>38</v>
      </c>
      <c r="F1379" s="18">
        <v>4020.5</v>
      </c>
      <c r="G1379" s="22">
        <v>187</v>
      </c>
      <c r="H1379" s="18">
        <v>4.3026435178571401</v>
      </c>
      <c r="I1379" s="18">
        <v>804.594337839285</v>
      </c>
      <c r="J1379" s="18">
        <v>3215.9056621607101</v>
      </c>
      <c r="K1379" s="22">
        <v>0</v>
      </c>
      <c r="L1379" s="22" t="str">
        <f t="shared" si="21"/>
        <v>45931, 5, 1</v>
      </c>
    </row>
    <row r="1380" spans="1:12">
      <c r="A1380" s="9">
        <v>45931</v>
      </c>
      <c r="B1380">
        <v>5</v>
      </c>
      <c r="C1380" s="16" t="s">
        <v>60</v>
      </c>
      <c r="D1380">
        <v>2</v>
      </c>
      <c r="E1380" s="16" t="s">
        <v>40</v>
      </c>
      <c r="F1380" s="18">
        <v>4248</v>
      </c>
      <c r="G1380" s="22">
        <v>177</v>
      </c>
      <c r="H1380" s="18">
        <v>7.0345960677391304</v>
      </c>
      <c r="I1380" s="18">
        <v>1245.1235039898199</v>
      </c>
      <c r="J1380" s="18">
        <v>3002.8764960101698</v>
      </c>
      <c r="K1380" s="22">
        <v>0</v>
      </c>
      <c r="L1380" s="22" t="str">
        <f t="shared" si="21"/>
        <v>45931, 5, 2</v>
      </c>
    </row>
    <row r="1381" spans="1:12">
      <c r="A1381" s="9">
        <v>45931</v>
      </c>
      <c r="B1381">
        <v>5</v>
      </c>
      <c r="C1381" s="16" t="s">
        <v>60</v>
      </c>
      <c r="D1381">
        <v>3</v>
      </c>
      <c r="E1381" s="16" t="s">
        <v>41</v>
      </c>
      <c r="F1381" s="18">
        <v>2550</v>
      </c>
      <c r="G1381" s="22">
        <v>102</v>
      </c>
      <c r="H1381" s="18">
        <v>3.4725416924210499</v>
      </c>
      <c r="I1381" s="18">
        <v>354.19925262694699</v>
      </c>
      <c r="J1381" s="18">
        <v>2195.8007473730499</v>
      </c>
      <c r="K1381" s="22">
        <v>0</v>
      </c>
      <c r="L1381" s="22" t="str">
        <f t="shared" si="21"/>
        <v>45931, 5, 3</v>
      </c>
    </row>
    <row r="1382" spans="1:12">
      <c r="A1382" s="9">
        <v>45931</v>
      </c>
      <c r="B1382">
        <v>5</v>
      </c>
      <c r="C1382" s="16" t="s">
        <v>60</v>
      </c>
      <c r="D1382">
        <v>4</v>
      </c>
      <c r="E1382" s="16" t="s">
        <v>42</v>
      </c>
      <c r="F1382" s="18">
        <v>2890.5</v>
      </c>
      <c r="G1382" s="22">
        <v>141</v>
      </c>
      <c r="H1382" s="18">
        <v>7.2554543679130399</v>
      </c>
      <c r="I1382" s="18">
        <v>1023.01906587573</v>
      </c>
      <c r="J1382" s="18">
        <v>1867.4809341242601</v>
      </c>
      <c r="K1382" s="22">
        <v>0</v>
      </c>
      <c r="L1382" s="22" t="str">
        <f t="shared" si="21"/>
        <v>45931, 5, 4</v>
      </c>
    </row>
    <row r="1383" spans="1:12">
      <c r="A1383" s="9">
        <v>45931</v>
      </c>
      <c r="B1383">
        <v>5</v>
      </c>
      <c r="C1383" s="16" t="s">
        <v>60</v>
      </c>
      <c r="D1383">
        <v>7</v>
      </c>
      <c r="E1383" s="16" t="s">
        <v>45</v>
      </c>
      <c r="F1383" s="18">
        <v>1354.5</v>
      </c>
      <c r="G1383" s="22">
        <v>129</v>
      </c>
      <c r="H1383" s="18">
        <v>2.9284589970833301</v>
      </c>
      <c r="I1383" s="18">
        <v>377.77121062374903</v>
      </c>
      <c r="J1383" s="18">
        <v>976.72878937625001</v>
      </c>
      <c r="K1383" s="22">
        <v>0</v>
      </c>
      <c r="L1383" s="22" t="str">
        <f t="shared" si="21"/>
        <v>45931, 5, 7</v>
      </c>
    </row>
    <row r="1384" spans="1:12">
      <c r="A1384" s="9">
        <v>45931</v>
      </c>
      <c r="B1384">
        <v>5</v>
      </c>
      <c r="C1384" s="16" t="s">
        <v>60</v>
      </c>
      <c r="D1384">
        <v>8</v>
      </c>
      <c r="E1384" s="16" t="s">
        <v>46</v>
      </c>
      <c r="F1384" s="18">
        <v>792</v>
      </c>
      <c r="G1384" s="22">
        <v>66</v>
      </c>
      <c r="H1384" s="18">
        <v>0.64995519416666603</v>
      </c>
      <c r="I1384" s="18">
        <v>42.897042814999899</v>
      </c>
      <c r="J1384" s="18">
        <v>749.10295718500004</v>
      </c>
      <c r="K1384" s="22">
        <v>0</v>
      </c>
      <c r="L1384" s="22" t="str">
        <f t="shared" si="21"/>
        <v>45931, 5, 8</v>
      </c>
    </row>
    <row r="1385" spans="1:12">
      <c r="A1385" s="9">
        <v>45931</v>
      </c>
      <c r="B1385">
        <v>5</v>
      </c>
      <c r="C1385" s="16" t="s">
        <v>60</v>
      </c>
      <c r="D1385">
        <v>10</v>
      </c>
      <c r="E1385" s="16" t="s">
        <v>57</v>
      </c>
      <c r="F1385" s="18">
        <v>1302</v>
      </c>
      <c r="G1385" s="22">
        <v>93</v>
      </c>
      <c r="H1385" s="18">
        <v>1.9637892136133299</v>
      </c>
      <c r="I1385" s="18">
        <v>182.63239686603899</v>
      </c>
      <c r="J1385" s="18">
        <v>1119.3676031339601</v>
      </c>
      <c r="K1385" s="22">
        <v>0</v>
      </c>
      <c r="L1385" s="22" t="str">
        <f t="shared" si="21"/>
        <v>45931, 5, 10</v>
      </c>
    </row>
    <row r="1386" spans="1:12">
      <c r="A1386" s="9">
        <v>45931</v>
      </c>
      <c r="B1386">
        <v>5</v>
      </c>
      <c r="C1386" s="16" t="s">
        <v>60</v>
      </c>
      <c r="D1386">
        <v>11</v>
      </c>
      <c r="E1386" s="16" t="s">
        <v>48</v>
      </c>
      <c r="F1386" s="18">
        <v>2856</v>
      </c>
      <c r="G1386" s="22">
        <v>136</v>
      </c>
      <c r="H1386" s="18">
        <v>2.1335726607142802</v>
      </c>
      <c r="I1386" s="18">
        <v>290.16588185714198</v>
      </c>
      <c r="J1386" s="18">
        <v>2565.83411814285</v>
      </c>
      <c r="K1386" s="22">
        <v>0</v>
      </c>
      <c r="L1386" s="22" t="str">
        <f t="shared" si="21"/>
        <v>45931, 5, 11</v>
      </c>
    </row>
    <row r="1387" spans="1:12">
      <c r="A1387" s="9">
        <v>45931</v>
      </c>
      <c r="B1387">
        <v>5</v>
      </c>
      <c r="C1387" s="16" t="s">
        <v>60</v>
      </c>
      <c r="D1387">
        <v>12</v>
      </c>
      <c r="E1387" s="16" t="s">
        <v>49</v>
      </c>
      <c r="F1387" s="18">
        <v>2881</v>
      </c>
      <c r="G1387" s="22">
        <v>134</v>
      </c>
      <c r="H1387" s="18">
        <v>2.49498323552631</v>
      </c>
      <c r="I1387" s="18">
        <v>334.32775356052599</v>
      </c>
      <c r="J1387" s="18">
        <v>2546.6722464394702</v>
      </c>
      <c r="K1387" s="22">
        <v>0</v>
      </c>
      <c r="L1387" s="22" t="str">
        <f t="shared" si="21"/>
        <v>45931, 5, 12</v>
      </c>
    </row>
    <row r="1388" spans="1:12">
      <c r="A1388" s="9">
        <v>45931</v>
      </c>
      <c r="B1388">
        <v>5</v>
      </c>
      <c r="C1388" s="16" t="s">
        <v>60</v>
      </c>
      <c r="D1388">
        <v>13</v>
      </c>
      <c r="E1388" s="16" t="s">
        <v>50</v>
      </c>
      <c r="F1388" s="18">
        <v>1912.5</v>
      </c>
      <c r="G1388" s="22">
        <v>85</v>
      </c>
      <c r="H1388" s="18">
        <v>7.0245215384615296</v>
      </c>
      <c r="I1388" s="18">
        <v>597.08433076922995</v>
      </c>
      <c r="J1388" s="18">
        <v>1315.4156692307599</v>
      </c>
      <c r="K1388" s="22">
        <v>0</v>
      </c>
      <c r="L1388" s="22" t="str">
        <f t="shared" si="21"/>
        <v>45931, 5, 13</v>
      </c>
    </row>
    <row r="1389" spans="1:12">
      <c r="A1389" s="9">
        <v>45931</v>
      </c>
      <c r="B1389">
        <v>5</v>
      </c>
      <c r="C1389" s="16" t="s">
        <v>60</v>
      </c>
      <c r="D1389">
        <v>14</v>
      </c>
      <c r="E1389" s="16" t="s">
        <v>51</v>
      </c>
      <c r="F1389" s="18">
        <v>1732.5</v>
      </c>
      <c r="G1389" s="22">
        <v>63</v>
      </c>
      <c r="H1389" s="18">
        <v>4.7177506070789397</v>
      </c>
      <c r="I1389" s="18">
        <v>297.21828824597299</v>
      </c>
      <c r="J1389" s="18">
        <v>1435.2817117540201</v>
      </c>
      <c r="K1389" s="22">
        <v>0</v>
      </c>
      <c r="L1389" s="22" t="str">
        <f t="shared" si="21"/>
        <v>45931, 5, 14</v>
      </c>
    </row>
    <row r="1390" spans="1:12">
      <c r="A1390" s="9">
        <v>45931</v>
      </c>
      <c r="B1390">
        <v>5</v>
      </c>
      <c r="C1390" s="16" t="s">
        <v>60</v>
      </c>
      <c r="D1390">
        <v>15</v>
      </c>
      <c r="E1390" s="16" t="s">
        <v>52</v>
      </c>
      <c r="F1390" s="18">
        <v>3672</v>
      </c>
      <c r="G1390" s="22">
        <v>153</v>
      </c>
      <c r="H1390" s="18">
        <v>2.8051969032105202</v>
      </c>
      <c r="I1390" s="18">
        <v>429.19512619121002</v>
      </c>
      <c r="J1390" s="18">
        <v>3242.80487380878</v>
      </c>
      <c r="K1390" s="22">
        <v>0</v>
      </c>
      <c r="L1390" s="22" t="str">
        <f t="shared" si="21"/>
        <v>45931, 5, 15</v>
      </c>
    </row>
    <row r="1391" spans="1:12">
      <c r="A1391" s="9">
        <v>45931</v>
      </c>
      <c r="B1391">
        <v>5</v>
      </c>
      <c r="C1391" s="16" t="s">
        <v>60</v>
      </c>
      <c r="D1391">
        <v>16</v>
      </c>
      <c r="E1391" s="16" t="s">
        <v>53</v>
      </c>
      <c r="F1391" s="18">
        <v>666</v>
      </c>
      <c r="G1391" s="22">
        <v>74</v>
      </c>
      <c r="H1391" s="18">
        <v>1.6061932140277699</v>
      </c>
      <c r="I1391" s="18">
        <v>118.85829783805499</v>
      </c>
      <c r="J1391" s="18">
        <v>547.14170216194395</v>
      </c>
      <c r="K1391" s="22">
        <v>0</v>
      </c>
      <c r="L1391" s="22" t="str">
        <f t="shared" si="21"/>
        <v>45931, 5, 16</v>
      </c>
    </row>
    <row r="1392" spans="1:12">
      <c r="A1392" s="9">
        <v>45931</v>
      </c>
      <c r="B1392">
        <v>5</v>
      </c>
      <c r="C1392" s="16" t="s">
        <v>60</v>
      </c>
      <c r="D1392">
        <v>17</v>
      </c>
      <c r="E1392" s="16" t="s">
        <v>54</v>
      </c>
      <c r="F1392" s="18">
        <v>855</v>
      </c>
      <c r="G1392" s="22">
        <v>114</v>
      </c>
      <c r="H1392" s="18">
        <v>1.4686343040000001</v>
      </c>
      <c r="I1392" s="18">
        <v>167.42431065599999</v>
      </c>
      <c r="J1392" s="18">
        <v>687.57568934400001</v>
      </c>
      <c r="K1392" s="22">
        <v>0</v>
      </c>
      <c r="L1392" s="22" t="str">
        <f t="shared" si="21"/>
        <v>45931, 5, 17</v>
      </c>
    </row>
    <row r="1393" spans="1:12">
      <c r="A1393" s="9">
        <v>45931</v>
      </c>
      <c r="B1393">
        <v>5</v>
      </c>
      <c r="C1393" s="16" t="s">
        <v>60</v>
      </c>
      <c r="D1393">
        <v>18</v>
      </c>
      <c r="E1393" s="16" t="s">
        <v>55</v>
      </c>
      <c r="F1393" s="18">
        <v>1748</v>
      </c>
      <c r="G1393" s="22">
        <v>76</v>
      </c>
      <c r="H1393" s="18">
        <v>6.0101057925789396</v>
      </c>
      <c r="I1393" s="18">
        <v>456.76804023599902</v>
      </c>
      <c r="J1393" s="18">
        <v>1291.2319597640001</v>
      </c>
      <c r="K1393" s="22">
        <v>0</v>
      </c>
      <c r="L1393" s="22" t="str">
        <f t="shared" si="21"/>
        <v>45931, 5, 18</v>
      </c>
    </row>
    <row r="1394" spans="1:12">
      <c r="A1394" s="9">
        <v>45962</v>
      </c>
      <c r="B1394">
        <v>5</v>
      </c>
      <c r="C1394" s="16" t="s">
        <v>60</v>
      </c>
      <c r="D1394">
        <v>11</v>
      </c>
      <c r="E1394" s="16" t="s">
        <v>48</v>
      </c>
      <c r="F1394" s="18">
        <v>2856</v>
      </c>
      <c r="G1394" s="22">
        <v>136</v>
      </c>
      <c r="H1394" s="18">
        <v>2.1268357142857099</v>
      </c>
      <c r="I1394" s="18">
        <v>289.24965714285702</v>
      </c>
      <c r="J1394" s="18">
        <v>2566.7503428571399</v>
      </c>
      <c r="K1394" s="22">
        <v>0</v>
      </c>
      <c r="L1394" s="22" t="str">
        <f t="shared" si="21"/>
        <v>45962, 5, 11</v>
      </c>
    </row>
    <row r="1395" spans="1:12">
      <c r="A1395" s="9">
        <v>45962</v>
      </c>
      <c r="B1395">
        <v>5</v>
      </c>
      <c r="C1395" s="16" t="s">
        <v>60</v>
      </c>
      <c r="D1395">
        <v>12</v>
      </c>
      <c r="E1395" s="16" t="s">
        <v>49</v>
      </c>
      <c r="F1395" s="18">
        <v>1956.5</v>
      </c>
      <c r="G1395" s="22">
        <v>91</v>
      </c>
      <c r="H1395" s="18">
        <v>2.5257732057500002</v>
      </c>
      <c r="I1395" s="18">
        <v>229.84536172324999</v>
      </c>
      <c r="J1395" s="18">
        <v>1726.6546382767499</v>
      </c>
      <c r="K1395" s="22">
        <v>0</v>
      </c>
      <c r="L1395" s="22" t="str">
        <f t="shared" si="21"/>
        <v>45962, 5, 12</v>
      </c>
    </row>
    <row r="1396" spans="1:12">
      <c r="A1396" s="9">
        <v>45962</v>
      </c>
      <c r="B1396">
        <v>5</v>
      </c>
      <c r="C1396" s="16" t="s">
        <v>60</v>
      </c>
      <c r="D1396">
        <v>13</v>
      </c>
      <c r="E1396" s="16" t="s">
        <v>50</v>
      </c>
      <c r="F1396" s="18">
        <v>2880</v>
      </c>
      <c r="G1396" s="22">
        <v>128</v>
      </c>
      <c r="H1396" s="18">
        <v>6.9931509166666599</v>
      </c>
      <c r="I1396" s="18">
        <v>895.12331733333303</v>
      </c>
      <c r="J1396" s="18">
        <v>1984.8766826666599</v>
      </c>
      <c r="K1396" s="22">
        <v>0</v>
      </c>
      <c r="L1396" s="22" t="str">
        <f t="shared" si="21"/>
        <v>45962, 5, 13</v>
      </c>
    </row>
    <row r="1397" spans="1:12">
      <c r="A1397" s="9">
        <v>45962</v>
      </c>
      <c r="B1397">
        <v>5</v>
      </c>
      <c r="C1397" s="16" t="s">
        <v>60</v>
      </c>
      <c r="D1397">
        <v>14</v>
      </c>
      <c r="E1397" s="16" t="s">
        <v>51</v>
      </c>
      <c r="F1397" s="18">
        <v>2117.5</v>
      </c>
      <c r="G1397" s="22">
        <v>77</v>
      </c>
      <c r="H1397" s="18">
        <v>4.7487879130208297</v>
      </c>
      <c r="I1397" s="18">
        <v>365.65666930260397</v>
      </c>
      <c r="J1397" s="18">
        <v>1751.84333069739</v>
      </c>
      <c r="K1397" s="22">
        <v>0</v>
      </c>
      <c r="L1397" s="22" t="str">
        <f t="shared" si="21"/>
        <v>45962, 5, 14</v>
      </c>
    </row>
    <row r="1398" spans="1:12">
      <c r="A1398" s="9">
        <v>45962</v>
      </c>
      <c r="B1398">
        <v>5</v>
      </c>
      <c r="C1398" s="16" t="s">
        <v>60</v>
      </c>
      <c r="D1398">
        <v>15</v>
      </c>
      <c r="E1398" s="16" t="s">
        <v>52</v>
      </c>
      <c r="F1398" s="18">
        <v>3192</v>
      </c>
      <c r="G1398" s="22">
        <v>133</v>
      </c>
      <c r="H1398" s="18">
        <v>2.8242498978750001</v>
      </c>
      <c r="I1398" s="18">
        <v>375.62523641737499</v>
      </c>
      <c r="J1398" s="18">
        <v>2816.3747635826198</v>
      </c>
      <c r="K1398" s="22">
        <v>0</v>
      </c>
      <c r="L1398" s="22" t="str">
        <f t="shared" si="21"/>
        <v>45962, 5, 15</v>
      </c>
    </row>
    <row r="1399" spans="1:12">
      <c r="A1399" s="9">
        <v>45962</v>
      </c>
      <c r="B1399">
        <v>5</v>
      </c>
      <c r="C1399" s="16" t="s">
        <v>60</v>
      </c>
      <c r="D1399">
        <v>16</v>
      </c>
      <c r="E1399" s="16" t="s">
        <v>53</v>
      </c>
      <c r="F1399" s="18">
        <v>693</v>
      </c>
      <c r="G1399" s="22">
        <v>77</v>
      </c>
      <c r="H1399" s="18">
        <v>1.6034696801388799</v>
      </c>
      <c r="I1399" s="18">
        <v>123.467165370694</v>
      </c>
      <c r="J1399" s="18">
        <v>569.53283462930494</v>
      </c>
      <c r="K1399" s="22">
        <v>0</v>
      </c>
      <c r="L1399" s="22" t="str">
        <f t="shared" si="21"/>
        <v>45962, 5, 16</v>
      </c>
    </row>
    <row r="1400" spans="1:12">
      <c r="A1400" s="9">
        <v>45962</v>
      </c>
      <c r="B1400">
        <v>5</v>
      </c>
      <c r="C1400" s="16" t="s">
        <v>60</v>
      </c>
      <c r="D1400">
        <v>17</v>
      </c>
      <c r="E1400" s="16" t="s">
        <v>54</v>
      </c>
      <c r="F1400" s="18">
        <v>742.5</v>
      </c>
      <c r="G1400" s="22">
        <v>99</v>
      </c>
      <c r="H1400" s="18">
        <v>1.4733497225000001</v>
      </c>
      <c r="I1400" s="18">
        <v>145.8616225275</v>
      </c>
      <c r="J1400" s="18">
        <v>596.6383774725</v>
      </c>
      <c r="K1400" s="22">
        <v>0</v>
      </c>
      <c r="L1400" s="22" t="str">
        <f t="shared" si="21"/>
        <v>45962, 5, 17</v>
      </c>
    </row>
    <row r="1401" spans="1:12">
      <c r="A1401" s="9">
        <v>45962</v>
      </c>
      <c r="B1401">
        <v>5</v>
      </c>
      <c r="C1401" s="16" t="s">
        <v>60</v>
      </c>
      <c r="D1401">
        <v>18</v>
      </c>
      <c r="E1401" s="16" t="s">
        <v>55</v>
      </c>
      <c r="F1401" s="18">
        <v>1311</v>
      </c>
      <c r="G1401" s="22">
        <v>57</v>
      </c>
      <c r="H1401" s="18">
        <v>6.37227168482812</v>
      </c>
      <c r="I1401" s="18">
        <v>363.21948603520298</v>
      </c>
      <c r="J1401" s="18">
        <v>947.780513964796</v>
      </c>
      <c r="K1401" s="22">
        <v>0</v>
      </c>
      <c r="L1401" s="22" t="str">
        <f t="shared" si="21"/>
        <v>45962, 5, 18</v>
      </c>
    </row>
    <row r="1402" spans="1:12">
      <c r="A1402" s="9">
        <v>45962</v>
      </c>
      <c r="B1402">
        <v>5</v>
      </c>
      <c r="C1402" s="16" t="s">
        <v>60</v>
      </c>
      <c r="D1402">
        <v>1</v>
      </c>
      <c r="E1402" s="16" t="s">
        <v>38</v>
      </c>
      <c r="F1402" s="18">
        <v>3504.5</v>
      </c>
      <c r="G1402" s="22">
        <v>163</v>
      </c>
      <c r="H1402" s="18">
        <v>4.3040015961538396</v>
      </c>
      <c r="I1402" s="18">
        <v>701.55226017307598</v>
      </c>
      <c r="J1402" s="18">
        <v>2802.94773982692</v>
      </c>
      <c r="K1402" s="22">
        <v>0</v>
      </c>
      <c r="L1402" s="22" t="str">
        <f t="shared" si="21"/>
        <v>45962, 5, 1</v>
      </c>
    </row>
    <row r="1403" spans="1:12">
      <c r="A1403" s="9">
        <v>45962</v>
      </c>
      <c r="B1403">
        <v>5</v>
      </c>
      <c r="C1403" s="16" t="s">
        <v>60</v>
      </c>
      <c r="D1403">
        <v>2</v>
      </c>
      <c r="E1403" s="16" t="s">
        <v>40</v>
      </c>
      <c r="F1403" s="18">
        <v>3864</v>
      </c>
      <c r="G1403" s="22">
        <v>161</v>
      </c>
      <c r="H1403" s="18">
        <v>7.0049047836999998</v>
      </c>
      <c r="I1403" s="18">
        <v>1127.7896701756999</v>
      </c>
      <c r="J1403" s="18">
        <v>2736.2103298243001</v>
      </c>
      <c r="K1403" s="22">
        <v>0</v>
      </c>
      <c r="L1403" s="22" t="str">
        <f t="shared" si="21"/>
        <v>45962, 5, 2</v>
      </c>
    </row>
    <row r="1404" spans="1:12">
      <c r="A1404" s="9">
        <v>45962</v>
      </c>
      <c r="B1404">
        <v>5</v>
      </c>
      <c r="C1404" s="16" t="s">
        <v>60</v>
      </c>
      <c r="D1404">
        <v>3</v>
      </c>
      <c r="E1404" s="16" t="s">
        <v>41</v>
      </c>
      <c r="F1404" s="18">
        <v>2200</v>
      </c>
      <c r="G1404" s="22">
        <v>88</v>
      </c>
      <c r="H1404" s="18">
        <v>3.5014113889999998</v>
      </c>
      <c r="I1404" s="18">
        <v>308.12420223200002</v>
      </c>
      <c r="J1404" s="18">
        <v>1891.875797768</v>
      </c>
      <c r="K1404" s="22">
        <v>0</v>
      </c>
      <c r="L1404" s="22" t="str">
        <f t="shared" si="21"/>
        <v>45962, 5, 3</v>
      </c>
    </row>
    <row r="1405" spans="1:12">
      <c r="A1405" s="9">
        <v>45962</v>
      </c>
      <c r="B1405">
        <v>5</v>
      </c>
      <c r="C1405" s="16" t="s">
        <v>60</v>
      </c>
      <c r="D1405">
        <v>4</v>
      </c>
      <c r="E1405" s="16" t="s">
        <v>42</v>
      </c>
      <c r="F1405" s="18">
        <v>2460</v>
      </c>
      <c r="G1405" s="22">
        <v>120</v>
      </c>
      <c r="H1405" s="18">
        <v>7.3750011642000004</v>
      </c>
      <c r="I1405" s="18">
        <v>885.00013970400005</v>
      </c>
      <c r="J1405" s="18">
        <v>1574.999860296</v>
      </c>
      <c r="K1405" s="22">
        <v>0</v>
      </c>
      <c r="L1405" s="22" t="str">
        <f t="shared" si="21"/>
        <v>45962, 5, 4</v>
      </c>
    </row>
    <row r="1406" spans="1:12">
      <c r="A1406" s="9">
        <v>45962</v>
      </c>
      <c r="B1406">
        <v>5</v>
      </c>
      <c r="C1406" s="16" t="s">
        <v>60</v>
      </c>
      <c r="D1406">
        <v>7</v>
      </c>
      <c r="E1406" s="16" t="s">
        <v>45</v>
      </c>
      <c r="F1406" s="18">
        <v>1281</v>
      </c>
      <c r="G1406" s="22">
        <v>122</v>
      </c>
      <c r="H1406" s="18">
        <v>2.9261553503125</v>
      </c>
      <c r="I1406" s="18">
        <v>356.99095273812497</v>
      </c>
      <c r="J1406" s="18">
        <v>924.00904726187503</v>
      </c>
      <c r="K1406" s="22">
        <v>0</v>
      </c>
      <c r="L1406" s="22" t="str">
        <f t="shared" si="21"/>
        <v>45962, 5, 7</v>
      </c>
    </row>
    <row r="1407" spans="1:12">
      <c r="A1407" s="9">
        <v>45962</v>
      </c>
      <c r="B1407">
        <v>5</v>
      </c>
      <c r="C1407" s="16" t="s">
        <v>60</v>
      </c>
      <c r="D1407">
        <v>8</v>
      </c>
      <c r="E1407" s="16" t="s">
        <v>46</v>
      </c>
      <c r="F1407" s="18">
        <v>948</v>
      </c>
      <c r="G1407" s="22">
        <v>79</v>
      </c>
      <c r="H1407" s="18">
        <v>0.65872628285714196</v>
      </c>
      <c r="I1407" s="18">
        <v>52.039376345714203</v>
      </c>
      <c r="J1407" s="18">
        <v>895.96062365428497</v>
      </c>
      <c r="K1407" s="22">
        <v>0</v>
      </c>
      <c r="L1407" s="22" t="str">
        <f t="shared" si="21"/>
        <v>45962, 5, 8</v>
      </c>
    </row>
    <row r="1408" spans="1:12">
      <c r="A1408" s="9">
        <v>45962</v>
      </c>
      <c r="B1408">
        <v>5</v>
      </c>
      <c r="C1408" s="16" t="s">
        <v>60</v>
      </c>
      <c r="D1408">
        <v>10</v>
      </c>
      <c r="E1408" s="16" t="s">
        <v>57</v>
      </c>
      <c r="F1408" s="18">
        <v>1064</v>
      </c>
      <c r="G1408" s="22">
        <v>76</v>
      </c>
      <c r="H1408" s="18">
        <v>2.0759598099666601</v>
      </c>
      <c r="I1408" s="18">
        <v>157.77294555746599</v>
      </c>
      <c r="J1408" s="18">
        <v>906.22705444253302</v>
      </c>
      <c r="K1408" s="22">
        <v>0</v>
      </c>
      <c r="L1408" s="22" t="str">
        <f t="shared" si="21"/>
        <v>45962, 5, 10</v>
      </c>
    </row>
    <row r="1409" spans="1:12">
      <c r="A1409" s="9">
        <v>45992</v>
      </c>
      <c r="B1409">
        <v>5</v>
      </c>
      <c r="C1409" s="16" t="s">
        <v>60</v>
      </c>
      <c r="D1409">
        <v>1</v>
      </c>
      <c r="E1409" s="16" t="s">
        <v>38</v>
      </c>
      <c r="F1409" s="18">
        <v>2730.5</v>
      </c>
      <c r="G1409" s="22">
        <v>127</v>
      </c>
      <c r="H1409" s="18">
        <v>4.2952924666666599</v>
      </c>
      <c r="I1409" s="18">
        <v>545.50214326666605</v>
      </c>
      <c r="J1409" s="18">
        <v>2184.9978567333301</v>
      </c>
      <c r="K1409" s="22">
        <v>0</v>
      </c>
      <c r="L1409" s="22" t="str">
        <f t="shared" si="21"/>
        <v>45992, 5, 1</v>
      </c>
    </row>
    <row r="1410" spans="1:12">
      <c r="A1410" s="9">
        <v>45992</v>
      </c>
      <c r="B1410">
        <v>5</v>
      </c>
      <c r="C1410" s="16" t="s">
        <v>60</v>
      </c>
      <c r="D1410">
        <v>2</v>
      </c>
      <c r="E1410" s="16" t="s">
        <v>40</v>
      </c>
      <c r="F1410" s="18">
        <v>3384</v>
      </c>
      <c r="G1410" s="22">
        <v>141</v>
      </c>
      <c r="H1410" s="18">
        <v>7.0379349669565201</v>
      </c>
      <c r="I1410" s="18">
        <v>992.34883034086897</v>
      </c>
      <c r="J1410" s="18">
        <v>2391.6511696591301</v>
      </c>
      <c r="K1410" s="22">
        <v>0</v>
      </c>
      <c r="L1410" s="22" t="str">
        <f t="shared" si="21"/>
        <v>45992, 5, 2</v>
      </c>
    </row>
    <row r="1411" spans="1:12">
      <c r="A1411" s="9">
        <v>45992</v>
      </c>
      <c r="B1411">
        <v>5</v>
      </c>
      <c r="C1411" s="16" t="s">
        <v>60</v>
      </c>
      <c r="D1411">
        <v>3</v>
      </c>
      <c r="E1411" s="16" t="s">
        <v>41</v>
      </c>
      <c r="F1411" s="18">
        <v>2725</v>
      </c>
      <c r="G1411" s="22">
        <v>109</v>
      </c>
      <c r="H1411" s="18">
        <v>3.5246882529473602</v>
      </c>
      <c r="I1411" s="18">
        <v>384.19101957126298</v>
      </c>
      <c r="J1411" s="18">
        <v>2340.8089804287301</v>
      </c>
      <c r="K1411" s="22">
        <v>0</v>
      </c>
      <c r="L1411" s="22" t="str">
        <f t="shared" ref="L1411:L1474" si="22">(A1411&amp; ", "&amp; B1411&amp; ", "&amp; D1411)</f>
        <v>45992, 5, 3</v>
      </c>
    </row>
    <row r="1412" spans="1:12">
      <c r="A1412" s="9">
        <v>45992</v>
      </c>
      <c r="B1412">
        <v>5</v>
      </c>
      <c r="C1412" s="16" t="s">
        <v>60</v>
      </c>
      <c r="D1412">
        <v>4</v>
      </c>
      <c r="E1412" s="16" t="s">
        <v>42</v>
      </c>
      <c r="F1412" s="18">
        <v>2009</v>
      </c>
      <c r="G1412" s="22">
        <v>98</v>
      </c>
      <c r="H1412" s="18">
        <v>7.5060972725217301</v>
      </c>
      <c r="I1412" s="18">
        <v>735.59753270712997</v>
      </c>
      <c r="J1412" s="18">
        <v>1273.4024672928599</v>
      </c>
      <c r="K1412" s="22">
        <v>0</v>
      </c>
      <c r="L1412" s="22" t="str">
        <f t="shared" si="22"/>
        <v>45992, 5, 4</v>
      </c>
    </row>
    <row r="1413" spans="1:12">
      <c r="A1413" s="9">
        <v>45992</v>
      </c>
      <c r="B1413">
        <v>5</v>
      </c>
      <c r="C1413" s="16" t="s">
        <v>60</v>
      </c>
      <c r="D1413">
        <v>7</v>
      </c>
      <c r="E1413" s="16" t="s">
        <v>45</v>
      </c>
      <c r="F1413" s="18">
        <v>1270.5</v>
      </c>
      <c r="G1413" s="22">
        <v>121</v>
      </c>
      <c r="H1413" s="18">
        <v>2.9343530519736798</v>
      </c>
      <c r="I1413" s="18">
        <v>355.05671928881497</v>
      </c>
      <c r="J1413" s="18">
        <v>915.443280711184</v>
      </c>
      <c r="K1413" s="22">
        <v>0</v>
      </c>
      <c r="L1413" s="22" t="str">
        <f t="shared" si="22"/>
        <v>45992, 5, 7</v>
      </c>
    </row>
    <row r="1414" spans="1:12">
      <c r="A1414" s="9">
        <v>45992</v>
      </c>
      <c r="B1414">
        <v>5</v>
      </c>
      <c r="C1414" s="16" t="s">
        <v>60</v>
      </c>
      <c r="D1414">
        <v>8</v>
      </c>
      <c r="E1414" s="16" t="s">
        <v>46</v>
      </c>
      <c r="F1414" s="18">
        <v>900</v>
      </c>
      <c r="G1414" s="22">
        <v>75</v>
      </c>
      <c r="H1414" s="18">
        <v>0.66440085625</v>
      </c>
      <c r="I1414" s="18">
        <v>49.830064218750003</v>
      </c>
      <c r="J1414" s="18">
        <v>850.16993578125005</v>
      </c>
      <c r="K1414" s="22">
        <v>0</v>
      </c>
      <c r="L1414" s="22" t="str">
        <f t="shared" si="22"/>
        <v>45992, 5, 8</v>
      </c>
    </row>
    <row r="1415" spans="1:12">
      <c r="A1415" s="9">
        <v>45992</v>
      </c>
      <c r="B1415">
        <v>5</v>
      </c>
      <c r="C1415" s="16" t="s">
        <v>60</v>
      </c>
      <c r="D1415">
        <v>10</v>
      </c>
      <c r="E1415" s="16" t="s">
        <v>57</v>
      </c>
      <c r="F1415" s="18">
        <v>854</v>
      </c>
      <c r="G1415" s="22">
        <v>61</v>
      </c>
      <c r="H1415" s="18">
        <v>2.1637251208133299</v>
      </c>
      <c r="I1415" s="18">
        <v>131.987232369613</v>
      </c>
      <c r="J1415" s="18">
        <v>722.01276763038595</v>
      </c>
      <c r="K1415" s="22">
        <v>0</v>
      </c>
      <c r="L1415" s="22" t="str">
        <f t="shared" si="22"/>
        <v>45992, 5, 10</v>
      </c>
    </row>
    <row r="1416" spans="1:12">
      <c r="A1416" s="9">
        <v>45992</v>
      </c>
      <c r="B1416">
        <v>5</v>
      </c>
      <c r="C1416" s="16" t="s">
        <v>60</v>
      </c>
      <c r="D1416">
        <v>11</v>
      </c>
      <c r="E1416" s="16" t="s">
        <v>48</v>
      </c>
      <c r="F1416" s="18">
        <v>2436</v>
      </c>
      <c r="G1416" s="22">
        <v>116</v>
      </c>
      <c r="H1416" s="18">
        <v>2.1367743392857101</v>
      </c>
      <c r="I1416" s="18">
        <v>247.86582335714201</v>
      </c>
      <c r="J1416" s="18">
        <v>2188.13417664285</v>
      </c>
      <c r="K1416" s="22">
        <v>0</v>
      </c>
      <c r="L1416" s="22" t="str">
        <f t="shared" si="22"/>
        <v>45992, 5, 11</v>
      </c>
    </row>
    <row r="1417" spans="1:12">
      <c r="A1417" s="9">
        <v>45992</v>
      </c>
      <c r="B1417">
        <v>5</v>
      </c>
      <c r="C1417" s="16" t="s">
        <v>60</v>
      </c>
      <c r="D1417">
        <v>12</v>
      </c>
      <c r="E1417" s="16" t="s">
        <v>49</v>
      </c>
      <c r="F1417" s="18">
        <v>1892</v>
      </c>
      <c r="G1417" s="22">
        <v>88</v>
      </c>
      <c r="H1417" s="18">
        <v>2.5458562811388799</v>
      </c>
      <c r="I1417" s="18">
        <v>224.03535274022201</v>
      </c>
      <c r="J1417" s="18">
        <v>1667.9646472597699</v>
      </c>
      <c r="K1417" s="22">
        <v>0</v>
      </c>
      <c r="L1417" s="22" t="str">
        <f t="shared" si="22"/>
        <v>45992, 5, 12</v>
      </c>
    </row>
    <row r="1418" spans="1:12">
      <c r="A1418" s="9">
        <v>45992</v>
      </c>
      <c r="B1418">
        <v>5</v>
      </c>
      <c r="C1418" s="16" t="s">
        <v>60</v>
      </c>
      <c r="D1418">
        <v>13</v>
      </c>
      <c r="E1418" s="16" t="s">
        <v>50</v>
      </c>
      <c r="F1418" s="18">
        <v>2565</v>
      </c>
      <c r="G1418" s="22">
        <v>114</v>
      </c>
      <c r="H1418" s="18">
        <v>6.9992863571428501</v>
      </c>
      <c r="I1418" s="18">
        <v>797.91864471428505</v>
      </c>
      <c r="J1418" s="18">
        <v>1767.0813552857101</v>
      </c>
      <c r="K1418" s="22">
        <v>0</v>
      </c>
      <c r="L1418" s="22" t="str">
        <f t="shared" si="22"/>
        <v>45992, 5, 13</v>
      </c>
    </row>
    <row r="1419" spans="1:12">
      <c r="A1419" s="9">
        <v>45992</v>
      </c>
      <c r="B1419">
        <v>5</v>
      </c>
      <c r="C1419" s="16" t="s">
        <v>60</v>
      </c>
      <c r="D1419">
        <v>14</v>
      </c>
      <c r="E1419" s="16" t="s">
        <v>51</v>
      </c>
      <c r="F1419" s="18">
        <v>1897.5</v>
      </c>
      <c r="G1419" s="22">
        <v>69</v>
      </c>
      <c r="H1419" s="18">
        <v>4.7613146400925901</v>
      </c>
      <c r="I1419" s="18">
        <v>328.53071016638802</v>
      </c>
      <c r="J1419" s="18">
        <v>1568.96928983361</v>
      </c>
      <c r="K1419" s="22">
        <v>0</v>
      </c>
      <c r="L1419" s="22" t="str">
        <f t="shared" si="22"/>
        <v>45992, 5, 14</v>
      </c>
    </row>
    <row r="1420" spans="1:12">
      <c r="A1420" s="9">
        <v>45992</v>
      </c>
      <c r="B1420">
        <v>5</v>
      </c>
      <c r="C1420" s="16" t="s">
        <v>60</v>
      </c>
      <c r="D1420">
        <v>15</v>
      </c>
      <c r="E1420" s="16" t="s">
        <v>52</v>
      </c>
      <c r="F1420" s="18">
        <v>3240</v>
      </c>
      <c r="G1420" s="22">
        <v>135</v>
      </c>
      <c r="H1420" s="18">
        <v>2.8504053918888799</v>
      </c>
      <c r="I1420" s="18">
        <v>384.80472790499999</v>
      </c>
      <c r="J1420" s="18">
        <v>2855.1952720949898</v>
      </c>
      <c r="K1420" s="22">
        <v>0</v>
      </c>
      <c r="L1420" s="22" t="str">
        <f t="shared" si="22"/>
        <v>45992, 5, 15</v>
      </c>
    </row>
    <row r="1421" spans="1:12">
      <c r="A1421" s="9">
        <v>45992</v>
      </c>
      <c r="B1421">
        <v>5</v>
      </c>
      <c r="C1421" s="16" t="s">
        <v>60</v>
      </c>
      <c r="D1421">
        <v>16</v>
      </c>
      <c r="E1421" s="16" t="s">
        <v>53</v>
      </c>
      <c r="F1421" s="18">
        <v>630</v>
      </c>
      <c r="G1421" s="22">
        <v>70</v>
      </c>
      <c r="H1421" s="18">
        <v>1.6018998306944401</v>
      </c>
      <c r="I1421" s="18">
        <v>112.13298814861101</v>
      </c>
      <c r="J1421" s="18">
        <v>517.86701185138804</v>
      </c>
      <c r="K1421" s="22">
        <v>0</v>
      </c>
      <c r="L1421" s="22" t="str">
        <f t="shared" si="22"/>
        <v>45992, 5, 16</v>
      </c>
    </row>
    <row r="1422" spans="1:12">
      <c r="A1422" s="9">
        <v>45992</v>
      </c>
      <c r="B1422">
        <v>5</v>
      </c>
      <c r="C1422" s="16" t="s">
        <v>60</v>
      </c>
      <c r="D1422">
        <v>17</v>
      </c>
      <c r="E1422" s="16" t="s">
        <v>54</v>
      </c>
      <c r="F1422" s="18">
        <v>630</v>
      </c>
      <c r="G1422" s="22">
        <v>84</v>
      </c>
      <c r="H1422" s="18">
        <v>1.4640496140000001</v>
      </c>
      <c r="I1422" s="18">
        <v>122.980167576</v>
      </c>
      <c r="J1422" s="18">
        <v>507.01983242400001</v>
      </c>
      <c r="K1422" s="22">
        <v>0</v>
      </c>
      <c r="L1422" s="22" t="str">
        <f t="shared" si="22"/>
        <v>45992, 5, 17</v>
      </c>
    </row>
    <row r="1423" spans="1:12">
      <c r="A1423" s="9">
        <v>45992</v>
      </c>
      <c r="B1423">
        <v>5</v>
      </c>
      <c r="C1423" s="16" t="s">
        <v>60</v>
      </c>
      <c r="D1423">
        <v>18</v>
      </c>
      <c r="E1423" s="16" t="s">
        <v>55</v>
      </c>
      <c r="F1423" s="18">
        <v>966</v>
      </c>
      <c r="G1423" s="22">
        <v>42</v>
      </c>
      <c r="H1423" s="18">
        <v>6.7264066254166597</v>
      </c>
      <c r="I1423" s="18">
        <v>282.5090782675</v>
      </c>
      <c r="J1423" s="18">
        <v>683.49092173249903</v>
      </c>
      <c r="K1423" s="22">
        <v>0</v>
      </c>
      <c r="L1423" s="22" t="str">
        <f t="shared" si="22"/>
        <v>45992, 5, 18</v>
      </c>
    </row>
    <row r="1424" spans="1:12">
      <c r="A1424" s="9">
        <v>46023</v>
      </c>
      <c r="B1424">
        <v>5</v>
      </c>
      <c r="C1424" s="16" t="s">
        <v>60</v>
      </c>
      <c r="D1424">
        <v>11</v>
      </c>
      <c r="E1424" s="16" t="s">
        <v>48</v>
      </c>
      <c r="F1424" s="18">
        <v>2289</v>
      </c>
      <c r="G1424" s="22">
        <v>109</v>
      </c>
      <c r="H1424" s="18">
        <v>2.0517760892857102</v>
      </c>
      <c r="I1424" s="18">
        <v>223.64359373214199</v>
      </c>
      <c r="J1424" s="18">
        <v>2065.3564062678502</v>
      </c>
      <c r="K1424" s="22">
        <v>0</v>
      </c>
      <c r="L1424" s="22" t="str">
        <f t="shared" si="22"/>
        <v>46023, 5, 11</v>
      </c>
    </row>
    <row r="1425" spans="1:12">
      <c r="A1425" s="9">
        <v>46023</v>
      </c>
      <c r="B1425">
        <v>5</v>
      </c>
      <c r="C1425" s="16" t="s">
        <v>60</v>
      </c>
      <c r="D1425">
        <v>12</v>
      </c>
      <c r="E1425" s="16" t="s">
        <v>49</v>
      </c>
      <c r="F1425" s="18">
        <v>1376</v>
      </c>
      <c r="G1425" s="22">
        <v>64</v>
      </c>
      <c r="H1425" s="18">
        <v>2.5318877336388801</v>
      </c>
      <c r="I1425" s="18">
        <v>162.04081495288801</v>
      </c>
      <c r="J1425" s="18">
        <v>1213.9591850471099</v>
      </c>
      <c r="K1425" s="22">
        <v>0</v>
      </c>
      <c r="L1425" s="22" t="str">
        <f t="shared" si="22"/>
        <v>46023, 5, 12</v>
      </c>
    </row>
    <row r="1426" spans="1:12">
      <c r="A1426" s="9">
        <v>46023</v>
      </c>
      <c r="B1426">
        <v>5</v>
      </c>
      <c r="C1426" s="16" t="s">
        <v>60</v>
      </c>
      <c r="D1426">
        <v>13</v>
      </c>
      <c r="E1426" s="16" t="s">
        <v>50</v>
      </c>
      <c r="F1426" s="18">
        <v>2340</v>
      </c>
      <c r="G1426" s="22">
        <v>104</v>
      </c>
      <c r="H1426" s="18">
        <v>6.9344585384615298</v>
      </c>
      <c r="I1426" s="18">
        <v>721.18368799999905</v>
      </c>
      <c r="J1426" s="18">
        <v>1618.8163119999999</v>
      </c>
      <c r="K1426" s="22">
        <v>0</v>
      </c>
      <c r="L1426" s="22" t="str">
        <f t="shared" si="22"/>
        <v>46023, 5, 13</v>
      </c>
    </row>
    <row r="1427" spans="1:12">
      <c r="A1427" s="9">
        <v>46023</v>
      </c>
      <c r="B1427">
        <v>5</v>
      </c>
      <c r="C1427" s="16" t="s">
        <v>60</v>
      </c>
      <c r="D1427">
        <v>14</v>
      </c>
      <c r="E1427" s="16" t="s">
        <v>51</v>
      </c>
      <c r="F1427" s="18">
        <v>2172.5</v>
      </c>
      <c r="G1427" s="22">
        <v>79</v>
      </c>
      <c r="H1427" s="18">
        <v>4.7685113242407402</v>
      </c>
      <c r="I1427" s="18">
        <v>376.71239461501801</v>
      </c>
      <c r="J1427" s="18">
        <v>1795.78760538498</v>
      </c>
      <c r="K1427" s="22">
        <v>0</v>
      </c>
      <c r="L1427" s="22" t="str">
        <f t="shared" si="22"/>
        <v>46023, 5, 14</v>
      </c>
    </row>
    <row r="1428" spans="1:12">
      <c r="A1428" s="9">
        <v>46023</v>
      </c>
      <c r="B1428">
        <v>5</v>
      </c>
      <c r="C1428" s="16" t="s">
        <v>60</v>
      </c>
      <c r="D1428">
        <v>15</v>
      </c>
      <c r="E1428" s="16" t="s">
        <v>52</v>
      </c>
      <c r="F1428" s="18">
        <v>2760</v>
      </c>
      <c r="G1428" s="22">
        <v>115</v>
      </c>
      <c r="H1428" s="18">
        <v>2.85843025966666</v>
      </c>
      <c r="I1428" s="18">
        <v>328.719479861666</v>
      </c>
      <c r="J1428" s="18">
        <v>2431.2805201383298</v>
      </c>
      <c r="K1428" s="22">
        <v>0</v>
      </c>
      <c r="L1428" s="22" t="str">
        <f t="shared" si="22"/>
        <v>46023, 5, 15</v>
      </c>
    </row>
    <row r="1429" spans="1:12">
      <c r="A1429" s="9">
        <v>46023</v>
      </c>
      <c r="B1429">
        <v>5</v>
      </c>
      <c r="C1429" s="16" t="s">
        <v>60</v>
      </c>
      <c r="D1429">
        <v>16</v>
      </c>
      <c r="E1429" s="16" t="s">
        <v>53</v>
      </c>
      <c r="F1429" s="18">
        <v>801</v>
      </c>
      <c r="G1429" s="22">
        <v>89</v>
      </c>
      <c r="H1429" s="18">
        <v>1.6137282474999901</v>
      </c>
      <c r="I1429" s="18">
        <v>143.621814027499</v>
      </c>
      <c r="J1429" s="18">
        <v>657.37818597249998</v>
      </c>
      <c r="K1429" s="22">
        <v>0</v>
      </c>
      <c r="L1429" s="22" t="str">
        <f t="shared" si="22"/>
        <v>46023, 5, 16</v>
      </c>
    </row>
    <row r="1430" spans="1:12">
      <c r="A1430" s="9">
        <v>46023</v>
      </c>
      <c r="B1430">
        <v>5</v>
      </c>
      <c r="C1430" s="16" t="s">
        <v>60</v>
      </c>
      <c r="D1430">
        <v>17</v>
      </c>
      <c r="E1430" s="16" t="s">
        <v>54</v>
      </c>
      <c r="F1430" s="18">
        <v>742.5</v>
      </c>
      <c r="G1430" s="22">
        <v>99</v>
      </c>
      <c r="H1430" s="18">
        <v>1.470493547</v>
      </c>
      <c r="I1430" s="18">
        <v>145.57886115299999</v>
      </c>
      <c r="J1430" s="18">
        <v>596.92113884699995</v>
      </c>
      <c r="K1430" s="22">
        <v>0</v>
      </c>
      <c r="L1430" s="22" t="str">
        <f t="shared" si="22"/>
        <v>46023, 5, 17</v>
      </c>
    </row>
    <row r="1431" spans="1:12">
      <c r="A1431" s="9">
        <v>46023</v>
      </c>
      <c r="B1431">
        <v>5</v>
      </c>
      <c r="C1431" s="16" t="s">
        <v>60</v>
      </c>
      <c r="D1431">
        <v>18</v>
      </c>
      <c r="E1431" s="16" t="s">
        <v>55</v>
      </c>
      <c r="F1431" s="18">
        <v>1081</v>
      </c>
      <c r="G1431" s="22">
        <v>47</v>
      </c>
      <c r="H1431" s="18">
        <v>6.1126209460833296</v>
      </c>
      <c r="I1431" s="18">
        <v>287.293184465916</v>
      </c>
      <c r="J1431" s="18">
        <v>793.70681553408303</v>
      </c>
      <c r="K1431" s="22">
        <v>0</v>
      </c>
      <c r="L1431" s="22" t="str">
        <f t="shared" si="22"/>
        <v>46023, 5, 18</v>
      </c>
    </row>
    <row r="1432" spans="1:12">
      <c r="A1432" s="9">
        <v>46023</v>
      </c>
      <c r="B1432">
        <v>5</v>
      </c>
      <c r="C1432" s="16" t="s">
        <v>60</v>
      </c>
      <c r="D1432">
        <v>1</v>
      </c>
      <c r="E1432" s="16" t="s">
        <v>38</v>
      </c>
      <c r="F1432" s="18">
        <v>2945.5</v>
      </c>
      <c r="G1432" s="22">
        <v>137</v>
      </c>
      <c r="H1432" s="18">
        <v>4.27506758928571</v>
      </c>
      <c r="I1432" s="18">
        <v>585.68425973214198</v>
      </c>
      <c r="J1432" s="18">
        <v>2359.8157402678498</v>
      </c>
      <c r="K1432" s="22">
        <v>0</v>
      </c>
      <c r="L1432" s="22" t="str">
        <f t="shared" si="22"/>
        <v>46023, 5, 1</v>
      </c>
    </row>
    <row r="1433" spans="1:12">
      <c r="A1433" s="9">
        <v>46023</v>
      </c>
      <c r="B1433">
        <v>5</v>
      </c>
      <c r="C1433" s="16" t="s">
        <v>60</v>
      </c>
      <c r="D1433">
        <v>2</v>
      </c>
      <c r="E1433" s="16" t="s">
        <v>40</v>
      </c>
      <c r="F1433" s="18">
        <v>3624</v>
      </c>
      <c r="G1433" s="22">
        <v>151</v>
      </c>
      <c r="H1433" s="18">
        <v>7.14666628845454</v>
      </c>
      <c r="I1433" s="18">
        <v>1079.14660955663</v>
      </c>
      <c r="J1433" s="18">
        <v>2544.8533904433598</v>
      </c>
      <c r="K1433" s="22">
        <v>0</v>
      </c>
      <c r="L1433" s="22" t="str">
        <f t="shared" si="22"/>
        <v>46023, 5, 2</v>
      </c>
    </row>
    <row r="1434" spans="1:12">
      <c r="A1434" s="9">
        <v>46023</v>
      </c>
      <c r="B1434">
        <v>5</v>
      </c>
      <c r="C1434" s="16" t="s">
        <v>60</v>
      </c>
      <c r="D1434">
        <v>3</v>
      </c>
      <c r="E1434" s="16" t="s">
        <v>41</v>
      </c>
      <c r="F1434" s="18">
        <v>2700</v>
      </c>
      <c r="G1434" s="22">
        <v>108</v>
      </c>
      <c r="H1434" s="18">
        <v>3.5203064631111101</v>
      </c>
      <c r="I1434" s="18">
        <v>380.193098015999</v>
      </c>
      <c r="J1434" s="18">
        <v>2319.806901984</v>
      </c>
      <c r="K1434" s="22">
        <v>0</v>
      </c>
      <c r="L1434" s="22" t="str">
        <f t="shared" si="22"/>
        <v>46023, 5, 3</v>
      </c>
    </row>
    <row r="1435" spans="1:12">
      <c r="A1435" s="9">
        <v>46023</v>
      </c>
      <c r="B1435">
        <v>5</v>
      </c>
      <c r="C1435" s="16" t="s">
        <v>60</v>
      </c>
      <c r="D1435">
        <v>4</v>
      </c>
      <c r="E1435" s="16" t="s">
        <v>42</v>
      </c>
      <c r="F1435" s="18">
        <v>2173</v>
      </c>
      <c r="G1435" s="22">
        <v>106</v>
      </c>
      <c r="H1435" s="18">
        <v>7.6569582730908996</v>
      </c>
      <c r="I1435" s="18">
        <v>811.63757694763603</v>
      </c>
      <c r="J1435" s="18">
        <v>1361.3624230523601</v>
      </c>
      <c r="K1435" s="22">
        <v>0</v>
      </c>
      <c r="L1435" s="22" t="str">
        <f t="shared" si="22"/>
        <v>46023, 5, 4</v>
      </c>
    </row>
    <row r="1436" spans="1:12">
      <c r="A1436" s="9">
        <v>46023</v>
      </c>
      <c r="B1436">
        <v>5</v>
      </c>
      <c r="C1436" s="16" t="s">
        <v>60</v>
      </c>
      <c r="D1436">
        <v>7</v>
      </c>
      <c r="E1436" s="16" t="s">
        <v>45</v>
      </c>
      <c r="F1436" s="18">
        <v>1123.5</v>
      </c>
      <c r="G1436" s="22">
        <v>107</v>
      </c>
      <c r="H1436" s="18">
        <v>2.9423988825</v>
      </c>
      <c r="I1436" s="18">
        <v>314.83668042750003</v>
      </c>
      <c r="J1436" s="18">
        <v>808.66331957249997</v>
      </c>
      <c r="K1436" s="22">
        <v>0</v>
      </c>
      <c r="L1436" s="22" t="str">
        <f t="shared" si="22"/>
        <v>46023, 5, 7</v>
      </c>
    </row>
    <row r="1437" spans="1:12">
      <c r="A1437" s="9">
        <v>46023</v>
      </c>
      <c r="B1437">
        <v>5</v>
      </c>
      <c r="C1437" s="16" t="s">
        <v>60</v>
      </c>
      <c r="D1437">
        <v>8</v>
      </c>
      <c r="E1437" s="16" t="s">
        <v>46</v>
      </c>
      <c r="F1437" s="18">
        <v>852</v>
      </c>
      <c r="G1437" s="22">
        <v>71</v>
      </c>
      <c r="H1437" s="18">
        <v>0.66819595041666602</v>
      </c>
      <c r="I1437" s="18">
        <v>47.441912479583301</v>
      </c>
      <c r="J1437" s="18">
        <v>804.55808752041605</v>
      </c>
      <c r="K1437" s="22">
        <v>0</v>
      </c>
      <c r="L1437" s="22" t="str">
        <f t="shared" si="22"/>
        <v>46023, 5, 8</v>
      </c>
    </row>
    <row r="1438" spans="1:12">
      <c r="A1438" s="9">
        <v>46023</v>
      </c>
      <c r="B1438">
        <v>5</v>
      </c>
      <c r="C1438" s="16" t="s">
        <v>60</v>
      </c>
      <c r="D1438">
        <v>10</v>
      </c>
      <c r="E1438" s="16" t="s">
        <v>57</v>
      </c>
      <c r="F1438" s="18">
        <v>952</v>
      </c>
      <c r="G1438" s="22">
        <v>68</v>
      </c>
      <c r="H1438" s="18">
        <v>2.2009137253428501</v>
      </c>
      <c r="I1438" s="18">
        <v>149.66213332331401</v>
      </c>
      <c r="J1438" s="18">
        <v>802.33786667668505</v>
      </c>
      <c r="K1438" s="22">
        <v>0</v>
      </c>
      <c r="L1438" s="22" t="str">
        <f t="shared" si="22"/>
        <v>46023, 5, 10</v>
      </c>
    </row>
    <row r="1439" spans="1:12">
      <c r="A1439" s="9">
        <v>46054</v>
      </c>
      <c r="B1439">
        <v>5</v>
      </c>
      <c r="C1439" s="16" t="s">
        <v>60</v>
      </c>
      <c r="D1439">
        <v>1</v>
      </c>
      <c r="E1439" s="16" t="s">
        <v>38</v>
      </c>
      <c r="F1439" s="18">
        <v>2945.5</v>
      </c>
      <c r="G1439" s="22">
        <v>137</v>
      </c>
      <c r="H1439" s="18">
        <v>4.26882934615384</v>
      </c>
      <c r="I1439" s="18">
        <v>584.82962042307599</v>
      </c>
      <c r="J1439" s="18">
        <v>2360.6703795769199</v>
      </c>
      <c r="K1439" s="22">
        <v>0</v>
      </c>
      <c r="L1439" s="22" t="str">
        <f t="shared" si="22"/>
        <v>46054, 5, 1</v>
      </c>
    </row>
    <row r="1440" spans="1:12">
      <c r="A1440" s="9">
        <v>46054</v>
      </c>
      <c r="B1440">
        <v>5</v>
      </c>
      <c r="C1440" s="16" t="s">
        <v>60</v>
      </c>
      <c r="D1440">
        <v>2</v>
      </c>
      <c r="E1440" s="16" t="s">
        <v>40</v>
      </c>
      <c r="F1440" s="18">
        <v>3744</v>
      </c>
      <c r="G1440" s="22">
        <v>156</v>
      </c>
      <c r="H1440" s="18">
        <v>7.2373783063000001</v>
      </c>
      <c r="I1440" s="18">
        <v>1129.0310157828001</v>
      </c>
      <c r="J1440" s="18">
        <v>2614.9689842172002</v>
      </c>
      <c r="K1440" s="22">
        <v>0</v>
      </c>
      <c r="L1440" s="22" t="str">
        <f t="shared" si="22"/>
        <v>46054, 5, 2</v>
      </c>
    </row>
    <row r="1441" spans="1:12">
      <c r="A1441" s="9">
        <v>46054</v>
      </c>
      <c r="B1441">
        <v>5</v>
      </c>
      <c r="C1441" s="16" t="s">
        <v>60</v>
      </c>
      <c r="D1441">
        <v>3</v>
      </c>
      <c r="E1441" s="16" t="s">
        <v>41</v>
      </c>
      <c r="F1441" s="18">
        <v>2575</v>
      </c>
      <c r="G1441" s="22">
        <v>103</v>
      </c>
      <c r="H1441" s="18">
        <v>3.5162982703750001</v>
      </c>
      <c r="I1441" s="18">
        <v>362.178721848625</v>
      </c>
      <c r="J1441" s="18">
        <v>2212.8212781513698</v>
      </c>
      <c r="K1441" s="22">
        <v>0</v>
      </c>
      <c r="L1441" s="22" t="str">
        <f t="shared" si="22"/>
        <v>46054, 5, 3</v>
      </c>
    </row>
    <row r="1442" spans="1:12">
      <c r="A1442" s="9">
        <v>46054</v>
      </c>
      <c r="B1442">
        <v>5</v>
      </c>
      <c r="C1442" s="16" t="s">
        <v>60</v>
      </c>
      <c r="D1442">
        <v>4</v>
      </c>
      <c r="E1442" s="16" t="s">
        <v>42</v>
      </c>
      <c r="F1442" s="18">
        <v>2316.5</v>
      </c>
      <c r="G1442" s="22">
        <v>113</v>
      </c>
      <c r="H1442" s="18">
        <v>7.6614406472000001</v>
      </c>
      <c r="I1442" s="18">
        <v>865.7427931336</v>
      </c>
      <c r="J1442" s="18">
        <v>1450.7572068664001</v>
      </c>
      <c r="K1442" s="22">
        <v>0</v>
      </c>
      <c r="L1442" s="22" t="str">
        <f t="shared" si="22"/>
        <v>46054, 5, 4</v>
      </c>
    </row>
    <row r="1443" spans="1:12">
      <c r="A1443" s="9">
        <v>46054</v>
      </c>
      <c r="B1443">
        <v>5</v>
      </c>
      <c r="C1443" s="16" t="s">
        <v>60</v>
      </c>
      <c r="D1443">
        <v>7</v>
      </c>
      <c r="E1443" s="16" t="s">
        <v>45</v>
      </c>
      <c r="F1443" s="18">
        <v>1344</v>
      </c>
      <c r="G1443" s="22">
        <v>128</v>
      </c>
      <c r="H1443" s="18">
        <v>2.9558140763888798</v>
      </c>
      <c r="I1443" s="18">
        <v>378.34420177777702</v>
      </c>
      <c r="J1443" s="18">
        <v>965.65579822222196</v>
      </c>
      <c r="K1443" s="22">
        <v>0</v>
      </c>
      <c r="L1443" s="22" t="str">
        <f t="shared" si="22"/>
        <v>46054, 5, 7</v>
      </c>
    </row>
    <row r="1444" spans="1:12">
      <c r="A1444" s="9">
        <v>46054</v>
      </c>
      <c r="B1444">
        <v>5</v>
      </c>
      <c r="C1444" s="16" t="s">
        <v>60</v>
      </c>
      <c r="D1444">
        <v>8</v>
      </c>
      <c r="E1444" s="16" t="s">
        <v>46</v>
      </c>
      <c r="F1444" s="18">
        <v>1056</v>
      </c>
      <c r="G1444" s="22">
        <v>88</v>
      </c>
      <c r="H1444" s="18">
        <v>0.66919785142857102</v>
      </c>
      <c r="I1444" s="18">
        <v>58.889410925714202</v>
      </c>
      <c r="J1444" s="18">
        <v>997.11058907428503</v>
      </c>
      <c r="K1444" s="22">
        <v>0</v>
      </c>
      <c r="L1444" s="22" t="str">
        <f t="shared" si="22"/>
        <v>46054, 5, 8</v>
      </c>
    </row>
    <row r="1445" spans="1:12">
      <c r="A1445" s="9">
        <v>46054</v>
      </c>
      <c r="B1445">
        <v>5</v>
      </c>
      <c r="C1445" s="16" t="s">
        <v>60</v>
      </c>
      <c r="D1445">
        <v>10</v>
      </c>
      <c r="E1445" s="16" t="s">
        <v>57</v>
      </c>
      <c r="F1445" s="18">
        <v>1022</v>
      </c>
      <c r="G1445" s="22">
        <v>73</v>
      </c>
      <c r="H1445" s="18">
        <v>2.15211771312307</v>
      </c>
      <c r="I1445" s="18">
        <v>157.104593057984</v>
      </c>
      <c r="J1445" s="18">
        <v>864.89540694201503</v>
      </c>
      <c r="K1445" s="22">
        <v>0</v>
      </c>
      <c r="L1445" s="22" t="str">
        <f t="shared" si="22"/>
        <v>46054, 5, 10</v>
      </c>
    </row>
    <row r="1446" spans="1:12">
      <c r="A1446" s="9">
        <v>46054</v>
      </c>
      <c r="B1446">
        <v>5</v>
      </c>
      <c r="C1446" s="16" t="s">
        <v>60</v>
      </c>
      <c r="D1446">
        <v>11</v>
      </c>
      <c r="E1446" s="16" t="s">
        <v>48</v>
      </c>
      <c r="F1446" s="18">
        <v>2688</v>
      </c>
      <c r="G1446" s="22">
        <v>128</v>
      </c>
      <c r="H1446" s="18">
        <v>2.06556546875</v>
      </c>
      <c r="I1446" s="18">
        <v>264.39238</v>
      </c>
      <c r="J1446" s="18">
        <v>2423.6076200000002</v>
      </c>
      <c r="K1446" s="22">
        <v>0</v>
      </c>
      <c r="L1446" s="22" t="str">
        <f t="shared" si="22"/>
        <v>46054, 5, 11</v>
      </c>
    </row>
    <row r="1447" spans="1:12">
      <c r="A1447" s="9">
        <v>46054</v>
      </c>
      <c r="B1447">
        <v>5</v>
      </c>
      <c r="C1447" s="16" t="s">
        <v>60</v>
      </c>
      <c r="D1447">
        <v>12</v>
      </c>
      <c r="E1447" s="16" t="s">
        <v>49</v>
      </c>
      <c r="F1447" s="18">
        <v>2042.5</v>
      </c>
      <c r="G1447" s="22">
        <v>95</v>
      </c>
      <c r="H1447" s="18">
        <v>2.55438560275</v>
      </c>
      <c r="I1447" s="18">
        <v>242.66663226124999</v>
      </c>
      <c r="J1447" s="18">
        <v>1799.83336773875</v>
      </c>
      <c r="K1447" s="22">
        <v>0</v>
      </c>
      <c r="L1447" s="22" t="str">
        <f t="shared" si="22"/>
        <v>46054, 5, 12</v>
      </c>
    </row>
    <row r="1448" spans="1:12">
      <c r="A1448" s="9">
        <v>46054</v>
      </c>
      <c r="B1448">
        <v>5</v>
      </c>
      <c r="C1448" s="16" t="s">
        <v>60</v>
      </c>
      <c r="D1448">
        <v>13</v>
      </c>
      <c r="E1448" s="16" t="s">
        <v>50</v>
      </c>
      <c r="F1448" s="18">
        <v>2497.5</v>
      </c>
      <c r="G1448" s="22">
        <v>111</v>
      </c>
      <c r="H1448" s="18">
        <v>7.0099576666666596</v>
      </c>
      <c r="I1448" s="18">
        <v>778.10530100000005</v>
      </c>
      <c r="J1448" s="18">
        <v>1719.3946989999899</v>
      </c>
      <c r="K1448" s="22">
        <v>0</v>
      </c>
      <c r="L1448" s="22" t="str">
        <f t="shared" si="22"/>
        <v>46054, 5, 13</v>
      </c>
    </row>
    <row r="1449" spans="1:12">
      <c r="A1449" s="9">
        <v>46054</v>
      </c>
      <c r="B1449">
        <v>5</v>
      </c>
      <c r="C1449" s="16" t="s">
        <v>60</v>
      </c>
      <c r="D1449">
        <v>14</v>
      </c>
      <c r="E1449" s="16" t="s">
        <v>51</v>
      </c>
      <c r="F1449" s="18">
        <v>2227.5</v>
      </c>
      <c r="G1449" s="22">
        <v>81</v>
      </c>
      <c r="H1449" s="18">
        <v>4.7482501921458304</v>
      </c>
      <c r="I1449" s="18">
        <v>384.60826556381198</v>
      </c>
      <c r="J1449" s="18">
        <v>1842.8917344361801</v>
      </c>
      <c r="K1449" s="22">
        <v>0</v>
      </c>
      <c r="L1449" s="22" t="str">
        <f t="shared" si="22"/>
        <v>46054, 5, 14</v>
      </c>
    </row>
    <row r="1450" spans="1:12">
      <c r="A1450" s="9">
        <v>46054</v>
      </c>
      <c r="B1450">
        <v>5</v>
      </c>
      <c r="C1450" s="16" t="s">
        <v>60</v>
      </c>
      <c r="D1450">
        <v>15</v>
      </c>
      <c r="E1450" s="16" t="s">
        <v>52</v>
      </c>
      <c r="F1450" s="18">
        <v>3360</v>
      </c>
      <c r="G1450" s="22">
        <v>140</v>
      </c>
      <c r="H1450" s="18">
        <v>2.8344850940000001</v>
      </c>
      <c r="I1450" s="18">
        <v>396.82791315999998</v>
      </c>
      <c r="J1450" s="18">
        <v>2963.1720868399998</v>
      </c>
      <c r="K1450" s="22">
        <v>0</v>
      </c>
      <c r="L1450" s="22" t="str">
        <f t="shared" si="22"/>
        <v>46054, 5, 15</v>
      </c>
    </row>
    <row r="1451" spans="1:12">
      <c r="A1451" s="9">
        <v>46054</v>
      </c>
      <c r="B1451">
        <v>5</v>
      </c>
      <c r="C1451" s="16" t="s">
        <v>60</v>
      </c>
      <c r="D1451">
        <v>16</v>
      </c>
      <c r="E1451" s="16" t="s">
        <v>53</v>
      </c>
      <c r="F1451" s="18">
        <v>1125</v>
      </c>
      <c r="G1451" s="22">
        <v>125</v>
      </c>
      <c r="H1451" s="18">
        <v>1.62164864621212</v>
      </c>
      <c r="I1451" s="18">
        <v>202.70608077651499</v>
      </c>
      <c r="J1451" s="18">
        <v>922.29391922348395</v>
      </c>
      <c r="K1451" s="22">
        <v>0</v>
      </c>
      <c r="L1451" s="22" t="str">
        <f t="shared" si="22"/>
        <v>46054, 5, 16</v>
      </c>
    </row>
    <row r="1452" spans="1:12">
      <c r="A1452" s="9">
        <v>46054</v>
      </c>
      <c r="B1452">
        <v>5</v>
      </c>
      <c r="C1452" s="16" t="s">
        <v>60</v>
      </c>
      <c r="D1452">
        <v>17</v>
      </c>
      <c r="E1452" s="16" t="s">
        <v>54</v>
      </c>
      <c r="F1452" s="18">
        <v>727.5</v>
      </c>
      <c r="G1452" s="22">
        <v>97</v>
      </c>
      <c r="H1452" s="18">
        <v>1.4772368250000001</v>
      </c>
      <c r="I1452" s="18">
        <v>143.29197202500001</v>
      </c>
      <c r="J1452" s="18">
        <v>584.20802797500005</v>
      </c>
      <c r="K1452" s="22">
        <v>0</v>
      </c>
      <c r="L1452" s="22" t="str">
        <f t="shared" si="22"/>
        <v>46054, 5, 17</v>
      </c>
    </row>
    <row r="1453" spans="1:12">
      <c r="A1453" s="9">
        <v>46054</v>
      </c>
      <c r="B1453">
        <v>5</v>
      </c>
      <c r="C1453" s="16" t="s">
        <v>60</v>
      </c>
      <c r="D1453">
        <v>18</v>
      </c>
      <c r="E1453" s="16" t="s">
        <v>55</v>
      </c>
      <c r="F1453" s="18">
        <v>1150</v>
      </c>
      <c r="G1453" s="22">
        <v>50</v>
      </c>
      <c r="H1453" s="18">
        <v>6.1108285747968702</v>
      </c>
      <c r="I1453" s="18">
        <v>305.54142873984301</v>
      </c>
      <c r="J1453" s="18">
        <v>844.45857126015596</v>
      </c>
      <c r="K1453" s="22">
        <v>0</v>
      </c>
      <c r="L1453" s="22" t="str">
        <f t="shared" si="22"/>
        <v>46054, 5, 18</v>
      </c>
    </row>
    <row r="1454" spans="1:12">
      <c r="A1454" s="9">
        <v>46082</v>
      </c>
      <c r="B1454">
        <v>5</v>
      </c>
      <c r="C1454" s="16" t="s">
        <v>60</v>
      </c>
      <c r="D1454">
        <v>11</v>
      </c>
      <c r="E1454" s="16" t="s">
        <v>48</v>
      </c>
      <c r="F1454" s="18">
        <v>3486</v>
      </c>
      <c r="G1454" s="22">
        <v>166</v>
      </c>
      <c r="H1454" s="18">
        <v>2.07275101785714</v>
      </c>
      <c r="I1454" s="18">
        <v>344.07666896428498</v>
      </c>
      <c r="J1454" s="18">
        <v>3141.9233310357099</v>
      </c>
      <c r="K1454" s="22">
        <v>0</v>
      </c>
      <c r="L1454" s="22" t="str">
        <f t="shared" si="22"/>
        <v>46082, 5, 11</v>
      </c>
    </row>
    <row r="1455" spans="1:12">
      <c r="A1455" s="9">
        <v>46082</v>
      </c>
      <c r="B1455">
        <v>5</v>
      </c>
      <c r="C1455" s="16" t="s">
        <v>60</v>
      </c>
      <c r="D1455">
        <v>12</v>
      </c>
      <c r="E1455" s="16" t="s">
        <v>49</v>
      </c>
      <c r="F1455" s="18">
        <v>2408</v>
      </c>
      <c r="G1455" s="22">
        <v>112</v>
      </c>
      <c r="H1455" s="18">
        <v>2.59389290738235</v>
      </c>
      <c r="I1455" s="18">
        <v>290.51600562682302</v>
      </c>
      <c r="J1455" s="18">
        <v>2117.4839943731699</v>
      </c>
      <c r="K1455" s="22">
        <v>0</v>
      </c>
      <c r="L1455" s="22" t="str">
        <f t="shared" si="22"/>
        <v>46082, 5, 12</v>
      </c>
    </row>
    <row r="1456" spans="1:12">
      <c r="A1456" s="9">
        <v>46082</v>
      </c>
      <c r="B1456">
        <v>5</v>
      </c>
      <c r="C1456" s="16" t="s">
        <v>60</v>
      </c>
      <c r="D1456">
        <v>13</v>
      </c>
      <c r="E1456" s="16" t="s">
        <v>50</v>
      </c>
      <c r="F1456" s="18">
        <v>2430</v>
      </c>
      <c r="G1456" s="22">
        <v>108</v>
      </c>
      <c r="H1456" s="18">
        <v>7.0016288571428502</v>
      </c>
      <c r="I1456" s="18">
        <v>756.17591657142805</v>
      </c>
      <c r="J1456" s="18">
        <v>1673.82408342857</v>
      </c>
      <c r="K1456" s="22">
        <v>0</v>
      </c>
      <c r="L1456" s="22" t="str">
        <f t="shared" si="22"/>
        <v>46082, 5, 13</v>
      </c>
    </row>
    <row r="1457" spans="1:12">
      <c r="A1457" s="9">
        <v>46082</v>
      </c>
      <c r="B1457">
        <v>5</v>
      </c>
      <c r="C1457" s="16" t="s">
        <v>60</v>
      </c>
      <c r="D1457">
        <v>14</v>
      </c>
      <c r="E1457" s="16" t="s">
        <v>51</v>
      </c>
      <c r="F1457" s="18">
        <v>1925</v>
      </c>
      <c r="G1457" s="22">
        <v>70</v>
      </c>
      <c r="H1457" s="18">
        <v>4.8020610420490097</v>
      </c>
      <c r="I1457" s="18">
        <v>336.14427294343102</v>
      </c>
      <c r="J1457" s="18">
        <v>1588.85572705656</v>
      </c>
      <c r="K1457" s="22">
        <v>0</v>
      </c>
      <c r="L1457" s="22" t="str">
        <f t="shared" si="22"/>
        <v>46082, 5, 14</v>
      </c>
    </row>
    <row r="1458" spans="1:12">
      <c r="A1458" s="9">
        <v>46082</v>
      </c>
      <c r="B1458">
        <v>5</v>
      </c>
      <c r="C1458" s="16" t="s">
        <v>60</v>
      </c>
      <c r="D1458">
        <v>15</v>
      </c>
      <c r="E1458" s="16" t="s">
        <v>52</v>
      </c>
      <c r="F1458" s="18">
        <v>3264</v>
      </c>
      <c r="G1458" s="22">
        <v>136</v>
      </c>
      <c r="H1458" s="18">
        <v>2.83537591111764</v>
      </c>
      <c r="I1458" s="18">
        <v>385.61112391199902</v>
      </c>
      <c r="J1458" s="18">
        <v>2878.388876088</v>
      </c>
      <c r="K1458" s="22">
        <v>0</v>
      </c>
      <c r="L1458" s="22" t="str">
        <f t="shared" si="22"/>
        <v>46082, 5, 15</v>
      </c>
    </row>
    <row r="1459" spans="1:12">
      <c r="A1459" s="9">
        <v>46082</v>
      </c>
      <c r="B1459">
        <v>5</v>
      </c>
      <c r="C1459" s="16" t="s">
        <v>60</v>
      </c>
      <c r="D1459">
        <v>16</v>
      </c>
      <c r="E1459" s="16" t="s">
        <v>53</v>
      </c>
      <c r="F1459" s="18">
        <v>945</v>
      </c>
      <c r="G1459" s="22">
        <v>105</v>
      </c>
      <c r="H1459" s="18">
        <v>1.6292686395454501</v>
      </c>
      <c r="I1459" s="18">
        <v>171.073207152272</v>
      </c>
      <c r="J1459" s="18">
        <v>773.92679284772703</v>
      </c>
      <c r="K1459" s="22">
        <v>0</v>
      </c>
      <c r="L1459" s="22" t="str">
        <f t="shared" si="22"/>
        <v>46082, 5, 16</v>
      </c>
    </row>
    <row r="1460" spans="1:12">
      <c r="A1460" s="9">
        <v>46082</v>
      </c>
      <c r="B1460">
        <v>5</v>
      </c>
      <c r="C1460" s="16" t="s">
        <v>60</v>
      </c>
      <c r="D1460">
        <v>17</v>
      </c>
      <c r="E1460" s="16" t="s">
        <v>54</v>
      </c>
      <c r="F1460" s="18">
        <v>937.5</v>
      </c>
      <c r="G1460" s="22">
        <v>125</v>
      </c>
      <c r="H1460" s="18">
        <v>1.4786515965</v>
      </c>
      <c r="I1460" s="18">
        <v>184.83144956250001</v>
      </c>
      <c r="J1460" s="18">
        <v>752.66855043750002</v>
      </c>
      <c r="K1460" s="22">
        <v>0</v>
      </c>
      <c r="L1460" s="22" t="str">
        <f t="shared" si="22"/>
        <v>46082, 5, 17</v>
      </c>
    </row>
    <row r="1461" spans="1:12">
      <c r="A1461" s="9">
        <v>46082</v>
      </c>
      <c r="B1461">
        <v>5</v>
      </c>
      <c r="C1461" s="16" t="s">
        <v>60</v>
      </c>
      <c r="D1461">
        <v>18</v>
      </c>
      <c r="E1461" s="16" t="s">
        <v>55</v>
      </c>
      <c r="F1461" s="18">
        <v>1472</v>
      </c>
      <c r="G1461" s="22">
        <v>64</v>
      </c>
      <c r="H1461" s="18">
        <v>6.1313591289705798</v>
      </c>
      <c r="I1461" s="18">
        <v>392.40698425411699</v>
      </c>
      <c r="J1461" s="18">
        <v>1079.5930157458799</v>
      </c>
      <c r="K1461" s="22">
        <v>0</v>
      </c>
      <c r="L1461" s="22" t="str">
        <f t="shared" si="22"/>
        <v>46082, 5, 18</v>
      </c>
    </row>
    <row r="1462" spans="1:12">
      <c r="A1462" s="9">
        <v>46082</v>
      </c>
      <c r="B1462">
        <v>5</v>
      </c>
      <c r="C1462" s="16" t="s">
        <v>60</v>
      </c>
      <c r="D1462">
        <v>1</v>
      </c>
      <c r="E1462" s="16" t="s">
        <v>38</v>
      </c>
      <c r="F1462" s="18">
        <v>3182</v>
      </c>
      <c r="G1462" s="22">
        <v>148</v>
      </c>
      <c r="H1462" s="18">
        <v>4.3289644166666603</v>
      </c>
      <c r="I1462" s="18">
        <v>640.68673366666599</v>
      </c>
      <c r="J1462" s="18">
        <v>2541.3132663333299</v>
      </c>
      <c r="K1462" s="22">
        <v>0</v>
      </c>
      <c r="L1462" s="22" t="str">
        <f t="shared" si="22"/>
        <v>46082, 5, 1</v>
      </c>
    </row>
    <row r="1463" spans="1:12">
      <c r="A1463" s="9">
        <v>46082</v>
      </c>
      <c r="B1463">
        <v>5</v>
      </c>
      <c r="C1463" s="16" t="s">
        <v>60</v>
      </c>
      <c r="D1463">
        <v>2</v>
      </c>
      <c r="E1463" s="16" t="s">
        <v>40</v>
      </c>
      <c r="F1463" s="18">
        <v>4152</v>
      </c>
      <c r="G1463" s="22">
        <v>173</v>
      </c>
      <c r="H1463" s="18">
        <v>7.1819864210000004</v>
      </c>
      <c r="I1463" s="18">
        <v>1242.483650833</v>
      </c>
      <c r="J1463" s="18">
        <v>2909.516349167</v>
      </c>
      <c r="K1463" s="22">
        <v>0</v>
      </c>
      <c r="L1463" s="22" t="str">
        <f t="shared" si="22"/>
        <v>46082, 5, 2</v>
      </c>
    </row>
    <row r="1464" spans="1:12">
      <c r="A1464" s="9">
        <v>46082</v>
      </c>
      <c r="B1464">
        <v>5</v>
      </c>
      <c r="C1464" s="16" t="s">
        <v>60</v>
      </c>
      <c r="D1464">
        <v>3</v>
      </c>
      <c r="E1464" s="16" t="s">
        <v>41</v>
      </c>
      <c r="F1464" s="18">
        <v>2675</v>
      </c>
      <c r="G1464" s="22">
        <v>107</v>
      </c>
      <c r="H1464" s="18">
        <v>3.4987622875294102</v>
      </c>
      <c r="I1464" s="18">
        <v>374.36756476564699</v>
      </c>
      <c r="J1464" s="18">
        <v>2300.6324352343499</v>
      </c>
      <c r="K1464" s="22">
        <v>0</v>
      </c>
      <c r="L1464" s="22" t="str">
        <f t="shared" si="22"/>
        <v>46082, 5, 3</v>
      </c>
    </row>
    <row r="1465" spans="1:12">
      <c r="A1465" s="9">
        <v>46082</v>
      </c>
      <c r="B1465">
        <v>5</v>
      </c>
      <c r="C1465" s="16" t="s">
        <v>60</v>
      </c>
      <c r="D1465">
        <v>4</v>
      </c>
      <c r="E1465" s="16" t="s">
        <v>42</v>
      </c>
      <c r="F1465" s="18">
        <v>2706</v>
      </c>
      <c r="G1465" s="22">
        <v>132</v>
      </c>
      <c r="H1465" s="18">
        <v>7.5188896796363602</v>
      </c>
      <c r="I1465" s="18">
        <v>992.49343771199995</v>
      </c>
      <c r="J1465" s="18">
        <v>1713.5065622879899</v>
      </c>
      <c r="K1465" s="22">
        <v>0</v>
      </c>
      <c r="L1465" s="22" t="str">
        <f t="shared" si="22"/>
        <v>46082, 5, 4</v>
      </c>
    </row>
    <row r="1466" spans="1:12">
      <c r="A1466" s="9">
        <v>46082</v>
      </c>
      <c r="B1466">
        <v>5</v>
      </c>
      <c r="C1466" s="16" t="s">
        <v>60</v>
      </c>
      <c r="D1466">
        <v>7</v>
      </c>
      <c r="E1466" s="16" t="s">
        <v>45</v>
      </c>
      <c r="F1466" s="18">
        <v>1144.5</v>
      </c>
      <c r="G1466" s="22">
        <v>109</v>
      </c>
      <c r="H1466" s="18">
        <v>2.9724374334722201</v>
      </c>
      <c r="I1466" s="18">
        <v>323.99568024847201</v>
      </c>
      <c r="J1466" s="18">
        <v>820.50431975152696</v>
      </c>
      <c r="K1466" s="22">
        <v>0</v>
      </c>
      <c r="L1466" s="22" t="str">
        <f t="shared" si="22"/>
        <v>46082, 5, 7</v>
      </c>
    </row>
    <row r="1467" spans="1:12">
      <c r="A1467" s="9">
        <v>46082</v>
      </c>
      <c r="B1467">
        <v>5</v>
      </c>
      <c r="C1467" s="16" t="s">
        <v>60</v>
      </c>
      <c r="D1467">
        <v>8</v>
      </c>
      <c r="E1467" s="16" t="s">
        <v>46</v>
      </c>
      <c r="F1467" s="18">
        <v>1056</v>
      </c>
      <c r="G1467" s="22">
        <v>88</v>
      </c>
      <c r="H1467" s="18">
        <v>0.69873928022222198</v>
      </c>
      <c r="I1467" s="18">
        <v>61.489056659555501</v>
      </c>
      <c r="J1467" s="18">
        <v>994.51094334044399</v>
      </c>
      <c r="K1467" s="22">
        <v>0</v>
      </c>
      <c r="L1467" s="22" t="str">
        <f t="shared" si="22"/>
        <v>46082, 5, 8</v>
      </c>
    </row>
    <row r="1468" spans="1:12">
      <c r="A1468" s="9">
        <v>46082</v>
      </c>
      <c r="B1468">
        <v>5</v>
      </c>
      <c r="C1468" s="16" t="s">
        <v>60</v>
      </c>
      <c r="D1468">
        <v>10</v>
      </c>
      <c r="E1468" s="16" t="s">
        <v>57</v>
      </c>
      <c r="F1468" s="18">
        <v>1148</v>
      </c>
      <c r="G1468" s="22">
        <v>82</v>
      </c>
      <c r="H1468" s="18">
        <v>2.1046353193384602</v>
      </c>
      <c r="I1468" s="18">
        <v>172.58009618575301</v>
      </c>
      <c r="J1468" s="18">
        <v>975.41990381424603</v>
      </c>
      <c r="K1468" s="22">
        <v>0</v>
      </c>
      <c r="L1468" s="22" t="str">
        <f t="shared" si="22"/>
        <v>46082, 5, 10</v>
      </c>
    </row>
    <row r="1469" spans="1:12">
      <c r="A1469" s="9">
        <v>46113</v>
      </c>
      <c r="B1469">
        <v>5</v>
      </c>
      <c r="C1469" s="16" t="s">
        <v>60</v>
      </c>
      <c r="D1469">
        <v>1</v>
      </c>
      <c r="E1469" s="16" t="s">
        <v>38</v>
      </c>
      <c r="F1469" s="18">
        <v>3375.5</v>
      </c>
      <c r="G1469" s="22">
        <v>157</v>
      </c>
      <c r="H1469" s="18">
        <v>4.3407518571428501</v>
      </c>
      <c r="I1469" s="18">
        <v>681.49804157142796</v>
      </c>
      <c r="J1469" s="18">
        <v>2694.0019584285701</v>
      </c>
      <c r="K1469" s="22">
        <v>0</v>
      </c>
      <c r="L1469" s="22" t="str">
        <f t="shared" si="22"/>
        <v>46113, 5, 1</v>
      </c>
    </row>
    <row r="1470" spans="1:12">
      <c r="A1470" s="9">
        <v>46113</v>
      </c>
      <c r="B1470">
        <v>5</v>
      </c>
      <c r="C1470" s="16" t="s">
        <v>60</v>
      </c>
      <c r="D1470">
        <v>2</v>
      </c>
      <c r="E1470" s="16" t="s">
        <v>40</v>
      </c>
      <c r="F1470" s="18">
        <v>4032</v>
      </c>
      <c r="G1470" s="22">
        <v>168</v>
      </c>
      <c r="H1470" s="18">
        <v>7.2560977633636297</v>
      </c>
      <c r="I1470" s="18">
        <v>1219.0244242450899</v>
      </c>
      <c r="J1470" s="18">
        <v>2812.9755757549001</v>
      </c>
      <c r="K1470" s="22">
        <v>0</v>
      </c>
      <c r="L1470" s="22" t="str">
        <f t="shared" si="22"/>
        <v>46113, 5, 2</v>
      </c>
    </row>
    <row r="1471" spans="1:12">
      <c r="A1471" s="9">
        <v>46113</v>
      </c>
      <c r="B1471">
        <v>5</v>
      </c>
      <c r="C1471" s="16" t="s">
        <v>60</v>
      </c>
      <c r="D1471">
        <v>3</v>
      </c>
      <c r="E1471" s="16" t="s">
        <v>41</v>
      </c>
      <c r="F1471" s="18">
        <v>2075</v>
      </c>
      <c r="G1471" s="22">
        <v>83</v>
      </c>
      <c r="H1471" s="18">
        <v>3.5202460868888799</v>
      </c>
      <c r="I1471" s="18">
        <v>292.18042521177699</v>
      </c>
      <c r="J1471" s="18">
        <v>1782.8195747882201</v>
      </c>
      <c r="K1471" s="22">
        <v>0</v>
      </c>
      <c r="L1471" s="22" t="str">
        <f t="shared" si="22"/>
        <v>46113, 5, 3</v>
      </c>
    </row>
    <row r="1472" spans="1:12">
      <c r="A1472" s="9">
        <v>46113</v>
      </c>
      <c r="B1472">
        <v>5</v>
      </c>
      <c r="C1472" s="16" t="s">
        <v>60</v>
      </c>
      <c r="D1472">
        <v>4</v>
      </c>
      <c r="E1472" s="16" t="s">
        <v>42</v>
      </c>
      <c r="F1472" s="18">
        <v>2767.5</v>
      </c>
      <c r="G1472" s="22">
        <v>135</v>
      </c>
      <c r="H1472" s="18">
        <v>7.4454378136363601</v>
      </c>
      <c r="I1472" s="18">
        <v>1005.1341048409</v>
      </c>
      <c r="J1472" s="18">
        <v>1762.3658951590901</v>
      </c>
      <c r="K1472" s="22">
        <v>0</v>
      </c>
      <c r="L1472" s="22" t="str">
        <f t="shared" si="22"/>
        <v>46113, 5, 4</v>
      </c>
    </row>
    <row r="1473" spans="1:12">
      <c r="A1473" s="9">
        <v>46113</v>
      </c>
      <c r="B1473">
        <v>5</v>
      </c>
      <c r="C1473" s="16" t="s">
        <v>60</v>
      </c>
      <c r="D1473">
        <v>7</v>
      </c>
      <c r="E1473" s="16" t="s">
        <v>45</v>
      </c>
      <c r="F1473" s="18">
        <v>1060.5</v>
      </c>
      <c r="G1473" s="22">
        <v>101</v>
      </c>
      <c r="H1473" s="18">
        <v>2.9766091634374998</v>
      </c>
      <c r="I1473" s="18">
        <v>300.63752550718698</v>
      </c>
      <c r="J1473" s="18">
        <v>759.862474492812</v>
      </c>
      <c r="K1473" s="22">
        <v>0</v>
      </c>
      <c r="L1473" s="22" t="str">
        <f t="shared" si="22"/>
        <v>46113, 5, 7</v>
      </c>
    </row>
    <row r="1474" spans="1:12">
      <c r="A1474" s="9">
        <v>46113</v>
      </c>
      <c r="B1474">
        <v>5</v>
      </c>
      <c r="C1474" s="16" t="s">
        <v>60</v>
      </c>
      <c r="D1474">
        <v>8</v>
      </c>
      <c r="E1474" s="16" t="s">
        <v>46</v>
      </c>
      <c r="F1474" s="18">
        <v>732</v>
      </c>
      <c r="G1474" s="22">
        <v>61</v>
      </c>
      <c r="H1474" s="18">
        <v>0.71058509311111095</v>
      </c>
      <c r="I1474" s="18">
        <v>43.345690679777697</v>
      </c>
      <c r="J1474" s="18">
        <v>688.65430932022196</v>
      </c>
      <c r="K1474" s="22">
        <v>0</v>
      </c>
      <c r="L1474" s="22" t="str">
        <f t="shared" si="22"/>
        <v>46113, 5, 8</v>
      </c>
    </row>
    <row r="1475" spans="1:12">
      <c r="A1475" s="9">
        <v>46113</v>
      </c>
      <c r="B1475">
        <v>5</v>
      </c>
      <c r="C1475" s="16" t="s">
        <v>60</v>
      </c>
      <c r="D1475">
        <v>10</v>
      </c>
      <c r="E1475" s="16" t="s">
        <v>57</v>
      </c>
      <c r="F1475" s="18">
        <v>1022</v>
      </c>
      <c r="G1475" s="22">
        <v>73</v>
      </c>
      <c r="H1475" s="18">
        <v>1.9929905062857101</v>
      </c>
      <c r="I1475" s="18">
        <v>145.48830695885701</v>
      </c>
      <c r="J1475" s="18">
        <v>876.51169304114205</v>
      </c>
      <c r="K1475" s="22">
        <v>0</v>
      </c>
      <c r="L1475" s="22" t="str">
        <f t="shared" ref="L1475:L1538" si="23">(A1475&amp; ", "&amp; B1475&amp; ", "&amp; D1475)</f>
        <v>46113, 5, 10</v>
      </c>
    </row>
    <row r="1476" spans="1:12">
      <c r="A1476" s="9">
        <v>46113</v>
      </c>
      <c r="B1476">
        <v>5</v>
      </c>
      <c r="C1476" s="16" t="s">
        <v>60</v>
      </c>
      <c r="D1476">
        <v>11</v>
      </c>
      <c r="E1476" s="16" t="s">
        <v>48</v>
      </c>
      <c r="F1476" s="18">
        <v>2835</v>
      </c>
      <c r="G1476" s="22">
        <v>135</v>
      </c>
      <c r="H1476" s="18">
        <v>2.0829654464285698</v>
      </c>
      <c r="I1476" s="18">
        <v>281.20033526785699</v>
      </c>
      <c r="J1476" s="18">
        <v>2553.7996647321402</v>
      </c>
      <c r="K1476" s="22">
        <v>0</v>
      </c>
      <c r="L1476" s="22" t="str">
        <f t="shared" si="23"/>
        <v>46113, 5, 11</v>
      </c>
    </row>
    <row r="1477" spans="1:12">
      <c r="A1477" s="9">
        <v>46113</v>
      </c>
      <c r="B1477">
        <v>5</v>
      </c>
      <c r="C1477" s="16" t="s">
        <v>60</v>
      </c>
      <c r="D1477">
        <v>12</v>
      </c>
      <c r="E1477" s="16" t="s">
        <v>49</v>
      </c>
      <c r="F1477" s="18">
        <v>1913.5</v>
      </c>
      <c r="G1477" s="22">
        <v>89</v>
      </c>
      <c r="H1477" s="18">
        <v>2.6253636231666602</v>
      </c>
      <c r="I1477" s="18">
        <v>233.657362461833</v>
      </c>
      <c r="J1477" s="18">
        <v>1679.84263753816</v>
      </c>
      <c r="K1477" s="22">
        <v>0</v>
      </c>
      <c r="L1477" s="22" t="str">
        <f t="shared" si="23"/>
        <v>46113, 5, 12</v>
      </c>
    </row>
    <row r="1478" spans="1:12">
      <c r="A1478" s="9">
        <v>46113</v>
      </c>
      <c r="B1478">
        <v>5</v>
      </c>
      <c r="C1478" s="16" t="s">
        <v>60</v>
      </c>
      <c r="D1478">
        <v>13</v>
      </c>
      <c r="E1478" s="16" t="s">
        <v>50</v>
      </c>
      <c r="F1478" s="18">
        <v>1957.5</v>
      </c>
      <c r="G1478" s="22">
        <v>87</v>
      </c>
      <c r="H1478" s="18">
        <v>7.0205998461538401</v>
      </c>
      <c r="I1478" s="18">
        <v>610.79218661538403</v>
      </c>
      <c r="J1478" s="18">
        <v>1346.7078133846101</v>
      </c>
      <c r="K1478" s="22">
        <v>0</v>
      </c>
      <c r="L1478" s="22" t="str">
        <f t="shared" si="23"/>
        <v>46113, 5, 13</v>
      </c>
    </row>
    <row r="1479" spans="1:12">
      <c r="A1479" s="9">
        <v>46113</v>
      </c>
      <c r="B1479">
        <v>5</v>
      </c>
      <c r="C1479" s="16" t="s">
        <v>60</v>
      </c>
      <c r="D1479">
        <v>14</v>
      </c>
      <c r="E1479" s="16" t="s">
        <v>51</v>
      </c>
      <c r="F1479" s="18">
        <v>1622.5</v>
      </c>
      <c r="G1479" s="22">
        <v>59</v>
      </c>
      <c r="H1479" s="18">
        <v>4.7588798629999998</v>
      </c>
      <c r="I1479" s="18">
        <v>280.77391191700002</v>
      </c>
      <c r="J1479" s="18">
        <v>1341.7260880829899</v>
      </c>
      <c r="K1479" s="22">
        <v>0</v>
      </c>
      <c r="L1479" s="22" t="str">
        <f t="shared" si="23"/>
        <v>46113, 5, 14</v>
      </c>
    </row>
    <row r="1480" spans="1:12">
      <c r="A1480" s="9">
        <v>46113</v>
      </c>
      <c r="B1480">
        <v>5</v>
      </c>
      <c r="C1480" s="16" t="s">
        <v>60</v>
      </c>
      <c r="D1480">
        <v>15</v>
      </c>
      <c r="E1480" s="16" t="s">
        <v>52</v>
      </c>
      <c r="F1480" s="18">
        <v>3072</v>
      </c>
      <c r="G1480" s="22">
        <v>128</v>
      </c>
      <c r="H1480" s="18">
        <v>2.8443478634444399</v>
      </c>
      <c r="I1480" s="18">
        <v>364.07652652088802</v>
      </c>
      <c r="J1480" s="18">
        <v>2707.9234734791098</v>
      </c>
      <c r="K1480" s="22">
        <v>0</v>
      </c>
      <c r="L1480" s="22" t="str">
        <f t="shared" si="23"/>
        <v>46113, 5, 15</v>
      </c>
    </row>
    <row r="1481" spans="1:12">
      <c r="A1481" s="9">
        <v>46113</v>
      </c>
      <c r="B1481">
        <v>5</v>
      </c>
      <c r="C1481" s="16" t="s">
        <v>60</v>
      </c>
      <c r="D1481">
        <v>16</v>
      </c>
      <c r="E1481" s="16" t="s">
        <v>53</v>
      </c>
      <c r="F1481" s="18">
        <v>846</v>
      </c>
      <c r="G1481" s="22">
        <v>94</v>
      </c>
      <c r="H1481" s="18">
        <v>1.6327085959523799</v>
      </c>
      <c r="I1481" s="18">
        <v>153.474608019523</v>
      </c>
      <c r="J1481" s="18">
        <v>692.525391980476</v>
      </c>
      <c r="K1481" s="22">
        <v>0</v>
      </c>
      <c r="L1481" s="22" t="str">
        <f t="shared" si="23"/>
        <v>46113, 5, 16</v>
      </c>
    </row>
    <row r="1482" spans="1:12">
      <c r="A1482" s="9">
        <v>46113</v>
      </c>
      <c r="B1482">
        <v>5</v>
      </c>
      <c r="C1482" s="16" t="s">
        <v>60</v>
      </c>
      <c r="D1482">
        <v>17</v>
      </c>
      <c r="E1482" s="16" t="s">
        <v>54</v>
      </c>
      <c r="F1482" s="18">
        <v>1035</v>
      </c>
      <c r="G1482" s="22">
        <v>138</v>
      </c>
      <c r="H1482" s="18">
        <v>1.47214075625</v>
      </c>
      <c r="I1482" s="18">
        <v>203.15542436250001</v>
      </c>
      <c r="J1482" s="18">
        <v>831.84457563750004</v>
      </c>
      <c r="K1482" s="22">
        <v>0</v>
      </c>
      <c r="L1482" s="22" t="str">
        <f t="shared" si="23"/>
        <v>46113, 5, 17</v>
      </c>
    </row>
    <row r="1483" spans="1:12">
      <c r="A1483" s="9">
        <v>46113</v>
      </c>
      <c r="B1483">
        <v>5</v>
      </c>
      <c r="C1483" s="16" t="s">
        <v>60</v>
      </c>
      <c r="D1483">
        <v>18</v>
      </c>
      <c r="E1483" s="16" t="s">
        <v>55</v>
      </c>
      <c r="F1483" s="18">
        <v>1610</v>
      </c>
      <c r="G1483" s="22">
        <v>70</v>
      </c>
      <c r="H1483" s="18">
        <v>6.1567195916527702</v>
      </c>
      <c r="I1483" s="18">
        <v>430.97037141569399</v>
      </c>
      <c r="J1483" s="18">
        <v>1179.0296285843001</v>
      </c>
      <c r="K1483" s="22">
        <v>0</v>
      </c>
      <c r="L1483" s="22" t="str">
        <f t="shared" si="23"/>
        <v>46113, 5, 18</v>
      </c>
    </row>
    <row r="1484" spans="1:12">
      <c r="A1484" s="9">
        <v>46143</v>
      </c>
      <c r="B1484">
        <v>5</v>
      </c>
      <c r="C1484" s="16" t="s">
        <v>60</v>
      </c>
      <c r="D1484">
        <v>11</v>
      </c>
      <c r="E1484" s="16" t="s">
        <v>48</v>
      </c>
      <c r="F1484" s="18">
        <v>3192</v>
      </c>
      <c r="G1484" s="22">
        <v>152</v>
      </c>
      <c r="H1484" s="18">
        <v>2.0754465416666599</v>
      </c>
      <c r="I1484" s="18">
        <v>315.46787433333299</v>
      </c>
      <c r="J1484" s="18">
        <v>2876.5321256666598</v>
      </c>
      <c r="K1484" s="22">
        <v>0</v>
      </c>
      <c r="L1484" s="22" t="str">
        <f t="shared" si="23"/>
        <v>46143, 5, 11</v>
      </c>
    </row>
    <row r="1485" spans="1:12">
      <c r="A1485" s="9">
        <v>46143</v>
      </c>
      <c r="B1485">
        <v>5</v>
      </c>
      <c r="C1485" s="16" t="s">
        <v>60</v>
      </c>
      <c r="D1485">
        <v>12</v>
      </c>
      <c r="E1485" s="16" t="s">
        <v>49</v>
      </c>
      <c r="F1485" s="18">
        <v>2687.5</v>
      </c>
      <c r="G1485" s="22">
        <v>125</v>
      </c>
      <c r="H1485" s="18">
        <v>2.6000529530000001</v>
      </c>
      <c r="I1485" s="18">
        <v>325.00661912499999</v>
      </c>
      <c r="J1485" s="18">
        <v>2362.4933808750002</v>
      </c>
      <c r="K1485" s="22">
        <v>0</v>
      </c>
      <c r="L1485" s="22" t="str">
        <f t="shared" si="23"/>
        <v>46143, 5, 12</v>
      </c>
    </row>
    <row r="1486" spans="1:12">
      <c r="A1486" s="9">
        <v>46143</v>
      </c>
      <c r="B1486">
        <v>5</v>
      </c>
      <c r="C1486" s="16" t="s">
        <v>60</v>
      </c>
      <c r="D1486">
        <v>13</v>
      </c>
      <c r="E1486" s="16" t="s">
        <v>50</v>
      </c>
      <c r="F1486" s="18">
        <v>1732.5</v>
      </c>
      <c r="G1486" s="22">
        <v>77</v>
      </c>
      <c r="H1486" s="18">
        <v>7.0609802500000001</v>
      </c>
      <c r="I1486" s="18">
        <v>543.69547924999995</v>
      </c>
      <c r="J1486" s="18">
        <v>1188.8045207499999</v>
      </c>
      <c r="K1486" s="22">
        <v>0</v>
      </c>
      <c r="L1486" s="22" t="str">
        <f t="shared" si="23"/>
        <v>46143, 5, 13</v>
      </c>
    </row>
    <row r="1487" spans="1:12">
      <c r="A1487" s="9">
        <v>46143</v>
      </c>
      <c r="B1487">
        <v>5</v>
      </c>
      <c r="C1487" s="16" t="s">
        <v>60</v>
      </c>
      <c r="D1487">
        <v>14</v>
      </c>
      <c r="E1487" s="16" t="s">
        <v>51</v>
      </c>
      <c r="F1487" s="18">
        <v>1677.5</v>
      </c>
      <c r="G1487" s="22">
        <v>61</v>
      </c>
      <c r="H1487" s="18">
        <v>4.7801627213823501</v>
      </c>
      <c r="I1487" s="18">
        <v>291.58992600432299</v>
      </c>
      <c r="J1487" s="18">
        <v>1385.91007399567</v>
      </c>
      <c r="K1487" s="22">
        <v>0</v>
      </c>
      <c r="L1487" s="22" t="str">
        <f t="shared" si="23"/>
        <v>46143, 5, 14</v>
      </c>
    </row>
    <row r="1488" spans="1:12">
      <c r="A1488" s="9">
        <v>46143</v>
      </c>
      <c r="B1488">
        <v>5</v>
      </c>
      <c r="C1488" s="16" t="s">
        <v>60</v>
      </c>
      <c r="D1488">
        <v>15</v>
      </c>
      <c r="E1488" s="16" t="s">
        <v>52</v>
      </c>
      <c r="F1488" s="18">
        <v>3432</v>
      </c>
      <c r="G1488" s="22">
        <v>143</v>
      </c>
      <c r="H1488" s="18">
        <v>2.8249983923529398</v>
      </c>
      <c r="I1488" s="18">
        <v>403.97477010646998</v>
      </c>
      <c r="J1488" s="18">
        <v>3028.0252298935202</v>
      </c>
      <c r="K1488" s="22">
        <v>0</v>
      </c>
      <c r="L1488" s="22" t="str">
        <f t="shared" si="23"/>
        <v>46143, 5, 15</v>
      </c>
    </row>
    <row r="1489" spans="1:12">
      <c r="A1489" s="9">
        <v>46143</v>
      </c>
      <c r="B1489">
        <v>5</v>
      </c>
      <c r="C1489" s="16" t="s">
        <v>60</v>
      </c>
      <c r="D1489">
        <v>16</v>
      </c>
      <c r="E1489" s="16" t="s">
        <v>53</v>
      </c>
      <c r="F1489" s="18">
        <v>720</v>
      </c>
      <c r="G1489" s="22">
        <v>80</v>
      </c>
      <c r="H1489" s="18">
        <v>1.64020087613636</v>
      </c>
      <c r="I1489" s="18">
        <v>131.216070090909</v>
      </c>
      <c r="J1489" s="18">
        <v>588.78392990909003</v>
      </c>
      <c r="K1489" s="22">
        <v>0</v>
      </c>
      <c r="L1489" s="22" t="str">
        <f t="shared" si="23"/>
        <v>46143, 5, 16</v>
      </c>
    </row>
    <row r="1490" spans="1:12">
      <c r="A1490" s="9">
        <v>46143</v>
      </c>
      <c r="B1490">
        <v>5</v>
      </c>
      <c r="C1490" s="16" t="s">
        <v>60</v>
      </c>
      <c r="D1490">
        <v>17</v>
      </c>
      <c r="E1490" s="16" t="s">
        <v>54</v>
      </c>
      <c r="F1490" s="18">
        <v>1185</v>
      </c>
      <c r="G1490" s="22">
        <v>158</v>
      </c>
      <c r="H1490" s="18">
        <v>1.47149431777777</v>
      </c>
      <c r="I1490" s="18">
        <v>232.496102208888</v>
      </c>
      <c r="J1490" s="18">
        <v>952.50389779111094</v>
      </c>
      <c r="K1490" s="22">
        <v>0</v>
      </c>
      <c r="L1490" s="22" t="str">
        <f t="shared" si="23"/>
        <v>46143, 5, 17</v>
      </c>
    </row>
    <row r="1491" spans="1:12">
      <c r="A1491" s="9">
        <v>46143</v>
      </c>
      <c r="B1491">
        <v>5</v>
      </c>
      <c r="C1491" s="16" t="s">
        <v>60</v>
      </c>
      <c r="D1491">
        <v>18</v>
      </c>
      <c r="E1491" s="16" t="s">
        <v>55</v>
      </c>
      <c r="F1491" s="18">
        <v>2300</v>
      </c>
      <c r="G1491" s="22">
        <v>100</v>
      </c>
      <c r="H1491" s="18">
        <v>6.1549549216911696</v>
      </c>
      <c r="I1491" s="18">
        <v>615.49549216911703</v>
      </c>
      <c r="J1491" s="18">
        <v>1684.5045078308799</v>
      </c>
      <c r="K1491" s="22">
        <v>0</v>
      </c>
      <c r="L1491" s="22" t="str">
        <f t="shared" si="23"/>
        <v>46143, 5, 18</v>
      </c>
    </row>
    <row r="1492" spans="1:12">
      <c r="A1492" s="9">
        <v>46143</v>
      </c>
      <c r="B1492">
        <v>5</v>
      </c>
      <c r="C1492" s="16" t="s">
        <v>60</v>
      </c>
      <c r="D1492">
        <v>1</v>
      </c>
      <c r="E1492" s="16" t="s">
        <v>38</v>
      </c>
      <c r="F1492" s="18">
        <v>3956</v>
      </c>
      <c r="G1492" s="22">
        <v>184</v>
      </c>
      <c r="H1492" s="18">
        <v>4.3240660384615301</v>
      </c>
      <c r="I1492" s="18">
        <v>795.62815107692302</v>
      </c>
      <c r="J1492" s="18">
        <v>3160.37184892307</v>
      </c>
      <c r="K1492" s="22">
        <v>0</v>
      </c>
      <c r="L1492" s="22" t="str">
        <f t="shared" si="23"/>
        <v>46143, 5, 1</v>
      </c>
    </row>
    <row r="1493" spans="1:12">
      <c r="A1493" s="9">
        <v>46143</v>
      </c>
      <c r="B1493">
        <v>5</v>
      </c>
      <c r="C1493" s="16" t="s">
        <v>60</v>
      </c>
      <c r="D1493">
        <v>2</v>
      </c>
      <c r="E1493" s="16" t="s">
        <v>40</v>
      </c>
      <c r="F1493" s="18">
        <v>5232</v>
      </c>
      <c r="G1493" s="22">
        <v>218</v>
      </c>
      <c r="H1493" s="18">
        <v>7.2615068444761901</v>
      </c>
      <c r="I1493" s="18">
        <v>1583.0084920958</v>
      </c>
      <c r="J1493" s="18">
        <v>3648.9915079041898</v>
      </c>
      <c r="K1493" s="22">
        <v>0</v>
      </c>
      <c r="L1493" s="22" t="str">
        <f t="shared" si="23"/>
        <v>46143, 5, 2</v>
      </c>
    </row>
    <row r="1494" spans="1:12">
      <c r="A1494" s="9">
        <v>46143</v>
      </c>
      <c r="B1494">
        <v>5</v>
      </c>
      <c r="C1494" s="16" t="s">
        <v>60</v>
      </c>
      <c r="D1494">
        <v>3</v>
      </c>
      <c r="E1494" s="16" t="s">
        <v>41</v>
      </c>
      <c r="F1494" s="18">
        <v>2575</v>
      </c>
      <c r="G1494" s="22">
        <v>103</v>
      </c>
      <c r="H1494" s="18">
        <v>3.52517966711111</v>
      </c>
      <c r="I1494" s="18">
        <v>363.09350571244403</v>
      </c>
      <c r="J1494" s="18">
        <v>2211.9064942875498</v>
      </c>
      <c r="K1494" s="22">
        <v>0</v>
      </c>
      <c r="L1494" s="22" t="str">
        <f t="shared" si="23"/>
        <v>46143, 5, 3</v>
      </c>
    </row>
    <row r="1495" spans="1:12">
      <c r="A1495" s="9">
        <v>46143</v>
      </c>
      <c r="B1495">
        <v>5</v>
      </c>
      <c r="C1495" s="16" t="s">
        <v>60</v>
      </c>
      <c r="D1495">
        <v>4</v>
      </c>
      <c r="E1495" s="16" t="s">
        <v>42</v>
      </c>
      <c r="F1495" s="18">
        <v>3321</v>
      </c>
      <c r="G1495" s="22">
        <v>162</v>
      </c>
      <c r="H1495" s="18">
        <v>7.30326716142857</v>
      </c>
      <c r="I1495" s="18">
        <v>1183.1292801514201</v>
      </c>
      <c r="J1495" s="18">
        <v>2137.8707198485699</v>
      </c>
      <c r="K1495" s="22">
        <v>0</v>
      </c>
      <c r="L1495" s="22" t="str">
        <f t="shared" si="23"/>
        <v>46143, 5, 4</v>
      </c>
    </row>
    <row r="1496" spans="1:12">
      <c r="A1496" s="9">
        <v>46143</v>
      </c>
      <c r="B1496">
        <v>5</v>
      </c>
      <c r="C1496" s="16" t="s">
        <v>60</v>
      </c>
      <c r="D1496">
        <v>7</v>
      </c>
      <c r="E1496" s="16" t="s">
        <v>45</v>
      </c>
      <c r="F1496" s="18">
        <v>1018.5</v>
      </c>
      <c r="G1496" s="22">
        <v>97</v>
      </c>
      <c r="H1496" s="18">
        <v>2.9948230063333301</v>
      </c>
      <c r="I1496" s="18">
        <v>290.49783161433299</v>
      </c>
      <c r="J1496" s="18">
        <v>728.00216838566598</v>
      </c>
      <c r="K1496" s="22">
        <v>0</v>
      </c>
      <c r="L1496" s="22" t="str">
        <f t="shared" si="23"/>
        <v>46143, 5, 7</v>
      </c>
    </row>
    <row r="1497" spans="1:12">
      <c r="A1497" s="9">
        <v>46143</v>
      </c>
      <c r="B1497">
        <v>5</v>
      </c>
      <c r="C1497" s="16" t="s">
        <v>60</v>
      </c>
      <c r="D1497">
        <v>8</v>
      </c>
      <c r="E1497" s="16" t="s">
        <v>46</v>
      </c>
      <c r="F1497" s="18">
        <v>768</v>
      </c>
      <c r="G1497" s="22">
        <v>64</v>
      </c>
      <c r="H1497" s="18">
        <v>0.709720552666666</v>
      </c>
      <c r="I1497" s="18">
        <v>45.422115370666603</v>
      </c>
      <c r="J1497" s="18">
        <v>722.57788462933297</v>
      </c>
      <c r="K1497" s="22">
        <v>0</v>
      </c>
      <c r="L1497" s="22" t="str">
        <f t="shared" si="23"/>
        <v>46143, 5, 8</v>
      </c>
    </row>
    <row r="1498" spans="1:12">
      <c r="A1498" s="9">
        <v>46143</v>
      </c>
      <c r="B1498">
        <v>5</v>
      </c>
      <c r="C1498" s="16" t="s">
        <v>60</v>
      </c>
      <c r="D1498">
        <v>10</v>
      </c>
      <c r="E1498" s="16" t="s">
        <v>57</v>
      </c>
      <c r="F1498" s="18">
        <v>1386</v>
      </c>
      <c r="G1498" s="22">
        <v>99</v>
      </c>
      <c r="H1498" s="18">
        <v>1.88788982091428</v>
      </c>
      <c r="I1498" s="18">
        <v>186.901092270514</v>
      </c>
      <c r="J1498" s="18">
        <v>1199.0989077294801</v>
      </c>
      <c r="K1498" s="22">
        <v>0</v>
      </c>
      <c r="L1498" s="22" t="str">
        <f t="shared" si="23"/>
        <v>46143, 5, 10</v>
      </c>
    </row>
    <row r="1499" spans="1:12">
      <c r="A1499" s="9">
        <v>46174</v>
      </c>
      <c r="B1499">
        <v>5</v>
      </c>
      <c r="C1499" s="16" t="s">
        <v>60</v>
      </c>
      <c r="D1499">
        <v>1</v>
      </c>
      <c r="E1499" s="16" t="s">
        <v>38</v>
      </c>
      <c r="F1499" s="18">
        <v>3461.5</v>
      </c>
      <c r="G1499" s="22">
        <v>161</v>
      </c>
      <c r="H1499" s="18">
        <v>4.34163971666666</v>
      </c>
      <c r="I1499" s="18">
        <v>699.00399438333295</v>
      </c>
      <c r="J1499" s="18">
        <v>2762.4960056166601</v>
      </c>
      <c r="K1499" s="22">
        <v>0</v>
      </c>
      <c r="L1499" s="22" t="str">
        <f t="shared" si="23"/>
        <v>46174, 5, 1</v>
      </c>
    </row>
    <row r="1500" spans="1:12">
      <c r="A1500" s="9">
        <v>46174</v>
      </c>
      <c r="B1500">
        <v>5</v>
      </c>
      <c r="C1500" s="16" t="s">
        <v>60</v>
      </c>
      <c r="D1500">
        <v>2</v>
      </c>
      <c r="E1500" s="16" t="s">
        <v>40</v>
      </c>
      <c r="F1500" s="18">
        <v>4008</v>
      </c>
      <c r="G1500" s="22">
        <v>167</v>
      </c>
      <c r="H1500" s="18">
        <v>7.2694123462727198</v>
      </c>
      <c r="I1500" s="18">
        <v>1213.9918618275401</v>
      </c>
      <c r="J1500" s="18">
        <v>2794.0081381724499</v>
      </c>
      <c r="K1500" s="22">
        <v>0</v>
      </c>
      <c r="L1500" s="22" t="str">
        <f t="shared" si="23"/>
        <v>46174, 5, 2</v>
      </c>
    </row>
    <row r="1501" spans="1:12">
      <c r="A1501" s="9">
        <v>46174</v>
      </c>
      <c r="B1501">
        <v>5</v>
      </c>
      <c r="C1501" s="16" t="s">
        <v>60</v>
      </c>
      <c r="D1501">
        <v>3</v>
      </c>
      <c r="E1501" s="16" t="s">
        <v>41</v>
      </c>
      <c r="F1501" s="18">
        <v>1550</v>
      </c>
      <c r="G1501" s="22">
        <v>62</v>
      </c>
      <c r="H1501" s="18">
        <v>3.5437874059999999</v>
      </c>
      <c r="I1501" s="18">
        <v>219.71481917200001</v>
      </c>
      <c r="J1501" s="18">
        <v>1330.285180828</v>
      </c>
      <c r="K1501" s="22">
        <v>0</v>
      </c>
      <c r="L1501" s="22" t="str">
        <f t="shared" si="23"/>
        <v>46174, 5, 3</v>
      </c>
    </row>
    <row r="1502" spans="1:12">
      <c r="A1502" s="9">
        <v>46174</v>
      </c>
      <c r="B1502">
        <v>5</v>
      </c>
      <c r="C1502" s="16" t="s">
        <v>60</v>
      </c>
      <c r="D1502">
        <v>4</v>
      </c>
      <c r="E1502" s="16" t="s">
        <v>42</v>
      </c>
      <c r="F1502" s="18">
        <v>2685.5</v>
      </c>
      <c r="G1502" s="22">
        <v>131</v>
      </c>
      <c r="H1502" s="18">
        <v>7.1889954789090904</v>
      </c>
      <c r="I1502" s="18">
        <v>941.75840773709001</v>
      </c>
      <c r="J1502" s="18">
        <v>1743.7415922629</v>
      </c>
      <c r="K1502" s="22">
        <v>0</v>
      </c>
      <c r="L1502" s="22" t="str">
        <f t="shared" si="23"/>
        <v>46174, 5, 4</v>
      </c>
    </row>
    <row r="1503" spans="1:12">
      <c r="A1503" s="9">
        <v>46174</v>
      </c>
      <c r="B1503">
        <v>5</v>
      </c>
      <c r="C1503" s="16" t="s">
        <v>60</v>
      </c>
      <c r="D1503">
        <v>7</v>
      </c>
      <c r="E1503" s="16" t="s">
        <v>45</v>
      </c>
      <c r="F1503" s="18">
        <v>1008</v>
      </c>
      <c r="G1503" s="22">
        <v>96</v>
      </c>
      <c r="H1503" s="18">
        <v>2.9798729724999999</v>
      </c>
      <c r="I1503" s="18">
        <v>286.06780536000002</v>
      </c>
      <c r="J1503" s="18">
        <v>721.93219464000003</v>
      </c>
      <c r="K1503" s="22">
        <v>0</v>
      </c>
      <c r="L1503" s="22" t="str">
        <f t="shared" si="23"/>
        <v>46174, 5, 7</v>
      </c>
    </row>
    <row r="1504" spans="1:12">
      <c r="A1504" s="9">
        <v>46174</v>
      </c>
      <c r="B1504">
        <v>5</v>
      </c>
      <c r="C1504" s="16" t="s">
        <v>60</v>
      </c>
      <c r="D1504">
        <v>8</v>
      </c>
      <c r="E1504" s="16" t="s">
        <v>46</v>
      </c>
      <c r="F1504" s="18">
        <v>648</v>
      </c>
      <c r="G1504" s="22">
        <v>54</v>
      </c>
      <c r="H1504" s="18">
        <v>0.71502917777777697</v>
      </c>
      <c r="I1504" s="18">
        <v>38.611575600000002</v>
      </c>
      <c r="J1504" s="18">
        <v>609.38842439999905</v>
      </c>
      <c r="K1504" s="22">
        <v>0</v>
      </c>
      <c r="L1504" s="22" t="str">
        <f t="shared" si="23"/>
        <v>46174, 5, 8</v>
      </c>
    </row>
    <row r="1505" spans="1:12">
      <c r="A1505" s="9">
        <v>46174</v>
      </c>
      <c r="B1505">
        <v>5</v>
      </c>
      <c r="C1505" s="16" t="s">
        <v>60</v>
      </c>
      <c r="D1505">
        <v>10</v>
      </c>
      <c r="E1505" s="16" t="s">
        <v>57</v>
      </c>
      <c r="F1505" s="18">
        <v>1288</v>
      </c>
      <c r="G1505" s="22">
        <v>92</v>
      </c>
      <c r="H1505" s="18">
        <v>1.8044204972142801</v>
      </c>
      <c r="I1505" s="18">
        <v>166.006685743714</v>
      </c>
      <c r="J1505" s="18">
        <v>1121.99331425628</v>
      </c>
      <c r="K1505" s="22">
        <v>0</v>
      </c>
      <c r="L1505" s="22" t="str">
        <f t="shared" si="23"/>
        <v>46174, 5, 10</v>
      </c>
    </row>
    <row r="1506" spans="1:12">
      <c r="A1506" s="9">
        <v>46174</v>
      </c>
      <c r="B1506">
        <v>5</v>
      </c>
      <c r="C1506" s="16" t="s">
        <v>60</v>
      </c>
      <c r="D1506">
        <v>11</v>
      </c>
      <c r="E1506" s="16" t="s">
        <v>48</v>
      </c>
      <c r="F1506" s="18">
        <v>3150</v>
      </c>
      <c r="G1506" s="22">
        <v>150</v>
      </c>
      <c r="H1506" s="18">
        <v>2.0824473214285701</v>
      </c>
      <c r="I1506" s="18">
        <v>312.36709821428502</v>
      </c>
      <c r="J1506" s="18">
        <v>2837.6329017857101</v>
      </c>
      <c r="K1506" s="22">
        <v>0</v>
      </c>
      <c r="L1506" s="22" t="str">
        <f t="shared" si="23"/>
        <v>46174, 5, 11</v>
      </c>
    </row>
    <row r="1507" spans="1:12">
      <c r="A1507" s="9">
        <v>46174</v>
      </c>
      <c r="B1507">
        <v>5</v>
      </c>
      <c r="C1507" s="16" t="s">
        <v>60</v>
      </c>
      <c r="D1507">
        <v>12</v>
      </c>
      <c r="E1507" s="16" t="s">
        <v>49</v>
      </c>
      <c r="F1507" s="18">
        <v>2472.5</v>
      </c>
      <c r="G1507" s="22">
        <v>115</v>
      </c>
      <c r="H1507" s="18">
        <v>2.5929241974705799</v>
      </c>
      <c r="I1507" s="18">
        <v>298.18628270911699</v>
      </c>
      <c r="J1507" s="18">
        <v>2174.31371729088</v>
      </c>
      <c r="K1507" s="22">
        <v>0</v>
      </c>
      <c r="L1507" s="22" t="str">
        <f t="shared" si="23"/>
        <v>46174, 5, 12</v>
      </c>
    </row>
    <row r="1508" spans="1:12">
      <c r="A1508" s="9">
        <v>46174</v>
      </c>
      <c r="B1508">
        <v>5</v>
      </c>
      <c r="C1508" s="16" t="s">
        <v>60</v>
      </c>
      <c r="D1508">
        <v>13</v>
      </c>
      <c r="E1508" s="16" t="s">
        <v>50</v>
      </c>
      <c r="F1508" s="18">
        <v>1732.5</v>
      </c>
      <c r="G1508" s="22">
        <v>77</v>
      </c>
      <c r="H1508" s="18">
        <v>7.0712930714285704</v>
      </c>
      <c r="I1508" s="18">
        <v>544.48956650000002</v>
      </c>
      <c r="J1508" s="18">
        <v>1188.0104334999901</v>
      </c>
      <c r="K1508" s="22">
        <v>0</v>
      </c>
      <c r="L1508" s="22" t="str">
        <f t="shared" si="23"/>
        <v>46174, 5, 13</v>
      </c>
    </row>
    <row r="1509" spans="1:12">
      <c r="A1509" s="9">
        <v>46174</v>
      </c>
      <c r="B1509">
        <v>5</v>
      </c>
      <c r="C1509" s="16" t="s">
        <v>60</v>
      </c>
      <c r="D1509">
        <v>14</v>
      </c>
      <c r="E1509" s="16" t="s">
        <v>51</v>
      </c>
      <c r="F1509" s="18">
        <v>1100</v>
      </c>
      <c r="G1509" s="22">
        <v>40</v>
      </c>
      <c r="H1509" s="18">
        <v>4.7530182058921504</v>
      </c>
      <c r="I1509" s="18">
        <v>190.12072823568599</v>
      </c>
      <c r="J1509" s="18">
        <v>909.87927176431299</v>
      </c>
      <c r="K1509" s="22">
        <v>0</v>
      </c>
      <c r="L1509" s="22" t="str">
        <f t="shared" si="23"/>
        <v>46174, 5, 14</v>
      </c>
    </row>
    <row r="1510" spans="1:12">
      <c r="A1510" s="9">
        <v>46174</v>
      </c>
      <c r="B1510">
        <v>5</v>
      </c>
      <c r="C1510" s="16" t="s">
        <v>60</v>
      </c>
      <c r="D1510">
        <v>15</v>
      </c>
      <c r="E1510" s="16" t="s">
        <v>52</v>
      </c>
      <c r="F1510" s="18">
        <v>3408</v>
      </c>
      <c r="G1510" s="22">
        <v>142</v>
      </c>
      <c r="H1510" s="18">
        <v>2.84693679</v>
      </c>
      <c r="I1510" s="18">
        <v>404.26502418000001</v>
      </c>
      <c r="J1510" s="18">
        <v>3003.7349758199998</v>
      </c>
      <c r="K1510" s="22">
        <v>0</v>
      </c>
      <c r="L1510" s="22" t="str">
        <f t="shared" si="23"/>
        <v>46174, 5, 15</v>
      </c>
    </row>
    <row r="1511" spans="1:12">
      <c r="A1511" s="9">
        <v>46174</v>
      </c>
      <c r="B1511">
        <v>5</v>
      </c>
      <c r="C1511" s="16" t="s">
        <v>60</v>
      </c>
      <c r="D1511">
        <v>16</v>
      </c>
      <c r="E1511" s="16" t="s">
        <v>53</v>
      </c>
      <c r="F1511" s="18">
        <v>693</v>
      </c>
      <c r="G1511" s="22">
        <v>77</v>
      </c>
      <c r="H1511" s="18">
        <v>1.6412346311538399</v>
      </c>
      <c r="I1511" s="18">
        <v>126.375066598846</v>
      </c>
      <c r="J1511" s="18">
        <v>566.62493340115304</v>
      </c>
      <c r="K1511" s="22">
        <v>0</v>
      </c>
      <c r="L1511" s="22" t="str">
        <f t="shared" si="23"/>
        <v>46174, 5, 16</v>
      </c>
    </row>
    <row r="1512" spans="1:12">
      <c r="A1512" s="9">
        <v>46174</v>
      </c>
      <c r="B1512">
        <v>5</v>
      </c>
      <c r="C1512" s="16" t="s">
        <v>60</v>
      </c>
      <c r="D1512">
        <v>17</v>
      </c>
      <c r="E1512" s="16" t="s">
        <v>54</v>
      </c>
      <c r="F1512" s="18">
        <v>1155</v>
      </c>
      <c r="G1512" s="22">
        <v>154</v>
      </c>
      <c r="H1512" s="18">
        <v>1.48614151681818</v>
      </c>
      <c r="I1512" s="18">
        <v>228.86579359000001</v>
      </c>
      <c r="J1512" s="18">
        <v>926.13420640999902</v>
      </c>
      <c r="K1512" s="22">
        <v>0</v>
      </c>
      <c r="L1512" s="22" t="str">
        <f t="shared" si="23"/>
        <v>46174, 5, 17</v>
      </c>
    </row>
    <row r="1513" spans="1:12">
      <c r="A1513" s="9">
        <v>46174</v>
      </c>
      <c r="B1513">
        <v>5</v>
      </c>
      <c r="C1513" s="16" t="s">
        <v>60</v>
      </c>
      <c r="D1513">
        <v>18</v>
      </c>
      <c r="E1513" s="16" t="s">
        <v>55</v>
      </c>
      <c r="F1513" s="18">
        <v>2622</v>
      </c>
      <c r="G1513" s="22">
        <v>114</v>
      </c>
      <c r="H1513" s="18">
        <v>6.1732460435294101</v>
      </c>
      <c r="I1513" s="18">
        <v>703.75004896235203</v>
      </c>
      <c r="J1513" s="18">
        <v>1918.2499510376399</v>
      </c>
      <c r="K1513" s="22">
        <v>0</v>
      </c>
      <c r="L1513" s="22" t="str">
        <f t="shared" si="23"/>
        <v>46174, 5, 18</v>
      </c>
    </row>
    <row r="1514" spans="1:12">
      <c r="A1514" s="9">
        <v>46204</v>
      </c>
      <c r="B1514">
        <v>5</v>
      </c>
      <c r="C1514" s="16" t="s">
        <v>60</v>
      </c>
      <c r="D1514">
        <v>11</v>
      </c>
      <c r="E1514" s="16" t="s">
        <v>48</v>
      </c>
      <c r="F1514" s="18">
        <v>2877</v>
      </c>
      <c r="G1514" s="22">
        <v>137</v>
      </c>
      <c r="H1514" s="18">
        <v>2.17387684375</v>
      </c>
      <c r="I1514" s="18">
        <v>297.82112759375002</v>
      </c>
      <c r="J1514" s="18">
        <v>2579.1788724062499</v>
      </c>
      <c r="K1514" s="22">
        <v>0</v>
      </c>
      <c r="L1514" s="22" t="str">
        <f t="shared" si="23"/>
        <v>46204, 5, 11</v>
      </c>
    </row>
    <row r="1515" spans="1:12">
      <c r="A1515" s="9">
        <v>46204</v>
      </c>
      <c r="B1515">
        <v>5</v>
      </c>
      <c r="C1515" s="16" t="s">
        <v>60</v>
      </c>
      <c r="D1515">
        <v>12</v>
      </c>
      <c r="E1515" s="16" t="s">
        <v>49</v>
      </c>
      <c r="F1515" s="18">
        <v>2558.5</v>
      </c>
      <c r="G1515" s="22">
        <v>119</v>
      </c>
      <c r="H1515" s="18">
        <v>2.5605490274473599</v>
      </c>
      <c r="I1515" s="18">
        <v>304.70533426623598</v>
      </c>
      <c r="J1515" s="18">
        <v>2253.7946657337602</v>
      </c>
      <c r="K1515" s="22">
        <v>0</v>
      </c>
      <c r="L1515" s="22" t="str">
        <f t="shared" si="23"/>
        <v>46204, 5, 12</v>
      </c>
    </row>
    <row r="1516" spans="1:12">
      <c r="A1516" s="9">
        <v>46204</v>
      </c>
      <c r="B1516">
        <v>5</v>
      </c>
      <c r="C1516" s="16" t="s">
        <v>60</v>
      </c>
      <c r="D1516">
        <v>13</v>
      </c>
      <c r="E1516" s="16" t="s">
        <v>50</v>
      </c>
      <c r="F1516" s="18">
        <v>1867.5</v>
      </c>
      <c r="G1516" s="22">
        <v>83</v>
      </c>
      <c r="H1516" s="18">
        <v>7.2599724615384602</v>
      </c>
      <c r="I1516" s="18">
        <v>602.57771430769196</v>
      </c>
      <c r="J1516" s="18">
        <v>1264.9222856923</v>
      </c>
      <c r="K1516" s="22">
        <v>0</v>
      </c>
      <c r="L1516" s="22" t="str">
        <f t="shared" si="23"/>
        <v>46204, 5, 13</v>
      </c>
    </row>
    <row r="1517" spans="1:12">
      <c r="A1517" s="9">
        <v>46204</v>
      </c>
      <c r="B1517">
        <v>5</v>
      </c>
      <c r="C1517" s="16" t="s">
        <v>60</v>
      </c>
      <c r="D1517">
        <v>14</v>
      </c>
      <c r="E1517" s="16" t="s">
        <v>51</v>
      </c>
      <c r="F1517" s="18">
        <v>1237.5</v>
      </c>
      <c r="G1517" s="22">
        <v>45</v>
      </c>
      <c r="H1517" s="18">
        <v>4.7470225294298203</v>
      </c>
      <c r="I1517" s="18">
        <v>213.61601382434199</v>
      </c>
      <c r="J1517" s="18">
        <v>1023.88398617565</v>
      </c>
      <c r="K1517" s="22">
        <v>0</v>
      </c>
      <c r="L1517" s="22" t="str">
        <f t="shared" si="23"/>
        <v>46204, 5, 14</v>
      </c>
    </row>
    <row r="1518" spans="1:12">
      <c r="A1518" s="9">
        <v>46204</v>
      </c>
      <c r="B1518">
        <v>5</v>
      </c>
      <c r="C1518" s="16" t="s">
        <v>60</v>
      </c>
      <c r="D1518">
        <v>15</v>
      </c>
      <c r="E1518" s="16" t="s">
        <v>52</v>
      </c>
      <c r="F1518" s="18">
        <v>3600</v>
      </c>
      <c r="G1518" s="22">
        <v>150</v>
      </c>
      <c r="H1518" s="18">
        <v>2.8072408662105199</v>
      </c>
      <c r="I1518" s="18">
        <v>421.086129931578</v>
      </c>
      <c r="J1518" s="18">
        <v>3178.9138700684198</v>
      </c>
      <c r="K1518" s="22">
        <v>0</v>
      </c>
      <c r="L1518" s="22" t="str">
        <f t="shared" si="23"/>
        <v>46204, 5, 15</v>
      </c>
    </row>
    <row r="1519" spans="1:12">
      <c r="A1519" s="9">
        <v>46204</v>
      </c>
      <c r="B1519">
        <v>5</v>
      </c>
      <c r="C1519" s="16" t="s">
        <v>60</v>
      </c>
      <c r="D1519">
        <v>16</v>
      </c>
      <c r="E1519" s="16" t="s">
        <v>53</v>
      </c>
      <c r="F1519" s="18">
        <v>621</v>
      </c>
      <c r="G1519" s="22">
        <v>69</v>
      </c>
      <c r="H1519" s="18">
        <v>1.64953383928571</v>
      </c>
      <c r="I1519" s="18">
        <v>113.817834910714</v>
      </c>
      <c r="J1519" s="18">
        <v>507.18216508928498</v>
      </c>
      <c r="K1519" s="22">
        <v>0</v>
      </c>
      <c r="L1519" s="22" t="str">
        <f t="shared" si="23"/>
        <v>46204, 5, 16</v>
      </c>
    </row>
    <row r="1520" spans="1:12">
      <c r="A1520" s="9">
        <v>46204</v>
      </c>
      <c r="B1520">
        <v>5</v>
      </c>
      <c r="C1520" s="16" t="s">
        <v>60</v>
      </c>
      <c r="D1520">
        <v>17</v>
      </c>
      <c r="E1520" s="16" t="s">
        <v>54</v>
      </c>
      <c r="F1520" s="18">
        <v>1327.5</v>
      </c>
      <c r="G1520" s="22">
        <v>177</v>
      </c>
      <c r="H1520" s="18">
        <v>1.4783791031818101</v>
      </c>
      <c r="I1520" s="18">
        <v>261.67310126318102</v>
      </c>
      <c r="J1520" s="18">
        <v>1065.8268987368101</v>
      </c>
      <c r="K1520" s="22">
        <v>0</v>
      </c>
      <c r="L1520" s="22" t="str">
        <f t="shared" si="23"/>
        <v>46204, 5, 17</v>
      </c>
    </row>
    <row r="1521" spans="1:12">
      <c r="A1521" s="9">
        <v>46204</v>
      </c>
      <c r="B1521">
        <v>5</v>
      </c>
      <c r="C1521" s="16" t="s">
        <v>60</v>
      </c>
      <c r="D1521">
        <v>18</v>
      </c>
      <c r="E1521" s="16" t="s">
        <v>55</v>
      </c>
      <c r="F1521" s="18">
        <v>3243</v>
      </c>
      <c r="G1521" s="22">
        <v>141</v>
      </c>
      <c r="H1521" s="18">
        <v>6.1285599262368402</v>
      </c>
      <c r="I1521" s="18">
        <v>864.12694959939404</v>
      </c>
      <c r="J1521" s="18">
        <v>2378.8730504005998</v>
      </c>
      <c r="K1521" s="22">
        <v>0</v>
      </c>
      <c r="L1521" s="22" t="str">
        <f t="shared" si="23"/>
        <v>46204, 5, 18</v>
      </c>
    </row>
    <row r="1522" spans="1:12">
      <c r="A1522" s="9">
        <v>46204</v>
      </c>
      <c r="B1522">
        <v>5</v>
      </c>
      <c r="C1522" s="16" t="s">
        <v>60</v>
      </c>
      <c r="D1522">
        <v>1</v>
      </c>
      <c r="E1522" s="16" t="s">
        <v>38</v>
      </c>
      <c r="F1522" s="18">
        <v>3719.5</v>
      </c>
      <c r="G1522" s="22">
        <v>173</v>
      </c>
      <c r="H1522" s="18">
        <v>4.4056646500000003</v>
      </c>
      <c r="I1522" s="18">
        <v>762.17998445000001</v>
      </c>
      <c r="J1522" s="18">
        <v>2957.3200155499999</v>
      </c>
      <c r="K1522" s="22">
        <v>0</v>
      </c>
      <c r="L1522" s="22" t="str">
        <f t="shared" si="23"/>
        <v>46204, 5, 1</v>
      </c>
    </row>
    <row r="1523" spans="1:12">
      <c r="A1523" s="9">
        <v>46204</v>
      </c>
      <c r="B1523">
        <v>5</v>
      </c>
      <c r="C1523" s="16" t="s">
        <v>60</v>
      </c>
      <c r="D1523">
        <v>2</v>
      </c>
      <c r="E1523" s="16" t="s">
        <v>40</v>
      </c>
      <c r="F1523" s="18">
        <v>4440</v>
      </c>
      <c r="G1523" s="22">
        <v>185</v>
      </c>
      <c r="H1523" s="18">
        <v>7.2877912805217298</v>
      </c>
      <c r="I1523" s="18">
        <v>1348.24138689652</v>
      </c>
      <c r="J1523" s="18">
        <v>3091.75861310347</v>
      </c>
      <c r="K1523" s="22">
        <v>0</v>
      </c>
      <c r="L1523" s="22" t="str">
        <f t="shared" si="23"/>
        <v>46204, 5, 2</v>
      </c>
    </row>
    <row r="1524" spans="1:12">
      <c r="A1524" s="9">
        <v>46204</v>
      </c>
      <c r="B1524">
        <v>5</v>
      </c>
      <c r="C1524" s="16" t="s">
        <v>60</v>
      </c>
      <c r="D1524">
        <v>3</v>
      </c>
      <c r="E1524" s="16" t="s">
        <v>41</v>
      </c>
      <c r="F1524" s="18">
        <v>2175</v>
      </c>
      <c r="G1524" s="22">
        <v>87</v>
      </c>
      <c r="H1524" s="18">
        <v>3.53550226757894</v>
      </c>
      <c r="I1524" s="18">
        <v>307.58869727936798</v>
      </c>
      <c r="J1524" s="18">
        <v>1867.4113027206299</v>
      </c>
      <c r="K1524" s="22">
        <v>0</v>
      </c>
      <c r="L1524" s="22" t="str">
        <f t="shared" si="23"/>
        <v>46204, 5, 3</v>
      </c>
    </row>
    <row r="1525" spans="1:12">
      <c r="A1525" s="9">
        <v>46204</v>
      </c>
      <c r="B1525">
        <v>5</v>
      </c>
      <c r="C1525" s="16" t="s">
        <v>60</v>
      </c>
      <c r="D1525">
        <v>4</v>
      </c>
      <c r="E1525" s="16" t="s">
        <v>42</v>
      </c>
      <c r="F1525" s="18">
        <v>3054.5</v>
      </c>
      <c r="G1525" s="22">
        <v>149</v>
      </c>
      <c r="H1525" s="18">
        <v>7.1928845325217301</v>
      </c>
      <c r="I1525" s="18">
        <v>1071.73979534573</v>
      </c>
      <c r="J1525" s="18">
        <v>1982.76020465426</v>
      </c>
      <c r="K1525" s="22">
        <v>0</v>
      </c>
      <c r="L1525" s="22" t="str">
        <f t="shared" si="23"/>
        <v>46204, 5, 4</v>
      </c>
    </row>
    <row r="1526" spans="1:12">
      <c r="A1526" s="9">
        <v>46204</v>
      </c>
      <c r="B1526">
        <v>5</v>
      </c>
      <c r="C1526" s="16" t="s">
        <v>60</v>
      </c>
      <c r="D1526">
        <v>7</v>
      </c>
      <c r="E1526" s="16" t="s">
        <v>45</v>
      </c>
      <c r="F1526" s="18">
        <v>1260</v>
      </c>
      <c r="G1526" s="22">
        <v>120</v>
      </c>
      <c r="H1526" s="18">
        <v>3.0061313041666602</v>
      </c>
      <c r="I1526" s="18">
        <v>360.73575649999998</v>
      </c>
      <c r="J1526" s="18">
        <v>899.264243499999</v>
      </c>
      <c r="K1526" s="22">
        <v>0</v>
      </c>
      <c r="L1526" s="22" t="str">
        <f t="shared" si="23"/>
        <v>46204, 5, 7</v>
      </c>
    </row>
    <row r="1527" spans="1:12">
      <c r="A1527" s="9">
        <v>46204</v>
      </c>
      <c r="B1527">
        <v>5</v>
      </c>
      <c r="C1527" s="16" t="s">
        <v>60</v>
      </c>
      <c r="D1527">
        <v>8</v>
      </c>
      <c r="E1527" s="16" t="s">
        <v>46</v>
      </c>
      <c r="F1527" s="18">
        <v>768</v>
      </c>
      <c r="G1527" s="22">
        <v>64</v>
      </c>
      <c r="H1527" s="18">
        <v>0.67014183999999999</v>
      </c>
      <c r="I1527" s="18">
        <v>42.889077759999999</v>
      </c>
      <c r="J1527" s="18">
        <v>725.11092223999901</v>
      </c>
      <c r="K1527" s="22">
        <v>0</v>
      </c>
      <c r="L1527" s="22" t="str">
        <f t="shared" si="23"/>
        <v>46204, 5, 8</v>
      </c>
    </row>
    <row r="1528" spans="1:12">
      <c r="A1528" s="9">
        <v>46204</v>
      </c>
      <c r="B1528">
        <v>5</v>
      </c>
      <c r="C1528" s="16" t="s">
        <v>60</v>
      </c>
      <c r="D1528">
        <v>10</v>
      </c>
      <c r="E1528" s="16" t="s">
        <v>57</v>
      </c>
      <c r="F1528" s="18">
        <v>1344</v>
      </c>
      <c r="G1528" s="22">
        <v>96</v>
      </c>
      <c r="H1528" s="18">
        <v>1.75605722297333</v>
      </c>
      <c r="I1528" s="18">
        <v>168.58149340543901</v>
      </c>
      <c r="J1528" s="18">
        <v>1175.4185065945601</v>
      </c>
      <c r="K1528" s="22">
        <v>0</v>
      </c>
      <c r="L1528" s="22" t="str">
        <f t="shared" si="23"/>
        <v>46204, 5, 10</v>
      </c>
    </row>
    <row r="1529" spans="1:12">
      <c r="A1529" s="9">
        <v>46235</v>
      </c>
      <c r="B1529">
        <v>5</v>
      </c>
      <c r="C1529" s="16" t="s">
        <v>60</v>
      </c>
      <c r="D1529">
        <v>1</v>
      </c>
      <c r="E1529" s="16" t="s">
        <v>38</v>
      </c>
      <c r="F1529" s="18">
        <v>3719.5</v>
      </c>
      <c r="G1529" s="22">
        <v>173</v>
      </c>
      <c r="H1529" s="18">
        <v>4.3866368571428502</v>
      </c>
      <c r="I1529" s="18">
        <v>758.88817628571405</v>
      </c>
      <c r="J1529" s="18">
        <v>2960.61182371428</v>
      </c>
      <c r="K1529" s="22">
        <v>0</v>
      </c>
      <c r="L1529" s="22" t="str">
        <f t="shared" si="23"/>
        <v>46235, 5, 1</v>
      </c>
    </row>
    <row r="1530" spans="1:12">
      <c r="A1530" s="9">
        <v>46235</v>
      </c>
      <c r="B1530">
        <v>5</v>
      </c>
      <c r="C1530" s="16" t="s">
        <v>60</v>
      </c>
      <c r="D1530">
        <v>2</v>
      </c>
      <c r="E1530" s="16" t="s">
        <v>40</v>
      </c>
      <c r="F1530" s="18">
        <v>4440</v>
      </c>
      <c r="G1530" s="22">
        <v>185</v>
      </c>
      <c r="H1530" s="18">
        <v>7.2078763155237997</v>
      </c>
      <c r="I1530" s="18">
        <v>1333.4571183718999</v>
      </c>
      <c r="J1530" s="18">
        <v>3106.5428816280901</v>
      </c>
      <c r="K1530" s="22">
        <v>0</v>
      </c>
      <c r="L1530" s="22" t="str">
        <f t="shared" si="23"/>
        <v>46235, 5, 2</v>
      </c>
    </row>
    <row r="1531" spans="1:12">
      <c r="A1531" s="9">
        <v>46235</v>
      </c>
      <c r="B1531">
        <v>5</v>
      </c>
      <c r="C1531" s="16" t="s">
        <v>60</v>
      </c>
      <c r="D1531">
        <v>3</v>
      </c>
      <c r="E1531" s="16" t="s">
        <v>41</v>
      </c>
      <c r="F1531" s="18">
        <v>1575</v>
      </c>
      <c r="G1531" s="22">
        <v>63</v>
      </c>
      <c r="H1531" s="18">
        <v>3.5451707106666599</v>
      </c>
      <c r="I1531" s="18">
        <v>223.34575477199999</v>
      </c>
      <c r="J1531" s="18">
        <v>1351.65424522799</v>
      </c>
      <c r="K1531" s="22">
        <v>0</v>
      </c>
      <c r="L1531" s="22" t="str">
        <f t="shared" si="23"/>
        <v>46235, 5, 3</v>
      </c>
    </row>
    <row r="1532" spans="1:12">
      <c r="A1532" s="9">
        <v>46235</v>
      </c>
      <c r="B1532">
        <v>5</v>
      </c>
      <c r="C1532" s="16" t="s">
        <v>60</v>
      </c>
      <c r="D1532">
        <v>4</v>
      </c>
      <c r="E1532" s="16" t="s">
        <v>42</v>
      </c>
      <c r="F1532" s="18">
        <v>2542</v>
      </c>
      <c r="G1532" s="22">
        <v>124</v>
      </c>
      <c r="H1532" s="18">
        <v>7.1750805412380902</v>
      </c>
      <c r="I1532" s="18">
        <v>889.70998711352297</v>
      </c>
      <c r="J1532" s="18">
        <v>1652.2900128864701</v>
      </c>
      <c r="K1532" s="22">
        <v>0</v>
      </c>
      <c r="L1532" s="22" t="str">
        <f t="shared" si="23"/>
        <v>46235, 5, 4</v>
      </c>
    </row>
    <row r="1533" spans="1:12">
      <c r="A1533" s="9">
        <v>46235</v>
      </c>
      <c r="B1533">
        <v>5</v>
      </c>
      <c r="C1533" s="16" t="s">
        <v>60</v>
      </c>
      <c r="D1533">
        <v>7</v>
      </c>
      <c r="E1533" s="16" t="s">
        <v>45</v>
      </c>
      <c r="F1533" s="18">
        <v>1050</v>
      </c>
      <c r="G1533" s="22">
        <v>100</v>
      </c>
      <c r="H1533" s="18">
        <v>2.9764042441666598</v>
      </c>
      <c r="I1533" s="18">
        <v>297.64042441666601</v>
      </c>
      <c r="J1533" s="18">
        <v>752.35957558333303</v>
      </c>
      <c r="K1533" s="22">
        <v>0</v>
      </c>
      <c r="L1533" s="22" t="str">
        <f t="shared" si="23"/>
        <v>46235, 5, 7</v>
      </c>
    </row>
    <row r="1534" spans="1:12">
      <c r="A1534" s="9">
        <v>46235</v>
      </c>
      <c r="B1534">
        <v>5</v>
      </c>
      <c r="C1534" s="16" t="s">
        <v>60</v>
      </c>
      <c r="D1534">
        <v>8</v>
      </c>
      <c r="E1534" s="16" t="s">
        <v>46</v>
      </c>
      <c r="F1534" s="18">
        <v>588</v>
      </c>
      <c r="G1534" s="22">
        <v>49</v>
      </c>
      <c r="H1534" s="18">
        <v>0.66177157066666603</v>
      </c>
      <c r="I1534" s="18">
        <v>32.426806962666603</v>
      </c>
      <c r="J1534" s="18">
        <v>555.573193037333</v>
      </c>
      <c r="K1534" s="22">
        <v>0</v>
      </c>
      <c r="L1534" s="22" t="str">
        <f t="shared" si="23"/>
        <v>46235, 5, 8</v>
      </c>
    </row>
    <row r="1535" spans="1:12">
      <c r="A1535" s="9">
        <v>46235</v>
      </c>
      <c r="B1535">
        <v>5</v>
      </c>
      <c r="C1535" s="16" t="s">
        <v>60</v>
      </c>
      <c r="D1535">
        <v>10</v>
      </c>
      <c r="E1535" s="16" t="s">
        <v>57</v>
      </c>
      <c r="F1535" s="18">
        <v>1246</v>
      </c>
      <c r="G1535" s="22">
        <v>89</v>
      </c>
      <c r="H1535" s="18">
        <v>1.7935787791857101</v>
      </c>
      <c r="I1535" s="18">
        <v>159.62851134752799</v>
      </c>
      <c r="J1535" s="18">
        <v>1086.3714886524699</v>
      </c>
      <c r="K1535" s="22">
        <v>0</v>
      </c>
      <c r="L1535" s="22" t="str">
        <f t="shared" si="23"/>
        <v>46235, 5, 10</v>
      </c>
    </row>
    <row r="1536" spans="1:12">
      <c r="A1536" s="9">
        <v>46235</v>
      </c>
      <c r="B1536">
        <v>5</v>
      </c>
      <c r="C1536" s="16" t="s">
        <v>60</v>
      </c>
      <c r="D1536">
        <v>11</v>
      </c>
      <c r="E1536" s="16" t="s">
        <v>48</v>
      </c>
      <c r="F1536" s="18">
        <v>2898</v>
      </c>
      <c r="G1536" s="22">
        <v>138</v>
      </c>
      <c r="H1536" s="18">
        <v>2.1509532031249998</v>
      </c>
      <c r="I1536" s="18">
        <v>296.83154203125002</v>
      </c>
      <c r="J1536" s="18">
        <v>2601.1684579687499</v>
      </c>
      <c r="K1536" s="22">
        <v>0</v>
      </c>
      <c r="L1536" s="22" t="str">
        <f t="shared" si="23"/>
        <v>46235, 5, 11</v>
      </c>
    </row>
    <row r="1537" spans="1:12">
      <c r="A1537" s="9">
        <v>46235</v>
      </c>
      <c r="B1537">
        <v>5</v>
      </c>
      <c r="C1537" s="16" t="s">
        <v>60</v>
      </c>
      <c r="D1537">
        <v>12</v>
      </c>
      <c r="E1537" s="16" t="s">
        <v>49</v>
      </c>
      <c r="F1537" s="18">
        <v>2236</v>
      </c>
      <c r="G1537" s="22">
        <v>104</v>
      </c>
      <c r="H1537" s="18">
        <v>2.5339358611176399</v>
      </c>
      <c r="I1537" s="18">
        <v>263.52932955623498</v>
      </c>
      <c r="J1537" s="18">
        <v>1972.4706704437599</v>
      </c>
      <c r="K1537" s="22">
        <v>0</v>
      </c>
      <c r="L1537" s="22" t="str">
        <f t="shared" si="23"/>
        <v>46235, 5, 12</v>
      </c>
    </row>
    <row r="1538" spans="1:12">
      <c r="A1538" s="9">
        <v>46235</v>
      </c>
      <c r="B1538">
        <v>5</v>
      </c>
      <c r="C1538" s="16" t="s">
        <v>60</v>
      </c>
      <c r="D1538">
        <v>13</v>
      </c>
      <c r="E1538" s="16" t="s">
        <v>50</v>
      </c>
      <c r="F1538" s="18">
        <v>1372.5</v>
      </c>
      <c r="G1538" s="22">
        <v>61</v>
      </c>
      <c r="H1538" s="18">
        <v>7.2030443076923003</v>
      </c>
      <c r="I1538" s="18">
        <v>439.38570276923002</v>
      </c>
      <c r="J1538" s="18">
        <v>933.11429723076901</v>
      </c>
      <c r="K1538" s="22">
        <v>0</v>
      </c>
      <c r="L1538" s="22" t="str">
        <f t="shared" si="23"/>
        <v>46235, 5, 13</v>
      </c>
    </row>
    <row r="1539" spans="1:12">
      <c r="A1539" s="9">
        <v>46235</v>
      </c>
      <c r="B1539">
        <v>5</v>
      </c>
      <c r="C1539" s="16" t="s">
        <v>60</v>
      </c>
      <c r="D1539">
        <v>14</v>
      </c>
      <c r="E1539" s="16" t="s">
        <v>51</v>
      </c>
      <c r="F1539" s="18">
        <v>1375</v>
      </c>
      <c r="G1539" s="22">
        <v>50</v>
      </c>
      <c r="H1539" s="18">
        <v>4.7228992775098</v>
      </c>
      <c r="I1539" s="18">
        <v>236.14496387548999</v>
      </c>
      <c r="J1539" s="18">
        <v>1138.8550361245</v>
      </c>
      <c r="K1539" s="22">
        <v>0</v>
      </c>
      <c r="L1539" s="22" t="str">
        <f t="shared" ref="L1539:L1602" si="24">(A1539&amp; ", "&amp; B1539&amp; ", "&amp; D1539)</f>
        <v>46235, 5, 14</v>
      </c>
    </row>
    <row r="1540" spans="1:12">
      <c r="A1540" s="9">
        <v>46235</v>
      </c>
      <c r="B1540">
        <v>5</v>
      </c>
      <c r="C1540" s="16" t="s">
        <v>60</v>
      </c>
      <c r="D1540">
        <v>15</v>
      </c>
      <c r="E1540" s="16" t="s">
        <v>52</v>
      </c>
      <c r="F1540" s="18">
        <v>3360</v>
      </c>
      <c r="G1540" s="22">
        <v>140</v>
      </c>
      <c r="H1540" s="18">
        <v>2.80448568894117</v>
      </c>
      <c r="I1540" s="18">
        <v>392.62799645176398</v>
      </c>
      <c r="J1540" s="18">
        <v>2967.3720035482302</v>
      </c>
      <c r="K1540" s="22">
        <v>0</v>
      </c>
      <c r="L1540" s="22" t="str">
        <f t="shared" si="24"/>
        <v>46235, 5, 15</v>
      </c>
    </row>
    <row r="1541" spans="1:12">
      <c r="A1541" s="9">
        <v>46235</v>
      </c>
      <c r="B1541">
        <v>5</v>
      </c>
      <c r="C1541" s="16" t="s">
        <v>60</v>
      </c>
      <c r="D1541">
        <v>16</v>
      </c>
      <c r="E1541" s="16" t="s">
        <v>53</v>
      </c>
      <c r="F1541" s="18">
        <v>585</v>
      </c>
      <c r="G1541" s="22">
        <v>65</v>
      </c>
      <c r="H1541" s="18">
        <v>1.6545122889999999</v>
      </c>
      <c r="I1541" s="18">
        <v>107.543298785</v>
      </c>
      <c r="J1541" s="18">
        <v>477.45670121500001</v>
      </c>
      <c r="K1541" s="22">
        <v>0</v>
      </c>
      <c r="L1541" s="22" t="str">
        <f t="shared" si="24"/>
        <v>46235, 5, 16</v>
      </c>
    </row>
    <row r="1542" spans="1:12">
      <c r="A1542" s="9">
        <v>46235</v>
      </c>
      <c r="B1542">
        <v>5</v>
      </c>
      <c r="C1542" s="16" t="s">
        <v>60</v>
      </c>
      <c r="D1542">
        <v>17</v>
      </c>
      <c r="E1542" s="16" t="s">
        <v>54</v>
      </c>
      <c r="F1542" s="18">
        <v>1125</v>
      </c>
      <c r="G1542" s="22">
        <v>150</v>
      </c>
      <c r="H1542" s="18">
        <v>1.47642909111111</v>
      </c>
      <c r="I1542" s="18">
        <v>221.464363666666</v>
      </c>
      <c r="J1542" s="18">
        <v>903.53563633333295</v>
      </c>
      <c r="K1542" s="22">
        <v>0</v>
      </c>
      <c r="L1542" s="22" t="str">
        <f t="shared" si="24"/>
        <v>46235, 5, 17</v>
      </c>
    </row>
    <row r="1543" spans="1:12">
      <c r="A1543" s="9">
        <v>46235</v>
      </c>
      <c r="B1543">
        <v>5</v>
      </c>
      <c r="C1543" s="16" t="s">
        <v>60</v>
      </c>
      <c r="D1543">
        <v>18</v>
      </c>
      <c r="E1543" s="16" t="s">
        <v>55</v>
      </c>
      <c r="F1543" s="18">
        <v>2323</v>
      </c>
      <c r="G1543" s="22">
        <v>101</v>
      </c>
      <c r="H1543" s="18">
        <v>6.1372884161176398</v>
      </c>
      <c r="I1543" s="18">
        <v>619.86613002788204</v>
      </c>
      <c r="J1543" s="18">
        <v>1703.13386997211</v>
      </c>
      <c r="K1543" s="22">
        <v>0</v>
      </c>
      <c r="L1543" s="22" t="str">
        <f t="shared" si="24"/>
        <v>46235, 5, 18</v>
      </c>
    </row>
    <row r="1544" spans="1:12">
      <c r="A1544" s="9">
        <v>46266</v>
      </c>
      <c r="B1544">
        <v>5</v>
      </c>
      <c r="C1544" s="16" t="s">
        <v>60</v>
      </c>
      <c r="D1544">
        <v>11</v>
      </c>
      <c r="E1544" s="16" t="s">
        <v>48</v>
      </c>
      <c r="F1544" s="18">
        <v>2163</v>
      </c>
      <c r="G1544" s="22">
        <v>103</v>
      </c>
      <c r="H1544" s="18">
        <v>2.1903027499999999</v>
      </c>
      <c r="I1544" s="18">
        <v>225.60118324999999</v>
      </c>
      <c r="J1544" s="18">
        <v>1937.3988167499999</v>
      </c>
      <c r="K1544" s="22">
        <v>0</v>
      </c>
      <c r="L1544" s="22" t="str">
        <f t="shared" si="24"/>
        <v>46266, 5, 11</v>
      </c>
    </row>
    <row r="1545" spans="1:12">
      <c r="A1545" s="9">
        <v>46266</v>
      </c>
      <c r="B1545">
        <v>5</v>
      </c>
      <c r="C1545" s="16" t="s">
        <v>60</v>
      </c>
      <c r="D1545">
        <v>12</v>
      </c>
      <c r="E1545" s="16" t="s">
        <v>49</v>
      </c>
      <c r="F1545" s="18">
        <v>2128.5</v>
      </c>
      <c r="G1545" s="22">
        <v>99</v>
      </c>
      <c r="H1545" s="18">
        <v>2.5585727193529402</v>
      </c>
      <c r="I1545" s="18">
        <v>253.29869921594101</v>
      </c>
      <c r="J1545" s="18">
        <v>1875.2013007840501</v>
      </c>
      <c r="K1545" s="22">
        <v>0</v>
      </c>
      <c r="L1545" s="22" t="str">
        <f t="shared" si="24"/>
        <v>46266, 5, 12</v>
      </c>
    </row>
    <row r="1546" spans="1:12">
      <c r="A1546" s="9">
        <v>46266</v>
      </c>
      <c r="B1546">
        <v>5</v>
      </c>
      <c r="C1546" s="16" t="s">
        <v>60</v>
      </c>
      <c r="D1546">
        <v>13</v>
      </c>
      <c r="E1546" s="16" t="s">
        <v>50</v>
      </c>
      <c r="F1546" s="18">
        <v>1395</v>
      </c>
      <c r="G1546" s="22">
        <v>62</v>
      </c>
      <c r="H1546" s="18">
        <v>7.2832086923076904</v>
      </c>
      <c r="I1546" s="18">
        <v>451.55893892307603</v>
      </c>
      <c r="J1546" s="18">
        <v>943.44106107692301</v>
      </c>
      <c r="K1546" s="22">
        <v>0</v>
      </c>
      <c r="L1546" s="22" t="str">
        <f t="shared" si="24"/>
        <v>46266, 5, 13</v>
      </c>
    </row>
    <row r="1547" spans="1:12">
      <c r="A1547" s="9">
        <v>46266</v>
      </c>
      <c r="B1547">
        <v>5</v>
      </c>
      <c r="C1547" s="16" t="s">
        <v>60</v>
      </c>
      <c r="D1547">
        <v>14</v>
      </c>
      <c r="E1547" s="16" t="s">
        <v>51</v>
      </c>
      <c r="F1547" s="18">
        <v>1237.5</v>
      </c>
      <c r="G1547" s="22">
        <v>45</v>
      </c>
      <c r="H1547" s="18">
        <v>4.7458293278627401</v>
      </c>
      <c r="I1547" s="18">
        <v>213.562319753823</v>
      </c>
      <c r="J1547" s="18">
        <v>1023.93768024617</v>
      </c>
      <c r="K1547" s="22">
        <v>0</v>
      </c>
      <c r="L1547" s="22" t="str">
        <f t="shared" si="24"/>
        <v>46266, 5, 14</v>
      </c>
    </row>
    <row r="1548" spans="1:12">
      <c r="A1548" s="9">
        <v>46266</v>
      </c>
      <c r="B1548">
        <v>5</v>
      </c>
      <c r="C1548" s="16" t="s">
        <v>60</v>
      </c>
      <c r="D1548">
        <v>15</v>
      </c>
      <c r="E1548" s="16" t="s">
        <v>52</v>
      </c>
      <c r="F1548" s="18">
        <v>2784</v>
      </c>
      <c r="G1548" s="22">
        <v>116</v>
      </c>
      <c r="H1548" s="18">
        <v>2.85057279847058</v>
      </c>
      <c r="I1548" s="18">
        <v>330.66644462258802</v>
      </c>
      <c r="J1548" s="18">
        <v>2453.33355537741</v>
      </c>
      <c r="K1548" s="22">
        <v>0</v>
      </c>
      <c r="L1548" s="22" t="str">
        <f t="shared" si="24"/>
        <v>46266, 5, 15</v>
      </c>
    </row>
    <row r="1549" spans="1:12">
      <c r="A1549" s="9">
        <v>46266</v>
      </c>
      <c r="B1549">
        <v>5</v>
      </c>
      <c r="C1549" s="16" t="s">
        <v>60</v>
      </c>
      <c r="D1549">
        <v>16</v>
      </c>
      <c r="E1549" s="16" t="s">
        <v>53</v>
      </c>
      <c r="F1549" s="18">
        <v>603</v>
      </c>
      <c r="G1549" s="22">
        <v>67</v>
      </c>
      <c r="H1549" s="18">
        <v>1.64530663138888</v>
      </c>
      <c r="I1549" s="18">
        <v>110.23554430305499</v>
      </c>
      <c r="J1549" s="18">
        <v>492.76445569694403</v>
      </c>
      <c r="K1549" s="22">
        <v>0</v>
      </c>
      <c r="L1549" s="22" t="str">
        <f t="shared" si="24"/>
        <v>46266, 5, 16</v>
      </c>
    </row>
    <row r="1550" spans="1:12">
      <c r="A1550" s="9">
        <v>46266</v>
      </c>
      <c r="B1550">
        <v>5</v>
      </c>
      <c r="C1550" s="16" t="s">
        <v>60</v>
      </c>
      <c r="D1550">
        <v>17</v>
      </c>
      <c r="E1550" s="16" t="s">
        <v>54</v>
      </c>
      <c r="F1550" s="18">
        <v>892.5</v>
      </c>
      <c r="G1550" s="22">
        <v>119</v>
      </c>
      <c r="H1550" s="18">
        <v>1.48117494545454</v>
      </c>
      <c r="I1550" s="18">
        <v>176.25981850909</v>
      </c>
      <c r="J1550" s="18">
        <v>716.24018149090898</v>
      </c>
      <c r="K1550" s="22">
        <v>0</v>
      </c>
      <c r="L1550" s="22" t="str">
        <f t="shared" si="24"/>
        <v>46266, 5, 17</v>
      </c>
    </row>
    <row r="1551" spans="1:12">
      <c r="A1551" s="9">
        <v>46266</v>
      </c>
      <c r="B1551">
        <v>5</v>
      </c>
      <c r="C1551" s="16" t="s">
        <v>60</v>
      </c>
      <c r="D1551">
        <v>18</v>
      </c>
      <c r="E1551" s="16" t="s">
        <v>55</v>
      </c>
      <c r="F1551" s="18">
        <v>1633</v>
      </c>
      <c r="G1551" s="22">
        <v>71</v>
      </c>
      <c r="H1551" s="18">
        <v>6.1588438229558804</v>
      </c>
      <c r="I1551" s="18">
        <v>437.277911429867</v>
      </c>
      <c r="J1551" s="18">
        <v>1195.7220885701299</v>
      </c>
      <c r="K1551" s="22">
        <v>0</v>
      </c>
      <c r="L1551" s="22" t="str">
        <f t="shared" si="24"/>
        <v>46266, 5, 18</v>
      </c>
    </row>
    <row r="1552" spans="1:12">
      <c r="A1552" s="9">
        <v>46266</v>
      </c>
      <c r="B1552">
        <v>5</v>
      </c>
      <c r="C1552" s="16" t="s">
        <v>60</v>
      </c>
      <c r="D1552">
        <v>1</v>
      </c>
      <c r="E1552" s="16" t="s">
        <v>38</v>
      </c>
      <c r="F1552" s="18">
        <v>2537</v>
      </c>
      <c r="G1552" s="22">
        <v>118</v>
      </c>
      <c r="H1552" s="18">
        <v>4.3955490357142804</v>
      </c>
      <c r="I1552" s="18">
        <v>518.67478621428495</v>
      </c>
      <c r="J1552" s="18">
        <v>2018.32521378571</v>
      </c>
      <c r="K1552" s="22">
        <v>0</v>
      </c>
      <c r="L1552" s="22" t="str">
        <f t="shared" si="24"/>
        <v>46266, 5, 1</v>
      </c>
    </row>
    <row r="1553" spans="1:12">
      <c r="A1553" s="9">
        <v>46266</v>
      </c>
      <c r="B1553">
        <v>5</v>
      </c>
      <c r="C1553" s="16" t="s">
        <v>60</v>
      </c>
      <c r="D1553">
        <v>2</v>
      </c>
      <c r="E1553" s="16" t="s">
        <v>40</v>
      </c>
      <c r="F1553" s="18">
        <v>3240</v>
      </c>
      <c r="G1553" s="22">
        <v>135</v>
      </c>
      <c r="H1553" s="18">
        <v>7.2788861977272701</v>
      </c>
      <c r="I1553" s="18">
        <v>982.64963669318104</v>
      </c>
      <c r="J1553" s="18">
        <v>2257.3503633068099</v>
      </c>
      <c r="K1553" s="22">
        <v>0</v>
      </c>
      <c r="L1553" s="22" t="str">
        <f t="shared" si="24"/>
        <v>46266, 5, 2</v>
      </c>
    </row>
    <row r="1554" spans="1:12">
      <c r="A1554" s="9">
        <v>46266</v>
      </c>
      <c r="B1554">
        <v>5</v>
      </c>
      <c r="C1554" s="16" t="s">
        <v>60</v>
      </c>
      <c r="D1554">
        <v>3</v>
      </c>
      <c r="E1554" s="16" t="s">
        <v>41</v>
      </c>
      <c r="F1554" s="18">
        <v>1725</v>
      </c>
      <c r="G1554" s="22">
        <v>69</v>
      </c>
      <c r="H1554" s="18">
        <v>3.5370117784705801</v>
      </c>
      <c r="I1554" s="18">
        <v>244.05381271447001</v>
      </c>
      <c r="J1554" s="18">
        <v>1480.94618728552</v>
      </c>
      <c r="K1554" s="22">
        <v>0</v>
      </c>
      <c r="L1554" s="22" t="str">
        <f t="shared" si="24"/>
        <v>46266, 5, 3</v>
      </c>
    </row>
    <row r="1555" spans="1:12">
      <c r="A1555" s="9">
        <v>46266</v>
      </c>
      <c r="B1555">
        <v>5</v>
      </c>
      <c r="C1555" s="16" t="s">
        <v>60</v>
      </c>
      <c r="D1555">
        <v>4</v>
      </c>
      <c r="E1555" s="16" t="s">
        <v>42</v>
      </c>
      <c r="F1555" s="18">
        <v>2378</v>
      </c>
      <c r="G1555" s="22">
        <v>116</v>
      </c>
      <c r="H1555" s="18">
        <v>7.3520918644545397</v>
      </c>
      <c r="I1555" s="18">
        <v>852.84265627672698</v>
      </c>
      <c r="J1555" s="18">
        <v>1525.1573437232701</v>
      </c>
      <c r="K1555" s="22">
        <v>0</v>
      </c>
      <c r="L1555" s="22" t="str">
        <f t="shared" si="24"/>
        <v>46266, 5, 4</v>
      </c>
    </row>
    <row r="1556" spans="1:12">
      <c r="A1556" s="9">
        <v>46266</v>
      </c>
      <c r="B1556">
        <v>5</v>
      </c>
      <c r="C1556" s="16" t="s">
        <v>60</v>
      </c>
      <c r="D1556">
        <v>7</v>
      </c>
      <c r="E1556" s="16" t="s">
        <v>45</v>
      </c>
      <c r="F1556" s="18">
        <v>777</v>
      </c>
      <c r="G1556" s="22">
        <v>74</v>
      </c>
      <c r="H1556" s="18">
        <v>3.0035847174999999</v>
      </c>
      <c r="I1556" s="18">
        <v>222.26526909500001</v>
      </c>
      <c r="J1556" s="18">
        <v>554.73473090499999</v>
      </c>
      <c r="K1556" s="22">
        <v>0</v>
      </c>
      <c r="L1556" s="22" t="str">
        <f t="shared" si="24"/>
        <v>46266, 5, 7</v>
      </c>
    </row>
    <row r="1557" spans="1:12">
      <c r="A1557" s="9">
        <v>46266</v>
      </c>
      <c r="B1557">
        <v>5</v>
      </c>
      <c r="C1557" s="16" t="s">
        <v>60</v>
      </c>
      <c r="D1557">
        <v>8</v>
      </c>
      <c r="E1557" s="16" t="s">
        <v>46</v>
      </c>
      <c r="F1557" s="18">
        <v>540</v>
      </c>
      <c r="G1557" s="22">
        <v>45</v>
      </c>
      <c r="H1557" s="18">
        <v>0.66423437377777705</v>
      </c>
      <c r="I1557" s="18">
        <v>29.890546820000001</v>
      </c>
      <c r="J1557" s="18">
        <v>510.10945317999898</v>
      </c>
      <c r="K1557" s="22">
        <v>0</v>
      </c>
      <c r="L1557" s="22" t="str">
        <f t="shared" si="24"/>
        <v>46266, 5, 8</v>
      </c>
    </row>
    <row r="1558" spans="1:12">
      <c r="A1558" s="9">
        <v>46266</v>
      </c>
      <c r="B1558">
        <v>5</v>
      </c>
      <c r="C1558" s="16" t="s">
        <v>60</v>
      </c>
      <c r="D1558">
        <v>10</v>
      </c>
      <c r="E1558" s="16" t="s">
        <v>57</v>
      </c>
      <c r="F1558" s="18">
        <v>882</v>
      </c>
      <c r="G1558" s="22">
        <v>63</v>
      </c>
      <c r="H1558" s="18">
        <v>1.8835333806000001</v>
      </c>
      <c r="I1558" s="18">
        <v>118.66260297780001</v>
      </c>
      <c r="J1558" s="18">
        <v>763.33739702219998</v>
      </c>
      <c r="K1558" s="22">
        <v>0</v>
      </c>
      <c r="L1558" s="22" t="str">
        <f t="shared" si="24"/>
        <v>46266, 5, 10</v>
      </c>
    </row>
    <row r="1559" spans="1:12">
      <c r="A1559" s="9">
        <v>45689</v>
      </c>
      <c r="B1559">
        <v>6</v>
      </c>
      <c r="C1559" s="16" t="s">
        <v>61</v>
      </c>
      <c r="D1559">
        <v>1</v>
      </c>
      <c r="E1559" s="16" t="s">
        <v>38</v>
      </c>
      <c r="F1559" s="18">
        <v>5313</v>
      </c>
      <c r="G1559" s="22">
        <v>231</v>
      </c>
      <c r="H1559" s="18">
        <v>4.4192849166666601</v>
      </c>
      <c r="I1559" s="18">
        <v>1020.8548157499999</v>
      </c>
      <c r="J1559" s="18">
        <v>4292.1451842499901</v>
      </c>
      <c r="K1559" s="22">
        <v>0</v>
      </c>
      <c r="L1559" s="22" t="str">
        <f t="shared" si="24"/>
        <v>45689, 6, 1</v>
      </c>
    </row>
    <row r="1560" spans="1:12">
      <c r="A1560" s="9">
        <v>45689</v>
      </c>
      <c r="B1560">
        <v>6</v>
      </c>
      <c r="C1560" s="16" t="s">
        <v>61</v>
      </c>
      <c r="D1560">
        <v>2</v>
      </c>
      <c r="E1560" s="16" t="s">
        <v>40</v>
      </c>
      <c r="F1560" s="18">
        <v>6451.5</v>
      </c>
      <c r="G1560" s="22">
        <v>253</v>
      </c>
      <c r="H1560" s="18">
        <v>7.5602519541250004</v>
      </c>
      <c r="I1560" s="18">
        <v>1912.7437443936201</v>
      </c>
      <c r="J1560" s="18">
        <v>4538.7562556063704</v>
      </c>
      <c r="K1560" s="22">
        <v>0</v>
      </c>
      <c r="L1560" s="22" t="str">
        <f t="shared" si="24"/>
        <v>45689, 6, 2</v>
      </c>
    </row>
    <row r="1561" spans="1:12">
      <c r="A1561" s="9">
        <v>45689</v>
      </c>
      <c r="B1561">
        <v>6</v>
      </c>
      <c r="C1561" s="16" t="s">
        <v>61</v>
      </c>
      <c r="D1561">
        <v>3</v>
      </c>
      <c r="E1561" s="16" t="s">
        <v>41</v>
      </c>
      <c r="F1561" s="18">
        <v>4104</v>
      </c>
      <c r="G1561" s="22">
        <v>152</v>
      </c>
      <c r="H1561" s="18">
        <v>3.60621278675</v>
      </c>
      <c r="I1561" s="18">
        <v>548.14434358599999</v>
      </c>
      <c r="J1561" s="18">
        <v>3555.8556564139999</v>
      </c>
      <c r="K1561" s="22">
        <v>0</v>
      </c>
      <c r="L1561" s="22" t="str">
        <f t="shared" si="24"/>
        <v>45689, 6, 3</v>
      </c>
    </row>
    <row r="1562" spans="1:12">
      <c r="A1562" s="9">
        <v>45689</v>
      </c>
      <c r="B1562">
        <v>6</v>
      </c>
      <c r="C1562" s="16" t="s">
        <v>61</v>
      </c>
      <c r="D1562">
        <v>4</v>
      </c>
      <c r="E1562" s="16" t="s">
        <v>42</v>
      </c>
      <c r="F1562" s="18">
        <v>2816</v>
      </c>
      <c r="G1562" s="22">
        <v>128</v>
      </c>
      <c r="H1562" s="18">
        <v>7.8870578457500002</v>
      </c>
      <c r="I1562" s="18">
        <v>1009.543404256</v>
      </c>
      <c r="J1562" s="18">
        <v>1806.456595744</v>
      </c>
      <c r="K1562" s="22">
        <v>0</v>
      </c>
      <c r="L1562" s="22" t="str">
        <f t="shared" si="24"/>
        <v>45689, 6, 4</v>
      </c>
    </row>
    <row r="1563" spans="1:12">
      <c r="A1563" s="9">
        <v>45689</v>
      </c>
      <c r="B1563">
        <v>6</v>
      </c>
      <c r="C1563" s="16" t="s">
        <v>61</v>
      </c>
      <c r="D1563">
        <v>5</v>
      </c>
      <c r="E1563" s="16" t="s">
        <v>43</v>
      </c>
      <c r="F1563" s="18">
        <v>1760</v>
      </c>
      <c r="G1563" s="22">
        <v>80</v>
      </c>
      <c r="H1563" s="18">
        <v>7.4329687499999997</v>
      </c>
      <c r="I1563" s="18">
        <v>594.63750000000005</v>
      </c>
      <c r="J1563" s="18">
        <v>1165.3625</v>
      </c>
      <c r="K1563" s="22">
        <v>0</v>
      </c>
      <c r="L1563" s="22" t="str">
        <f t="shared" si="24"/>
        <v>45689, 6, 5</v>
      </c>
    </row>
    <row r="1564" spans="1:12">
      <c r="A1564" s="9">
        <v>45689</v>
      </c>
      <c r="B1564">
        <v>6</v>
      </c>
      <c r="C1564" s="16" t="s">
        <v>61</v>
      </c>
      <c r="D1564">
        <v>6</v>
      </c>
      <c r="E1564" s="16" t="s">
        <v>44</v>
      </c>
      <c r="F1564" s="18">
        <v>4512</v>
      </c>
      <c r="G1564" s="22">
        <v>188</v>
      </c>
      <c r="H1564" s="18">
        <v>5.3653238264374998</v>
      </c>
      <c r="I1564" s="18">
        <v>1008.68087937025</v>
      </c>
      <c r="J1564" s="18">
        <v>3503.3191206297502</v>
      </c>
      <c r="K1564" s="22">
        <v>0</v>
      </c>
      <c r="L1564" s="22" t="str">
        <f t="shared" si="24"/>
        <v>45689, 6, 6</v>
      </c>
    </row>
    <row r="1565" spans="1:12">
      <c r="A1565" s="9">
        <v>45689</v>
      </c>
      <c r="B1565">
        <v>6</v>
      </c>
      <c r="C1565" s="16" t="s">
        <v>61</v>
      </c>
      <c r="D1565">
        <v>7</v>
      </c>
      <c r="E1565" s="16" t="s">
        <v>45</v>
      </c>
      <c r="F1565" s="18">
        <v>2970</v>
      </c>
      <c r="G1565" s="22">
        <v>270</v>
      </c>
      <c r="H1565" s="18">
        <v>3.11051902764705</v>
      </c>
      <c r="I1565" s="18">
        <v>839.84013746470498</v>
      </c>
      <c r="J1565" s="18">
        <v>2130.1598625352899</v>
      </c>
      <c r="K1565" s="22">
        <v>0</v>
      </c>
      <c r="L1565" s="22" t="str">
        <f t="shared" si="24"/>
        <v>45689, 6, 7</v>
      </c>
    </row>
    <row r="1566" spans="1:12">
      <c r="A1566" s="9">
        <v>45689</v>
      </c>
      <c r="B1566">
        <v>6</v>
      </c>
      <c r="C1566" s="16" t="s">
        <v>61</v>
      </c>
      <c r="D1566">
        <v>8</v>
      </c>
      <c r="E1566" s="16" t="s">
        <v>46</v>
      </c>
      <c r="F1566" s="18">
        <v>1742</v>
      </c>
      <c r="G1566" s="22">
        <v>134</v>
      </c>
      <c r="H1566" s="18">
        <v>0.67819911928571397</v>
      </c>
      <c r="I1566" s="18">
        <v>90.878681984285706</v>
      </c>
      <c r="J1566" s="18">
        <v>1651.1213180157099</v>
      </c>
      <c r="K1566" s="22">
        <v>0</v>
      </c>
      <c r="L1566" s="22" t="str">
        <f t="shared" si="24"/>
        <v>45689, 6, 8</v>
      </c>
    </row>
    <row r="1567" spans="1:12">
      <c r="A1567" s="9">
        <v>45689</v>
      </c>
      <c r="B1567">
        <v>6</v>
      </c>
      <c r="C1567" s="16" t="s">
        <v>61</v>
      </c>
      <c r="D1567">
        <v>9</v>
      </c>
      <c r="E1567" s="16" t="s">
        <v>47</v>
      </c>
      <c r="F1567" s="18">
        <v>5564</v>
      </c>
      <c r="G1567" s="22">
        <v>107</v>
      </c>
      <c r="H1567" s="18">
        <v>18.532797575526999</v>
      </c>
      <c r="I1567" s="18">
        <v>1983.00934058138</v>
      </c>
      <c r="J1567" s="18">
        <v>3580.99065941861</v>
      </c>
      <c r="K1567" s="22">
        <v>0</v>
      </c>
      <c r="L1567" s="22" t="str">
        <f t="shared" si="24"/>
        <v>45689, 6, 9</v>
      </c>
    </row>
    <row r="1568" spans="1:12">
      <c r="A1568" s="9">
        <v>45689</v>
      </c>
      <c r="B1568">
        <v>6</v>
      </c>
      <c r="C1568" s="16" t="s">
        <v>61</v>
      </c>
      <c r="D1568">
        <v>10</v>
      </c>
      <c r="E1568" s="16" t="s">
        <v>57</v>
      </c>
      <c r="F1568" s="18">
        <v>1290</v>
      </c>
      <c r="G1568" s="22">
        <v>86</v>
      </c>
      <c r="H1568" s="18">
        <v>2.1321037791299999</v>
      </c>
      <c r="I1568" s="18">
        <v>183.36092500518001</v>
      </c>
      <c r="J1568" s="18">
        <v>1106.63907499482</v>
      </c>
      <c r="K1568" s="22">
        <v>0</v>
      </c>
      <c r="L1568" s="22" t="str">
        <f t="shared" si="24"/>
        <v>45689, 6, 10</v>
      </c>
    </row>
    <row r="1569" spans="1:12">
      <c r="A1569" s="9">
        <v>45689</v>
      </c>
      <c r="B1569">
        <v>6</v>
      </c>
      <c r="C1569" s="16" t="s">
        <v>61</v>
      </c>
      <c r="D1569">
        <v>11</v>
      </c>
      <c r="E1569" s="16" t="s">
        <v>48</v>
      </c>
      <c r="F1569" s="18">
        <v>3410</v>
      </c>
      <c r="G1569" s="22">
        <v>155</v>
      </c>
      <c r="H1569" s="18">
        <v>2.08590266666666</v>
      </c>
      <c r="I1569" s="18">
        <v>323.31491333333298</v>
      </c>
      <c r="J1569" s="18">
        <v>3086.68508666666</v>
      </c>
      <c r="K1569" s="22">
        <v>0</v>
      </c>
      <c r="L1569" s="22" t="str">
        <f t="shared" si="24"/>
        <v>45689, 6, 11</v>
      </c>
    </row>
    <row r="1570" spans="1:12">
      <c r="A1570" s="9">
        <v>45689</v>
      </c>
      <c r="B1570">
        <v>6</v>
      </c>
      <c r="C1570" s="16" t="s">
        <v>61</v>
      </c>
      <c r="D1570">
        <v>12</v>
      </c>
      <c r="E1570" s="16" t="s">
        <v>49</v>
      </c>
      <c r="F1570" s="18">
        <v>3956</v>
      </c>
      <c r="G1570" s="22">
        <v>172</v>
      </c>
      <c r="H1570" s="18">
        <v>2.6486946345312501</v>
      </c>
      <c r="I1570" s="18">
        <v>455.57547713937498</v>
      </c>
      <c r="J1570" s="18">
        <v>3500.4245228606201</v>
      </c>
      <c r="K1570" s="22">
        <v>0</v>
      </c>
      <c r="L1570" s="22" t="str">
        <f t="shared" si="24"/>
        <v>45689, 6, 12</v>
      </c>
    </row>
    <row r="1571" spans="1:12">
      <c r="A1571" s="9">
        <v>45689</v>
      </c>
      <c r="B1571">
        <v>6</v>
      </c>
      <c r="C1571" s="16" t="s">
        <v>61</v>
      </c>
      <c r="D1571">
        <v>13</v>
      </c>
      <c r="E1571" s="16" t="s">
        <v>50</v>
      </c>
      <c r="F1571" s="18">
        <v>4776</v>
      </c>
      <c r="G1571" s="22">
        <v>199</v>
      </c>
      <c r="H1571" s="18">
        <v>7.4034252499999997</v>
      </c>
      <c r="I1571" s="18">
        <v>1473.28162475</v>
      </c>
      <c r="J1571" s="18">
        <v>3302.71837525</v>
      </c>
      <c r="K1571" s="22">
        <v>0</v>
      </c>
      <c r="L1571" s="22" t="str">
        <f t="shared" si="24"/>
        <v>45689, 6, 13</v>
      </c>
    </row>
    <row r="1572" spans="1:12">
      <c r="A1572" s="9">
        <v>45689</v>
      </c>
      <c r="B1572">
        <v>6</v>
      </c>
      <c r="C1572" s="16" t="s">
        <v>61</v>
      </c>
      <c r="D1572">
        <v>14</v>
      </c>
      <c r="E1572" s="16" t="s">
        <v>51</v>
      </c>
      <c r="F1572" s="18">
        <v>3097.5</v>
      </c>
      <c r="G1572" s="22">
        <v>105</v>
      </c>
      <c r="H1572" s="18">
        <v>4.8680921592638802</v>
      </c>
      <c r="I1572" s="18">
        <v>511.14967672270802</v>
      </c>
      <c r="J1572" s="18">
        <v>2586.35032327729</v>
      </c>
      <c r="K1572" s="22">
        <v>0</v>
      </c>
      <c r="L1572" s="22" t="str">
        <f t="shared" si="24"/>
        <v>45689, 6, 14</v>
      </c>
    </row>
    <row r="1573" spans="1:12">
      <c r="A1573" s="9">
        <v>45689</v>
      </c>
      <c r="B1573">
        <v>6</v>
      </c>
      <c r="C1573" s="16" t="s">
        <v>61</v>
      </c>
      <c r="D1573">
        <v>15</v>
      </c>
      <c r="E1573" s="16" t="s">
        <v>52</v>
      </c>
      <c r="F1573" s="18">
        <v>3570</v>
      </c>
      <c r="G1573" s="22">
        <v>140</v>
      </c>
      <c r="H1573" s="18">
        <v>2.8523014839999998</v>
      </c>
      <c r="I1573" s="18">
        <v>399.32220776000003</v>
      </c>
      <c r="J1573" s="18">
        <v>3170.6777922400001</v>
      </c>
      <c r="K1573" s="22">
        <v>0</v>
      </c>
      <c r="L1573" s="22" t="str">
        <f t="shared" si="24"/>
        <v>45689, 6, 15</v>
      </c>
    </row>
    <row r="1574" spans="1:12">
      <c r="A1574" s="9">
        <v>45689</v>
      </c>
      <c r="B1574">
        <v>6</v>
      </c>
      <c r="C1574" s="16" t="s">
        <v>61</v>
      </c>
      <c r="D1574">
        <v>16</v>
      </c>
      <c r="E1574" s="16" t="s">
        <v>53</v>
      </c>
      <c r="F1574" s="18">
        <v>1125</v>
      </c>
      <c r="G1574" s="22">
        <v>125</v>
      </c>
      <c r="H1574" s="18">
        <v>1.6321510996666599</v>
      </c>
      <c r="I1574" s="18">
        <v>204.01888745833301</v>
      </c>
      <c r="J1574" s="18">
        <v>920.98111254166599</v>
      </c>
      <c r="K1574" s="22">
        <v>0</v>
      </c>
      <c r="L1574" s="22" t="str">
        <f t="shared" si="24"/>
        <v>45689, 6, 16</v>
      </c>
    </row>
    <row r="1575" spans="1:12">
      <c r="A1575" s="9">
        <v>45689</v>
      </c>
      <c r="B1575">
        <v>6</v>
      </c>
      <c r="C1575" s="16" t="s">
        <v>61</v>
      </c>
      <c r="D1575">
        <v>17</v>
      </c>
      <c r="E1575" s="16" t="s">
        <v>54</v>
      </c>
      <c r="F1575" s="18">
        <v>1190</v>
      </c>
      <c r="G1575" s="22">
        <v>140</v>
      </c>
      <c r="H1575" s="18">
        <v>1.4946782534375</v>
      </c>
      <c r="I1575" s="18">
        <v>209.25495548124999</v>
      </c>
      <c r="J1575" s="18">
        <v>980.74504451874998</v>
      </c>
      <c r="K1575" s="22">
        <v>0</v>
      </c>
      <c r="L1575" s="22" t="str">
        <f t="shared" si="24"/>
        <v>45689, 6, 17</v>
      </c>
    </row>
    <row r="1576" spans="1:12">
      <c r="A1576" s="9">
        <v>45689</v>
      </c>
      <c r="B1576">
        <v>6</v>
      </c>
      <c r="C1576" s="16" t="s">
        <v>61</v>
      </c>
      <c r="D1576">
        <v>18</v>
      </c>
      <c r="E1576" s="16" t="s">
        <v>55</v>
      </c>
      <c r="F1576" s="18">
        <v>2075</v>
      </c>
      <c r="G1576" s="22">
        <v>83</v>
      </c>
      <c r="H1576" s="18">
        <v>6.2633311953249997</v>
      </c>
      <c r="I1576" s="18">
        <v>519.85648921197503</v>
      </c>
      <c r="J1576" s="18">
        <v>1555.14351078802</v>
      </c>
      <c r="K1576" s="22">
        <v>0</v>
      </c>
      <c r="L1576" s="22" t="str">
        <f t="shared" si="24"/>
        <v>45689, 6, 18</v>
      </c>
    </row>
    <row r="1577" spans="1:12">
      <c r="A1577" s="9">
        <v>45717</v>
      </c>
      <c r="B1577">
        <v>6</v>
      </c>
      <c r="C1577" s="16" t="s">
        <v>61</v>
      </c>
      <c r="D1577">
        <v>1</v>
      </c>
      <c r="E1577" s="16" t="s">
        <v>38</v>
      </c>
      <c r="F1577" s="18">
        <v>5313</v>
      </c>
      <c r="G1577" s="22">
        <v>231</v>
      </c>
      <c r="H1577" s="18">
        <v>4.3958387647058803</v>
      </c>
      <c r="I1577" s="18">
        <v>1015.43875464705</v>
      </c>
      <c r="J1577" s="18">
        <v>4297.5612453529402</v>
      </c>
      <c r="K1577" s="22">
        <v>0</v>
      </c>
      <c r="L1577" s="22" t="str">
        <f t="shared" si="24"/>
        <v>45717, 6, 1</v>
      </c>
    </row>
    <row r="1578" spans="1:12">
      <c r="A1578" s="9">
        <v>45717</v>
      </c>
      <c r="B1578">
        <v>6</v>
      </c>
      <c r="C1578" s="16" t="s">
        <v>61</v>
      </c>
      <c r="D1578">
        <v>2</v>
      </c>
      <c r="E1578" s="16" t="s">
        <v>40</v>
      </c>
      <c r="F1578" s="18">
        <v>7165.5</v>
      </c>
      <c r="G1578" s="22">
        <v>281</v>
      </c>
      <c r="H1578" s="18">
        <v>7.6345356657646999</v>
      </c>
      <c r="I1578" s="18">
        <v>2145.3045220798799</v>
      </c>
      <c r="J1578" s="18">
        <v>5020.1954779201096</v>
      </c>
      <c r="K1578" s="22">
        <v>0</v>
      </c>
      <c r="L1578" s="22" t="str">
        <f t="shared" si="24"/>
        <v>45717, 6, 2</v>
      </c>
    </row>
    <row r="1579" spans="1:12">
      <c r="A1579" s="9">
        <v>45717</v>
      </c>
      <c r="B1579">
        <v>6</v>
      </c>
      <c r="C1579" s="16" t="s">
        <v>61</v>
      </c>
      <c r="D1579">
        <v>3</v>
      </c>
      <c r="E1579" s="16" t="s">
        <v>41</v>
      </c>
      <c r="F1579" s="18">
        <v>4050</v>
      </c>
      <c r="G1579" s="22">
        <v>150</v>
      </c>
      <c r="H1579" s="18">
        <v>3.5984385577647</v>
      </c>
      <c r="I1579" s="18">
        <v>539.76578366470505</v>
      </c>
      <c r="J1579" s="18">
        <v>3510.2342163352901</v>
      </c>
      <c r="K1579" s="22">
        <v>0</v>
      </c>
      <c r="L1579" s="22" t="str">
        <f t="shared" si="24"/>
        <v>45717, 6, 3</v>
      </c>
    </row>
    <row r="1580" spans="1:12">
      <c r="A1580" s="9">
        <v>45717</v>
      </c>
      <c r="B1580">
        <v>6</v>
      </c>
      <c r="C1580" s="16" t="s">
        <v>61</v>
      </c>
      <c r="D1580">
        <v>4</v>
      </c>
      <c r="E1580" s="16" t="s">
        <v>42</v>
      </c>
      <c r="F1580" s="18">
        <v>3256</v>
      </c>
      <c r="G1580" s="22">
        <v>148</v>
      </c>
      <c r="H1580" s="18">
        <v>7.8796981411764699</v>
      </c>
      <c r="I1580" s="18">
        <v>1166.1953248941099</v>
      </c>
      <c r="J1580" s="18">
        <v>2089.8046751058801</v>
      </c>
      <c r="K1580" s="22">
        <v>0</v>
      </c>
      <c r="L1580" s="22" t="str">
        <f t="shared" si="24"/>
        <v>45717, 6, 4</v>
      </c>
    </row>
    <row r="1581" spans="1:12">
      <c r="A1581" s="9">
        <v>45717</v>
      </c>
      <c r="B1581">
        <v>6</v>
      </c>
      <c r="C1581" s="16" t="s">
        <v>61</v>
      </c>
      <c r="D1581">
        <v>5</v>
      </c>
      <c r="E1581" s="16" t="s">
        <v>43</v>
      </c>
      <c r="F1581" s="18">
        <v>1628</v>
      </c>
      <c r="G1581" s="22">
        <v>74</v>
      </c>
      <c r="H1581" s="18">
        <v>7.2975735294117596</v>
      </c>
      <c r="I1581" s="18">
        <v>540.02044117646994</v>
      </c>
      <c r="J1581" s="18">
        <v>1087.9795588235199</v>
      </c>
      <c r="K1581" s="22">
        <v>0</v>
      </c>
      <c r="L1581" s="22" t="str">
        <f t="shared" si="24"/>
        <v>45717, 6, 5</v>
      </c>
    </row>
    <row r="1582" spans="1:12">
      <c r="A1582" s="9">
        <v>45717</v>
      </c>
      <c r="B1582">
        <v>6</v>
      </c>
      <c r="C1582" s="16" t="s">
        <v>61</v>
      </c>
      <c r="D1582">
        <v>6</v>
      </c>
      <c r="E1582" s="16" t="s">
        <v>44</v>
      </c>
      <c r="F1582" s="18">
        <v>4320</v>
      </c>
      <c r="G1582" s="22">
        <v>180</v>
      </c>
      <c r="H1582" s="18">
        <v>5.3594539536874999</v>
      </c>
      <c r="I1582" s="18">
        <v>964.70171166374996</v>
      </c>
      <c r="J1582" s="18">
        <v>3355.2982883362502</v>
      </c>
      <c r="K1582" s="22">
        <v>0</v>
      </c>
      <c r="L1582" s="22" t="str">
        <f t="shared" si="24"/>
        <v>45717, 6, 6</v>
      </c>
    </row>
    <row r="1583" spans="1:12">
      <c r="A1583" s="9">
        <v>45717</v>
      </c>
      <c r="B1583">
        <v>6</v>
      </c>
      <c r="C1583" s="16" t="s">
        <v>61</v>
      </c>
      <c r="D1583">
        <v>7</v>
      </c>
      <c r="E1583" s="16" t="s">
        <v>45</v>
      </c>
      <c r="F1583" s="18">
        <v>2486</v>
      </c>
      <c r="G1583" s="22">
        <v>226</v>
      </c>
      <c r="H1583" s="18">
        <v>3.1152774670588199</v>
      </c>
      <c r="I1583" s="18">
        <v>704.05270755529398</v>
      </c>
      <c r="J1583" s="18">
        <v>1781.9472924447</v>
      </c>
      <c r="K1583" s="22">
        <v>0</v>
      </c>
      <c r="L1583" s="22" t="str">
        <f t="shared" si="24"/>
        <v>45717, 6, 7</v>
      </c>
    </row>
    <row r="1584" spans="1:12">
      <c r="A1584" s="9">
        <v>45717</v>
      </c>
      <c r="B1584">
        <v>6</v>
      </c>
      <c r="C1584" s="16" t="s">
        <v>61</v>
      </c>
      <c r="D1584">
        <v>8</v>
      </c>
      <c r="E1584" s="16" t="s">
        <v>46</v>
      </c>
      <c r="F1584" s="18">
        <v>1573</v>
      </c>
      <c r="G1584" s="22">
        <v>121</v>
      </c>
      <c r="H1584" s="18">
        <v>0.71435006624999897</v>
      </c>
      <c r="I1584" s="18">
        <v>86.436358016249898</v>
      </c>
      <c r="J1584" s="18">
        <v>1486.5636419837499</v>
      </c>
      <c r="K1584" s="22">
        <v>0</v>
      </c>
      <c r="L1584" s="22" t="str">
        <f t="shared" si="24"/>
        <v>45717, 6, 8</v>
      </c>
    </row>
    <row r="1585" spans="1:12">
      <c r="A1585" s="9">
        <v>45717</v>
      </c>
      <c r="B1585">
        <v>6</v>
      </c>
      <c r="C1585" s="16" t="s">
        <v>61</v>
      </c>
      <c r="D1585">
        <v>9</v>
      </c>
      <c r="E1585" s="16" t="s">
        <v>47</v>
      </c>
      <c r="F1585" s="18">
        <v>6136</v>
      </c>
      <c r="G1585" s="22">
        <v>118</v>
      </c>
      <c r="H1585" s="18">
        <v>18.6547207310056</v>
      </c>
      <c r="I1585" s="18">
        <v>2201.25704625866</v>
      </c>
      <c r="J1585" s="18">
        <v>3934.74295374133</v>
      </c>
      <c r="K1585" s="22">
        <v>0</v>
      </c>
      <c r="L1585" s="22" t="str">
        <f t="shared" si="24"/>
        <v>45717, 6, 9</v>
      </c>
    </row>
    <row r="1586" spans="1:12">
      <c r="A1586" s="9">
        <v>45717</v>
      </c>
      <c r="B1586">
        <v>6</v>
      </c>
      <c r="C1586" s="16" t="s">
        <v>61</v>
      </c>
      <c r="D1586">
        <v>10</v>
      </c>
      <c r="E1586" s="16" t="s">
        <v>57</v>
      </c>
      <c r="F1586" s="18">
        <v>1455</v>
      </c>
      <c r="G1586" s="22">
        <v>97</v>
      </c>
      <c r="H1586" s="18">
        <v>2.0780103267999999</v>
      </c>
      <c r="I1586" s="18">
        <v>201.56700169960001</v>
      </c>
      <c r="J1586" s="18">
        <v>1253.4329983004</v>
      </c>
      <c r="K1586" s="22">
        <v>0</v>
      </c>
      <c r="L1586" s="22" t="str">
        <f t="shared" si="24"/>
        <v>45717, 6, 10</v>
      </c>
    </row>
    <row r="1587" spans="1:12">
      <c r="A1587" s="9">
        <v>45717</v>
      </c>
      <c r="B1587">
        <v>6</v>
      </c>
      <c r="C1587" s="16" t="s">
        <v>61</v>
      </c>
      <c r="D1587">
        <v>11</v>
      </c>
      <c r="E1587" s="16" t="s">
        <v>48</v>
      </c>
      <c r="F1587" s="18">
        <v>3388</v>
      </c>
      <c r="G1587" s="22">
        <v>154</v>
      </c>
      <c r="H1587" s="18">
        <v>2.0875816428571401</v>
      </c>
      <c r="I1587" s="18">
        <v>321.48757299999897</v>
      </c>
      <c r="J1587" s="18">
        <v>3066.5124270000001</v>
      </c>
      <c r="K1587" s="22">
        <v>0</v>
      </c>
      <c r="L1587" s="22" t="str">
        <f t="shared" si="24"/>
        <v>45717, 6, 11</v>
      </c>
    </row>
    <row r="1588" spans="1:12">
      <c r="A1588" s="9">
        <v>45717</v>
      </c>
      <c r="B1588">
        <v>6</v>
      </c>
      <c r="C1588" s="16" t="s">
        <v>61</v>
      </c>
      <c r="D1588">
        <v>12</v>
      </c>
      <c r="E1588" s="16" t="s">
        <v>49</v>
      </c>
      <c r="F1588" s="18">
        <v>3197</v>
      </c>
      <c r="G1588" s="22">
        <v>139</v>
      </c>
      <c r="H1588" s="18">
        <v>2.7142410419999998</v>
      </c>
      <c r="I1588" s="18">
        <v>377.27950483799998</v>
      </c>
      <c r="J1588" s="18">
        <v>2819.7204951620001</v>
      </c>
      <c r="K1588" s="22">
        <v>0</v>
      </c>
      <c r="L1588" s="22" t="str">
        <f t="shared" si="24"/>
        <v>45717, 6, 12</v>
      </c>
    </row>
    <row r="1589" spans="1:12">
      <c r="A1589" s="9">
        <v>45717</v>
      </c>
      <c r="B1589">
        <v>6</v>
      </c>
      <c r="C1589" s="16" t="s">
        <v>61</v>
      </c>
      <c r="D1589">
        <v>13</v>
      </c>
      <c r="E1589" s="16" t="s">
        <v>50</v>
      </c>
      <c r="F1589" s="18">
        <v>4416</v>
      </c>
      <c r="G1589" s="22">
        <v>184</v>
      </c>
      <c r="H1589" s="18">
        <v>7.4039487777777699</v>
      </c>
      <c r="I1589" s="18">
        <v>1362.3265751111101</v>
      </c>
      <c r="J1589" s="18">
        <v>3053.6734248888802</v>
      </c>
      <c r="K1589" s="22">
        <v>0</v>
      </c>
      <c r="L1589" s="22" t="str">
        <f t="shared" si="24"/>
        <v>45717, 6, 13</v>
      </c>
    </row>
    <row r="1590" spans="1:12">
      <c r="A1590" s="9">
        <v>45717</v>
      </c>
      <c r="B1590">
        <v>6</v>
      </c>
      <c r="C1590" s="16" t="s">
        <v>61</v>
      </c>
      <c r="D1590">
        <v>14</v>
      </c>
      <c r="E1590" s="16" t="s">
        <v>51</v>
      </c>
      <c r="F1590" s="18">
        <v>2891</v>
      </c>
      <c r="G1590" s="22">
        <v>98</v>
      </c>
      <c r="H1590" s="18">
        <v>4.8306108501666598</v>
      </c>
      <c r="I1590" s="18">
        <v>473.39986331633298</v>
      </c>
      <c r="J1590" s="18">
        <v>2417.6001366836599</v>
      </c>
      <c r="K1590" s="22">
        <v>0</v>
      </c>
      <c r="L1590" s="22" t="str">
        <f t="shared" si="24"/>
        <v>45717, 6, 14</v>
      </c>
    </row>
    <row r="1591" spans="1:12">
      <c r="A1591" s="9">
        <v>45717</v>
      </c>
      <c r="B1591">
        <v>6</v>
      </c>
      <c r="C1591" s="16" t="s">
        <v>61</v>
      </c>
      <c r="D1591">
        <v>15</v>
      </c>
      <c r="E1591" s="16" t="s">
        <v>52</v>
      </c>
      <c r="F1591" s="18">
        <v>2932.5</v>
      </c>
      <c r="G1591" s="22">
        <v>115</v>
      </c>
      <c r="H1591" s="18">
        <v>2.8959470835714201</v>
      </c>
      <c r="I1591" s="18">
        <v>333.03391461071402</v>
      </c>
      <c r="J1591" s="18">
        <v>2599.4660853892801</v>
      </c>
      <c r="K1591" s="22">
        <v>0</v>
      </c>
      <c r="L1591" s="22" t="str">
        <f t="shared" si="24"/>
        <v>45717, 6, 15</v>
      </c>
    </row>
    <row r="1592" spans="1:12">
      <c r="A1592" s="9">
        <v>45717</v>
      </c>
      <c r="B1592">
        <v>6</v>
      </c>
      <c r="C1592" s="16" t="s">
        <v>61</v>
      </c>
      <c r="D1592">
        <v>16</v>
      </c>
      <c r="E1592" s="16" t="s">
        <v>53</v>
      </c>
      <c r="F1592" s="18">
        <v>873</v>
      </c>
      <c r="G1592" s="22">
        <v>97</v>
      </c>
      <c r="H1592" s="18">
        <v>1.6365613243589701</v>
      </c>
      <c r="I1592" s="18">
        <v>158.74644846282001</v>
      </c>
      <c r="J1592" s="18">
        <v>714.25355153717896</v>
      </c>
      <c r="K1592" s="22">
        <v>0</v>
      </c>
      <c r="L1592" s="22" t="str">
        <f t="shared" si="24"/>
        <v>45717, 6, 16</v>
      </c>
    </row>
    <row r="1593" spans="1:12">
      <c r="A1593" s="9">
        <v>45717</v>
      </c>
      <c r="B1593">
        <v>6</v>
      </c>
      <c r="C1593" s="16" t="s">
        <v>61</v>
      </c>
      <c r="D1593">
        <v>17</v>
      </c>
      <c r="E1593" s="16" t="s">
        <v>54</v>
      </c>
      <c r="F1593" s="18">
        <v>1436.5</v>
      </c>
      <c r="G1593" s="22">
        <v>169</v>
      </c>
      <c r="H1593" s="18">
        <v>1.5111727358823499</v>
      </c>
      <c r="I1593" s="18">
        <v>255.388192364117</v>
      </c>
      <c r="J1593" s="18">
        <v>1181.11180763588</v>
      </c>
      <c r="K1593" s="22">
        <v>0</v>
      </c>
      <c r="L1593" s="22" t="str">
        <f t="shared" si="24"/>
        <v>45717, 6, 17</v>
      </c>
    </row>
    <row r="1594" spans="1:12">
      <c r="A1594" s="9">
        <v>45717</v>
      </c>
      <c r="B1594">
        <v>6</v>
      </c>
      <c r="C1594" s="16" t="s">
        <v>61</v>
      </c>
      <c r="D1594">
        <v>18</v>
      </c>
      <c r="E1594" s="16" t="s">
        <v>55</v>
      </c>
      <c r="F1594" s="18">
        <v>1975</v>
      </c>
      <c r="G1594" s="22">
        <v>79</v>
      </c>
      <c r="H1594" s="18">
        <v>6.2746269745952299</v>
      </c>
      <c r="I1594" s="18">
        <v>495.695530993023</v>
      </c>
      <c r="J1594" s="18">
        <v>1479.3044690069701</v>
      </c>
      <c r="K1594" s="22">
        <v>0</v>
      </c>
      <c r="L1594" s="22" t="str">
        <f t="shared" si="24"/>
        <v>45717, 6, 18</v>
      </c>
    </row>
    <row r="1595" spans="1:12">
      <c r="A1595" s="9">
        <v>45748</v>
      </c>
      <c r="B1595">
        <v>6</v>
      </c>
      <c r="C1595" s="16" t="s">
        <v>61</v>
      </c>
      <c r="D1595">
        <v>1</v>
      </c>
      <c r="E1595" s="16" t="s">
        <v>38</v>
      </c>
      <c r="F1595" s="18">
        <v>7061</v>
      </c>
      <c r="G1595" s="22">
        <v>307</v>
      </c>
      <c r="H1595" s="18">
        <v>4.4435866911764696</v>
      </c>
      <c r="I1595" s="18">
        <v>1364.1811141911701</v>
      </c>
      <c r="J1595" s="18">
        <v>5696.8188858088197</v>
      </c>
      <c r="K1595" s="22">
        <v>0</v>
      </c>
      <c r="L1595" s="22" t="str">
        <f t="shared" si="24"/>
        <v>45748, 6, 1</v>
      </c>
    </row>
    <row r="1596" spans="1:12">
      <c r="A1596" s="9">
        <v>45748</v>
      </c>
      <c r="B1596">
        <v>6</v>
      </c>
      <c r="C1596" s="16" t="s">
        <v>61</v>
      </c>
      <c r="D1596">
        <v>2</v>
      </c>
      <c r="E1596" s="16" t="s">
        <v>40</v>
      </c>
      <c r="F1596" s="18">
        <v>7726.5</v>
      </c>
      <c r="G1596" s="22">
        <v>303</v>
      </c>
      <c r="H1596" s="18">
        <v>7.5936521388235203</v>
      </c>
      <c r="I1596" s="18">
        <v>2300.8765980635199</v>
      </c>
      <c r="J1596" s="18">
        <v>5425.6234019364701</v>
      </c>
      <c r="K1596" s="22">
        <v>0</v>
      </c>
      <c r="L1596" s="22" t="str">
        <f t="shared" si="24"/>
        <v>45748, 6, 2</v>
      </c>
    </row>
    <row r="1597" spans="1:12">
      <c r="A1597" s="9">
        <v>45748</v>
      </c>
      <c r="B1597">
        <v>6</v>
      </c>
      <c r="C1597" s="16" t="s">
        <v>61</v>
      </c>
      <c r="D1597">
        <v>3</v>
      </c>
      <c r="E1597" s="16" t="s">
        <v>41</v>
      </c>
      <c r="F1597" s="18">
        <v>4023</v>
      </c>
      <c r="G1597" s="22">
        <v>149</v>
      </c>
      <c r="H1597" s="18">
        <v>3.6152573783529398</v>
      </c>
      <c r="I1597" s="18">
        <v>538.67334937458804</v>
      </c>
      <c r="J1597" s="18">
        <v>3484.3266506254099</v>
      </c>
      <c r="K1597" s="22">
        <v>0</v>
      </c>
      <c r="L1597" s="22" t="str">
        <f t="shared" si="24"/>
        <v>45748, 6, 3</v>
      </c>
    </row>
    <row r="1598" spans="1:12">
      <c r="A1598" s="9">
        <v>45748</v>
      </c>
      <c r="B1598">
        <v>6</v>
      </c>
      <c r="C1598" s="16" t="s">
        <v>61</v>
      </c>
      <c r="D1598">
        <v>4</v>
      </c>
      <c r="E1598" s="16" t="s">
        <v>42</v>
      </c>
      <c r="F1598" s="18">
        <v>3850</v>
      </c>
      <c r="G1598" s="22">
        <v>175</v>
      </c>
      <c r="H1598" s="18">
        <v>7.7202592284705798</v>
      </c>
      <c r="I1598" s="18">
        <v>1351.0453649823501</v>
      </c>
      <c r="J1598" s="18">
        <v>2498.9546350176402</v>
      </c>
      <c r="K1598" s="22">
        <v>0</v>
      </c>
      <c r="L1598" s="22" t="str">
        <f t="shared" si="24"/>
        <v>45748, 6, 4</v>
      </c>
    </row>
    <row r="1599" spans="1:12">
      <c r="A1599" s="9">
        <v>45748</v>
      </c>
      <c r="B1599">
        <v>6</v>
      </c>
      <c r="C1599" s="16" t="s">
        <v>61</v>
      </c>
      <c r="D1599">
        <v>5</v>
      </c>
      <c r="E1599" s="16" t="s">
        <v>43</v>
      </c>
      <c r="F1599" s="18">
        <v>2772</v>
      </c>
      <c r="G1599" s="22">
        <v>126</v>
      </c>
      <c r="H1599" s="18">
        <v>6.9679411764705801</v>
      </c>
      <c r="I1599" s="18">
        <v>877.96058823529404</v>
      </c>
      <c r="J1599" s="18">
        <v>1894.0394117646999</v>
      </c>
      <c r="K1599" s="22">
        <v>0</v>
      </c>
      <c r="L1599" s="22" t="str">
        <f t="shared" si="24"/>
        <v>45748, 6, 5</v>
      </c>
    </row>
    <row r="1600" spans="1:12">
      <c r="A1600" s="9">
        <v>45748</v>
      </c>
      <c r="B1600">
        <v>6</v>
      </c>
      <c r="C1600" s="16" t="s">
        <v>61</v>
      </c>
      <c r="D1600">
        <v>6</v>
      </c>
      <c r="E1600" s="16" t="s">
        <v>44</v>
      </c>
      <c r="F1600" s="18">
        <v>4800</v>
      </c>
      <c r="G1600" s="22">
        <v>200</v>
      </c>
      <c r="H1600" s="18">
        <v>5.4168276667352897</v>
      </c>
      <c r="I1600" s="18">
        <v>1083.3655333470499</v>
      </c>
      <c r="J1600" s="18">
        <v>3716.6344666529399</v>
      </c>
      <c r="K1600" s="22">
        <v>0</v>
      </c>
      <c r="L1600" s="22" t="str">
        <f t="shared" si="24"/>
        <v>45748, 6, 6</v>
      </c>
    </row>
    <row r="1601" spans="1:12">
      <c r="A1601" s="9">
        <v>45748</v>
      </c>
      <c r="B1601">
        <v>6</v>
      </c>
      <c r="C1601" s="16" t="s">
        <v>61</v>
      </c>
      <c r="D1601">
        <v>7</v>
      </c>
      <c r="E1601" s="16" t="s">
        <v>45</v>
      </c>
      <c r="F1601" s="18">
        <v>2783</v>
      </c>
      <c r="G1601" s="22">
        <v>253</v>
      </c>
      <c r="H1601" s="18">
        <v>3.1079073210526298</v>
      </c>
      <c r="I1601" s="18">
        <v>786.30055222631495</v>
      </c>
      <c r="J1601" s="18">
        <v>1996.69944777368</v>
      </c>
      <c r="K1601" s="22">
        <v>0</v>
      </c>
      <c r="L1601" s="22" t="str">
        <f t="shared" si="24"/>
        <v>45748, 6, 7</v>
      </c>
    </row>
    <row r="1602" spans="1:12">
      <c r="A1602" s="9">
        <v>45748</v>
      </c>
      <c r="B1602">
        <v>6</v>
      </c>
      <c r="C1602" s="16" t="s">
        <v>61</v>
      </c>
      <c r="D1602">
        <v>8</v>
      </c>
      <c r="E1602" s="16" t="s">
        <v>46</v>
      </c>
      <c r="F1602" s="18">
        <v>1664</v>
      </c>
      <c r="G1602" s="22">
        <v>128</v>
      </c>
      <c r="H1602" s="18">
        <v>0.72744646729166595</v>
      </c>
      <c r="I1602" s="18">
        <v>93.113147813333299</v>
      </c>
      <c r="J1602" s="18">
        <v>1570.88685218666</v>
      </c>
      <c r="K1602" s="22">
        <v>0</v>
      </c>
      <c r="L1602" s="22" t="str">
        <f t="shared" si="24"/>
        <v>45748, 6, 8</v>
      </c>
    </row>
    <row r="1603" spans="1:12">
      <c r="A1603" s="9">
        <v>45748</v>
      </c>
      <c r="B1603">
        <v>6</v>
      </c>
      <c r="C1603" s="16" t="s">
        <v>61</v>
      </c>
      <c r="D1603">
        <v>9</v>
      </c>
      <c r="E1603" s="16" t="s">
        <v>47</v>
      </c>
      <c r="F1603" s="18">
        <v>5668</v>
      </c>
      <c r="G1603" s="22">
        <v>109</v>
      </c>
      <c r="H1603" s="18">
        <v>18.9290354457228</v>
      </c>
      <c r="I1603" s="18">
        <v>2063.26486358378</v>
      </c>
      <c r="J1603" s="18">
        <v>3604.73513641621</v>
      </c>
      <c r="K1603" s="22">
        <v>0</v>
      </c>
      <c r="L1603" s="22" t="str">
        <f t="shared" ref="L1603:L1666" si="25">(A1603&amp; ", "&amp; B1603&amp; ", "&amp; D1603)</f>
        <v>45748, 6, 9</v>
      </c>
    </row>
    <row r="1604" spans="1:12">
      <c r="A1604" s="9">
        <v>45748</v>
      </c>
      <c r="B1604">
        <v>6</v>
      </c>
      <c r="C1604" s="16" t="s">
        <v>61</v>
      </c>
      <c r="D1604">
        <v>10</v>
      </c>
      <c r="E1604" s="16" t="s">
        <v>57</v>
      </c>
      <c r="F1604" s="18">
        <v>1440</v>
      </c>
      <c r="G1604" s="22">
        <v>96</v>
      </c>
      <c r="H1604" s="18">
        <v>2.0096773259363601</v>
      </c>
      <c r="I1604" s="18">
        <v>192.92902328989001</v>
      </c>
      <c r="J1604" s="18">
        <v>1247.0709767101</v>
      </c>
      <c r="K1604" s="22">
        <v>0</v>
      </c>
      <c r="L1604" s="22" t="str">
        <f t="shared" si="25"/>
        <v>45748, 6, 10</v>
      </c>
    </row>
    <row r="1605" spans="1:12">
      <c r="A1605" s="9">
        <v>45748</v>
      </c>
      <c r="B1605">
        <v>6</v>
      </c>
      <c r="C1605" s="16" t="s">
        <v>61</v>
      </c>
      <c r="D1605">
        <v>11</v>
      </c>
      <c r="E1605" s="16" t="s">
        <v>48</v>
      </c>
      <c r="F1605" s="18">
        <v>4862</v>
      </c>
      <c r="G1605" s="22">
        <v>221</v>
      </c>
      <c r="H1605" s="18">
        <v>2.1078935156249998</v>
      </c>
      <c r="I1605" s="18">
        <v>465.84446695312499</v>
      </c>
      <c r="J1605" s="18">
        <v>4396.15553304687</v>
      </c>
      <c r="K1605" s="22">
        <v>0</v>
      </c>
      <c r="L1605" s="22" t="str">
        <f t="shared" si="25"/>
        <v>45748, 6, 11</v>
      </c>
    </row>
    <row r="1606" spans="1:12">
      <c r="A1606" s="9">
        <v>45748</v>
      </c>
      <c r="B1606">
        <v>6</v>
      </c>
      <c r="C1606" s="16" t="s">
        <v>61</v>
      </c>
      <c r="D1606">
        <v>12</v>
      </c>
      <c r="E1606" s="16" t="s">
        <v>49</v>
      </c>
      <c r="F1606" s="18">
        <v>4002</v>
      </c>
      <c r="G1606" s="22">
        <v>174</v>
      </c>
      <c r="H1606" s="18">
        <v>2.7000961537352901</v>
      </c>
      <c r="I1606" s="18">
        <v>469.81673074994097</v>
      </c>
      <c r="J1606" s="18">
        <v>3532.1832692500502</v>
      </c>
      <c r="K1606" s="22">
        <v>0</v>
      </c>
      <c r="L1606" s="22" t="str">
        <f t="shared" si="25"/>
        <v>45748, 6, 12</v>
      </c>
    </row>
    <row r="1607" spans="1:12">
      <c r="A1607" s="9">
        <v>45748</v>
      </c>
      <c r="B1607">
        <v>6</v>
      </c>
      <c r="C1607" s="16" t="s">
        <v>61</v>
      </c>
      <c r="D1607">
        <v>13</v>
      </c>
      <c r="E1607" s="16" t="s">
        <v>50</v>
      </c>
      <c r="F1607" s="18">
        <v>4200</v>
      </c>
      <c r="G1607" s="22">
        <v>175</v>
      </c>
      <c r="H1607" s="18">
        <v>7.4379603750000003</v>
      </c>
      <c r="I1607" s="18">
        <v>1301.643065625</v>
      </c>
      <c r="J1607" s="18">
        <v>2898.356934375</v>
      </c>
      <c r="K1607" s="22">
        <v>0</v>
      </c>
      <c r="L1607" s="22" t="str">
        <f t="shared" si="25"/>
        <v>45748, 6, 13</v>
      </c>
    </row>
    <row r="1608" spans="1:12">
      <c r="A1608" s="9">
        <v>45748</v>
      </c>
      <c r="B1608">
        <v>6</v>
      </c>
      <c r="C1608" s="16" t="s">
        <v>61</v>
      </c>
      <c r="D1608">
        <v>14</v>
      </c>
      <c r="E1608" s="16" t="s">
        <v>51</v>
      </c>
      <c r="F1608" s="18">
        <v>3186</v>
      </c>
      <c r="G1608" s="22">
        <v>108</v>
      </c>
      <c r="H1608" s="18">
        <v>4.8766764965714202</v>
      </c>
      <c r="I1608" s="18">
        <v>526.68106162971401</v>
      </c>
      <c r="J1608" s="18">
        <v>2659.3189383702802</v>
      </c>
      <c r="K1608" s="22">
        <v>0</v>
      </c>
      <c r="L1608" s="22" t="str">
        <f t="shared" si="25"/>
        <v>45748, 6, 14</v>
      </c>
    </row>
    <row r="1609" spans="1:12">
      <c r="A1609" s="9">
        <v>45748</v>
      </c>
      <c r="B1609">
        <v>6</v>
      </c>
      <c r="C1609" s="16" t="s">
        <v>61</v>
      </c>
      <c r="D1609">
        <v>15</v>
      </c>
      <c r="E1609" s="16" t="s">
        <v>52</v>
      </c>
      <c r="F1609" s="18">
        <v>4590</v>
      </c>
      <c r="G1609" s="22">
        <v>180</v>
      </c>
      <c r="H1609" s="18">
        <v>2.8997558864999999</v>
      </c>
      <c r="I1609" s="18">
        <v>521.95605956999998</v>
      </c>
      <c r="J1609" s="18">
        <v>4068.04394043</v>
      </c>
      <c r="K1609" s="22">
        <v>0</v>
      </c>
      <c r="L1609" s="22" t="str">
        <f t="shared" si="25"/>
        <v>45748, 6, 15</v>
      </c>
    </row>
    <row r="1610" spans="1:12">
      <c r="A1610" s="9">
        <v>45748</v>
      </c>
      <c r="B1610">
        <v>6</v>
      </c>
      <c r="C1610" s="16" t="s">
        <v>61</v>
      </c>
      <c r="D1610">
        <v>16</v>
      </c>
      <c r="E1610" s="16" t="s">
        <v>53</v>
      </c>
      <c r="F1610" s="18">
        <v>1314</v>
      </c>
      <c r="G1610" s="22">
        <v>146</v>
      </c>
      <c r="H1610" s="18">
        <v>1.63068618064102</v>
      </c>
      <c r="I1610" s="18">
        <v>238.080182373589</v>
      </c>
      <c r="J1610" s="18">
        <v>1075.9198176264099</v>
      </c>
      <c r="K1610" s="22">
        <v>0</v>
      </c>
      <c r="L1610" s="22" t="str">
        <f t="shared" si="25"/>
        <v>45748, 6, 16</v>
      </c>
    </row>
    <row r="1611" spans="1:12">
      <c r="A1611" s="9">
        <v>45748</v>
      </c>
      <c r="B1611">
        <v>6</v>
      </c>
      <c r="C1611" s="16" t="s">
        <v>61</v>
      </c>
      <c r="D1611">
        <v>17</v>
      </c>
      <c r="E1611" s="16" t="s">
        <v>54</v>
      </c>
      <c r="F1611" s="18">
        <v>1419.5</v>
      </c>
      <c r="G1611" s="22">
        <v>167</v>
      </c>
      <c r="H1611" s="18">
        <v>1.51331261382352</v>
      </c>
      <c r="I1611" s="18">
        <v>252.72320650852899</v>
      </c>
      <c r="J1611" s="18">
        <v>1166.77679349147</v>
      </c>
      <c r="K1611" s="22">
        <v>0</v>
      </c>
      <c r="L1611" s="22" t="str">
        <f t="shared" si="25"/>
        <v>45748, 6, 17</v>
      </c>
    </row>
    <row r="1612" spans="1:12">
      <c r="A1612" s="9">
        <v>45748</v>
      </c>
      <c r="B1612">
        <v>6</v>
      </c>
      <c r="C1612" s="16" t="s">
        <v>61</v>
      </c>
      <c r="D1612">
        <v>18</v>
      </c>
      <c r="E1612" s="16" t="s">
        <v>55</v>
      </c>
      <c r="F1612" s="18">
        <v>3425</v>
      </c>
      <c r="G1612" s="22">
        <v>137</v>
      </c>
      <c r="H1612" s="18">
        <v>6.23857115463636</v>
      </c>
      <c r="I1612" s="18">
        <v>854.68424818518099</v>
      </c>
      <c r="J1612" s="18">
        <v>2570.31575181481</v>
      </c>
      <c r="K1612" s="22">
        <v>0</v>
      </c>
      <c r="L1612" s="22" t="str">
        <f t="shared" si="25"/>
        <v>45748, 6, 18</v>
      </c>
    </row>
    <row r="1613" spans="1:12">
      <c r="A1613" s="9">
        <v>45778</v>
      </c>
      <c r="B1613">
        <v>6</v>
      </c>
      <c r="C1613" s="16" t="s">
        <v>61</v>
      </c>
      <c r="D1613">
        <v>1</v>
      </c>
      <c r="E1613" s="16" t="s">
        <v>38</v>
      </c>
      <c r="F1613" s="18">
        <v>6394</v>
      </c>
      <c r="G1613" s="22">
        <v>278</v>
      </c>
      <c r="H1613" s="18">
        <v>4.4676272916666599</v>
      </c>
      <c r="I1613" s="18">
        <v>1242.00038708333</v>
      </c>
      <c r="J1613" s="18">
        <v>5151.9996129166602</v>
      </c>
      <c r="K1613" s="22">
        <v>0</v>
      </c>
      <c r="L1613" s="22" t="str">
        <f t="shared" si="25"/>
        <v>45778, 6, 1</v>
      </c>
    </row>
    <row r="1614" spans="1:12">
      <c r="A1614" s="9">
        <v>45778</v>
      </c>
      <c r="B1614">
        <v>6</v>
      </c>
      <c r="C1614" s="16" t="s">
        <v>61</v>
      </c>
      <c r="D1614">
        <v>2</v>
      </c>
      <c r="E1614" s="16" t="s">
        <v>40</v>
      </c>
      <c r="F1614" s="18">
        <v>8848.5</v>
      </c>
      <c r="G1614" s="22">
        <v>347</v>
      </c>
      <c r="H1614" s="18">
        <v>7.5603449494444401</v>
      </c>
      <c r="I1614" s="18">
        <v>2623.4396974572201</v>
      </c>
      <c r="J1614" s="18">
        <v>6225.0603025427699</v>
      </c>
      <c r="K1614" s="22">
        <v>0</v>
      </c>
      <c r="L1614" s="22" t="str">
        <f t="shared" si="25"/>
        <v>45778, 6, 2</v>
      </c>
    </row>
    <row r="1615" spans="1:12">
      <c r="A1615" s="9">
        <v>45778</v>
      </c>
      <c r="B1615">
        <v>6</v>
      </c>
      <c r="C1615" s="16" t="s">
        <v>61</v>
      </c>
      <c r="D1615">
        <v>3</v>
      </c>
      <c r="E1615" s="16" t="s">
        <v>41</v>
      </c>
      <c r="F1615" s="18">
        <v>3726</v>
      </c>
      <c r="G1615" s="22">
        <v>138</v>
      </c>
      <c r="H1615" s="18">
        <v>3.63192690222222</v>
      </c>
      <c r="I1615" s="18">
        <v>501.20591250666598</v>
      </c>
      <c r="J1615" s="18">
        <v>3224.7940874933302</v>
      </c>
      <c r="K1615" s="22">
        <v>0</v>
      </c>
      <c r="L1615" s="22" t="str">
        <f t="shared" si="25"/>
        <v>45778, 6, 3</v>
      </c>
    </row>
    <row r="1616" spans="1:12">
      <c r="A1616" s="9">
        <v>45778</v>
      </c>
      <c r="B1616">
        <v>6</v>
      </c>
      <c r="C1616" s="16" t="s">
        <v>61</v>
      </c>
      <c r="D1616">
        <v>4</v>
      </c>
      <c r="E1616" s="16" t="s">
        <v>42</v>
      </c>
      <c r="F1616" s="18">
        <v>3520</v>
      </c>
      <c r="G1616" s="22">
        <v>160</v>
      </c>
      <c r="H1616" s="18">
        <v>7.5574032128888797</v>
      </c>
      <c r="I1616" s="18">
        <v>1209.1845140622199</v>
      </c>
      <c r="J1616" s="18">
        <v>2310.8154859377701</v>
      </c>
      <c r="K1616" s="22">
        <v>0</v>
      </c>
      <c r="L1616" s="22" t="str">
        <f t="shared" si="25"/>
        <v>45778, 6, 4</v>
      </c>
    </row>
    <row r="1617" spans="1:12">
      <c r="A1617" s="9">
        <v>45778</v>
      </c>
      <c r="B1617">
        <v>6</v>
      </c>
      <c r="C1617" s="16" t="s">
        <v>61</v>
      </c>
      <c r="D1617">
        <v>5</v>
      </c>
      <c r="E1617" s="16" t="s">
        <v>43</v>
      </c>
      <c r="F1617" s="18">
        <v>2706</v>
      </c>
      <c r="G1617" s="22">
        <v>123</v>
      </c>
      <c r="H1617" s="18">
        <v>6.6909027777777696</v>
      </c>
      <c r="I1617" s="18">
        <v>822.98104166666599</v>
      </c>
      <c r="J1617" s="18">
        <v>1883.0189583333299</v>
      </c>
      <c r="K1617" s="22">
        <v>0</v>
      </c>
      <c r="L1617" s="22" t="str">
        <f t="shared" si="25"/>
        <v>45778, 6, 5</v>
      </c>
    </row>
    <row r="1618" spans="1:12">
      <c r="A1618" s="9">
        <v>45778</v>
      </c>
      <c r="B1618">
        <v>6</v>
      </c>
      <c r="C1618" s="16" t="s">
        <v>61</v>
      </c>
      <c r="D1618">
        <v>6</v>
      </c>
      <c r="E1618" s="16" t="s">
        <v>44</v>
      </c>
      <c r="F1618" s="18">
        <v>4248</v>
      </c>
      <c r="G1618" s="22">
        <v>177</v>
      </c>
      <c r="H1618" s="18">
        <v>5.4171113706944398</v>
      </c>
      <c r="I1618" s="18">
        <v>958.82871261291598</v>
      </c>
      <c r="J1618" s="18">
        <v>3289.1712873870802</v>
      </c>
      <c r="K1618" s="22">
        <v>0</v>
      </c>
      <c r="L1618" s="22" t="str">
        <f t="shared" si="25"/>
        <v>45778, 6, 6</v>
      </c>
    </row>
    <row r="1619" spans="1:12">
      <c r="A1619" s="9">
        <v>45778</v>
      </c>
      <c r="B1619">
        <v>6</v>
      </c>
      <c r="C1619" s="16" t="s">
        <v>61</v>
      </c>
      <c r="D1619">
        <v>7</v>
      </c>
      <c r="E1619" s="16" t="s">
        <v>45</v>
      </c>
      <c r="F1619" s="18">
        <v>2970</v>
      </c>
      <c r="G1619" s="22">
        <v>270</v>
      </c>
      <c r="H1619" s="18">
        <v>3.0878546264473599</v>
      </c>
      <c r="I1619" s="18">
        <v>833.72074914078905</v>
      </c>
      <c r="J1619" s="18">
        <v>2136.2792508592102</v>
      </c>
      <c r="K1619" s="22">
        <v>0</v>
      </c>
      <c r="L1619" s="22" t="str">
        <f t="shared" si="25"/>
        <v>45778, 6, 7</v>
      </c>
    </row>
    <row r="1620" spans="1:12">
      <c r="A1620" s="9">
        <v>45778</v>
      </c>
      <c r="B1620">
        <v>6</v>
      </c>
      <c r="C1620" s="16" t="s">
        <v>61</v>
      </c>
      <c r="D1620">
        <v>8</v>
      </c>
      <c r="E1620" s="16" t="s">
        <v>46</v>
      </c>
      <c r="F1620" s="18">
        <v>1664</v>
      </c>
      <c r="G1620" s="22">
        <v>128</v>
      </c>
      <c r="H1620" s="18">
        <v>0.71696111874999902</v>
      </c>
      <c r="I1620" s="18">
        <v>91.771023199999902</v>
      </c>
      <c r="J1620" s="18">
        <v>1572.2289768000001</v>
      </c>
      <c r="K1620" s="22">
        <v>0</v>
      </c>
      <c r="L1620" s="22" t="str">
        <f t="shared" si="25"/>
        <v>45778, 6, 8</v>
      </c>
    </row>
    <row r="1621" spans="1:12">
      <c r="A1621" s="9">
        <v>45778</v>
      </c>
      <c r="B1621">
        <v>6</v>
      </c>
      <c r="C1621" s="16" t="s">
        <v>61</v>
      </c>
      <c r="D1621">
        <v>9</v>
      </c>
      <c r="E1621" s="16" t="s">
        <v>47</v>
      </c>
      <c r="F1621" s="18">
        <v>3952</v>
      </c>
      <c r="G1621" s="22">
        <v>76</v>
      </c>
      <c r="H1621" s="18">
        <v>18.980961634534602</v>
      </c>
      <c r="I1621" s="18">
        <v>1442.5530842246301</v>
      </c>
      <c r="J1621" s="18">
        <v>2509.4469157753601</v>
      </c>
      <c r="K1621" s="22">
        <v>0</v>
      </c>
      <c r="L1621" s="22" t="str">
        <f t="shared" si="25"/>
        <v>45778, 6, 9</v>
      </c>
    </row>
    <row r="1622" spans="1:12">
      <c r="A1622" s="9">
        <v>45778</v>
      </c>
      <c r="B1622">
        <v>6</v>
      </c>
      <c r="C1622" s="16" t="s">
        <v>61</v>
      </c>
      <c r="D1622">
        <v>10</v>
      </c>
      <c r="E1622" s="16" t="s">
        <v>57</v>
      </c>
      <c r="F1622" s="18">
        <v>1635</v>
      </c>
      <c r="G1622" s="22">
        <v>109</v>
      </c>
      <c r="H1622" s="18">
        <v>1.89068656384545</v>
      </c>
      <c r="I1622" s="18">
        <v>206.08483545915399</v>
      </c>
      <c r="J1622" s="18">
        <v>1428.9151645408399</v>
      </c>
      <c r="K1622" s="22">
        <v>0</v>
      </c>
      <c r="L1622" s="22" t="str">
        <f t="shared" si="25"/>
        <v>45778, 6, 10</v>
      </c>
    </row>
    <row r="1623" spans="1:12">
      <c r="A1623" s="9">
        <v>45778</v>
      </c>
      <c r="B1623">
        <v>6</v>
      </c>
      <c r="C1623" s="16" t="s">
        <v>61</v>
      </c>
      <c r="D1623">
        <v>11</v>
      </c>
      <c r="E1623" s="16" t="s">
        <v>48</v>
      </c>
      <c r="F1623" s="18">
        <v>4994</v>
      </c>
      <c r="G1623" s="22">
        <v>227</v>
      </c>
      <c r="H1623" s="18">
        <v>2.0920067499999999</v>
      </c>
      <c r="I1623" s="18">
        <v>474.88553224999998</v>
      </c>
      <c r="J1623" s="18">
        <v>4519.1144677499997</v>
      </c>
      <c r="K1623" s="22">
        <v>0</v>
      </c>
      <c r="L1623" s="22" t="str">
        <f t="shared" si="25"/>
        <v>45778, 6, 11</v>
      </c>
    </row>
    <row r="1624" spans="1:12">
      <c r="A1624" s="9">
        <v>45778</v>
      </c>
      <c r="B1624">
        <v>6</v>
      </c>
      <c r="C1624" s="16" t="s">
        <v>61</v>
      </c>
      <c r="D1624">
        <v>12</v>
      </c>
      <c r="E1624" s="16" t="s">
        <v>49</v>
      </c>
      <c r="F1624" s="18">
        <v>3910</v>
      </c>
      <c r="G1624" s="22">
        <v>170</v>
      </c>
      <c r="H1624" s="18">
        <v>2.6926809163888801</v>
      </c>
      <c r="I1624" s="18">
        <v>457.75575578611102</v>
      </c>
      <c r="J1624" s="18">
        <v>3452.2442442138799</v>
      </c>
      <c r="K1624" s="22">
        <v>0</v>
      </c>
      <c r="L1624" s="22" t="str">
        <f t="shared" si="25"/>
        <v>45778, 6, 12</v>
      </c>
    </row>
    <row r="1625" spans="1:12">
      <c r="A1625" s="9">
        <v>45778</v>
      </c>
      <c r="B1625">
        <v>6</v>
      </c>
      <c r="C1625" s="16" t="s">
        <v>61</v>
      </c>
      <c r="D1625">
        <v>13</v>
      </c>
      <c r="E1625" s="16" t="s">
        <v>50</v>
      </c>
      <c r="F1625" s="18">
        <v>4416</v>
      </c>
      <c r="G1625" s="22">
        <v>184</v>
      </c>
      <c r="H1625" s="18">
        <v>7.4377533333333297</v>
      </c>
      <c r="I1625" s="18">
        <v>1368.54661333333</v>
      </c>
      <c r="J1625" s="18">
        <v>3047.4533866666602</v>
      </c>
      <c r="K1625" s="22">
        <v>0</v>
      </c>
      <c r="L1625" s="22" t="str">
        <f t="shared" si="25"/>
        <v>45778, 6, 13</v>
      </c>
    </row>
    <row r="1626" spans="1:12">
      <c r="A1626" s="9">
        <v>45778</v>
      </c>
      <c r="B1626">
        <v>6</v>
      </c>
      <c r="C1626" s="16" t="s">
        <v>61</v>
      </c>
      <c r="D1626">
        <v>14</v>
      </c>
      <c r="E1626" s="16" t="s">
        <v>51</v>
      </c>
      <c r="F1626" s="18">
        <v>2979.5</v>
      </c>
      <c r="G1626" s="22">
        <v>101</v>
      </c>
      <c r="H1626" s="18">
        <v>4.8886020467307603</v>
      </c>
      <c r="I1626" s="18">
        <v>493.74880671980702</v>
      </c>
      <c r="J1626" s="18">
        <v>2485.7511932801899</v>
      </c>
      <c r="K1626" s="22">
        <v>0</v>
      </c>
      <c r="L1626" s="22" t="str">
        <f t="shared" si="25"/>
        <v>45778, 6, 14</v>
      </c>
    </row>
    <row r="1627" spans="1:12">
      <c r="A1627" s="9">
        <v>45778</v>
      </c>
      <c r="B1627">
        <v>6</v>
      </c>
      <c r="C1627" s="16" t="s">
        <v>61</v>
      </c>
      <c r="D1627">
        <v>15</v>
      </c>
      <c r="E1627" s="16" t="s">
        <v>52</v>
      </c>
      <c r="F1627" s="18">
        <v>4641</v>
      </c>
      <c r="G1627" s="22">
        <v>182</v>
      </c>
      <c r="H1627" s="18">
        <v>2.8790213643846099</v>
      </c>
      <c r="I1627" s="18">
        <v>523.98188831799905</v>
      </c>
      <c r="J1627" s="18">
        <v>4117.0181116820004</v>
      </c>
      <c r="K1627" s="22">
        <v>0</v>
      </c>
      <c r="L1627" s="22" t="str">
        <f t="shared" si="25"/>
        <v>45778, 6, 15</v>
      </c>
    </row>
    <row r="1628" spans="1:12">
      <c r="A1628" s="9">
        <v>45778</v>
      </c>
      <c r="B1628">
        <v>6</v>
      </c>
      <c r="C1628" s="16" t="s">
        <v>61</v>
      </c>
      <c r="D1628">
        <v>16</v>
      </c>
      <c r="E1628" s="16" t="s">
        <v>53</v>
      </c>
      <c r="F1628" s="18">
        <v>1116</v>
      </c>
      <c r="G1628" s="22">
        <v>124</v>
      </c>
      <c r="H1628" s="18">
        <v>1.6530256734615301</v>
      </c>
      <c r="I1628" s="18">
        <v>204.97518350922999</v>
      </c>
      <c r="J1628" s="18">
        <v>911.02481649076901</v>
      </c>
      <c r="K1628" s="22">
        <v>0</v>
      </c>
      <c r="L1628" s="22" t="str">
        <f t="shared" si="25"/>
        <v>45778, 6, 16</v>
      </c>
    </row>
    <row r="1629" spans="1:12">
      <c r="A1629" s="9">
        <v>45778</v>
      </c>
      <c r="B1629">
        <v>6</v>
      </c>
      <c r="C1629" s="16" t="s">
        <v>61</v>
      </c>
      <c r="D1629">
        <v>17</v>
      </c>
      <c r="E1629" s="16" t="s">
        <v>54</v>
      </c>
      <c r="F1629" s="18">
        <v>1674.5</v>
      </c>
      <c r="G1629" s="22">
        <v>197</v>
      </c>
      <c r="H1629" s="18">
        <v>1.5147560116666601</v>
      </c>
      <c r="I1629" s="18">
        <v>298.406934298333</v>
      </c>
      <c r="J1629" s="18">
        <v>1376.09306570166</v>
      </c>
      <c r="K1629" s="22">
        <v>0</v>
      </c>
      <c r="L1629" s="22" t="str">
        <f t="shared" si="25"/>
        <v>45778, 6, 17</v>
      </c>
    </row>
    <row r="1630" spans="1:12">
      <c r="A1630" s="9">
        <v>45778</v>
      </c>
      <c r="B1630">
        <v>6</v>
      </c>
      <c r="C1630" s="16" t="s">
        <v>61</v>
      </c>
      <c r="D1630">
        <v>18</v>
      </c>
      <c r="E1630" s="16" t="s">
        <v>55</v>
      </c>
      <c r="F1630" s="18">
        <v>3075</v>
      </c>
      <c r="G1630" s="22">
        <v>123</v>
      </c>
      <c r="H1630" s="18">
        <v>6.1697972087840904</v>
      </c>
      <c r="I1630" s="18">
        <v>758.88505668044297</v>
      </c>
      <c r="J1630" s="18">
        <v>2316.1149433195501</v>
      </c>
      <c r="K1630" s="22">
        <v>0</v>
      </c>
      <c r="L1630" s="22" t="str">
        <f t="shared" si="25"/>
        <v>45778, 6, 18</v>
      </c>
    </row>
    <row r="1631" spans="1:12">
      <c r="A1631" s="9">
        <v>45809</v>
      </c>
      <c r="B1631">
        <v>6</v>
      </c>
      <c r="C1631" s="16" t="s">
        <v>61</v>
      </c>
      <c r="D1631">
        <v>1</v>
      </c>
      <c r="E1631" s="16" t="s">
        <v>38</v>
      </c>
      <c r="F1631" s="18">
        <v>6670</v>
      </c>
      <c r="G1631" s="22">
        <v>290</v>
      </c>
      <c r="H1631" s="18">
        <v>4.4992748281250003</v>
      </c>
      <c r="I1631" s="18">
        <v>1304.7897001562501</v>
      </c>
      <c r="J1631" s="18">
        <v>5365.2102998437504</v>
      </c>
      <c r="K1631" s="22">
        <v>0</v>
      </c>
      <c r="L1631" s="22" t="str">
        <f t="shared" si="25"/>
        <v>45809, 6, 1</v>
      </c>
    </row>
    <row r="1632" spans="1:12">
      <c r="A1632" s="9">
        <v>45809</v>
      </c>
      <c r="B1632">
        <v>6</v>
      </c>
      <c r="C1632" s="16" t="s">
        <v>61</v>
      </c>
      <c r="D1632">
        <v>2</v>
      </c>
      <c r="E1632" s="16" t="s">
        <v>40</v>
      </c>
      <c r="F1632" s="18">
        <v>6961.5</v>
      </c>
      <c r="G1632" s="22">
        <v>273</v>
      </c>
      <c r="H1632" s="18">
        <v>7.5881727411764697</v>
      </c>
      <c r="I1632" s="18">
        <v>2071.5711583411698</v>
      </c>
      <c r="J1632" s="18">
        <v>4889.9288416588197</v>
      </c>
      <c r="K1632" s="22">
        <v>0</v>
      </c>
      <c r="L1632" s="22" t="str">
        <f t="shared" si="25"/>
        <v>45809, 6, 2</v>
      </c>
    </row>
    <row r="1633" spans="1:12">
      <c r="A1633" s="9">
        <v>45809</v>
      </c>
      <c r="B1633">
        <v>6</v>
      </c>
      <c r="C1633" s="16" t="s">
        <v>61</v>
      </c>
      <c r="D1633">
        <v>3</v>
      </c>
      <c r="E1633" s="16" t="s">
        <v>41</v>
      </c>
      <c r="F1633" s="18">
        <v>2538</v>
      </c>
      <c r="G1633" s="22">
        <v>94</v>
      </c>
      <c r="H1633" s="18">
        <v>3.64298034105882</v>
      </c>
      <c r="I1633" s="18">
        <v>342.440152059529</v>
      </c>
      <c r="J1633" s="18">
        <v>2195.5598479404698</v>
      </c>
      <c r="K1633" s="22">
        <v>0</v>
      </c>
      <c r="L1633" s="22" t="str">
        <f t="shared" si="25"/>
        <v>45809, 6, 3</v>
      </c>
    </row>
    <row r="1634" spans="1:12">
      <c r="A1634" s="9">
        <v>45809</v>
      </c>
      <c r="B1634">
        <v>6</v>
      </c>
      <c r="C1634" s="16" t="s">
        <v>61</v>
      </c>
      <c r="D1634">
        <v>4</v>
      </c>
      <c r="E1634" s="16" t="s">
        <v>42</v>
      </c>
      <c r="F1634" s="18">
        <v>3432</v>
      </c>
      <c r="G1634" s="22">
        <v>156</v>
      </c>
      <c r="H1634" s="18">
        <v>7.4724968764705801</v>
      </c>
      <c r="I1634" s="18">
        <v>1165.7095127294101</v>
      </c>
      <c r="J1634" s="18">
        <v>2266.2904872705799</v>
      </c>
      <c r="K1634" s="22">
        <v>0</v>
      </c>
      <c r="L1634" s="22" t="str">
        <f t="shared" si="25"/>
        <v>45809, 6, 4</v>
      </c>
    </row>
    <row r="1635" spans="1:12">
      <c r="A1635" s="9">
        <v>45809</v>
      </c>
      <c r="B1635">
        <v>6</v>
      </c>
      <c r="C1635" s="16" t="s">
        <v>61</v>
      </c>
      <c r="D1635">
        <v>5</v>
      </c>
      <c r="E1635" s="16" t="s">
        <v>43</v>
      </c>
      <c r="F1635" s="18">
        <v>2288</v>
      </c>
      <c r="G1635" s="22">
        <v>104</v>
      </c>
      <c r="H1635" s="18">
        <v>6.5347794117647</v>
      </c>
      <c r="I1635" s="18">
        <v>679.61705882352896</v>
      </c>
      <c r="J1635" s="18">
        <v>1608.38294117647</v>
      </c>
      <c r="K1635" s="22">
        <v>0</v>
      </c>
      <c r="L1635" s="22" t="str">
        <f t="shared" si="25"/>
        <v>45809, 6, 5</v>
      </c>
    </row>
    <row r="1636" spans="1:12">
      <c r="A1636" s="9">
        <v>45809</v>
      </c>
      <c r="B1636">
        <v>6</v>
      </c>
      <c r="C1636" s="16" t="s">
        <v>61</v>
      </c>
      <c r="D1636">
        <v>6</v>
      </c>
      <c r="E1636" s="16" t="s">
        <v>44</v>
      </c>
      <c r="F1636" s="18">
        <v>3456</v>
      </c>
      <c r="G1636" s="22">
        <v>144</v>
      </c>
      <c r="H1636" s="18">
        <v>5.43370819370588</v>
      </c>
      <c r="I1636" s="18">
        <v>782.45397989364699</v>
      </c>
      <c r="J1636" s="18">
        <v>2673.5460201063502</v>
      </c>
      <c r="K1636" s="22">
        <v>0</v>
      </c>
      <c r="L1636" s="22" t="str">
        <f t="shared" si="25"/>
        <v>45809, 6, 6</v>
      </c>
    </row>
    <row r="1637" spans="1:12">
      <c r="A1637" s="9">
        <v>45809</v>
      </c>
      <c r="B1637">
        <v>6</v>
      </c>
      <c r="C1637" s="16" t="s">
        <v>61</v>
      </c>
      <c r="D1637">
        <v>7</v>
      </c>
      <c r="E1637" s="16" t="s">
        <v>45</v>
      </c>
      <c r="F1637" s="18">
        <v>2332</v>
      </c>
      <c r="G1637" s="22">
        <v>212</v>
      </c>
      <c r="H1637" s="18">
        <v>3.1033682091666601</v>
      </c>
      <c r="I1637" s="18">
        <v>657.91406034333295</v>
      </c>
      <c r="J1637" s="18">
        <v>1674.08593965666</v>
      </c>
      <c r="K1637" s="22">
        <v>0</v>
      </c>
      <c r="L1637" s="22" t="str">
        <f t="shared" si="25"/>
        <v>45809, 6, 7</v>
      </c>
    </row>
    <row r="1638" spans="1:12">
      <c r="A1638" s="9">
        <v>45809</v>
      </c>
      <c r="B1638">
        <v>6</v>
      </c>
      <c r="C1638" s="16" t="s">
        <v>61</v>
      </c>
      <c r="D1638">
        <v>8</v>
      </c>
      <c r="E1638" s="16" t="s">
        <v>46</v>
      </c>
      <c r="F1638" s="18">
        <v>1053</v>
      </c>
      <c r="G1638" s="22">
        <v>81</v>
      </c>
      <c r="H1638" s="18">
        <v>0.71664973479166605</v>
      </c>
      <c r="I1638" s="18">
        <v>58.0486285181249</v>
      </c>
      <c r="J1638" s="18">
        <v>994.95137148187496</v>
      </c>
      <c r="K1638" s="22">
        <v>0</v>
      </c>
      <c r="L1638" s="22" t="str">
        <f t="shared" si="25"/>
        <v>45809, 6, 8</v>
      </c>
    </row>
    <row r="1639" spans="1:12">
      <c r="A1639" s="9">
        <v>45809</v>
      </c>
      <c r="B1639">
        <v>6</v>
      </c>
      <c r="C1639" s="16" t="s">
        <v>61</v>
      </c>
      <c r="D1639">
        <v>9</v>
      </c>
      <c r="E1639" s="16" t="s">
        <v>47</v>
      </c>
      <c r="F1639" s="18">
        <v>3120</v>
      </c>
      <c r="G1639" s="22">
        <v>60</v>
      </c>
      <c r="H1639" s="18">
        <v>18.983994134112599</v>
      </c>
      <c r="I1639" s="18">
        <v>1139.03964804675</v>
      </c>
      <c r="J1639" s="18">
        <v>1980.96035195324</v>
      </c>
      <c r="K1639" s="22">
        <v>0</v>
      </c>
      <c r="L1639" s="22" t="str">
        <f t="shared" si="25"/>
        <v>45809, 6, 9</v>
      </c>
    </row>
    <row r="1640" spans="1:12">
      <c r="A1640" s="9">
        <v>45809</v>
      </c>
      <c r="B1640">
        <v>6</v>
      </c>
      <c r="C1640" s="16" t="s">
        <v>61</v>
      </c>
      <c r="D1640">
        <v>10</v>
      </c>
      <c r="E1640" s="16" t="s">
        <v>57</v>
      </c>
      <c r="F1640" s="18">
        <v>1560</v>
      </c>
      <c r="G1640" s="22">
        <v>104</v>
      </c>
      <c r="H1640" s="18">
        <v>1.8064119572380899</v>
      </c>
      <c r="I1640" s="18">
        <v>187.866843552761</v>
      </c>
      <c r="J1640" s="18">
        <v>1372.13315644723</v>
      </c>
      <c r="K1640" s="22">
        <v>0</v>
      </c>
      <c r="L1640" s="22" t="str">
        <f t="shared" si="25"/>
        <v>45809, 6, 10</v>
      </c>
    </row>
    <row r="1641" spans="1:12">
      <c r="A1641" s="9">
        <v>45809</v>
      </c>
      <c r="B1641">
        <v>6</v>
      </c>
      <c r="C1641" s="16" t="s">
        <v>61</v>
      </c>
      <c r="D1641">
        <v>11</v>
      </c>
      <c r="E1641" s="16" t="s">
        <v>48</v>
      </c>
      <c r="F1641" s="18">
        <v>4576</v>
      </c>
      <c r="G1641" s="22">
        <v>208</v>
      </c>
      <c r="H1641" s="18">
        <v>2.1169823750000001</v>
      </c>
      <c r="I1641" s="18">
        <v>440.332334</v>
      </c>
      <c r="J1641" s="18">
        <v>4135.6676660000003</v>
      </c>
      <c r="K1641" s="22">
        <v>0</v>
      </c>
      <c r="L1641" s="22" t="str">
        <f t="shared" si="25"/>
        <v>45809, 6, 11</v>
      </c>
    </row>
    <row r="1642" spans="1:12">
      <c r="A1642" s="9">
        <v>45809</v>
      </c>
      <c r="B1642">
        <v>6</v>
      </c>
      <c r="C1642" s="16" t="s">
        <v>61</v>
      </c>
      <c r="D1642">
        <v>12</v>
      </c>
      <c r="E1642" s="16" t="s">
        <v>49</v>
      </c>
      <c r="F1642" s="18">
        <v>3450</v>
      </c>
      <c r="G1642" s="22">
        <v>150</v>
      </c>
      <c r="H1642" s="18">
        <v>2.6696056781764699</v>
      </c>
      <c r="I1642" s="18">
        <v>400.44085172646999</v>
      </c>
      <c r="J1642" s="18">
        <v>3049.5591482735199</v>
      </c>
      <c r="K1642" s="22">
        <v>0</v>
      </c>
      <c r="L1642" s="22" t="str">
        <f t="shared" si="25"/>
        <v>45809, 6, 12</v>
      </c>
    </row>
    <row r="1643" spans="1:12">
      <c r="A1643" s="9">
        <v>45809</v>
      </c>
      <c r="B1643">
        <v>6</v>
      </c>
      <c r="C1643" s="16" t="s">
        <v>61</v>
      </c>
      <c r="D1643">
        <v>13</v>
      </c>
      <c r="E1643" s="16" t="s">
        <v>50</v>
      </c>
      <c r="F1643" s="18">
        <v>3816</v>
      </c>
      <c r="G1643" s="22">
        <v>159</v>
      </c>
      <c r="H1643" s="18">
        <v>7.4826985555555501</v>
      </c>
      <c r="I1643" s="18">
        <v>1189.7490703333301</v>
      </c>
      <c r="J1643" s="18">
        <v>2626.2509296666599</v>
      </c>
      <c r="K1643" s="22">
        <v>0</v>
      </c>
      <c r="L1643" s="22" t="str">
        <f t="shared" si="25"/>
        <v>45809, 6, 13</v>
      </c>
    </row>
    <row r="1644" spans="1:12">
      <c r="A1644" s="9">
        <v>45809</v>
      </c>
      <c r="B1644">
        <v>6</v>
      </c>
      <c r="C1644" s="16" t="s">
        <v>61</v>
      </c>
      <c r="D1644">
        <v>14</v>
      </c>
      <c r="E1644" s="16" t="s">
        <v>51</v>
      </c>
      <c r="F1644" s="18">
        <v>2065</v>
      </c>
      <c r="G1644" s="22">
        <v>70</v>
      </c>
      <c r="H1644" s="18">
        <v>4.8798327422142798</v>
      </c>
      <c r="I1644" s="18">
        <v>341.58829195499999</v>
      </c>
      <c r="J1644" s="18">
        <v>1723.4117080449901</v>
      </c>
      <c r="K1644" s="22">
        <v>0</v>
      </c>
      <c r="L1644" s="22" t="str">
        <f t="shared" si="25"/>
        <v>45809, 6, 14</v>
      </c>
    </row>
    <row r="1645" spans="1:12">
      <c r="A1645" s="9">
        <v>45809</v>
      </c>
      <c r="B1645">
        <v>6</v>
      </c>
      <c r="C1645" s="16" t="s">
        <v>61</v>
      </c>
      <c r="D1645">
        <v>15</v>
      </c>
      <c r="E1645" s="16" t="s">
        <v>52</v>
      </c>
      <c r="F1645" s="18">
        <v>4335</v>
      </c>
      <c r="G1645" s="22">
        <v>170</v>
      </c>
      <c r="H1645" s="18">
        <v>2.8690945371428498</v>
      </c>
      <c r="I1645" s="18">
        <v>487.74607131428502</v>
      </c>
      <c r="J1645" s="18">
        <v>3847.25392868571</v>
      </c>
      <c r="K1645" s="22">
        <v>0</v>
      </c>
      <c r="L1645" s="22" t="str">
        <f t="shared" si="25"/>
        <v>45809, 6, 15</v>
      </c>
    </row>
    <row r="1646" spans="1:12">
      <c r="A1646" s="9">
        <v>45809</v>
      </c>
      <c r="B1646">
        <v>6</v>
      </c>
      <c r="C1646" s="16" t="s">
        <v>61</v>
      </c>
      <c r="D1646">
        <v>16</v>
      </c>
      <c r="E1646" s="16" t="s">
        <v>53</v>
      </c>
      <c r="F1646" s="18">
        <v>972</v>
      </c>
      <c r="G1646" s="22">
        <v>108</v>
      </c>
      <c r="H1646" s="18">
        <v>1.65152688679487</v>
      </c>
      <c r="I1646" s="18">
        <v>178.36490377384601</v>
      </c>
      <c r="J1646" s="18">
        <v>793.635096226153</v>
      </c>
      <c r="K1646" s="22">
        <v>0</v>
      </c>
      <c r="L1646" s="22" t="str">
        <f t="shared" si="25"/>
        <v>45809, 6, 16</v>
      </c>
    </row>
    <row r="1647" spans="1:12">
      <c r="A1647" s="9">
        <v>45809</v>
      </c>
      <c r="B1647">
        <v>6</v>
      </c>
      <c r="C1647" s="16" t="s">
        <v>61</v>
      </c>
      <c r="D1647">
        <v>17</v>
      </c>
      <c r="E1647" s="16" t="s">
        <v>54</v>
      </c>
      <c r="F1647" s="18">
        <v>1564</v>
      </c>
      <c r="G1647" s="22">
        <v>184</v>
      </c>
      <c r="H1647" s="18">
        <v>1.51707396058823</v>
      </c>
      <c r="I1647" s="18">
        <v>279.141608748235</v>
      </c>
      <c r="J1647" s="18">
        <v>1284.8583912517599</v>
      </c>
      <c r="K1647" s="22">
        <v>0</v>
      </c>
      <c r="L1647" s="22" t="str">
        <f t="shared" si="25"/>
        <v>45809, 6, 17</v>
      </c>
    </row>
    <row r="1648" spans="1:12">
      <c r="A1648" s="9">
        <v>45809</v>
      </c>
      <c r="B1648">
        <v>6</v>
      </c>
      <c r="C1648" s="16" t="s">
        <v>61</v>
      </c>
      <c r="D1648">
        <v>18</v>
      </c>
      <c r="E1648" s="16" t="s">
        <v>55</v>
      </c>
      <c r="F1648" s="18">
        <v>3600</v>
      </c>
      <c r="G1648" s="22">
        <v>144</v>
      </c>
      <c r="H1648" s="18">
        <v>6.1678096934880902</v>
      </c>
      <c r="I1648" s="18">
        <v>888.16459586228495</v>
      </c>
      <c r="J1648" s="18">
        <v>2711.8354041377102</v>
      </c>
      <c r="K1648" s="22">
        <v>0</v>
      </c>
      <c r="L1648" s="22" t="str">
        <f t="shared" si="25"/>
        <v>45809, 6, 18</v>
      </c>
    </row>
    <row r="1649" spans="1:12">
      <c r="A1649" s="9">
        <v>45839</v>
      </c>
      <c r="B1649">
        <v>6</v>
      </c>
      <c r="C1649" s="16" t="s">
        <v>61</v>
      </c>
      <c r="D1649">
        <v>1</v>
      </c>
      <c r="E1649" s="16" t="s">
        <v>38</v>
      </c>
      <c r="F1649" s="18">
        <v>5267</v>
      </c>
      <c r="G1649" s="22">
        <v>229</v>
      </c>
      <c r="H1649" s="18">
        <v>4.5907609999999996</v>
      </c>
      <c r="I1649" s="18">
        <v>1051.284269</v>
      </c>
      <c r="J1649" s="18">
        <v>4215.7157310000002</v>
      </c>
      <c r="K1649" s="22">
        <v>0</v>
      </c>
      <c r="L1649" s="22" t="str">
        <f t="shared" si="25"/>
        <v>45839, 6, 1</v>
      </c>
    </row>
    <row r="1650" spans="1:12">
      <c r="A1650" s="9">
        <v>45839</v>
      </c>
      <c r="B1650">
        <v>6</v>
      </c>
      <c r="C1650" s="16" t="s">
        <v>61</v>
      </c>
      <c r="D1650">
        <v>2</v>
      </c>
      <c r="E1650" s="16" t="s">
        <v>40</v>
      </c>
      <c r="F1650" s="18">
        <v>6502.5</v>
      </c>
      <c r="G1650" s="22">
        <v>255</v>
      </c>
      <c r="H1650" s="18">
        <v>7.5854378073333297</v>
      </c>
      <c r="I1650" s="18">
        <v>1934.2866408699899</v>
      </c>
      <c r="J1650" s="18">
        <v>4568.2133591299998</v>
      </c>
      <c r="K1650" s="22">
        <v>0</v>
      </c>
      <c r="L1650" s="22" t="str">
        <f t="shared" si="25"/>
        <v>45839, 6, 2</v>
      </c>
    </row>
    <row r="1651" spans="1:12">
      <c r="A1651" s="9">
        <v>45839</v>
      </c>
      <c r="B1651">
        <v>6</v>
      </c>
      <c r="C1651" s="16" t="s">
        <v>61</v>
      </c>
      <c r="D1651">
        <v>3</v>
      </c>
      <c r="E1651" s="16" t="s">
        <v>41</v>
      </c>
      <c r="F1651" s="18">
        <v>2403</v>
      </c>
      <c r="G1651" s="22">
        <v>89</v>
      </c>
      <c r="H1651" s="18">
        <v>3.65429790855555</v>
      </c>
      <c r="I1651" s="18">
        <v>325.23251386144398</v>
      </c>
      <c r="J1651" s="18">
        <v>2077.7674861385499</v>
      </c>
      <c r="K1651" s="22">
        <v>0</v>
      </c>
      <c r="L1651" s="22" t="str">
        <f t="shared" si="25"/>
        <v>45839, 6, 3</v>
      </c>
    </row>
    <row r="1652" spans="1:12">
      <c r="A1652" s="9">
        <v>45839</v>
      </c>
      <c r="B1652">
        <v>6</v>
      </c>
      <c r="C1652" s="16" t="s">
        <v>61</v>
      </c>
      <c r="D1652">
        <v>4</v>
      </c>
      <c r="E1652" s="16" t="s">
        <v>42</v>
      </c>
      <c r="F1652" s="18">
        <v>2904</v>
      </c>
      <c r="G1652" s="22">
        <v>132</v>
      </c>
      <c r="H1652" s="18">
        <v>7.4429418312222202</v>
      </c>
      <c r="I1652" s="18">
        <v>982.46832172133304</v>
      </c>
      <c r="J1652" s="18">
        <v>1921.5316782786599</v>
      </c>
      <c r="K1652" s="22">
        <v>0</v>
      </c>
      <c r="L1652" s="22" t="str">
        <f t="shared" si="25"/>
        <v>45839, 6, 4</v>
      </c>
    </row>
    <row r="1653" spans="1:12">
      <c r="A1653" s="9">
        <v>45839</v>
      </c>
      <c r="B1653">
        <v>6</v>
      </c>
      <c r="C1653" s="16" t="s">
        <v>61</v>
      </c>
      <c r="D1653">
        <v>5</v>
      </c>
      <c r="E1653" s="16" t="s">
        <v>43</v>
      </c>
      <c r="F1653" s="18">
        <v>2288</v>
      </c>
      <c r="G1653" s="22">
        <v>104</v>
      </c>
      <c r="H1653" s="18">
        <v>6.4929861111111098</v>
      </c>
      <c r="I1653" s="18">
        <v>675.27055555555501</v>
      </c>
      <c r="J1653" s="18">
        <v>1612.7294444444401</v>
      </c>
      <c r="K1653" s="22">
        <v>0</v>
      </c>
      <c r="L1653" s="22" t="str">
        <f t="shared" si="25"/>
        <v>45839, 6, 5</v>
      </c>
    </row>
    <row r="1654" spans="1:12">
      <c r="A1654" s="9">
        <v>45839</v>
      </c>
      <c r="B1654">
        <v>6</v>
      </c>
      <c r="C1654" s="16" t="s">
        <v>61</v>
      </c>
      <c r="D1654">
        <v>6</v>
      </c>
      <c r="E1654" s="16" t="s">
        <v>44</v>
      </c>
      <c r="F1654" s="18">
        <v>2232</v>
      </c>
      <c r="G1654" s="22">
        <v>93</v>
      </c>
      <c r="H1654" s="18">
        <v>5.4819503502941096</v>
      </c>
      <c r="I1654" s="18">
        <v>509.82138257735198</v>
      </c>
      <c r="J1654" s="18">
        <v>1722.1786174226399</v>
      </c>
      <c r="K1654" s="22">
        <v>0</v>
      </c>
      <c r="L1654" s="22" t="str">
        <f t="shared" si="25"/>
        <v>45839, 6, 6</v>
      </c>
    </row>
    <row r="1655" spans="1:12">
      <c r="A1655" s="9">
        <v>45839</v>
      </c>
      <c r="B1655">
        <v>6</v>
      </c>
      <c r="C1655" s="16" t="s">
        <v>61</v>
      </c>
      <c r="D1655">
        <v>7</v>
      </c>
      <c r="E1655" s="16" t="s">
        <v>45</v>
      </c>
      <c r="F1655" s="18">
        <v>1826</v>
      </c>
      <c r="G1655" s="22">
        <v>166</v>
      </c>
      <c r="H1655" s="18">
        <v>3.1293440468421001</v>
      </c>
      <c r="I1655" s="18">
        <v>519.47111177578904</v>
      </c>
      <c r="J1655" s="18">
        <v>1306.52888822421</v>
      </c>
      <c r="K1655" s="22">
        <v>0</v>
      </c>
      <c r="L1655" s="22" t="str">
        <f t="shared" si="25"/>
        <v>45839, 6, 7</v>
      </c>
    </row>
    <row r="1656" spans="1:12">
      <c r="A1656" s="9">
        <v>45839</v>
      </c>
      <c r="B1656">
        <v>6</v>
      </c>
      <c r="C1656" s="16" t="s">
        <v>61</v>
      </c>
      <c r="D1656">
        <v>8</v>
      </c>
      <c r="E1656" s="16" t="s">
        <v>46</v>
      </c>
      <c r="F1656" s="18">
        <v>988</v>
      </c>
      <c r="G1656" s="22">
        <v>76</v>
      </c>
      <c r="H1656" s="18">
        <v>0.670781235333333</v>
      </c>
      <c r="I1656" s="18">
        <v>50.979373885333302</v>
      </c>
      <c r="J1656" s="18">
        <v>937.02062611466602</v>
      </c>
      <c r="K1656" s="22">
        <v>0</v>
      </c>
      <c r="L1656" s="22" t="str">
        <f t="shared" si="25"/>
        <v>45839, 6, 8</v>
      </c>
    </row>
    <row r="1657" spans="1:12">
      <c r="A1657" s="9">
        <v>45839</v>
      </c>
      <c r="B1657">
        <v>6</v>
      </c>
      <c r="C1657" s="16" t="s">
        <v>61</v>
      </c>
      <c r="D1657">
        <v>9</v>
      </c>
      <c r="E1657" s="16" t="s">
        <v>47</v>
      </c>
      <c r="F1657" s="18">
        <v>2860</v>
      </c>
      <c r="G1657" s="22">
        <v>55</v>
      </c>
      <c r="H1657" s="18">
        <v>19.109897613402602</v>
      </c>
      <c r="I1657" s="18">
        <v>1051.0443687371401</v>
      </c>
      <c r="J1657" s="18">
        <v>1808.9556312628499</v>
      </c>
      <c r="K1657" s="22">
        <v>0</v>
      </c>
      <c r="L1657" s="22" t="str">
        <f t="shared" si="25"/>
        <v>45839, 6, 9</v>
      </c>
    </row>
    <row r="1658" spans="1:12">
      <c r="A1658" s="9">
        <v>45839</v>
      </c>
      <c r="B1658">
        <v>6</v>
      </c>
      <c r="C1658" s="16" t="s">
        <v>61</v>
      </c>
      <c r="D1658">
        <v>10</v>
      </c>
      <c r="E1658" s="16" t="s">
        <v>57</v>
      </c>
      <c r="F1658" s="18">
        <v>1335</v>
      </c>
      <c r="G1658" s="22">
        <v>89</v>
      </c>
      <c r="H1658" s="18">
        <v>1.7655789533478199</v>
      </c>
      <c r="I1658" s="18">
        <v>157.13652684795599</v>
      </c>
      <c r="J1658" s="18">
        <v>1177.8634731520399</v>
      </c>
      <c r="K1658" s="22">
        <v>0</v>
      </c>
      <c r="L1658" s="22" t="str">
        <f t="shared" si="25"/>
        <v>45839, 6, 10</v>
      </c>
    </row>
    <row r="1659" spans="1:12">
      <c r="A1659" s="9">
        <v>45839</v>
      </c>
      <c r="B1659">
        <v>6</v>
      </c>
      <c r="C1659" s="16" t="s">
        <v>61</v>
      </c>
      <c r="D1659">
        <v>11</v>
      </c>
      <c r="E1659" s="16" t="s">
        <v>48</v>
      </c>
      <c r="F1659" s="18">
        <v>3894</v>
      </c>
      <c r="G1659" s="22">
        <v>177</v>
      </c>
      <c r="H1659" s="18">
        <v>2.2029247031249999</v>
      </c>
      <c r="I1659" s="18">
        <v>389.91767245312502</v>
      </c>
      <c r="J1659" s="18">
        <v>3504.0823275468701</v>
      </c>
      <c r="K1659" s="22">
        <v>0</v>
      </c>
      <c r="L1659" s="22" t="str">
        <f t="shared" si="25"/>
        <v>45839, 6, 11</v>
      </c>
    </row>
    <row r="1660" spans="1:12">
      <c r="A1660" s="9">
        <v>45839</v>
      </c>
      <c r="B1660">
        <v>6</v>
      </c>
      <c r="C1660" s="16" t="s">
        <v>61</v>
      </c>
      <c r="D1660">
        <v>12</v>
      </c>
      <c r="E1660" s="16" t="s">
        <v>49</v>
      </c>
      <c r="F1660" s="18">
        <v>3473</v>
      </c>
      <c r="G1660" s="22">
        <v>151</v>
      </c>
      <c r="H1660" s="18">
        <v>2.6380595182777702</v>
      </c>
      <c r="I1660" s="18">
        <v>398.346987259944</v>
      </c>
      <c r="J1660" s="18">
        <v>3074.6530127400501</v>
      </c>
      <c r="K1660" s="22">
        <v>0</v>
      </c>
      <c r="L1660" s="22" t="str">
        <f t="shared" si="25"/>
        <v>45839, 6, 12</v>
      </c>
    </row>
    <row r="1661" spans="1:12">
      <c r="A1661" s="9">
        <v>45839</v>
      </c>
      <c r="B1661">
        <v>6</v>
      </c>
      <c r="C1661" s="16" t="s">
        <v>61</v>
      </c>
      <c r="D1661">
        <v>13</v>
      </c>
      <c r="E1661" s="16" t="s">
        <v>50</v>
      </c>
      <c r="F1661" s="18">
        <v>2592</v>
      </c>
      <c r="G1661" s="22">
        <v>108</v>
      </c>
      <c r="H1661" s="18">
        <v>7.64605022222222</v>
      </c>
      <c r="I1661" s="18">
        <v>825.77342399999895</v>
      </c>
      <c r="J1661" s="18">
        <v>1766.226576</v>
      </c>
      <c r="K1661" s="22">
        <v>0</v>
      </c>
      <c r="L1661" s="22" t="str">
        <f t="shared" si="25"/>
        <v>45839, 6, 13</v>
      </c>
    </row>
    <row r="1662" spans="1:12">
      <c r="A1662" s="9">
        <v>45839</v>
      </c>
      <c r="B1662">
        <v>6</v>
      </c>
      <c r="C1662" s="16" t="s">
        <v>61</v>
      </c>
      <c r="D1662">
        <v>14</v>
      </c>
      <c r="E1662" s="16" t="s">
        <v>51</v>
      </c>
      <c r="F1662" s="18">
        <v>1740.5</v>
      </c>
      <c r="G1662" s="22">
        <v>59</v>
      </c>
      <c r="H1662" s="18">
        <v>4.8685758893076896</v>
      </c>
      <c r="I1662" s="18">
        <v>287.24597746915299</v>
      </c>
      <c r="J1662" s="18">
        <v>1453.2540225308401</v>
      </c>
      <c r="K1662" s="22">
        <v>0</v>
      </c>
      <c r="L1662" s="22" t="str">
        <f t="shared" si="25"/>
        <v>45839, 6, 14</v>
      </c>
    </row>
    <row r="1663" spans="1:12">
      <c r="A1663" s="9">
        <v>45839</v>
      </c>
      <c r="B1663">
        <v>6</v>
      </c>
      <c r="C1663" s="16" t="s">
        <v>61</v>
      </c>
      <c r="D1663">
        <v>15</v>
      </c>
      <c r="E1663" s="16" t="s">
        <v>52</v>
      </c>
      <c r="F1663" s="18">
        <v>3621</v>
      </c>
      <c r="G1663" s="22">
        <v>142</v>
      </c>
      <c r="H1663" s="18">
        <v>2.8657082366923001</v>
      </c>
      <c r="I1663" s="18">
        <v>406.93056961030697</v>
      </c>
      <c r="J1663" s="18">
        <v>3214.0694303896898</v>
      </c>
      <c r="K1663" s="22">
        <v>0</v>
      </c>
      <c r="L1663" s="22" t="str">
        <f t="shared" si="25"/>
        <v>45839, 6, 15</v>
      </c>
    </row>
    <row r="1664" spans="1:12">
      <c r="A1664" s="9">
        <v>45839</v>
      </c>
      <c r="B1664">
        <v>6</v>
      </c>
      <c r="C1664" s="16" t="s">
        <v>61</v>
      </c>
      <c r="D1664">
        <v>16</v>
      </c>
      <c r="E1664" s="16" t="s">
        <v>53</v>
      </c>
      <c r="F1664" s="18">
        <v>1044</v>
      </c>
      <c r="G1664" s="22">
        <v>116</v>
      </c>
      <c r="H1664" s="18">
        <v>1.65857523826923</v>
      </c>
      <c r="I1664" s="18">
        <v>192.39472763923001</v>
      </c>
      <c r="J1664" s="18">
        <v>851.60527236076905</v>
      </c>
      <c r="K1664" s="22">
        <v>0</v>
      </c>
      <c r="L1664" s="22" t="str">
        <f t="shared" si="25"/>
        <v>45839, 6, 16</v>
      </c>
    </row>
    <row r="1665" spans="1:12">
      <c r="A1665" s="9">
        <v>45839</v>
      </c>
      <c r="B1665">
        <v>6</v>
      </c>
      <c r="C1665" s="16" t="s">
        <v>61</v>
      </c>
      <c r="D1665">
        <v>17</v>
      </c>
      <c r="E1665" s="16" t="s">
        <v>54</v>
      </c>
      <c r="F1665" s="18">
        <v>1351.5</v>
      </c>
      <c r="G1665" s="22">
        <v>159</v>
      </c>
      <c r="H1665" s="18">
        <v>1.52740555166666</v>
      </c>
      <c r="I1665" s="18">
        <v>242.857482715</v>
      </c>
      <c r="J1665" s="18">
        <v>1108.6425172849899</v>
      </c>
      <c r="K1665" s="22">
        <v>0</v>
      </c>
      <c r="L1665" s="22" t="str">
        <f t="shared" si="25"/>
        <v>45839, 6, 17</v>
      </c>
    </row>
    <row r="1666" spans="1:12">
      <c r="A1666" s="9">
        <v>45839</v>
      </c>
      <c r="B1666">
        <v>6</v>
      </c>
      <c r="C1666" s="16" t="s">
        <v>61</v>
      </c>
      <c r="D1666">
        <v>18</v>
      </c>
      <c r="E1666" s="16" t="s">
        <v>55</v>
      </c>
      <c r="F1666" s="18">
        <v>4275</v>
      </c>
      <c r="G1666" s="22">
        <v>171</v>
      </c>
      <c r="H1666" s="18">
        <v>6.1087021941195596</v>
      </c>
      <c r="I1666" s="18">
        <v>1044.5880751944401</v>
      </c>
      <c r="J1666" s="18">
        <v>3230.4119248055499</v>
      </c>
      <c r="K1666" s="22">
        <v>0</v>
      </c>
      <c r="L1666" s="22" t="str">
        <f t="shared" si="25"/>
        <v>45839, 6, 18</v>
      </c>
    </row>
    <row r="1667" spans="1:12">
      <c r="A1667" s="9">
        <v>45870</v>
      </c>
      <c r="B1667">
        <v>6</v>
      </c>
      <c r="C1667" s="16" t="s">
        <v>61</v>
      </c>
      <c r="D1667">
        <v>1</v>
      </c>
      <c r="E1667" s="16" t="s">
        <v>38</v>
      </c>
      <c r="F1667" s="18">
        <v>5474</v>
      </c>
      <c r="G1667" s="22">
        <v>238</v>
      </c>
      <c r="H1667" s="18">
        <v>4.5998269117647004</v>
      </c>
      <c r="I1667" s="18">
        <v>1094.7588049999999</v>
      </c>
      <c r="J1667" s="18">
        <v>4379.2411949999896</v>
      </c>
      <c r="K1667" s="22">
        <v>0</v>
      </c>
      <c r="L1667" s="22" t="str">
        <f t="shared" ref="L1667:L1730" si="26">(A1667&amp; ", "&amp; B1667&amp; ", "&amp; D1667)</f>
        <v>45870, 6, 1</v>
      </c>
    </row>
    <row r="1668" spans="1:12">
      <c r="A1668" s="9">
        <v>45870</v>
      </c>
      <c r="B1668">
        <v>6</v>
      </c>
      <c r="C1668" s="16" t="s">
        <v>61</v>
      </c>
      <c r="D1668">
        <v>2</v>
      </c>
      <c r="E1668" s="16" t="s">
        <v>40</v>
      </c>
      <c r="F1668" s="18">
        <v>6579</v>
      </c>
      <c r="G1668" s="22">
        <v>258</v>
      </c>
      <c r="H1668" s="18">
        <v>7.5815523745882301</v>
      </c>
      <c r="I1668" s="18">
        <v>1956.0405126437599</v>
      </c>
      <c r="J1668" s="18">
        <v>4622.9594873562301</v>
      </c>
      <c r="K1668" s="22">
        <v>0</v>
      </c>
      <c r="L1668" s="22" t="str">
        <f t="shared" si="26"/>
        <v>45870, 6, 2</v>
      </c>
    </row>
    <row r="1669" spans="1:12">
      <c r="A1669" s="9">
        <v>45870</v>
      </c>
      <c r="B1669">
        <v>6</v>
      </c>
      <c r="C1669" s="16" t="s">
        <v>61</v>
      </c>
      <c r="D1669">
        <v>3</v>
      </c>
      <c r="E1669" s="16" t="s">
        <v>41</v>
      </c>
      <c r="F1669" s="18">
        <v>2889</v>
      </c>
      <c r="G1669" s="22">
        <v>107</v>
      </c>
      <c r="H1669" s="18">
        <v>3.6323465397647001</v>
      </c>
      <c r="I1669" s="18">
        <v>388.66107975482299</v>
      </c>
      <c r="J1669" s="18">
        <v>2500.3389202451699</v>
      </c>
      <c r="K1669" s="22">
        <v>0</v>
      </c>
      <c r="L1669" s="22" t="str">
        <f t="shared" si="26"/>
        <v>45870, 6, 3</v>
      </c>
    </row>
    <row r="1670" spans="1:12">
      <c r="A1670" s="9">
        <v>45870</v>
      </c>
      <c r="B1670">
        <v>6</v>
      </c>
      <c r="C1670" s="16" t="s">
        <v>61</v>
      </c>
      <c r="D1670">
        <v>4</v>
      </c>
      <c r="E1670" s="16" t="s">
        <v>42</v>
      </c>
      <c r="F1670" s="18">
        <v>3168</v>
      </c>
      <c r="G1670" s="22">
        <v>144</v>
      </c>
      <c r="H1670" s="18">
        <v>7.4804930474117599</v>
      </c>
      <c r="I1670" s="18">
        <v>1077.1909988272901</v>
      </c>
      <c r="J1670" s="18">
        <v>2090.8090011726999</v>
      </c>
      <c r="K1670" s="22">
        <v>0</v>
      </c>
      <c r="L1670" s="22" t="str">
        <f t="shared" si="26"/>
        <v>45870, 6, 4</v>
      </c>
    </row>
    <row r="1671" spans="1:12">
      <c r="A1671" s="9">
        <v>45870</v>
      </c>
      <c r="B1671">
        <v>6</v>
      </c>
      <c r="C1671" s="16" t="s">
        <v>61</v>
      </c>
      <c r="D1671">
        <v>5</v>
      </c>
      <c r="E1671" s="16" t="s">
        <v>43</v>
      </c>
      <c r="F1671" s="18">
        <v>1826</v>
      </c>
      <c r="G1671" s="22">
        <v>83</v>
      </c>
      <c r="H1671" s="18">
        <v>6.544921875</v>
      </c>
      <c r="I1671" s="18">
        <v>543.228515625</v>
      </c>
      <c r="J1671" s="18">
        <v>1282.771484375</v>
      </c>
      <c r="K1671" s="22">
        <v>0</v>
      </c>
      <c r="L1671" s="22" t="str">
        <f t="shared" si="26"/>
        <v>45870, 6, 5</v>
      </c>
    </row>
    <row r="1672" spans="1:12">
      <c r="A1672" s="9">
        <v>45870</v>
      </c>
      <c r="B1672">
        <v>6</v>
      </c>
      <c r="C1672" s="16" t="s">
        <v>61</v>
      </c>
      <c r="D1672">
        <v>6</v>
      </c>
      <c r="E1672" s="16" t="s">
        <v>44</v>
      </c>
      <c r="F1672" s="18">
        <v>3384</v>
      </c>
      <c r="G1672" s="22">
        <v>141</v>
      </c>
      <c r="H1672" s="18">
        <v>5.5187323549117604</v>
      </c>
      <c r="I1672" s="18">
        <v>778.14126204255797</v>
      </c>
      <c r="J1672" s="18">
        <v>2605.8587379574401</v>
      </c>
      <c r="K1672" s="22">
        <v>0</v>
      </c>
      <c r="L1672" s="22" t="str">
        <f t="shared" si="26"/>
        <v>45870, 6, 6</v>
      </c>
    </row>
    <row r="1673" spans="1:12">
      <c r="A1673" s="9">
        <v>45870</v>
      </c>
      <c r="B1673">
        <v>6</v>
      </c>
      <c r="C1673" s="16" t="s">
        <v>61</v>
      </c>
      <c r="D1673">
        <v>7</v>
      </c>
      <c r="E1673" s="16" t="s">
        <v>45</v>
      </c>
      <c r="F1673" s="18">
        <v>1892</v>
      </c>
      <c r="G1673" s="22">
        <v>172</v>
      </c>
      <c r="H1673" s="18">
        <v>3.1538631842646998</v>
      </c>
      <c r="I1673" s="18">
        <v>542.46446769352895</v>
      </c>
      <c r="J1673" s="18">
        <v>1349.53553230647</v>
      </c>
      <c r="K1673" s="22">
        <v>0</v>
      </c>
      <c r="L1673" s="22" t="str">
        <f t="shared" si="26"/>
        <v>45870, 6, 7</v>
      </c>
    </row>
    <row r="1674" spans="1:12">
      <c r="A1674" s="9">
        <v>45870</v>
      </c>
      <c r="B1674">
        <v>6</v>
      </c>
      <c r="C1674" s="16" t="s">
        <v>61</v>
      </c>
      <c r="D1674">
        <v>8</v>
      </c>
      <c r="E1674" s="16" t="s">
        <v>46</v>
      </c>
      <c r="F1674" s="18">
        <v>1092</v>
      </c>
      <c r="G1674" s="22">
        <v>84</v>
      </c>
      <c r="H1674" s="18">
        <v>0.67229127291666602</v>
      </c>
      <c r="I1674" s="18">
        <v>56.472466924999999</v>
      </c>
      <c r="J1674" s="18">
        <v>1035.5275330749901</v>
      </c>
      <c r="K1674" s="22">
        <v>0</v>
      </c>
      <c r="L1674" s="22" t="str">
        <f t="shared" si="26"/>
        <v>45870, 6, 8</v>
      </c>
    </row>
    <row r="1675" spans="1:12">
      <c r="A1675" s="9">
        <v>45870</v>
      </c>
      <c r="B1675">
        <v>6</v>
      </c>
      <c r="C1675" s="16" t="s">
        <v>61</v>
      </c>
      <c r="D1675">
        <v>9</v>
      </c>
      <c r="E1675" s="16" t="s">
        <v>47</v>
      </c>
      <c r="F1675" s="18">
        <v>2652</v>
      </c>
      <c r="G1675" s="22">
        <v>51</v>
      </c>
      <c r="H1675" s="18">
        <v>19.1951034369173</v>
      </c>
      <c r="I1675" s="18">
        <v>978.95027528278501</v>
      </c>
      <c r="J1675" s="18">
        <v>1673.04972471721</v>
      </c>
      <c r="K1675" s="22">
        <v>0</v>
      </c>
      <c r="L1675" s="22" t="str">
        <f t="shared" si="26"/>
        <v>45870, 6, 9</v>
      </c>
    </row>
    <row r="1676" spans="1:12">
      <c r="A1676" s="9">
        <v>45870</v>
      </c>
      <c r="B1676">
        <v>6</v>
      </c>
      <c r="C1676" s="16" t="s">
        <v>61</v>
      </c>
      <c r="D1676">
        <v>10</v>
      </c>
      <c r="E1676" s="16" t="s">
        <v>57</v>
      </c>
      <c r="F1676" s="18">
        <v>1500</v>
      </c>
      <c r="G1676" s="22">
        <v>100</v>
      </c>
      <c r="H1676" s="18">
        <v>1.80236422815238</v>
      </c>
      <c r="I1676" s="18">
        <v>180.236422815238</v>
      </c>
      <c r="J1676" s="18">
        <v>1319.7635771847599</v>
      </c>
      <c r="K1676" s="22">
        <v>0</v>
      </c>
      <c r="L1676" s="22" t="str">
        <f t="shared" si="26"/>
        <v>45870, 6, 10</v>
      </c>
    </row>
    <row r="1677" spans="1:12">
      <c r="A1677" s="9">
        <v>45870</v>
      </c>
      <c r="B1677">
        <v>6</v>
      </c>
      <c r="C1677" s="16" t="s">
        <v>61</v>
      </c>
      <c r="D1677">
        <v>11</v>
      </c>
      <c r="E1677" s="16" t="s">
        <v>48</v>
      </c>
      <c r="F1677" s="18">
        <v>4400</v>
      </c>
      <c r="G1677" s="22">
        <v>200</v>
      </c>
      <c r="H1677" s="18">
        <v>2.2172769583333301</v>
      </c>
      <c r="I1677" s="18">
        <v>443.455391666666</v>
      </c>
      <c r="J1677" s="18">
        <v>3956.54460833333</v>
      </c>
      <c r="K1677" s="22">
        <v>0</v>
      </c>
      <c r="L1677" s="22" t="str">
        <f t="shared" si="26"/>
        <v>45870, 6, 11</v>
      </c>
    </row>
    <row r="1678" spans="1:12">
      <c r="A1678" s="9">
        <v>45870</v>
      </c>
      <c r="B1678">
        <v>6</v>
      </c>
      <c r="C1678" s="16" t="s">
        <v>61</v>
      </c>
      <c r="D1678">
        <v>12</v>
      </c>
      <c r="E1678" s="16" t="s">
        <v>49</v>
      </c>
      <c r="F1678" s="18">
        <v>3220</v>
      </c>
      <c r="G1678" s="22">
        <v>140</v>
      </c>
      <c r="H1678" s="18">
        <v>2.6498197857941101</v>
      </c>
      <c r="I1678" s="18">
        <v>370.97477001117602</v>
      </c>
      <c r="J1678" s="18">
        <v>2849.0252299888198</v>
      </c>
      <c r="K1678" s="22">
        <v>0</v>
      </c>
      <c r="L1678" s="22" t="str">
        <f t="shared" si="26"/>
        <v>45870, 6, 12</v>
      </c>
    </row>
    <row r="1679" spans="1:12">
      <c r="A1679" s="9">
        <v>45870</v>
      </c>
      <c r="B1679">
        <v>6</v>
      </c>
      <c r="C1679" s="16" t="s">
        <v>61</v>
      </c>
      <c r="D1679">
        <v>13</v>
      </c>
      <c r="E1679" s="16" t="s">
        <v>50</v>
      </c>
      <c r="F1679" s="18">
        <v>2520</v>
      </c>
      <c r="G1679" s="22">
        <v>105</v>
      </c>
      <c r="H1679" s="18">
        <v>7.6150573750000001</v>
      </c>
      <c r="I1679" s="18">
        <v>799.58102437499997</v>
      </c>
      <c r="J1679" s="18">
        <v>1720.418975625</v>
      </c>
      <c r="K1679" s="22">
        <v>0</v>
      </c>
      <c r="L1679" s="22" t="str">
        <f t="shared" si="26"/>
        <v>45870, 6, 13</v>
      </c>
    </row>
    <row r="1680" spans="1:12">
      <c r="A1680" s="9">
        <v>45870</v>
      </c>
      <c r="B1680">
        <v>6</v>
      </c>
      <c r="C1680" s="16" t="s">
        <v>61</v>
      </c>
      <c r="D1680">
        <v>14</v>
      </c>
      <c r="E1680" s="16" t="s">
        <v>51</v>
      </c>
      <c r="F1680" s="18">
        <v>1475</v>
      </c>
      <c r="G1680" s="22">
        <v>50</v>
      </c>
      <c r="H1680" s="18">
        <v>4.8909643624642802</v>
      </c>
      <c r="I1680" s="18">
        <v>244.54821812321401</v>
      </c>
      <c r="J1680" s="18">
        <v>1230.4517818767799</v>
      </c>
      <c r="K1680" s="22">
        <v>0</v>
      </c>
      <c r="L1680" s="22" t="str">
        <f t="shared" si="26"/>
        <v>45870, 6, 14</v>
      </c>
    </row>
    <row r="1681" spans="1:12">
      <c r="A1681" s="9">
        <v>45870</v>
      </c>
      <c r="B1681">
        <v>6</v>
      </c>
      <c r="C1681" s="16" t="s">
        <v>61</v>
      </c>
      <c r="D1681">
        <v>15</v>
      </c>
      <c r="E1681" s="16" t="s">
        <v>52</v>
      </c>
      <c r="F1681" s="18">
        <v>3417</v>
      </c>
      <c r="G1681" s="22">
        <v>134</v>
      </c>
      <c r="H1681" s="18">
        <v>2.9047451774285702</v>
      </c>
      <c r="I1681" s="18">
        <v>389.23585377542798</v>
      </c>
      <c r="J1681" s="18">
        <v>3027.7641462245701</v>
      </c>
      <c r="K1681" s="22">
        <v>0</v>
      </c>
      <c r="L1681" s="22" t="str">
        <f t="shared" si="26"/>
        <v>45870, 6, 15</v>
      </c>
    </row>
    <row r="1682" spans="1:12">
      <c r="A1682" s="9">
        <v>45870</v>
      </c>
      <c r="B1682">
        <v>6</v>
      </c>
      <c r="C1682" s="16" t="s">
        <v>61</v>
      </c>
      <c r="D1682">
        <v>16</v>
      </c>
      <c r="E1682" s="16" t="s">
        <v>53</v>
      </c>
      <c r="F1682" s="18">
        <v>900</v>
      </c>
      <c r="G1682" s="22">
        <v>100</v>
      </c>
      <c r="H1682" s="18">
        <v>1.67196908648148</v>
      </c>
      <c r="I1682" s="18">
        <v>167.196908648148</v>
      </c>
      <c r="J1682" s="18">
        <v>732.80309135185098</v>
      </c>
      <c r="K1682" s="22">
        <v>0</v>
      </c>
      <c r="L1682" s="22" t="str">
        <f t="shared" si="26"/>
        <v>45870, 6, 16</v>
      </c>
    </row>
    <row r="1683" spans="1:12">
      <c r="A1683" s="9">
        <v>45870</v>
      </c>
      <c r="B1683">
        <v>6</v>
      </c>
      <c r="C1683" s="16" t="s">
        <v>61</v>
      </c>
      <c r="D1683">
        <v>17</v>
      </c>
      <c r="E1683" s="16" t="s">
        <v>54</v>
      </c>
      <c r="F1683" s="18">
        <v>1249.5</v>
      </c>
      <c r="G1683" s="22">
        <v>147</v>
      </c>
      <c r="H1683" s="18">
        <v>1.5337636526470499</v>
      </c>
      <c r="I1683" s="18">
        <v>225.463256939117</v>
      </c>
      <c r="J1683" s="18">
        <v>1024.0367430608801</v>
      </c>
      <c r="K1683" s="22">
        <v>0</v>
      </c>
      <c r="L1683" s="22" t="str">
        <f t="shared" si="26"/>
        <v>45870, 6, 17</v>
      </c>
    </row>
    <row r="1684" spans="1:12">
      <c r="A1684" s="9">
        <v>45870</v>
      </c>
      <c r="B1684">
        <v>6</v>
      </c>
      <c r="C1684" s="16" t="s">
        <v>61</v>
      </c>
      <c r="D1684">
        <v>18</v>
      </c>
      <c r="E1684" s="16" t="s">
        <v>55</v>
      </c>
      <c r="F1684" s="18">
        <v>3000</v>
      </c>
      <c r="G1684" s="22">
        <v>120</v>
      </c>
      <c r="H1684" s="18">
        <v>6.8755252942618998</v>
      </c>
      <c r="I1684" s="18">
        <v>825.06303531142805</v>
      </c>
      <c r="J1684" s="18">
        <v>2174.9369646885698</v>
      </c>
      <c r="K1684" s="22">
        <v>0</v>
      </c>
      <c r="L1684" s="22" t="str">
        <f t="shared" si="26"/>
        <v>45870, 6, 18</v>
      </c>
    </row>
    <row r="1685" spans="1:12">
      <c r="A1685" s="9">
        <v>45901</v>
      </c>
      <c r="B1685">
        <v>6</v>
      </c>
      <c r="C1685" s="16" t="s">
        <v>61</v>
      </c>
      <c r="D1685">
        <v>1</v>
      </c>
      <c r="E1685" s="16" t="s">
        <v>38</v>
      </c>
      <c r="F1685" s="18">
        <v>5635</v>
      </c>
      <c r="G1685" s="22">
        <v>245</v>
      </c>
      <c r="H1685" s="18">
        <v>4.6137380735294098</v>
      </c>
      <c r="I1685" s="18">
        <v>1130.3658280146999</v>
      </c>
      <c r="J1685" s="18">
        <v>4504.6341719852899</v>
      </c>
      <c r="K1685" s="22">
        <v>0</v>
      </c>
      <c r="L1685" s="22" t="str">
        <f t="shared" si="26"/>
        <v>45901, 6, 1</v>
      </c>
    </row>
    <row r="1686" spans="1:12">
      <c r="A1686" s="9">
        <v>45901</v>
      </c>
      <c r="B1686">
        <v>6</v>
      </c>
      <c r="C1686" s="16" t="s">
        <v>61</v>
      </c>
      <c r="D1686">
        <v>2</v>
      </c>
      <c r="E1686" s="16" t="s">
        <v>40</v>
      </c>
      <c r="F1686" s="18">
        <v>7063.5</v>
      </c>
      <c r="G1686" s="22">
        <v>277</v>
      </c>
      <c r="H1686" s="18">
        <v>7.6333325285882303</v>
      </c>
      <c r="I1686" s="18">
        <v>2114.43311041894</v>
      </c>
      <c r="J1686" s="18">
        <v>4949.0668895810504</v>
      </c>
      <c r="K1686" s="22">
        <v>0</v>
      </c>
      <c r="L1686" s="22" t="str">
        <f t="shared" si="26"/>
        <v>45901, 6, 2</v>
      </c>
    </row>
    <row r="1687" spans="1:12">
      <c r="A1687" s="9">
        <v>45901</v>
      </c>
      <c r="B1687">
        <v>6</v>
      </c>
      <c r="C1687" s="16" t="s">
        <v>61</v>
      </c>
      <c r="D1687">
        <v>3</v>
      </c>
      <c r="E1687" s="16" t="s">
        <v>41</v>
      </c>
      <c r="F1687" s="18">
        <v>3510</v>
      </c>
      <c r="G1687" s="22">
        <v>130</v>
      </c>
      <c r="H1687" s="18">
        <v>3.6497238995294099</v>
      </c>
      <c r="I1687" s="18">
        <v>474.46410693882302</v>
      </c>
      <c r="J1687" s="18">
        <v>3035.5358930611701</v>
      </c>
      <c r="K1687" s="22">
        <v>0</v>
      </c>
      <c r="L1687" s="22" t="str">
        <f t="shared" si="26"/>
        <v>45901, 6, 3</v>
      </c>
    </row>
    <row r="1688" spans="1:12">
      <c r="A1688" s="9">
        <v>45901</v>
      </c>
      <c r="B1688">
        <v>6</v>
      </c>
      <c r="C1688" s="16" t="s">
        <v>61</v>
      </c>
      <c r="D1688">
        <v>4</v>
      </c>
      <c r="E1688" s="16" t="s">
        <v>42</v>
      </c>
      <c r="F1688" s="18">
        <v>2728</v>
      </c>
      <c r="G1688" s="22">
        <v>124</v>
      </c>
      <c r="H1688" s="18">
        <v>7.6440955294117598</v>
      </c>
      <c r="I1688" s="18">
        <v>947.86784564705795</v>
      </c>
      <c r="J1688" s="18">
        <v>1780.13215435294</v>
      </c>
      <c r="K1688" s="22">
        <v>0</v>
      </c>
      <c r="L1688" s="22" t="str">
        <f t="shared" si="26"/>
        <v>45901, 6, 4</v>
      </c>
    </row>
    <row r="1689" spans="1:12">
      <c r="A1689" s="9">
        <v>45901</v>
      </c>
      <c r="B1689">
        <v>6</v>
      </c>
      <c r="C1689" s="16" t="s">
        <v>61</v>
      </c>
      <c r="D1689">
        <v>5</v>
      </c>
      <c r="E1689" s="16" t="s">
        <v>43</v>
      </c>
      <c r="F1689" s="18">
        <v>2442</v>
      </c>
      <c r="G1689" s="22">
        <v>111</v>
      </c>
      <c r="H1689" s="18">
        <v>6.7207720588235196</v>
      </c>
      <c r="I1689" s="18">
        <v>746.00569852941101</v>
      </c>
      <c r="J1689" s="18">
        <v>1695.99430147058</v>
      </c>
      <c r="K1689" s="22">
        <v>0</v>
      </c>
      <c r="L1689" s="22" t="str">
        <f t="shared" si="26"/>
        <v>45901, 6, 5</v>
      </c>
    </row>
    <row r="1690" spans="1:12">
      <c r="A1690" s="9">
        <v>45901</v>
      </c>
      <c r="B1690">
        <v>6</v>
      </c>
      <c r="C1690" s="16" t="s">
        <v>61</v>
      </c>
      <c r="D1690">
        <v>6</v>
      </c>
      <c r="E1690" s="16" t="s">
        <v>44</v>
      </c>
      <c r="F1690" s="18">
        <v>3624</v>
      </c>
      <c r="G1690" s="22">
        <v>151</v>
      </c>
      <c r="H1690" s="18">
        <v>5.5472707294687504</v>
      </c>
      <c r="I1690" s="18">
        <v>837.63788014978104</v>
      </c>
      <c r="J1690" s="18">
        <v>2786.3621198502101</v>
      </c>
      <c r="K1690" s="22">
        <v>0</v>
      </c>
      <c r="L1690" s="22" t="str">
        <f t="shared" si="26"/>
        <v>45901, 6, 6</v>
      </c>
    </row>
    <row r="1691" spans="1:12">
      <c r="A1691" s="9">
        <v>45901</v>
      </c>
      <c r="B1691">
        <v>6</v>
      </c>
      <c r="C1691" s="16" t="s">
        <v>61</v>
      </c>
      <c r="D1691">
        <v>7</v>
      </c>
      <c r="E1691" s="16" t="s">
        <v>45</v>
      </c>
      <c r="F1691" s="18">
        <v>2057</v>
      </c>
      <c r="G1691" s="22">
        <v>187</v>
      </c>
      <c r="H1691" s="18">
        <v>3.1646628984210499</v>
      </c>
      <c r="I1691" s="18">
        <v>591.79196200473598</v>
      </c>
      <c r="J1691" s="18">
        <v>1465.2080379952599</v>
      </c>
      <c r="K1691" s="22">
        <v>0</v>
      </c>
      <c r="L1691" s="22" t="str">
        <f t="shared" si="26"/>
        <v>45901, 6, 7</v>
      </c>
    </row>
    <row r="1692" spans="1:12">
      <c r="A1692" s="9">
        <v>45901</v>
      </c>
      <c r="B1692">
        <v>6</v>
      </c>
      <c r="C1692" s="16" t="s">
        <v>61</v>
      </c>
      <c r="D1692">
        <v>8</v>
      </c>
      <c r="E1692" s="16" t="s">
        <v>46</v>
      </c>
      <c r="F1692" s="18">
        <v>1261</v>
      </c>
      <c r="G1692" s="22">
        <v>97</v>
      </c>
      <c r="H1692" s="18">
        <v>0.67841605729166599</v>
      </c>
      <c r="I1692" s="18">
        <v>65.806357557291605</v>
      </c>
      <c r="J1692" s="18">
        <v>1195.1936424426999</v>
      </c>
      <c r="K1692" s="22">
        <v>0</v>
      </c>
      <c r="L1692" s="22" t="str">
        <f t="shared" si="26"/>
        <v>45901, 6, 8</v>
      </c>
    </row>
    <row r="1693" spans="1:12">
      <c r="A1693" s="9">
        <v>45901</v>
      </c>
      <c r="B1693">
        <v>6</v>
      </c>
      <c r="C1693" s="16" t="s">
        <v>61</v>
      </c>
      <c r="D1693">
        <v>9</v>
      </c>
      <c r="E1693" s="16" t="s">
        <v>47</v>
      </c>
      <c r="F1693" s="18">
        <v>3432</v>
      </c>
      <c r="G1693" s="22">
        <v>66</v>
      </c>
      <c r="H1693" s="18">
        <v>19.089504686695602</v>
      </c>
      <c r="I1693" s="18">
        <v>1259.9073093219099</v>
      </c>
      <c r="J1693" s="18">
        <v>2172.0926906780801</v>
      </c>
      <c r="K1693" s="22">
        <v>0</v>
      </c>
      <c r="L1693" s="22" t="str">
        <f t="shared" si="26"/>
        <v>45901, 6, 9</v>
      </c>
    </row>
    <row r="1694" spans="1:12">
      <c r="A1694" s="9">
        <v>45901</v>
      </c>
      <c r="B1694">
        <v>6</v>
      </c>
      <c r="C1694" s="16" t="s">
        <v>61</v>
      </c>
      <c r="D1694">
        <v>10</v>
      </c>
      <c r="E1694" s="16" t="s">
        <v>57</v>
      </c>
      <c r="F1694" s="18">
        <v>1125</v>
      </c>
      <c r="G1694" s="22">
        <v>75</v>
      </c>
      <c r="H1694" s="18">
        <v>1.8976894511454501</v>
      </c>
      <c r="I1694" s="18">
        <v>142.32670883590899</v>
      </c>
      <c r="J1694" s="18">
        <v>982.67329116408996</v>
      </c>
      <c r="K1694" s="22">
        <v>0</v>
      </c>
      <c r="L1694" s="22" t="str">
        <f t="shared" si="26"/>
        <v>45901, 6, 10</v>
      </c>
    </row>
    <row r="1695" spans="1:12">
      <c r="A1695" s="9">
        <v>45901</v>
      </c>
      <c r="B1695">
        <v>6</v>
      </c>
      <c r="C1695" s="16" t="s">
        <v>61</v>
      </c>
      <c r="D1695">
        <v>11</v>
      </c>
      <c r="E1695" s="16" t="s">
        <v>48</v>
      </c>
      <c r="F1695" s="18">
        <v>4224</v>
      </c>
      <c r="G1695" s="22">
        <v>192</v>
      </c>
      <c r="H1695" s="18">
        <v>2.2337508571428502</v>
      </c>
      <c r="I1695" s="18">
        <v>428.880164571428</v>
      </c>
      <c r="J1695" s="18">
        <v>3795.1198354285698</v>
      </c>
      <c r="K1695" s="22">
        <v>0</v>
      </c>
      <c r="L1695" s="22" t="str">
        <f t="shared" si="26"/>
        <v>45901, 6, 11</v>
      </c>
    </row>
    <row r="1696" spans="1:12">
      <c r="A1696" s="9">
        <v>45901</v>
      </c>
      <c r="B1696">
        <v>6</v>
      </c>
      <c r="C1696" s="16" t="s">
        <v>61</v>
      </c>
      <c r="D1696">
        <v>12</v>
      </c>
      <c r="E1696" s="16" t="s">
        <v>49</v>
      </c>
      <c r="F1696" s="18">
        <v>3749</v>
      </c>
      <c r="G1696" s="22">
        <v>163</v>
      </c>
      <c r="H1696" s="18">
        <v>2.6915108533529399</v>
      </c>
      <c r="I1696" s="18">
        <v>438.716269096529</v>
      </c>
      <c r="J1696" s="18">
        <v>3310.2837309034699</v>
      </c>
      <c r="K1696" s="22">
        <v>0</v>
      </c>
      <c r="L1696" s="22" t="str">
        <f t="shared" si="26"/>
        <v>45901, 6, 12</v>
      </c>
    </row>
    <row r="1697" spans="1:12">
      <c r="A1697" s="9">
        <v>45901</v>
      </c>
      <c r="B1697">
        <v>6</v>
      </c>
      <c r="C1697" s="16" t="s">
        <v>61</v>
      </c>
      <c r="D1697">
        <v>13</v>
      </c>
      <c r="E1697" s="16" t="s">
        <v>50</v>
      </c>
      <c r="F1697" s="18">
        <v>3528</v>
      </c>
      <c r="G1697" s="22">
        <v>147</v>
      </c>
      <c r="H1697" s="18">
        <v>7.661251</v>
      </c>
      <c r="I1697" s="18">
        <v>1126.2038970000001</v>
      </c>
      <c r="J1697" s="18">
        <v>2401.7961030000001</v>
      </c>
      <c r="K1697" s="22">
        <v>0</v>
      </c>
      <c r="L1697" s="22" t="str">
        <f t="shared" si="26"/>
        <v>45901, 6, 13</v>
      </c>
    </row>
    <row r="1698" spans="1:12">
      <c r="A1698" s="9">
        <v>45901</v>
      </c>
      <c r="B1698">
        <v>6</v>
      </c>
      <c r="C1698" s="16" t="s">
        <v>61</v>
      </c>
      <c r="D1698">
        <v>14</v>
      </c>
      <c r="E1698" s="16" t="s">
        <v>51</v>
      </c>
      <c r="F1698" s="18">
        <v>1858.5</v>
      </c>
      <c r="G1698" s="22">
        <v>63</v>
      </c>
      <c r="H1698" s="18">
        <v>4.9382498266547596</v>
      </c>
      <c r="I1698" s="18">
        <v>311.10973907925001</v>
      </c>
      <c r="J1698" s="18">
        <v>1547.39026092074</v>
      </c>
      <c r="K1698" s="22">
        <v>0</v>
      </c>
      <c r="L1698" s="22" t="str">
        <f t="shared" si="26"/>
        <v>45901, 6, 14</v>
      </c>
    </row>
    <row r="1699" spans="1:12">
      <c r="A1699" s="9">
        <v>45901</v>
      </c>
      <c r="B1699">
        <v>6</v>
      </c>
      <c r="C1699" s="16" t="s">
        <v>61</v>
      </c>
      <c r="D1699">
        <v>15</v>
      </c>
      <c r="E1699" s="16" t="s">
        <v>52</v>
      </c>
      <c r="F1699" s="18">
        <v>3723</v>
      </c>
      <c r="G1699" s="22">
        <v>146</v>
      </c>
      <c r="H1699" s="18">
        <v>2.9136896643571402</v>
      </c>
      <c r="I1699" s="18">
        <v>425.39869099614202</v>
      </c>
      <c r="J1699" s="18">
        <v>3297.60130900385</v>
      </c>
      <c r="K1699" s="22">
        <v>0</v>
      </c>
      <c r="L1699" s="22" t="str">
        <f t="shared" si="26"/>
        <v>45901, 6, 15</v>
      </c>
    </row>
    <row r="1700" spans="1:12">
      <c r="A1700" s="9">
        <v>45901</v>
      </c>
      <c r="B1700">
        <v>6</v>
      </c>
      <c r="C1700" s="16" t="s">
        <v>61</v>
      </c>
      <c r="D1700">
        <v>16</v>
      </c>
      <c r="E1700" s="16" t="s">
        <v>53</v>
      </c>
      <c r="F1700" s="18">
        <v>882</v>
      </c>
      <c r="G1700" s="22">
        <v>98</v>
      </c>
      <c r="H1700" s="18">
        <v>1.6706931004166601</v>
      </c>
      <c r="I1700" s="18">
        <v>163.727923840833</v>
      </c>
      <c r="J1700" s="18">
        <v>718.27207615916598</v>
      </c>
      <c r="K1700" s="22">
        <v>0</v>
      </c>
      <c r="L1700" s="22" t="str">
        <f t="shared" si="26"/>
        <v>45901, 6, 16</v>
      </c>
    </row>
    <row r="1701" spans="1:12">
      <c r="A1701" s="9">
        <v>45901</v>
      </c>
      <c r="B1701">
        <v>6</v>
      </c>
      <c r="C1701" s="16" t="s">
        <v>61</v>
      </c>
      <c r="D1701">
        <v>17</v>
      </c>
      <c r="E1701" s="16" t="s">
        <v>54</v>
      </c>
      <c r="F1701" s="18">
        <v>1496</v>
      </c>
      <c r="G1701" s="22">
        <v>176</v>
      </c>
      <c r="H1701" s="18">
        <v>1.5392945952941099</v>
      </c>
      <c r="I1701" s="18">
        <v>270.91584877176399</v>
      </c>
      <c r="J1701" s="18">
        <v>1225.08415122823</v>
      </c>
      <c r="K1701" s="22">
        <v>0</v>
      </c>
      <c r="L1701" s="22" t="str">
        <f t="shared" si="26"/>
        <v>45901, 6, 17</v>
      </c>
    </row>
    <row r="1702" spans="1:12">
      <c r="A1702" s="9">
        <v>45901</v>
      </c>
      <c r="B1702">
        <v>6</v>
      </c>
      <c r="C1702" s="16" t="s">
        <v>61</v>
      </c>
      <c r="D1702">
        <v>18</v>
      </c>
      <c r="E1702" s="16" t="s">
        <v>55</v>
      </c>
      <c r="F1702" s="18">
        <v>2875</v>
      </c>
      <c r="G1702" s="22">
        <v>115</v>
      </c>
      <c r="H1702" s="18">
        <v>6.9506829876363598</v>
      </c>
      <c r="I1702" s="18">
        <v>799.32854357818098</v>
      </c>
      <c r="J1702" s="18">
        <v>2075.67145642181</v>
      </c>
      <c r="K1702" s="22">
        <v>0</v>
      </c>
      <c r="L1702" s="22" t="str">
        <f t="shared" si="26"/>
        <v>45901, 6, 18</v>
      </c>
    </row>
    <row r="1703" spans="1:12">
      <c r="A1703" s="9">
        <v>45931</v>
      </c>
      <c r="B1703">
        <v>6</v>
      </c>
      <c r="C1703" s="16" t="s">
        <v>61</v>
      </c>
      <c r="D1703">
        <v>1</v>
      </c>
      <c r="E1703" s="16" t="s">
        <v>38</v>
      </c>
      <c r="F1703" s="18">
        <v>6808</v>
      </c>
      <c r="G1703" s="22">
        <v>296</v>
      </c>
      <c r="H1703" s="18">
        <v>4.6130374210526304</v>
      </c>
      <c r="I1703" s="18">
        <v>1365.45907663157</v>
      </c>
      <c r="J1703" s="18">
        <v>5442.5409233684204</v>
      </c>
      <c r="K1703" s="22">
        <v>0</v>
      </c>
      <c r="L1703" s="22" t="str">
        <f t="shared" si="26"/>
        <v>45931, 6, 1</v>
      </c>
    </row>
    <row r="1704" spans="1:12">
      <c r="A1704" s="9">
        <v>45931</v>
      </c>
      <c r="B1704">
        <v>6</v>
      </c>
      <c r="C1704" s="16" t="s">
        <v>61</v>
      </c>
      <c r="D1704">
        <v>2</v>
      </c>
      <c r="E1704" s="16" t="s">
        <v>40</v>
      </c>
      <c r="F1704" s="18">
        <v>8160</v>
      </c>
      <c r="G1704" s="22">
        <v>320</v>
      </c>
      <c r="H1704" s="18">
        <v>7.6259914251578902</v>
      </c>
      <c r="I1704" s="18">
        <v>2440.31725605052</v>
      </c>
      <c r="J1704" s="18">
        <v>5719.68274394947</v>
      </c>
      <c r="K1704" s="22">
        <v>0</v>
      </c>
      <c r="L1704" s="22" t="str">
        <f t="shared" si="26"/>
        <v>45931, 6, 2</v>
      </c>
    </row>
    <row r="1705" spans="1:12">
      <c r="A1705" s="9">
        <v>45931</v>
      </c>
      <c r="B1705">
        <v>6</v>
      </c>
      <c r="C1705" s="16" t="s">
        <v>61</v>
      </c>
      <c r="D1705">
        <v>3</v>
      </c>
      <c r="E1705" s="16" t="s">
        <v>41</v>
      </c>
      <c r="F1705" s="18">
        <v>4374</v>
      </c>
      <c r="G1705" s="22">
        <v>162</v>
      </c>
      <c r="H1705" s="18">
        <v>3.6892696821052602</v>
      </c>
      <c r="I1705" s="18">
        <v>597.66168850105203</v>
      </c>
      <c r="J1705" s="18">
        <v>3776.3383114989401</v>
      </c>
      <c r="K1705" s="22">
        <v>0</v>
      </c>
      <c r="L1705" s="22" t="str">
        <f t="shared" si="26"/>
        <v>45931, 6, 3</v>
      </c>
    </row>
    <row r="1706" spans="1:12">
      <c r="A1706" s="9">
        <v>45931</v>
      </c>
      <c r="B1706">
        <v>6</v>
      </c>
      <c r="C1706" s="16" t="s">
        <v>61</v>
      </c>
      <c r="D1706">
        <v>4</v>
      </c>
      <c r="E1706" s="16" t="s">
        <v>42</v>
      </c>
      <c r="F1706" s="18">
        <v>4158</v>
      </c>
      <c r="G1706" s="22">
        <v>189</v>
      </c>
      <c r="H1706" s="18">
        <v>7.76715828978947</v>
      </c>
      <c r="I1706" s="18">
        <v>1467.9929167702101</v>
      </c>
      <c r="J1706" s="18">
        <v>2690.0070832297802</v>
      </c>
      <c r="K1706" s="22">
        <v>0</v>
      </c>
      <c r="L1706" s="22" t="str">
        <f t="shared" si="26"/>
        <v>45931, 6, 4</v>
      </c>
    </row>
    <row r="1707" spans="1:12">
      <c r="A1707" s="9">
        <v>45931</v>
      </c>
      <c r="B1707">
        <v>6</v>
      </c>
      <c r="C1707" s="16" t="s">
        <v>61</v>
      </c>
      <c r="D1707">
        <v>5</v>
      </c>
      <c r="E1707" s="16" t="s">
        <v>43</v>
      </c>
      <c r="F1707" s="18">
        <v>2662</v>
      </c>
      <c r="G1707" s="22">
        <v>121</v>
      </c>
      <c r="H1707" s="18">
        <v>7.0254276315789399</v>
      </c>
      <c r="I1707" s="18">
        <v>850.07674342105202</v>
      </c>
      <c r="J1707" s="18">
        <v>1811.92325657894</v>
      </c>
      <c r="K1707" s="22">
        <v>0</v>
      </c>
      <c r="L1707" s="22" t="str">
        <f t="shared" si="26"/>
        <v>45931, 6, 5</v>
      </c>
    </row>
    <row r="1708" spans="1:12">
      <c r="A1708" s="9">
        <v>45931</v>
      </c>
      <c r="B1708">
        <v>6</v>
      </c>
      <c r="C1708" s="16" t="s">
        <v>61</v>
      </c>
      <c r="D1708">
        <v>6</v>
      </c>
      <c r="E1708" s="16" t="s">
        <v>44</v>
      </c>
      <c r="F1708" s="18">
        <v>4608</v>
      </c>
      <c r="G1708" s="22">
        <v>192</v>
      </c>
      <c r="H1708" s="18">
        <v>5.55192266789473</v>
      </c>
      <c r="I1708" s="18">
        <v>1065.96915223578</v>
      </c>
      <c r="J1708" s="18">
        <v>3542.0308477642102</v>
      </c>
      <c r="K1708" s="22">
        <v>0</v>
      </c>
      <c r="L1708" s="22" t="str">
        <f t="shared" si="26"/>
        <v>45931, 6, 6</v>
      </c>
    </row>
    <row r="1709" spans="1:12">
      <c r="A1709" s="9">
        <v>45931</v>
      </c>
      <c r="B1709">
        <v>6</v>
      </c>
      <c r="C1709" s="16" t="s">
        <v>61</v>
      </c>
      <c r="D1709">
        <v>7</v>
      </c>
      <c r="E1709" s="16" t="s">
        <v>45</v>
      </c>
      <c r="F1709" s="18">
        <v>2585</v>
      </c>
      <c r="G1709" s="22">
        <v>235</v>
      </c>
      <c r="H1709" s="18">
        <v>3.1710185174999999</v>
      </c>
      <c r="I1709" s="18">
        <v>745.18935161249999</v>
      </c>
      <c r="J1709" s="18">
        <v>1839.8106483874999</v>
      </c>
      <c r="K1709" s="22">
        <v>0</v>
      </c>
      <c r="L1709" s="22" t="str">
        <f t="shared" si="26"/>
        <v>45931, 6, 7</v>
      </c>
    </row>
    <row r="1710" spans="1:12">
      <c r="A1710" s="9">
        <v>45931</v>
      </c>
      <c r="B1710">
        <v>6</v>
      </c>
      <c r="C1710" s="16" t="s">
        <v>61</v>
      </c>
      <c r="D1710">
        <v>8</v>
      </c>
      <c r="E1710" s="16" t="s">
        <v>46</v>
      </c>
      <c r="F1710" s="18">
        <v>1898</v>
      </c>
      <c r="G1710" s="22">
        <v>146</v>
      </c>
      <c r="H1710" s="18">
        <v>0.68528533333333297</v>
      </c>
      <c r="I1710" s="18">
        <v>100.051658666666</v>
      </c>
      <c r="J1710" s="18">
        <v>1797.9483413333301</v>
      </c>
      <c r="K1710" s="22">
        <v>0</v>
      </c>
      <c r="L1710" s="22" t="str">
        <f t="shared" si="26"/>
        <v>45931, 6, 8</v>
      </c>
    </row>
    <row r="1711" spans="1:12">
      <c r="A1711" s="9">
        <v>45931</v>
      </c>
      <c r="B1711">
        <v>6</v>
      </c>
      <c r="C1711" s="16" t="s">
        <v>61</v>
      </c>
      <c r="D1711">
        <v>9</v>
      </c>
      <c r="E1711" s="16" t="s">
        <v>47</v>
      </c>
      <c r="F1711" s="18">
        <v>4784</v>
      </c>
      <c r="G1711" s="22">
        <v>92</v>
      </c>
      <c r="H1711" s="18">
        <v>19.190284510627599</v>
      </c>
      <c r="I1711" s="18">
        <v>1765.5061749777401</v>
      </c>
      <c r="J1711" s="18">
        <v>3018.4938250222499</v>
      </c>
      <c r="K1711" s="22">
        <v>0</v>
      </c>
      <c r="L1711" s="22" t="str">
        <f t="shared" si="26"/>
        <v>45931, 6, 9</v>
      </c>
    </row>
    <row r="1712" spans="1:12">
      <c r="A1712" s="9">
        <v>45931</v>
      </c>
      <c r="B1712">
        <v>6</v>
      </c>
      <c r="C1712" s="16" t="s">
        <v>61</v>
      </c>
      <c r="D1712">
        <v>10</v>
      </c>
      <c r="E1712" s="16" t="s">
        <v>57</v>
      </c>
      <c r="F1712" s="18">
        <v>1635</v>
      </c>
      <c r="G1712" s="22">
        <v>109</v>
      </c>
      <c r="H1712" s="18">
        <v>2.0180197806956501</v>
      </c>
      <c r="I1712" s="18">
        <v>219.96415609582601</v>
      </c>
      <c r="J1712" s="18">
        <v>1415.03584390417</v>
      </c>
      <c r="K1712" s="22">
        <v>0</v>
      </c>
      <c r="L1712" s="22" t="str">
        <f t="shared" si="26"/>
        <v>45931, 6, 10</v>
      </c>
    </row>
    <row r="1713" spans="1:12">
      <c r="A1713" s="9">
        <v>45931</v>
      </c>
      <c r="B1713">
        <v>6</v>
      </c>
      <c r="C1713" s="16" t="s">
        <v>61</v>
      </c>
      <c r="D1713">
        <v>11</v>
      </c>
      <c r="E1713" s="16" t="s">
        <v>48</v>
      </c>
      <c r="F1713" s="18">
        <v>4840</v>
      </c>
      <c r="G1713" s="22">
        <v>220</v>
      </c>
      <c r="H1713" s="18">
        <v>2.26108571875</v>
      </c>
      <c r="I1713" s="18">
        <v>497.43885812500002</v>
      </c>
      <c r="J1713" s="18">
        <v>4342.5611418750004</v>
      </c>
      <c r="K1713" s="22">
        <v>0</v>
      </c>
      <c r="L1713" s="22" t="str">
        <f t="shared" si="26"/>
        <v>45931, 6, 11</v>
      </c>
    </row>
    <row r="1714" spans="1:12">
      <c r="A1714" s="9">
        <v>45931</v>
      </c>
      <c r="B1714">
        <v>6</v>
      </c>
      <c r="C1714" s="16" t="s">
        <v>61</v>
      </c>
      <c r="D1714">
        <v>12</v>
      </c>
      <c r="E1714" s="16" t="s">
        <v>49</v>
      </c>
      <c r="F1714" s="18">
        <v>4002</v>
      </c>
      <c r="G1714" s="22">
        <v>174</v>
      </c>
      <c r="H1714" s="18">
        <v>2.7104399500263101</v>
      </c>
      <c r="I1714" s="18">
        <v>471.61655130457802</v>
      </c>
      <c r="J1714" s="18">
        <v>3530.3834486954202</v>
      </c>
      <c r="K1714" s="22">
        <v>0</v>
      </c>
      <c r="L1714" s="22" t="str">
        <f t="shared" si="26"/>
        <v>45931, 6, 12</v>
      </c>
    </row>
    <row r="1715" spans="1:12">
      <c r="A1715" s="9">
        <v>45931</v>
      </c>
      <c r="B1715">
        <v>6</v>
      </c>
      <c r="C1715" s="16" t="s">
        <v>61</v>
      </c>
      <c r="D1715">
        <v>13</v>
      </c>
      <c r="E1715" s="16" t="s">
        <v>50</v>
      </c>
      <c r="F1715" s="18">
        <v>4992</v>
      </c>
      <c r="G1715" s="22">
        <v>208</v>
      </c>
      <c r="H1715" s="18">
        <v>7.6719928888888802</v>
      </c>
      <c r="I1715" s="18">
        <v>1595.77452088888</v>
      </c>
      <c r="J1715" s="18">
        <v>3396.22547911111</v>
      </c>
      <c r="K1715" s="22">
        <v>0</v>
      </c>
      <c r="L1715" s="22" t="str">
        <f t="shared" si="26"/>
        <v>45931, 6, 13</v>
      </c>
    </row>
    <row r="1716" spans="1:12">
      <c r="A1716" s="9">
        <v>45931</v>
      </c>
      <c r="B1716">
        <v>6</v>
      </c>
      <c r="C1716" s="16" t="s">
        <v>61</v>
      </c>
      <c r="D1716">
        <v>14</v>
      </c>
      <c r="E1716" s="16" t="s">
        <v>51</v>
      </c>
      <c r="F1716" s="18">
        <v>3687.5</v>
      </c>
      <c r="G1716" s="22">
        <v>125</v>
      </c>
      <c r="H1716" s="18">
        <v>4.9394747047142804</v>
      </c>
      <c r="I1716" s="18">
        <v>617.43433808928501</v>
      </c>
      <c r="J1716" s="18">
        <v>3070.0656619107099</v>
      </c>
      <c r="K1716" s="22">
        <v>0</v>
      </c>
      <c r="L1716" s="22" t="str">
        <f t="shared" si="26"/>
        <v>45931, 6, 14</v>
      </c>
    </row>
    <row r="1717" spans="1:12">
      <c r="A1717" s="9">
        <v>45931</v>
      </c>
      <c r="B1717">
        <v>6</v>
      </c>
      <c r="C1717" s="16" t="s">
        <v>61</v>
      </c>
      <c r="D1717">
        <v>15</v>
      </c>
      <c r="E1717" s="16" t="s">
        <v>52</v>
      </c>
      <c r="F1717" s="18">
        <v>4539</v>
      </c>
      <c r="G1717" s="22">
        <v>178</v>
      </c>
      <c r="H1717" s="18">
        <v>2.9114293010714198</v>
      </c>
      <c r="I1717" s="18">
        <v>518.23441559071398</v>
      </c>
      <c r="J1717" s="18">
        <v>4020.7655844092801</v>
      </c>
      <c r="K1717" s="22">
        <v>0</v>
      </c>
      <c r="L1717" s="22" t="str">
        <f t="shared" si="26"/>
        <v>45931, 6, 15</v>
      </c>
    </row>
    <row r="1718" spans="1:12">
      <c r="A1718" s="9">
        <v>45931</v>
      </c>
      <c r="B1718">
        <v>6</v>
      </c>
      <c r="C1718" s="16" t="s">
        <v>61</v>
      </c>
      <c r="D1718">
        <v>16</v>
      </c>
      <c r="E1718" s="16" t="s">
        <v>53</v>
      </c>
      <c r="F1718" s="18">
        <v>1476</v>
      </c>
      <c r="G1718" s="22">
        <v>164</v>
      </c>
      <c r="H1718" s="18">
        <v>1.6647811105769199</v>
      </c>
      <c r="I1718" s="18">
        <v>273.02410213461502</v>
      </c>
      <c r="J1718" s="18">
        <v>1202.9758978653799</v>
      </c>
      <c r="K1718" s="22">
        <v>0</v>
      </c>
      <c r="L1718" s="22" t="str">
        <f t="shared" si="26"/>
        <v>45931, 6, 16</v>
      </c>
    </row>
    <row r="1719" spans="1:12">
      <c r="A1719" s="9">
        <v>45931</v>
      </c>
      <c r="B1719">
        <v>6</v>
      </c>
      <c r="C1719" s="16" t="s">
        <v>61</v>
      </c>
      <c r="D1719">
        <v>17</v>
      </c>
      <c r="E1719" s="16" t="s">
        <v>54</v>
      </c>
      <c r="F1719" s="18">
        <v>1632</v>
      </c>
      <c r="G1719" s="22">
        <v>192</v>
      </c>
      <c r="H1719" s="18">
        <v>1.5317792060526301</v>
      </c>
      <c r="I1719" s="18">
        <v>294.10160756210502</v>
      </c>
      <c r="J1719" s="18">
        <v>1337.8983924378899</v>
      </c>
      <c r="K1719" s="22">
        <v>0</v>
      </c>
      <c r="L1719" s="22" t="str">
        <f t="shared" si="26"/>
        <v>45931, 6, 17</v>
      </c>
    </row>
    <row r="1720" spans="1:12">
      <c r="A1720" s="9">
        <v>45931</v>
      </c>
      <c r="B1720">
        <v>6</v>
      </c>
      <c r="C1720" s="16" t="s">
        <v>61</v>
      </c>
      <c r="D1720">
        <v>18</v>
      </c>
      <c r="E1720" s="16" t="s">
        <v>55</v>
      </c>
      <c r="F1720" s="18">
        <v>3275</v>
      </c>
      <c r="G1720" s="22">
        <v>131</v>
      </c>
      <c r="H1720" s="18">
        <v>6.2271491922065199</v>
      </c>
      <c r="I1720" s="18">
        <v>815.756544179054</v>
      </c>
      <c r="J1720" s="18">
        <v>2459.2434558209402</v>
      </c>
      <c r="K1720" s="22">
        <v>0</v>
      </c>
      <c r="L1720" s="22" t="str">
        <f t="shared" si="26"/>
        <v>45931, 6, 18</v>
      </c>
    </row>
    <row r="1721" spans="1:12">
      <c r="A1721" s="9">
        <v>45962</v>
      </c>
      <c r="B1721">
        <v>6</v>
      </c>
      <c r="C1721" s="16" t="s">
        <v>61</v>
      </c>
      <c r="D1721">
        <v>1</v>
      </c>
      <c r="E1721" s="16" t="s">
        <v>38</v>
      </c>
      <c r="F1721" s="18">
        <v>5474</v>
      </c>
      <c r="G1721" s="22">
        <v>238</v>
      </c>
      <c r="H1721" s="18">
        <v>4.5726476250000001</v>
      </c>
      <c r="I1721" s="18">
        <v>1088.2901347500001</v>
      </c>
      <c r="J1721" s="18">
        <v>4385.7098652499999</v>
      </c>
      <c r="K1721" s="22">
        <v>0</v>
      </c>
      <c r="L1721" s="22" t="str">
        <f t="shared" si="26"/>
        <v>45962, 6, 1</v>
      </c>
    </row>
    <row r="1722" spans="1:12">
      <c r="A1722" s="9">
        <v>45962</v>
      </c>
      <c r="B1722">
        <v>6</v>
      </c>
      <c r="C1722" s="16" t="s">
        <v>61</v>
      </c>
      <c r="D1722">
        <v>2</v>
      </c>
      <c r="E1722" s="16" t="s">
        <v>40</v>
      </c>
      <c r="F1722" s="18">
        <v>6630</v>
      </c>
      <c r="G1722" s="22">
        <v>260</v>
      </c>
      <c r="H1722" s="18">
        <v>7.6431763582499999</v>
      </c>
      <c r="I1722" s="18">
        <v>1987.225853145</v>
      </c>
      <c r="J1722" s="18">
        <v>4642.7741468550003</v>
      </c>
      <c r="K1722" s="22">
        <v>0</v>
      </c>
      <c r="L1722" s="22" t="str">
        <f t="shared" si="26"/>
        <v>45962, 6, 2</v>
      </c>
    </row>
    <row r="1723" spans="1:12">
      <c r="A1723" s="9">
        <v>45962</v>
      </c>
      <c r="B1723">
        <v>6</v>
      </c>
      <c r="C1723" s="16" t="s">
        <v>61</v>
      </c>
      <c r="D1723">
        <v>3</v>
      </c>
      <c r="E1723" s="16" t="s">
        <v>41</v>
      </c>
      <c r="F1723" s="18">
        <v>4077</v>
      </c>
      <c r="G1723" s="22">
        <v>151</v>
      </c>
      <c r="H1723" s="18">
        <v>3.6901990551249999</v>
      </c>
      <c r="I1723" s="18">
        <v>557.22005732387504</v>
      </c>
      <c r="J1723" s="18">
        <v>3519.7799426761198</v>
      </c>
      <c r="K1723" s="22">
        <v>0</v>
      </c>
      <c r="L1723" s="22" t="str">
        <f t="shared" si="26"/>
        <v>45962, 6, 3</v>
      </c>
    </row>
    <row r="1724" spans="1:12">
      <c r="A1724" s="9">
        <v>45962</v>
      </c>
      <c r="B1724">
        <v>6</v>
      </c>
      <c r="C1724" s="16" t="s">
        <v>61</v>
      </c>
      <c r="D1724">
        <v>4</v>
      </c>
      <c r="E1724" s="16" t="s">
        <v>42</v>
      </c>
      <c r="F1724" s="18">
        <v>2992</v>
      </c>
      <c r="G1724" s="22">
        <v>136</v>
      </c>
      <c r="H1724" s="18">
        <v>7.94474779975</v>
      </c>
      <c r="I1724" s="18">
        <v>1080.485700766</v>
      </c>
      <c r="J1724" s="18">
        <v>1911.514299234</v>
      </c>
      <c r="K1724" s="22">
        <v>0</v>
      </c>
      <c r="L1724" s="22" t="str">
        <f t="shared" si="26"/>
        <v>45962, 6, 4</v>
      </c>
    </row>
    <row r="1725" spans="1:12">
      <c r="A1725" s="9">
        <v>45962</v>
      </c>
      <c r="B1725">
        <v>6</v>
      </c>
      <c r="C1725" s="16" t="s">
        <v>61</v>
      </c>
      <c r="D1725">
        <v>5</v>
      </c>
      <c r="E1725" s="16" t="s">
        <v>43</v>
      </c>
      <c r="F1725" s="18">
        <v>2332</v>
      </c>
      <c r="G1725" s="22">
        <v>106</v>
      </c>
      <c r="H1725" s="18">
        <v>7.2173437500000004</v>
      </c>
      <c r="I1725" s="18">
        <v>765.03843749999999</v>
      </c>
      <c r="J1725" s="18">
        <v>1566.9615624999999</v>
      </c>
      <c r="K1725" s="22">
        <v>0</v>
      </c>
      <c r="L1725" s="22" t="str">
        <f t="shared" si="26"/>
        <v>45962, 6, 5</v>
      </c>
    </row>
    <row r="1726" spans="1:12">
      <c r="A1726" s="9">
        <v>45962</v>
      </c>
      <c r="B1726">
        <v>6</v>
      </c>
      <c r="C1726" s="16" t="s">
        <v>61</v>
      </c>
      <c r="D1726">
        <v>6</v>
      </c>
      <c r="E1726" s="16" t="s">
        <v>44</v>
      </c>
      <c r="F1726" s="18">
        <v>3888</v>
      </c>
      <c r="G1726" s="22">
        <v>162</v>
      </c>
      <c r="H1726" s="18">
        <v>5.5348803597999998</v>
      </c>
      <c r="I1726" s="18">
        <v>896.65061828759997</v>
      </c>
      <c r="J1726" s="18">
        <v>2991.3493817123999</v>
      </c>
      <c r="K1726" s="22">
        <v>0</v>
      </c>
      <c r="L1726" s="22" t="str">
        <f t="shared" si="26"/>
        <v>45962, 6, 6</v>
      </c>
    </row>
    <row r="1727" spans="1:12">
      <c r="A1727" s="9">
        <v>45962</v>
      </c>
      <c r="B1727">
        <v>6</v>
      </c>
      <c r="C1727" s="16" t="s">
        <v>61</v>
      </c>
      <c r="D1727">
        <v>7</v>
      </c>
      <c r="E1727" s="16" t="s">
        <v>45</v>
      </c>
      <c r="F1727" s="18">
        <v>2607</v>
      </c>
      <c r="G1727" s="22">
        <v>237</v>
      </c>
      <c r="H1727" s="18">
        <v>3.1622869122058801</v>
      </c>
      <c r="I1727" s="18">
        <v>749.461998192794</v>
      </c>
      <c r="J1727" s="18">
        <v>1857.5380018072001</v>
      </c>
      <c r="K1727" s="22">
        <v>0</v>
      </c>
      <c r="L1727" s="22" t="str">
        <f t="shared" si="26"/>
        <v>45962, 6, 7</v>
      </c>
    </row>
    <row r="1728" spans="1:12">
      <c r="A1728" s="9">
        <v>45962</v>
      </c>
      <c r="B1728">
        <v>6</v>
      </c>
      <c r="C1728" s="16" t="s">
        <v>61</v>
      </c>
      <c r="D1728">
        <v>8</v>
      </c>
      <c r="E1728" s="16" t="s">
        <v>46</v>
      </c>
      <c r="F1728" s="18">
        <v>1703</v>
      </c>
      <c r="G1728" s="22">
        <v>131</v>
      </c>
      <c r="H1728" s="18">
        <v>0.68780835577777699</v>
      </c>
      <c r="I1728" s="18">
        <v>90.102894606888796</v>
      </c>
      <c r="J1728" s="18">
        <v>1612.89710539311</v>
      </c>
      <c r="K1728" s="22">
        <v>0</v>
      </c>
      <c r="L1728" s="22" t="str">
        <f t="shared" si="26"/>
        <v>45962, 6, 8</v>
      </c>
    </row>
    <row r="1729" spans="1:12">
      <c r="A1729" s="9">
        <v>45962</v>
      </c>
      <c r="B1729">
        <v>6</v>
      </c>
      <c r="C1729" s="16" t="s">
        <v>61</v>
      </c>
      <c r="D1729">
        <v>9</v>
      </c>
      <c r="E1729" s="16" t="s">
        <v>47</v>
      </c>
      <c r="F1729" s="18">
        <v>4056</v>
      </c>
      <c r="G1729" s="22">
        <v>78</v>
      </c>
      <c r="H1729" s="18">
        <v>19.266574383479</v>
      </c>
      <c r="I1729" s="18">
        <v>1502.7928019113599</v>
      </c>
      <c r="J1729" s="18">
        <v>2553.2071980886299</v>
      </c>
      <c r="K1729" s="22">
        <v>0</v>
      </c>
      <c r="L1729" s="22" t="str">
        <f t="shared" si="26"/>
        <v>45962, 6, 9</v>
      </c>
    </row>
    <row r="1730" spans="1:12">
      <c r="A1730" s="9">
        <v>45962</v>
      </c>
      <c r="B1730">
        <v>6</v>
      </c>
      <c r="C1730" s="16" t="s">
        <v>61</v>
      </c>
      <c r="D1730">
        <v>10</v>
      </c>
      <c r="E1730" s="16" t="s">
        <v>57</v>
      </c>
      <c r="F1730" s="18">
        <v>1320</v>
      </c>
      <c r="G1730" s="22">
        <v>88</v>
      </c>
      <c r="H1730" s="18">
        <v>2.1397782709684199</v>
      </c>
      <c r="I1730" s="18">
        <v>188.300487845221</v>
      </c>
      <c r="J1730" s="18">
        <v>1131.69951215477</v>
      </c>
      <c r="K1730" s="22">
        <v>0</v>
      </c>
      <c r="L1730" s="22" t="str">
        <f t="shared" si="26"/>
        <v>45962, 6, 10</v>
      </c>
    </row>
    <row r="1731" spans="1:12">
      <c r="A1731" s="9">
        <v>45962</v>
      </c>
      <c r="B1731">
        <v>6</v>
      </c>
      <c r="C1731" s="16" t="s">
        <v>61</v>
      </c>
      <c r="D1731">
        <v>11</v>
      </c>
      <c r="E1731" s="16" t="s">
        <v>48</v>
      </c>
      <c r="F1731" s="18">
        <v>4048</v>
      </c>
      <c r="G1731" s="22">
        <v>184</v>
      </c>
      <c r="H1731" s="18">
        <v>2.2249865178571402</v>
      </c>
      <c r="I1731" s="18">
        <v>409.397519285714</v>
      </c>
      <c r="J1731" s="18">
        <v>3638.6024807142799</v>
      </c>
      <c r="K1731" s="22">
        <v>0</v>
      </c>
      <c r="L1731" s="22" t="str">
        <f t="shared" ref="L1731:L1794" si="27">(A1731&amp; ", "&amp; B1731&amp; ", "&amp; D1731)</f>
        <v>45962, 6, 11</v>
      </c>
    </row>
    <row r="1732" spans="1:12">
      <c r="A1732" s="9">
        <v>45962</v>
      </c>
      <c r="B1732">
        <v>6</v>
      </c>
      <c r="C1732" s="16" t="s">
        <v>61</v>
      </c>
      <c r="D1732">
        <v>12</v>
      </c>
      <c r="E1732" s="16" t="s">
        <v>49</v>
      </c>
      <c r="F1732" s="18">
        <v>3588</v>
      </c>
      <c r="G1732" s="22">
        <v>156</v>
      </c>
      <c r="H1732" s="18">
        <v>2.7365534119062498</v>
      </c>
      <c r="I1732" s="18">
        <v>426.90233225737501</v>
      </c>
      <c r="J1732" s="18">
        <v>3161.0976677426202</v>
      </c>
      <c r="K1732" s="22">
        <v>0</v>
      </c>
      <c r="L1732" s="22" t="str">
        <f t="shared" si="27"/>
        <v>45962, 6, 12</v>
      </c>
    </row>
    <row r="1733" spans="1:12">
      <c r="A1733" s="9">
        <v>45962</v>
      </c>
      <c r="B1733">
        <v>6</v>
      </c>
      <c r="C1733" s="16" t="s">
        <v>61</v>
      </c>
      <c r="D1733">
        <v>13</v>
      </c>
      <c r="E1733" s="16" t="s">
        <v>50</v>
      </c>
      <c r="F1733" s="18">
        <v>4944</v>
      </c>
      <c r="G1733" s="22">
        <v>206</v>
      </c>
      <c r="H1733" s="18">
        <v>7.62931325</v>
      </c>
      <c r="I1733" s="18">
        <v>1571.6385295</v>
      </c>
      <c r="J1733" s="18">
        <v>3372.3614705</v>
      </c>
      <c r="K1733" s="22">
        <v>0</v>
      </c>
      <c r="L1733" s="22" t="str">
        <f t="shared" si="27"/>
        <v>45962, 6, 13</v>
      </c>
    </row>
    <row r="1734" spans="1:12">
      <c r="A1734" s="9">
        <v>45962</v>
      </c>
      <c r="B1734">
        <v>6</v>
      </c>
      <c r="C1734" s="16" t="s">
        <v>61</v>
      </c>
      <c r="D1734">
        <v>14</v>
      </c>
      <c r="E1734" s="16" t="s">
        <v>51</v>
      </c>
      <c r="F1734" s="18">
        <v>2596</v>
      </c>
      <c r="G1734" s="22">
        <v>88</v>
      </c>
      <c r="H1734" s="18">
        <v>4.9901120995641</v>
      </c>
      <c r="I1734" s="18">
        <v>439.12986476164099</v>
      </c>
      <c r="J1734" s="18">
        <v>2156.87013523835</v>
      </c>
      <c r="K1734" s="22">
        <v>0</v>
      </c>
      <c r="L1734" s="22" t="str">
        <f t="shared" si="27"/>
        <v>45962, 6, 14</v>
      </c>
    </row>
    <row r="1735" spans="1:12">
      <c r="A1735" s="9">
        <v>45962</v>
      </c>
      <c r="B1735">
        <v>6</v>
      </c>
      <c r="C1735" s="16" t="s">
        <v>61</v>
      </c>
      <c r="D1735">
        <v>15</v>
      </c>
      <c r="E1735" s="16" t="s">
        <v>52</v>
      </c>
      <c r="F1735" s="18">
        <v>3774</v>
      </c>
      <c r="G1735" s="22">
        <v>148</v>
      </c>
      <c r="H1735" s="18">
        <v>2.9387433989999998</v>
      </c>
      <c r="I1735" s="18">
        <v>434.93402305199999</v>
      </c>
      <c r="J1735" s="18">
        <v>3339.0659769479998</v>
      </c>
      <c r="K1735" s="22">
        <v>0</v>
      </c>
      <c r="L1735" s="22" t="str">
        <f t="shared" si="27"/>
        <v>45962, 6, 15</v>
      </c>
    </row>
    <row r="1736" spans="1:12">
      <c r="A1736" s="9">
        <v>45962</v>
      </c>
      <c r="B1736">
        <v>6</v>
      </c>
      <c r="C1736" s="16" t="s">
        <v>61</v>
      </c>
      <c r="D1736">
        <v>16</v>
      </c>
      <c r="E1736" s="16" t="s">
        <v>53</v>
      </c>
      <c r="F1736" s="18">
        <v>1026</v>
      </c>
      <c r="G1736" s="22">
        <v>114</v>
      </c>
      <c r="H1736" s="18">
        <v>1.6745437868181801</v>
      </c>
      <c r="I1736" s="18">
        <v>190.897991697272</v>
      </c>
      <c r="J1736" s="18">
        <v>835.10200830272697</v>
      </c>
      <c r="K1736" s="22">
        <v>0</v>
      </c>
      <c r="L1736" s="22" t="str">
        <f t="shared" si="27"/>
        <v>45962, 6, 16</v>
      </c>
    </row>
    <row r="1737" spans="1:12">
      <c r="A1737" s="9">
        <v>45962</v>
      </c>
      <c r="B1737">
        <v>6</v>
      </c>
      <c r="C1737" s="16" t="s">
        <v>61</v>
      </c>
      <c r="D1737">
        <v>17</v>
      </c>
      <c r="E1737" s="16" t="s">
        <v>54</v>
      </c>
      <c r="F1737" s="18">
        <v>1343</v>
      </c>
      <c r="G1737" s="22">
        <v>158</v>
      </c>
      <c r="H1737" s="18">
        <v>1.5464317081250001</v>
      </c>
      <c r="I1737" s="18">
        <v>244.33620988375</v>
      </c>
      <c r="J1737" s="18">
        <v>1098.6637901162501</v>
      </c>
      <c r="K1737" s="22">
        <v>0</v>
      </c>
      <c r="L1737" s="22" t="str">
        <f t="shared" si="27"/>
        <v>45962, 6, 17</v>
      </c>
    </row>
    <row r="1738" spans="1:12">
      <c r="A1738" s="9">
        <v>45962</v>
      </c>
      <c r="B1738">
        <v>6</v>
      </c>
      <c r="C1738" s="16" t="s">
        <v>61</v>
      </c>
      <c r="D1738">
        <v>18</v>
      </c>
      <c r="E1738" s="16" t="s">
        <v>55</v>
      </c>
      <c r="F1738" s="18">
        <v>1950</v>
      </c>
      <c r="G1738" s="22">
        <v>78</v>
      </c>
      <c r="H1738" s="18">
        <v>6.5211341205125004</v>
      </c>
      <c r="I1738" s="18">
        <v>508.64846139997502</v>
      </c>
      <c r="J1738" s="18">
        <v>1441.3515386000199</v>
      </c>
      <c r="K1738" s="22">
        <v>0</v>
      </c>
      <c r="L1738" s="22" t="str">
        <f t="shared" si="27"/>
        <v>45962, 6, 18</v>
      </c>
    </row>
    <row r="1739" spans="1:12">
      <c r="A1739" s="9">
        <v>45992</v>
      </c>
      <c r="B1739">
        <v>6</v>
      </c>
      <c r="C1739" s="16" t="s">
        <v>61</v>
      </c>
      <c r="D1739">
        <v>1</v>
      </c>
      <c r="E1739" s="16" t="s">
        <v>38</v>
      </c>
      <c r="F1739" s="18">
        <v>4600</v>
      </c>
      <c r="G1739" s="22">
        <v>200</v>
      </c>
      <c r="H1739" s="18">
        <v>4.6044694305555502</v>
      </c>
      <c r="I1739" s="18">
        <v>920.89388611111099</v>
      </c>
      <c r="J1739" s="18">
        <v>3679.1061138888799</v>
      </c>
      <c r="K1739" s="22">
        <v>0</v>
      </c>
      <c r="L1739" s="22" t="str">
        <f t="shared" si="27"/>
        <v>45992, 6, 1</v>
      </c>
    </row>
    <row r="1740" spans="1:12">
      <c r="A1740" s="9">
        <v>45992</v>
      </c>
      <c r="B1740">
        <v>6</v>
      </c>
      <c r="C1740" s="16" t="s">
        <v>61</v>
      </c>
      <c r="D1740">
        <v>2</v>
      </c>
      <c r="E1740" s="16" t="s">
        <v>40</v>
      </c>
      <c r="F1740" s="18">
        <v>4717.5</v>
      </c>
      <c r="G1740" s="22">
        <v>185</v>
      </c>
      <c r="H1740" s="18">
        <v>7.6790252299999997</v>
      </c>
      <c r="I1740" s="18">
        <v>1420.61966755</v>
      </c>
      <c r="J1740" s="18">
        <v>3296.88033245</v>
      </c>
      <c r="K1740" s="22">
        <v>0</v>
      </c>
      <c r="L1740" s="22" t="str">
        <f t="shared" si="27"/>
        <v>45992, 6, 2</v>
      </c>
    </row>
    <row r="1741" spans="1:12">
      <c r="A1741" s="9">
        <v>45992</v>
      </c>
      <c r="B1741">
        <v>6</v>
      </c>
      <c r="C1741" s="16" t="s">
        <v>61</v>
      </c>
      <c r="D1741">
        <v>3</v>
      </c>
      <c r="E1741" s="16" t="s">
        <v>41</v>
      </c>
      <c r="F1741" s="18">
        <v>4158</v>
      </c>
      <c r="G1741" s="22">
        <v>154</v>
      </c>
      <c r="H1741" s="18">
        <v>3.6953049864444401</v>
      </c>
      <c r="I1741" s="18">
        <v>569.07696791244405</v>
      </c>
      <c r="J1741" s="18">
        <v>3588.9230320875499</v>
      </c>
      <c r="K1741" s="22">
        <v>0</v>
      </c>
      <c r="L1741" s="22" t="str">
        <f t="shared" si="27"/>
        <v>45992, 6, 3</v>
      </c>
    </row>
    <row r="1742" spans="1:12">
      <c r="A1742" s="9">
        <v>45992</v>
      </c>
      <c r="B1742">
        <v>6</v>
      </c>
      <c r="C1742" s="16" t="s">
        <v>61</v>
      </c>
      <c r="D1742">
        <v>4</v>
      </c>
      <c r="E1742" s="16" t="s">
        <v>42</v>
      </c>
      <c r="F1742" s="18">
        <v>2618</v>
      </c>
      <c r="G1742" s="22">
        <v>119</v>
      </c>
      <c r="H1742" s="18">
        <v>8.0867423837777697</v>
      </c>
      <c r="I1742" s="18">
        <v>962.32234366955504</v>
      </c>
      <c r="J1742" s="18">
        <v>1655.67765633044</v>
      </c>
      <c r="K1742" s="22">
        <v>0</v>
      </c>
      <c r="L1742" s="22" t="str">
        <f t="shared" si="27"/>
        <v>45992, 6, 4</v>
      </c>
    </row>
    <row r="1743" spans="1:12">
      <c r="A1743" s="9">
        <v>45992</v>
      </c>
      <c r="B1743">
        <v>6</v>
      </c>
      <c r="C1743" s="16" t="s">
        <v>61</v>
      </c>
      <c r="D1743">
        <v>5</v>
      </c>
      <c r="E1743" s="16" t="s">
        <v>43</v>
      </c>
      <c r="F1743" s="18">
        <v>2068</v>
      </c>
      <c r="G1743" s="22">
        <v>94</v>
      </c>
      <c r="H1743" s="18">
        <v>7.4456249999999997</v>
      </c>
      <c r="I1743" s="18">
        <v>699.88874999999996</v>
      </c>
      <c r="J1743" s="18">
        <v>1368.1112499999999</v>
      </c>
      <c r="K1743" s="22">
        <v>0</v>
      </c>
      <c r="L1743" s="22" t="str">
        <f t="shared" si="27"/>
        <v>45992, 6, 5</v>
      </c>
    </row>
    <row r="1744" spans="1:12">
      <c r="A1744" s="9">
        <v>45992</v>
      </c>
      <c r="B1744">
        <v>6</v>
      </c>
      <c r="C1744" s="16" t="s">
        <v>61</v>
      </c>
      <c r="D1744">
        <v>6</v>
      </c>
      <c r="E1744" s="16" t="s">
        <v>44</v>
      </c>
      <c r="F1744" s="18">
        <v>4056</v>
      </c>
      <c r="G1744" s="22">
        <v>169</v>
      </c>
      <c r="H1744" s="18">
        <v>5.5499014421388804</v>
      </c>
      <c r="I1744" s="18">
        <v>937.93334372147206</v>
      </c>
      <c r="J1744" s="18">
        <v>3118.06665627852</v>
      </c>
      <c r="K1744" s="22">
        <v>0</v>
      </c>
      <c r="L1744" s="22" t="str">
        <f t="shared" si="27"/>
        <v>45992, 6, 6</v>
      </c>
    </row>
    <row r="1745" spans="1:12">
      <c r="A1745" s="9">
        <v>45992</v>
      </c>
      <c r="B1745">
        <v>6</v>
      </c>
      <c r="C1745" s="16" t="s">
        <v>61</v>
      </c>
      <c r="D1745">
        <v>7</v>
      </c>
      <c r="E1745" s="16" t="s">
        <v>45</v>
      </c>
      <c r="F1745" s="18">
        <v>2211</v>
      </c>
      <c r="G1745" s="22">
        <v>201</v>
      </c>
      <c r="H1745" s="18">
        <v>3.1748022502380899</v>
      </c>
      <c r="I1745" s="18">
        <v>638.13525229785705</v>
      </c>
      <c r="J1745" s="18">
        <v>1572.86474770214</v>
      </c>
      <c r="K1745" s="22">
        <v>0</v>
      </c>
      <c r="L1745" s="22" t="str">
        <f t="shared" si="27"/>
        <v>45992, 6, 7</v>
      </c>
    </row>
    <row r="1746" spans="1:12">
      <c r="A1746" s="9">
        <v>45992</v>
      </c>
      <c r="B1746">
        <v>6</v>
      </c>
      <c r="C1746" s="16" t="s">
        <v>61</v>
      </c>
      <c r="D1746">
        <v>8</v>
      </c>
      <c r="E1746" s="16" t="s">
        <v>46</v>
      </c>
      <c r="F1746" s="18">
        <v>1664</v>
      </c>
      <c r="G1746" s="22">
        <v>128</v>
      </c>
      <c r="H1746" s="18">
        <v>0.69141014458333305</v>
      </c>
      <c r="I1746" s="18">
        <v>88.500498506666602</v>
      </c>
      <c r="J1746" s="18">
        <v>1575.4995014933299</v>
      </c>
      <c r="K1746" s="22">
        <v>0</v>
      </c>
      <c r="L1746" s="22" t="str">
        <f t="shared" si="27"/>
        <v>45992, 6, 8</v>
      </c>
    </row>
    <row r="1747" spans="1:12">
      <c r="A1747" s="9">
        <v>45992</v>
      </c>
      <c r="B1747">
        <v>6</v>
      </c>
      <c r="C1747" s="16" t="s">
        <v>61</v>
      </c>
      <c r="D1747">
        <v>9</v>
      </c>
      <c r="E1747" s="16" t="s">
        <v>47</v>
      </c>
      <c r="F1747" s="18">
        <v>3692</v>
      </c>
      <c r="G1747" s="22">
        <v>71</v>
      </c>
      <c r="H1747" s="18">
        <v>19.221468578930899</v>
      </c>
      <c r="I1747" s="18">
        <v>1364.7242691040899</v>
      </c>
      <c r="J1747" s="18">
        <v>2327.2757308958999</v>
      </c>
      <c r="K1747" s="22">
        <v>0</v>
      </c>
      <c r="L1747" s="22" t="str">
        <f t="shared" si="27"/>
        <v>45992, 6, 9</v>
      </c>
    </row>
    <row r="1748" spans="1:12">
      <c r="A1748" s="9">
        <v>45992</v>
      </c>
      <c r="B1748">
        <v>6</v>
      </c>
      <c r="C1748" s="16" t="s">
        <v>61</v>
      </c>
      <c r="D1748">
        <v>10</v>
      </c>
      <c r="E1748" s="16" t="s">
        <v>57</v>
      </c>
      <c r="F1748" s="18">
        <v>1170</v>
      </c>
      <c r="G1748" s="22">
        <v>78</v>
      </c>
      <c r="H1748" s="18">
        <v>2.2250072490695598</v>
      </c>
      <c r="I1748" s="18">
        <v>173.55056542742599</v>
      </c>
      <c r="J1748" s="18">
        <v>996.44943457257295</v>
      </c>
      <c r="K1748" s="22">
        <v>0</v>
      </c>
      <c r="L1748" s="22" t="str">
        <f t="shared" si="27"/>
        <v>45992, 6, 10</v>
      </c>
    </row>
    <row r="1749" spans="1:12">
      <c r="A1749" s="9">
        <v>45992</v>
      </c>
      <c r="B1749">
        <v>6</v>
      </c>
      <c r="C1749" s="16" t="s">
        <v>61</v>
      </c>
      <c r="D1749">
        <v>11</v>
      </c>
      <c r="E1749" s="16" t="s">
        <v>48</v>
      </c>
      <c r="F1749" s="18">
        <v>3146</v>
      </c>
      <c r="G1749" s="22">
        <v>143</v>
      </c>
      <c r="H1749" s="18">
        <v>2.2428292500000002</v>
      </c>
      <c r="I1749" s="18">
        <v>320.72458275000002</v>
      </c>
      <c r="J1749" s="18">
        <v>2825.2754172499999</v>
      </c>
      <c r="K1749" s="22">
        <v>0</v>
      </c>
      <c r="L1749" s="22" t="str">
        <f t="shared" si="27"/>
        <v>45992, 6, 11</v>
      </c>
    </row>
    <row r="1750" spans="1:12">
      <c r="A1750" s="9">
        <v>45992</v>
      </c>
      <c r="B1750">
        <v>6</v>
      </c>
      <c r="C1750" s="16" t="s">
        <v>61</v>
      </c>
      <c r="D1750">
        <v>12</v>
      </c>
      <c r="E1750" s="16" t="s">
        <v>49</v>
      </c>
      <c r="F1750" s="18">
        <v>2714</v>
      </c>
      <c r="G1750" s="22">
        <v>118</v>
      </c>
      <c r="H1750" s="18">
        <v>2.7647843161388801</v>
      </c>
      <c r="I1750" s="18">
        <v>326.24454930438799</v>
      </c>
      <c r="J1750" s="18">
        <v>2387.7554506956099</v>
      </c>
      <c r="K1750" s="22">
        <v>0</v>
      </c>
      <c r="L1750" s="22" t="str">
        <f t="shared" si="27"/>
        <v>45992, 6, 12</v>
      </c>
    </row>
    <row r="1751" spans="1:12">
      <c r="A1751" s="9">
        <v>45992</v>
      </c>
      <c r="B1751">
        <v>6</v>
      </c>
      <c r="C1751" s="16" t="s">
        <v>61</v>
      </c>
      <c r="D1751">
        <v>13</v>
      </c>
      <c r="E1751" s="16" t="s">
        <v>50</v>
      </c>
      <c r="F1751" s="18">
        <v>4608</v>
      </c>
      <c r="G1751" s="22">
        <v>192</v>
      </c>
      <c r="H1751" s="18">
        <v>7.6673332222222204</v>
      </c>
      <c r="I1751" s="18">
        <v>1472.1279786666601</v>
      </c>
      <c r="J1751" s="18">
        <v>3135.8720213333299</v>
      </c>
      <c r="K1751" s="22">
        <v>0</v>
      </c>
      <c r="L1751" s="22" t="str">
        <f t="shared" si="27"/>
        <v>45992, 6, 13</v>
      </c>
    </row>
    <row r="1752" spans="1:12">
      <c r="A1752" s="9">
        <v>45992</v>
      </c>
      <c r="B1752">
        <v>6</v>
      </c>
      <c r="C1752" s="16" t="s">
        <v>61</v>
      </c>
      <c r="D1752">
        <v>14</v>
      </c>
      <c r="E1752" s="16" t="s">
        <v>51</v>
      </c>
      <c r="F1752" s="18">
        <v>3127</v>
      </c>
      <c r="G1752" s="22">
        <v>106</v>
      </c>
      <c r="H1752" s="18">
        <v>5.0196558085714198</v>
      </c>
      <c r="I1752" s="18">
        <v>532.08351570857099</v>
      </c>
      <c r="J1752" s="18">
        <v>2594.9164842914201</v>
      </c>
      <c r="K1752" s="22">
        <v>0</v>
      </c>
      <c r="L1752" s="22" t="str">
        <f t="shared" si="27"/>
        <v>45992, 6, 14</v>
      </c>
    </row>
    <row r="1753" spans="1:12">
      <c r="A1753" s="9">
        <v>45992</v>
      </c>
      <c r="B1753">
        <v>6</v>
      </c>
      <c r="C1753" s="16" t="s">
        <v>61</v>
      </c>
      <c r="D1753">
        <v>15</v>
      </c>
      <c r="E1753" s="16" t="s">
        <v>52</v>
      </c>
      <c r="F1753" s="18">
        <v>3238.5</v>
      </c>
      <c r="G1753" s="22">
        <v>127</v>
      </c>
      <c r="H1753" s="18">
        <v>2.9504974240714201</v>
      </c>
      <c r="I1753" s="18">
        <v>374.71317285707102</v>
      </c>
      <c r="J1753" s="18">
        <v>2863.7868271429202</v>
      </c>
      <c r="K1753" s="22">
        <v>0</v>
      </c>
      <c r="L1753" s="22" t="str">
        <f t="shared" si="27"/>
        <v>45992, 6, 15</v>
      </c>
    </row>
    <row r="1754" spans="1:12">
      <c r="A1754" s="9">
        <v>45992</v>
      </c>
      <c r="B1754">
        <v>6</v>
      </c>
      <c r="C1754" s="16" t="s">
        <v>61</v>
      </c>
      <c r="D1754">
        <v>16</v>
      </c>
      <c r="E1754" s="16" t="s">
        <v>53</v>
      </c>
      <c r="F1754" s="18">
        <v>1269</v>
      </c>
      <c r="G1754" s="22">
        <v>141</v>
      </c>
      <c r="H1754" s="18">
        <v>1.6732836935256401</v>
      </c>
      <c r="I1754" s="18">
        <v>235.93300078711499</v>
      </c>
      <c r="J1754" s="18">
        <v>1033.0669992128801</v>
      </c>
      <c r="K1754" s="22">
        <v>0</v>
      </c>
      <c r="L1754" s="22" t="str">
        <f t="shared" si="27"/>
        <v>45992, 6, 16</v>
      </c>
    </row>
    <row r="1755" spans="1:12">
      <c r="A1755" s="9">
        <v>45992</v>
      </c>
      <c r="B1755">
        <v>6</v>
      </c>
      <c r="C1755" s="16" t="s">
        <v>61</v>
      </c>
      <c r="D1755">
        <v>17</v>
      </c>
      <c r="E1755" s="16" t="s">
        <v>54</v>
      </c>
      <c r="F1755" s="18">
        <v>994.5</v>
      </c>
      <c r="G1755" s="22">
        <v>117</v>
      </c>
      <c r="H1755" s="18">
        <v>1.55294353416666</v>
      </c>
      <c r="I1755" s="18">
        <v>181.69439349749999</v>
      </c>
      <c r="J1755" s="18">
        <v>812.80560650249902</v>
      </c>
      <c r="K1755" s="22">
        <v>0</v>
      </c>
      <c r="L1755" s="22" t="str">
        <f t="shared" si="27"/>
        <v>45992, 6, 17</v>
      </c>
    </row>
    <row r="1756" spans="1:12">
      <c r="A1756" s="9">
        <v>45992</v>
      </c>
      <c r="B1756">
        <v>6</v>
      </c>
      <c r="C1756" s="16" t="s">
        <v>61</v>
      </c>
      <c r="D1756">
        <v>18</v>
      </c>
      <c r="E1756" s="16" t="s">
        <v>55</v>
      </c>
      <c r="F1756" s="18">
        <v>1400</v>
      </c>
      <c r="G1756" s="22">
        <v>56</v>
      </c>
      <c r="H1756" s="18">
        <v>6.92274830631521</v>
      </c>
      <c r="I1756" s="18">
        <v>387.67390515365202</v>
      </c>
      <c r="J1756" s="18">
        <v>1012.32609484634</v>
      </c>
      <c r="K1756" s="22">
        <v>0</v>
      </c>
      <c r="L1756" s="22" t="str">
        <f t="shared" si="27"/>
        <v>45992, 6, 18</v>
      </c>
    </row>
    <row r="1757" spans="1:12">
      <c r="A1757" s="9">
        <v>46023</v>
      </c>
      <c r="B1757">
        <v>6</v>
      </c>
      <c r="C1757" s="16" t="s">
        <v>61</v>
      </c>
      <c r="D1757">
        <v>1</v>
      </c>
      <c r="E1757" s="16" t="s">
        <v>38</v>
      </c>
      <c r="F1757" s="18">
        <v>4876</v>
      </c>
      <c r="G1757" s="22">
        <v>212</v>
      </c>
      <c r="H1757" s="18">
        <v>4.5469621805555498</v>
      </c>
      <c r="I1757" s="18">
        <v>963.95598227777703</v>
      </c>
      <c r="J1757" s="18">
        <v>3912.0440177222199</v>
      </c>
      <c r="K1757" s="22">
        <v>0</v>
      </c>
      <c r="L1757" s="22" t="str">
        <f t="shared" si="27"/>
        <v>46023, 6, 1</v>
      </c>
    </row>
    <row r="1758" spans="1:12">
      <c r="A1758" s="9">
        <v>46023</v>
      </c>
      <c r="B1758">
        <v>6</v>
      </c>
      <c r="C1758" s="16" t="s">
        <v>61</v>
      </c>
      <c r="D1758">
        <v>2</v>
      </c>
      <c r="E1758" s="16" t="s">
        <v>40</v>
      </c>
      <c r="F1758" s="18">
        <v>7038</v>
      </c>
      <c r="G1758" s="22">
        <v>276</v>
      </c>
      <c r="H1758" s="18">
        <v>7.7557926596666604</v>
      </c>
      <c r="I1758" s="18">
        <v>2140.5987740679998</v>
      </c>
      <c r="J1758" s="18">
        <v>4897.4012259319898</v>
      </c>
      <c r="K1758" s="22">
        <v>0</v>
      </c>
      <c r="L1758" s="22" t="str">
        <f t="shared" si="27"/>
        <v>46023, 6, 2</v>
      </c>
    </row>
    <row r="1759" spans="1:12">
      <c r="A1759" s="9">
        <v>46023</v>
      </c>
      <c r="B1759">
        <v>6</v>
      </c>
      <c r="C1759" s="16" t="s">
        <v>61</v>
      </c>
      <c r="D1759">
        <v>3</v>
      </c>
      <c r="E1759" s="16" t="s">
        <v>41</v>
      </c>
      <c r="F1759" s="18">
        <v>4914</v>
      </c>
      <c r="G1759" s="22">
        <v>182</v>
      </c>
      <c r="H1759" s="18">
        <v>3.6684571397777699</v>
      </c>
      <c r="I1759" s="18">
        <v>667.65919943955498</v>
      </c>
      <c r="J1759" s="18">
        <v>4246.3408005604397</v>
      </c>
      <c r="K1759" s="22">
        <v>0</v>
      </c>
      <c r="L1759" s="22" t="str">
        <f t="shared" si="27"/>
        <v>46023, 6, 3</v>
      </c>
    </row>
    <row r="1760" spans="1:12">
      <c r="A1760" s="9">
        <v>46023</v>
      </c>
      <c r="B1760">
        <v>6</v>
      </c>
      <c r="C1760" s="16" t="s">
        <v>61</v>
      </c>
      <c r="D1760">
        <v>4</v>
      </c>
      <c r="E1760" s="16" t="s">
        <v>42</v>
      </c>
      <c r="F1760" s="18">
        <v>2684</v>
      </c>
      <c r="G1760" s="22">
        <v>122</v>
      </c>
      <c r="H1760" s="18">
        <v>8.1931692884444391</v>
      </c>
      <c r="I1760" s="18">
        <v>999.56665319022204</v>
      </c>
      <c r="J1760" s="18">
        <v>1684.43334680977</v>
      </c>
      <c r="K1760" s="22">
        <v>0</v>
      </c>
      <c r="L1760" s="22" t="str">
        <f t="shared" si="27"/>
        <v>46023, 6, 4</v>
      </c>
    </row>
    <row r="1761" spans="1:12">
      <c r="A1761" s="9">
        <v>46023</v>
      </c>
      <c r="B1761">
        <v>6</v>
      </c>
      <c r="C1761" s="16" t="s">
        <v>61</v>
      </c>
      <c r="D1761">
        <v>5</v>
      </c>
      <c r="E1761" s="16" t="s">
        <v>43</v>
      </c>
      <c r="F1761" s="18">
        <v>2046</v>
      </c>
      <c r="G1761" s="22">
        <v>93</v>
      </c>
      <c r="H1761" s="18">
        <v>7.4727083333333297</v>
      </c>
      <c r="I1761" s="18">
        <v>694.96187499999905</v>
      </c>
      <c r="J1761" s="18">
        <v>1351.038125</v>
      </c>
      <c r="K1761" s="22">
        <v>0</v>
      </c>
      <c r="L1761" s="22" t="str">
        <f t="shared" si="27"/>
        <v>46023, 6, 5</v>
      </c>
    </row>
    <row r="1762" spans="1:12">
      <c r="A1762" s="9">
        <v>46023</v>
      </c>
      <c r="B1762">
        <v>6</v>
      </c>
      <c r="C1762" s="16" t="s">
        <v>61</v>
      </c>
      <c r="D1762">
        <v>6</v>
      </c>
      <c r="E1762" s="16" t="s">
        <v>44</v>
      </c>
      <c r="F1762" s="18">
        <v>6216</v>
      </c>
      <c r="G1762" s="22">
        <v>259</v>
      </c>
      <c r="H1762" s="18">
        <v>5.5029266950555504</v>
      </c>
      <c r="I1762" s="18">
        <v>1425.25801401938</v>
      </c>
      <c r="J1762" s="18">
        <v>4790.7419859806096</v>
      </c>
      <c r="K1762" s="22">
        <v>0</v>
      </c>
      <c r="L1762" s="22" t="str">
        <f t="shared" si="27"/>
        <v>46023, 6, 6</v>
      </c>
    </row>
    <row r="1763" spans="1:12">
      <c r="A1763" s="9">
        <v>46023</v>
      </c>
      <c r="B1763">
        <v>6</v>
      </c>
      <c r="C1763" s="16" t="s">
        <v>61</v>
      </c>
      <c r="D1763">
        <v>7</v>
      </c>
      <c r="E1763" s="16" t="s">
        <v>45</v>
      </c>
      <c r="F1763" s="18">
        <v>2651</v>
      </c>
      <c r="G1763" s="22">
        <v>241</v>
      </c>
      <c r="H1763" s="18">
        <v>3.1848880455555499</v>
      </c>
      <c r="I1763" s="18">
        <v>767.55801897888796</v>
      </c>
      <c r="J1763" s="18">
        <v>1883.44198102111</v>
      </c>
      <c r="K1763" s="22">
        <v>0</v>
      </c>
      <c r="L1763" s="22" t="str">
        <f t="shared" si="27"/>
        <v>46023, 6, 7</v>
      </c>
    </row>
    <row r="1764" spans="1:12">
      <c r="A1764" s="9">
        <v>46023</v>
      </c>
      <c r="B1764">
        <v>6</v>
      </c>
      <c r="C1764" s="16" t="s">
        <v>61</v>
      </c>
      <c r="D1764">
        <v>8</v>
      </c>
      <c r="E1764" s="16" t="s">
        <v>46</v>
      </c>
      <c r="F1764" s="18">
        <v>1859</v>
      </c>
      <c r="G1764" s="22">
        <v>143</v>
      </c>
      <c r="H1764" s="18">
        <v>0.69930869137254903</v>
      </c>
      <c r="I1764" s="18">
        <v>100.00114286627399</v>
      </c>
      <c r="J1764" s="18">
        <v>1758.9988571337201</v>
      </c>
      <c r="K1764" s="22">
        <v>0</v>
      </c>
      <c r="L1764" s="22" t="str">
        <f t="shared" si="27"/>
        <v>46023, 6, 8</v>
      </c>
    </row>
    <row r="1765" spans="1:12">
      <c r="A1765" s="9">
        <v>46023</v>
      </c>
      <c r="B1765">
        <v>6</v>
      </c>
      <c r="C1765" s="16" t="s">
        <v>61</v>
      </c>
      <c r="D1765">
        <v>9</v>
      </c>
      <c r="E1765" s="16" t="s">
        <v>47</v>
      </c>
      <c r="F1765" s="18">
        <v>4784</v>
      </c>
      <c r="G1765" s="22">
        <v>92</v>
      </c>
      <c r="H1765" s="18">
        <v>19.3233467676401</v>
      </c>
      <c r="I1765" s="18">
        <v>1777.74790262289</v>
      </c>
      <c r="J1765" s="18">
        <v>3006.2520973771002</v>
      </c>
      <c r="K1765" s="22">
        <v>0</v>
      </c>
      <c r="L1765" s="22" t="str">
        <f t="shared" si="27"/>
        <v>46023, 6, 9</v>
      </c>
    </row>
    <row r="1766" spans="1:12">
      <c r="A1766" s="9">
        <v>46023</v>
      </c>
      <c r="B1766">
        <v>6</v>
      </c>
      <c r="C1766" s="16" t="s">
        <v>61</v>
      </c>
      <c r="D1766">
        <v>10</v>
      </c>
      <c r="E1766" s="16" t="s">
        <v>57</v>
      </c>
      <c r="F1766" s="18">
        <v>1320</v>
      </c>
      <c r="G1766" s="22">
        <v>88</v>
      </c>
      <c r="H1766" s="18">
        <v>2.2570312803636301</v>
      </c>
      <c r="I1766" s="18">
        <v>198.618752671999</v>
      </c>
      <c r="J1766" s="18">
        <v>1121.381247328</v>
      </c>
      <c r="K1766" s="22">
        <v>0</v>
      </c>
      <c r="L1766" s="22" t="str">
        <f t="shared" si="27"/>
        <v>46023, 6, 10</v>
      </c>
    </row>
    <row r="1767" spans="1:12">
      <c r="A1767" s="9">
        <v>46023</v>
      </c>
      <c r="B1767">
        <v>6</v>
      </c>
      <c r="C1767" s="16" t="s">
        <v>61</v>
      </c>
      <c r="D1767">
        <v>11</v>
      </c>
      <c r="E1767" s="16" t="s">
        <v>48</v>
      </c>
      <c r="F1767" s="18">
        <v>4158</v>
      </c>
      <c r="G1767" s="22">
        <v>189</v>
      </c>
      <c r="H1767" s="18">
        <v>2.1525235416666599</v>
      </c>
      <c r="I1767" s="18">
        <v>406.82694937500003</v>
      </c>
      <c r="J1767" s="18">
        <v>3751.1730506249901</v>
      </c>
      <c r="K1767" s="22">
        <v>0</v>
      </c>
      <c r="L1767" s="22" t="str">
        <f t="shared" si="27"/>
        <v>46023, 6, 11</v>
      </c>
    </row>
    <row r="1768" spans="1:12">
      <c r="A1768" s="9">
        <v>46023</v>
      </c>
      <c r="B1768">
        <v>6</v>
      </c>
      <c r="C1768" s="16" t="s">
        <v>61</v>
      </c>
      <c r="D1768">
        <v>12</v>
      </c>
      <c r="E1768" s="16" t="s">
        <v>49</v>
      </c>
      <c r="F1768" s="18">
        <v>3105</v>
      </c>
      <c r="G1768" s="22">
        <v>135</v>
      </c>
      <c r="H1768" s="18">
        <v>2.7527768146944398</v>
      </c>
      <c r="I1768" s="18">
        <v>371.62486998374902</v>
      </c>
      <c r="J1768" s="18">
        <v>2733.3751300162498</v>
      </c>
      <c r="K1768" s="22">
        <v>0</v>
      </c>
      <c r="L1768" s="22" t="str">
        <f t="shared" si="27"/>
        <v>46023, 6, 12</v>
      </c>
    </row>
    <row r="1769" spans="1:12">
      <c r="A1769" s="9">
        <v>46023</v>
      </c>
      <c r="B1769">
        <v>6</v>
      </c>
      <c r="C1769" s="16" t="s">
        <v>61</v>
      </c>
      <c r="D1769">
        <v>13</v>
      </c>
      <c r="E1769" s="16" t="s">
        <v>50</v>
      </c>
      <c r="F1769" s="18">
        <v>5616</v>
      </c>
      <c r="G1769" s="22">
        <v>234</v>
      </c>
      <c r="H1769" s="18">
        <v>7.57552788888888</v>
      </c>
      <c r="I1769" s="18">
        <v>1772.673526</v>
      </c>
      <c r="J1769" s="18">
        <v>3843.32647399999</v>
      </c>
      <c r="K1769" s="22">
        <v>0</v>
      </c>
      <c r="L1769" s="22" t="str">
        <f t="shared" si="27"/>
        <v>46023, 6, 13</v>
      </c>
    </row>
    <row r="1770" spans="1:12">
      <c r="A1770" s="9">
        <v>46023</v>
      </c>
      <c r="B1770">
        <v>6</v>
      </c>
      <c r="C1770" s="16" t="s">
        <v>61</v>
      </c>
      <c r="D1770">
        <v>14</v>
      </c>
      <c r="E1770" s="16" t="s">
        <v>51</v>
      </c>
      <c r="F1770" s="18">
        <v>3569.5</v>
      </c>
      <c r="G1770" s="22">
        <v>121</v>
      </c>
      <c r="H1770" s="18">
        <v>5.0615185656888801</v>
      </c>
      <c r="I1770" s="18">
        <v>612.443746448355</v>
      </c>
      <c r="J1770" s="18">
        <v>2957.0562535516401</v>
      </c>
      <c r="K1770" s="22">
        <v>0</v>
      </c>
      <c r="L1770" s="22" t="str">
        <f t="shared" si="27"/>
        <v>46023, 6, 14</v>
      </c>
    </row>
    <row r="1771" spans="1:12">
      <c r="A1771" s="9">
        <v>46023</v>
      </c>
      <c r="B1771">
        <v>6</v>
      </c>
      <c r="C1771" s="16" t="s">
        <v>61</v>
      </c>
      <c r="D1771">
        <v>15</v>
      </c>
      <c r="E1771" s="16" t="s">
        <v>52</v>
      </c>
      <c r="F1771" s="18">
        <v>4386</v>
      </c>
      <c r="G1771" s="22">
        <v>172</v>
      </c>
      <c r="H1771" s="18">
        <v>2.9546992744666598</v>
      </c>
      <c r="I1771" s="18">
        <v>508.208275208266</v>
      </c>
      <c r="J1771" s="18">
        <v>3877.7917247917298</v>
      </c>
      <c r="K1771" s="22">
        <v>0</v>
      </c>
      <c r="L1771" s="22" t="str">
        <f t="shared" si="27"/>
        <v>46023, 6, 15</v>
      </c>
    </row>
    <row r="1772" spans="1:12">
      <c r="A1772" s="9">
        <v>46023</v>
      </c>
      <c r="B1772">
        <v>6</v>
      </c>
      <c r="C1772" s="16" t="s">
        <v>61</v>
      </c>
      <c r="D1772">
        <v>16</v>
      </c>
      <c r="E1772" s="16" t="s">
        <v>53</v>
      </c>
      <c r="F1772" s="18">
        <v>1179</v>
      </c>
      <c r="G1772" s="22">
        <v>131</v>
      </c>
      <c r="H1772" s="18">
        <v>1.68050966121794</v>
      </c>
      <c r="I1772" s="18">
        <v>220.14676561955099</v>
      </c>
      <c r="J1772" s="18">
        <v>958.85323438044804</v>
      </c>
      <c r="K1772" s="22">
        <v>0</v>
      </c>
      <c r="L1772" s="22" t="str">
        <f t="shared" si="27"/>
        <v>46023, 6, 16</v>
      </c>
    </row>
    <row r="1773" spans="1:12">
      <c r="A1773" s="9">
        <v>46023</v>
      </c>
      <c r="B1773">
        <v>6</v>
      </c>
      <c r="C1773" s="16" t="s">
        <v>61</v>
      </c>
      <c r="D1773">
        <v>17</v>
      </c>
      <c r="E1773" s="16" t="s">
        <v>54</v>
      </c>
      <c r="F1773" s="18">
        <v>1071</v>
      </c>
      <c r="G1773" s="22">
        <v>126</v>
      </c>
      <c r="H1773" s="18">
        <v>1.5388052780555499</v>
      </c>
      <c r="I1773" s="18">
        <v>193.889465035</v>
      </c>
      <c r="J1773" s="18">
        <v>877.11053496499903</v>
      </c>
      <c r="K1773" s="22">
        <v>0</v>
      </c>
      <c r="L1773" s="22" t="str">
        <f t="shared" si="27"/>
        <v>46023, 6, 17</v>
      </c>
    </row>
    <row r="1774" spans="1:12">
      <c r="A1774" s="9">
        <v>46023</v>
      </c>
      <c r="B1774">
        <v>6</v>
      </c>
      <c r="C1774" s="16" t="s">
        <v>61</v>
      </c>
      <c r="D1774">
        <v>18</v>
      </c>
      <c r="E1774" s="16" t="s">
        <v>55</v>
      </c>
      <c r="F1774" s="18">
        <v>1700</v>
      </c>
      <c r="G1774" s="22">
        <v>68</v>
      </c>
      <c r="H1774" s="18">
        <v>6.2689762184658999</v>
      </c>
      <c r="I1774" s="18">
        <v>426.290382855681</v>
      </c>
      <c r="J1774" s="18">
        <v>1273.70961714431</v>
      </c>
      <c r="K1774" s="22">
        <v>0</v>
      </c>
      <c r="L1774" s="22" t="str">
        <f t="shared" si="27"/>
        <v>46023, 6, 18</v>
      </c>
    </row>
    <row r="1775" spans="1:12">
      <c r="A1775" s="9">
        <v>46054</v>
      </c>
      <c r="B1775">
        <v>6</v>
      </c>
      <c r="C1775" s="16" t="s">
        <v>61</v>
      </c>
      <c r="D1775">
        <v>1</v>
      </c>
      <c r="E1775" s="16" t="s">
        <v>38</v>
      </c>
      <c r="F1775" s="18">
        <v>5451</v>
      </c>
      <c r="G1775" s="22">
        <v>237</v>
      </c>
      <c r="H1775" s="18">
        <v>4.5655557812499996</v>
      </c>
      <c r="I1775" s="18">
        <v>1082.0367201562501</v>
      </c>
      <c r="J1775" s="18">
        <v>4368.9632798437497</v>
      </c>
      <c r="K1775" s="22">
        <v>0</v>
      </c>
      <c r="L1775" s="22" t="str">
        <f t="shared" si="27"/>
        <v>46054, 6, 1</v>
      </c>
    </row>
    <row r="1776" spans="1:12">
      <c r="A1776" s="9">
        <v>46054</v>
      </c>
      <c r="B1776">
        <v>6</v>
      </c>
      <c r="C1776" s="16" t="s">
        <v>61</v>
      </c>
      <c r="D1776">
        <v>2</v>
      </c>
      <c r="E1776" s="16" t="s">
        <v>40</v>
      </c>
      <c r="F1776" s="18">
        <v>5686.5</v>
      </c>
      <c r="G1776" s="22">
        <v>223</v>
      </c>
      <c r="H1776" s="18">
        <v>7.8017151570000003</v>
      </c>
      <c r="I1776" s="18">
        <v>1739.782480011</v>
      </c>
      <c r="J1776" s="18">
        <v>3946.7175199889998</v>
      </c>
      <c r="K1776" s="22">
        <v>0</v>
      </c>
      <c r="L1776" s="22" t="str">
        <f t="shared" si="27"/>
        <v>46054, 6, 2</v>
      </c>
    </row>
    <row r="1777" spans="1:12">
      <c r="A1777" s="9">
        <v>46054</v>
      </c>
      <c r="B1777">
        <v>6</v>
      </c>
      <c r="C1777" s="16" t="s">
        <v>61</v>
      </c>
      <c r="D1777">
        <v>3</v>
      </c>
      <c r="E1777" s="16" t="s">
        <v>41</v>
      </c>
      <c r="F1777" s="18">
        <v>4158</v>
      </c>
      <c r="G1777" s="22">
        <v>154</v>
      </c>
      <c r="H1777" s="18">
        <v>3.6932630767500001</v>
      </c>
      <c r="I1777" s="18">
        <v>568.76251381949999</v>
      </c>
      <c r="J1777" s="18">
        <v>3589.2374861805001</v>
      </c>
      <c r="K1777" s="22">
        <v>0</v>
      </c>
      <c r="L1777" s="22" t="str">
        <f t="shared" si="27"/>
        <v>46054, 6, 3</v>
      </c>
    </row>
    <row r="1778" spans="1:12">
      <c r="A1778" s="9">
        <v>46054</v>
      </c>
      <c r="B1778">
        <v>6</v>
      </c>
      <c r="C1778" s="16" t="s">
        <v>61</v>
      </c>
      <c r="D1778">
        <v>4</v>
      </c>
      <c r="E1778" s="16" t="s">
        <v>42</v>
      </c>
      <c r="F1778" s="18">
        <v>3036</v>
      </c>
      <c r="G1778" s="22">
        <v>138</v>
      </c>
      <c r="H1778" s="18">
        <v>8.1854015859999993</v>
      </c>
      <c r="I1778" s="18">
        <v>1129.585418868</v>
      </c>
      <c r="J1778" s="18">
        <v>1906.414581132</v>
      </c>
      <c r="K1778" s="22">
        <v>0</v>
      </c>
      <c r="L1778" s="22" t="str">
        <f t="shared" si="27"/>
        <v>46054, 6, 4</v>
      </c>
    </row>
    <row r="1779" spans="1:12">
      <c r="A1779" s="9">
        <v>46054</v>
      </c>
      <c r="B1779">
        <v>6</v>
      </c>
      <c r="C1779" s="16" t="s">
        <v>61</v>
      </c>
      <c r="D1779">
        <v>5</v>
      </c>
      <c r="E1779" s="16" t="s">
        <v>43</v>
      </c>
      <c r="F1779" s="18">
        <v>1848</v>
      </c>
      <c r="G1779" s="22">
        <v>84</v>
      </c>
      <c r="H1779" s="18">
        <v>7.3793749999999996</v>
      </c>
      <c r="I1779" s="18">
        <v>619.86749999999995</v>
      </c>
      <c r="J1779" s="18">
        <v>1228.1324999999999</v>
      </c>
      <c r="K1779" s="22">
        <v>0</v>
      </c>
      <c r="L1779" s="22" t="str">
        <f t="shared" si="27"/>
        <v>46054, 6, 5</v>
      </c>
    </row>
    <row r="1780" spans="1:12">
      <c r="A1780" s="9">
        <v>46054</v>
      </c>
      <c r="B1780">
        <v>6</v>
      </c>
      <c r="C1780" s="16" t="s">
        <v>61</v>
      </c>
      <c r="D1780">
        <v>6</v>
      </c>
      <c r="E1780" s="16" t="s">
        <v>44</v>
      </c>
      <c r="F1780" s="18">
        <v>4944</v>
      </c>
      <c r="G1780" s="22">
        <v>206</v>
      </c>
      <c r="H1780" s="18">
        <v>5.50934091534375</v>
      </c>
      <c r="I1780" s="18">
        <v>1134.92422856081</v>
      </c>
      <c r="J1780" s="18">
        <v>3809.0757714391798</v>
      </c>
      <c r="K1780" s="22">
        <v>0</v>
      </c>
      <c r="L1780" s="22" t="str">
        <f t="shared" si="27"/>
        <v>46054, 6, 6</v>
      </c>
    </row>
    <row r="1781" spans="1:12">
      <c r="A1781" s="9">
        <v>46054</v>
      </c>
      <c r="B1781">
        <v>6</v>
      </c>
      <c r="C1781" s="16" t="s">
        <v>61</v>
      </c>
      <c r="D1781">
        <v>7</v>
      </c>
      <c r="E1781" s="16" t="s">
        <v>45</v>
      </c>
      <c r="F1781" s="18">
        <v>2178</v>
      </c>
      <c r="G1781" s="22">
        <v>198</v>
      </c>
      <c r="H1781" s="18">
        <v>3.20445185361111</v>
      </c>
      <c r="I1781" s="18">
        <v>634.481467014999</v>
      </c>
      <c r="J1781" s="18">
        <v>1543.5185329850001</v>
      </c>
      <c r="K1781" s="22">
        <v>0</v>
      </c>
      <c r="L1781" s="22" t="str">
        <f t="shared" si="27"/>
        <v>46054, 6, 7</v>
      </c>
    </row>
    <row r="1782" spans="1:12">
      <c r="A1782" s="9">
        <v>46054</v>
      </c>
      <c r="B1782">
        <v>6</v>
      </c>
      <c r="C1782" s="16" t="s">
        <v>61</v>
      </c>
      <c r="D1782">
        <v>8</v>
      </c>
      <c r="E1782" s="16" t="s">
        <v>46</v>
      </c>
      <c r="F1782" s="18">
        <v>1833</v>
      </c>
      <c r="G1782" s="22">
        <v>141</v>
      </c>
      <c r="H1782" s="18">
        <v>0.71137606809523801</v>
      </c>
      <c r="I1782" s="18">
        <v>100.30402560142799</v>
      </c>
      <c r="J1782" s="18">
        <v>1732.6959743985699</v>
      </c>
      <c r="K1782" s="22">
        <v>0</v>
      </c>
      <c r="L1782" s="22" t="str">
        <f t="shared" si="27"/>
        <v>46054, 6, 8</v>
      </c>
    </row>
    <row r="1783" spans="1:12">
      <c r="A1783" s="9">
        <v>46054</v>
      </c>
      <c r="B1783">
        <v>6</v>
      </c>
      <c r="C1783" s="16" t="s">
        <v>61</v>
      </c>
      <c r="D1783">
        <v>9</v>
      </c>
      <c r="E1783" s="16" t="s">
        <v>47</v>
      </c>
      <c r="F1783" s="18">
        <v>4732</v>
      </c>
      <c r="G1783" s="22">
        <v>91</v>
      </c>
      <c r="H1783" s="18">
        <v>19.468034404729</v>
      </c>
      <c r="I1783" s="18">
        <v>1771.59113083033</v>
      </c>
      <c r="J1783" s="18">
        <v>2960.4088691696602</v>
      </c>
      <c r="K1783" s="22">
        <v>0</v>
      </c>
      <c r="L1783" s="22" t="str">
        <f t="shared" si="27"/>
        <v>46054, 6, 9</v>
      </c>
    </row>
    <row r="1784" spans="1:12">
      <c r="A1784" s="9">
        <v>46054</v>
      </c>
      <c r="B1784">
        <v>6</v>
      </c>
      <c r="C1784" s="16" t="s">
        <v>61</v>
      </c>
      <c r="D1784">
        <v>10</v>
      </c>
      <c r="E1784" s="16" t="s">
        <v>57</v>
      </c>
      <c r="F1784" s="18">
        <v>1155</v>
      </c>
      <c r="G1784" s="22">
        <v>77</v>
      </c>
      <c r="H1784" s="18">
        <v>2.2279163819500001</v>
      </c>
      <c r="I1784" s="18">
        <v>171.54956141015001</v>
      </c>
      <c r="J1784" s="18">
        <v>983.45043858985002</v>
      </c>
      <c r="K1784" s="22">
        <v>0</v>
      </c>
      <c r="L1784" s="22" t="str">
        <f t="shared" si="27"/>
        <v>46054, 6, 10</v>
      </c>
    </row>
    <row r="1785" spans="1:12">
      <c r="A1785" s="9">
        <v>46054</v>
      </c>
      <c r="B1785">
        <v>6</v>
      </c>
      <c r="C1785" s="16" t="s">
        <v>61</v>
      </c>
      <c r="D1785">
        <v>11</v>
      </c>
      <c r="E1785" s="16" t="s">
        <v>48</v>
      </c>
      <c r="F1785" s="18">
        <v>3806</v>
      </c>
      <c r="G1785" s="22">
        <v>173</v>
      </c>
      <c r="H1785" s="18">
        <v>2.1638231562499999</v>
      </c>
      <c r="I1785" s="18">
        <v>374.34140603125002</v>
      </c>
      <c r="J1785" s="18">
        <v>3431.6585939687502</v>
      </c>
      <c r="K1785" s="22">
        <v>0</v>
      </c>
      <c r="L1785" s="22" t="str">
        <f t="shared" si="27"/>
        <v>46054, 6, 11</v>
      </c>
    </row>
    <row r="1786" spans="1:12">
      <c r="A1786" s="9">
        <v>46054</v>
      </c>
      <c r="B1786">
        <v>6</v>
      </c>
      <c r="C1786" s="16" t="s">
        <v>61</v>
      </c>
      <c r="D1786">
        <v>12</v>
      </c>
      <c r="E1786" s="16" t="s">
        <v>49</v>
      </c>
      <c r="F1786" s="18">
        <v>3197</v>
      </c>
      <c r="G1786" s="22">
        <v>139</v>
      </c>
      <c r="H1786" s="18">
        <v>2.7925919286562499</v>
      </c>
      <c r="I1786" s="18">
        <v>388.17027808321802</v>
      </c>
      <c r="J1786" s="18">
        <v>2808.8297219167798</v>
      </c>
      <c r="K1786" s="22">
        <v>0</v>
      </c>
      <c r="L1786" s="22" t="str">
        <f t="shared" si="27"/>
        <v>46054, 6, 12</v>
      </c>
    </row>
    <row r="1787" spans="1:12">
      <c r="A1787" s="9">
        <v>46054</v>
      </c>
      <c r="B1787">
        <v>6</v>
      </c>
      <c r="C1787" s="16" t="s">
        <v>61</v>
      </c>
      <c r="D1787">
        <v>13</v>
      </c>
      <c r="E1787" s="16" t="s">
        <v>50</v>
      </c>
      <c r="F1787" s="18">
        <v>5232</v>
      </c>
      <c r="G1787" s="22">
        <v>218</v>
      </c>
      <c r="H1787" s="18">
        <v>7.60380375</v>
      </c>
      <c r="I1787" s="18">
        <v>1657.6292175000001</v>
      </c>
      <c r="J1787" s="18">
        <v>3574.3707825000001</v>
      </c>
      <c r="K1787" s="22">
        <v>0</v>
      </c>
      <c r="L1787" s="22" t="str">
        <f t="shared" si="27"/>
        <v>46054, 6, 13</v>
      </c>
    </row>
    <row r="1788" spans="1:12">
      <c r="A1788" s="9">
        <v>46054</v>
      </c>
      <c r="B1788">
        <v>6</v>
      </c>
      <c r="C1788" s="16" t="s">
        <v>61</v>
      </c>
      <c r="D1788">
        <v>14</v>
      </c>
      <c r="E1788" s="16" t="s">
        <v>51</v>
      </c>
      <c r="F1788" s="18">
        <v>1445.5</v>
      </c>
      <c r="G1788" s="22">
        <v>49</v>
      </c>
      <c r="H1788" s="18">
        <v>5.0642899472499998</v>
      </c>
      <c r="I1788" s="18">
        <v>248.15020741525001</v>
      </c>
      <c r="J1788" s="18">
        <v>1197.34979258474</v>
      </c>
      <c r="K1788" s="22">
        <v>0</v>
      </c>
      <c r="L1788" s="22" t="str">
        <f t="shared" si="27"/>
        <v>46054, 6, 14</v>
      </c>
    </row>
    <row r="1789" spans="1:12">
      <c r="A1789" s="9">
        <v>46054</v>
      </c>
      <c r="B1789">
        <v>6</v>
      </c>
      <c r="C1789" s="16" t="s">
        <v>61</v>
      </c>
      <c r="D1789">
        <v>15</v>
      </c>
      <c r="E1789" s="16" t="s">
        <v>52</v>
      </c>
      <c r="F1789" s="18">
        <v>3621</v>
      </c>
      <c r="G1789" s="22">
        <v>142</v>
      </c>
      <c r="H1789" s="18">
        <v>2.9475153920000001</v>
      </c>
      <c r="I1789" s="18">
        <v>418.54718566399998</v>
      </c>
      <c r="J1789" s="18">
        <v>3202.4528143359998</v>
      </c>
      <c r="K1789" s="22">
        <v>0</v>
      </c>
      <c r="L1789" s="22" t="str">
        <f t="shared" si="27"/>
        <v>46054, 6, 15</v>
      </c>
    </row>
    <row r="1790" spans="1:12">
      <c r="A1790" s="9">
        <v>46054</v>
      </c>
      <c r="B1790">
        <v>6</v>
      </c>
      <c r="C1790" s="16" t="s">
        <v>61</v>
      </c>
      <c r="D1790">
        <v>16</v>
      </c>
      <c r="E1790" s="16" t="s">
        <v>53</v>
      </c>
      <c r="F1790" s="18">
        <v>1215</v>
      </c>
      <c r="G1790" s="22">
        <v>135</v>
      </c>
      <c r="H1790" s="18">
        <v>1.67831083454545</v>
      </c>
      <c r="I1790" s="18">
        <v>226.57196266363599</v>
      </c>
      <c r="J1790" s="18">
        <v>988.42803733636299</v>
      </c>
      <c r="K1790" s="22">
        <v>0</v>
      </c>
      <c r="L1790" s="22" t="str">
        <f t="shared" si="27"/>
        <v>46054, 6, 16</v>
      </c>
    </row>
    <row r="1791" spans="1:12">
      <c r="A1791" s="9">
        <v>46054</v>
      </c>
      <c r="B1791">
        <v>6</v>
      </c>
      <c r="C1791" s="16" t="s">
        <v>61</v>
      </c>
      <c r="D1791">
        <v>17</v>
      </c>
      <c r="E1791" s="16" t="s">
        <v>54</v>
      </c>
      <c r="F1791" s="18">
        <v>1139</v>
      </c>
      <c r="G1791" s="22">
        <v>134</v>
      </c>
      <c r="H1791" s="18">
        <v>1.5443923131249999</v>
      </c>
      <c r="I1791" s="18">
        <v>206.94856995875</v>
      </c>
      <c r="J1791" s="18">
        <v>932.05143004125</v>
      </c>
      <c r="K1791" s="22">
        <v>0</v>
      </c>
      <c r="L1791" s="22" t="str">
        <f t="shared" si="27"/>
        <v>46054, 6, 17</v>
      </c>
    </row>
    <row r="1792" spans="1:12">
      <c r="A1792" s="9">
        <v>46054</v>
      </c>
      <c r="B1792">
        <v>6</v>
      </c>
      <c r="C1792" s="16" t="s">
        <v>61</v>
      </c>
      <c r="D1792">
        <v>18</v>
      </c>
      <c r="E1792" s="16" t="s">
        <v>55</v>
      </c>
      <c r="F1792" s="18">
        <v>1250</v>
      </c>
      <c r="G1792" s="22">
        <v>50</v>
      </c>
      <c r="H1792" s="18">
        <v>6.2530113671874998</v>
      </c>
      <c r="I1792" s="18">
        <v>312.65056835937497</v>
      </c>
      <c r="J1792" s="18">
        <v>937.34943164062497</v>
      </c>
      <c r="K1792" s="22">
        <v>0</v>
      </c>
      <c r="L1792" s="22" t="str">
        <f t="shared" si="27"/>
        <v>46054, 6, 18</v>
      </c>
    </row>
    <row r="1793" spans="1:12">
      <c r="A1793" s="9">
        <v>46082</v>
      </c>
      <c r="B1793">
        <v>6</v>
      </c>
      <c r="C1793" s="16" t="s">
        <v>61</v>
      </c>
      <c r="D1793">
        <v>1</v>
      </c>
      <c r="E1793" s="16" t="s">
        <v>38</v>
      </c>
      <c r="F1793" s="18">
        <v>5474</v>
      </c>
      <c r="G1793" s="22">
        <v>238</v>
      </c>
      <c r="H1793" s="18">
        <v>4.5942511617647002</v>
      </c>
      <c r="I1793" s="18">
        <v>1093.4317765000001</v>
      </c>
      <c r="J1793" s="18">
        <v>4380.5682234999904</v>
      </c>
      <c r="K1793" s="22">
        <v>0</v>
      </c>
      <c r="L1793" s="22" t="str">
        <f t="shared" si="27"/>
        <v>46082, 6, 1</v>
      </c>
    </row>
    <row r="1794" spans="1:12">
      <c r="A1794" s="9">
        <v>46082</v>
      </c>
      <c r="B1794">
        <v>6</v>
      </c>
      <c r="C1794" s="16" t="s">
        <v>61</v>
      </c>
      <c r="D1794">
        <v>2</v>
      </c>
      <c r="E1794" s="16" t="s">
        <v>40</v>
      </c>
      <c r="F1794" s="18">
        <v>5916</v>
      </c>
      <c r="G1794" s="22">
        <v>232</v>
      </c>
      <c r="H1794" s="18">
        <v>7.9139328167058798</v>
      </c>
      <c r="I1794" s="18">
        <v>1836.03241347576</v>
      </c>
      <c r="J1794" s="18">
        <v>4079.9675865242298</v>
      </c>
      <c r="K1794" s="22">
        <v>0</v>
      </c>
      <c r="L1794" s="22" t="str">
        <f t="shared" si="27"/>
        <v>46082, 6, 2</v>
      </c>
    </row>
    <row r="1795" spans="1:12">
      <c r="A1795" s="9">
        <v>46082</v>
      </c>
      <c r="B1795">
        <v>6</v>
      </c>
      <c r="C1795" s="16" t="s">
        <v>61</v>
      </c>
      <c r="D1795">
        <v>3</v>
      </c>
      <c r="E1795" s="16" t="s">
        <v>41</v>
      </c>
      <c r="F1795" s="18">
        <v>4455</v>
      </c>
      <c r="G1795" s="22">
        <v>165</v>
      </c>
      <c r="H1795" s="18">
        <v>3.69173002035294</v>
      </c>
      <c r="I1795" s="18">
        <v>609.13545335823505</v>
      </c>
      <c r="J1795" s="18">
        <v>3845.8645466417602</v>
      </c>
      <c r="K1795" s="22">
        <v>0</v>
      </c>
      <c r="L1795" s="22" t="str">
        <f t="shared" ref="L1795:L1858" si="28">(A1795&amp; ", "&amp; B1795&amp; ", "&amp; D1795)</f>
        <v>46082, 6, 3</v>
      </c>
    </row>
    <row r="1796" spans="1:12">
      <c r="A1796" s="9">
        <v>46082</v>
      </c>
      <c r="B1796">
        <v>6</v>
      </c>
      <c r="C1796" s="16" t="s">
        <v>61</v>
      </c>
      <c r="D1796">
        <v>4</v>
      </c>
      <c r="E1796" s="16" t="s">
        <v>42</v>
      </c>
      <c r="F1796" s="18">
        <v>3366</v>
      </c>
      <c r="G1796" s="22">
        <v>153</v>
      </c>
      <c r="H1796" s="18">
        <v>8.1761978002352897</v>
      </c>
      <c r="I1796" s="18">
        <v>1250.9582634359899</v>
      </c>
      <c r="J1796" s="18">
        <v>2115.0417365640001</v>
      </c>
      <c r="K1796" s="22">
        <v>0</v>
      </c>
      <c r="L1796" s="22" t="str">
        <f t="shared" si="28"/>
        <v>46082, 6, 4</v>
      </c>
    </row>
    <row r="1797" spans="1:12">
      <c r="A1797" s="9">
        <v>46082</v>
      </c>
      <c r="B1797">
        <v>6</v>
      </c>
      <c r="C1797" s="16" t="s">
        <v>61</v>
      </c>
      <c r="D1797">
        <v>5</v>
      </c>
      <c r="E1797" s="16" t="s">
        <v>43</v>
      </c>
      <c r="F1797" s="18">
        <v>1892</v>
      </c>
      <c r="G1797" s="22">
        <v>86</v>
      </c>
      <c r="H1797" s="18">
        <v>7.2398161764705797</v>
      </c>
      <c r="I1797" s="18">
        <v>622.62419117647005</v>
      </c>
      <c r="J1797" s="18">
        <v>1269.3758088235199</v>
      </c>
      <c r="K1797" s="22">
        <v>0</v>
      </c>
      <c r="L1797" s="22" t="str">
        <f t="shared" si="28"/>
        <v>46082, 6, 5</v>
      </c>
    </row>
    <row r="1798" spans="1:12">
      <c r="A1798" s="9">
        <v>46082</v>
      </c>
      <c r="B1798">
        <v>6</v>
      </c>
      <c r="C1798" s="16" t="s">
        <v>61</v>
      </c>
      <c r="D1798">
        <v>6</v>
      </c>
      <c r="E1798" s="16" t="s">
        <v>44</v>
      </c>
      <c r="F1798" s="18">
        <v>4512</v>
      </c>
      <c r="G1798" s="22">
        <v>188</v>
      </c>
      <c r="H1798" s="18">
        <v>5.5809485593235202</v>
      </c>
      <c r="I1798" s="18">
        <v>1049.2183291528199</v>
      </c>
      <c r="J1798" s="18">
        <v>3462.7816708471701</v>
      </c>
      <c r="K1798" s="22">
        <v>0</v>
      </c>
      <c r="L1798" s="22" t="str">
        <f t="shared" si="28"/>
        <v>46082, 6, 6</v>
      </c>
    </row>
    <row r="1799" spans="1:12">
      <c r="A1799" s="9">
        <v>46082</v>
      </c>
      <c r="B1799">
        <v>6</v>
      </c>
      <c r="C1799" s="16" t="s">
        <v>61</v>
      </c>
      <c r="D1799">
        <v>7</v>
      </c>
      <c r="E1799" s="16" t="s">
        <v>45</v>
      </c>
      <c r="F1799" s="18">
        <v>1782</v>
      </c>
      <c r="G1799" s="22">
        <v>162</v>
      </c>
      <c r="H1799" s="18">
        <v>3.20147349925</v>
      </c>
      <c r="I1799" s="18">
        <v>518.63870687849999</v>
      </c>
      <c r="J1799" s="18">
        <v>1263.3612931215</v>
      </c>
      <c r="K1799" s="22">
        <v>0</v>
      </c>
      <c r="L1799" s="22" t="str">
        <f t="shared" si="28"/>
        <v>46082, 6, 7</v>
      </c>
    </row>
    <row r="1800" spans="1:12">
      <c r="A1800" s="9">
        <v>46082</v>
      </c>
      <c r="B1800">
        <v>6</v>
      </c>
      <c r="C1800" s="16" t="s">
        <v>61</v>
      </c>
      <c r="D1800">
        <v>8</v>
      </c>
      <c r="E1800" s="16" t="s">
        <v>46</v>
      </c>
      <c r="F1800" s="18">
        <v>1625</v>
      </c>
      <c r="G1800" s="22">
        <v>125</v>
      </c>
      <c r="H1800" s="18">
        <v>0.74198216666666605</v>
      </c>
      <c r="I1800" s="18">
        <v>92.747770833333306</v>
      </c>
      <c r="J1800" s="18">
        <v>1532.2522291666601</v>
      </c>
      <c r="K1800" s="22">
        <v>0</v>
      </c>
      <c r="L1800" s="22" t="str">
        <f t="shared" si="28"/>
        <v>46082, 6, 8</v>
      </c>
    </row>
    <row r="1801" spans="1:12">
      <c r="A1801" s="9">
        <v>46082</v>
      </c>
      <c r="B1801">
        <v>6</v>
      </c>
      <c r="C1801" s="16" t="s">
        <v>61</v>
      </c>
      <c r="D1801">
        <v>9</v>
      </c>
      <c r="E1801" s="16" t="s">
        <v>47</v>
      </c>
      <c r="F1801" s="18">
        <v>4680</v>
      </c>
      <c r="G1801" s="22">
        <v>90</v>
      </c>
      <c r="H1801" s="18">
        <v>19.499851592168501</v>
      </c>
      <c r="I1801" s="18">
        <v>1754.9866432951601</v>
      </c>
      <c r="J1801" s="18">
        <v>2925.0133567048301</v>
      </c>
      <c r="K1801" s="22">
        <v>0</v>
      </c>
      <c r="L1801" s="22" t="str">
        <f t="shared" si="28"/>
        <v>46082, 6, 9</v>
      </c>
    </row>
    <row r="1802" spans="1:12">
      <c r="A1802" s="9">
        <v>46082</v>
      </c>
      <c r="B1802">
        <v>6</v>
      </c>
      <c r="C1802" s="16" t="s">
        <v>61</v>
      </c>
      <c r="D1802">
        <v>10</v>
      </c>
      <c r="E1802" s="16" t="s">
        <v>57</v>
      </c>
      <c r="F1802" s="18">
        <v>1260</v>
      </c>
      <c r="G1802" s="22">
        <v>84</v>
      </c>
      <c r="H1802" s="18">
        <v>2.1711824432454501</v>
      </c>
      <c r="I1802" s="18">
        <v>182.37932523261799</v>
      </c>
      <c r="J1802" s="18">
        <v>1077.62067476738</v>
      </c>
      <c r="K1802" s="22">
        <v>0</v>
      </c>
      <c r="L1802" s="22" t="str">
        <f t="shared" si="28"/>
        <v>46082, 6, 10</v>
      </c>
    </row>
    <row r="1803" spans="1:12">
      <c r="A1803" s="9">
        <v>46082</v>
      </c>
      <c r="B1803">
        <v>6</v>
      </c>
      <c r="C1803" s="16" t="s">
        <v>61</v>
      </c>
      <c r="D1803">
        <v>11</v>
      </c>
      <c r="E1803" s="16" t="s">
        <v>48</v>
      </c>
      <c r="F1803" s="18">
        <v>4840</v>
      </c>
      <c r="G1803" s="22">
        <v>220</v>
      </c>
      <c r="H1803" s="18">
        <v>2.1774902812499999</v>
      </c>
      <c r="I1803" s="18">
        <v>479.04786187500002</v>
      </c>
      <c r="J1803" s="18">
        <v>4360.9521381249997</v>
      </c>
      <c r="K1803" s="22">
        <v>0</v>
      </c>
      <c r="L1803" s="22" t="str">
        <f t="shared" si="28"/>
        <v>46082, 6, 11</v>
      </c>
    </row>
    <row r="1804" spans="1:12">
      <c r="A1804" s="9">
        <v>46082</v>
      </c>
      <c r="B1804">
        <v>6</v>
      </c>
      <c r="C1804" s="16" t="s">
        <v>61</v>
      </c>
      <c r="D1804">
        <v>12</v>
      </c>
      <c r="E1804" s="16" t="s">
        <v>49</v>
      </c>
      <c r="F1804" s="18">
        <v>3772</v>
      </c>
      <c r="G1804" s="22">
        <v>164</v>
      </c>
      <c r="H1804" s="18">
        <v>2.8220727002646999</v>
      </c>
      <c r="I1804" s="18">
        <v>462.81992284341101</v>
      </c>
      <c r="J1804" s="18">
        <v>3309.18007715658</v>
      </c>
      <c r="K1804" s="22">
        <v>0</v>
      </c>
      <c r="L1804" s="22" t="str">
        <f t="shared" si="28"/>
        <v>46082, 6, 12</v>
      </c>
    </row>
    <row r="1805" spans="1:12">
      <c r="A1805" s="9">
        <v>46082</v>
      </c>
      <c r="B1805">
        <v>6</v>
      </c>
      <c r="C1805" s="16" t="s">
        <v>61</v>
      </c>
      <c r="D1805">
        <v>13</v>
      </c>
      <c r="E1805" s="16" t="s">
        <v>50</v>
      </c>
      <c r="F1805" s="18">
        <v>4416</v>
      </c>
      <c r="G1805" s="22">
        <v>184</v>
      </c>
      <c r="H1805" s="18">
        <v>7.6774943333333301</v>
      </c>
      <c r="I1805" s="18">
        <v>1412.6589573333299</v>
      </c>
      <c r="J1805" s="18">
        <v>3003.3410426666601</v>
      </c>
      <c r="K1805" s="22">
        <v>0</v>
      </c>
      <c r="L1805" s="22" t="str">
        <f t="shared" si="28"/>
        <v>46082, 6, 13</v>
      </c>
    </row>
    <row r="1806" spans="1:12">
      <c r="A1806" s="9">
        <v>46082</v>
      </c>
      <c r="B1806">
        <v>6</v>
      </c>
      <c r="C1806" s="16" t="s">
        <v>61</v>
      </c>
      <c r="D1806">
        <v>14</v>
      </c>
      <c r="E1806" s="16" t="s">
        <v>51</v>
      </c>
      <c r="F1806" s="18">
        <v>1770</v>
      </c>
      <c r="G1806" s="22">
        <v>60</v>
      </c>
      <c r="H1806" s="18">
        <v>5.0763420287261898</v>
      </c>
      <c r="I1806" s="18">
        <v>304.580521723571</v>
      </c>
      <c r="J1806" s="18">
        <v>1465.41947827642</v>
      </c>
      <c r="K1806" s="22">
        <v>0</v>
      </c>
      <c r="L1806" s="22" t="str">
        <f t="shared" si="28"/>
        <v>46082, 6, 14</v>
      </c>
    </row>
    <row r="1807" spans="1:12">
      <c r="A1807" s="9">
        <v>46082</v>
      </c>
      <c r="B1807">
        <v>6</v>
      </c>
      <c r="C1807" s="16" t="s">
        <v>61</v>
      </c>
      <c r="D1807">
        <v>15</v>
      </c>
      <c r="E1807" s="16" t="s">
        <v>52</v>
      </c>
      <c r="F1807" s="18">
        <v>3697.5</v>
      </c>
      <c r="G1807" s="22">
        <v>145</v>
      </c>
      <c r="H1807" s="18">
        <v>2.96487812128571</v>
      </c>
      <c r="I1807" s="18">
        <v>429.90732758642798</v>
      </c>
      <c r="J1807" s="18">
        <v>3267.5926724135702</v>
      </c>
      <c r="K1807" s="22">
        <v>0</v>
      </c>
      <c r="L1807" s="22" t="str">
        <f t="shared" si="28"/>
        <v>46082, 6, 15</v>
      </c>
    </row>
    <row r="1808" spans="1:12">
      <c r="A1808" s="9">
        <v>46082</v>
      </c>
      <c r="B1808">
        <v>6</v>
      </c>
      <c r="C1808" s="16" t="s">
        <v>61</v>
      </c>
      <c r="D1808">
        <v>16</v>
      </c>
      <c r="E1808" s="16" t="s">
        <v>53</v>
      </c>
      <c r="F1808" s="18">
        <v>1197</v>
      </c>
      <c r="G1808" s="22">
        <v>133</v>
      </c>
      <c r="H1808" s="18">
        <v>1.7010021049999899</v>
      </c>
      <c r="I1808" s="18">
        <v>226.23327996499901</v>
      </c>
      <c r="J1808" s="18">
        <v>970.76672003500005</v>
      </c>
      <c r="K1808" s="22">
        <v>0</v>
      </c>
      <c r="L1808" s="22" t="str">
        <f t="shared" si="28"/>
        <v>46082, 6, 16</v>
      </c>
    </row>
    <row r="1809" spans="1:12">
      <c r="A1809" s="9">
        <v>46082</v>
      </c>
      <c r="B1809">
        <v>6</v>
      </c>
      <c r="C1809" s="16" t="s">
        <v>61</v>
      </c>
      <c r="D1809">
        <v>17</v>
      </c>
      <c r="E1809" s="16" t="s">
        <v>54</v>
      </c>
      <c r="F1809" s="18">
        <v>1283.5</v>
      </c>
      <c r="G1809" s="22">
        <v>151</v>
      </c>
      <c r="H1809" s="18">
        <v>1.5464464047058799</v>
      </c>
      <c r="I1809" s="18">
        <v>233.51340711058799</v>
      </c>
      <c r="J1809" s="18">
        <v>1049.9865928894101</v>
      </c>
      <c r="K1809" s="22">
        <v>0</v>
      </c>
      <c r="L1809" s="22" t="str">
        <f t="shared" si="28"/>
        <v>46082, 6, 17</v>
      </c>
    </row>
    <row r="1810" spans="1:12">
      <c r="A1810" s="9">
        <v>46082</v>
      </c>
      <c r="B1810">
        <v>6</v>
      </c>
      <c r="C1810" s="16" t="s">
        <v>61</v>
      </c>
      <c r="D1810">
        <v>18</v>
      </c>
      <c r="E1810" s="16" t="s">
        <v>55</v>
      </c>
      <c r="F1810" s="18">
        <v>2000</v>
      </c>
      <c r="G1810" s="22">
        <v>80</v>
      </c>
      <c r="H1810" s="18">
        <v>6.2696502274090902</v>
      </c>
      <c r="I1810" s="18">
        <v>501.572018192727</v>
      </c>
      <c r="J1810" s="18">
        <v>1498.42798180727</v>
      </c>
      <c r="K1810" s="22">
        <v>0</v>
      </c>
      <c r="L1810" s="22" t="str">
        <f t="shared" si="28"/>
        <v>46082, 6, 18</v>
      </c>
    </row>
    <row r="1811" spans="1:12">
      <c r="A1811" s="9">
        <v>46113</v>
      </c>
      <c r="B1811">
        <v>6</v>
      </c>
      <c r="C1811" s="16" t="s">
        <v>61</v>
      </c>
      <c r="D1811">
        <v>1</v>
      </c>
      <c r="E1811" s="16" t="s">
        <v>38</v>
      </c>
      <c r="F1811" s="18">
        <v>4876</v>
      </c>
      <c r="G1811" s="22">
        <v>212</v>
      </c>
      <c r="H1811" s="18">
        <v>4.5844595555555498</v>
      </c>
      <c r="I1811" s="18">
        <v>971.90542577777705</v>
      </c>
      <c r="J1811" s="18">
        <v>3904.0945742222202</v>
      </c>
      <c r="K1811" s="22">
        <v>0</v>
      </c>
      <c r="L1811" s="22" t="str">
        <f t="shared" si="28"/>
        <v>46113, 6, 1</v>
      </c>
    </row>
    <row r="1812" spans="1:12">
      <c r="A1812" s="9">
        <v>46113</v>
      </c>
      <c r="B1812">
        <v>6</v>
      </c>
      <c r="C1812" s="16" t="s">
        <v>61</v>
      </c>
      <c r="D1812">
        <v>2</v>
      </c>
      <c r="E1812" s="16" t="s">
        <v>40</v>
      </c>
      <c r="F1812" s="18">
        <v>5941.5</v>
      </c>
      <c r="G1812" s="22">
        <v>233</v>
      </c>
      <c r="H1812" s="18">
        <v>7.9033704487777703</v>
      </c>
      <c r="I1812" s="18">
        <v>1841.4853145652201</v>
      </c>
      <c r="J1812" s="18">
        <v>4100.0146854347704</v>
      </c>
      <c r="K1812" s="22">
        <v>0</v>
      </c>
      <c r="L1812" s="22" t="str">
        <f t="shared" si="28"/>
        <v>46113, 6, 2</v>
      </c>
    </row>
    <row r="1813" spans="1:12">
      <c r="A1813" s="9">
        <v>46113</v>
      </c>
      <c r="B1813">
        <v>6</v>
      </c>
      <c r="C1813" s="16" t="s">
        <v>61</v>
      </c>
      <c r="D1813">
        <v>3</v>
      </c>
      <c r="E1813" s="16" t="s">
        <v>41</v>
      </c>
      <c r="F1813" s="18">
        <v>3915</v>
      </c>
      <c r="G1813" s="22">
        <v>145</v>
      </c>
      <c r="H1813" s="18">
        <v>3.6925150937777702</v>
      </c>
      <c r="I1813" s="18">
        <v>535.41468859777694</v>
      </c>
      <c r="J1813" s="18">
        <v>3379.5853114022202</v>
      </c>
      <c r="K1813" s="22">
        <v>0</v>
      </c>
      <c r="L1813" s="22" t="str">
        <f t="shared" si="28"/>
        <v>46113, 6, 3</v>
      </c>
    </row>
    <row r="1814" spans="1:12">
      <c r="A1814" s="9">
        <v>46113</v>
      </c>
      <c r="B1814">
        <v>6</v>
      </c>
      <c r="C1814" s="16" t="s">
        <v>61</v>
      </c>
      <c r="D1814">
        <v>4</v>
      </c>
      <c r="E1814" s="16" t="s">
        <v>42</v>
      </c>
      <c r="F1814" s="18">
        <v>3058</v>
      </c>
      <c r="G1814" s="22">
        <v>139</v>
      </c>
      <c r="H1814" s="18">
        <v>8.0044251610000003</v>
      </c>
      <c r="I1814" s="18">
        <v>1112.615097379</v>
      </c>
      <c r="J1814" s="18">
        <v>1945.384902621</v>
      </c>
      <c r="K1814" s="22">
        <v>0</v>
      </c>
      <c r="L1814" s="22" t="str">
        <f t="shared" si="28"/>
        <v>46113, 6, 4</v>
      </c>
    </row>
    <row r="1815" spans="1:12">
      <c r="A1815" s="9">
        <v>46113</v>
      </c>
      <c r="B1815">
        <v>6</v>
      </c>
      <c r="C1815" s="16" t="s">
        <v>61</v>
      </c>
      <c r="D1815">
        <v>5</v>
      </c>
      <c r="E1815" s="16" t="s">
        <v>43</v>
      </c>
      <c r="F1815" s="18">
        <v>2288</v>
      </c>
      <c r="G1815" s="22">
        <v>104</v>
      </c>
      <c r="H1815" s="18">
        <v>6.9991319444444402</v>
      </c>
      <c r="I1815" s="18">
        <v>727.90972222222194</v>
      </c>
      <c r="J1815" s="18">
        <v>1560.0902777777701</v>
      </c>
      <c r="K1815" s="22">
        <v>0</v>
      </c>
      <c r="L1815" s="22" t="str">
        <f t="shared" si="28"/>
        <v>46113, 6, 5</v>
      </c>
    </row>
    <row r="1816" spans="1:12">
      <c r="A1816" s="9">
        <v>46113</v>
      </c>
      <c r="B1816">
        <v>6</v>
      </c>
      <c r="C1816" s="16" t="s">
        <v>61</v>
      </c>
      <c r="D1816">
        <v>6</v>
      </c>
      <c r="E1816" s="16" t="s">
        <v>44</v>
      </c>
      <c r="F1816" s="18">
        <v>4128</v>
      </c>
      <c r="G1816" s="22">
        <v>172</v>
      </c>
      <c r="H1816" s="18">
        <v>5.58973372377777</v>
      </c>
      <c r="I1816" s="18">
        <v>961.43420048977703</v>
      </c>
      <c r="J1816" s="18">
        <v>3166.5657995102201</v>
      </c>
      <c r="K1816" s="22">
        <v>0</v>
      </c>
      <c r="L1816" s="22" t="str">
        <f t="shared" si="28"/>
        <v>46113, 6, 6</v>
      </c>
    </row>
    <row r="1817" spans="1:12">
      <c r="A1817" s="9">
        <v>46113</v>
      </c>
      <c r="B1817">
        <v>6</v>
      </c>
      <c r="C1817" s="16" t="s">
        <v>61</v>
      </c>
      <c r="D1817">
        <v>7</v>
      </c>
      <c r="E1817" s="16" t="s">
        <v>45</v>
      </c>
      <c r="F1817" s="18">
        <v>2145</v>
      </c>
      <c r="G1817" s="22">
        <v>195</v>
      </c>
      <c r="H1817" s="18">
        <v>3.2214864569736799</v>
      </c>
      <c r="I1817" s="18">
        <v>628.18985910986805</v>
      </c>
      <c r="J1817" s="18">
        <v>1516.81014089013</v>
      </c>
      <c r="K1817" s="22">
        <v>0</v>
      </c>
      <c r="L1817" s="22" t="str">
        <f t="shared" si="28"/>
        <v>46113, 6, 7</v>
      </c>
    </row>
    <row r="1818" spans="1:12">
      <c r="A1818" s="9">
        <v>46113</v>
      </c>
      <c r="B1818">
        <v>6</v>
      </c>
      <c r="C1818" s="16" t="s">
        <v>61</v>
      </c>
      <c r="D1818">
        <v>8</v>
      </c>
      <c r="E1818" s="16" t="s">
        <v>46</v>
      </c>
      <c r="F1818" s="18">
        <v>1248</v>
      </c>
      <c r="G1818" s="22">
        <v>96</v>
      </c>
      <c r="H1818" s="18">
        <v>0.75391110176470499</v>
      </c>
      <c r="I1818" s="18">
        <v>72.375465769411704</v>
      </c>
      <c r="J1818" s="18">
        <v>1175.6245342305799</v>
      </c>
      <c r="K1818" s="22">
        <v>0</v>
      </c>
      <c r="L1818" s="22" t="str">
        <f t="shared" si="28"/>
        <v>46113, 6, 8</v>
      </c>
    </row>
    <row r="1819" spans="1:12">
      <c r="A1819" s="9">
        <v>46113</v>
      </c>
      <c r="B1819">
        <v>6</v>
      </c>
      <c r="C1819" s="16" t="s">
        <v>61</v>
      </c>
      <c r="D1819">
        <v>9</v>
      </c>
      <c r="E1819" s="16" t="s">
        <v>47</v>
      </c>
      <c r="F1819" s="18">
        <v>3952</v>
      </c>
      <c r="G1819" s="22">
        <v>76</v>
      </c>
      <c r="H1819" s="18">
        <v>19.524094957621699</v>
      </c>
      <c r="I1819" s="18">
        <v>1483.8312167792501</v>
      </c>
      <c r="J1819" s="18">
        <v>2468.1687832207399</v>
      </c>
      <c r="K1819" s="22">
        <v>0</v>
      </c>
      <c r="L1819" s="22" t="str">
        <f t="shared" si="28"/>
        <v>46113, 6, 9</v>
      </c>
    </row>
    <row r="1820" spans="1:12">
      <c r="A1820" s="9">
        <v>46113</v>
      </c>
      <c r="B1820">
        <v>6</v>
      </c>
      <c r="C1820" s="16" t="s">
        <v>61</v>
      </c>
      <c r="D1820">
        <v>10</v>
      </c>
      <c r="E1820" s="16" t="s">
        <v>57</v>
      </c>
      <c r="F1820" s="18">
        <v>1305</v>
      </c>
      <c r="G1820" s="22">
        <v>87</v>
      </c>
      <c r="H1820" s="18">
        <v>2.0628999315272698</v>
      </c>
      <c r="I1820" s="18">
        <v>179.47229404287199</v>
      </c>
      <c r="J1820" s="18">
        <v>1125.5277059571199</v>
      </c>
      <c r="K1820" s="22">
        <v>0</v>
      </c>
      <c r="L1820" s="22" t="str">
        <f t="shared" si="28"/>
        <v>46113, 6, 10</v>
      </c>
    </row>
    <row r="1821" spans="1:12">
      <c r="A1821" s="9">
        <v>46113</v>
      </c>
      <c r="B1821">
        <v>6</v>
      </c>
      <c r="C1821" s="16" t="s">
        <v>61</v>
      </c>
      <c r="D1821">
        <v>11</v>
      </c>
      <c r="E1821" s="16" t="s">
        <v>48</v>
      </c>
      <c r="F1821" s="18">
        <v>4004</v>
      </c>
      <c r="G1821" s="22">
        <v>182</v>
      </c>
      <c r="H1821" s="18">
        <v>2.157909390625</v>
      </c>
      <c r="I1821" s="18">
        <v>392.73950909374997</v>
      </c>
      <c r="J1821" s="18">
        <v>3611.2604909062502</v>
      </c>
      <c r="K1821" s="22">
        <v>0</v>
      </c>
      <c r="L1821" s="22" t="str">
        <f t="shared" si="28"/>
        <v>46113, 6, 11</v>
      </c>
    </row>
    <row r="1822" spans="1:12">
      <c r="A1822" s="9">
        <v>46113</v>
      </c>
      <c r="B1822">
        <v>6</v>
      </c>
      <c r="C1822" s="16" t="s">
        <v>61</v>
      </c>
      <c r="D1822">
        <v>12</v>
      </c>
      <c r="E1822" s="16" t="s">
        <v>49</v>
      </c>
      <c r="F1822" s="18">
        <v>2898</v>
      </c>
      <c r="G1822" s="22">
        <v>126</v>
      </c>
      <c r="H1822" s="18">
        <v>2.8218421313611102</v>
      </c>
      <c r="I1822" s="18">
        <v>355.55210855149897</v>
      </c>
      <c r="J1822" s="18">
        <v>2542.4478914484998</v>
      </c>
      <c r="K1822" s="22">
        <v>0</v>
      </c>
      <c r="L1822" s="22" t="str">
        <f t="shared" si="28"/>
        <v>46113, 6, 12</v>
      </c>
    </row>
    <row r="1823" spans="1:12">
      <c r="A1823" s="9">
        <v>46113</v>
      </c>
      <c r="B1823">
        <v>6</v>
      </c>
      <c r="C1823" s="16" t="s">
        <v>61</v>
      </c>
      <c r="D1823">
        <v>13</v>
      </c>
      <c r="E1823" s="16" t="s">
        <v>50</v>
      </c>
      <c r="F1823" s="18">
        <v>3912</v>
      </c>
      <c r="G1823" s="22">
        <v>163</v>
      </c>
      <c r="H1823" s="18">
        <v>7.7090768888888803</v>
      </c>
      <c r="I1823" s="18">
        <v>1256.5795328888801</v>
      </c>
      <c r="J1823" s="18">
        <v>2655.4204671111102</v>
      </c>
      <c r="K1823" s="22">
        <v>0</v>
      </c>
      <c r="L1823" s="22" t="str">
        <f t="shared" si="28"/>
        <v>46113, 6, 13</v>
      </c>
    </row>
    <row r="1824" spans="1:12">
      <c r="A1824" s="9">
        <v>46113</v>
      </c>
      <c r="B1824">
        <v>6</v>
      </c>
      <c r="C1824" s="16" t="s">
        <v>61</v>
      </c>
      <c r="D1824">
        <v>14</v>
      </c>
      <c r="E1824" s="16" t="s">
        <v>51</v>
      </c>
      <c r="F1824" s="18">
        <v>1209.5</v>
      </c>
      <c r="G1824" s="22">
        <v>41</v>
      </c>
      <c r="H1824" s="18">
        <v>5.0259300937500004</v>
      </c>
      <c r="I1824" s="18">
        <v>206.06313384374999</v>
      </c>
      <c r="J1824" s="18">
        <v>1003.4368661562499</v>
      </c>
      <c r="K1824" s="22">
        <v>0</v>
      </c>
      <c r="L1824" s="22" t="str">
        <f t="shared" si="28"/>
        <v>46113, 6, 14</v>
      </c>
    </row>
    <row r="1825" spans="1:12">
      <c r="A1825" s="9">
        <v>46113</v>
      </c>
      <c r="B1825">
        <v>6</v>
      </c>
      <c r="C1825" s="16" t="s">
        <v>61</v>
      </c>
      <c r="D1825">
        <v>15</v>
      </c>
      <c r="E1825" s="16" t="s">
        <v>52</v>
      </c>
      <c r="F1825" s="18">
        <v>3646.5</v>
      </c>
      <c r="G1825" s="22">
        <v>143</v>
      </c>
      <c r="H1825" s="18">
        <v>2.9751678025714199</v>
      </c>
      <c r="I1825" s="18">
        <v>425.448995767714</v>
      </c>
      <c r="J1825" s="18">
        <v>3221.0510042322799</v>
      </c>
      <c r="K1825" s="22">
        <v>0</v>
      </c>
      <c r="L1825" s="22" t="str">
        <f t="shared" si="28"/>
        <v>46113, 6, 15</v>
      </c>
    </row>
    <row r="1826" spans="1:12">
      <c r="A1826" s="9">
        <v>46113</v>
      </c>
      <c r="B1826">
        <v>6</v>
      </c>
      <c r="C1826" s="16" t="s">
        <v>61</v>
      </c>
      <c r="D1826">
        <v>16</v>
      </c>
      <c r="E1826" s="16" t="s">
        <v>53</v>
      </c>
      <c r="F1826" s="18">
        <v>1098</v>
      </c>
      <c r="G1826" s="22">
        <v>122</v>
      </c>
      <c r="H1826" s="18">
        <v>1.7029407781547601</v>
      </c>
      <c r="I1826" s="18">
        <v>207.75877493487999</v>
      </c>
      <c r="J1826" s="18">
        <v>890.24122506511901</v>
      </c>
      <c r="K1826" s="22">
        <v>0</v>
      </c>
      <c r="L1826" s="22" t="str">
        <f t="shared" si="28"/>
        <v>46113, 6, 16</v>
      </c>
    </row>
    <row r="1827" spans="1:12">
      <c r="A1827" s="9">
        <v>46113</v>
      </c>
      <c r="B1827">
        <v>6</v>
      </c>
      <c r="C1827" s="16" t="s">
        <v>61</v>
      </c>
      <c r="D1827">
        <v>17</v>
      </c>
      <c r="E1827" s="16" t="s">
        <v>54</v>
      </c>
      <c r="F1827" s="18">
        <v>1436.5</v>
      </c>
      <c r="G1827" s="22">
        <v>169</v>
      </c>
      <c r="H1827" s="18">
        <v>1.5456901597222199</v>
      </c>
      <c r="I1827" s="18">
        <v>261.22163699305497</v>
      </c>
      <c r="J1827" s="18">
        <v>1175.27836300694</v>
      </c>
      <c r="K1827" s="22">
        <v>0</v>
      </c>
      <c r="L1827" s="22" t="str">
        <f t="shared" si="28"/>
        <v>46113, 6, 17</v>
      </c>
    </row>
    <row r="1828" spans="1:12">
      <c r="A1828" s="9">
        <v>46113</v>
      </c>
      <c r="B1828">
        <v>6</v>
      </c>
      <c r="C1828" s="16" t="s">
        <v>61</v>
      </c>
      <c r="D1828">
        <v>18</v>
      </c>
      <c r="E1828" s="16" t="s">
        <v>55</v>
      </c>
      <c r="F1828" s="18">
        <v>2700</v>
      </c>
      <c r="G1828" s="22">
        <v>108</v>
      </c>
      <c r="H1828" s="18">
        <v>6.2762086162386304</v>
      </c>
      <c r="I1828" s="18">
        <v>677.83053055377195</v>
      </c>
      <c r="J1828" s="18">
        <v>2022.1694694462201</v>
      </c>
      <c r="K1828" s="22">
        <v>0</v>
      </c>
      <c r="L1828" s="22" t="str">
        <f t="shared" si="28"/>
        <v>46113, 6, 18</v>
      </c>
    </row>
    <row r="1829" spans="1:12">
      <c r="A1829" s="9">
        <v>46143</v>
      </c>
      <c r="B1829">
        <v>6</v>
      </c>
      <c r="C1829" s="16" t="s">
        <v>61</v>
      </c>
      <c r="D1829">
        <v>1</v>
      </c>
      <c r="E1829" s="16" t="s">
        <v>38</v>
      </c>
      <c r="F1829" s="18">
        <v>6256</v>
      </c>
      <c r="G1829" s="22">
        <v>272</v>
      </c>
      <c r="H1829" s="18">
        <v>4.5984069117647</v>
      </c>
      <c r="I1829" s="18">
        <v>1250.76668</v>
      </c>
      <c r="J1829" s="18">
        <v>5005.2333199999903</v>
      </c>
      <c r="K1829" s="22">
        <v>0</v>
      </c>
      <c r="L1829" s="22" t="str">
        <f t="shared" si="28"/>
        <v>46143, 6, 1</v>
      </c>
    </row>
    <row r="1830" spans="1:12">
      <c r="A1830" s="9">
        <v>46143</v>
      </c>
      <c r="B1830">
        <v>6</v>
      </c>
      <c r="C1830" s="16" t="s">
        <v>61</v>
      </c>
      <c r="D1830">
        <v>2</v>
      </c>
      <c r="E1830" s="16" t="s">
        <v>40</v>
      </c>
      <c r="F1830" s="18">
        <v>7038</v>
      </c>
      <c r="G1830" s="22">
        <v>276</v>
      </c>
      <c r="H1830" s="18">
        <v>7.9146712948235196</v>
      </c>
      <c r="I1830" s="18">
        <v>2184.44927737129</v>
      </c>
      <c r="J1830" s="18">
        <v>4853.5507226287</v>
      </c>
      <c r="K1830" s="22">
        <v>0</v>
      </c>
      <c r="L1830" s="22" t="str">
        <f t="shared" si="28"/>
        <v>46143, 6, 2</v>
      </c>
    </row>
    <row r="1831" spans="1:12">
      <c r="A1831" s="9">
        <v>46143</v>
      </c>
      <c r="B1831">
        <v>6</v>
      </c>
      <c r="C1831" s="16" t="s">
        <v>61</v>
      </c>
      <c r="D1831">
        <v>3</v>
      </c>
      <c r="E1831" s="16" t="s">
        <v>41</v>
      </c>
      <c r="F1831" s="18">
        <v>3564</v>
      </c>
      <c r="G1831" s="22">
        <v>132</v>
      </c>
      <c r="H1831" s="18">
        <v>3.6785409478823499</v>
      </c>
      <c r="I1831" s="18">
        <v>485.56740512047003</v>
      </c>
      <c r="J1831" s="18">
        <v>3078.4325948795199</v>
      </c>
      <c r="K1831" s="22">
        <v>0</v>
      </c>
      <c r="L1831" s="22" t="str">
        <f t="shared" si="28"/>
        <v>46143, 6, 3</v>
      </c>
    </row>
    <row r="1832" spans="1:12">
      <c r="A1832" s="9">
        <v>46143</v>
      </c>
      <c r="B1832">
        <v>6</v>
      </c>
      <c r="C1832" s="16" t="s">
        <v>61</v>
      </c>
      <c r="D1832">
        <v>4</v>
      </c>
      <c r="E1832" s="16" t="s">
        <v>42</v>
      </c>
      <c r="F1832" s="18">
        <v>3322</v>
      </c>
      <c r="G1832" s="22">
        <v>151</v>
      </c>
      <c r="H1832" s="18">
        <v>7.9003601254117601</v>
      </c>
      <c r="I1832" s="18">
        <v>1192.9543789371701</v>
      </c>
      <c r="J1832" s="18">
        <v>2129.0456210628199</v>
      </c>
      <c r="K1832" s="22">
        <v>0</v>
      </c>
      <c r="L1832" s="22" t="str">
        <f t="shared" si="28"/>
        <v>46143, 6, 4</v>
      </c>
    </row>
    <row r="1833" spans="1:12">
      <c r="A1833" s="9">
        <v>46143</v>
      </c>
      <c r="B1833">
        <v>6</v>
      </c>
      <c r="C1833" s="16" t="s">
        <v>61</v>
      </c>
      <c r="D1833">
        <v>5</v>
      </c>
      <c r="E1833" s="16" t="s">
        <v>43</v>
      </c>
      <c r="F1833" s="18">
        <v>2310</v>
      </c>
      <c r="G1833" s="22">
        <v>105</v>
      </c>
      <c r="H1833" s="18">
        <v>6.7255147058823503</v>
      </c>
      <c r="I1833" s="18">
        <v>706.17904411764698</v>
      </c>
      <c r="J1833" s="18">
        <v>1603.8209558823501</v>
      </c>
      <c r="K1833" s="22">
        <v>0</v>
      </c>
      <c r="L1833" s="22" t="str">
        <f t="shared" si="28"/>
        <v>46143, 6, 5</v>
      </c>
    </row>
    <row r="1834" spans="1:12">
      <c r="A1834" s="9">
        <v>46143</v>
      </c>
      <c r="B1834">
        <v>6</v>
      </c>
      <c r="C1834" s="16" t="s">
        <v>61</v>
      </c>
      <c r="D1834">
        <v>6</v>
      </c>
      <c r="E1834" s="16" t="s">
        <v>44</v>
      </c>
      <c r="F1834" s="18">
        <v>4008</v>
      </c>
      <c r="G1834" s="22">
        <v>167</v>
      </c>
      <c r="H1834" s="18">
        <v>5.5637668484705802</v>
      </c>
      <c r="I1834" s="18">
        <v>929.14906369458799</v>
      </c>
      <c r="J1834" s="18">
        <v>3078.85093630541</v>
      </c>
      <c r="K1834" s="22">
        <v>0</v>
      </c>
      <c r="L1834" s="22" t="str">
        <f t="shared" si="28"/>
        <v>46143, 6, 6</v>
      </c>
    </row>
    <row r="1835" spans="1:12">
      <c r="A1835" s="9">
        <v>46143</v>
      </c>
      <c r="B1835">
        <v>6</v>
      </c>
      <c r="C1835" s="16" t="s">
        <v>61</v>
      </c>
      <c r="D1835">
        <v>7</v>
      </c>
      <c r="E1835" s="16" t="s">
        <v>45</v>
      </c>
      <c r="F1835" s="18">
        <v>2189</v>
      </c>
      <c r="G1835" s="22">
        <v>199</v>
      </c>
      <c r="H1835" s="18">
        <v>3.23495306444444</v>
      </c>
      <c r="I1835" s="18">
        <v>643.75565982444402</v>
      </c>
      <c r="J1835" s="18">
        <v>1545.24434017555</v>
      </c>
      <c r="K1835" s="22">
        <v>0</v>
      </c>
      <c r="L1835" s="22" t="str">
        <f t="shared" si="28"/>
        <v>46143, 6, 7</v>
      </c>
    </row>
    <row r="1836" spans="1:12">
      <c r="A1836" s="9">
        <v>46143</v>
      </c>
      <c r="B1836">
        <v>6</v>
      </c>
      <c r="C1836" s="16" t="s">
        <v>61</v>
      </c>
      <c r="D1836">
        <v>8</v>
      </c>
      <c r="E1836" s="16" t="s">
        <v>46</v>
      </c>
      <c r="F1836" s="18">
        <v>1183</v>
      </c>
      <c r="G1836" s="22">
        <v>91</v>
      </c>
      <c r="H1836" s="18">
        <v>0.74972955666666596</v>
      </c>
      <c r="I1836" s="18">
        <v>68.225389656666593</v>
      </c>
      <c r="J1836" s="18">
        <v>1114.7746103433301</v>
      </c>
      <c r="K1836" s="22">
        <v>0</v>
      </c>
      <c r="L1836" s="22" t="str">
        <f t="shared" si="28"/>
        <v>46143, 6, 8</v>
      </c>
    </row>
    <row r="1837" spans="1:12">
      <c r="A1837" s="9">
        <v>46143</v>
      </c>
      <c r="B1837">
        <v>6</v>
      </c>
      <c r="C1837" s="16" t="s">
        <v>61</v>
      </c>
      <c r="D1837">
        <v>9</v>
      </c>
      <c r="E1837" s="16" t="s">
        <v>47</v>
      </c>
      <c r="F1837" s="18">
        <v>3276</v>
      </c>
      <c r="G1837" s="22">
        <v>63</v>
      </c>
      <c r="H1837" s="18">
        <v>19.546627028084501</v>
      </c>
      <c r="I1837" s="18">
        <v>1231.43750276932</v>
      </c>
      <c r="J1837" s="18">
        <v>2044.56249723067</v>
      </c>
      <c r="K1837" s="22">
        <v>0</v>
      </c>
      <c r="L1837" s="22" t="str">
        <f t="shared" si="28"/>
        <v>46143, 6, 9</v>
      </c>
    </row>
    <row r="1838" spans="1:12">
      <c r="A1838" s="9">
        <v>46143</v>
      </c>
      <c r="B1838">
        <v>6</v>
      </c>
      <c r="C1838" s="16" t="s">
        <v>61</v>
      </c>
      <c r="D1838">
        <v>10</v>
      </c>
      <c r="E1838" s="16" t="s">
        <v>57</v>
      </c>
      <c r="F1838" s="18">
        <v>1380</v>
      </c>
      <c r="G1838" s="22">
        <v>92</v>
      </c>
      <c r="H1838" s="18">
        <v>1.9507852376380901</v>
      </c>
      <c r="I1838" s="18">
        <v>179.47224186270401</v>
      </c>
      <c r="J1838" s="18">
        <v>1200.52775813729</v>
      </c>
      <c r="K1838" s="22">
        <v>0</v>
      </c>
      <c r="L1838" s="22" t="str">
        <f t="shared" si="28"/>
        <v>46143, 6, 10</v>
      </c>
    </row>
    <row r="1839" spans="1:12">
      <c r="A1839" s="9">
        <v>46143</v>
      </c>
      <c r="B1839">
        <v>6</v>
      </c>
      <c r="C1839" s="16" t="s">
        <v>61</v>
      </c>
      <c r="D1839">
        <v>11</v>
      </c>
      <c r="E1839" s="16" t="s">
        <v>48</v>
      </c>
      <c r="F1839" s="18">
        <v>5038</v>
      </c>
      <c r="G1839" s="22">
        <v>229</v>
      </c>
      <c r="H1839" s="18">
        <v>2.16804685416666</v>
      </c>
      <c r="I1839" s="18">
        <v>496.48272960416602</v>
      </c>
      <c r="J1839" s="18">
        <v>4541.5172703958297</v>
      </c>
      <c r="K1839" s="22">
        <v>0</v>
      </c>
      <c r="L1839" s="22" t="str">
        <f t="shared" si="28"/>
        <v>46143, 6, 11</v>
      </c>
    </row>
    <row r="1840" spans="1:12">
      <c r="A1840" s="9">
        <v>46143</v>
      </c>
      <c r="B1840">
        <v>6</v>
      </c>
      <c r="C1840" s="16" t="s">
        <v>61</v>
      </c>
      <c r="D1840">
        <v>12</v>
      </c>
      <c r="E1840" s="16" t="s">
        <v>49</v>
      </c>
      <c r="F1840" s="18">
        <v>4140</v>
      </c>
      <c r="G1840" s="22">
        <v>180</v>
      </c>
      <c r="H1840" s="18">
        <v>2.8192848922941098</v>
      </c>
      <c r="I1840" s="18">
        <v>507.47128061294097</v>
      </c>
      <c r="J1840" s="18">
        <v>3632.5287193870499</v>
      </c>
      <c r="K1840" s="22">
        <v>0</v>
      </c>
      <c r="L1840" s="22" t="str">
        <f t="shared" si="28"/>
        <v>46143, 6, 12</v>
      </c>
    </row>
    <row r="1841" spans="1:12">
      <c r="A1841" s="9">
        <v>46143</v>
      </c>
      <c r="B1841">
        <v>6</v>
      </c>
      <c r="C1841" s="16" t="s">
        <v>61</v>
      </c>
      <c r="D1841">
        <v>13</v>
      </c>
      <c r="E1841" s="16" t="s">
        <v>50</v>
      </c>
      <c r="F1841" s="18">
        <v>4296</v>
      </c>
      <c r="G1841" s="22">
        <v>179</v>
      </c>
      <c r="H1841" s="18">
        <v>7.7153538749999999</v>
      </c>
      <c r="I1841" s="18">
        <v>1381.0483436249999</v>
      </c>
      <c r="J1841" s="18">
        <v>2914.9516563749999</v>
      </c>
      <c r="K1841" s="22">
        <v>0</v>
      </c>
      <c r="L1841" s="22" t="str">
        <f t="shared" si="28"/>
        <v>46143, 6, 13</v>
      </c>
    </row>
    <row r="1842" spans="1:12">
      <c r="A1842" s="9">
        <v>46143</v>
      </c>
      <c r="B1842">
        <v>6</v>
      </c>
      <c r="C1842" s="16" t="s">
        <v>61</v>
      </c>
      <c r="D1842">
        <v>14</v>
      </c>
      <c r="E1842" s="16" t="s">
        <v>51</v>
      </c>
      <c r="F1842" s="18">
        <v>1298</v>
      </c>
      <c r="G1842" s="22">
        <v>44</v>
      </c>
      <c r="H1842" s="18">
        <v>5.0253798987142799</v>
      </c>
      <c r="I1842" s="18">
        <v>221.116715543428</v>
      </c>
      <c r="J1842" s="18">
        <v>1076.88328445657</v>
      </c>
      <c r="K1842" s="22">
        <v>0</v>
      </c>
      <c r="L1842" s="22" t="str">
        <f t="shared" si="28"/>
        <v>46143, 6, 14</v>
      </c>
    </row>
    <row r="1843" spans="1:12">
      <c r="A1843" s="9">
        <v>46143</v>
      </c>
      <c r="B1843">
        <v>6</v>
      </c>
      <c r="C1843" s="16" t="s">
        <v>61</v>
      </c>
      <c r="D1843">
        <v>15</v>
      </c>
      <c r="E1843" s="16" t="s">
        <v>52</v>
      </c>
      <c r="F1843" s="18">
        <v>3774</v>
      </c>
      <c r="G1843" s="22">
        <v>148</v>
      </c>
      <c r="H1843" s="18">
        <v>2.93758986842857</v>
      </c>
      <c r="I1843" s="18">
        <v>434.76330052742799</v>
      </c>
      <c r="J1843" s="18">
        <v>3339.2366994725699</v>
      </c>
      <c r="K1843" s="22">
        <v>0</v>
      </c>
      <c r="L1843" s="22" t="str">
        <f t="shared" si="28"/>
        <v>46143, 6, 15</v>
      </c>
    </row>
    <row r="1844" spans="1:12">
      <c r="A1844" s="9">
        <v>46143</v>
      </c>
      <c r="B1844">
        <v>6</v>
      </c>
      <c r="C1844" s="16" t="s">
        <v>61</v>
      </c>
      <c r="D1844">
        <v>16</v>
      </c>
      <c r="E1844" s="16" t="s">
        <v>53</v>
      </c>
      <c r="F1844" s="18">
        <v>1296</v>
      </c>
      <c r="G1844" s="22">
        <v>144</v>
      </c>
      <c r="H1844" s="18">
        <v>1.71129841013888</v>
      </c>
      <c r="I1844" s="18">
        <v>246.426971059999</v>
      </c>
      <c r="J1844" s="18">
        <v>1049.5730289400001</v>
      </c>
      <c r="K1844" s="22">
        <v>0</v>
      </c>
      <c r="L1844" s="22" t="str">
        <f t="shared" si="28"/>
        <v>46143, 6, 16</v>
      </c>
    </row>
    <row r="1845" spans="1:12">
      <c r="A1845" s="9">
        <v>46143</v>
      </c>
      <c r="B1845">
        <v>6</v>
      </c>
      <c r="C1845" s="16" t="s">
        <v>61</v>
      </c>
      <c r="D1845">
        <v>17</v>
      </c>
      <c r="E1845" s="16" t="s">
        <v>54</v>
      </c>
      <c r="F1845" s="18">
        <v>1725.5</v>
      </c>
      <c r="G1845" s="22">
        <v>203</v>
      </c>
      <c r="H1845" s="18">
        <v>1.5537433732352901</v>
      </c>
      <c r="I1845" s="18">
        <v>315.40990476676399</v>
      </c>
      <c r="J1845" s="18">
        <v>1410.0900952332299</v>
      </c>
      <c r="K1845" s="22">
        <v>0</v>
      </c>
      <c r="L1845" s="22" t="str">
        <f t="shared" si="28"/>
        <v>46143, 6, 17</v>
      </c>
    </row>
    <row r="1846" spans="1:12">
      <c r="A1846" s="9">
        <v>46143</v>
      </c>
      <c r="B1846">
        <v>6</v>
      </c>
      <c r="C1846" s="16" t="s">
        <v>61</v>
      </c>
      <c r="D1846">
        <v>18</v>
      </c>
      <c r="E1846" s="16" t="s">
        <v>55</v>
      </c>
      <c r="F1846" s="18">
        <v>3450</v>
      </c>
      <c r="G1846" s="22">
        <v>138</v>
      </c>
      <c r="H1846" s="18">
        <v>6.2865464011666603</v>
      </c>
      <c r="I1846" s="18">
        <v>867.54340336099995</v>
      </c>
      <c r="J1846" s="18">
        <v>2582.45659663899</v>
      </c>
      <c r="K1846" s="22">
        <v>0</v>
      </c>
      <c r="L1846" s="22" t="str">
        <f t="shared" si="28"/>
        <v>46143, 6, 18</v>
      </c>
    </row>
    <row r="1847" spans="1:12">
      <c r="A1847" s="9">
        <v>46174</v>
      </c>
      <c r="B1847">
        <v>6</v>
      </c>
      <c r="C1847" s="16" t="s">
        <v>61</v>
      </c>
      <c r="D1847">
        <v>1</v>
      </c>
      <c r="E1847" s="16" t="s">
        <v>38</v>
      </c>
      <c r="F1847" s="18">
        <v>5106</v>
      </c>
      <c r="G1847" s="22">
        <v>222</v>
      </c>
      <c r="H1847" s="18">
        <v>4.5906724852941103</v>
      </c>
      <c r="I1847" s="18">
        <v>1019.1292917352901</v>
      </c>
      <c r="J1847" s="18">
        <v>4086.8707082647002</v>
      </c>
      <c r="K1847" s="22">
        <v>0</v>
      </c>
      <c r="L1847" s="22" t="str">
        <f t="shared" si="28"/>
        <v>46174, 6, 1</v>
      </c>
    </row>
    <row r="1848" spans="1:12">
      <c r="A1848" s="9">
        <v>46174</v>
      </c>
      <c r="B1848">
        <v>6</v>
      </c>
      <c r="C1848" s="16" t="s">
        <v>61</v>
      </c>
      <c r="D1848">
        <v>2</v>
      </c>
      <c r="E1848" s="16" t="s">
        <v>40</v>
      </c>
      <c r="F1848" s="18">
        <v>5890.5</v>
      </c>
      <c r="G1848" s="22">
        <v>231</v>
      </c>
      <c r="H1848" s="18">
        <v>7.94973453670588</v>
      </c>
      <c r="I1848" s="18">
        <v>1836.38867797905</v>
      </c>
      <c r="J1848" s="18">
        <v>4054.11132202094</v>
      </c>
      <c r="K1848" s="22">
        <v>0</v>
      </c>
      <c r="L1848" s="22" t="str">
        <f t="shared" si="28"/>
        <v>46174, 6, 2</v>
      </c>
    </row>
    <row r="1849" spans="1:12">
      <c r="A1849" s="9">
        <v>46174</v>
      </c>
      <c r="B1849">
        <v>6</v>
      </c>
      <c r="C1849" s="16" t="s">
        <v>61</v>
      </c>
      <c r="D1849">
        <v>3</v>
      </c>
      <c r="E1849" s="16" t="s">
        <v>41</v>
      </c>
      <c r="F1849" s="18">
        <v>2781</v>
      </c>
      <c r="G1849" s="22">
        <v>103</v>
      </c>
      <c r="H1849" s="18">
        <v>3.6699556718823501</v>
      </c>
      <c r="I1849" s="18">
        <v>378.00543420388198</v>
      </c>
      <c r="J1849" s="18">
        <v>2402.9945657961098</v>
      </c>
      <c r="K1849" s="22">
        <v>0</v>
      </c>
      <c r="L1849" s="22" t="str">
        <f t="shared" si="28"/>
        <v>46174, 6, 3</v>
      </c>
    </row>
    <row r="1850" spans="1:12">
      <c r="A1850" s="9">
        <v>46174</v>
      </c>
      <c r="B1850">
        <v>6</v>
      </c>
      <c r="C1850" s="16" t="s">
        <v>61</v>
      </c>
      <c r="D1850">
        <v>4</v>
      </c>
      <c r="E1850" s="16" t="s">
        <v>42</v>
      </c>
      <c r="F1850" s="18">
        <v>2816</v>
      </c>
      <c r="G1850" s="22">
        <v>128</v>
      </c>
      <c r="H1850" s="18">
        <v>7.8309814783529399</v>
      </c>
      <c r="I1850" s="18">
        <v>1002.3656292291701</v>
      </c>
      <c r="J1850" s="18">
        <v>1813.6343707708199</v>
      </c>
      <c r="K1850" s="22">
        <v>0</v>
      </c>
      <c r="L1850" s="22" t="str">
        <f t="shared" si="28"/>
        <v>46174, 6, 4</v>
      </c>
    </row>
    <row r="1851" spans="1:12">
      <c r="A1851" s="9">
        <v>46174</v>
      </c>
      <c r="B1851">
        <v>6</v>
      </c>
      <c r="C1851" s="16" t="s">
        <v>61</v>
      </c>
      <c r="D1851">
        <v>5</v>
      </c>
      <c r="E1851" s="16" t="s">
        <v>43</v>
      </c>
      <c r="F1851" s="18">
        <v>2178</v>
      </c>
      <c r="G1851" s="22">
        <v>99</v>
      </c>
      <c r="H1851" s="18">
        <v>6.6277205882352899</v>
      </c>
      <c r="I1851" s="18">
        <v>656.14433823529396</v>
      </c>
      <c r="J1851" s="18">
        <v>1521.8556617647</v>
      </c>
      <c r="K1851" s="22">
        <v>0</v>
      </c>
      <c r="L1851" s="22" t="str">
        <f t="shared" si="28"/>
        <v>46174, 6, 5</v>
      </c>
    </row>
    <row r="1852" spans="1:12">
      <c r="A1852" s="9">
        <v>46174</v>
      </c>
      <c r="B1852">
        <v>6</v>
      </c>
      <c r="C1852" s="16" t="s">
        <v>61</v>
      </c>
      <c r="D1852">
        <v>6</v>
      </c>
      <c r="E1852" s="16" t="s">
        <v>44</v>
      </c>
      <c r="F1852" s="18">
        <v>3000</v>
      </c>
      <c r="G1852" s="22">
        <v>125</v>
      </c>
      <c r="H1852" s="18">
        <v>5.5806730677646996</v>
      </c>
      <c r="I1852" s="18">
        <v>697.58413347058797</v>
      </c>
      <c r="J1852" s="18">
        <v>2302.4158665294099</v>
      </c>
      <c r="K1852" s="22">
        <v>0</v>
      </c>
      <c r="L1852" s="22" t="str">
        <f t="shared" si="28"/>
        <v>46174, 6, 6</v>
      </c>
    </row>
    <row r="1853" spans="1:12">
      <c r="A1853" s="9">
        <v>46174</v>
      </c>
      <c r="B1853">
        <v>6</v>
      </c>
      <c r="C1853" s="16" t="s">
        <v>61</v>
      </c>
      <c r="D1853">
        <v>7</v>
      </c>
      <c r="E1853" s="16" t="s">
        <v>45</v>
      </c>
      <c r="F1853" s="18">
        <v>1584</v>
      </c>
      <c r="G1853" s="22">
        <v>144</v>
      </c>
      <c r="H1853" s="18">
        <v>3.23956419402777</v>
      </c>
      <c r="I1853" s="18">
        <v>466.49724393999998</v>
      </c>
      <c r="J1853" s="18">
        <v>1117.5027560599899</v>
      </c>
      <c r="K1853" s="22">
        <v>0</v>
      </c>
      <c r="L1853" s="22" t="str">
        <f t="shared" si="28"/>
        <v>46174, 6, 7</v>
      </c>
    </row>
    <row r="1854" spans="1:12">
      <c r="A1854" s="9">
        <v>46174</v>
      </c>
      <c r="B1854">
        <v>6</v>
      </c>
      <c r="C1854" s="16" t="s">
        <v>61</v>
      </c>
      <c r="D1854">
        <v>8</v>
      </c>
      <c r="E1854" s="16" t="s">
        <v>46</v>
      </c>
      <c r="F1854" s="18">
        <v>1183</v>
      </c>
      <c r="G1854" s="22">
        <v>91</v>
      </c>
      <c r="H1854" s="18">
        <v>0.74210831022222201</v>
      </c>
      <c r="I1854" s="18">
        <v>67.531856230222203</v>
      </c>
      <c r="J1854" s="18">
        <v>1115.46814376977</v>
      </c>
      <c r="K1854" s="22">
        <v>0</v>
      </c>
      <c r="L1854" s="22" t="str">
        <f t="shared" si="28"/>
        <v>46174, 6, 8</v>
      </c>
    </row>
    <row r="1855" spans="1:12">
      <c r="A1855" s="9">
        <v>46174</v>
      </c>
      <c r="B1855">
        <v>6</v>
      </c>
      <c r="C1855" s="16" t="s">
        <v>61</v>
      </c>
      <c r="D1855">
        <v>9</v>
      </c>
      <c r="E1855" s="16" t="s">
        <v>47</v>
      </c>
      <c r="F1855" s="18">
        <v>2600</v>
      </c>
      <c r="G1855" s="22">
        <v>50</v>
      </c>
      <c r="H1855" s="18">
        <v>19.601806393505999</v>
      </c>
      <c r="I1855" s="18">
        <v>980.09031967529995</v>
      </c>
      <c r="J1855" s="18">
        <v>1619.9096803247</v>
      </c>
      <c r="K1855" s="22">
        <v>0</v>
      </c>
      <c r="L1855" s="22" t="str">
        <f t="shared" si="28"/>
        <v>46174, 6, 9</v>
      </c>
    </row>
    <row r="1856" spans="1:12">
      <c r="A1856" s="9">
        <v>46174</v>
      </c>
      <c r="B1856">
        <v>6</v>
      </c>
      <c r="C1856" s="16" t="s">
        <v>61</v>
      </c>
      <c r="D1856">
        <v>10</v>
      </c>
      <c r="E1856" s="16" t="s">
        <v>57</v>
      </c>
      <c r="F1856" s="18">
        <v>1215</v>
      </c>
      <c r="G1856" s="22">
        <v>81</v>
      </c>
      <c r="H1856" s="18">
        <v>1.8702787719904701</v>
      </c>
      <c r="I1856" s="18">
        <v>151.49258053122799</v>
      </c>
      <c r="J1856" s="18">
        <v>1063.50741946877</v>
      </c>
      <c r="K1856" s="22">
        <v>0</v>
      </c>
      <c r="L1856" s="22" t="str">
        <f t="shared" si="28"/>
        <v>46174, 6, 10</v>
      </c>
    </row>
    <row r="1857" spans="1:12">
      <c r="A1857" s="9">
        <v>46174</v>
      </c>
      <c r="B1857">
        <v>6</v>
      </c>
      <c r="C1857" s="16" t="s">
        <v>61</v>
      </c>
      <c r="D1857">
        <v>11</v>
      </c>
      <c r="E1857" s="16" t="s">
        <v>48</v>
      </c>
      <c r="F1857" s="18">
        <v>3784</v>
      </c>
      <c r="G1857" s="22">
        <v>172</v>
      </c>
      <c r="H1857" s="18">
        <v>2.16892252083333</v>
      </c>
      <c r="I1857" s="18">
        <v>373.054673583333</v>
      </c>
      <c r="J1857" s="18">
        <v>3410.94532641666</v>
      </c>
      <c r="K1857" s="22">
        <v>0</v>
      </c>
      <c r="L1857" s="22" t="str">
        <f t="shared" si="28"/>
        <v>46174, 6, 11</v>
      </c>
    </row>
    <row r="1858" spans="1:12">
      <c r="A1858" s="9">
        <v>46174</v>
      </c>
      <c r="B1858">
        <v>6</v>
      </c>
      <c r="C1858" s="16" t="s">
        <v>61</v>
      </c>
      <c r="D1858">
        <v>12</v>
      </c>
      <c r="E1858" s="16" t="s">
        <v>49</v>
      </c>
      <c r="F1858" s="18">
        <v>3634</v>
      </c>
      <c r="G1858" s="22">
        <v>158</v>
      </c>
      <c r="H1858" s="18">
        <v>2.77462115441176</v>
      </c>
      <c r="I1858" s="18">
        <v>438.39014239705801</v>
      </c>
      <c r="J1858" s="18">
        <v>3195.6098576029399</v>
      </c>
      <c r="K1858" s="22">
        <v>0</v>
      </c>
      <c r="L1858" s="22" t="str">
        <f t="shared" si="28"/>
        <v>46174, 6, 12</v>
      </c>
    </row>
    <row r="1859" spans="1:12">
      <c r="A1859" s="9">
        <v>46174</v>
      </c>
      <c r="B1859">
        <v>6</v>
      </c>
      <c r="C1859" s="16" t="s">
        <v>61</v>
      </c>
      <c r="D1859">
        <v>13</v>
      </c>
      <c r="E1859" s="16" t="s">
        <v>50</v>
      </c>
      <c r="F1859" s="18">
        <v>3216</v>
      </c>
      <c r="G1859" s="22">
        <v>134</v>
      </c>
      <c r="H1859" s="18">
        <v>7.7430936666666597</v>
      </c>
      <c r="I1859" s="18">
        <v>1037.57455133333</v>
      </c>
      <c r="J1859" s="18">
        <v>2178.42544866666</v>
      </c>
      <c r="K1859" s="22">
        <v>0</v>
      </c>
      <c r="L1859" s="22" t="str">
        <f t="shared" ref="L1859:L1922" si="29">(A1859&amp; ", "&amp; B1859&amp; ", "&amp; D1859)</f>
        <v>46174, 6, 13</v>
      </c>
    </row>
    <row r="1860" spans="1:12">
      <c r="A1860" s="9">
        <v>46174</v>
      </c>
      <c r="B1860">
        <v>6</v>
      </c>
      <c r="C1860" s="16" t="s">
        <v>61</v>
      </c>
      <c r="D1860">
        <v>14</v>
      </c>
      <c r="E1860" s="16" t="s">
        <v>51</v>
      </c>
      <c r="F1860" s="18">
        <v>973.5</v>
      </c>
      <c r="G1860" s="22">
        <v>33</v>
      </c>
      <c r="H1860" s="18">
        <v>5.03530153564102</v>
      </c>
      <c r="I1860" s="18">
        <v>166.16495067615301</v>
      </c>
      <c r="J1860" s="18">
        <v>807.33504932384596</v>
      </c>
      <c r="K1860" s="22">
        <v>0</v>
      </c>
      <c r="L1860" s="22" t="str">
        <f t="shared" si="29"/>
        <v>46174, 6, 14</v>
      </c>
    </row>
    <row r="1861" spans="1:12">
      <c r="A1861" s="9">
        <v>46174</v>
      </c>
      <c r="B1861">
        <v>6</v>
      </c>
      <c r="C1861" s="16" t="s">
        <v>61</v>
      </c>
      <c r="D1861">
        <v>15</v>
      </c>
      <c r="E1861" s="16" t="s">
        <v>52</v>
      </c>
      <c r="F1861" s="18">
        <v>3646.5</v>
      </c>
      <c r="G1861" s="22">
        <v>143</v>
      </c>
      <c r="H1861" s="18">
        <v>2.92711996946153</v>
      </c>
      <c r="I1861" s="18">
        <v>418.57815563299903</v>
      </c>
      <c r="J1861" s="18">
        <v>3227.9218443670002</v>
      </c>
      <c r="K1861" s="22">
        <v>0</v>
      </c>
      <c r="L1861" s="22" t="str">
        <f t="shared" si="29"/>
        <v>46174, 6, 15</v>
      </c>
    </row>
    <row r="1862" spans="1:12">
      <c r="A1862" s="9">
        <v>46174</v>
      </c>
      <c r="B1862">
        <v>6</v>
      </c>
      <c r="C1862" s="16" t="s">
        <v>61</v>
      </c>
      <c r="D1862">
        <v>16</v>
      </c>
      <c r="E1862" s="16" t="s">
        <v>53</v>
      </c>
      <c r="F1862" s="18">
        <v>819</v>
      </c>
      <c r="G1862" s="22">
        <v>91</v>
      </c>
      <c r="H1862" s="18">
        <v>1.7213527099242401</v>
      </c>
      <c r="I1862" s="18">
        <v>156.64309660310599</v>
      </c>
      <c r="J1862" s="18">
        <v>662.35690339689302</v>
      </c>
      <c r="K1862" s="22">
        <v>0</v>
      </c>
      <c r="L1862" s="22" t="str">
        <f t="shared" si="29"/>
        <v>46174, 6, 16</v>
      </c>
    </row>
    <row r="1863" spans="1:12">
      <c r="A1863" s="9">
        <v>46174</v>
      </c>
      <c r="B1863">
        <v>6</v>
      </c>
      <c r="C1863" s="16" t="s">
        <v>61</v>
      </c>
      <c r="D1863">
        <v>17</v>
      </c>
      <c r="E1863" s="16" t="s">
        <v>54</v>
      </c>
      <c r="F1863" s="18">
        <v>1785</v>
      </c>
      <c r="G1863" s="22">
        <v>210</v>
      </c>
      <c r="H1863" s="18">
        <v>1.5633333608823501</v>
      </c>
      <c r="I1863" s="18">
        <v>328.30000578529399</v>
      </c>
      <c r="J1863" s="18">
        <v>1456.6999942146999</v>
      </c>
      <c r="K1863" s="22">
        <v>0</v>
      </c>
      <c r="L1863" s="22" t="str">
        <f t="shared" si="29"/>
        <v>46174, 6, 17</v>
      </c>
    </row>
    <row r="1864" spans="1:12">
      <c r="A1864" s="9">
        <v>46174</v>
      </c>
      <c r="B1864">
        <v>6</v>
      </c>
      <c r="C1864" s="16" t="s">
        <v>61</v>
      </c>
      <c r="D1864">
        <v>18</v>
      </c>
      <c r="E1864" s="16" t="s">
        <v>55</v>
      </c>
      <c r="F1864" s="18">
        <v>3325</v>
      </c>
      <c r="G1864" s="22">
        <v>133</v>
      </c>
      <c r="H1864" s="18">
        <v>6.2807803173863599</v>
      </c>
      <c r="I1864" s="18">
        <v>835.34378221238603</v>
      </c>
      <c r="J1864" s="18">
        <v>2489.6562177876099</v>
      </c>
      <c r="K1864" s="22">
        <v>0</v>
      </c>
      <c r="L1864" s="22" t="str">
        <f t="shared" si="29"/>
        <v>46174, 6, 18</v>
      </c>
    </row>
    <row r="1865" spans="1:12">
      <c r="A1865" s="9">
        <v>46204</v>
      </c>
      <c r="B1865">
        <v>6</v>
      </c>
      <c r="C1865" s="16" t="s">
        <v>61</v>
      </c>
      <c r="D1865">
        <v>1</v>
      </c>
      <c r="E1865" s="16" t="s">
        <v>38</v>
      </c>
      <c r="F1865" s="18">
        <v>5106</v>
      </c>
      <c r="G1865" s="22">
        <v>222</v>
      </c>
      <c r="H1865" s="18">
        <v>4.6609143684210501</v>
      </c>
      <c r="I1865" s="18">
        <v>1034.7229897894699</v>
      </c>
      <c r="J1865" s="18">
        <v>4071.2770102105201</v>
      </c>
      <c r="K1865" s="22">
        <v>0</v>
      </c>
      <c r="L1865" s="22" t="str">
        <f t="shared" si="29"/>
        <v>46204, 6, 1</v>
      </c>
    </row>
    <row r="1866" spans="1:12">
      <c r="A1866" s="9">
        <v>46204</v>
      </c>
      <c r="B1866">
        <v>6</v>
      </c>
      <c r="C1866" s="16" t="s">
        <v>61</v>
      </c>
      <c r="D1866">
        <v>2</v>
      </c>
      <c r="E1866" s="16" t="s">
        <v>40</v>
      </c>
      <c r="F1866" s="18">
        <v>5610</v>
      </c>
      <c r="G1866" s="22">
        <v>220</v>
      </c>
      <c r="H1866" s="18">
        <v>7.9382039772631501</v>
      </c>
      <c r="I1866" s="18">
        <v>1746.4048749978899</v>
      </c>
      <c r="J1866" s="18">
        <v>3863.5951250020998</v>
      </c>
      <c r="K1866" s="22">
        <v>0</v>
      </c>
      <c r="L1866" s="22" t="str">
        <f t="shared" si="29"/>
        <v>46204, 6, 2</v>
      </c>
    </row>
    <row r="1867" spans="1:12">
      <c r="A1867" s="9">
        <v>46204</v>
      </c>
      <c r="B1867">
        <v>6</v>
      </c>
      <c r="C1867" s="16" t="s">
        <v>61</v>
      </c>
      <c r="D1867">
        <v>3</v>
      </c>
      <c r="E1867" s="16" t="s">
        <v>41</v>
      </c>
      <c r="F1867" s="18">
        <v>2430</v>
      </c>
      <c r="G1867" s="22">
        <v>90</v>
      </c>
      <c r="H1867" s="18">
        <v>3.70709821442105</v>
      </c>
      <c r="I1867" s="18">
        <v>333.63883929789398</v>
      </c>
      <c r="J1867" s="18">
        <v>2096.3611607020998</v>
      </c>
      <c r="K1867" s="22">
        <v>0</v>
      </c>
      <c r="L1867" s="22" t="str">
        <f t="shared" si="29"/>
        <v>46204, 6, 3</v>
      </c>
    </row>
    <row r="1868" spans="1:12">
      <c r="A1868" s="9">
        <v>46204</v>
      </c>
      <c r="B1868">
        <v>6</v>
      </c>
      <c r="C1868" s="16" t="s">
        <v>61</v>
      </c>
      <c r="D1868">
        <v>4</v>
      </c>
      <c r="E1868" s="16" t="s">
        <v>42</v>
      </c>
      <c r="F1868" s="18">
        <v>3102</v>
      </c>
      <c r="G1868" s="22">
        <v>141</v>
      </c>
      <c r="H1868" s="18">
        <v>7.7682290392631499</v>
      </c>
      <c r="I1868" s="18">
        <v>1095.3202945360999</v>
      </c>
      <c r="J1868" s="18">
        <v>2006.6797054638901</v>
      </c>
      <c r="K1868" s="22">
        <v>0</v>
      </c>
      <c r="L1868" s="22" t="str">
        <f t="shared" si="29"/>
        <v>46204, 6, 4</v>
      </c>
    </row>
    <row r="1869" spans="1:12">
      <c r="A1869" s="9">
        <v>46204</v>
      </c>
      <c r="B1869">
        <v>6</v>
      </c>
      <c r="C1869" s="16" t="s">
        <v>61</v>
      </c>
      <c r="D1869">
        <v>5</v>
      </c>
      <c r="E1869" s="16" t="s">
        <v>43</v>
      </c>
      <c r="F1869" s="18">
        <v>1562</v>
      </c>
      <c r="G1869" s="22">
        <v>71</v>
      </c>
      <c r="H1869" s="18">
        <v>6.5112500000000004</v>
      </c>
      <c r="I1869" s="18">
        <v>462.29874999999998</v>
      </c>
      <c r="J1869" s="18">
        <v>1099.7012500000001</v>
      </c>
      <c r="K1869" s="22">
        <v>0</v>
      </c>
      <c r="L1869" s="22" t="str">
        <f t="shared" si="29"/>
        <v>46204, 6, 5</v>
      </c>
    </row>
    <row r="1870" spans="1:12">
      <c r="A1870" s="9">
        <v>46204</v>
      </c>
      <c r="B1870">
        <v>6</v>
      </c>
      <c r="C1870" s="16" t="s">
        <v>61</v>
      </c>
      <c r="D1870">
        <v>6</v>
      </c>
      <c r="E1870" s="16" t="s">
        <v>44</v>
      </c>
      <c r="F1870" s="18">
        <v>2520</v>
      </c>
      <c r="G1870" s="22">
        <v>105</v>
      </c>
      <c r="H1870" s="18">
        <v>5.6248754928420999</v>
      </c>
      <c r="I1870" s="18">
        <v>590.61192674842096</v>
      </c>
      <c r="J1870" s="18">
        <v>1929.3880732515699</v>
      </c>
      <c r="K1870" s="22">
        <v>0</v>
      </c>
      <c r="L1870" s="22" t="str">
        <f t="shared" si="29"/>
        <v>46204, 6, 6</v>
      </c>
    </row>
    <row r="1871" spans="1:12">
      <c r="A1871" s="9">
        <v>46204</v>
      </c>
      <c r="B1871">
        <v>6</v>
      </c>
      <c r="C1871" s="16" t="s">
        <v>61</v>
      </c>
      <c r="D1871">
        <v>7</v>
      </c>
      <c r="E1871" s="16" t="s">
        <v>45</v>
      </c>
      <c r="F1871" s="18">
        <v>1584</v>
      </c>
      <c r="G1871" s="22">
        <v>144</v>
      </c>
      <c r="H1871" s="18">
        <v>3.236998410375</v>
      </c>
      <c r="I1871" s="18">
        <v>466.12777109400002</v>
      </c>
      <c r="J1871" s="18">
        <v>1117.8722289059999</v>
      </c>
      <c r="K1871" s="22">
        <v>0</v>
      </c>
      <c r="L1871" s="22" t="str">
        <f t="shared" si="29"/>
        <v>46204, 6, 7</v>
      </c>
    </row>
    <row r="1872" spans="1:12">
      <c r="A1872" s="9">
        <v>46204</v>
      </c>
      <c r="B1872">
        <v>6</v>
      </c>
      <c r="C1872" s="16" t="s">
        <v>61</v>
      </c>
      <c r="D1872">
        <v>8</v>
      </c>
      <c r="E1872" s="16" t="s">
        <v>46</v>
      </c>
      <c r="F1872" s="18">
        <v>936</v>
      </c>
      <c r="G1872" s="22">
        <v>72</v>
      </c>
      <c r="H1872" s="18">
        <v>0.71064060999999901</v>
      </c>
      <c r="I1872" s="18">
        <v>51.166123919999897</v>
      </c>
      <c r="J1872" s="18">
        <v>884.83387607999998</v>
      </c>
      <c r="K1872" s="22">
        <v>0</v>
      </c>
      <c r="L1872" s="22" t="str">
        <f t="shared" si="29"/>
        <v>46204, 6, 8</v>
      </c>
    </row>
    <row r="1873" spans="1:12">
      <c r="A1873" s="9">
        <v>46204</v>
      </c>
      <c r="B1873">
        <v>6</v>
      </c>
      <c r="C1873" s="16" t="s">
        <v>61</v>
      </c>
      <c r="D1873">
        <v>9</v>
      </c>
      <c r="E1873" s="16" t="s">
        <v>47</v>
      </c>
      <c r="F1873" s="18">
        <v>2860</v>
      </c>
      <c r="G1873" s="22">
        <v>55</v>
      </c>
      <c r="H1873" s="18">
        <v>19.613989948586699</v>
      </c>
      <c r="I1873" s="18">
        <v>1078.76944717227</v>
      </c>
      <c r="J1873" s="18">
        <v>1781.23055282772</v>
      </c>
      <c r="K1873" s="22">
        <v>0</v>
      </c>
      <c r="L1873" s="22" t="str">
        <f t="shared" si="29"/>
        <v>46204, 6, 9</v>
      </c>
    </row>
    <row r="1874" spans="1:12">
      <c r="A1874" s="9">
        <v>46204</v>
      </c>
      <c r="B1874">
        <v>6</v>
      </c>
      <c r="C1874" s="16" t="s">
        <v>61</v>
      </c>
      <c r="D1874">
        <v>10</v>
      </c>
      <c r="E1874" s="16" t="s">
        <v>57</v>
      </c>
      <c r="F1874" s="18">
        <v>1395</v>
      </c>
      <c r="G1874" s="22">
        <v>93</v>
      </c>
      <c r="H1874" s="18">
        <v>1.8284034767739099</v>
      </c>
      <c r="I1874" s="18">
        <v>170.041523339973</v>
      </c>
      <c r="J1874" s="18">
        <v>1224.9584766600201</v>
      </c>
      <c r="K1874" s="22">
        <v>0</v>
      </c>
      <c r="L1874" s="22" t="str">
        <f t="shared" si="29"/>
        <v>46204, 6, 10</v>
      </c>
    </row>
    <row r="1875" spans="1:12">
      <c r="A1875" s="9">
        <v>46204</v>
      </c>
      <c r="B1875">
        <v>6</v>
      </c>
      <c r="C1875" s="16" t="s">
        <v>61</v>
      </c>
      <c r="D1875">
        <v>11</v>
      </c>
      <c r="E1875" s="16" t="s">
        <v>48</v>
      </c>
      <c r="F1875" s="18">
        <v>4004</v>
      </c>
      <c r="G1875" s="22">
        <v>182</v>
      </c>
      <c r="H1875" s="18">
        <v>2.2377443281249998</v>
      </c>
      <c r="I1875" s="18">
        <v>407.26946771874998</v>
      </c>
      <c r="J1875" s="18">
        <v>3596.7305322812499</v>
      </c>
      <c r="K1875" s="22">
        <v>0</v>
      </c>
      <c r="L1875" s="22" t="str">
        <f t="shared" si="29"/>
        <v>46204, 6, 11</v>
      </c>
    </row>
    <row r="1876" spans="1:12">
      <c r="A1876" s="9">
        <v>46204</v>
      </c>
      <c r="B1876">
        <v>6</v>
      </c>
      <c r="C1876" s="16" t="s">
        <v>61</v>
      </c>
      <c r="D1876">
        <v>12</v>
      </c>
      <c r="E1876" s="16" t="s">
        <v>49</v>
      </c>
      <c r="F1876" s="18">
        <v>3266</v>
      </c>
      <c r="G1876" s="22">
        <v>142</v>
      </c>
      <c r="H1876" s="18">
        <v>2.7783315710526302</v>
      </c>
      <c r="I1876" s="18">
        <v>394.523083089473</v>
      </c>
      <c r="J1876" s="18">
        <v>2871.4769169105198</v>
      </c>
      <c r="K1876" s="22">
        <v>0</v>
      </c>
      <c r="L1876" s="22" t="str">
        <f t="shared" si="29"/>
        <v>46204, 6, 12</v>
      </c>
    </row>
    <row r="1877" spans="1:12">
      <c r="A1877" s="9">
        <v>46204</v>
      </c>
      <c r="B1877">
        <v>6</v>
      </c>
      <c r="C1877" s="16" t="s">
        <v>61</v>
      </c>
      <c r="D1877">
        <v>13</v>
      </c>
      <c r="E1877" s="16" t="s">
        <v>50</v>
      </c>
      <c r="F1877" s="18">
        <v>2808</v>
      </c>
      <c r="G1877" s="22">
        <v>117</v>
      </c>
      <c r="H1877" s="18">
        <v>7.9124869999999996</v>
      </c>
      <c r="I1877" s="18">
        <v>925.76097900000002</v>
      </c>
      <c r="J1877" s="18">
        <v>1882.2390210000001</v>
      </c>
      <c r="K1877" s="22">
        <v>0</v>
      </c>
      <c r="L1877" s="22" t="str">
        <f t="shared" si="29"/>
        <v>46204, 6, 13</v>
      </c>
    </row>
    <row r="1878" spans="1:12">
      <c r="A1878" s="9">
        <v>46204</v>
      </c>
      <c r="B1878">
        <v>6</v>
      </c>
      <c r="C1878" s="16" t="s">
        <v>61</v>
      </c>
      <c r="D1878">
        <v>14</v>
      </c>
      <c r="E1878" s="16" t="s">
        <v>51</v>
      </c>
      <c r="F1878" s="18">
        <v>944</v>
      </c>
      <c r="G1878" s="22">
        <v>32</v>
      </c>
      <c r="H1878" s="18">
        <v>5.0180857862111097</v>
      </c>
      <c r="I1878" s="18">
        <v>160.578745158755</v>
      </c>
      <c r="J1878" s="18">
        <v>783.42125484124404</v>
      </c>
      <c r="K1878" s="22">
        <v>0</v>
      </c>
      <c r="L1878" s="22" t="str">
        <f t="shared" si="29"/>
        <v>46204, 6, 14</v>
      </c>
    </row>
    <row r="1879" spans="1:12">
      <c r="A1879" s="9">
        <v>46204</v>
      </c>
      <c r="B1879">
        <v>6</v>
      </c>
      <c r="C1879" s="16" t="s">
        <v>61</v>
      </c>
      <c r="D1879">
        <v>15</v>
      </c>
      <c r="E1879" s="16" t="s">
        <v>52</v>
      </c>
      <c r="F1879" s="18">
        <v>3570</v>
      </c>
      <c r="G1879" s="22">
        <v>140</v>
      </c>
      <c r="H1879" s="18">
        <v>2.9238482451999999</v>
      </c>
      <c r="I1879" s="18">
        <v>409.33875432799999</v>
      </c>
      <c r="J1879" s="18">
        <v>3160.6612456719999</v>
      </c>
      <c r="K1879" s="22">
        <v>0</v>
      </c>
      <c r="L1879" s="22" t="str">
        <f t="shared" si="29"/>
        <v>46204, 6, 15</v>
      </c>
    </row>
    <row r="1880" spans="1:12">
      <c r="A1880" s="9">
        <v>46204</v>
      </c>
      <c r="B1880">
        <v>6</v>
      </c>
      <c r="C1880" s="16" t="s">
        <v>61</v>
      </c>
      <c r="D1880">
        <v>16</v>
      </c>
      <c r="E1880" s="16" t="s">
        <v>53</v>
      </c>
      <c r="F1880" s="18">
        <v>603</v>
      </c>
      <c r="G1880" s="22">
        <v>67</v>
      </c>
      <c r="H1880" s="18">
        <v>1.72306334615384</v>
      </c>
      <c r="I1880" s="18">
        <v>115.445244192307</v>
      </c>
      <c r="J1880" s="18">
        <v>487.554755807692</v>
      </c>
      <c r="K1880" s="22">
        <v>0</v>
      </c>
      <c r="L1880" s="22" t="str">
        <f t="shared" si="29"/>
        <v>46204, 6, 16</v>
      </c>
    </row>
    <row r="1881" spans="1:12">
      <c r="A1881" s="9">
        <v>46204</v>
      </c>
      <c r="B1881">
        <v>6</v>
      </c>
      <c r="C1881" s="16" t="s">
        <v>61</v>
      </c>
      <c r="D1881">
        <v>17</v>
      </c>
      <c r="E1881" s="16" t="s">
        <v>54</v>
      </c>
      <c r="F1881" s="18">
        <v>1368.5</v>
      </c>
      <c r="G1881" s="22">
        <v>161</v>
      </c>
      <c r="H1881" s="18">
        <v>1.55627267789473</v>
      </c>
      <c r="I1881" s="18">
        <v>250.55990114105199</v>
      </c>
      <c r="J1881" s="18">
        <v>1117.94009885894</v>
      </c>
      <c r="K1881" s="22">
        <v>0</v>
      </c>
      <c r="L1881" s="22" t="str">
        <f t="shared" si="29"/>
        <v>46204, 6, 17</v>
      </c>
    </row>
    <row r="1882" spans="1:12">
      <c r="A1882" s="9">
        <v>46204</v>
      </c>
      <c r="B1882">
        <v>6</v>
      </c>
      <c r="C1882" s="16" t="s">
        <v>61</v>
      </c>
      <c r="D1882">
        <v>18</v>
      </c>
      <c r="E1882" s="16" t="s">
        <v>55</v>
      </c>
      <c r="F1882" s="18">
        <v>3075</v>
      </c>
      <c r="G1882" s="22">
        <v>123</v>
      </c>
      <c r="H1882" s="18">
        <v>6.1910913999891299</v>
      </c>
      <c r="I1882" s="18">
        <v>761.50424219866295</v>
      </c>
      <c r="J1882" s="18">
        <v>2313.49575780133</v>
      </c>
      <c r="K1882" s="22">
        <v>0</v>
      </c>
      <c r="L1882" s="22" t="str">
        <f t="shared" si="29"/>
        <v>46204, 6, 18</v>
      </c>
    </row>
    <row r="1883" spans="1:12">
      <c r="A1883" s="9">
        <v>46235</v>
      </c>
      <c r="B1883">
        <v>6</v>
      </c>
      <c r="C1883" s="16" t="s">
        <v>61</v>
      </c>
      <c r="D1883">
        <v>1</v>
      </c>
      <c r="E1883" s="16" t="s">
        <v>38</v>
      </c>
      <c r="F1883" s="18">
        <v>4853</v>
      </c>
      <c r="G1883" s="22">
        <v>211</v>
      </c>
      <c r="H1883" s="18">
        <v>4.6668125588235201</v>
      </c>
      <c r="I1883" s="18">
        <v>984.69744991176401</v>
      </c>
      <c r="J1883" s="18">
        <v>3868.30255008823</v>
      </c>
      <c r="K1883" s="22">
        <v>0</v>
      </c>
      <c r="L1883" s="22" t="str">
        <f t="shared" si="29"/>
        <v>46235, 6, 1</v>
      </c>
    </row>
    <row r="1884" spans="1:12">
      <c r="A1884" s="9">
        <v>46235</v>
      </c>
      <c r="B1884">
        <v>6</v>
      </c>
      <c r="C1884" s="16" t="s">
        <v>61</v>
      </c>
      <c r="D1884">
        <v>2</v>
      </c>
      <c r="E1884" s="16" t="s">
        <v>40</v>
      </c>
      <c r="F1884" s="18">
        <v>5635.5</v>
      </c>
      <c r="G1884" s="22">
        <v>221</v>
      </c>
      <c r="H1884" s="18">
        <v>7.8812283176470501</v>
      </c>
      <c r="I1884" s="18">
        <v>1741.7514581999901</v>
      </c>
      <c r="J1884" s="18">
        <v>3893.7485418000001</v>
      </c>
      <c r="K1884" s="22">
        <v>0</v>
      </c>
      <c r="L1884" s="22" t="str">
        <f t="shared" si="29"/>
        <v>46235, 6, 2</v>
      </c>
    </row>
    <row r="1885" spans="1:12">
      <c r="A1885" s="9">
        <v>46235</v>
      </c>
      <c r="B1885">
        <v>6</v>
      </c>
      <c r="C1885" s="16" t="s">
        <v>61</v>
      </c>
      <c r="D1885">
        <v>3</v>
      </c>
      <c r="E1885" s="16" t="s">
        <v>41</v>
      </c>
      <c r="F1885" s="18">
        <v>1917</v>
      </c>
      <c r="G1885" s="22">
        <v>71</v>
      </c>
      <c r="H1885" s="18">
        <v>3.6973247030588201</v>
      </c>
      <c r="I1885" s="18">
        <v>262.51005391717598</v>
      </c>
      <c r="J1885" s="18">
        <v>1654.4899460828201</v>
      </c>
      <c r="K1885" s="22">
        <v>0</v>
      </c>
      <c r="L1885" s="22" t="str">
        <f t="shared" si="29"/>
        <v>46235, 6, 3</v>
      </c>
    </row>
    <row r="1886" spans="1:12">
      <c r="A1886" s="9">
        <v>46235</v>
      </c>
      <c r="B1886">
        <v>6</v>
      </c>
      <c r="C1886" s="16" t="s">
        <v>61</v>
      </c>
      <c r="D1886">
        <v>4</v>
      </c>
      <c r="E1886" s="16" t="s">
        <v>42</v>
      </c>
      <c r="F1886" s="18">
        <v>2640</v>
      </c>
      <c r="G1886" s="22">
        <v>120</v>
      </c>
      <c r="H1886" s="18">
        <v>7.7762587724705803</v>
      </c>
      <c r="I1886" s="18">
        <v>933.15105269646995</v>
      </c>
      <c r="J1886" s="18">
        <v>1706.8489473035199</v>
      </c>
      <c r="K1886" s="22">
        <v>0</v>
      </c>
      <c r="L1886" s="22" t="str">
        <f t="shared" si="29"/>
        <v>46235, 6, 4</v>
      </c>
    </row>
    <row r="1887" spans="1:12">
      <c r="A1887" s="9">
        <v>46235</v>
      </c>
      <c r="B1887">
        <v>6</v>
      </c>
      <c r="C1887" s="16" t="s">
        <v>61</v>
      </c>
      <c r="D1887">
        <v>5</v>
      </c>
      <c r="E1887" s="16" t="s">
        <v>43</v>
      </c>
      <c r="F1887" s="18">
        <v>2134</v>
      </c>
      <c r="G1887" s="22">
        <v>97</v>
      </c>
      <c r="H1887" s="18">
        <v>6.6843014705882302</v>
      </c>
      <c r="I1887" s="18">
        <v>648.37724264705798</v>
      </c>
      <c r="J1887" s="18">
        <v>1485.62275735294</v>
      </c>
      <c r="K1887" s="22">
        <v>0</v>
      </c>
      <c r="L1887" s="22" t="str">
        <f t="shared" si="29"/>
        <v>46235, 6, 5</v>
      </c>
    </row>
    <row r="1888" spans="1:12">
      <c r="A1888" s="9">
        <v>46235</v>
      </c>
      <c r="B1888">
        <v>6</v>
      </c>
      <c r="C1888" s="16" t="s">
        <v>61</v>
      </c>
      <c r="D1888">
        <v>6</v>
      </c>
      <c r="E1888" s="16" t="s">
        <v>44</v>
      </c>
      <c r="F1888" s="18">
        <v>2256</v>
      </c>
      <c r="G1888" s="22">
        <v>94</v>
      </c>
      <c r="H1888" s="18">
        <v>5.618046326</v>
      </c>
      <c r="I1888" s="18">
        <v>528.09635464400003</v>
      </c>
      <c r="J1888" s="18">
        <v>1727.903645356</v>
      </c>
      <c r="K1888" s="22">
        <v>0</v>
      </c>
      <c r="L1888" s="22" t="str">
        <f t="shared" si="29"/>
        <v>46235, 6, 6</v>
      </c>
    </row>
    <row r="1889" spans="1:12">
      <c r="A1889" s="9">
        <v>46235</v>
      </c>
      <c r="B1889">
        <v>6</v>
      </c>
      <c r="C1889" s="16" t="s">
        <v>61</v>
      </c>
      <c r="D1889">
        <v>7</v>
      </c>
      <c r="E1889" s="16" t="s">
        <v>45</v>
      </c>
      <c r="F1889" s="18">
        <v>1672</v>
      </c>
      <c r="G1889" s="22">
        <v>152</v>
      </c>
      <c r="H1889" s="18">
        <v>3.2563870325000002</v>
      </c>
      <c r="I1889" s="18">
        <v>494.97082893999999</v>
      </c>
      <c r="J1889" s="18">
        <v>1177.02917106</v>
      </c>
      <c r="K1889" s="22">
        <v>0</v>
      </c>
      <c r="L1889" s="22" t="str">
        <f t="shared" si="29"/>
        <v>46235, 6, 7</v>
      </c>
    </row>
    <row r="1890" spans="1:12">
      <c r="A1890" s="9">
        <v>46235</v>
      </c>
      <c r="B1890">
        <v>6</v>
      </c>
      <c r="C1890" s="16" t="s">
        <v>61</v>
      </c>
      <c r="D1890">
        <v>8</v>
      </c>
      <c r="E1890" s="16" t="s">
        <v>46</v>
      </c>
      <c r="F1890" s="18">
        <v>806</v>
      </c>
      <c r="G1890" s="22">
        <v>62</v>
      </c>
      <c r="H1890" s="18">
        <v>0.69465087577777695</v>
      </c>
      <c r="I1890" s="18">
        <v>43.068354298222197</v>
      </c>
      <c r="J1890" s="18">
        <v>762.93164570177703</v>
      </c>
      <c r="K1890" s="22">
        <v>0</v>
      </c>
      <c r="L1890" s="22" t="str">
        <f t="shared" si="29"/>
        <v>46235, 6, 8</v>
      </c>
    </row>
    <row r="1891" spans="1:12">
      <c r="A1891" s="9">
        <v>46235</v>
      </c>
      <c r="B1891">
        <v>6</v>
      </c>
      <c r="C1891" s="16" t="s">
        <v>61</v>
      </c>
      <c r="D1891">
        <v>9</v>
      </c>
      <c r="E1891" s="16" t="s">
        <v>47</v>
      </c>
      <c r="F1891" s="18">
        <v>2028</v>
      </c>
      <c r="G1891" s="22">
        <v>39</v>
      </c>
      <c r="H1891" s="18">
        <v>19.643716377293199</v>
      </c>
      <c r="I1891" s="18">
        <v>766.10493871443703</v>
      </c>
      <c r="J1891" s="18">
        <v>1261.8950612855599</v>
      </c>
      <c r="K1891" s="22">
        <v>0</v>
      </c>
      <c r="L1891" s="22" t="str">
        <f t="shared" si="29"/>
        <v>46235, 6, 9</v>
      </c>
    </row>
    <row r="1892" spans="1:12">
      <c r="A1892" s="9">
        <v>46235</v>
      </c>
      <c r="B1892">
        <v>6</v>
      </c>
      <c r="C1892" s="16" t="s">
        <v>61</v>
      </c>
      <c r="D1892">
        <v>10</v>
      </c>
      <c r="E1892" s="16" t="s">
        <v>57</v>
      </c>
      <c r="F1892" s="18">
        <v>840</v>
      </c>
      <c r="G1892" s="22">
        <v>56</v>
      </c>
      <c r="H1892" s="18">
        <v>1.8492452491428499</v>
      </c>
      <c r="I1892" s="18">
        <v>103.55773395200001</v>
      </c>
      <c r="J1892" s="18">
        <v>736.44226604799906</v>
      </c>
      <c r="K1892" s="22">
        <v>0</v>
      </c>
      <c r="L1892" s="22" t="str">
        <f t="shared" si="29"/>
        <v>46235, 6, 10</v>
      </c>
    </row>
    <row r="1893" spans="1:12">
      <c r="A1893" s="9">
        <v>46235</v>
      </c>
      <c r="B1893">
        <v>6</v>
      </c>
      <c r="C1893" s="16" t="s">
        <v>61</v>
      </c>
      <c r="D1893">
        <v>11</v>
      </c>
      <c r="E1893" s="16" t="s">
        <v>48</v>
      </c>
      <c r="F1893" s="18">
        <v>3432</v>
      </c>
      <c r="G1893" s="22">
        <v>156</v>
      </c>
      <c r="H1893" s="18">
        <v>2.255141225</v>
      </c>
      <c r="I1893" s="18">
        <v>351.80203110000002</v>
      </c>
      <c r="J1893" s="18">
        <v>3080.1979689</v>
      </c>
      <c r="K1893" s="22">
        <v>0</v>
      </c>
      <c r="L1893" s="22" t="str">
        <f t="shared" si="29"/>
        <v>46235, 6, 11</v>
      </c>
    </row>
    <row r="1894" spans="1:12">
      <c r="A1894" s="9">
        <v>46235</v>
      </c>
      <c r="B1894">
        <v>6</v>
      </c>
      <c r="C1894" s="16" t="s">
        <v>61</v>
      </c>
      <c r="D1894">
        <v>12</v>
      </c>
      <c r="E1894" s="16" t="s">
        <v>49</v>
      </c>
      <c r="F1894" s="18">
        <v>2783</v>
      </c>
      <c r="G1894" s="22">
        <v>121</v>
      </c>
      <c r="H1894" s="18">
        <v>2.7505818221176401</v>
      </c>
      <c r="I1894" s="18">
        <v>332.82040047623502</v>
      </c>
      <c r="J1894" s="18">
        <v>2450.1795995237599</v>
      </c>
      <c r="K1894" s="22">
        <v>0</v>
      </c>
      <c r="L1894" s="22" t="str">
        <f t="shared" si="29"/>
        <v>46235, 6, 12</v>
      </c>
    </row>
    <row r="1895" spans="1:12">
      <c r="A1895" s="9">
        <v>46235</v>
      </c>
      <c r="B1895">
        <v>6</v>
      </c>
      <c r="C1895" s="16" t="s">
        <v>61</v>
      </c>
      <c r="D1895">
        <v>13</v>
      </c>
      <c r="E1895" s="16" t="s">
        <v>50</v>
      </c>
      <c r="F1895" s="18">
        <v>2544</v>
      </c>
      <c r="G1895" s="22">
        <v>106</v>
      </c>
      <c r="H1895" s="18">
        <v>7.9059738888888802</v>
      </c>
      <c r="I1895" s="18">
        <v>838.03323222222195</v>
      </c>
      <c r="J1895" s="18">
        <v>1705.96676777777</v>
      </c>
      <c r="K1895" s="22">
        <v>0</v>
      </c>
      <c r="L1895" s="22" t="str">
        <f t="shared" si="29"/>
        <v>46235, 6, 13</v>
      </c>
    </row>
    <row r="1896" spans="1:12">
      <c r="A1896" s="9">
        <v>46235</v>
      </c>
      <c r="B1896">
        <v>6</v>
      </c>
      <c r="C1896" s="16" t="s">
        <v>61</v>
      </c>
      <c r="D1896">
        <v>14</v>
      </c>
      <c r="E1896" s="16" t="s">
        <v>51</v>
      </c>
      <c r="F1896" s="18">
        <v>737.5</v>
      </c>
      <c r="G1896" s="22">
        <v>25</v>
      </c>
      <c r="H1896" s="18">
        <v>5.0092193649230703</v>
      </c>
      <c r="I1896" s="18">
        <v>125.230484123076</v>
      </c>
      <c r="J1896" s="18">
        <v>612.26951587692304</v>
      </c>
      <c r="K1896" s="22">
        <v>0</v>
      </c>
      <c r="L1896" s="22" t="str">
        <f t="shared" si="29"/>
        <v>46235, 6, 14</v>
      </c>
    </row>
    <row r="1897" spans="1:12">
      <c r="A1897" s="9">
        <v>46235</v>
      </c>
      <c r="B1897">
        <v>6</v>
      </c>
      <c r="C1897" s="16" t="s">
        <v>61</v>
      </c>
      <c r="D1897">
        <v>15</v>
      </c>
      <c r="E1897" s="16" t="s">
        <v>52</v>
      </c>
      <c r="F1897" s="18">
        <v>3136.5</v>
      </c>
      <c r="G1897" s="22">
        <v>123</v>
      </c>
      <c r="H1897" s="18">
        <v>2.9306482853076901</v>
      </c>
      <c r="I1897" s="18">
        <v>360.469739092846</v>
      </c>
      <c r="J1897" s="18">
        <v>2776.03026090715</v>
      </c>
      <c r="K1897" s="22">
        <v>0</v>
      </c>
      <c r="L1897" s="22" t="str">
        <f t="shared" si="29"/>
        <v>46235, 6, 15</v>
      </c>
    </row>
    <row r="1898" spans="1:12">
      <c r="A1898" s="9">
        <v>46235</v>
      </c>
      <c r="B1898">
        <v>6</v>
      </c>
      <c r="C1898" s="16" t="s">
        <v>61</v>
      </c>
      <c r="D1898">
        <v>16</v>
      </c>
      <c r="E1898" s="16" t="s">
        <v>53</v>
      </c>
      <c r="F1898" s="18">
        <v>594</v>
      </c>
      <c r="G1898" s="22">
        <v>66</v>
      </c>
      <c r="H1898" s="18">
        <v>1.71206526287878</v>
      </c>
      <c r="I1898" s="18">
        <v>112.99630735</v>
      </c>
      <c r="J1898" s="18">
        <v>481.00369264999898</v>
      </c>
      <c r="K1898" s="22">
        <v>0</v>
      </c>
      <c r="L1898" s="22" t="str">
        <f t="shared" si="29"/>
        <v>46235, 6, 16</v>
      </c>
    </row>
    <row r="1899" spans="1:12">
      <c r="A1899" s="9">
        <v>46235</v>
      </c>
      <c r="B1899">
        <v>6</v>
      </c>
      <c r="C1899" s="16" t="s">
        <v>61</v>
      </c>
      <c r="D1899">
        <v>17</v>
      </c>
      <c r="E1899" s="16" t="s">
        <v>54</v>
      </c>
      <c r="F1899" s="18">
        <v>1436.5</v>
      </c>
      <c r="G1899" s="22">
        <v>169</v>
      </c>
      <c r="H1899" s="18">
        <v>1.56668237970588</v>
      </c>
      <c r="I1899" s="18">
        <v>264.769322170294</v>
      </c>
      <c r="J1899" s="18">
        <v>1171.7306778297</v>
      </c>
      <c r="K1899" s="22">
        <v>0</v>
      </c>
      <c r="L1899" s="22" t="str">
        <f t="shared" si="29"/>
        <v>46235, 6, 17</v>
      </c>
    </row>
    <row r="1900" spans="1:12">
      <c r="A1900" s="9">
        <v>46235</v>
      </c>
      <c r="B1900">
        <v>6</v>
      </c>
      <c r="C1900" s="16" t="s">
        <v>61</v>
      </c>
      <c r="D1900">
        <v>18</v>
      </c>
      <c r="E1900" s="16" t="s">
        <v>55</v>
      </c>
      <c r="F1900" s="18">
        <v>2575</v>
      </c>
      <c r="G1900" s="22">
        <v>103</v>
      </c>
      <c r="H1900" s="18">
        <v>6.9292054011904698</v>
      </c>
      <c r="I1900" s="18">
        <v>713.70815632261895</v>
      </c>
      <c r="J1900" s="18">
        <v>1861.29184367738</v>
      </c>
      <c r="K1900" s="22">
        <v>0</v>
      </c>
      <c r="L1900" s="22" t="str">
        <f t="shared" si="29"/>
        <v>46235, 6, 18</v>
      </c>
    </row>
    <row r="1901" spans="1:12">
      <c r="A1901" s="9">
        <v>46266</v>
      </c>
      <c r="B1901">
        <v>6</v>
      </c>
      <c r="C1901" s="16" t="s">
        <v>61</v>
      </c>
      <c r="D1901">
        <v>1</v>
      </c>
      <c r="E1901" s="16" t="s">
        <v>38</v>
      </c>
      <c r="F1901" s="18">
        <v>6003</v>
      </c>
      <c r="G1901" s="22">
        <v>261</v>
      </c>
      <c r="H1901" s="18">
        <v>4.6862824999999999</v>
      </c>
      <c r="I1901" s="18">
        <v>1223.1197325000001</v>
      </c>
      <c r="J1901" s="18">
        <v>4779.8802674999997</v>
      </c>
      <c r="K1901" s="22">
        <v>0</v>
      </c>
      <c r="L1901" s="22" t="str">
        <f t="shared" si="29"/>
        <v>46266, 6, 1</v>
      </c>
    </row>
    <row r="1902" spans="1:12">
      <c r="A1902" s="9">
        <v>46266</v>
      </c>
      <c r="B1902">
        <v>6</v>
      </c>
      <c r="C1902" s="16" t="s">
        <v>61</v>
      </c>
      <c r="D1902">
        <v>2</v>
      </c>
      <c r="E1902" s="16" t="s">
        <v>40</v>
      </c>
      <c r="F1902" s="18">
        <v>6426</v>
      </c>
      <c r="G1902" s="22">
        <v>252</v>
      </c>
      <c r="H1902" s="18">
        <v>7.9535734341176401</v>
      </c>
      <c r="I1902" s="18">
        <v>2004.3005053976401</v>
      </c>
      <c r="J1902" s="18">
        <v>4421.6994946023497</v>
      </c>
      <c r="K1902" s="22">
        <v>0</v>
      </c>
      <c r="L1902" s="22" t="str">
        <f t="shared" si="29"/>
        <v>46266, 6, 2</v>
      </c>
    </row>
    <row r="1903" spans="1:12">
      <c r="A1903" s="9">
        <v>46266</v>
      </c>
      <c r="B1903">
        <v>6</v>
      </c>
      <c r="C1903" s="16" t="s">
        <v>61</v>
      </c>
      <c r="D1903">
        <v>3</v>
      </c>
      <c r="E1903" s="16" t="s">
        <v>41</v>
      </c>
      <c r="F1903" s="18">
        <v>2754</v>
      </c>
      <c r="G1903" s="22">
        <v>102</v>
      </c>
      <c r="H1903" s="18">
        <v>3.7004625371764699</v>
      </c>
      <c r="I1903" s="18">
        <v>377.44717879199902</v>
      </c>
      <c r="J1903" s="18">
        <v>2376.5528212079998</v>
      </c>
      <c r="K1903" s="22">
        <v>0</v>
      </c>
      <c r="L1903" s="22" t="str">
        <f t="shared" si="29"/>
        <v>46266, 6, 3</v>
      </c>
    </row>
    <row r="1904" spans="1:12">
      <c r="A1904" s="9">
        <v>46266</v>
      </c>
      <c r="B1904">
        <v>6</v>
      </c>
      <c r="C1904" s="16" t="s">
        <v>61</v>
      </c>
      <c r="D1904">
        <v>4</v>
      </c>
      <c r="E1904" s="16" t="s">
        <v>42</v>
      </c>
      <c r="F1904" s="18">
        <v>3410</v>
      </c>
      <c r="G1904" s="22">
        <v>155</v>
      </c>
      <c r="H1904" s="18">
        <v>7.9532517776470497</v>
      </c>
      <c r="I1904" s="18">
        <v>1232.7540255352901</v>
      </c>
      <c r="J1904" s="18">
        <v>2177.2459744646999</v>
      </c>
      <c r="K1904" s="22">
        <v>0</v>
      </c>
      <c r="L1904" s="22" t="str">
        <f t="shared" si="29"/>
        <v>46266, 6, 4</v>
      </c>
    </row>
    <row r="1905" spans="1:12">
      <c r="A1905" s="9">
        <v>46266</v>
      </c>
      <c r="B1905">
        <v>6</v>
      </c>
      <c r="C1905" s="16" t="s">
        <v>61</v>
      </c>
      <c r="D1905">
        <v>5</v>
      </c>
      <c r="E1905" s="16" t="s">
        <v>43</v>
      </c>
      <c r="F1905" s="18">
        <v>1958</v>
      </c>
      <c r="G1905" s="22">
        <v>89</v>
      </c>
      <c r="H1905" s="18">
        <v>6.86871323529411</v>
      </c>
      <c r="I1905" s="18">
        <v>611.31547794117603</v>
      </c>
      <c r="J1905" s="18">
        <v>1346.68452205882</v>
      </c>
      <c r="K1905" s="22">
        <v>0</v>
      </c>
      <c r="L1905" s="22" t="str">
        <f t="shared" si="29"/>
        <v>46266, 6, 5</v>
      </c>
    </row>
    <row r="1906" spans="1:12">
      <c r="A1906" s="9">
        <v>46266</v>
      </c>
      <c r="B1906">
        <v>6</v>
      </c>
      <c r="C1906" s="16" t="s">
        <v>61</v>
      </c>
      <c r="D1906">
        <v>6</v>
      </c>
      <c r="E1906" s="16" t="s">
        <v>44</v>
      </c>
      <c r="F1906" s="18">
        <v>3360</v>
      </c>
      <c r="G1906" s="22">
        <v>140</v>
      </c>
      <c r="H1906" s="18">
        <v>5.6146709896764699</v>
      </c>
      <c r="I1906" s="18">
        <v>786.05393855470504</v>
      </c>
      <c r="J1906" s="18">
        <v>2573.9460614452901</v>
      </c>
      <c r="K1906" s="22">
        <v>0</v>
      </c>
      <c r="L1906" s="22" t="str">
        <f t="shared" si="29"/>
        <v>46266, 6, 6</v>
      </c>
    </row>
    <row r="1907" spans="1:12">
      <c r="A1907" s="9">
        <v>46266</v>
      </c>
      <c r="B1907">
        <v>6</v>
      </c>
      <c r="C1907" s="16" t="s">
        <v>61</v>
      </c>
      <c r="D1907">
        <v>7</v>
      </c>
      <c r="E1907" s="16" t="s">
        <v>45</v>
      </c>
      <c r="F1907" s="18">
        <v>1353</v>
      </c>
      <c r="G1907" s="22">
        <v>123</v>
      </c>
      <c r="H1907" s="18">
        <v>3.2706778922058799</v>
      </c>
      <c r="I1907" s="18">
        <v>402.29338074132301</v>
      </c>
      <c r="J1907" s="18">
        <v>950.70661925867603</v>
      </c>
      <c r="K1907" s="22">
        <v>0</v>
      </c>
      <c r="L1907" s="22" t="str">
        <f t="shared" si="29"/>
        <v>46266, 6, 7</v>
      </c>
    </row>
    <row r="1908" spans="1:12">
      <c r="A1908" s="9">
        <v>46266</v>
      </c>
      <c r="B1908">
        <v>6</v>
      </c>
      <c r="C1908" s="16" t="s">
        <v>61</v>
      </c>
      <c r="D1908">
        <v>8</v>
      </c>
      <c r="E1908" s="16" t="s">
        <v>46</v>
      </c>
      <c r="F1908" s="18">
        <v>1170</v>
      </c>
      <c r="G1908" s="22">
        <v>90</v>
      </c>
      <c r="H1908" s="18">
        <v>0.70309028333333301</v>
      </c>
      <c r="I1908" s="18">
        <v>63.278125499999902</v>
      </c>
      <c r="J1908" s="18">
        <v>1106.7218745</v>
      </c>
      <c r="K1908" s="22">
        <v>0</v>
      </c>
      <c r="L1908" s="22" t="str">
        <f t="shared" si="29"/>
        <v>46266, 6, 8</v>
      </c>
    </row>
    <row r="1909" spans="1:12">
      <c r="A1909" s="9">
        <v>46266</v>
      </c>
      <c r="B1909">
        <v>6</v>
      </c>
      <c r="C1909" s="16" t="s">
        <v>61</v>
      </c>
      <c r="D1909">
        <v>9</v>
      </c>
      <c r="E1909" s="16" t="s">
        <v>47</v>
      </c>
      <c r="F1909" s="18">
        <v>2860</v>
      </c>
      <c r="G1909" s="22">
        <v>55</v>
      </c>
      <c r="H1909" s="18">
        <v>19.668516809732299</v>
      </c>
      <c r="I1909" s="18">
        <v>1081.76842453527</v>
      </c>
      <c r="J1909" s="18">
        <v>1778.23157546472</v>
      </c>
      <c r="K1909" s="22">
        <v>0</v>
      </c>
      <c r="L1909" s="22" t="str">
        <f t="shared" si="29"/>
        <v>46266, 6, 9</v>
      </c>
    </row>
    <row r="1910" spans="1:12">
      <c r="A1910" s="9">
        <v>46266</v>
      </c>
      <c r="B1910">
        <v>6</v>
      </c>
      <c r="C1910" s="16" t="s">
        <v>61</v>
      </c>
      <c r="D1910">
        <v>10</v>
      </c>
      <c r="E1910" s="16" t="s">
        <v>57</v>
      </c>
      <c r="F1910" s="18">
        <v>1440</v>
      </c>
      <c r="G1910" s="22">
        <v>96</v>
      </c>
      <c r="H1910" s="18">
        <v>1.93922988130909</v>
      </c>
      <c r="I1910" s="18">
        <v>186.166068605672</v>
      </c>
      <c r="J1910" s="18">
        <v>1253.83393139432</v>
      </c>
      <c r="K1910" s="22">
        <v>0</v>
      </c>
      <c r="L1910" s="22" t="str">
        <f t="shared" si="29"/>
        <v>46266, 6, 10</v>
      </c>
    </row>
    <row r="1911" spans="1:12">
      <c r="A1911" s="9">
        <v>46266</v>
      </c>
      <c r="B1911">
        <v>6</v>
      </c>
      <c r="C1911" s="16" t="s">
        <v>61</v>
      </c>
      <c r="D1911">
        <v>11</v>
      </c>
      <c r="E1911" s="16" t="s">
        <v>48</v>
      </c>
      <c r="F1911" s="18">
        <v>5038</v>
      </c>
      <c r="G1911" s="22">
        <v>229</v>
      </c>
      <c r="H1911" s="18">
        <v>2.2618399062500001</v>
      </c>
      <c r="I1911" s="18">
        <v>517.96133853125002</v>
      </c>
      <c r="J1911" s="18">
        <v>4520.0386614687504</v>
      </c>
      <c r="K1911" s="22">
        <v>0</v>
      </c>
      <c r="L1911" s="22" t="str">
        <f t="shared" si="29"/>
        <v>46266, 6, 11</v>
      </c>
    </row>
    <row r="1912" spans="1:12">
      <c r="A1912" s="9">
        <v>46266</v>
      </c>
      <c r="B1912">
        <v>6</v>
      </c>
      <c r="C1912" s="16" t="s">
        <v>61</v>
      </c>
      <c r="D1912">
        <v>12</v>
      </c>
      <c r="E1912" s="16" t="s">
        <v>49</v>
      </c>
      <c r="F1912" s="18">
        <v>3243</v>
      </c>
      <c r="G1912" s="22">
        <v>141</v>
      </c>
      <c r="H1912" s="18">
        <v>2.7697190487352898</v>
      </c>
      <c r="I1912" s="18">
        <v>390.530385871676</v>
      </c>
      <c r="J1912" s="18">
        <v>2852.4696141283198</v>
      </c>
      <c r="K1912" s="22">
        <v>0</v>
      </c>
      <c r="L1912" s="22" t="str">
        <f t="shared" si="29"/>
        <v>46266, 6, 12</v>
      </c>
    </row>
    <row r="1913" spans="1:12">
      <c r="A1913" s="9">
        <v>46266</v>
      </c>
      <c r="B1913">
        <v>6</v>
      </c>
      <c r="C1913" s="16" t="s">
        <v>61</v>
      </c>
      <c r="D1913">
        <v>13</v>
      </c>
      <c r="E1913" s="16" t="s">
        <v>50</v>
      </c>
      <c r="F1913" s="18">
        <v>3432</v>
      </c>
      <c r="G1913" s="22">
        <v>143</v>
      </c>
      <c r="H1913" s="18">
        <v>7.9536474999999998</v>
      </c>
      <c r="I1913" s="18">
        <v>1137.3715924999999</v>
      </c>
      <c r="J1913" s="18">
        <v>2294.6284074999999</v>
      </c>
      <c r="K1913" s="22">
        <v>0</v>
      </c>
      <c r="L1913" s="22" t="str">
        <f t="shared" si="29"/>
        <v>46266, 6, 13</v>
      </c>
    </row>
    <row r="1914" spans="1:12">
      <c r="A1914" s="9">
        <v>46266</v>
      </c>
      <c r="B1914">
        <v>6</v>
      </c>
      <c r="C1914" s="16" t="s">
        <v>61</v>
      </c>
      <c r="D1914">
        <v>14</v>
      </c>
      <c r="E1914" s="16" t="s">
        <v>51</v>
      </c>
      <c r="F1914" s="18">
        <v>1180</v>
      </c>
      <c r="G1914" s="22">
        <v>40</v>
      </c>
      <c r="H1914" s="18">
        <v>5.0306738960595201</v>
      </c>
      <c r="I1914" s="18">
        <v>201.22695584237999</v>
      </c>
      <c r="J1914" s="18">
        <v>978.77304415761898</v>
      </c>
      <c r="K1914" s="22">
        <v>0</v>
      </c>
      <c r="L1914" s="22" t="str">
        <f t="shared" si="29"/>
        <v>46266, 6, 14</v>
      </c>
    </row>
    <row r="1915" spans="1:12">
      <c r="A1915" s="9">
        <v>46266</v>
      </c>
      <c r="B1915">
        <v>6</v>
      </c>
      <c r="C1915" s="16" t="s">
        <v>61</v>
      </c>
      <c r="D1915">
        <v>15</v>
      </c>
      <c r="E1915" s="16" t="s">
        <v>52</v>
      </c>
      <c r="F1915" s="18">
        <v>3876</v>
      </c>
      <c r="G1915" s="22">
        <v>152</v>
      </c>
      <c r="H1915" s="18">
        <v>2.9433596185714199</v>
      </c>
      <c r="I1915" s="18">
        <v>447.39066202285699</v>
      </c>
      <c r="J1915" s="18">
        <v>3428.6093379771401</v>
      </c>
      <c r="K1915" s="22">
        <v>0</v>
      </c>
      <c r="L1915" s="22" t="str">
        <f t="shared" si="29"/>
        <v>46266, 6, 15</v>
      </c>
    </row>
    <row r="1916" spans="1:12">
      <c r="A1916" s="9">
        <v>46266</v>
      </c>
      <c r="B1916">
        <v>6</v>
      </c>
      <c r="C1916" s="16" t="s">
        <v>61</v>
      </c>
      <c r="D1916">
        <v>16</v>
      </c>
      <c r="E1916" s="16" t="s">
        <v>53</v>
      </c>
      <c r="F1916" s="18">
        <v>891</v>
      </c>
      <c r="G1916" s="22">
        <v>99</v>
      </c>
      <c r="H1916" s="18">
        <v>1.72020746861111</v>
      </c>
      <c r="I1916" s="18">
        <v>170.30053939250001</v>
      </c>
      <c r="J1916" s="18">
        <v>720.69946060749896</v>
      </c>
      <c r="K1916" s="22">
        <v>0</v>
      </c>
      <c r="L1916" s="22" t="str">
        <f t="shared" si="29"/>
        <v>46266, 6, 16</v>
      </c>
    </row>
    <row r="1917" spans="1:12">
      <c r="A1917" s="9">
        <v>46266</v>
      </c>
      <c r="B1917">
        <v>6</v>
      </c>
      <c r="C1917" s="16" t="s">
        <v>61</v>
      </c>
      <c r="D1917">
        <v>17</v>
      </c>
      <c r="E1917" s="16" t="s">
        <v>54</v>
      </c>
      <c r="F1917" s="18">
        <v>1411</v>
      </c>
      <c r="G1917" s="22">
        <v>166</v>
      </c>
      <c r="H1917" s="18">
        <v>1.5674008276470499</v>
      </c>
      <c r="I1917" s="18">
        <v>260.18853738941101</v>
      </c>
      <c r="J1917" s="18">
        <v>1150.8114626105801</v>
      </c>
      <c r="K1917" s="22">
        <v>0</v>
      </c>
      <c r="L1917" s="22" t="str">
        <f t="shared" si="29"/>
        <v>46266, 6, 17</v>
      </c>
    </row>
    <row r="1918" spans="1:12">
      <c r="A1918" s="9">
        <v>46266</v>
      </c>
      <c r="B1918">
        <v>6</v>
      </c>
      <c r="C1918" s="16" t="s">
        <v>61</v>
      </c>
      <c r="D1918">
        <v>18</v>
      </c>
      <c r="E1918" s="16" t="s">
        <v>55</v>
      </c>
      <c r="F1918" s="18">
        <v>2825</v>
      </c>
      <c r="G1918" s="22">
        <v>113</v>
      </c>
      <c r="H1918" s="18">
        <v>7.0305995747613599</v>
      </c>
      <c r="I1918" s="18">
        <v>794.457751948034</v>
      </c>
      <c r="J1918" s="18">
        <v>2030.5422480519601</v>
      </c>
      <c r="K1918" s="22">
        <v>0</v>
      </c>
      <c r="L1918" s="22" t="str">
        <f t="shared" si="29"/>
        <v>46266, 6, 18</v>
      </c>
    </row>
    <row r="1919" spans="1:12">
      <c r="A1919" s="9">
        <v>45689</v>
      </c>
      <c r="B1919">
        <v>7</v>
      </c>
      <c r="C1919" s="16" t="s">
        <v>62</v>
      </c>
      <c r="D1919">
        <v>1</v>
      </c>
      <c r="E1919" s="16" t="s">
        <v>38</v>
      </c>
      <c r="F1919" s="18">
        <v>1349</v>
      </c>
      <c r="G1919" s="22">
        <v>71</v>
      </c>
      <c r="H1919" s="18">
        <v>3.62552066666666</v>
      </c>
      <c r="I1919" s="18">
        <v>257.411967333333</v>
      </c>
      <c r="J1919" s="18">
        <v>1091.58803266666</v>
      </c>
      <c r="K1919" s="22">
        <v>0</v>
      </c>
      <c r="L1919" s="22" t="str">
        <f t="shared" si="29"/>
        <v>45689, 7, 1</v>
      </c>
    </row>
    <row r="1920" spans="1:12">
      <c r="A1920" s="9">
        <v>45689</v>
      </c>
      <c r="B1920">
        <v>7</v>
      </c>
      <c r="C1920" s="16" t="s">
        <v>62</v>
      </c>
      <c r="D1920">
        <v>2</v>
      </c>
      <c r="E1920" s="16" t="s">
        <v>40</v>
      </c>
      <c r="F1920" s="18">
        <v>1890</v>
      </c>
      <c r="G1920" s="22">
        <v>90</v>
      </c>
      <c r="H1920" s="18">
        <v>6.5248777134999996</v>
      </c>
      <c r="I1920" s="18">
        <v>587.23899421500005</v>
      </c>
      <c r="J1920" s="18">
        <v>1302.761005785</v>
      </c>
      <c r="K1920" s="22">
        <v>0</v>
      </c>
      <c r="L1920" s="22" t="str">
        <f t="shared" si="29"/>
        <v>45689, 7, 2</v>
      </c>
    </row>
    <row r="1921" spans="1:12">
      <c r="A1921" s="9">
        <v>45689</v>
      </c>
      <c r="B1921">
        <v>7</v>
      </c>
      <c r="C1921" s="16" t="s">
        <v>62</v>
      </c>
      <c r="D1921">
        <v>3</v>
      </c>
      <c r="E1921" s="16" t="s">
        <v>41</v>
      </c>
      <c r="F1921" s="18">
        <v>1166</v>
      </c>
      <c r="G1921" s="22">
        <v>53</v>
      </c>
      <c r="H1921" s="18">
        <v>3.2948849683749999</v>
      </c>
      <c r="I1921" s="18">
        <v>174.62890332387499</v>
      </c>
      <c r="J1921" s="18">
        <v>991.37109667612503</v>
      </c>
      <c r="K1921" s="22">
        <v>0</v>
      </c>
      <c r="L1921" s="22" t="str">
        <f t="shared" si="29"/>
        <v>45689, 7, 3</v>
      </c>
    </row>
    <row r="1922" spans="1:12">
      <c r="A1922" s="9">
        <v>45689</v>
      </c>
      <c r="B1922">
        <v>7</v>
      </c>
      <c r="C1922" s="16" t="s">
        <v>62</v>
      </c>
      <c r="D1922">
        <v>4</v>
      </c>
      <c r="E1922" s="16" t="s">
        <v>42</v>
      </c>
      <c r="F1922" s="18">
        <v>810</v>
      </c>
      <c r="G1922" s="22">
        <v>45</v>
      </c>
      <c r="H1922" s="18">
        <v>7.2255983967499997</v>
      </c>
      <c r="I1922" s="18">
        <v>325.15192785375001</v>
      </c>
      <c r="J1922" s="18">
        <v>484.84807214624999</v>
      </c>
      <c r="K1922" s="22">
        <v>0</v>
      </c>
      <c r="L1922" s="22" t="str">
        <f t="shared" si="29"/>
        <v>45689, 7, 4</v>
      </c>
    </row>
    <row r="1923" spans="1:12">
      <c r="A1923" s="9">
        <v>45689</v>
      </c>
      <c r="B1923">
        <v>7</v>
      </c>
      <c r="C1923" s="16" t="s">
        <v>62</v>
      </c>
      <c r="D1923">
        <v>5</v>
      </c>
      <c r="E1923" s="16" t="s">
        <v>43</v>
      </c>
      <c r="F1923" s="18">
        <v>610.5</v>
      </c>
      <c r="G1923" s="22">
        <v>33</v>
      </c>
      <c r="H1923" s="18">
        <v>6.5779017857142801</v>
      </c>
      <c r="I1923" s="18">
        <v>217.070758928571</v>
      </c>
      <c r="J1923" s="18">
        <v>393.42924107142801</v>
      </c>
      <c r="K1923" s="22">
        <v>0</v>
      </c>
      <c r="L1923" s="22" t="str">
        <f t="shared" ref="L1923:L1986" si="30">(A1923&amp; ", "&amp; B1923&amp; ", "&amp; D1923)</f>
        <v>45689, 7, 5</v>
      </c>
    </row>
    <row r="1924" spans="1:12">
      <c r="A1924" s="9">
        <v>45689</v>
      </c>
      <c r="B1924">
        <v>7</v>
      </c>
      <c r="C1924" s="16" t="s">
        <v>62</v>
      </c>
      <c r="D1924">
        <v>6</v>
      </c>
      <c r="E1924" s="16" t="s">
        <v>44</v>
      </c>
      <c r="F1924" s="18">
        <v>1345.5</v>
      </c>
      <c r="G1924" s="22">
        <v>69</v>
      </c>
      <c r="H1924" s="18">
        <v>4.4019808921249997</v>
      </c>
      <c r="I1924" s="18">
        <v>303.736681556625</v>
      </c>
      <c r="J1924" s="18">
        <v>1041.7633184433701</v>
      </c>
      <c r="K1924" s="22">
        <v>0</v>
      </c>
      <c r="L1924" s="22" t="str">
        <f t="shared" si="30"/>
        <v>45689, 7, 6</v>
      </c>
    </row>
    <row r="1925" spans="1:12">
      <c r="A1925" s="9">
        <v>45689</v>
      </c>
      <c r="B1925">
        <v>7</v>
      </c>
      <c r="C1925" s="16" t="s">
        <v>62</v>
      </c>
      <c r="D1925">
        <v>7</v>
      </c>
      <c r="E1925" s="16" t="s">
        <v>45</v>
      </c>
      <c r="F1925" s="18">
        <v>990</v>
      </c>
      <c r="G1925" s="22">
        <v>110</v>
      </c>
      <c r="H1925" s="18">
        <v>2.7466422779166599</v>
      </c>
      <c r="I1925" s="18">
        <v>302.13065057083298</v>
      </c>
      <c r="J1925" s="18">
        <v>687.86934942916605</v>
      </c>
      <c r="K1925" s="22">
        <v>0</v>
      </c>
      <c r="L1925" s="22" t="str">
        <f t="shared" si="30"/>
        <v>45689, 7, 7</v>
      </c>
    </row>
    <row r="1926" spans="1:12">
      <c r="A1926" s="9">
        <v>45689</v>
      </c>
      <c r="B1926">
        <v>7</v>
      </c>
      <c r="C1926" s="16" t="s">
        <v>62</v>
      </c>
      <c r="D1926">
        <v>8</v>
      </c>
      <c r="E1926" s="16" t="s">
        <v>46</v>
      </c>
      <c r="F1926" s="18">
        <v>649</v>
      </c>
      <c r="G1926" s="22">
        <v>59</v>
      </c>
      <c r="H1926" s="18">
        <v>0.66028319599999996</v>
      </c>
      <c r="I1926" s="18">
        <v>38.956708564000003</v>
      </c>
      <c r="J1926" s="18">
        <v>610.04329143599898</v>
      </c>
      <c r="K1926" s="22">
        <v>0</v>
      </c>
      <c r="L1926" s="22" t="str">
        <f t="shared" si="30"/>
        <v>45689, 7, 8</v>
      </c>
    </row>
    <row r="1927" spans="1:12">
      <c r="A1927" s="9">
        <v>45689</v>
      </c>
      <c r="B1927">
        <v>7</v>
      </c>
      <c r="C1927" s="16" t="s">
        <v>62</v>
      </c>
      <c r="D1927">
        <v>9</v>
      </c>
      <c r="E1927" s="16" t="s">
        <v>47</v>
      </c>
      <c r="F1927" s="18">
        <v>1032</v>
      </c>
      <c r="G1927" s="22">
        <v>24</v>
      </c>
      <c r="H1927" s="18">
        <v>15.0706040525854</v>
      </c>
      <c r="I1927" s="18">
        <v>361.69449726204999</v>
      </c>
      <c r="J1927" s="18">
        <v>670.30550273794904</v>
      </c>
      <c r="K1927" s="22">
        <v>0</v>
      </c>
      <c r="L1927" s="22" t="str">
        <f t="shared" si="30"/>
        <v>45689, 7, 9</v>
      </c>
    </row>
    <row r="1928" spans="1:12">
      <c r="A1928" s="9">
        <v>45689</v>
      </c>
      <c r="B1928">
        <v>7</v>
      </c>
      <c r="C1928" s="16" t="s">
        <v>62</v>
      </c>
      <c r="D1928">
        <v>10</v>
      </c>
      <c r="E1928" s="16" t="s">
        <v>57</v>
      </c>
      <c r="F1928" s="18">
        <v>384</v>
      </c>
      <c r="G1928" s="22">
        <v>32</v>
      </c>
      <c r="H1928" s="18">
        <v>2.2156263384888799</v>
      </c>
      <c r="I1928" s="18">
        <v>70.900042831644399</v>
      </c>
      <c r="J1928" s="18">
        <v>313.09995716835499</v>
      </c>
      <c r="K1928" s="22">
        <v>0</v>
      </c>
      <c r="L1928" s="22" t="str">
        <f t="shared" si="30"/>
        <v>45689, 7, 10</v>
      </c>
    </row>
    <row r="1929" spans="1:12">
      <c r="A1929" s="9">
        <v>45689</v>
      </c>
      <c r="B1929">
        <v>7</v>
      </c>
      <c r="C1929" s="16" t="s">
        <v>62</v>
      </c>
      <c r="D1929">
        <v>11</v>
      </c>
      <c r="E1929" s="16" t="s">
        <v>48</v>
      </c>
      <c r="F1929" s="18">
        <v>1147</v>
      </c>
      <c r="G1929" s="22">
        <v>62</v>
      </c>
      <c r="H1929" s="18">
        <v>1.9534544642857099</v>
      </c>
      <c r="I1929" s="18">
        <v>121.11417678571399</v>
      </c>
      <c r="J1929" s="18">
        <v>1025.88582321428</v>
      </c>
      <c r="K1929" s="22">
        <v>0</v>
      </c>
      <c r="L1929" s="22" t="str">
        <f t="shared" si="30"/>
        <v>45689, 7, 11</v>
      </c>
    </row>
    <row r="1930" spans="1:12">
      <c r="A1930" s="9">
        <v>45689</v>
      </c>
      <c r="B1930">
        <v>7</v>
      </c>
      <c r="C1930" s="16" t="s">
        <v>62</v>
      </c>
      <c r="D1930">
        <v>12</v>
      </c>
      <c r="E1930" s="16" t="s">
        <v>49</v>
      </c>
      <c r="F1930" s="18">
        <v>684</v>
      </c>
      <c r="G1930" s="22">
        <v>36</v>
      </c>
      <c r="H1930" s="18">
        <v>2.4712430386249999</v>
      </c>
      <c r="I1930" s="18">
        <v>88.964749390500003</v>
      </c>
      <c r="J1930" s="18">
        <v>595.03525060950005</v>
      </c>
      <c r="K1930" s="22">
        <v>0</v>
      </c>
      <c r="L1930" s="22" t="str">
        <f t="shared" si="30"/>
        <v>45689, 7, 12</v>
      </c>
    </row>
    <row r="1931" spans="1:12">
      <c r="A1931" s="9">
        <v>45689</v>
      </c>
      <c r="B1931">
        <v>7</v>
      </c>
      <c r="C1931" s="16" t="s">
        <v>62</v>
      </c>
      <c r="D1931">
        <v>13</v>
      </c>
      <c r="E1931" s="16" t="s">
        <v>50</v>
      </c>
      <c r="F1931" s="18">
        <v>1755</v>
      </c>
      <c r="G1931" s="22">
        <v>90</v>
      </c>
      <c r="H1931" s="18">
        <v>6.4882364736842097</v>
      </c>
      <c r="I1931" s="18">
        <v>583.94128263157802</v>
      </c>
      <c r="J1931" s="18">
        <v>1171.05871736842</v>
      </c>
      <c r="K1931" s="22">
        <v>0</v>
      </c>
      <c r="L1931" s="22" t="str">
        <f t="shared" si="30"/>
        <v>45689, 7, 13</v>
      </c>
    </row>
    <row r="1932" spans="1:12">
      <c r="A1932" s="9">
        <v>45689</v>
      </c>
      <c r="B1932">
        <v>7</v>
      </c>
      <c r="C1932" s="16" t="s">
        <v>62</v>
      </c>
      <c r="D1932">
        <v>14</v>
      </c>
      <c r="E1932" s="16" t="s">
        <v>51</v>
      </c>
      <c r="F1932" s="18">
        <v>1641.5</v>
      </c>
      <c r="G1932" s="22">
        <v>67</v>
      </c>
      <c r="H1932" s="18">
        <v>3.7886507367638802</v>
      </c>
      <c r="I1932" s="18">
        <v>253.83959936318001</v>
      </c>
      <c r="J1932" s="18">
        <v>1387.66040063681</v>
      </c>
      <c r="K1932" s="22">
        <v>0</v>
      </c>
      <c r="L1932" s="22" t="str">
        <f t="shared" si="30"/>
        <v>45689, 7, 14</v>
      </c>
    </row>
    <row r="1933" spans="1:12">
      <c r="A1933" s="9">
        <v>45689</v>
      </c>
      <c r="B1933">
        <v>7</v>
      </c>
      <c r="C1933" s="16" t="s">
        <v>62</v>
      </c>
      <c r="D1933">
        <v>15</v>
      </c>
      <c r="E1933" s="16" t="s">
        <v>52</v>
      </c>
      <c r="F1933" s="18">
        <v>1491</v>
      </c>
      <c r="G1933" s="22">
        <v>71</v>
      </c>
      <c r="H1933" s="18">
        <v>2.3842926343333302</v>
      </c>
      <c r="I1933" s="18">
        <v>169.284777037666</v>
      </c>
      <c r="J1933" s="18">
        <v>1321.71522296233</v>
      </c>
      <c r="K1933" s="22">
        <v>0</v>
      </c>
      <c r="L1933" s="22" t="str">
        <f t="shared" si="30"/>
        <v>45689, 7, 15</v>
      </c>
    </row>
    <row r="1934" spans="1:12">
      <c r="A1934" s="9">
        <v>45689</v>
      </c>
      <c r="B1934">
        <v>7</v>
      </c>
      <c r="C1934" s="16" t="s">
        <v>62</v>
      </c>
      <c r="D1934">
        <v>16</v>
      </c>
      <c r="E1934" s="16" t="s">
        <v>53</v>
      </c>
      <c r="F1934" s="18">
        <v>442.5</v>
      </c>
      <c r="G1934" s="22">
        <v>59</v>
      </c>
      <c r="H1934" s="18">
        <v>1.4051705728030299</v>
      </c>
      <c r="I1934" s="18">
        <v>82.905063795378695</v>
      </c>
      <c r="J1934" s="18">
        <v>359.59493620462098</v>
      </c>
      <c r="K1934" s="22">
        <v>0</v>
      </c>
      <c r="L1934" s="22" t="str">
        <f t="shared" si="30"/>
        <v>45689, 7, 16</v>
      </c>
    </row>
    <row r="1935" spans="1:12">
      <c r="A1935" s="9">
        <v>45689</v>
      </c>
      <c r="B1935">
        <v>7</v>
      </c>
      <c r="C1935" s="16" t="s">
        <v>62</v>
      </c>
      <c r="D1935">
        <v>17</v>
      </c>
      <c r="E1935" s="16" t="s">
        <v>54</v>
      </c>
      <c r="F1935" s="18">
        <v>266</v>
      </c>
      <c r="G1935" s="22">
        <v>38</v>
      </c>
      <c r="H1935" s="18">
        <v>1.353384256</v>
      </c>
      <c r="I1935" s="18">
        <v>51.428601727999997</v>
      </c>
      <c r="J1935" s="18">
        <v>214.57139827200001</v>
      </c>
      <c r="K1935" s="22">
        <v>0</v>
      </c>
      <c r="L1935" s="22" t="str">
        <f t="shared" si="30"/>
        <v>45689, 7, 17</v>
      </c>
    </row>
    <row r="1936" spans="1:12">
      <c r="A1936" s="9">
        <v>45689</v>
      </c>
      <c r="B1936">
        <v>7</v>
      </c>
      <c r="C1936" s="16" t="s">
        <v>62</v>
      </c>
      <c r="D1936">
        <v>18</v>
      </c>
      <c r="E1936" s="16" t="s">
        <v>55</v>
      </c>
      <c r="F1936" s="18">
        <v>266.5</v>
      </c>
      <c r="G1936" s="22">
        <v>13</v>
      </c>
      <c r="H1936" s="18">
        <v>5.6508887356499997</v>
      </c>
      <c r="I1936" s="18">
        <v>73.461553563449996</v>
      </c>
      <c r="J1936" s="18">
        <v>193.03844643655</v>
      </c>
      <c r="K1936" s="22">
        <v>0</v>
      </c>
      <c r="L1936" s="22" t="str">
        <f t="shared" si="30"/>
        <v>45689, 7, 18</v>
      </c>
    </row>
    <row r="1937" spans="1:12">
      <c r="A1937" s="9">
        <v>45717</v>
      </c>
      <c r="B1937">
        <v>7</v>
      </c>
      <c r="C1937" s="16" t="s">
        <v>62</v>
      </c>
      <c r="D1937">
        <v>1</v>
      </c>
      <c r="E1937" s="16" t="s">
        <v>38</v>
      </c>
      <c r="F1937" s="18">
        <v>2128</v>
      </c>
      <c r="G1937" s="22">
        <v>112</v>
      </c>
      <c r="H1937" s="18">
        <v>3.62006163461538</v>
      </c>
      <c r="I1937" s="18">
        <v>405.44690307692298</v>
      </c>
      <c r="J1937" s="18">
        <v>1722.5530969230699</v>
      </c>
      <c r="K1937" s="22">
        <v>0</v>
      </c>
      <c r="L1937" s="22" t="str">
        <f t="shared" si="30"/>
        <v>45717, 7, 1</v>
      </c>
    </row>
    <row r="1938" spans="1:12">
      <c r="A1938" s="9">
        <v>45717</v>
      </c>
      <c r="B1938">
        <v>7</v>
      </c>
      <c r="C1938" s="16" t="s">
        <v>62</v>
      </c>
      <c r="D1938">
        <v>2</v>
      </c>
      <c r="E1938" s="16" t="s">
        <v>40</v>
      </c>
      <c r="F1938" s="18">
        <v>2793</v>
      </c>
      <c r="G1938" s="22">
        <v>133</v>
      </c>
      <c r="H1938" s="18">
        <v>6.5472920303529403</v>
      </c>
      <c r="I1938" s="18">
        <v>870.78984003694097</v>
      </c>
      <c r="J1938" s="18">
        <v>1922.21015996305</v>
      </c>
      <c r="K1938" s="22">
        <v>0</v>
      </c>
      <c r="L1938" s="22" t="str">
        <f t="shared" si="30"/>
        <v>45717, 7, 2</v>
      </c>
    </row>
    <row r="1939" spans="1:12">
      <c r="A1939" s="9">
        <v>45717</v>
      </c>
      <c r="B1939">
        <v>7</v>
      </c>
      <c r="C1939" s="16" t="s">
        <v>62</v>
      </c>
      <c r="D1939">
        <v>3</v>
      </c>
      <c r="E1939" s="16" t="s">
        <v>41</v>
      </c>
      <c r="F1939" s="18">
        <v>1474</v>
      </c>
      <c r="G1939" s="22">
        <v>67</v>
      </c>
      <c r="H1939" s="18">
        <v>3.2814685748235202</v>
      </c>
      <c r="I1939" s="18">
        <v>219.85839451317599</v>
      </c>
      <c r="J1939" s="18">
        <v>1254.14160548682</v>
      </c>
      <c r="K1939" s="22">
        <v>0</v>
      </c>
      <c r="L1939" s="22" t="str">
        <f t="shared" si="30"/>
        <v>45717, 7, 3</v>
      </c>
    </row>
    <row r="1940" spans="1:12">
      <c r="A1940" s="9">
        <v>45717</v>
      </c>
      <c r="B1940">
        <v>7</v>
      </c>
      <c r="C1940" s="16" t="s">
        <v>62</v>
      </c>
      <c r="D1940">
        <v>4</v>
      </c>
      <c r="E1940" s="16" t="s">
        <v>42</v>
      </c>
      <c r="F1940" s="18">
        <v>1638</v>
      </c>
      <c r="G1940" s="22">
        <v>91</v>
      </c>
      <c r="H1940" s="18">
        <v>7.1606611192941099</v>
      </c>
      <c r="I1940" s="18">
        <v>651.62016185576397</v>
      </c>
      <c r="J1940" s="18">
        <v>986.37983814423501</v>
      </c>
      <c r="K1940" s="22">
        <v>0</v>
      </c>
      <c r="L1940" s="22" t="str">
        <f t="shared" si="30"/>
        <v>45717, 7, 4</v>
      </c>
    </row>
    <row r="1941" spans="1:12">
      <c r="A1941" s="9">
        <v>45717</v>
      </c>
      <c r="B1941">
        <v>7</v>
      </c>
      <c r="C1941" s="16" t="s">
        <v>62</v>
      </c>
      <c r="D1941">
        <v>5</v>
      </c>
      <c r="E1941" s="16" t="s">
        <v>43</v>
      </c>
      <c r="F1941" s="18">
        <v>943.5</v>
      </c>
      <c r="G1941" s="22">
        <v>51</v>
      </c>
      <c r="H1941" s="18">
        <v>6.3566176470588198</v>
      </c>
      <c r="I1941" s="18">
        <v>324.18749999999898</v>
      </c>
      <c r="J1941" s="18">
        <v>619.3125</v>
      </c>
      <c r="K1941" s="22">
        <v>0</v>
      </c>
      <c r="L1941" s="22" t="str">
        <f t="shared" si="30"/>
        <v>45717, 7, 5</v>
      </c>
    </row>
    <row r="1942" spans="1:12">
      <c r="A1942" s="9">
        <v>45717</v>
      </c>
      <c r="B1942">
        <v>7</v>
      </c>
      <c r="C1942" s="16" t="s">
        <v>62</v>
      </c>
      <c r="D1942">
        <v>6</v>
      </c>
      <c r="E1942" s="16" t="s">
        <v>44</v>
      </c>
      <c r="F1942" s="18">
        <v>1989</v>
      </c>
      <c r="G1942" s="22">
        <v>102</v>
      </c>
      <c r="H1942" s="18">
        <v>4.4233799238181799</v>
      </c>
      <c r="I1942" s="18">
        <v>451.18475222945398</v>
      </c>
      <c r="J1942" s="18">
        <v>1537.8152477705401</v>
      </c>
      <c r="K1942" s="22">
        <v>0</v>
      </c>
      <c r="L1942" s="22" t="str">
        <f t="shared" si="30"/>
        <v>45717, 7, 6</v>
      </c>
    </row>
    <row r="1943" spans="1:12">
      <c r="A1943" s="9">
        <v>45717</v>
      </c>
      <c r="B1943">
        <v>7</v>
      </c>
      <c r="C1943" s="16" t="s">
        <v>62</v>
      </c>
      <c r="D1943">
        <v>7</v>
      </c>
      <c r="E1943" s="16" t="s">
        <v>45</v>
      </c>
      <c r="F1943" s="18">
        <v>1053</v>
      </c>
      <c r="G1943" s="22">
        <v>117</v>
      </c>
      <c r="H1943" s="18">
        <v>2.7550560642647</v>
      </c>
      <c r="I1943" s="18">
        <v>322.34155951896997</v>
      </c>
      <c r="J1943" s="18">
        <v>730.65844048102895</v>
      </c>
      <c r="K1943" s="22">
        <v>0</v>
      </c>
      <c r="L1943" s="22" t="str">
        <f t="shared" si="30"/>
        <v>45717, 7, 7</v>
      </c>
    </row>
    <row r="1944" spans="1:12">
      <c r="A1944" s="9">
        <v>45717</v>
      </c>
      <c r="B1944">
        <v>7</v>
      </c>
      <c r="C1944" s="16" t="s">
        <v>62</v>
      </c>
      <c r="D1944">
        <v>8</v>
      </c>
      <c r="E1944" s="16" t="s">
        <v>46</v>
      </c>
      <c r="F1944" s="18">
        <v>836</v>
      </c>
      <c r="G1944" s="22">
        <v>76</v>
      </c>
      <c r="H1944" s="18">
        <v>0.68199508777777695</v>
      </c>
      <c r="I1944" s="18">
        <v>51.831626671111103</v>
      </c>
      <c r="J1944" s="18">
        <v>784.16837332888804</v>
      </c>
      <c r="K1944" s="22">
        <v>0</v>
      </c>
      <c r="L1944" s="22" t="str">
        <f t="shared" si="30"/>
        <v>45717, 7, 8</v>
      </c>
    </row>
    <row r="1945" spans="1:12">
      <c r="A1945" s="9">
        <v>45717</v>
      </c>
      <c r="B1945">
        <v>7</v>
      </c>
      <c r="C1945" s="16" t="s">
        <v>62</v>
      </c>
      <c r="D1945">
        <v>9</v>
      </c>
      <c r="E1945" s="16" t="s">
        <v>47</v>
      </c>
      <c r="F1945" s="18">
        <v>1505</v>
      </c>
      <c r="G1945" s="22">
        <v>35</v>
      </c>
      <c r="H1945" s="18">
        <v>15.100397994422501</v>
      </c>
      <c r="I1945" s="18">
        <v>528.51392980478704</v>
      </c>
      <c r="J1945" s="18">
        <v>976.48607019521205</v>
      </c>
      <c r="K1945" s="22">
        <v>0</v>
      </c>
      <c r="L1945" s="22" t="str">
        <f t="shared" si="30"/>
        <v>45717, 7, 9</v>
      </c>
    </row>
    <row r="1946" spans="1:12">
      <c r="A1946" s="9">
        <v>45717</v>
      </c>
      <c r="B1946">
        <v>7</v>
      </c>
      <c r="C1946" s="16" t="s">
        <v>62</v>
      </c>
      <c r="D1946">
        <v>10</v>
      </c>
      <c r="E1946" s="16" t="s">
        <v>57</v>
      </c>
      <c r="F1946" s="18">
        <v>636</v>
      </c>
      <c r="G1946" s="22">
        <v>53</v>
      </c>
      <c r="H1946" s="18">
        <v>2.1584362512470499</v>
      </c>
      <c r="I1946" s="18">
        <v>114.397121316094</v>
      </c>
      <c r="J1946" s="18">
        <v>521.60287868390503</v>
      </c>
      <c r="K1946" s="22">
        <v>0</v>
      </c>
      <c r="L1946" s="22" t="str">
        <f t="shared" si="30"/>
        <v>45717, 7, 10</v>
      </c>
    </row>
    <row r="1947" spans="1:12">
      <c r="A1947" s="9">
        <v>45717</v>
      </c>
      <c r="B1947">
        <v>7</v>
      </c>
      <c r="C1947" s="16" t="s">
        <v>62</v>
      </c>
      <c r="D1947">
        <v>11</v>
      </c>
      <c r="E1947" s="16" t="s">
        <v>48</v>
      </c>
      <c r="F1947" s="18">
        <v>1554</v>
      </c>
      <c r="G1947" s="22">
        <v>84</v>
      </c>
      <c r="H1947" s="18">
        <v>1.93696681944444</v>
      </c>
      <c r="I1947" s="18">
        <v>162.70521283333301</v>
      </c>
      <c r="J1947" s="18">
        <v>1391.2947871666599</v>
      </c>
      <c r="K1947" s="22">
        <v>0</v>
      </c>
      <c r="L1947" s="22" t="str">
        <f t="shared" si="30"/>
        <v>45717, 7, 11</v>
      </c>
    </row>
    <row r="1948" spans="1:12">
      <c r="A1948" s="9">
        <v>45717</v>
      </c>
      <c r="B1948">
        <v>7</v>
      </c>
      <c r="C1948" s="16" t="s">
        <v>62</v>
      </c>
      <c r="D1948">
        <v>12</v>
      </c>
      <c r="E1948" s="16" t="s">
        <v>49</v>
      </c>
      <c r="F1948" s="18">
        <v>950</v>
      </c>
      <c r="G1948" s="22">
        <v>50</v>
      </c>
      <c r="H1948" s="18">
        <v>2.48417359644117</v>
      </c>
      <c r="I1948" s="18">
        <v>124.208679822058</v>
      </c>
      <c r="J1948" s="18">
        <v>825.79132017794097</v>
      </c>
      <c r="K1948" s="22">
        <v>0</v>
      </c>
      <c r="L1948" s="22" t="str">
        <f t="shared" si="30"/>
        <v>45717, 7, 12</v>
      </c>
    </row>
    <row r="1949" spans="1:12">
      <c r="A1949" s="9">
        <v>45717</v>
      </c>
      <c r="B1949">
        <v>7</v>
      </c>
      <c r="C1949" s="16" t="s">
        <v>62</v>
      </c>
      <c r="D1949">
        <v>13</v>
      </c>
      <c r="E1949" s="16" t="s">
        <v>50</v>
      </c>
      <c r="F1949" s="18">
        <v>2847</v>
      </c>
      <c r="G1949" s="22">
        <v>146</v>
      </c>
      <c r="H1949" s="18">
        <v>6.4836623684210499</v>
      </c>
      <c r="I1949" s="18">
        <v>946.61470578947296</v>
      </c>
      <c r="J1949" s="18">
        <v>1900.38529421052</v>
      </c>
      <c r="K1949" s="22">
        <v>0</v>
      </c>
      <c r="L1949" s="22" t="str">
        <f t="shared" si="30"/>
        <v>45717, 7, 13</v>
      </c>
    </row>
    <row r="1950" spans="1:12">
      <c r="A1950" s="9">
        <v>45717</v>
      </c>
      <c r="B1950">
        <v>7</v>
      </c>
      <c r="C1950" s="16" t="s">
        <v>62</v>
      </c>
      <c r="D1950">
        <v>14</v>
      </c>
      <c r="E1950" s="16" t="s">
        <v>51</v>
      </c>
      <c r="F1950" s="18">
        <v>2278.5</v>
      </c>
      <c r="G1950" s="22">
        <v>93</v>
      </c>
      <c r="H1950" s="18">
        <v>3.8272678382500001</v>
      </c>
      <c r="I1950" s="18">
        <v>355.93590895724998</v>
      </c>
      <c r="J1950" s="18">
        <v>1922.5640910427401</v>
      </c>
      <c r="K1950" s="22">
        <v>0</v>
      </c>
      <c r="L1950" s="22" t="str">
        <f t="shared" si="30"/>
        <v>45717, 7, 14</v>
      </c>
    </row>
    <row r="1951" spans="1:12">
      <c r="A1951" s="9">
        <v>45717</v>
      </c>
      <c r="B1951">
        <v>7</v>
      </c>
      <c r="C1951" s="16" t="s">
        <v>62</v>
      </c>
      <c r="D1951">
        <v>15</v>
      </c>
      <c r="E1951" s="16" t="s">
        <v>52</v>
      </c>
      <c r="F1951" s="18">
        <v>2583</v>
      </c>
      <c r="G1951" s="22">
        <v>123</v>
      </c>
      <c r="H1951" s="18">
        <v>2.3864058925833298</v>
      </c>
      <c r="I1951" s="18">
        <v>293.52792478774899</v>
      </c>
      <c r="J1951" s="18">
        <v>2289.4720752122498</v>
      </c>
      <c r="K1951" s="22">
        <v>0</v>
      </c>
      <c r="L1951" s="22" t="str">
        <f t="shared" si="30"/>
        <v>45717, 7, 15</v>
      </c>
    </row>
    <row r="1952" spans="1:12">
      <c r="A1952" s="9">
        <v>45717</v>
      </c>
      <c r="B1952">
        <v>7</v>
      </c>
      <c r="C1952" s="16" t="s">
        <v>62</v>
      </c>
      <c r="D1952">
        <v>16</v>
      </c>
      <c r="E1952" s="16" t="s">
        <v>53</v>
      </c>
      <c r="F1952" s="18">
        <v>465</v>
      </c>
      <c r="G1952" s="22">
        <v>62</v>
      </c>
      <c r="H1952" s="18">
        <v>1.4067323375</v>
      </c>
      <c r="I1952" s="18">
        <v>87.217404924999997</v>
      </c>
      <c r="J1952" s="18">
        <v>377.78259507499899</v>
      </c>
      <c r="K1952" s="22">
        <v>0</v>
      </c>
      <c r="L1952" s="22" t="str">
        <f t="shared" si="30"/>
        <v>45717, 7, 16</v>
      </c>
    </row>
    <row r="1953" spans="1:12">
      <c r="A1953" s="9">
        <v>45717</v>
      </c>
      <c r="B1953">
        <v>7</v>
      </c>
      <c r="C1953" s="16" t="s">
        <v>62</v>
      </c>
      <c r="D1953">
        <v>17</v>
      </c>
      <c r="E1953" s="16" t="s">
        <v>54</v>
      </c>
      <c r="F1953" s="18">
        <v>448</v>
      </c>
      <c r="G1953" s="22">
        <v>64</v>
      </c>
      <c r="H1953" s="18">
        <v>1.3600063915</v>
      </c>
      <c r="I1953" s="18">
        <v>87.040409056000001</v>
      </c>
      <c r="J1953" s="18">
        <v>360.95959094400001</v>
      </c>
      <c r="K1953" s="22">
        <v>0</v>
      </c>
      <c r="L1953" s="22" t="str">
        <f t="shared" si="30"/>
        <v>45717, 7, 17</v>
      </c>
    </row>
    <row r="1954" spans="1:12">
      <c r="A1954" s="9">
        <v>45717</v>
      </c>
      <c r="B1954">
        <v>7</v>
      </c>
      <c r="C1954" s="16" t="s">
        <v>62</v>
      </c>
      <c r="D1954">
        <v>18</v>
      </c>
      <c r="E1954" s="16" t="s">
        <v>55</v>
      </c>
      <c r="F1954" s="18">
        <v>553.5</v>
      </c>
      <c r="G1954" s="22">
        <v>27</v>
      </c>
      <c r="H1954" s="18">
        <v>5.70200806458333</v>
      </c>
      <c r="I1954" s="18">
        <v>153.95421774374901</v>
      </c>
      <c r="J1954" s="18">
        <v>399.54578225624999</v>
      </c>
      <c r="K1954" s="22">
        <v>0</v>
      </c>
      <c r="L1954" s="22" t="str">
        <f t="shared" si="30"/>
        <v>45717, 7, 18</v>
      </c>
    </row>
    <row r="1955" spans="1:12">
      <c r="A1955" s="9">
        <v>45748</v>
      </c>
      <c r="B1955">
        <v>7</v>
      </c>
      <c r="C1955" s="16" t="s">
        <v>62</v>
      </c>
      <c r="D1955">
        <v>1</v>
      </c>
      <c r="E1955" s="16" t="s">
        <v>38</v>
      </c>
      <c r="F1955" s="18">
        <v>2394</v>
      </c>
      <c r="G1955" s="22">
        <v>126</v>
      </c>
      <c r="H1955" s="18">
        <v>3.6247379615384601</v>
      </c>
      <c r="I1955" s="18">
        <v>456.716983153846</v>
      </c>
      <c r="J1955" s="18">
        <v>1937.2830168461501</v>
      </c>
      <c r="K1955" s="22">
        <v>0</v>
      </c>
      <c r="L1955" s="22" t="str">
        <f t="shared" si="30"/>
        <v>45748, 7, 1</v>
      </c>
    </row>
    <row r="1956" spans="1:12">
      <c r="A1956" s="9">
        <v>45748</v>
      </c>
      <c r="B1956">
        <v>7</v>
      </c>
      <c r="C1956" s="16" t="s">
        <v>62</v>
      </c>
      <c r="D1956">
        <v>2</v>
      </c>
      <c r="E1956" s="16" t="s">
        <v>40</v>
      </c>
      <c r="F1956" s="18">
        <v>2877</v>
      </c>
      <c r="G1956" s="22">
        <v>137</v>
      </c>
      <c r="H1956" s="18">
        <v>6.6296273138823496</v>
      </c>
      <c r="I1956" s="18">
        <v>908.25894200188202</v>
      </c>
      <c r="J1956" s="18">
        <v>1968.7410579981099</v>
      </c>
      <c r="K1956" s="22">
        <v>0</v>
      </c>
      <c r="L1956" s="22" t="str">
        <f t="shared" si="30"/>
        <v>45748, 7, 2</v>
      </c>
    </row>
    <row r="1957" spans="1:12">
      <c r="A1957" s="9">
        <v>45748</v>
      </c>
      <c r="B1957">
        <v>7</v>
      </c>
      <c r="C1957" s="16" t="s">
        <v>62</v>
      </c>
      <c r="D1957">
        <v>3</v>
      </c>
      <c r="E1957" s="16" t="s">
        <v>41</v>
      </c>
      <c r="F1957" s="18">
        <v>1518</v>
      </c>
      <c r="G1957" s="22">
        <v>69</v>
      </c>
      <c r="H1957" s="18">
        <v>3.3161390054117601</v>
      </c>
      <c r="I1957" s="18">
        <v>228.81359137341099</v>
      </c>
      <c r="J1957" s="18">
        <v>1289.18640862658</v>
      </c>
      <c r="K1957" s="22">
        <v>0</v>
      </c>
      <c r="L1957" s="22" t="str">
        <f t="shared" si="30"/>
        <v>45748, 7, 3</v>
      </c>
    </row>
    <row r="1958" spans="1:12">
      <c r="A1958" s="9">
        <v>45748</v>
      </c>
      <c r="B1958">
        <v>7</v>
      </c>
      <c r="C1958" s="16" t="s">
        <v>62</v>
      </c>
      <c r="D1958">
        <v>4</v>
      </c>
      <c r="E1958" s="16" t="s">
        <v>42</v>
      </c>
      <c r="F1958" s="18">
        <v>1404</v>
      </c>
      <c r="G1958" s="22">
        <v>78</v>
      </c>
      <c r="H1958" s="18">
        <v>7.0778946382352901</v>
      </c>
      <c r="I1958" s="18">
        <v>552.07578178235201</v>
      </c>
      <c r="J1958" s="18">
        <v>851.92421821764697</v>
      </c>
      <c r="K1958" s="22">
        <v>0</v>
      </c>
      <c r="L1958" s="22" t="str">
        <f t="shared" si="30"/>
        <v>45748, 7, 4</v>
      </c>
    </row>
    <row r="1959" spans="1:12">
      <c r="A1959" s="9">
        <v>45748</v>
      </c>
      <c r="B1959">
        <v>7</v>
      </c>
      <c r="C1959" s="16" t="s">
        <v>62</v>
      </c>
      <c r="D1959">
        <v>5</v>
      </c>
      <c r="E1959" s="16" t="s">
        <v>43</v>
      </c>
      <c r="F1959" s="18">
        <v>1054.5</v>
      </c>
      <c r="G1959" s="22">
        <v>57</v>
      </c>
      <c r="H1959" s="18">
        <v>6.1046323529411701</v>
      </c>
      <c r="I1959" s="18">
        <v>347.96404411764701</v>
      </c>
      <c r="J1959" s="18">
        <v>706.53595588235203</v>
      </c>
      <c r="K1959" s="22">
        <v>0</v>
      </c>
      <c r="L1959" s="22" t="str">
        <f t="shared" si="30"/>
        <v>45748, 7, 5</v>
      </c>
    </row>
    <row r="1960" spans="1:12">
      <c r="A1960" s="9">
        <v>45748</v>
      </c>
      <c r="B1960">
        <v>7</v>
      </c>
      <c r="C1960" s="16" t="s">
        <v>62</v>
      </c>
      <c r="D1960">
        <v>6</v>
      </c>
      <c r="E1960" s="16" t="s">
        <v>44</v>
      </c>
      <c r="F1960" s="18">
        <v>2106</v>
      </c>
      <c r="G1960" s="22">
        <v>108</v>
      </c>
      <c r="H1960" s="18">
        <v>4.4635668039500001</v>
      </c>
      <c r="I1960" s="18">
        <v>482.06521482660003</v>
      </c>
      <c r="J1960" s="18">
        <v>1623.9347851734001</v>
      </c>
      <c r="K1960" s="22">
        <v>0</v>
      </c>
      <c r="L1960" s="22" t="str">
        <f t="shared" si="30"/>
        <v>45748, 7, 6</v>
      </c>
    </row>
    <row r="1961" spans="1:12">
      <c r="A1961" s="9">
        <v>45748</v>
      </c>
      <c r="B1961">
        <v>7</v>
      </c>
      <c r="C1961" s="16" t="s">
        <v>62</v>
      </c>
      <c r="D1961">
        <v>7</v>
      </c>
      <c r="E1961" s="16" t="s">
        <v>45</v>
      </c>
      <c r="F1961" s="18">
        <v>1251</v>
      </c>
      <c r="G1961" s="22">
        <v>139</v>
      </c>
      <c r="H1961" s="18">
        <v>2.7639848810526302</v>
      </c>
      <c r="I1961" s="18">
        <v>384.19389846631498</v>
      </c>
      <c r="J1961" s="18">
        <v>866.806101533684</v>
      </c>
      <c r="K1961" s="22">
        <v>0</v>
      </c>
      <c r="L1961" s="22" t="str">
        <f t="shared" si="30"/>
        <v>45748, 7, 7</v>
      </c>
    </row>
    <row r="1962" spans="1:12">
      <c r="A1962" s="9">
        <v>45748</v>
      </c>
      <c r="B1962">
        <v>7</v>
      </c>
      <c r="C1962" s="16" t="s">
        <v>62</v>
      </c>
      <c r="D1962">
        <v>8</v>
      </c>
      <c r="E1962" s="16" t="s">
        <v>46</v>
      </c>
      <c r="F1962" s="18">
        <v>759</v>
      </c>
      <c r="G1962" s="22">
        <v>69</v>
      </c>
      <c r="H1962" s="18">
        <v>0.68907733727272702</v>
      </c>
      <c r="I1962" s="18">
        <v>47.546336271818099</v>
      </c>
      <c r="J1962" s="18">
        <v>711.45366372818103</v>
      </c>
      <c r="K1962" s="22">
        <v>0</v>
      </c>
      <c r="L1962" s="22" t="str">
        <f t="shared" si="30"/>
        <v>45748, 7, 8</v>
      </c>
    </row>
    <row r="1963" spans="1:12">
      <c r="A1963" s="9">
        <v>45748</v>
      </c>
      <c r="B1963">
        <v>7</v>
      </c>
      <c r="C1963" s="16" t="s">
        <v>62</v>
      </c>
      <c r="D1963">
        <v>9</v>
      </c>
      <c r="E1963" s="16" t="s">
        <v>47</v>
      </c>
      <c r="F1963" s="18">
        <v>1247</v>
      </c>
      <c r="G1963" s="22">
        <v>29</v>
      </c>
      <c r="H1963" s="18">
        <v>15.104537769483199</v>
      </c>
      <c r="I1963" s="18">
        <v>438.03159531501302</v>
      </c>
      <c r="J1963" s="18">
        <v>808.96840468498601</v>
      </c>
      <c r="K1963" s="22">
        <v>0</v>
      </c>
      <c r="L1963" s="22" t="str">
        <f t="shared" si="30"/>
        <v>45748, 7, 9</v>
      </c>
    </row>
    <row r="1964" spans="1:12">
      <c r="A1964" s="9">
        <v>45748</v>
      </c>
      <c r="B1964">
        <v>7</v>
      </c>
      <c r="C1964" s="16" t="s">
        <v>62</v>
      </c>
      <c r="D1964">
        <v>10</v>
      </c>
      <c r="E1964" s="16" t="s">
        <v>57</v>
      </c>
      <c r="F1964" s="18">
        <v>660</v>
      </c>
      <c r="G1964" s="22">
        <v>55</v>
      </c>
      <c r="H1964" s="18">
        <v>2.04753463047</v>
      </c>
      <c r="I1964" s="18">
        <v>112.61440467585</v>
      </c>
      <c r="J1964" s="18">
        <v>547.38559532415002</v>
      </c>
      <c r="K1964" s="22">
        <v>0</v>
      </c>
      <c r="L1964" s="22" t="str">
        <f t="shared" si="30"/>
        <v>45748, 7, 10</v>
      </c>
    </row>
    <row r="1965" spans="1:12">
      <c r="A1965" s="9">
        <v>45748</v>
      </c>
      <c r="B1965">
        <v>7</v>
      </c>
      <c r="C1965" s="16" t="s">
        <v>62</v>
      </c>
      <c r="D1965">
        <v>11</v>
      </c>
      <c r="E1965" s="16" t="s">
        <v>48</v>
      </c>
      <c r="F1965" s="18">
        <v>1905.5</v>
      </c>
      <c r="G1965" s="22">
        <v>103</v>
      </c>
      <c r="H1965" s="18">
        <v>1.9547822083333299</v>
      </c>
      <c r="I1965" s="18">
        <v>201.34256745833301</v>
      </c>
      <c r="J1965" s="18">
        <v>1704.15743254166</v>
      </c>
      <c r="K1965" s="22">
        <v>0</v>
      </c>
      <c r="L1965" s="22" t="str">
        <f t="shared" si="30"/>
        <v>45748, 7, 11</v>
      </c>
    </row>
    <row r="1966" spans="1:12">
      <c r="A1966" s="9">
        <v>45748</v>
      </c>
      <c r="B1966">
        <v>7</v>
      </c>
      <c r="C1966" s="16" t="s">
        <v>62</v>
      </c>
      <c r="D1966">
        <v>12</v>
      </c>
      <c r="E1966" s="16" t="s">
        <v>49</v>
      </c>
      <c r="F1966" s="18">
        <v>950</v>
      </c>
      <c r="G1966" s="22">
        <v>50</v>
      </c>
      <c r="H1966" s="18">
        <v>2.5001928417352901</v>
      </c>
      <c r="I1966" s="18">
        <v>125.009642086764</v>
      </c>
      <c r="J1966" s="18">
        <v>824.99035791323502</v>
      </c>
      <c r="K1966" s="22">
        <v>0</v>
      </c>
      <c r="L1966" s="22" t="str">
        <f t="shared" si="30"/>
        <v>45748, 7, 12</v>
      </c>
    </row>
    <row r="1967" spans="1:12">
      <c r="A1967" s="9">
        <v>45748</v>
      </c>
      <c r="B1967">
        <v>7</v>
      </c>
      <c r="C1967" s="16" t="s">
        <v>62</v>
      </c>
      <c r="D1967">
        <v>13</v>
      </c>
      <c r="E1967" s="16" t="s">
        <v>50</v>
      </c>
      <c r="F1967" s="18">
        <v>2281.5</v>
      </c>
      <c r="G1967" s="22">
        <v>117</v>
      </c>
      <c r="H1967" s="18">
        <v>6.5631441904761898</v>
      </c>
      <c r="I1967" s="18">
        <v>767.88787028571403</v>
      </c>
      <c r="J1967" s="18">
        <v>1513.6121297142799</v>
      </c>
      <c r="K1967" s="22">
        <v>0</v>
      </c>
      <c r="L1967" s="22" t="str">
        <f t="shared" si="30"/>
        <v>45748, 7, 13</v>
      </c>
    </row>
    <row r="1968" spans="1:12">
      <c r="A1968" s="9">
        <v>45748</v>
      </c>
      <c r="B1968">
        <v>7</v>
      </c>
      <c r="C1968" s="16" t="s">
        <v>62</v>
      </c>
      <c r="D1968">
        <v>14</v>
      </c>
      <c r="E1968" s="16" t="s">
        <v>51</v>
      </c>
      <c r="F1968" s="18">
        <v>1911</v>
      </c>
      <c r="G1968" s="22">
        <v>78</v>
      </c>
      <c r="H1968" s="18">
        <v>3.8090442258717898</v>
      </c>
      <c r="I1968" s="18">
        <v>297.10544961800002</v>
      </c>
      <c r="J1968" s="18">
        <v>1613.89455038199</v>
      </c>
      <c r="K1968" s="22">
        <v>0</v>
      </c>
      <c r="L1968" s="22" t="str">
        <f t="shared" si="30"/>
        <v>45748, 7, 14</v>
      </c>
    </row>
    <row r="1969" spans="1:12">
      <c r="A1969" s="9">
        <v>45748</v>
      </c>
      <c r="B1969">
        <v>7</v>
      </c>
      <c r="C1969" s="16" t="s">
        <v>62</v>
      </c>
      <c r="D1969">
        <v>15</v>
      </c>
      <c r="E1969" s="16" t="s">
        <v>52</v>
      </c>
      <c r="F1969" s="18">
        <v>2751</v>
      </c>
      <c r="G1969" s="22">
        <v>131</v>
      </c>
      <c r="H1969" s="18">
        <v>2.3884590440000002</v>
      </c>
      <c r="I1969" s="18">
        <v>312.88813476399997</v>
      </c>
      <c r="J1969" s="18">
        <v>2438.1118652360001</v>
      </c>
      <c r="K1969" s="22">
        <v>0</v>
      </c>
      <c r="L1969" s="22" t="str">
        <f t="shared" si="30"/>
        <v>45748, 7, 15</v>
      </c>
    </row>
    <row r="1970" spans="1:12">
      <c r="A1970" s="9">
        <v>45748</v>
      </c>
      <c r="B1970">
        <v>7</v>
      </c>
      <c r="C1970" s="16" t="s">
        <v>62</v>
      </c>
      <c r="D1970">
        <v>16</v>
      </c>
      <c r="E1970" s="16" t="s">
        <v>53</v>
      </c>
      <c r="F1970" s="18">
        <v>592.5</v>
      </c>
      <c r="G1970" s="22">
        <v>79</v>
      </c>
      <c r="H1970" s="18">
        <v>1.40410249916666</v>
      </c>
      <c r="I1970" s="18">
        <v>110.924097434166</v>
      </c>
      <c r="J1970" s="18">
        <v>481.57590256583302</v>
      </c>
      <c r="K1970" s="22">
        <v>0</v>
      </c>
      <c r="L1970" s="22" t="str">
        <f t="shared" si="30"/>
        <v>45748, 7, 16</v>
      </c>
    </row>
    <row r="1971" spans="1:12">
      <c r="A1971" s="9">
        <v>45748</v>
      </c>
      <c r="B1971">
        <v>7</v>
      </c>
      <c r="C1971" s="16" t="s">
        <v>62</v>
      </c>
      <c r="D1971">
        <v>17</v>
      </c>
      <c r="E1971" s="16" t="s">
        <v>54</v>
      </c>
      <c r="F1971" s="18">
        <v>532</v>
      </c>
      <c r="G1971" s="22">
        <v>76</v>
      </c>
      <c r="H1971" s="18">
        <v>1.36024689727272</v>
      </c>
      <c r="I1971" s="18">
        <v>103.378764192727</v>
      </c>
      <c r="J1971" s="18">
        <v>428.621235807272</v>
      </c>
      <c r="K1971" s="22">
        <v>0</v>
      </c>
      <c r="L1971" s="22" t="str">
        <f t="shared" si="30"/>
        <v>45748, 7, 17</v>
      </c>
    </row>
    <row r="1972" spans="1:12">
      <c r="A1972" s="9">
        <v>45748</v>
      </c>
      <c r="B1972">
        <v>7</v>
      </c>
      <c r="C1972" s="16" t="s">
        <v>62</v>
      </c>
      <c r="D1972">
        <v>18</v>
      </c>
      <c r="E1972" s="16" t="s">
        <v>55</v>
      </c>
      <c r="F1972" s="18">
        <v>902</v>
      </c>
      <c r="G1972" s="22">
        <v>44</v>
      </c>
      <c r="H1972" s="18">
        <v>5.72256438877272</v>
      </c>
      <c r="I1972" s="18">
        <v>251.79283310599899</v>
      </c>
      <c r="J1972" s="18">
        <v>650.20716689400001</v>
      </c>
      <c r="K1972" s="22">
        <v>0</v>
      </c>
      <c r="L1972" s="22" t="str">
        <f t="shared" si="30"/>
        <v>45748, 7, 18</v>
      </c>
    </row>
    <row r="1973" spans="1:12">
      <c r="A1973" s="9">
        <v>45778</v>
      </c>
      <c r="B1973">
        <v>7</v>
      </c>
      <c r="C1973" s="16" t="s">
        <v>62</v>
      </c>
      <c r="D1973">
        <v>1</v>
      </c>
      <c r="E1973" s="16" t="s">
        <v>38</v>
      </c>
      <c r="F1973" s="18">
        <v>2850</v>
      </c>
      <c r="G1973" s="22">
        <v>150</v>
      </c>
      <c r="H1973" s="18">
        <v>3.6350322115384599</v>
      </c>
      <c r="I1973" s="18">
        <v>545.25483173076896</v>
      </c>
      <c r="J1973" s="18">
        <v>2304.7451682692299</v>
      </c>
      <c r="K1973" s="22">
        <v>0</v>
      </c>
      <c r="L1973" s="22" t="str">
        <f t="shared" si="30"/>
        <v>45778, 7, 1</v>
      </c>
    </row>
    <row r="1974" spans="1:12">
      <c r="A1974" s="9">
        <v>45778</v>
      </c>
      <c r="B1974">
        <v>7</v>
      </c>
      <c r="C1974" s="16" t="s">
        <v>62</v>
      </c>
      <c r="D1974">
        <v>2</v>
      </c>
      <c r="E1974" s="16" t="s">
        <v>40</v>
      </c>
      <c r="F1974" s="18">
        <v>3087</v>
      </c>
      <c r="G1974" s="22">
        <v>147</v>
      </c>
      <c r="H1974" s="18">
        <v>6.5498167298888799</v>
      </c>
      <c r="I1974" s="18">
        <v>962.82305929366601</v>
      </c>
      <c r="J1974" s="18">
        <v>2124.1769407063298</v>
      </c>
      <c r="K1974" s="22">
        <v>0</v>
      </c>
      <c r="L1974" s="22" t="str">
        <f t="shared" si="30"/>
        <v>45778, 7, 2</v>
      </c>
    </row>
    <row r="1975" spans="1:12">
      <c r="A1975" s="9">
        <v>45778</v>
      </c>
      <c r="B1975">
        <v>7</v>
      </c>
      <c r="C1975" s="16" t="s">
        <v>62</v>
      </c>
      <c r="D1975">
        <v>3</v>
      </c>
      <c r="E1975" s="16" t="s">
        <v>41</v>
      </c>
      <c r="F1975" s="18">
        <v>1342</v>
      </c>
      <c r="G1975" s="22">
        <v>61</v>
      </c>
      <c r="H1975" s="18">
        <v>3.3588099998888801</v>
      </c>
      <c r="I1975" s="18">
        <v>204.88740999322201</v>
      </c>
      <c r="J1975" s="18">
        <v>1137.11259000677</v>
      </c>
      <c r="K1975" s="22">
        <v>0</v>
      </c>
      <c r="L1975" s="22" t="str">
        <f t="shared" si="30"/>
        <v>45778, 7, 3</v>
      </c>
    </row>
    <row r="1976" spans="1:12">
      <c r="A1976" s="9">
        <v>45778</v>
      </c>
      <c r="B1976">
        <v>7</v>
      </c>
      <c r="C1976" s="16" t="s">
        <v>62</v>
      </c>
      <c r="D1976">
        <v>4</v>
      </c>
      <c r="E1976" s="16" t="s">
        <v>42</v>
      </c>
      <c r="F1976" s="18">
        <v>1638</v>
      </c>
      <c r="G1976" s="22">
        <v>91</v>
      </c>
      <c r="H1976" s="18">
        <v>6.8621439869999996</v>
      </c>
      <c r="I1976" s="18">
        <v>624.45510281700001</v>
      </c>
      <c r="J1976" s="18">
        <v>1013.544897183</v>
      </c>
      <c r="K1976" s="22">
        <v>0</v>
      </c>
      <c r="L1976" s="22" t="str">
        <f t="shared" si="30"/>
        <v>45778, 7, 4</v>
      </c>
    </row>
    <row r="1977" spans="1:12">
      <c r="A1977" s="9">
        <v>45778</v>
      </c>
      <c r="B1977">
        <v>7</v>
      </c>
      <c r="C1977" s="16" t="s">
        <v>62</v>
      </c>
      <c r="D1977">
        <v>5</v>
      </c>
      <c r="E1977" s="16" t="s">
        <v>43</v>
      </c>
      <c r="F1977" s="18">
        <v>851</v>
      </c>
      <c r="G1977" s="22">
        <v>46</v>
      </c>
      <c r="H1977" s="18">
        <v>5.93472222222222</v>
      </c>
      <c r="I1977" s="18">
        <v>272.99722222222198</v>
      </c>
      <c r="J1977" s="18">
        <v>578.00277777777706</v>
      </c>
      <c r="K1977" s="22">
        <v>0</v>
      </c>
      <c r="L1977" s="22" t="str">
        <f t="shared" si="30"/>
        <v>45778, 7, 5</v>
      </c>
    </row>
    <row r="1978" spans="1:12">
      <c r="A1978" s="9">
        <v>45778</v>
      </c>
      <c r="B1978">
        <v>7</v>
      </c>
      <c r="C1978" s="16" t="s">
        <v>62</v>
      </c>
      <c r="D1978">
        <v>6</v>
      </c>
      <c r="E1978" s="16" t="s">
        <v>44</v>
      </c>
      <c r="F1978" s="18">
        <v>1657.5</v>
      </c>
      <c r="G1978" s="22">
        <v>85</v>
      </c>
      <c r="H1978" s="18">
        <v>4.48527368777272</v>
      </c>
      <c r="I1978" s="18">
        <v>381.24826346068102</v>
      </c>
      <c r="J1978" s="18">
        <v>1276.2517365393101</v>
      </c>
      <c r="K1978" s="22">
        <v>0</v>
      </c>
      <c r="L1978" s="22" t="str">
        <f t="shared" si="30"/>
        <v>45778, 7, 6</v>
      </c>
    </row>
    <row r="1979" spans="1:12">
      <c r="A1979" s="9">
        <v>45778</v>
      </c>
      <c r="B1979">
        <v>7</v>
      </c>
      <c r="C1979" s="16" t="s">
        <v>62</v>
      </c>
      <c r="D1979">
        <v>7</v>
      </c>
      <c r="E1979" s="16" t="s">
        <v>45</v>
      </c>
      <c r="F1979" s="18">
        <v>1125</v>
      </c>
      <c r="G1979" s="22">
        <v>125</v>
      </c>
      <c r="H1979" s="18">
        <v>2.7614372360714201</v>
      </c>
      <c r="I1979" s="18">
        <v>345.17965450892802</v>
      </c>
      <c r="J1979" s="18">
        <v>779.82034549107095</v>
      </c>
      <c r="K1979" s="22">
        <v>0</v>
      </c>
      <c r="L1979" s="22" t="str">
        <f t="shared" si="30"/>
        <v>45778, 7, 7</v>
      </c>
    </row>
    <row r="1980" spans="1:12">
      <c r="A1980" s="9">
        <v>45778</v>
      </c>
      <c r="B1980">
        <v>7</v>
      </c>
      <c r="C1980" s="16" t="s">
        <v>62</v>
      </c>
      <c r="D1980">
        <v>8</v>
      </c>
      <c r="E1980" s="16" t="s">
        <v>46</v>
      </c>
      <c r="F1980" s="18">
        <v>759</v>
      </c>
      <c r="G1980" s="22">
        <v>69</v>
      </c>
      <c r="H1980" s="18">
        <v>0.68102142027777701</v>
      </c>
      <c r="I1980" s="18">
        <v>46.9904779991666</v>
      </c>
      <c r="J1980" s="18">
        <v>712.00952200083304</v>
      </c>
      <c r="K1980" s="22">
        <v>0</v>
      </c>
      <c r="L1980" s="22" t="str">
        <f t="shared" si="30"/>
        <v>45778, 7, 8</v>
      </c>
    </row>
    <row r="1981" spans="1:12">
      <c r="A1981" s="9">
        <v>45778</v>
      </c>
      <c r="B1981">
        <v>7</v>
      </c>
      <c r="C1981" s="16" t="s">
        <v>62</v>
      </c>
      <c r="D1981">
        <v>9</v>
      </c>
      <c r="E1981" s="16" t="s">
        <v>47</v>
      </c>
      <c r="F1981" s="18">
        <v>1419</v>
      </c>
      <c r="G1981" s="22">
        <v>33</v>
      </c>
      <c r="H1981" s="18">
        <v>15.2272287969733</v>
      </c>
      <c r="I1981" s="18">
        <v>502.49855030011901</v>
      </c>
      <c r="J1981" s="18">
        <v>916.50144969988003</v>
      </c>
      <c r="K1981" s="22">
        <v>0</v>
      </c>
      <c r="L1981" s="22" t="str">
        <f t="shared" si="30"/>
        <v>45778, 7, 9</v>
      </c>
    </row>
    <row r="1982" spans="1:12">
      <c r="A1982" s="9">
        <v>45778</v>
      </c>
      <c r="B1982">
        <v>7</v>
      </c>
      <c r="C1982" s="16" t="s">
        <v>62</v>
      </c>
      <c r="D1982">
        <v>10</v>
      </c>
      <c r="E1982" s="16" t="s">
        <v>57</v>
      </c>
      <c r="F1982" s="18">
        <v>636</v>
      </c>
      <c r="G1982" s="22">
        <v>53</v>
      </c>
      <c r="H1982" s="18">
        <v>1.9497825209799999</v>
      </c>
      <c r="I1982" s="18">
        <v>103.33847361194</v>
      </c>
      <c r="J1982" s="18">
        <v>532.66152638806</v>
      </c>
      <c r="K1982" s="22">
        <v>0</v>
      </c>
      <c r="L1982" s="22" t="str">
        <f t="shared" si="30"/>
        <v>45778, 7, 10</v>
      </c>
    </row>
    <row r="1983" spans="1:12">
      <c r="A1983" s="9">
        <v>45778</v>
      </c>
      <c r="B1983">
        <v>7</v>
      </c>
      <c r="C1983" s="16" t="s">
        <v>62</v>
      </c>
      <c r="D1983">
        <v>11</v>
      </c>
      <c r="E1983" s="16" t="s">
        <v>48</v>
      </c>
      <c r="F1983" s="18">
        <v>1868.5</v>
      </c>
      <c r="G1983" s="22">
        <v>101</v>
      </c>
      <c r="H1983" s="18">
        <v>1.96076734090909</v>
      </c>
      <c r="I1983" s="18">
        <v>198.03750143181799</v>
      </c>
      <c r="J1983" s="18">
        <v>1670.4624985681801</v>
      </c>
      <c r="K1983" s="22">
        <v>0</v>
      </c>
      <c r="L1983" s="22" t="str">
        <f t="shared" si="30"/>
        <v>45778, 7, 11</v>
      </c>
    </row>
    <row r="1984" spans="1:12">
      <c r="A1984" s="9">
        <v>45778</v>
      </c>
      <c r="B1984">
        <v>7</v>
      </c>
      <c r="C1984" s="16" t="s">
        <v>62</v>
      </c>
      <c r="D1984">
        <v>12</v>
      </c>
      <c r="E1984" s="16" t="s">
        <v>49</v>
      </c>
      <c r="F1984" s="18">
        <v>1045</v>
      </c>
      <c r="G1984" s="22">
        <v>55</v>
      </c>
      <c r="H1984" s="18">
        <v>2.4904671210833298</v>
      </c>
      <c r="I1984" s="18">
        <v>136.97569165958299</v>
      </c>
      <c r="J1984" s="18">
        <v>908.02430834041604</v>
      </c>
      <c r="K1984" s="22">
        <v>0</v>
      </c>
      <c r="L1984" s="22" t="str">
        <f t="shared" si="30"/>
        <v>45778, 7, 12</v>
      </c>
    </row>
    <row r="1985" spans="1:12">
      <c r="A1985" s="9">
        <v>45778</v>
      </c>
      <c r="B1985">
        <v>7</v>
      </c>
      <c r="C1985" s="16" t="s">
        <v>62</v>
      </c>
      <c r="D1985">
        <v>13</v>
      </c>
      <c r="E1985" s="16" t="s">
        <v>50</v>
      </c>
      <c r="F1985" s="18">
        <v>2028</v>
      </c>
      <c r="G1985" s="22">
        <v>104</v>
      </c>
      <c r="H1985" s="18">
        <v>6.5314069999999997</v>
      </c>
      <c r="I1985" s="18">
        <v>679.26632800000004</v>
      </c>
      <c r="J1985" s="18">
        <v>1348.7336720000001</v>
      </c>
      <c r="K1985" s="22">
        <v>0</v>
      </c>
      <c r="L1985" s="22" t="str">
        <f t="shared" si="30"/>
        <v>45778, 7, 13</v>
      </c>
    </row>
    <row r="1986" spans="1:12">
      <c r="A1986" s="9">
        <v>45778</v>
      </c>
      <c r="B1986">
        <v>7</v>
      </c>
      <c r="C1986" s="16" t="s">
        <v>62</v>
      </c>
      <c r="D1986">
        <v>14</v>
      </c>
      <c r="E1986" s="16" t="s">
        <v>51</v>
      </c>
      <c r="F1986" s="18">
        <v>1715</v>
      </c>
      <c r="G1986" s="22">
        <v>70</v>
      </c>
      <c r="H1986" s="18">
        <v>3.79021352485714</v>
      </c>
      <c r="I1986" s="18">
        <v>265.31494673999902</v>
      </c>
      <c r="J1986" s="18">
        <v>1449.6850532599999</v>
      </c>
      <c r="K1986" s="22">
        <v>0</v>
      </c>
      <c r="L1986" s="22" t="str">
        <f t="shared" si="30"/>
        <v>45778, 7, 14</v>
      </c>
    </row>
    <row r="1987" spans="1:12">
      <c r="A1987" s="9">
        <v>45778</v>
      </c>
      <c r="B1987">
        <v>7</v>
      </c>
      <c r="C1987" s="16" t="s">
        <v>62</v>
      </c>
      <c r="D1987">
        <v>15</v>
      </c>
      <c r="E1987" s="16" t="s">
        <v>52</v>
      </c>
      <c r="F1987" s="18">
        <v>2499</v>
      </c>
      <c r="G1987" s="22">
        <v>119</v>
      </c>
      <c r="H1987" s="18">
        <v>2.3681460400000001</v>
      </c>
      <c r="I1987" s="18">
        <v>281.80937876000002</v>
      </c>
      <c r="J1987" s="18">
        <v>2217.1906212399999</v>
      </c>
      <c r="K1987" s="22">
        <v>0</v>
      </c>
      <c r="L1987" s="22" t="str">
        <f t="shared" ref="L1987:L2050" si="31">(A1987&amp; ", "&amp; B1987&amp; ", "&amp; D1987)</f>
        <v>45778, 7, 15</v>
      </c>
    </row>
    <row r="1988" spans="1:12">
      <c r="A1988" s="9">
        <v>45778</v>
      </c>
      <c r="B1988">
        <v>7</v>
      </c>
      <c r="C1988" s="16" t="s">
        <v>62</v>
      </c>
      <c r="D1988">
        <v>16</v>
      </c>
      <c r="E1988" s="16" t="s">
        <v>53</v>
      </c>
      <c r="F1988" s="18">
        <v>457.5</v>
      </c>
      <c r="G1988" s="22">
        <v>61</v>
      </c>
      <c r="H1988" s="18">
        <v>1.3968101544871701</v>
      </c>
      <c r="I1988" s="18">
        <v>85.205419423717899</v>
      </c>
      <c r="J1988" s="18">
        <v>372.29458057628199</v>
      </c>
      <c r="K1988" s="22">
        <v>0</v>
      </c>
      <c r="L1988" s="22" t="str">
        <f t="shared" si="31"/>
        <v>45778, 7, 16</v>
      </c>
    </row>
    <row r="1989" spans="1:12">
      <c r="A1989" s="9">
        <v>45778</v>
      </c>
      <c r="B1989">
        <v>7</v>
      </c>
      <c r="C1989" s="16" t="s">
        <v>62</v>
      </c>
      <c r="D1989">
        <v>17</v>
      </c>
      <c r="E1989" s="16" t="s">
        <v>54</v>
      </c>
      <c r="F1989" s="18">
        <v>546</v>
      </c>
      <c r="G1989" s="22">
        <v>78</v>
      </c>
      <c r="H1989" s="18">
        <v>1.3590555031818099</v>
      </c>
      <c r="I1989" s="18">
        <v>106.006329248181</v>
      </c>
      <c r="J1989" s="18">
        <v>439.993670751818</v>
      </c>
      <c r="K1989" s="22">
        <v>0</v>
      </c>
      <c r="L1989" s="22" t="str">
        <f t="shared" si="31"/>
        <v>45778, 7, 17</v>
      </c>
    </row>
    <row r="1990" spans="1:12">
      <c r="A1990" s="9">
        <v>45778</v>
      </c>
      <c r="B1990">
        <v>7</v>
      </c>
      <c r="C1990" s="16" t="s">
        <v>62</v>
      </c>
      <c r="D1990">
        <v>18</v>
      </c>
      <c r="E1990" s="16" t="s">
        <v>55</v>
      </c>
      <c r="F1990" s="18">
        <v>1045.5</v>
      </c>
      <c r="G1990" s="22">
        <v>51</v>
      </c>
      <c r="H1990" s="18">
        <v>5.7118166077500003</v>
      </c>
      <c r="I1990" s="18">
        <v>291.30264699524997</v>
      </c>
      <c r="J1990" s="18">
        <v>754.19735300474997</v>
      </c>
      <c r="K1990" s="22">
        <v>0</v>
      </c>
      <c r="L1990" s="22" t="str">
        <f t="shared" si="31"/>
        <v>45778, 7, 18</v>
      </c>
    </row>
    <row r="1991" spans="1:12">
      <c r="A1991" s="9">
        <v>45809</v>
      </c>
      <c r="B1991">
        <v>7</v>
      </c>
      <c r="C1991" s="16" t="s">
        <v>62</v>
      </c>
      <c r="D1991">
        <v>1</v>
      </c>
      <c r="E1991" s="16" t="s">
        <v>38</v>
      </c>
      <c r="F1991" s="18">
        <v>2299</v>
      </c>
      <c r="G1991" s="22">
        <v>121</v>
      </c>
      <c r="H1991" s="18">
        <v>3.6640490384615299</v>
      </c>
      <c r="I1991" s="18">
        <v>443.34993365384599</v>
      </c>
      <c r="J1991" s="18">
        <v>1855.65006634615</v>
      </c>
      <c r="K1991" s="22">
        <v>0</v>
      </c>
      <c r="L1991" s="22" t="str">
        <f t="shared" si="31"/>
        <v>45809, 7, 1</v>
      </c>
    </row>
    <row r="1992" spans="1:12">
      <c r="A1992" s="9">
        <v>45809</v>
      </c>
      <c r="B1992">
        <v>7</v>
      </c>
      <c r="C1992" s="16" t="s">
        <v>62</v>
      </c>
      <c r="D1992">
        <v>2</v>
      </c>
      <c r="E1992" s="16" t="s">
        <v>40</v>
      </c>
      <c r="F1992" s="18">
        <v>2793</v>
      </c>
      <c r="G1992" s="22">
        <v>133</v>
      </c>
      <c r="H1992" s="18">
        <v>6.5678678276470501</v>
      </c>
      <c r="I1992" s="18">
        <v>873.52642107705799</v>
      </c>
      <c r="J1992" s="18">
        <v>1919.4735789229401</v>
      </c>
      <c r="K1992" s="22">
        <v>0</v>
      </c>
      <c r="L1992" s="22" t="str">
        <f t="shared" si="31"/>
        <v>45809, 7, 2</v>
      </c>
    </row>
    <row r="1993" spans="1:12">
      <c r="A1993" s="9">
        <v>45809</v>
      </c>
      <c r="B1993">
        <v>7</v>
      </c>
      <c r="C1993" s="16" t="s">
        <v>62</v>
      </c>
      <c r="D1993">
        <v>3</v>
      </c>
      <c r="E1993" s="16" t="s">
        <v>41</v>
      </c>
      <c r="F1993" s="18">
        <v>792</v>
      </c>
      <c r="G1993" s="22">
        <v>36</v>
      </c>
      <c r="H1993" s="18">
        <v>3.3468094354117599</v>
      </c>
      <c r="I1993" s="18">
        <v>120.485139674823</v>
      </c>
      <c r="J1993" s="18">
        <v>671.51486032517596</v>
      </c>
      <c r="K1993" s="22">
        <v>0</v>
      </c>
      <c r="L1993" s="22" t="str">
        <f t="shared" si="31"/>
        <v>45809, 7, 3</v>
      </c>
    </row>
    <row r="1994" spans="1:12">
      <c r="A1994" s="9">
        <v>45809</v>
      </c>
      <c r="B1994">
        <v>7</v>
      </c>
      <c r="C1994" s="16" t="s">
        <v>62</v>
      </c>
      <c r="D1994">
        <v>4</v>
      </c>
      <c r="E1994" s="16" t="s">
        <v>42</v>
      </c>
      <c r="F1994" s="18">
        <v>1602</v>
      </c>
      <c r="G1994" s="22">
        <v>89</v>
      </c>
      <c r="H1994" s="18">
        <v>6.7763795727058804</v>
      </c>
      <c r="I1994" s="18">
        <v>603.09778197082301</v>
      </c>
      <c r="J1994" s="18">
        <v>998.90221802917597</v>
      </c>
      <c r="K1994" s="22">
        <v>0</v>
      </c>
      <c r="L1994" s="22" t="str">
        <f t="shared" si="31"/>
        <v>45809, 7, 4</v>
      </c>
    </row>
    <row r="1995" spans="1:12">
      <c r="A1995" s="9">
        <v>45809</v>
      </c>
      <c r="B1995">
        <v>7</v>
      </c>
      <c r="C1995" s="16" t="s">
        <v>62</v>
      </c>
      <c r="D1995">
        <v>5</v>
      </c>
      <c r="E1995" s="16" t="s">
        <v>43</v>
      </c>
      <c r="F1995" s="18">
        <v>777</v>
      </c>
      <c r="G1995" s="22">
        <v>42</v>
      </c>
      <c r="H1995" s="18">
        <v>5.7672656250000003</v>
      </c>
      <c r="I1995" s="18">
        <v>242.22515625</v>
      </c>
      <c r="J1995" s="18">
        <v>534.77484374999995</v>
      </c>
      <c r="K1995" s="22">
        <v>0</v>
      </c>
      <c r="L1995" s="22" t="str">
        <f t="shared" si="31"/>
        <v>45809, 7, 5</v>
      </c>
    </row>
    <row r="1996" spans="1:12">
      <c r="A1996" s="9">
        <v>45809</v>
      </c>
      <c r="B1996">
        <v>7</v>
      </c>
      <c r="C1996" s="16" t="s">
        <v>62</v>
      </c>
      <c r="D1996">
        <v>6</v>
      </c>
      <c r="E1996" s="16" t="s">
        <v>44</v>
      </c>
      <c r="F1996" s="18">
        <v>1014</v>
      </c>
      <c r="G1996" s="22">
        <v>52</v>
      </c>
      <c r="H1996" s="18">
        <v>4.4663882959499999</v>
      </c>
      <c r="I1996" s="18">
        <v>232.2521913894</v>
      </c>
      <c r="J1996" s="18">
        <v>781.74780861060003</v>
      </c>
      <c r="K1996" s="22">
        <v>0</v>
      </c>
      <c r="L1996" s="22" t="str">
        <f t="shared" si="31"/>
        <v>45809, 7, 6</v>
      </c>
    </row>
    <row r="1997" spans="1:12">
      <c r="A1997" s="9">
        <v>45809</v>
      </c>
      <c r="B1997">
        <v>7</v>
      </c>
      <c r="C1997" s="16" t="s">
        <v>62</v>
      </c>
      <c r="D1997">
        <v>7</v>
      </c>
      <c r="E1997" s="16" t="s">
        <v>45</v>
      </c>
      <c r="F1997" s="18">
        <v>819</v>
      </c>
      <c r="G1997" s="22">
        <v>91</v>
      </c>
      <c r="H1997" s="18">
        <v>2.7679075186111102</v>
      </c>
      <c r="I1997" s="18">
        <v>251.87958419361101</v>
      </c>
      <c r="J1997" s="18">
        <v>567.120415806388</v>
      </c>
      <c r="K1997" s="22">
        <v>0</v>
      </c>
      <c r="L1997" s="22" t="str">
        <f t="shared" si="31"/>
        <v>45809, 7, 7</v>
      </c>
    </row>
    <row r="1998" spans="1:12">
      <c r="A1998" s="9">
        <v>45809</v>
      </c>
      <c r="B1998">
        <v>7</v>
      </c>
      <c r="C1998" s="16" t="s">
        <v>62</v>
      </c>
      <c r="D1998">
        <v>8</v>
      </c>
      <c r="E1998" s="16" t="s">
        <v>46</v>
      </c>
      <c r="F1998" s="18">
        <v>627</v>
      </c>
      <c r="G1998" s="22">
        <v>57</v>
      </c>
      <c r="H1998" s="18">
        <v>0.68050860866666596</v>
      </c>
      <c r="I1998" s="18">
        <v>38.788990693999999</v>
      </c>
      <c r="J1998" s="18">
        <v>588.21100930599903</v>
      </c>
      <c r="K1998" s="22">
        <v>0</v>
      </c>
      <c r="L1998" s="22" t="str">
        <f t="shared" si="31"/>
        <v>45809, 7, 8</v>
      </c>
    </row>
    <row r="1999" spans="1:12">
      <c r="A1999" s="9">
        <v>45809</v>
      </c>
      <c r="B1999">
        <v>7</v>
      </c>
      <c r="C1999" s="16" t="s">
        <v>62</v>
      </c>
      <c r="D1999">
        <v>9</v>
      </c>
      <c r="E1999" s="16" t="s">
        <v>47</v>
      </c>
      <c r="F1999" s="18">
        <v>1075</v>
      </c>
      <c r="G1999" s="22">
        <v>25</v>
      </c>
      <c r="H1999" s="18">
        <v>15.2433298618819</v>
      </c>
      <c r="I1999" s="18">
        <v>381.08324654704802</v>
      </c>
      <c r="J1999" s="18">
        <v>693.91675345295096</v>
      </c>
      <c r="K1999" s="22">
        <v>0</v>
      </c>
      <c r="L1999" s="22" t="str">
        <f t="shared" si="31"/>
        <v>45809, 7, 9</v>
      </c>
    </row>
    <row r="2000" spans="1:12">
      <c r="A2000" s="9">
        <v>45809</v>
      </c>
      <c r="B2000">
        <v>7</v>
      </c>
      <c r="C2000" s="16" t="s">
        <v>62</v>
      </c>
      <c r="D2000">
        <v>10</v>
      </c>
      <c r="E2000" s="16" t="s">
        <v>57</v>
      </c>
      <c r="F2000" s="18">
        <v>516</v>
      </c>
      <c r="G2000" s="22">
        <v>43</v>
      </c>
      <c r="H2000" s="18">
        <v>1.8643721993</v>
      </c>
      <c r="I2000" s="18">
        <v>80.168004569900006</v>
      </c>
      <c r="J2000" s="18">
        <v>435.83199543009999</v>
      </c>
      <c r="K2000" s="22">
        <v>0</v>
      </c>
      <c r="L2000" s="22" t="str">
        <f t="shared" si="31"/>
        <v>45809, 7, 10</v>
      </c>
    </row>
    <row r="2001" spans="1:12">
      <c r="A2001" s="9">
        <v>45809</v>
      </c>
      <c r="B2001">
        <v>7</v>
      </c>
      <c r="C2001" s="16" t="s">
        <v>62</v>
      </c>
      <c r="D2001">
        <v>11</v>
      </c>
      <c r="E2001" s="16" t="s">
        <v>48</v>
      </c>
      <c r="F2001" s="18">
        <v>1905.5</v>
      </c>
      <c r="G2001" s="22">
        <v>103</v>
      </c>
      <c r="H2001" s="18">
        <v>1.9764080937499999</v>
      </c>
      <c r="I2001" s="18">
        <v>203.57003365624999</v>
      </c>
      <c r="J2001" s="18">
        <v>1701.92996634375</v>
      </c>
      <c r="K2001" s="22">
        <v>0</v>
      </c>
      <c r="L2001" s="22" t="str">
        <f t="shared" si="31"/>
        <v>45809, 7, 11</v>
      </c>
    </row>
    <row r="2002" spans="1:12">
      <c r="A2002" s="9">
        <v>45809</v>
      </c>
      <c r="B2002">
        <v>7</v>
      </c>
      <c r="C2002" s="16" t="s">
        <v>62</v>
      </c>
      <c r="D2002">
        <v>12</v>
      </c>
      <c r="E2002" s="16" t="s">
        <v>49</v>
      </c>
      <c r="F2002" s="18">
        <v>1045</v>
      </c>
      <c r="G2002" s="22">
        <v>55</v>
      </c>
      <c r="H2002" s="18">
        <v>2.4961382088823498</v>
      </c>
      <c r="I2002" s="18">
        <v>137.28760148852899</v>
      </c>
      <c r="J2002" s="18">
        <v>907.71239851147004</v>
      </c>
      <c r="K2002" s="22">
        <v>0</v>
      </c>
      <c r="L2002" s="22" t="str">
        <f t="shared" si="31"/>
        <v>45809, 7, 12</v>
      </c>
    </row>
    <row r="2003" spans="1:12">
      <c r="A2003" s="9">
        <v>45809</v>
      </c>
      <c r="B2003">
        <v>7</v>
      </c>
      <c r="C2003" s="16" t="s">
        <v>62</v>
      </c>
      <c r="D2003">
        <v>13</v>
      </c>
      <c r="E2003" s="16" t="s">
        <v>50</v>
      </c>
      <c r="F2003" s="18">
        <v>1248</v>
      </c>
      <c r="G2003" s="22">
        <v>64</v>
      </c>
      <c r="H2003" s="18">
        <v>6.5571022222222197</v>
      </c>
      <c r="I2003" s="18">
        <v>419.65454222222201</v>
      </c>
      <c r="J2003" s="18">
        <v>828.34545777777703</v>
      </c>
      <c r="K2003" s="22">
        <v>0</v>
      </c>
      <c r="L2003" s="22" t="str">
        <f t="shared" si="31"/>
        <v>45809, 7, 13</v>
      </c>
    </row>
    <row r="2004" spans="1:12">
      <c r="A2004" s="9">
        <v>45809</v>
      </c>
      <c r="B2004">
        <v>7</v>
      </c>
      <c r="C2004" s="16" t="s">
        <v>62</v>
      </c>
      <c r="D2004">
        <v>14</v>
      </c>
      <c r="E2004" s="16" t="s">
        <v>51</v>
      </c>
      <c r="F2004" s="18">
        <v>1200.5</v>
      </c>
      <c r="G2004" s="22">
        <v>49</v>
      </c>
      <c r="H2004" s="18">
        <v>3.8029677120000001</v>
      </c>
      <c r="I2004" s="18">
        <v>186.34541788799999</v>
      </c>
      <c r="J2004" s="18">
        <v>1014.154582112</v>
      </c>
      <c r="K2004" s="22">
        <v>0</v>
      </c>
      <c r="L2004" s="22" t="str">
        <f t="shared" si="31"/>
        <v>45809, 7, 14</v>
      </c>
    </row>
    <row r="2005" spans="1:12">
      <c r="A2005" s="9">
        <v>45809</v>
      </c>
      <c r="B2005">
        <v>7</v>
      </c>
      <c r="C2005" s="16" t="s">
        <v>62</v>
      </c>
      <c r="D2005">
        <v>15</v>
      </c>
      <c r="E2005" s="16" t="s">
        <v>52</v>
      </c>
      <c r="F2005" s="18">
        <v>2478</v>
      </c>
      <c r="G2005" s="22">
        <v>118</v>
      </c>
      <c r="H2005" s="18">
        <v>2.3640597796666598</v>
      </c>
      <c r="I2005" s="18">
        <v>278.95905400066601</v>
      </c>
      <c r="J2005" s="18">
        <v>2199.0409459993298</v>
      </c>
      <c r="K2005" s="22">
        <v>0</v>
      </c>
      <c r="L2005" s="22" t="str">
        <f t="shared" si="31"/>
        <v>45809, 7, 15</v>
      </c>
    </row>
    <row r="2006" spans="1:12">
      <c r="A2006" s="9">
        <v>45809</v>
      </c>
      <c r="B2006">
        <v>7</v>
      </c>
      <c r="C2006" s="16" t="s">
        <v>62</v>
      </c>
      <c r="D2006">
        <v>16</v>
      </c>
      <c r="E2006" s="16" t="s">
        <v>53</v>
      </c>
      <c r="F2006" s="18">
        <v>547.5</v>
      </c>
      <c r="G2006" s="22">
        <v>73</v>
      </c>
      <c r="H2006" s="18">
        <v>1.40534714782051</v>
      </c>
      <c r="I2006" s="18">
        <v>102.590341790897</v>
      </c>
      <c r="J2006" s="18">
        <v>444.90965820910202</v>
      </c>
      <c r="K2006" s="22">
        <v>0</v>
      </c>
      <c r="L2006" s="22" t="str">
        <f t="shared" si="31"/>
        <v>45809, 7, 16</v>
      </c>
    </row>
    <row r="2007" spans="1:12">
      <c r="A2007" s="9">
        <v>45809</v>
      </c>
      <c r="B2007">
        <v>7</v>
      </c>
      <c r="C2007" s="16" t="s">
        <v>62</v>
      </c>
      <c r="D2007">
        <v>17</v>
      </c>
      <c r="E2007" s="16" t="s">
        <v>54</v>
      </c>
      <c r="F2007" s="18">
        <v>483</v>
      </c>
      <c r="G2007" s="22">
        <v>69</v>
      </c>
      <c r="H2007" s="18">
        <v>1.37884089227272</v>
      </c>
      <c r="I2007" s="18">
        <v>95.140021566818106</v>
      </c>
      <c r="J2007" s="18">
        <v>387.85997843318103</v>
      </c>
      <c r="K2007" s="22">
        <v>0</v>
      </c>
      <c r="L2007" s="22" t="str">
        <f t="shared" si="31"/>
        <v>45809, 7, 17</v>
      </c>
    </row>
    <row r="2008" spans="1:12">
      <c r="A2008" s="9">
        <v>45809</v>
      </c>
      <c r="B2008">
        <v>7</v>
      </c>
      <c r="C2008" s="16" t="s">
        <v>62</v>
      </c>
      <c r="D2008">
        <v>18</v>
      </c>
      <c r="E2008" s="16" t="s">
        <v>55</v>
      </c>
      <c r="F2008" s="18">
        <v>922.5</v>
      </c>
      <c r="G2008" s="22">
        <v>45</v>
      </c>
      <c r="H2008" s="18">
        <v>5.7294195501249998</v>
      </c>
      <c r="I2008" s="18">
        <v>257.823879755625</v>
      </c>
      <c r="J2008" s="18">
        <v>664.67612024437506</v>
      </c>
      <c r="K2008" s="22">
        <v>0</v>
      </c>
      <c r="L2008" s="22" t="str">
        <f t="shared" si="31"/>
        <v>45809, 7, 18</v>
      </c>
    </row>
    <row r="2009" spans="1:12">
      <c r="A2009" s="9">
        <v>45839</v>
      </c>
      <c r="B2009">
        <v>7</v>
      </c>
      <c r="C2009" s="16" t="s">
        <v>62</v>
      </c>
      <c r="D2009">
        <v>1</v>
      </c>
      <c r="E2009" s="16" t="s">
        <v>38</v>
      </c>
      <c r="F2009" s="18">
        <v>2527</v>
      </c>
      <c r="G2009" s="22">
        <v>133</v>
      </c>
      <c r="H2009" s="18">
        <v>3.7353954464285701</v>
      </c>
      <c r="I2009" s="18">
        <v>496.80759437500001</v>
      </c>
      <c r="J2009" s="18">
        <v>2030.19240562499</v>
      </c>
      <c r="K2009" s="22">
        <v>0</v>
      </c>
      <c r="L2009" s="22" t="str">
        <f t="shared" si="31"/>
        <v>45839, 7, 1</v>
      </c>
    </row>
    <row r="2010" spans="1:12">
      <c r="A2010" s="9">
        <v>45839</v>
      </c>
      <c r="B2010">
        <v>7</v>
      </c>
      <c r="C2010" s="16" t="s">
        <v>62</v>
      </c>
      <c r="D2010">
        <v>2</v>
      </c>
      <c r="E2010" s="16" t="s">
        <v>40</v>
      </c>
      <c r="F2010" s="18">
        <v>2625</v>
      </c>
      <c r="G2010" s="22">
        <v>125</v>
      </c>
      <c r="H2010" s="18">
        <v>6.5550461596666603</v>
      </c>
      <c r="I2010" s="18">
        <v>819.38076995833296</v>
      </c>
      <c r="J2010" s="18">
        <v>1805.6192300416601</v>
      </c>
      <c r="K2010" s="22">
        <v>0</v>
      </c>
      <c r="L2010" s="22" t="str">
        <f t="shared" si="31"/>
        <v>45839, 7, 2</v>
      </c>
    </row>
    <row r="2011" spans="1:12">
      <c r="A2011" s="9">
        <v>45839</v>
      </c>
      <c r="B2011">
        <v>7</v>
      </c>
      <c r="C2011" s="16" t="s">
        <v>62</v>
      </c>
      <c r="D2011">
        <v>3</v>
      </c>
      <c r="E2011" s="16" t="s">
        <v>41</v>
      </c>
      <c r="F2011" s="18">
        <v>484</v>
      </c>
      <c r="G2011" s="22">
        <v>22</v>
      </c>
      <c r="H2011" s="18">
        <v>3.3660850873333299</v>
      </c>
      <c r="I2011" s="18">
        <v>74.053871921333297</v>
      </c>
      <c r="J2011" s="18">
        <v>409.94612807866599</v>
      </c>
      <c r="K2011" s="22">
        <v>0</v>
      </c>
      <c r="L2011" s="22" t="str">
        <f t="shared" si="31"/>
        <v>45839, 7, 3</v>
      </c>
    </row>
    <row r="2012" spans="1:12">
      <c r="A2012" s="9">
        <v>45839</v>
      </c>
      <c r="B2012">
        <v>7</v>
      </c>
      <c r="C2012" s="16" t="s">
        <v>62</v>
      </c>
      <c r="D2012">
        <v>4</v>
      </c>
      <c r="E2012" s="16" t="s">
        <v>42</v>
      </c>
      <c r="F2012" s="18">
        <v>1350</v>
      </c>
      <c r="G2012" s="22">
        <v>75</v>
      </c>
      <c r="H2012" s="18">
        <v>6.73590596033333</v>
      </c>
      <c r="I2012" s="18">
        <v>505.192947024999</v>
      </c>
      <c r="J2012" s="18">
        <v>844.80705297500003</v>
      </c>
      <c r="K2012" s="22">
        <v>0</v>
      </c>
      <c r="L2012" s="22" t="str">
        <f t="shared" si="31"/>
        <v>45839, 7, 4</v>
      </c>
    </row>
    <row r="2013" spans="1:12">
      <c r="A2013" s="9">
        <v>45839</v>
      </c>
      <c r="B2013">
        <v>7</v>
      </c>
      <c r="C2013" s="16" t="s">
        <v>62</v>
      </c>
      <c r="D2013">
        <v>5</v>
      </c>
      <c r="E2013" s="16" t="s">
        <v>43</v>
      </c>
      <c r="F2013" s="18">
        <v>888</v>
      </c>
      <c r="G2013" s="22">
        <v>48</v>
      </c>
      <c r="H2013" s="18">
        <v>5.7817361111111101</v>
      </c>
      <c r="I2013" s="18">
        <v>277.52333333333303</v>
      </c>
      <c r="J2013" s="18">
        <v>610.47666666666601</v>
      </c>
      <c r="K2013" s="22">
        <v>0</v>
      </c>
      <c r="L2013" s="22" t="str">
        <f t="shared" si="31"/>
        <v>45839, 7, 5</v>
      </c>
    </row>
    <row r="2014" spans="1:12">
      <c r="A2014" s="9">
        <v>45839</v>
      </c>
      <c r="B2014">
        <v>7</v>
      </c>
      <c r="C2014" s="16" t="s">
        <v>62</v>
      </c>
      <c r="D2014">
        <v>6</v>
      </c>
      <c r="E2014" s="16" t="s">
        <v>44</v>
      </c>
      <c r="F2014" s="18">
        <v>1092</v>
      </c>
      <c r="G2014" s="22">
        <v>56</v>
      </c>
      <c r="H2014" s="18">
        <v>4.5143608523500003</v>
      </c>
      <c r="I2014" s="18">
        <v>252.8042077316</v>
      </c>
      <c r="J2014" s="18">
        <v>839.19579226840006</v>
      </c>
      <c r="K2014" s="22">
        <v>0</v>
      </c>
      <c r="L2014" s="22" t="str">
        <f t="shared" si="31"/>
        <v>45839, 7, 6</v>
      </c>
    </row>
    <row r="2015" spans="1:12">
      <c r="A2015" s="9">
        <v>45839</v>
      </c>
      <c r="B2015">
        <v>7</v>
      </c>
      <c r="C2015" s="16" t="s">
        <v>62</v>
      </c>
      <c r="D2015">
        <v>7</v>
      </c>
      <c r="E2015" s="16" t="s">
        <v>45</v>
      </c>
      <c r="F2015" s="18">
        <v>855</v>
      </c>
      <c r="G2015" s="22">
        <v>95</v>
      </c>
      <c r="H2015" s="18">
        <v>2.7715639408333299</v>
      </c>
      <c r="I2015" s="18">
        <v>263.29857437916598</v>
      </c>
      <c r="J2015" s="18">
        <v>591.70142562083299</v>
      </c>
      <c r="K2015" s="22">
        <v>0</v>
      </c>
      <c r="L2015" s="22" t="str">
        <f t="shared" si="31"/>
        <v>45839, 7, 7</v>
      </c>
    </row>
    <row r="2016" spans="1:12">
      <c r="A2016" s="9">
        <v>45839</v>
      </c>
      <c r="B2016">
        <v>7</v>
      </c>
      <c r="C2016" s="16" t="s">
        <v>62</v>
      </c>
      <c r="D2016">
        <v>8</v>
      </c>
      <c r="E2016" s="16" t="s">
        <v>46</v>
      </c>
      <c r="F2016" s="18">
        <v>528</v>
      </c>
      <c r="G2016" s="22">
        <v>48</v>
      </c>
      <c r="H2016" s="18">
        <v>0.65823693766666602</v>
      </c>
      <c r="I2016" s="18">
        <v>31.595373007999999</v>
      </c>
      <c r="J2016" s="18">
        <v>496.40462699199901</v>
      </c>
      <c r="K2016" s="22">
        <v>0</v>
      </c>
      <c r="L2016" s="22" t="str">
        <f t="shared" si="31"/>
        <v>45839, 7, 8</v>
      </c>
    </row>
    <row r="2017" spans="1:12">
      <c r="A2017" s="9">
        <v>45839</v>
      </c>
      <c r="B2017">
        <v>7</v>
      </c>
      <c r="C2017" s="16" t="s">
        <v>62</v>
      </c>
      <c r="D2017">
        <v>9</v>
      </c>
      <c r="E2017" s="16" t="s">
        <v>47</v>
      </c>
      <c r="F2017" s="18">
        <v>688</v>
      </c>
      <c r="G2017" s="22">
        <v>16</v>
      </c>
      <c r="H2017" s="18">
        <v>15.218928331672799</v>
      </c>
      <c r="I2017" s="18">
        <v>243.50285330676499</v>
      </c>
      <c r="J2017" s="18">
        <v>444.49714669323401</v>
      </c>
      <c r="K2017" s="22">
        <v>0</v>
      </c>
      <c r="L2017" s="22" t="str">
        <f t="shared" si="31"/>
        <v>45839, 7, 9</v>
      </c>
    </row>
    <row r="2018" spans="1:12">
      <c r="A2018" s="9">
        <v>45839</v>
      </c>
      <c r="B2018">
        <v>7</v>
      </c>
      <c r="C2018" s="16" t="s">
        <v>62</v>
      </c>
      <c r="D2018">
        <v>10</v>
      </c>
      <c r="E2018" s="16" t="s">
        <v>57</v>
      </c>
      <c r="F2018" s="18">
        <v>540</v>
      </c>
      <c r="G2018" s="22">
        <v>45</v>
      </c>
      <c r="H2018" s="18">
        <v>1.8263193277333301</v>
      </c>
      <c r="I2018" s="18">
        <v>82.184369747999895</v>
      </c>
      <c r="J2018" s="18">
        <v>457.81563025200001</v>
      </c>
      <c r="K2018" s="22">
        <v>0</v>
      </c>
      <c r="L2018" s="22" t="str">
        <f t="shared" si="31"/>
        <v>45839, 7, 10</v>
      </c>
    </row>
    <row r="2019" spans="1:12">
      <c r="A2019" s="9">
        <v>45839</v>
      </c>
      <c r="B2019">
        <v>7</v>
      </c>
      <c r="C2019" s="16" t="s">
        <v>62</v>
      </c>
      <c r="D2019">
        <v>11</v>
      </c>
      <c r="E2019" s="16" t="s">
        <v>48</v>
      </c>
      <c r="F2019" s="18">
        <v>1757.5</v>
      </c>
      <c r="G2019" s="22">
        <v>95</v>
      </c>
      <c r="H2019" s="18">
        <v>2.05857473611111</v>
      </c>
      <c r="I2019" s="18">
        <v>195.564599930555</v>
      </c>
      <c r="J2019" s="18">
        <v>1561.93540006944</v>
      </c>
      <c r="K2019" s="22">
        <v>0</v>
      </c>
      <c r="L2019" s="22" t="str">
        <f t="shared" si="31"/>
        <v>45839, 7, 11</v>
      </c>
    </row>
    <row r="2020" spans="1:12">
      <c r="A2020" s="9">
        <v>45839</v>
      </c>
      <c r="B2020">
        <v>7</v>
      </c>
      <c r="C2020" s="16" t="s">
        <v>62</v>
      </c>
      <c r="D2020">
        <v>12</v>
      </c>
      <c r="E2020" s="16" t="s">
        <v>49</v>
      </c>
      <c r="F2020" s="18">
        <v>1330</v>
      </c>
      <c r="G2020" s="22">
        <v>70</v>
      </c>
      <c r="H2020" s="18">
        <v>2.4878050488888799</v>
      </c>
      <c r="I2020" s="18">
        <v>174.14635342222201</v>
      </c>
      <c r="J2020" s="18">
        <v>1155.85364657777</v>
      </c>
      <c r="K2020" s="22">
        <v>0</v>
      </c>
      <c r="L2020" s="22" t="str">
        <f t="shared" si="31"/>
        <v>45839, 7, 12</v>
      </c>
    </row>
    <row r="2021" spans="1:12">
      <c r="A2021" s="9">
        <v>45839</v>
      </c>
      <c r="B2021">
        <v>7</v>
      </c>
      <c r="C2021" s="16" t="s">
        <v>62</v>
      </c>
      <c r="D2021">
        <v>13</v>
      </c>
      <c r="E2021" s="16" t="s">
        <v>50</v>
      </c>
      <c r="F2021" s="18">
        <v>1365</v>
      </c>
      <c r="G2021" s="22">
        <v>70</v>
      </c>
      <c r="H2021" s="18">
        <v>6.7251160909090899</v>
      </c>
      <c r="I2021" s="18">
        <v>470.75812636363599</v>
      </c>
      <c r="J2021" s="18">
        <v>894.24187363636304</v>
      </c>
      <c r="K2021" s="22">
        <v>0</v>
      </c>
      <c r="L2021" s="22" t="str">
        <f t="shared" si="31"/>
        <v>45839, 7, 13</v>
      </c>
    </row>
    <row r="2022" spans="1:12">
      <c r="A2022" s="9">
        <v>45839</v>
      </c>
      <c r="B2022">
        <v>7</v>
      </c>
      <c r="C2022" s="16" t="s">
        <v>62</v>
      </c>
      <c r="D2022">
        <v>14</v>
      </c>
      <c r="E2022" s="16" t="s">
        <v>51</v>
      </c>
      <c r="F2022" s="18">
        <v>1127</v>
      </c>
      <c r="G2022" s="22">
        <v>46</v>
      </c>
      <c r="H2022" s="18">
        <v>3.7708318419285698</v>
      </c>
      <c r="I2022" s="18">
        <v>173.458264728714</v>
      </c>
      <c r="J2022" s="18">
        <v>953.54173527128501</v>
      </c>
      <c r="K2022" s="22">
        <v>0</v>
      </c>
      <c r="L2022" s="22" t="str">
        <f t="shared" si="31"/>
        <v>45839, 7, 14</v>
      </c>
    </row>
    <row r="2023" spans="1:12">
      <c r="A2023" s="9">
        <v>45839</v>
      </c>
      <c r="B2023">
        <v>7</v>
      </c>
      <c r="C2023" s="16" t="s">
        <v>62</v>
      </c>
      <c r="D2023">
        <v>15</v>
      </c>
      <c r="E2023" s="16" t="s">
        <v>52</v>
      </c>
      <c r="F2023" s="18">
        <v>2856</v>
      </c>
      <c r="G2023" s="22">
        <v>136</v>
      </c>
      <c r="H2023" s="18">
        <v>2.36797101728571</v>
      </c>
      <c r="I2023" s="18">
        <v>322.04405835085697</v>
      </c>
      <c r="J2023" s="18">
        <v>2533.9559416491402</v>
      </c>
      <c r="K2023" s="22">
        <v>0</v>
      </c>
      <c r="L2023" s="22" t="str">
        <f t="shared" si="31"/>
        <v>45839, 7, 15</v>
      </c>
    </row>
    <row r="2024" spans="1:12">
      <c r="A2024" s="9">
        <v>45839</v>
      </c>
      <c r="B2024">
        <v>7</v>
      </c>
      <c r="C2024" s="16" t="s">
        <v>62</v>
      </c>
      <c r="D2024">
        <v>16</v>
      </c>
      <c r="E2024" s="16" t="s">
        <v>53</v>
      </c>
      <c r="F2024" s="18">
        <v>412.5</v>
      </c>
      <c r="G2024" s="22">
        <v>55</v>
      </c>
      <c r="H2024" s="18">
        <v>1.40238135404761</v>
      </c>
      <c r="I2024" s="18">
        <v>77.130974472619002</v>
      </c>
      <c r="J2024" s="18">
        <v>335.36902552738002</v>
      </c>
      <c r="K2024" s="22">
        <v>0</v>
      </c>
      <c r="L2024" s="22" t="str">
        <f t="shared" si="31"/>
        <v>45839, 7, 16</v>
      </c>
    </row>
    <row r="2025" spans="1:12">
      <c r="A2025" s="9">
        <v>45839</v>
      </c>
      <c r="B2025">
        <v>7</v>
      </c>
      <c r="C2025" s="16" t="s">
        <v>62</v>
      </c>
      <c r="D2025">
        <v>17</v>
      </c>
      <c r="E2025" s="16" t="s">
        <v>54</v>
      </c>
      <c r="F2025" s="18">
        <v>700</v>
      </c>
      <c r="G2025" s="22">
        <v>100</v>
      </c>
      <c r="H2025" s="18">
        <v>1.3826658565000001</v>
      </c>
      <c r="I2025" s="18">
        <v>138.26658565</v>
      </c>
      <c r="J2025" s="18">
        <v>561.73341434999998</v>
      </c>
      <c r="K2025" s="22">
        <v>0</v>
      </c>
      <c r="L2025" s="22" t="str">
        <f t="shared" si="31"/>
        <v>45839, 7, 17</v>
      </c>
    </row>
    <row r="2026" spans="1:12">
      <c r="A2026" s="9">
        <v>45839</v>
      </c>
      <c r="B2026">
        <v>7</v>
      </c>
      <c r="C2026" s="16" t="s">
        <v>62</v>
      </c>
      <c r="D2026">
        <v>18</v>
      </c>
      <c r="E2026" s="16" t="s">
        <v>55</v>
      </c>
      <c r="F2026" s="18">
        <v>1086.5</v>
      </c>
      <c r="G2026" s="22">
        <v>53</v>
      </c>
      <c r="H2026" s="18">
        <v>5.7225980486749997</v>
      </c>
      <c r="I2026" s="18">
        <v>303.29769657977499</v>
      </c>
      <c r="J2026" s="18">
        <v>783.20230342022501</v>
      </c>
      <c r="K2026" s="22">
        <v>0</v>
      </c>
      <c r="L2026" s="22" t="str">
        <f t="shared" si="31"/>
        <v>45839, 7, 18</v>
      </c>
    </row>
    <row r="2027" spans="1:12">
      <c r="A2027" s="9">
        <v>45870</v>
      </c>
      <c r="B2027">
        <v>7</v>
      </c>
      <c r="C2027" s="16" t="s">
        <v>62</v>
      </c>
      <c r="D2027">
        <v>1</v>
      </c>
      <c r="E2027" s="16" t="s">
        <v>38</v>
      </c>
      <c r="F2027" s="18">
        <v>2907</v>
      </c>
      <c r="G2027" s="22">
        <v>153</v>
      </c>
      <c r="H2027" s="18">
        <v>3.7561953541666599</v>
      </c>
      <c r="I2027" s="18">
        <v>574.69788918749998</v>
      </c>
      <c r="J2027" s="18">
        <v>2332.3021108124899</v>
      </c>
      <c r="K2027" s="22">
        <v>0</v>
      </c>
      <c r="L2027" s="22" t="str">
        <f t="shared" si="31"/>
        <v>45870, 7, 1</v>
      </c>
    </row>
    <row r="2028" spans="1:12">
      <c r="A2028" s="9">
        <v>45870</v>
      </c>
      <c r="B2028">
        <v>7</v>
      </c>
      <c r="C2028" s="16" t="s">
        <v>62</v>
      </c>
      <c r="D2028">
        <v>2</v>
      </c>
      <c r="E2028" s="16" t="s">
        <v>40</v>
      </c>
      <c r="F2028" s="18">
        <v>3465</v>
      </c>
      <c r="G2028" s="22">
        <v>165</v>
      </c>
      <c r="H2028" s="18">
        <v>6.5183117898823504</v>
      </c>
      <c r="I2028" s="18">
        <v>1075.52144533058</v>
      </c>
      <c r="J2028" s="18">
        <v>2389.4785546694102</v>
      </c>
      <c r="K2028" s="22">
        <v>0</v>
      </c>
      <c r="L2028" s="22" t="str">
        <f t="shared" si="31"/>
        <v>45870, 7, 2</v>
      </c>
    </row>
    <row r="2029" spans="1:12">
      <c r="A2029" s="9">
        <v>45870</v>
      </c>
      <c r="B2029">
        <v>7</v>
      </c>
      <c r="C2029" s="16" t="s">
        <v>62</v>
      </c>
      <c r="D2029">
        <v>3</v>
      </c>
      <c r="E2029" s="16" t="s">
        <v>41</v>
      </c>
      <c r="F2029" s="18">
        <v>1100</v>
      </c>
      <c r="G2029" s="22">
        <v>50</v>
      </c>
      <c r="H2029" s="18">
        <v>3.3670370231764699</v>
      </c>
      <c r="I2029" s="18">
        <v>168.351851158823</v>
      </c>
      <c r="J2029" s="18">
        <v>931.64814884117595</v>
      </c>
      <c r="K2029" s="22">
        <v>0</v>
      </c>
      <c r="L2029" s="22" t="str">
        <f t="shared" si="31"/>
        <v>45870, 7, 3</v>
      </c>
    </row>
    <row r="2030" spans="1:12">
      <c r="A2030" s="9">
        <v>45870</v>
      </c>
      <c r="B2030">
        <v>7</v>
      </c>
      <c r="C2030" s="16" t="s">
        <v>62</v>
      </c>
      <c r="D2030">
        <v>4</v>
      </c>
      <c r="E2030" s="16" t="s">
        <v>42</v>
      </c>
      <c r="F2030" s="18">
        <v>2052</v>
      </c>
      <c r="G2030" s="22">
        <v>114</v>
      </c>
      <c r="H2030" s="18">
        <v>6.7508970338823504</v>
      </c>
      <c r="I2030" s="18">
        <v>769.60226186258797</v>
      </c>
      <c r="J2030" s="18">
        <v>1282.39773813741</v>
      </c>
      <c r="K2030" s="22">
        <v>0</v>
      </c>
      <c r="L2030" s="22" t="str">
        <f t="shared" si="31"/>
        <v>45870, 7, 4</v>
      </c>
    </row>
    <row r="2031" spans="1:12">
      <c r="A2031" s="9">
        <v>45870</v>
      </c>
      <c r="B2031">
        <v>7</v>
      </c>
      <c r="C2031" s="16" t="s">
        <v>62</v>
      </c>
      <c r="D2031">
        <v>5</v>
      </c>
      <c r="E2031" s="16" t="s">
        <v>43</v>
      </c>
      <c r="F2031" s="18">
        <v>832.5</v>
      </c>
      <c r="G2031" s="22">
        <v>45</v>
      </c>
      <c r="H2031" s="18">
        <v>5.850625</v>
      </c>
      <c r="I2031" s="18">
        <v>263.27812499999999</v>
      </c>
      <c r="J2031" s="18">
        <v>569.22187499999995</v>
      </c>
      <c r="K2031" s="22">
        <v>0</v>
      </c>
      <c r="L2031" s="22" t="str">
        <f t="shared" si="31"/>
        <v>45870, 7, 5</v>
      </c>
    </row>
    <row r="2032" spans="1:12">
      <c r="A2032" s="9">
        <v>45870</v>
      </c>
      <c r="B2032">
        <v>7</v>
      </c>
      <c r="C2032" s="16" t="s">
        <v>62</v>
      </c>
      <c r="D2032">
        <v>6</v>
      </c>
      <c r="E2032" s="16" t="s">
        <v>44</v>
      </c>
      <c r="F2032" s="18">
        <v>1345.5</v>
      </c>
      <c r="G2032" s="22">
        <v>69</v>
      </c>
      <c r="H2032" s="18">
        <v>4.4830618447222204</v>
      </c>
      <c r="I2032" s="18">
        <v>309.33126728583301</v>
      </c>
      <c r="J2032" s="18">
        <v>1036.1687327141599</v>
      </c>
      <c r="K2032" s="22">
        <v>0</v>
      </c>
      <c r="L2032" s="22" t="str">
        <f t="shared" si="31"/>
        <v>45870, 7, 6</v>
      </c>
    </row>
    <row r="2033" spans="1:12">
      <c r="A2033" s="9">
        <v>45870</v>
      </c>
      <c r="B2033">
        <v>7</v>
      </c>
      <c r="C2033" s="16" t="s">
        <v>62</v>
      </c>
      <c r="D2033">
        <v>7</v>
      </c>
      <c r="E2033" s="16" t="s">
        <v>45</v>
      </c>
      <c r="F2033" s="18">
        <v>1116</v>
      </c>
      <c r="G2033" s="22">
        <v>124</v>
      </c>
      <c r="H2033" s="18">
        <v>2.7819686111111102</v>
      </c>
      <c r="I2033" s="18">
        <v>344.96410777777697</v>
      </c>
      <c r="J2033" s="18">
        <v>771.03589222222195</v>
      </c>
      <c r="K2033" s="22">
        <v>0</v>
      </c>
      <c r="L2033" s="22" t="str">
        <f t="shared" si="31"/>
        <v>45870, 7, 7</v>
      </c>
    </row>
    <row r="2034" spans="1:12">
      <c r="A2034" s="9">
        <v>45870</v>
      </c>
      <c r="B2034">
        <v>7</v>
      </c>
      <c r="C2034" s="16" t="s">
        <v>62</v>
      </c>
      <c r="D2034">
        <v>8</v>
      </c>
      <c r="E2034" s="16" t="s">
        <v>46</v>
      </c>
      <c r="F2034" s="18">
        <v>616</v>
      </c>
      <c r="G2034" s="22">
        <v>56</v>
      </c>
      <c r="H2034" s="18">
        <v>0.63637864878787798</v>
      </c>
      <c r="I2034" s="18">
        <v>35.6372043321212</v>
      </c>
      <c r="J2034" s="18">
        <v>580.362795667878</v>
      </c>
      <c r="K2034" s="22">
        <v>0</v>
      </c>
      <c r="L2034" s="22" t="str">
        <f t="shared" si="31"/>
        <v>45870, 7, 8</v>
      </c>
    </row>
    <row r="2035" spans="1:12">
      <c r="A2035" s="9">
        <v>45870</v>
      </c>
      <c r="B2035">
        <v>7</v>
      </c>
      <c r="C2035" s="16" t="s">
        <v>62</v>
      </c>
      <c r="D2035">
        <v>9</v>
      </c>
      <c r="E2035" s="16" t="s">
        <v>47</v>
      </c>
      <c r="F2035" s="18">
        <v>1118</v>
      </c>
      <c r="G2035" s="22">
        <v>26</v>
      </c>
      <c r="H2035" s="18">
        <v>15.1494114395758</v>
      </c>
      <c r="I2035" s="18">
        <v>393.88469742897303</v>
      </c>
      <c r="J2035" s="18">
        <v>724.11530257102595</v>
      </c>
      <c r="K2035" s="22">
        <v>0</v>
      </c>
      <c r="L2035" s="22" t="str">
        <f t="shared" si="31"/>
        <v>45870, 7, 9</v>
      </c>
    </row>
    <row r="2036" spans="1:12">
      <c r="A2036" s="9">
        <v>45870</v>
      </c>
      <c r="B2036">
        <v>7</v>
      </c>
      <c r="C2036" s="16" t="s">
        <v>62</v>
      </c>
      <c r="D2036">
        <v>10</v>
      </c>
      <c r="E2036" s="16" t="s">
        <v>57</v>
      </c>
      <c r="F2036" s="18">
        <v>612</v>
      </c>
      <c r="G2036" s="22">
        <v>51</v>
      </c>
      <c r="H2036" s="18">
        <v>1.85613549574444</v>
      </c>
      <c r="I2036" s="18">
        <v>94.662910282966607</v>
      </c>
      <c r="J2036" s="18">
        <v>517.337089717033</v>
      </c>
      <c r="K2036" s="22">
        <v>0</v>
      </c>
      <c r="L2036" s="22" t="str">
        <f t="shared" si="31"/>
        <v>45870, 7, 10</v>
      </c>
    </row>
    <row r="2037" spans="1:12">
      <c r="A2037" s="9">
        <v>45870</v>
      </c>
      <c r="B2037">
        <v>7</v>
      </c>
      <c r="C2037" s="16" t="s">
        <v>62</v>
      </c>
      <c r="D2037">
        <v>11</v>
      </c>
      <c r="E2037" s="16" t="s">
        <v>48</v>
      </c>
      <c r="F2037" s="18">
        <v>2109</v>
      </c>
      <c r="G2037" s="22">
        <v>114</v>
      </c>
      <c r="H2037" s="18">
        <v>2.0826907812500002</v>
      </c>
      <c r="I2037" s="18">
        <v>237.42674906249999</v>
      </c>
      <c r="J2037" s="18">
        <v>1871.5732509375</v>
      </c>
      <c r="K2037" s="22">
        <v>0</v>
      </c>
      <c r="L2037" s="22" t="str">
        <f t="shared" si="31"/>
        <v>45870, 7, 11</v>
      </c>
    </row>
    <row r="2038" spans="1:12">
      <c r="A2038" s="9">
        <v>45870</v>
      </c>
      <c r="B2038">
        <v>7</v>
      </c>
      <c r="C2038" s="16" t="s">
        <v>62</v>
      </c>
      <c r="D2038">
        <v>12</v>
      </c>
      <c r="E2038" s="16" t="s">
        <v>49</v>
      </c>
      <c r="F2038" s="18">
        <v>1216</v>
      </c>
      <c r="G2038" s="22">
        <v>64</v>
      </c>
      <c r="H2038" s="18">
        <v>2.4749035644117598</v>
      </c>
      <c r="I2038" s="18">
        <v>158.39382812235201</v>
      </c>
      <c r="J2038" s="18">
        <v>1057.60617187764</v>
      </c>
      <c r="K2038" s="22">
        <v>0</v>
      </c>
      <c r="L2038" s="22" t="str">
        <f t="shared" si="31"/>
        <v>45870, 7, 12</v>
      </c>
    </row>
    <row r="2039" spans="1:12">
      <c r="A2039" s="9">
        <v>45870</v>
      </c>
      <c r="B2039">
        <v>7</v>
      </c>
      <c r="C2039" s="16" t="s">
        <v>62</v>
      </c>
      <c r="D2039">
        <v>13</v>
      </c>
      <c r="E2039" s="16" t="s">
        <v>50</v>
      </c>
      <c r="F2039" s="18">
        <v>1521</v>
      </c>
      <c r="G2039" s="22">
        <v>78</v>
      </c>
      <c r="H2039" s="18">
        <v>6.7354007894736796</v>
      </c>
      <c r="I2039" s="18">
        <v>525.36126157894705</v>
      </c>
      <c r="J2039" s="18">
        <v>995.63873842105204</v>
      </c>
      <c r="K2039" s="22">
        <v>0</v>
      </c>
      <c r="L2039" s="22" t="str">
        <f t="shared" si="31"/>
        <v>45870, 7, 13</v>
      </c>
    </row>
    <row r="2040" spans="1:12">
      <c r="A2040" s="9">
        <v>45870</v>
      </c>
      <c r="B2040">
        <v>7</v>
      </c>
      <c r="C2040" s="16" t="s">
        <v>62</v>
      </c>
      <c r="D2040">
        <v>14</v>
      </c>
      <c r="E2040" s="16" t="s">
        <v>51</v>
      </c>
      <c r="F2040" s="18">
        <v>1421</v>
      </c>
      <c r="G2040" s="22">
        <v>58</v>
      </c>
      <c r="H2040" s="18">
        <v>3.7602891315640998</v>
      </c>
      <c r="I2040" s="18">
        <v>218.09676963071701</v>
      </c>
      <c r="J2040" s="18">
        <v>1202.90323036928</v>
      </c>
      <c r="K2040" s="22">
        <v>0</v>
      </c>
      <c r="L2040" s="22" t="str">
        <f t="shared" si="31"/>
        <v>45870, 7, 14</v>
      </c>
    </row>
    <row r="2041" spans="1:12">
      <c r="A2041" s="9">
        <v>45870</v>
      </c>
      <c r="B2041">
        <v>7</v>
      </c>
      <c r="C2041" s="16" t="s">
        <v>62</v>
      </c>
      <c r="D2041">
        <v>15</v>
      </c>
      <c r="E2041" s="16" t="s">
        <v>52</v>
      </c>
      <c r="F2041" s="18">
        <v>3381</v>
      </c>
      <c r="G2041" s="22">
        <v>161</v>
      </c>
      <c r="H2041" s="18">
        <v>2.35761366292307</v>
      </c>
      <c r="I2041" s="18">
        <v>379.57579973061502</v>
      </c>
      <c r="J2041" s="18">
        <v>3001.42420026938</v>
      </c>
      <c r="K2041" s="22">
        <v>0</v>
      </c>
      <c r="L2041" s="22" t="str">
        <f t="shared" si="31"/>
        <v>45870, 7, 15</v>
      </c>
    </row>
    <row r="2042" spans="1:12">
      <c r="A2042" s="9">
        <v>45870</v>
      </c>
      <c r="B2042">
        <v>7</v>
      </c>
      <c r="C2042" s="16" t="s">
        <v>62</v>
      </c>
      <c r="D2042">
        <v>16</v>
      </c>
      <c r="E2042" s="16" t="s">
        <v>53</v>
      </c>
      <c r="F2042" s="18">
        <v>570</v>
      </c>
      <c r="G2042" s="22">
        <v>76</v>
      </c>
      <c r="H2042" s="18">
        <v>1.4027759200000001</v>
      </c>
      <c r="I2042" s="18">
        <v>106.61096992</v>
      </c>
      <c r="J2042" s="18">
        <v>463.38903008</v>
      </c>
      <c r="K2042" s="22">
        <v>0</v>
      </c>
      <c r="L2042" s="22" t="str">
        <f t="shared" si="31"/>
        <v>45870, 7, 16</v>
      </c>
    </row>
    <row r="2043" spans="1:12">
      <c r="A2043" s="9">
        <v>45870</v>
      </c>
      <c r="B2043">
        <v>7</v>
      </c>
      <c r="C2043" s="16" t="s">
        <v>62</v>
      </c>
      <c r="D2043">
        <v>17</v>
      </c>
      <c r="E2043" s="16" t="s">
        <v>54</v>
      </c>
      <c r="F2043" s="18">
        <v>665</v>
      </c>
      <c r="G2043" s="22">
        <v>95</v>
      </c>
      <c r="H2043" s="18">
        <v>1.394680304</v>
      </c>
      <c r="I2043" s="18">
        <v>132.49462887999999</v>
      </c>
      <c r="J2043" s="18">
        <v>532.50537111999995</v>
      </c>
      <c r="K2043" s="22">
        <v>0</v>
      </c>
      <c r="L2043" s="22" t="str">
        <f t="shared" si="31"/>
        <v>45870, 7, 17</v>
      </c>
    </row>
    <row r="2044" spans="1:12">
      <c r="A2044" s="9">
        <v>45870</v>
      </c>
      <c r="B2044">
        <v>7</v>
      </c>
      <c r="C2044" s="16" t="s">
        <v>62</v>
      </c>
      <c r="D2044">
        <v>18</v>
      </c>
      <c r="E2044" s="16" t="s">
        <v>55</v>
      </c>
      <c r="F2044" s="18">
        <v>1107</v>
      </c>
      <c r="G2044" s="22">
        <v>54</v>
      </c>
      <c r="H2044" s="18">
        <v>5.7415121050227196</v>
      </c>
      <c r="I2044" s="18">
        <v>310.04165367122698</v>
      </c>
      <c r="J2044" s="18">
        <v>796.958346328772</v>
      </c>
      <c r="K2044" s="22">
        <v>0</v>
      </c>
      <c r="L2044" s="22" t="str">
        <f t="shared" si="31"/>
        <v>45870, 7, 18</v>
      </c>
    </row>
    <row r="2045" spans="1:12">
      <c r="A2045" s="9">
        <v>45901</v>
      </c>
      <c r="B2045">
        <v>7</v>
      </c>
      <c r="C2045" s="16" t="s">
        <v>62</v>
      </c>
      <c r="D2045">
        <v>1</v>
      </c>
      <c r="E2045" s="16" t="s">
        <v>38</v>
      </c>
      <c r="F2045" s="18">
        <v>2717</v>
      </c>
      <c r="G2045" s="22">
        <v>143</v>
      </c>
      <c r="H2045" s="18">
        <v>3.7718383214285698</v>
      </c>
      <c r="I2045" s="18">
        <v>539.37287996428495</v>
      </c>
      <c r="J2045" s="18">
        <v>2177.62712003571</v>
      </c>
      <c r="K2045" s="22">
        <v>0</v>
      </c>
      <c r="L2045" s="22" t="str">
        <f t="shared" si="31"/>
        <v>45901, 7, 1</v>
      </c>
    </row>
    <row r="2046" spans="1:12">
      <c r="A2046" s="9">
        <v>45901</v>
      </c>
      <c r="B2046">
        <v>7</v>
      </c>
      <c r="C2046" s="16" t="s">
        <v>62</v>
      </c>
      <c r="D2046">
        <v>2</v>
      </c>
      <c r="E2046" s="16" t="s">
        <v>40</v>
      </c>
      <c r="F2046" s="18">
        <v>2835</v>
      </c>
      <c r="G2046" s="22">
        <v>135</v>
      </c>
      <c r="H2046" s="18">
        <v>6.57111351855555</v>
      </c>
      <c r="I2046" s="18">
        <v>887.10032500499995</v>
      </c>
      <c r="J2046" s="18">
        <v>1947.8996749949899</v>
      </c>
      <c r="K2046" s="22">
        <v>0</v>
      </c>
      <c r="L2046" s="22" t="str">
        <f t="shared" si="31"/>
        <v>45901, 7, 2</v>
      </c>
    </row>
    <row r="2047" spans="1:12">
      <c r="A2047" s="9">
        <v>45901</v>
      </c>
      <c r="B2047">
        <v>7</v>
      </c>
      <c r="C2047" s="16" t="s">
        <v>62</v>
      </c>
      <c r="D2047">
        <v>3</v>
      </c>
      <c r="E2047" s="16" t="s">
        <v>41</v>
      </c>
      <c r="F2047" s="18">
        <v>946</v>
      </c>
      <c r="G2047" s="22">
        <v>43</v>
      </c>
      <c r="H2047" s="18">
        <v>3.3902469423333299</v>
      </c>
      <c r="I2047" s="18">
        <v>145.78061852033301</v>
      </c>
      <c r="J2047" s="18">
        <v>800.21938147966603</v>
      </c>
      <c r="K2047" s="22">
        <v>0</v>
      </c>
      <c r="L2047" s="22" t="str">
        <f t="shared" si="31"/>
        <v>45901, 7, 3</v>
      </c>
    </row>
    <row r="2048" spans="1:12">
      <c r="A2048" s="9">
        <v>45901</v>
      </c>
      <c r="B2048">
        <v>7</v>
      </c>
      <c r="C2048" s="16" t="s">
        <v>62</v>
      </c>
      <c r="D2048">
        <v>4</v>
      </c>
      <c r="E2048" s="16" t="s">
        <v>42</v>
      </c>
      <c r="F2048" s="18">
        <v>1710</v>
      </c>
      <c r="G2048" s="22">
        <v>95</v>
      </c>
      <c r="H2048" s="18">
        <v>6.9327108443333296</v>
      </c>
      <c r="I2048" s="18">
        <v>658.60753021166602</v>
      </c>
      <c r="J2048" s="18">
        <v>1051.3924697883299</v>
      </c>
      <c r="K2048" s="22">
        <v>0</v>
      </c>
      <c r="L2048" s="22" t="str">
        <f t="shared" si="31"/>
        <v>45901, 7, 4</v>
      </c>
    </row>
    <row r="2049" spans="1:12">
      <c r="A2049" s="9">
        <v>45901</v>
      </c>
      <c r="B2049">
        <v>7</v>
      </c>
      <c r="C2049" s="16" t="s">
        <v>62</v>
      </c>
      <c r="D2049">
        <v>5</v>
      </c>
      <c r="E2049" s="16" t="s">
        <v>43</v>
      </c>
      <c r="F2049" s="18">
        <v>980.5</v>
      </c>
      <c r="G2049" s="22">
        <v>53</v>
      </c>
      <c r="H2049" s="18">
        <v>6.0548611111111104</v>
      </c>
      <c r="I2049" s="18">
        <v>320.90763888888802</v>
      </c>
      <c r="J2049" s="18">
        <v>659.59236111111102</v>
      </c>
      <c r="K2049" s="22">
        <v>0</v>
      </c>
      <c r="L2049" s="22" t="str">
        <f t="shared" si="31"/>
        <v>45901, 7, 5</v>
      </c>
    </row>
    <row r="2050" spans="1:12">
      <c r="A2050" s="9">
        <v>45901</v>
      </c>
      <c r="B2050">
        <v>7</v>
      </c>
      <c r="C2050" s="16" t="s">
        <v>62</v>
      </c>
      <c r="D2050">
        <v>6</v>
      </c>
      <c r="E2050" s="16" t="s">
        <v>44</v>
      </c>
      <c r="F2050" s="18">
        <v>1462.5</v>
      </c>
      <c r="G2050" s="22">
        <v>75</v>
      </c>
      <c r="H2050" s="18">
        <v>4.4836844600908998</v>
      </c>
      <c r="I2050" s="18">
        <v>336.27633450681799</v>
      </c>
      <c r="J2050" s="18">
        <v>1126.2236654931801</v>
      </c>
      <c r="K2050" s="22">
        <v>0</v>
      </c>
      <c r="L2050" s="22" t="str">
        <f t="shared" si="31"/>
        <v>45901, 7, 6</v>
      </c>
    </row>
    <row r="2051" spans="1:12">
      <c r="A2051" s="9">
        <v>45901</v>
      </c>
      <c r="B2051">
        <v>7</v>
      </c>
      <c r="C2051" s="16" t="s">
        <v>62</v>
      </c>
      <c r="D2051">
        <v>7</v>
      </c>
      <c r="E2051" s="16" t="s">
        <v>45</v>
      </c>
      <c r="F2051" s="18">
        <v>1098</v>
      </c>
      <c r="G2051" s="22">
        <v>122</v>
      </c>
      <c r="H2051" s="18">
        <v>2.80722039535714</v>
      </c>
      <c r="I2051" s="18">
        <v>342.48088823357102</v>
      </c>
      <c r="J2051" s="18">
        <v>755.51911176642795</v>
      </c>
      <c r="K2051" s="22">
        <v>0</v>
      </c>
      <c r="L2051" s="22" t="str">
        <f t="shared" ref="L2051:L2114" si="32">(A2051&amp; ", "&amp; B2051&amp; ", "&amp; D2051)</f>
        <v>45901, 7, 7</v>
      </c>
    </row>
    <row r="2052" spans="1:12">
      <c r="A2052" s="9">
        <v>45901</v>
      </c>
      <c r="B2052">
        <v>7</v>
      </c>
      <c r="C2052" s="16" t="s">
        <v>62</v>
      </c>
      <c r="D2052">
        <v>8</v>
      </c>
      <c r="E2052" s="16" t="s">
        <v>46</v>
      </c>
      <c r="F2052" s="18">
        <v>693</v>
      </c>
      <c r="G2052" s="22">
        <v>63</v>
      </c>
      <c r="H2052" s="18">
        <v>0.64195047272727201</v>
      </c>
      <c r="I2052" s="18">
        <v>40.4428797818181</v>
      </c>
      <c r="J2052" s="18">
        <v>652.55712021818101</v>
      </c>
      <c r="K2052" s="22">
        <v>0</v>
      </c>
      <c r="L2052" s="22" t="str">
        <f t="shared" si="32"/>
        <v>45901, 7, 8</v>
      </c>
    </row>
    <row r="2053" spans="1:12">
      <c r="A2053" s="9">
        <v>45901</v>
      </c>
      <c r="B2053">
        <v>7</v>
      </c>
      <c r="C2053" s="16" t="s">
        <v>62</v>
      </c>
      <c r="D2053">
        <v>9</v>
      </c>
      <c r="E2053" s="16" t="s">
        <v>47</v>
      </c>
      <c r="F2053" s="18">
        <v>1247</v>
      </c>
      <c r="G2053" s="22">
        <v>29</v>
      </c>
      <c r="H2053" s="18">
        <v>15.0801442932515</v>
      </c>
      <c r="I2053" s="18">
        <v>437.32418450429401</v>
      </c>
      <c r="J2053" s="18">
        <v>809.67581549570502</v>
      </c>
      <c r="K2053" s="22">
        <v>0</v>
      </c>
      <c r="L2053" s="22" t="str">
        <f t="shared" si="32"/>
        <v>45901, 7, 9</v>
      </c>
    </row>
    <row r="2054" spans="1:12">
      <c r="A2054" s="9">
        <v>45901</v>
      </c>
      <c r="B2054">
        <v>7</v>
      </c>
      <c r="C2054" s="16" t="s">
        <v>62</v>
      </c>
      <c r="D2054">
        <v>10</v>
      </c>
      <c r="E2054" s="16" t="s">
        <v>57</v>
      </c>
      <c r="F2054" s="18">
        <v>696</v>
      </c>
      <c r="G2054" s="22">
        <v>58</v>
      </c>
      <c r="H2054" s="18">
        <v>1.94669437888</v>
      </c>
      <c r="I2054" s="18">
        <v>112.90827397504</v>
      </c>
      <c r="J2054" s="18">
        <v>583.09172602496005</v>
      </c>
      <c r="K2054" s="22">
        <v>0</v>
      </c>
      <c r="L2054" s="22" t="str">
        <f t="shared" si="32"/>
        <v>45901, 7, 10</v>
      </c>
    </row>
    <row r="2055" spans="1:12">
      <c r="A2055" s="9">
        <v>45901</v>
      </c>
      <c r="B2055">
        <v>7</v>
      </c>
      <c r="C2055" s="16" t="s">
        <v>62</v>
      </c>
      <c r="D2055">
        <v>11</v>
      </c>
      <c r="E2055" s="16" t="s">
        <v>48</v>
      </c>
      <c r="F2055" s="18">
        <v>2053.5</v>
      </c>
      <c r="G2055" s="22">
        <v>111</v>
      </c>
      <c r="H2055" s="18">
        <v>2.08766916666666</v>
      </c>
      <c r="I2055" s="18">
        <v>231.7312775</v>
      </c>
      <c r="J2055" s="18">
        <v>1821.76872249999</v>
      </c>
      <c r="K2055" s="22">
        <v>0</v>
      </c>
      <c r="L2055" s="22" t="str">
        <f t="shared" si="32"/>
        <v>45901, 7, 11</v>
      </c>
    </row>
    <row r="2056" spans="1:12">
      <c r="A2056" s="9">
        <v>45901</v>
      </c>
      <c r="B2056">
        <v>7</v>
      </c>
      <c r="C2056" s="16" t="s">
        <v>62</v>
      </c>
      <c r="D2056">
        <v>12</v>
      </c>
      <c r="E2056" s="16" t="s">
        <v>49</v>
      </c>
      <c r="F2056" s="18">
        <v>1178</v>
      </c>
      <c r="G2056" s="22">
        <v>62</v>
      </c>
      <c r="H2056" s="18">
        <v>2.49533178430555</v>
      </c>
      <c r="I2056" s="18">
        <v>154.71057062694399</v>
      </c>
      <c r="J2056" s="18">
        <v>1023.28942937305</v>
      </c>
      <c r="K2056" s="22">
        <v>0</v>
      </c>
      <c r="L2056" s="22" t="str">
        <f t="shared" si="32"/>
        <v>45901, 7, 12</v>
      </c>
    </row>
    <row r="2057" spans="1:12">
      <c r="A2057" s="9">
        <v>45901</v>
      </c>
      <c r="B2057">
        <v>7</v>
      </c>
      <c r="C2057" s="16" t="s">
        <v>62</v>
      </c>
      <c r="D2057">
        <v>13</v>
      </c>
      <c r="E2057" s="16" t="s">
        <v>50</v>
      </c>
      <c r="F2057" s="18">
        <v>2047.5</v>
      </c>
      <c r="G2057" s="22">
        <v>105</v>
      </c>
      <c r="H2057" s="18">
        <v>6.7503339999999996</v>
      </c>
      <c r="I2057" s="18">
        <v>708.78507000000002</v>
      </c>
      <c r="J2057" s="18">
        <v>1338.7149300000001</v>
      </c>
      <c r="K2057" s="22">
        <v>0</v>
      </c>
      <c r="L2057" s="22" t="str">
        <f t="shared" si="32"/>
        <v>45901, 7, 13</v>
      </c>
    </row>
    <row r="2058" spans="1:12">
      <c r="A2058" s="9">
        <v>45901</v>
      </c>
      <c r="B2058">
        <v>7</v>
      </c>
      <c r="C2058" s="16" t="s">
        <v>62</v>
      </c>
      <c r="D2058">
        <v>14</v>
      </c>
      <c r="E2058" s="16" t="s">
        <v>51</v>
      </c>
      <c r="F2058" s="18">
        <v>1396.5</v>
      </c>
      <c r="G2058" s="22">
        <v>57</v>
      </c>
      <c r="H2058" s="18">
        <v>3.8512764179871701</v>
      </c>
      <c r="I2058" s="18">
        <v>219.522755825269</v>
      </c>
      <c r="J2058" s="18">
        <v>1176.97724417473</v>
      </c>
      <c r="K2058" s="22">
        <v>0</v>
      </c>
      <c r="L2058" s="22" t="str">
        <f t="shared" si="32"/>
        <v>45901, 7, 14</v>
      </c>
    </row>
    <row r="2059" spans="1:12">
      <c r="A2059" s="9">
        <v>45901</v>
      </c>
      <c r="B2059">
        <v>7</v>
      </c>
      <c r="C2059" s="16" t="s">
        <v>62</v>
      </c>
      <c r="D2059">
        <v>15</v>
      </c>
      <c r="E2059" s="16" t="s">
        <v>52</v>
      </c>
      <c r="F2059" s="18">
        <v>2646</v>
      </c>
      <c r="G2059" s="22">
        <v>126</v>
      </c>
      <c r="H2059" s="18">
        <v>2.385033446</v>
      </c>
      <c r="I2059" s="18">
        <v>300.51421419600001</v>
      </c>
      <c r="J2059" s="18">
        <v>2345.485785804</v>
      </c>
      <c r="K2059" s="22">
        <v>0</v>
      </c>
      <c r="L2059" s="22" t="str">
        <f t="shared" si="32"/>
        <v>45901, 7, 15</v>
      </c>
    </row>
    <row r="2060" spans="1:12">
      <c r="A2060" s="9">
        <v>45901</v>
      </c>
      <c r="B2060">
        <v>7</v>
      </c>
      <c r="C2060" s="16" t="s">
        <v>62</v>
      </c>
      <c r="D2060">
        <v>16</v>
      </c>
      <c r="E2060" s="16" t="s">
        <v>53</v>
      </c>
      <c r="F2060" s="18">
        <v>457.5</v>
      </c>
      <c r="G2060" s="22">
        <v>61</v>
      </c>
      <c r="H2060" s="18">
        <v>1.40124672119047</v>
      </c>
      <c r="I2060" s="18">
        <v>85.476049992618996</v>
      </c>
      <c r="J2060" s="18">
        <v>372.02395000737999</v>
      </c>
      <c r="K2060" s="22">
        <v>0</v>
      </c>
      <c r="L2060" s="22" t="str">
        <f t="shared" si="32"/>
        <v>45901, 7, 16</v>
      </c>
    </row>
    <row r="2061" spans="1:12">
      <c r="A2061" s="9">
        <v>45901</v>
      </c>
      <c r="B2061">
        <v>7</v>
      </c>
      <c r="C2061" s="16" t="s">
        <v>62</v>
      </c>
      <c r="D2061">
        <v>17</v>
      </c>
      <c r="E2061" s="16" t="s">
        <v>54</v>
      </c>
      <c r="F2061" s="18">
        <v>560</v>
      </c>
      <c r="G2061" s="22">
        <v>80</v>
      </c>
      <c r="H2061" s="18">
        <v>1.38999828583333</v>
      </c>
      <c r="I2061" s="18">
        <v>111.199862866666</v>
      </c>
      <c r="J2061" s="18">
        <v>448.80013713333301</v>
      </c>
      <c r="K2061" s="22">
        <v>0</v>
      </c>
      <c r="L2061" s="22" t="str">
        <f t="shared" si="32"/>
        <v>45901, 7, 17</v>
      </c>
    </row>
    <row r="2062" spans="1:12">
      <c r="A2062" s="9">
        <v>45901</v>
      </c>
      <c r="B2062">
        <v>7</v>
      </c>
      <c r="C2062" s="16" t="s">
        <v>62</v>
      </c>
      <c r="D2062">
        <v>18</v>
      </c>
      <c r="E2062" s="16" t="s">
        <v>55</v>
      </c>
      <c r="F2062" s="18">
        <v>1025</v>
      </c>
      <c r="G2062" s="22">
        <v>50</v>
      </c>
      <c r="H2062" s="18">
        <v>5.77517332972727</v>
      </c>
      <c r="I2062" s="18">
        <v>288.75866648636298</v>
      </c>
      <c r="J2062" s="18">
        <v>736.24133351363605</v>
      </c>
      <c r="K2062" s="22">
        <v>0</v>
      </c>
      <c r="L2062" s="22" t="str">
        <f t="shared" si="32"/>
        <v>45901, 7, 18</v>
      </c>
    </row>
    <row r="2063" spans="1:12">
      <c r="A2063" s="9">
        <v>45931</v>
      </c>
      <c r="B2063">
        <v>7</v>
      </c>
      <c r="C2063" s="16" t="s">
        <v>62</v>
      </c>
      <c r="D2063">
        <v>1</v>
      </c>
      <c r="E2063" s="16" t="s">
        <v>38</v>
      </c>
      <c r="F2063" s="18">
        <v>2774</v>
      </c>
      <c r="G2063" s="22">
        <v>146</v>
      </c>
      <c r="H2063" s="18">
        <v>3.7606585961538399</v>
      </c>
      <c r="I2063" s="18">
        <v>549.05615503846104</v>
      </c>
      <c r="J2063" s="18">
        <v>2224.94384496153</v>
      </c>
      <c r="K2063" s="22">
        <v>0</v>
      </c>
      <c r="L2063" s="22" t="str">
        <f t="shared" si="32"/>
        <v>45931, 7, 1</v>
      </c>
    </row>
    <row r="2064" spans="1:12">
      <c r="A2064" s="9">
        <v>45931</v>
      </c>
      <c r="B2064">
        <v>7</v>
      </c>
      <c r="C2064" s="16" t="s">
        <v>62</v>
      </c>
      <c r="D2064">
        <v>2</v>
      </c>
      <c r="E2064" s="16" t="s">
        <v>40</v>
      </c>
      <c r="F2064" s="18">
        <v>2898</v>
      </c>
      <c r="G2064" s="22">
        <v>138</v>
      </c>
      <c r="H2064" s="18">
        <v>6.5852889960000001</v>
      </c>
      <c r="I2064" s="18">
        <v>908.76988144799998</v>
      </c>
      <c r="J2064" s="18">
        <v>1989.230118552</v>
      </c>
      <c r="K2064" s="22">
        <v>0</v>
      </c>
      <c r="L2064" s="22" t="str">
        <f t="shared" si="32"/>
        <v>45931, 7, 2</v>
      </c>
    </row>
    <row r="2065" spans="1:12">
      <c r="A2065" s="9">
        <v>45931</v>
      </c>
      <c r="B2065">
        <v>7</v>
      </c>
      <c r="C2065" s="16" t="s">
        <v>62</v>
      </c>
      <c r="D2065">
        <v>3</v>
      </c>
      <c r="E2065" s="16" t="s">
        <v>41</v>
      </c>
      <c r="F2065" s="18">
        <v>1232</v>
      </c>
      <c r="G2065" s="22">
        <v>56</v>
      </c>
      <c r="H2065" s="18">
        <v>3.4225864633333298</v>
      </c>
      <c r="I2065" s="18">
        <v>191.664841946666</v>
      </c>
      <c r="J2065" s="18">
        <v>1040.3351580533299</v>
      </c>
      <c r="K2065" s="22">
        <v>0</v>
      </c>
      <c r="L2065" s="22" t="str">
        <f t="shared" si="32"/>
        <v>45931, 7, 3</v>
      </c>
    </row>
    <row r="2066" spans="1:12">
      <c r="A2066" s="9">
        <v>45931</v>
      </c>
      <c r="B2066">
        <v>7</v>
      </c>
      <c r="C2066" s="16" t="s">
        <v>62</v>
      </c>
      <c r="D2066">
        <v>4</v>
      </c>
      <c r="E2066" s="16" t="s">
        <v>42</v>
      </c>
      <c r="F2066" s="18">
        <v>1746</v>
      </c>
      <c r="G2066" s="22">
        <v>97</v>
      </c>
      <c r="H2066" s="18">
        <v>7.0567691784444397</v>
      </c>
      <c r="I2066" s="18">
        <v>684.50661030911101</v>
      </c>
      <c r="J2066" s="18">
        <v>1061.4933896908799</v>
      </c>
      <c r="K2066" s="22">
        <v>0</v>
      </c>
      <c r="L2066" s="22" t="str">
        <f t="shared" si="32"/>
        <v>45931, 7, 4</v>
      </c>
    </row>
    <row r="2067" spans="1:12">
      <c r="A2067" s="9">
        <v>45931</v>
      </c>
      <c r="B2067">
        <v>7</v>
      </c>
      <c r="C2067" s="16" t="s">
        <v>62</v>
      </c>
      <c r="D2067">
        <v>5</v>
      </c>
      <c r="E2067" s="16" t="s">
        <v>43</v>
      </c>
      <c r="F2067" s="18">
        <v>777</v>
      </c>
      <c r="G2067" s="22">
        <v>42</v>
      </c>
      <c r="H2067" s="18">
        <v>6.3398611111111096</v>
      </c>
      <c r="I2067" s="18">
        <v>266.27416666666602</v>
      </c>
      <c r="J2067" s="18">
        <v>510.72583333333301</v>
      </c>
      <c r="K2067" s="22">
        <v>0</v>
      </c>
      <c r="L2067" s="22" t="str">
        <f t="shared" si="32"/>
        <v>45931, 7, 5</v>
      </c>
    </row>
    <row r="2068" spans="1:12">
      <c r="A2068" s="9">
        <v>45931</v>
      </c>
      <c r="B2068">
        <v>7</v>
      </c>
      <c r="C2068" s="16" t="s">
        <v>62</v>
      </c>
      <c r="D2068">
        <v>6</v>
      </c>
      <c r="E2068" s="16" t="s">
        <v>44</v>
      </c>
      <c r="F2068" s="18">
        <v>1813.5</v>
      </c>
      <c r="G2068" s="22">
        <v>93</v>
      </c>
      <c r="H2068" s="18">
        <v>4.5487302931249998</v>
      </c>
      <c r="I2068" s="18">
        <v>423.03191726062499</v>
      </c>
      <c r="J2068" s="18">
        <v>1390.4680827393699</v>
      </c>
      <c r="K2068" s="22">
        <v>0</v>
      </c>
      <c r="L2068" s="22" t="str">
        <f t="shared" si="32"/>
        <v>45931, 7, 6</v>
      </c>
    </row>
    <row r="2069" spans="1:12">
      <c r="A2069" s="9">
        <v>45931</v>
      </c>
      <c r="B2069">
        <v>7</v>
      </c>
      <c r="C2069" s="16" t="s">
        <v>62</v>
      </c>
      <c r="D2069">
        <v>7</v>
      </c>
      <c r="E2069" s="16" t="s">
        <v>45</v>
      </c>
      <c r="F2069" s="18">
        <v>1386</v>
      </c>
      <c r="G2069" s="22">
        <v>154</v>
      </c>
      <c r="H2069" s="18">
        <v>2.7991036386363599</v>
      </c>
      <c r="I2069" s="18">
        <v>431.06196034999999</v>
      </c>
      <c r="J2069" s="18">
        <v>954.93803964999904</v>
      </c>
      <c r="K2069" s="22">
        <v>0</v>
      </c>
      <c r="L2069" s="22" t="str">
        <f t="shared" si="32"/>
        <v>45931, 7, 7</v>
      </c>
    </row>
    <row r="2070" spans="1:12">
      <c r="A2070" s="9">
        <v>45931</v>
      </c>
      <c r="B2070">
        <v>7</v>
      </c>
      <c r="C2070" s="16" t="s">
        <v>62</v>
      </c>
      <c r="D2070">
        <v>8</v>
      </c>
      <c r="E2070" s="16" t="s">
        <v>46</v>
      </c>
      <c r="F2070" s="18">
        <v>946</v>
      </c>
      <c r="G2070" s="22">
        <v>86</v>
      </c>
      <c r="H2070" s="18">
        <v>0.64213936111111103</v>
      </c>
      <c r="I2070" s="18">
        <v>55.223985055555502</v>
      </c>
      <c r="J2070" s="18">
        <v>890.776014944444</v>
      </c>
      <c r="K2070" s="22">
        <v>0</v>
      </c>
      <c r="L2070" s="22" t="str">
        <f t="shared" si="32"/>
        <v>45931, 7, 8</v>
      </c>
    </row>
    <row r="2071" spans="1:12">
      <c r="A2071" s="9">
        <v>45931</v>
      </c>
      <c r="B2071">
        <v>7</v>
      </c>
      <c r="C2071" s="16" t="s">
        <v>62</v>
      </c>
      <c r="D2071">
        <v>9</v>
      </c>
      <c r="E2071" s="16" t="s">
        <v>47</v>
      </c>
      <c r="F2071" s="18">
        <v>2107</v>
      </c>
      <c r="G2071" s="22">
        <v>49</v>
      </c>
      <c r="H2071" s="18">
        <v>15.313385182193199</v>
      </c>
      <c r="I2071" s="18">
        <v>750.35587392746697</v>
      </c>
      <c r="J2071" s="18">
        <v>1356.6441260725301</v>
      </c>
      <c r="K2071" s="22">
        <v>0</v>
      </c>
      <c r="L2071" s="22" t="str">
        <f t="shared" si="32"/>
        <v>45931, 7, 9</v>
      </c>
    </row>
    <row r="2072" spans="1:12">
      <c r="A2072" s="9">
        <v>45931</v>
      </c>
      <c r="B2072">
        <v>7</v>
      </c>
      <c r="C2072" s="16" t="s">
        <v>62</v>
      </c>
      <c r="D2072">
        <v>10</v>
      </c>
      <c r="E2072" s="16" t="s">
        <v>57</v>
      </c>
      <c r="F2072" s="18">
        <v>648</v>
      </c>
      <c r="G2072" s="22">
        <v>54</v>
      </c>
      <c r="H2072" s="18">
        <v>2.0683024913099999</v>
      </c>
      <c r="I2072" s="18">
        <v>111.68833453073999</v>
      </c>
      <c r="J2072" s="18">
        <v>536.31166546925999</v>
      </c>
      <c r="K2072" s="22">
        <v>0</v>
      </c>
      <c r="L2072" s="22" t="str">
        <f t="shared" si="32"/>
        <v>45931, 7, 10</v>
      </c>
    </row>
    <row r="2073" spans="1:12">
      <c r="A2073" s="9">
        <v>45931</v>
      </c>
      <c r="B2073">
        <v>7</v>
      </c>
      <c r="C2073" s="16" t="s">
        <v>62</v>
      </c>
      <c r="D2073">
        <v>11</v>
      </c>
      <c r="E2073" s="16" t="s">
        <v>48</v>
      </c>
      <c r="F2073" s="18">
        <v>2016.5</v>
      </c>
      <c r="G2073" s="22">
        <v>109</v>
      </c>
      <c r="H2073" s="18">
        <v>2.0890563499999999</v>
      </c>
      <c r="I2073" s="18">
        <v>227.70714215000001</v>
      </c>
      <c r="J2073" s="18">
        <v>1788.79285785</v>
      </c>
      <c r="K2073" s="22">
        <v>0</v>
      </c>
      <c r="L2073" s="22" t="str">
        <f t="shared" si="32"/>
        <v>45931, 7, 11</v>
      </c>
    </row>
    <row r="2074" spans="1:12">
      <c r="A2074" s="9">
        <v>45931</v>
      </c>
      <c r="B2074">
        <v>7</v>
      </c>
      <c r="C2074" s="16" t="s">
        <v>62</v>
      </c>
      <c r="D2074">
        <v>12</v>
      </c>
      <c r="E2074" s="16" t="s">
        <v>49</v>
      </c>
      <c r="F2074" s="18">
        <v>874</v>
      </c>
      <c r="G2074" s="22">
        <v>46</v>
      </c>
      <c r="H2074" s="18">
        <v>2.5274056462777699</v>
      </c>
      <c r="I2074" s="18">
        <v>116.260659728777</v>
      </c>
      <c r="J2074" s="18">
        <v>757.73934027122198</v>
      </c>
      <c r="K2074" s="22">
        <v>0</v>
      </c>
      <c r="L2074" s="22" t="str">
        <f t="shared" si="32"/>
        <v>45931, 7, 12</v>
      </c>
    </row>
    <row r="2075" spans="1:12">
      <c r="A2075" s="9">
        <v>45931</v>
      </c>
      <c r="B2075">
        <v>7</v>
      </c>
      <c r="C2075" s="16" t="s">
        <v>62</v>
      </c>
      <c r="D2075">
        <v>13</v>
      </c>
      <c r="E2075" s="16" t="s">
        <v>50</v>
      </c>
      <c r="F2075" s="18">
        <v>2359.5</v>
      </c>
      <c r="G2075" s="22">
        <v>121</v>
      </c>
      <c r="H2075" s="18">
        <v>6.7257825714285699</v>
      </c>
      <c r="I2075" s="18">
        <v>813.81969114285698</v>
      </c>
      <c r="J2075" s="18">
        <v>1545.6803088571401</v>
      </c>
      <c r="K2075" s="22">
        <v>0</v>
      </c>
      <c r="L2075" s="22" t="str">
        <f t="shared" si="32"/>
        <v>45931, 7, 13</v>
      </c>
    </row>
    <row r="2076" spans="1:12">
      <c r="A2076" s="9">
        <v>45931</v>
      </c>
      <c r="B2076">
        <v>7</v>
      </c>
      <c r="C2076" s="16" t="s">
        <v>62</v>
      </c>
      <c r="D2076">
        <v>14</v>
      </c>
      <c r="E2076" s="16" t="s">
        <v>51</v>
      </c>
      <c r="F2076" s="18">
        <v>1960</v>
      </c>
      <c r="G2076" s="22">
        <v>80</v>
      </c>
      <c r="H2076" s="18">
        <v>3.76536341559523</v>
      </c>
      <c r="I2076" s="18">
        <v>301.229073247619</v>
      </c>
      <c r="J2076" s="18">
        <v>1658.7709267523801</v>
      </c>
      <c r="K2076" s="22">
        <v>0</v>
      </c>
      <c r="L2076" s="22" t="str">
        <f t="shared" si="32"/>
        <v>45931, 7, 14</v>
      </c>
    </row>
    <row r="2077" spans="1:12">
      <c r="A2077" s="9">
        <v>45931</v>
      </c>
      <c r="B2077">
        <v>7</v>
      </c>
      <c r="C2077" s="16" t="s">
        <v>62</v>
      </c>
      <c r="D2077">
        <v>15</v>
      </c>
      <c r="E2077" s="16" t="s">
        <v>52</v>
      </c>
      <c r="F2077" s="18">
        <v>3276</v>
      </c>
      <c r="G2077" s="22">
        <v>156</v>
      </c>
      <c r="H2077" s="18">
        <v>2.4213659215714198</v>
      </c>
      <c r="I2077" s="18">
        <v>377.733083765142</v>
      </c>
      <c r="J2077" s="18">
        <v>2898.2669162348502</v>
      </c>
      <c r="K2077" s="22">
        <v>0</v>
      </c>
      <c r="L2077" s="22" t="str">
        <f t="shared" si="32"/>
        <v>45931, 7, 15</v>
      </c>
    </row>
    <row r="2078" spans="1:12">
      <c r="A2078" s="9">
        <v>45931</v>
      </c>
      <c r="B2078">
        <v>7</v>
      </c>
      <c r="C2078" s="16" t="s">
        <v>62</v>
      </c>
      <c r="D2078">
        <v>16</v>
      </c>
      <c r="E2078" s="16" t="s">
        <v>53</v>
      </c>
      <c r="F2078" s="18">
        <v>615</v>
      </c>
      <c r="G2078" s="22">
        <v>82</v>
      </c>
      <c r="H2078" s="18">
        <v>1.41304245974358</v>
      </c>
      <c r="I2078" s="18">
        <v>115.869481698974</v>
      </c>
      <c r="J2078" s="18">
        <v>499.13051830102501</v>
      </c>
      <c r="K2078" s="22">
        <v>0</v>
      </c>
      <c r="L2078" s="22" t="str">
        <f t="shared" si="32"/>
        <v>45931, 7, 16</v>
      </c>
    </row>
    <row r="2079" spans="1:12">
      <c r="A2079" s="9">
        <v>45931</v>
      </c>
      <c r="B2079">
        <v>7</v>
      </c>
      <c r="C2079" s="16" t="s">
        <v>62</v>
      </c>
      <c r="D2079">
        <v>17</v>
      </c>
      <c r="E2079" s="16" t="s">
        <v>54</v>
      </c>
      <c r="F2079" s="18">
        <v>623</v>
      </c>
      <c r="G2079" s="22">
        <v>89</v>
      </c>
      <c r="H2079" s="18">
        <v>1.3860468340909</v>
      </c>
      <c r="I2079" s="18">
        <v>123.35816823409</v>
      </c>
      <c r="J2079" s="18">
        <v>499.64183176590899</v>
      </c>
      <c r="K2079" s="22">
        <v>0</v>
      </c>
      <c r="L2079" s="22" t="str">
        <f t="shared" si="32"/>
        <v>45931, 7, 17</v>
      </c>
    </row>
    <row r="2080" spans="1:12">
      <c r="A2080" s="9">
        <v>45931</v>
      </c>
      <c r="B2080">
        <v>7</v>
      </c>
      <c r="C2080" s="16" t="s">
        <v>62</v>
      </c>
      <c r="D2080">
        <v>18</v>
      </c>
      <c r="E2080" s="16" t="s">
        <v>55</v>
      </c>
      <c r="F2080" s="18">
        <v>881.5</v>
      </c>
      <c r="G2080" s="22">
        <v>43</v>
      </c>
      <c r="H2080" s="18">
        <v>5.8142346838541599</v>
      </c>
      <c r="I2080" s="18">
        <v>250.012091405729</v>
      </c>
      <c r="J2080" s="18">
        <v>631.48790859427004</v>
      </c>
      <c r="K2080" s="22">
        <v>0</v>
      </c>
      <c r="L2080" s="22" t="str">
        <f t="shared" si="32"/>
        <v>45931, 7, 18</v>
      </c>
    </row>
    <row r="2081" spans="1:12">
      <c r="A2081" s="9">
        <v>45962</v>
      </c>
      <c r="B2081">
        <v>7</v>
      </c>
      <c r="C2081" s="16" t="s">
        <v>62</v>
      </c>
      <c r="D2081">
        <v>1</v>
      </c>
      <c r="E2081" s="16" t="s">
        <v>38</v>
      </c>
      <c r="F2081" s="18">
        <v>2185</v>
      </c>
      <c r="G2081" s="22">
        <v>115</v>
      </c>
      <c r="H2081" s="18">
        <v>3.793907125</v>
      </c>
      <c r="I2081" s="18">
        <v>436.29931937499998</v>
      </c>
      <c r="J2081" s="18">
        <v>1748.7006806249999</v>
      </c>
      <c r="K2081" s="22">
        <v>0</v>
      </c>
      <c r="L2081" s="22" t="str">
        <f t="shared" si="32"/>
        <v>45962, 7, 1</v>
      </c>
    </row>
    <row r="2082" spans="1:12">
      <c r="A2082" s="9">
        <v>45962</v>
      </c>
      <c r="B2082">
        <v>7</v>
      </c>
      <c r="C2082" s="16" t="s">
        <v>62</v>
      </c>
      <c r="D2082">
        <v>2</v>
      </c>
      <c r="E2082" s="16" t="s">
        <v>40</v>
      </c>
      <c r="F2082" s="18">
        <v>2982</v>
      </c>
      <c r="G2082" s="22">
        <v>142</v>
      </c>
      <c r="H2082" s="18">
        <v>6.5818861032499996</v>
      </c>
      <c r="I2082" s="18">
        <v>934.62782666149997</v>
      </c>
      <c r="J2082" s="18">
        <v>2047.3721733385</v>
      </c>
      <c r="K2082" s="22">
        <v>0</v>
      </c>
      <c r="L2082" s="22" t="str">
        <f t="shared" si="32"/>
        <v>45962, 7, 2</v>
      </c>
    </row>
    <row r="2083" spans="1:12">
      <c r="A2083" s="9">
        <v>45962</v>
      </c>
      <c r="B2083">
        <v>7</v>
      </c>
      <c r="C2083" s="16" t="s">
        <v>62</v>
      </c>
      <c r="D2083">
        <v>3</v>
      </c>
      <c r="E2083" s="16" t="s">
        <v>41</v>
      </c>
      <c r="F2083" s="18">
        <v>1452</v>
      </c>
      <c r="G2083" s="22">
        <v>66</v>
      </c>
      <c r="H2083" s="18">
        <v>3.4464786786250001</v>
      </c>
      <c r="I2083" s="18">
        <v>227.46759278925001</v>
      </c>
      <c r="J2083" s="18">
        <v>1224.5324072107501</v>
      </c>
      <c r="K2083" s="22">
        <v>0</v>
      </c>
      <c r="L2083" s="22" t="str">
        <f t="shared" si="32"/>
        <v>45962, 7, 3</v>
      </c>
    </row>
    <row r="2084" spans="1:12">
      <c r="A2084" s="9">
        <v>45962</v>
      </c>
      <c r="B2084">
        <v>7</v>
      </c>
      <c r="C2084" s="16" t="s">
        <v>62</v>
      </c>
      <c r="D2084">
        <v>4</v>
      </c>
      <c r="E2084" s="16" t="s">
        <v>42</v>
      </c>
      <c r="F2084" s="18">
        <v>1710</v>
      </c>
      <c r="G2084" s="22">
        <v>95</v>
      </c>
      <c r="H2084" s="18">
        <v>7.2238831450000003</v>
      </c>
      <c r="I2084" s="18">
        <v>686.26889877500003</v>
      </c>
      <c r="J2084" s="18">
        <v>1023.731101225</v>
      </c>
      <c r="K2084" s="22">
        <v>0</v>
      </c>
      <c r="L2084" s="22" t="str">
        <f t="shared" si="32"/>
        <v>45962, 7, 4</v>
      </c>
    </row>
    <row r="2085" spans="1:12">
      <c r="A2085" s="9">
        <v>45962</v>
      </c>
      <c r="B2085">
        <v>7</v>
      </c>
      <c r="C2085" s="16" t="s">
        <v>62</v>
      </c>
      <c r="D2085">
        <v>5</v>
      </c>
      <c r="E2085" s="16" t="s">
        <v>43</v>
      </c>
      <c r="F2085" s="18">
        <v>906.5</v>
      </c>
      <c r="G2085" s="22">
        <v>49</v>
      </c>
      <c r="H2085" s="18">
        <v>6.6579687500000002</v>
      </c>
      <c r="I2085" s="18">
        <v>326.24046874999999</v>
      </c>
      <c r="J2085" s="18">
        <v>580.25953125000001</v>
      </c>
      <c r="K2085" s="22">
        <v>0</v>
      </c>
      <c r="L2085" s="22" t="str">
        <f t="shared" si="32"/>
        <v>45962, 7, 5</v>
      </c>
    </row>
    <row r="2086" spans="1:12">
      <c r="A2086" s="9">
        <v>45962</v>
      </c>
      <c r="B2086">
        <v>7</v>
      </c>
      <c r="C2086" s="16" t="s">
        <v>62</v>
      </c>
      <c r="D2086">
        <v>6</v>
      </c>
      <c r="E2086" s="16" t="s">
        <v>44</v>
      </c>
      <c r="F2086" s="18">
        <v>1852.5</v>
      </c>
      <c r="G2086" s="22">
        <v>95</v>
      </c>
      <c r="H2086" s="18">
        <v>4.5330559232777698</v>
      </c>
      <c r="I2086" s="18">
        <v>430.64031271138799</v>
      </c>
      <c r="J2086" s="18">
        <v>1421.8596872886101</v>
      </c>
      <c r="K2086" s="22">
        <v>0</v>
      </c>
      <c r="L2086" s="22" t="str">
        <f t="shared" si="32"/>
        <v>45962, 7, 6</v>
      </c>
    </row>
    <row r="2087" spans="1:12">
      <c r="A2087" s="9">
        <v>45962</v>
      </c>
      <c r="B2087">
        <v>7</v>
      </c>
      <c r="C2087" s="16" t="s">
        <v>62</v>
      </c>
      <c r="D2087">
        <v>7</v>
      </c>
      <c r="E2087" s="16" t="s">
        <v>45</v>
      </c>
      <c r="F2087" s="18">
        <v>1152</v>
      </c>
      <c r="G2087" s="22">
        <v>128</v>
      </c>
      <c r="H2087" s="18">
        <v>2.7869351497058799</v>
      </c>
      <c r="I2087" s="18">
        <v>356.727699162352</v>
      </c>
      <c r="J2087" s="18">
        <v>795.27230083764698</v>
      </c>
      <c r="K2087" s="22">
        <v>0</v>
      </c>
      <c r="L2087" s="22" t="str">
        <f t="shared" si="32"/>
        <v>45962, 7, 7</v>
      </c>
    </row>
    <row r="2088" spans="1:12">
      <c r="A2088" s="9">
        <v>45962</v>
      </c>
      <c r="B2088">
        <v>7</v>
      </c>
      <c r="C2088" s="16" t="s">
        <v>62</v>
      </c>
      <c r="D2088">
        <v>8</v>
      </c>
      <c r="E2088" s="16" t="s">
        <v>46</v>
      </c>
      <c r="F2088" s="18">
        <v>847</v>
      </c>
      <c r="G2088" s="22">
        <v>77</v>
      </c>
      <c r="H2088" s="18">
        <v>0.65465092733333297</v>
      </c>
      <c r="I2088" s="18">
        <v>50.408121404666602</v>
      </c>
      <c r="J2088" s="18">
        <v>796.59187859533301</v>
      </c>
      <c r="K2088" s="22">
        <v>0</v>
      </c>
      <c r="L2088" s="22" t="str">
        <f t="shared" si="32"/>
        <v>45962, 7, 8</v>
      </c>
    </row>
    <row r="2089" spans="1:12">
      <c r="A2089" s="9">
        <v>45962</v>
      </c>
      <c r="B2089">
        <v>7</v>
      </c>
      <c r="C2089" s="16" t="s">
        <v>62</v>
      </c>
      <c r="D2089">
        <v>9</v>
      </c>
      <c r="E2089" s="16" t="s">
        <v>47</v>
      </c>
      <c r="F2089" s="18">
        <v>1892</v>
      </c>
      <c r="G2089" s="22">
        <v>44</v>
      </c>
      <c r="H2089" s="18">
        <v>15.420753329898499</v>
      </c>
      <c r="I2089" s="18">
        <v>678.51314651553503</v>
      </c>
      <c r="J2089" s="18">
        <v>1213.48685348446</v>
      </c>
      <c r="K2089" s="22">
        <v>0</v>
      </c>
      <c r="L2089" s="22" t="str">
        <f t="shared" si="32"/>
        <v>45962, 7, 9</v>
      </c>
    </row>
    <row r="2090" spans="1:12">
      <c r="A2090" s="9">
        <v>45962</v>
      </c>
      <c r="B2090">
        <v>7</v>
      </c>
      <c r="C2090" s="16" t="s">
        <v>62</v>
      </c>
      <c r="D2090">
        <v>10</v>
      </c>
      <c r="E2090" s="16" t="s">
        <v>57</v>
      </c>
      <c r="F2090" s="18">
        <v>624</v>
      </c>
      <c r="G2090" s="22">
        <v>52</v>
      </c>
      <c r="H2090" s="18">
        <v>2.19345397413684</v>
      </c>
      <c r="I2090" s="18">
        <v>114.059606655115</v>
      </c>
      <c r="J2090" s="18">
        <v>509.940393344884</v>
      </c>
      <c r="K2090" s="22">
        <v>0</v>
      </c>
      <c r="L2090" s="22" t="str">
        <f t="shared" si="32"/>
        <v>45962, 7, 10</v>
      </c>
    </row>
    <row r="2091" spans="1:12">
      <c r="A2091" s="9">
        <v>45962</v>
      </c>
      <c r="B2091">
        <v>7</v>
      </c>
      <c r="C2091" s="16" t="s">
        <v>62</v>
      </c>
      <c r="D2091">
        <v>11</v>
      </c>
      <c r="E2091" s="16" t="s">
        <v>48</v>
      </c>
      <c r="F2091" s="18">
        <v>1813</v>
      </c>
      <c r="G2091" s="22">
        <v>98</v>
      </c>
      <c r="H2091" s="18">
        <v>2.0879011562500001</v>
      </c>
      <c r="I2091" s="18">
        <v>204.6143133125</v>
      </c>
      <c r="J2091" s="18">
        <v>1608.3856866875001</v>
      </c>
      <c r="K2091" s="22">
        <v>0</v>
      </c>
      <c r="L2091" s="22" t="str">
        <f t="shared" si="32"/>
        <v>45962, 7, 11</v>
      </c>
    </row>
    <row r="2092" spans="1:12">
      <c r="A2092" s="9">
        <v>45962</v>
      </c>
      <c r="B2092">
        <v>7</v>
      </c>
      <c r="C2092" s="16" t="s">
        <v>62</v>
      </c>
      <c r="D2092">
        <v>12</v>
      </c>
      <c r="E2092" s="16" t="s">
        <v>49</v>
      </c>
      <c r="F2092" s="18">
        <v>1140</v>
      </c>
      <c r="G2092" s="22">
        <v>60</v>
      </c>
      <c r="H2092" s="18">
        <v>2.5837930194375001</v>
      </c>
      <c r="I2092" s="18">
        <v>155.02758116625</v>
      </c>
      <c r="J2092" s="18">
        <v>984.97241883375</v>
      </c>
      <c r="K2092" s="22">
        <v>0</v>
      </c>
      <c r="L2092" s="22" t="str">
        <f t="shared" si="32"/>
        <v>45962, 7, 12</v>
      </c>
    </row>
    <row r="2093" spans="1:12">
      <c r="A2093" s="9">
        <v>45962</v>
      </c>
      <c r="B2093">
        <v>7</v>
      </c>
      <c r="C2093" s="16" t="s">
        <v>62</v>
      </c>
      <c r="D2093">
        <v>13</v>
      </c>
      <c r="E2093" s="16" t="s">
        <v>50</v>
      </c>
      <c r="F2093" s="18">
        <v>2691</v>
      </c>
      <c r="G2093" s="22">
        <v>138</v>
      </c>
      <c r="H2093" s="18">
        <v>6.7298435263157801</v>
      </c>
      <c r="I2093" s="18">
        <v>928.71840663157798</v>
      </c>
      <c r="J2093" s="18">
        <v>1762.2815933684201</v>
      </c>
      <c r="K2093" s="22">
        <v>0</v>
      </c>
      <c r="L2093" s="22" t="str">
        <f t="shared" si="32"/>
        <v>45962, 7, 13</v>
      </c>
    </row>
    <row r="2094" spans="1:12">
      <c r="A2094" s="9">
        <v>45962</v>
      </c>
      <c r="B2094">
        <v>7</v>
      </c>
      <c r="C2094" s="16" t="s">
        <v>62</v>
      </c>
      <c r="D2094">
        <v>14</v>
      </c>
      <c r="E2094" s="16" t="s">
        <v>51</v>
      </c>
      <c r="F2094" s="18">
        <v>2107</v>
      </c>
      <c r="G2094" s="22">
        <v>86</v>
      </c>
      <c r="H2094" s="18">
        <v>3.8293858393333302</v>
      </c>
      <c r="I2094" s="18">
        <v>329.32718218266598</v>
      </c>
      <c r="J2094" s="18">
        <v>1777.67281781733</v>
      </c>
      <c r="K2094" s="22">
        <v>0</v>
      </c>
      <c r="L2094" s="22" t="str">
        <f t="shared" si="32"/>
        <v>45962, 7, 14</v>
      </c>
    </row>
    <row r="2095" spans="1:12">
      <c r="A2095" s="9">
        <v>45962</v>
      </c>
      <c r="B2095">
        <v>7</v>
      </c>
      <c r="C2095" s="16" t="s">
        <v>62</v>
      </c>
      <c r="D2095">
        <v>15</v>
      </c>
      <c r="E2095" s="16" t="s">
        <v>52</v>
      </c>
      <c r="F2095" s="18">
        <v>2520</v>
      </c>
      <c r="G2095" s="22">
        <v>120</v>
      </c>
      <c r="H2095" s="18">
        <v>2.42232354983333</v>
      </c>
      <c r="I2095" s="18">
        <v>290.67882597999898</v>
      </c>
      <c r="J2095" s="18">
        <v>2229.3211740199999</v>
      </c>
      <c r="K2095" s="22">
        <v>0</v>
      </c>
      <c r="L2095" s="22" t="str">
        <f t="shared" si="32"/>
        <v>45962, 7, 15</v>
      </c>
    </row>
    <row r="2096" spans="1:12">
      <c r="A2096" s="9">
        <v>45962</v>
      </c>
      <c r="B2096">
        <v>7</v>
      </c>
      <c r="C2096" s="16" t="s">
        <v>62</v>
      </c>
      <c r="D2096">
        <v>16</v>
      </c>
      <c r="E2096" s="16" t="s">
        <v>53</v>
      </c>
      <c r="F2096" s="18">
        <v>652.5</v>
      </c>
      <c r="G2096" s="22">
        <v>87</v>
      </c>
      <c r="H2096" s="18">
        <v>1.4354764262499999</v>
      </c>
      <c r="I2096" s="18">
        <v>124.88644908374999</v>
      </c>
      <c r="J2096" s="18">
        <v>527.61355091625001</v>
      </c>
      <c r="K2096" s="22">
        <v>0</v>
      </c>
      <c r="L2096" s="22" t="str">
        <f t="shared" si="32"/>
        <v>45962, 7, 16</v>
      </c>
    </row>
    <row r="2097" spans="1:12">
      <c r="A2097" s="9">
        <v>45962</v>
      </c>
      <c r="B2097">
        <v>7</v>
      </c>
      <c r="C2097" s="16" t="s">
        <v>62</v>
      </c>
      <c r="D2097">
        <v>17</v>
      </c>
      <c r="E2097" s="16" t="s">
        <v>54</v>
      </c>
      <c r="F2097" s="18">
        <v>462</v>
      </c>
      <c r="G2097" s="22">
        <v>66</v>
      </c>
      <c r="H2097" s="18">
        <v>1.3809232254999999</v>
      </c>
      <c r="I2097" s="18">
        <v>91.140932883000005</v>
      </c>
      <c r="J2097" s="18">
        <v>370.859067117</v>
      </c>
      <c r="K2097" s="22">
        <v>0</v>
      </c>
      <c r="L2097" s="22" t="str">
        <f t="shared" si="32"/>
        <v>45962, 7, 17</v>
      </c>
    </row>
    <row r="2098" spans="1:12">
      <c r="A2098" s="9">
        <v>45962</v>
      </c>
      <c r="B2098">
        <v>7</v>
      </c>
      <c r="C2098" s="16" t="s">
        <v>62</v>
      </c>
      <c r="D2098">
        <v>18</v>
      </c>
      <c r="E2098" s="16" t="s">
        <v>55</v>
      </c>
      <c r="F2098" s="18">
        <v>697</v>
      </c>
      <c r="G2098" s="22">
        <v>34</v>
      </c>
      <c r="H2098" s="18">
        <v>6.1877475723000002</v>
      </c>
      <c r="I2098" s="18">
        <v>210.3834174582</v>
      </c>
      <c r="J2098" s="18">
        <v>486.61658254180003</v>
      </c>
      <c r="K2098" s="22">
        <v>0</v>
      </c>
      <c r="L2098" s="22" t="str">
        <f t="shared" si="32"/>
        <v>45962, 7, 18</v>
      </c>
    </row>
    <row r="2099" spans="1:12">
      <c r="A2099" s="9">
        <v>45992</v>
      </c>
      <c r="B2099">
        <v>7</v>
      </c>
      <c r="C2099" s="16" t="s">
        <v>62</v>
      </c>
      <c r="D2099">
        <v>1</v>
      </c>
      <c r="E2099" s="16" t="s">
        <v>38</v>
      </c>
      <c r="F2099" s="18">
        <v>2052</v>
      </c>
      <c r="G2099" s="22">
        <v>108</v>
      </c>
      <c r="H2099" s="18">
        <v>3.78669544642857</v>
      </c>
      <c r="I2099" s="18">
        <v>408.963108214285</v>
      </c>
      <c r="J2099" s="18">
        <v>1643.0368917857099</v>
      </c>
      <c r="K2099" s="22">
        <v>0</v>
      </c>
      <c r="L2099" s="22" t="str">
        <f t="shared" si="32"/>
        <v>45992, 7, 1</v>
      </c>
    </row>
    <row r="2100" spans="1:12">
      <c r="A2100" s="9">
        <v>45992</v>
      </c>
      <c r="B2100">
        <v>7</v>
      </c>
      <c r="C2100" s="16" t="s">
        <v>62</v>
      </c>
      <c r="D2100">
        <v>2</v>
      </c>
      <c r="E2100" s="16" t="s">
        <v>40</v>
      </c>
      <c r="F2100" s="18">
        <v>2394</v>
      </c>
      <c r="G2100" s="22">
        <v>114</v>
      </c>
      <c r="H2100" s="18">
        <v>6.6165447290000001</v>
      </c>
      <c r="I2100" s="18">
        <v>754.28609910600005</v>
      </c>
      <c r="J2100" s="18">
        <v>1639.7139008940001</v>
      </c>
      <c r="K2100" s="22">
        <v>0</v>
      </c>
      <c r="L2100" s="22" t="str">
        <f t="shared" si="32"/>
        <v>45992, 7, 2</v>
      </c>
    </row>
    <row r="2101" spans="1:12">
      <c r="A2101" s="9">
        <v>45992</v>
      </c>
      <c r="B2101">
        <v>7</v>
      </c>
      <c r="C2101" s="16" t="s">
        <v>62</v>
      </c>
      <c r="D2101">
        <v>3</v>
      </c>
      <c r="E2101" s="16" t="s">
        <v>41</v>
      </c>
      <c r="F2101" s="18">
        <v>1408</v>
      </c>
      <c r="G2101" s="22">
        <v>64</v>
      </c>
      <c r="H2101" s="18">
        <v>3.4588747722222202</v>
      </c>
      <c r="I2101" s="18">
        <v>221.36798542222201</v>
      </c>
      <c r="J2101" s="18">
        <v>1186.63201457777</v>
      </c>
      <c r="K2101" s="22">
        <v>0</v>
      </c>
      <c r="L2101" s="22" t="str">
        <f t="shared" si="32"/>
        <v>45992, 7, 3</v>
      </c>
    </row>
    <row r="2102" spans="1:12">
      <c r="A2102" s="9">
        <v>45992</v>
      </c>
      <c r="B2102">
        <v>7</v>
      </c>
      <c r="C2102" s="16" t="s">
        <v>62</v>
      </c>
      <c r="D2102">
        <v>4</v>
      </c>
      <c r="E2102" s="16" t="s">
        <v>42</v>
      </c>
      <c r="F2102" s="18">
        <v>1404</v>
      </c>
      <c r="G2102" s="22">
        <v>78</v>
      </c>
      <c r="H2102" s="18">
        <v>7.3907625673333301</v>
      </c>
      <c r="I2102" s="18">
        <v>576.47948025199901</v>
      </c>
      <c r="J2102" s="18">
        <v>827.52051974799997</v>
      </c>
      <c r="K2102" s="22">
        <v>0</v>
      </c>
      <c r="L2102" s="22" t="str">
        <f t="shared" si="32"/>
        <v>45992, 7, 4</v>
      </c>
    </row>
    <row r="2103" spans="1:12">
      <c r="A2103" s="9">
        <v>45992</v>
      </c>
      <c r="B2103">
        <v>7</v>
      </c>
      <c r="C2103" s="16" t="s">
        <v>62</v>
      </c>
      <c r="D2103">
        <v>5</v>
      </c>
      <c r="E2103" s="16" t="s">
        <v>43</v>
      </c>
      <c r="F2103" s="18">
        <v>888</v>
      </c>
      <c r="G2103" s="22">
        <v>48</v>
      </c>
      <c r="H2103" s="18">
        <v>6.8588888888888802</v>
      </c>
      <c r="I2103" s="18">
        <v>329.22666666666601</v>
      </c>
      <c r="J2103" s="18">
        <v>558.77333333333297</v>
      </c>
      <c r="K2103" s="22">
        <v>0</v>
      </c>
      <c r="L2103" s="22" t="str">
        <f t="shared" si="32"/>
        <v>45992, 7, 5</v>
      </c>
    </row>
    <row r="2104" spans="1:12">
      <c r="A2104" s="9">
        <v>45992</v>
      </c>
      <c r="B2104">
        <v>7</v>
      </c>
      <c r="C2104" s="16" t="s">
        <v>62</v>
      </c>
      <c r="D2104">
        <v>6</v>
      </c>
      <c r="E2104" s="16" t="s">
        <v>44</v>
      </c>
      <c r="F2104" s="18">
        <v>2067</v>
      </c>
      <c r="G2104" s="22">
        <v>106</v>
      </c>
      <c r="H2104" s="18">
        <v>4.5510830803636297</v>
      </c>
      <c r="I2104" s="18">
        <v>482.41480651854499</v>
      </c>
      <c r="J2104" s="18">
        <v>1584.58519348145</v>
      </c>
      <c r="K2104" s="22">
        <v>0</v>
      </c>
      <c r="L2104" s="22" t="str">
        <f t="shared" si="32"/>
        <v>45992, 7, 6</v>
      </c>
    </row>
    <row r="2105" spans="1:12">
      <c r="A2105" s="9">
        <v>45992</v>
      </c>
      <c r="B2105">
        <v>7</v>
      </c>
      <c r="C2105" s="16" t="s">
        <v>62</v>
      </c>
      <c r="D2105">
        <v>7</v>
      </c>
      <c r="E2105" s="16" t="s">
        <v>45</v>
      </c>
      <c r="F2105" s="18">
        <v>1386</v>
      </c>
      <c r="G2105" s="22">
        <v>154</v>
      </c>
      <c r="H2105" s="18">
        <v>2.792930476</v>
      </c>
      <c r="I2105" s="18">
        <v>430.11129330400001</v>
      </c>
      <c r="J2105" s="18">
        <v>955.88870669599999</v>
      </c>
      <c r="K2105" s="22">
        <v>0</v>
      </c>
      <c r="L2105" s="22" t="str">
        <f t="shared" si="32"/>
        <v>45992, 7, 7</v>
      </c>
    </row>
    <row r="2106" spans="1:12">
      <c r="A2106" s="9">
        <v>45992</v>
      </c>
      <c r="B2106">
        <v>7</v>
      </c>
      <c r="C2106" s="16" t="s">
        <v>62</v>
      </c>
      <c r="D2106">
        <v>8</v>
      </c>
      <c r="E2106" s="16" t="s">
        <v>46</v>
      </c>
      <c r="F2106" s="18">
        <v>1001</v>
      </c>
      <c r="G2106" s="22">
        <v>91</v>
      </c>
      <c r="H2106" s="18">
        <v>0.657169324848484</v>
      </c>
      <c r="I2106" s="18">
        <v>59.802408561212097</v>
      </c>
      <c r="J2106" s="18">
        <v>941.19759143878696</v>
      </c>
      <c r="K2106" s="22">
        <v>0</v>
      </c>
      <c r="L2106" s="22" t="str">
        <f t="shared" si="32"/>
        <v>45992, 7, 8</v>
      </c>
    </row>
    <row r="2107" spans="1:12">
      <c r="A2107" s="9">
        <v>45992</v>
      </c>
      <c r="B2107">
        <v>7</v>
      </c>
      <c r="C2107" s="16" t="s">
        <v>62</v>
      </c>
      <c r="D2107">
        <v>9</v>
      </c>
      <c r="E2107" s="16" t="s">
        <v>47</v>
      </c>
      <c r="F2107" s="18">
        <v>1591</v>
      </c>
      <c r="G2107" s="22">
        <v>37</v>
      </c>
      <c r="H2107" s="18">
        <v>15.520054351295</v>
      </c>
      <c r="I2107" s="18">
        <v>574.24201099791503</v>
      </c>
      <c r="J2107" s="18">
        <v>1016.75798900208</v>
      </c>
      <c r="K2107" s="22">
        <v>0</v>
      </c>
      <c r="L2107" s="22" t="str">
        <f t="shared" si="32"/>
        <v>45992, 7, 9</v>
      </c>
    </row>
    <row r="2108" spans="1:12">
      <c r="A2108" s="9">
        <v>45992</v>
      </c>
      <c r="B2108">
        <v>7</v>
      </c>
      <c r="C2108" s="16" t="s">
        <v>62</v>
      </c>
      <c r="D2108">
        <v>10</v>
      </c>
      <c r="E2108" s="16" t="s">
        <v>57</v>
      </c>
      <c r="F2108" s="18">
        <v>612</v>
      </c>
      <c r="G2108" s="22">
        <v>51</v>
      </c>
      <c r="H2108" s="18">
        <v>2.3074548928571401</v>
      </c>
      <c r="I2108" s="18">
        <v>117.680199535714</v>
      </c>
      <c r="J2108" s="18">
        <v>494.31980046428498</v>
      </c>
      <c r="K2108" s="22">
        <v>0</v>
      </c>
      <c r="L2108" s="22" t="str">
        <f t="shared" si="32"/>
        <v>45992, 7, 10</v>
      </c>
    </row>
    <row r="2109" spans="1:12">
      <c r="A2109" s="9">
        <v>45992</v>
      </c>
      <c r="B2109">
        <v>7</v>
      </c>
      <c r="C2109" s="16" t="s">
        <v>62</v>
      </c>
      <c r="D2109">
        <v>11</v>
      </c>
      <c r="E2109" s="16" t="s">
        <v>48</v>
      </c>
      <c r="F2109" s="18">
        <v>1591</v>
      </c>
      <c r="G2109" s="22">
        <v>86</v>
      </c>
      <c r="H2109" s="18">
        <v>2.09228725</v>
      </c>
      <c r="I2109" s="18">
        <v>179.93670349999999</v>
      </c>
      <c r="J2109" s="18">
        <v>1411.0632965</v>
      </c>
      <c r="K2109" s="22">
        <v>0</v>
      </c>
      <c r="L2109" s="22" t="str">
        <f t="shared" si="32"/>
        <v>45992, 7, 11</v>
      </c>
    </row>
    <row r="2110" spans="1:12">
      <c r="A2110" s="9">
        <v>45992</v>
      </c>
      <c r="B2110">
        <v>7</v>
      </c>
      <c r="C2110" s="16" t="s">
        <v>62</v>
      </c>
      <c r="D2110">
        <v>12</v>
      </c>
      <c r="E2110" s="16" t="s">
        <v>49</v>
      </c>
      <c r="F2110" s="18">
        <v>1254</v>
      </c>
      <c r="G2110" s="22">
        <v>66</v>
      </c>
      <c r="H2110" s="18">
        <v>2.6222062402500002</v>
      </c>
      <c r="I2110" s="18">
        <v>173.0656118565</v>
      </c>
      <c r="J2110" s="18">
        <v>1080.9343881435</v>
      </c>
      <c r="K2110" s="22">
        <v>0</v>
      </c>
      <c r="L2110" s="22" t="str">
        <f t="shared" si="32"/>
        <v>45992, 7, 12</v>
      </c>
    </row>
    <row r="2111" spans="1:12">
      <c r="A2111" s="9">
        <v>45992</v>
      </c>
      <c r="B2111">
        <v>7</v>
      </c>
      <c r="C2111" s="16" t="s">
        <v>62</v>
      </c>
      <c r="D2111">
        <v>13</v>
      </c>
      <c r="E2111" s="16" t="s">
        <v>50</v>
      </c>
      <c r="F2111" s="18">
        <v>2788.5</v>
      </c>
      <c r="G2111" s="22">
        <v>143</v>
      </c>
      <c r="H2111" s="18">
        <v>6.7427071363636299</v>
      </c>
      <c r="I2111" s="18">
        <v>964.20712049999895</v>
      </c>
      <c r="J2111" s="18">
        <v>1824.2928795</v>
      </c>
      <c r="K2111" s="22">
        <v>0</v>
      </c>
      <c r="L2111" s="22" t="str">
        <f t="shared" si="32"/>
        <v>45992, 7, 13</v>
      </c>
    </row>
    <row r="2112" spans="1:12">
      <c r="A2112" s="9">
        <v>45992</v>
      </c>
      <c r="B2112">
        <v>7</v>
      </c>
      <c r="C2112" s="16" t="s">
        <v>62</v>
      </c>
      <c r="D2112">
        <v>14</v>
      </c>
      <c r="E2112" s="16" t="s">
        <v>51</v>
      </c>
      <c r="F2112" s="18">
        <v>2229.5</v>
      </c>
      <c r="G2112" s="22">
        <v>91</v>
      </c>
      <c r="H2112" s="18">
        <v>3.81668265367948</v>
      </c>
      <c r="I2112" s="18">
        <v>347.318121484833</v>
      </c>
      <c r="J2112" s="18">
        <v>1882.18187851516</v>
      </c>
      <c r="K2112" s="22">
        <v>0</v>
      </c>
      <c r="L2112" s="22" t="str">
        <f t="shared" si="32"/>
        <v>45992, 7, 14</v>
      </c>
    </row>
    <row r="2113" spans="1:12">
      <c r="A2113" s="9">
        <v>45992</v>
      </c>
      <c r="B2113">
        <v>7</v>
      </c>
      <c r="C2113" s="16" t="s">
        <v>62</v>
      </c>
      <c r="D2113">
        <v>15</v>
      </c>
      <c r="E2113" s="16" t="s">
        <v>52</v>
      </c>
      <c r="F2113" s="18">
        <v>2436</v>
      </c>
      <c r="G2113" s="22">
        <v>116</v>
      </c>
      <c r="H2113" s="18">
        <v>2.4251354343846101</v>
      </c>
      <c r="I2113" s="18">
        <v>281.315710388615</v>
      </c>
      <c r="J2113" s="18">
        <v>2154.6842896113799</v>
      </c>
      <c r="K2113" s="22">
        <v>0</v>
      </c>
      <c r="L2113" s="22" t="str">
        <f t="shared" si="32"/>
        <v>45992, 7, 15</v>
      </c>
    </row>
    <row r="2114" spans="1:12">
      <c r="A2114" s="9">
        <v>45992</v>
      </c>
      <c r="B2114">
        <v>7</v>
      </c>
      <c r="C2114" s="16" t="s">
        <v>62</v>
      </c>
      <c r="D2114">
        <v>16</v>
      </c>
      <c r="E2114" s="16" t="s">
        <v>53</v>
      </c>
      <c r="F2114" s="18">
        <v>660</v>
      </c>
      <c r="G2114" s="22">
        <v>88</v>
      </c>
      <c r="H2114" s="18">
        <v>1.43307044386904</v>
      </c>
      <c r="I2114" s="18">
        <v>126.11019906047601</v>
      </c>
      <c r="J2114" s="18">
        <v>533.88980093952296</v>
      </c>
      <c r="K2114" s="22">
        <v>0</v>
      </c>
      <c r="L2114" s="22" t="str">
        <f t="shared" si="32"/>
        <v>45992, 7, 16</v>
      </c>
    </row>
    <row r="2115" spans="1:12">
      <c r="A2115" s="9">
        <v>45992</v>
      </c>
      <c r="B2115">
        <v>7</v>
      </c>
      <c r="C2115" s="16" t="s">
        <v>62</v>
      </c>
      <c r="D2115">
        <v>17</v>
      </c>
      <c r="E2115" s="16" t="s">
        <v>54</v>
      </c>
      <c r="F2115" s="18">
        <v>455</v>
      </c>
      <c r="G2115" s="22">
        <v>65</v>
      </c>
      <c r="H2115" s="18">
        <v>1.3900329968181799</v>
      </c>
      <c r="I2115" s="18">
        <v>90.352144793181793</v>
      </c>
      <c r="J2115" s="18">
        <v>364.64785520681801</v>
      </c>
      <c r="K2115" s="22">
        <v>0</v>
      </c>
      <c r="L2115" s="22" t="str">
        <f t="shared" ref="L2115:L2178" si="33">(A2115&amp; ", "&amp; B2115&amp; ", "&amp; D2115)</f>
        <v>45992, 7, 17</v>
      </c>
    </row>
    <row r="2116" spans="1:12">
      <c r="A2116" s="9">
        <v>45992</v>
      </c>
      <c r="B2116">
        <v>7</v>
      </c>
      <c r="C2116" s="16" t="s">
        <v>62</v>
      </c>
      <c r="D2116">
        <v>18</v>
      </c>
      <c r="E2116" s="16" t="s">
        <v>55</v>
      </c>
      <c r="F2116" s="18">
        <v>533</v>
      </c>
      <c r="G2116" s="22">
        <v>26</v>
      </c>
      <c r="H2116" s="18">
        <v>6.49957670381818</v>
      </c>
      <c r="I2116" s="18">
        <v>168.98899429927201</v>
      </c>
      <c r="J2116" s="18">
        <v>364.01100570072703</v>
      </c>
      <c r="K2116" s="22">
        <v>0</v>
      </c>
      <c r="L2116" s="22" t="str">
        <f t="shared" si="33"/>
        <v>45992, 7, 18</v>
      </c>
    </row>
    <row r="2117" spans="1:12">
      <c r="A2117" s="9">
        <v>46023</v>
      </c>
      <c r="B2117">
        <v>7</v>
      </c>
      <c r="C2117" s="16" t="s">
        <v>62</v>
      </c>
      <c r="D2117">
        <v>1</v>
      </c>
      <c r="E2117" s="16" t="s">
        <v>38</v>
      </c>
      <c r="F2117" s="18">
        <v>2223</v>
      </c>
      <c r="G2117" s="22">
        <v>117</v>
      </c>
      <c r="H2117" s="18">
        <v>3.7025433269230699</v>
      </c>
      <c r="I2117" s="18">
        <v>433.19756925000002</v>
      </c>
      <c r="J2117" s="18">
        <v>1789.80243074999</v>
      </c>
      <c r="K2117" s="22">
        <v>0</v>
      </c>
      <c r="L2117" s="22" t="str">
        <f t="shared" si="33"/>
        <v>46023, 7, 1</v>
      </c>
    </row>
    <row r="2118" spans="1:12">
      <c r="A2118" s="9">
        <v>46023</v>
      </c>
      <c r="B2118">
        <v>7</v>
      </c>
      <c r="C2118" s="16" t="s">
        <v>62</v>
      </c>
      <c r="D2118">
        <v>2</v>
      </c>
      <c r="E2118" s="16" t="s">
        <v>40</v>
      </c>
      <c r="F2118" s="18">
        <v>2226</v>
      </c>
      <c r="G2118" s="22">
        <v>106</v>
      </c>
      <c r="H2118" s="18">
        <v>6.6414907554444396</v>
      </c>
      <c r="I2118" s="18">
        <v>703.99802007711105</v>
      </c>
      <c r="J2118" s="18">
        <v>1522.0019799228801</v>
      </c>
      <c r="K2118" s="22">
        <v>0</v>
      </c>
      <c r="L2118" s="22" t="str">
        <f t="shared" si="33"/>
        <v>46023, 7, 2</v>
      </c>
    </row>
    <row r="2119" spans="1:12">
      <c r="A2119" s="9">
        <v>46023</v>
      </c>
      <c r="B2119">
        <v>7</v>
      </c>
      <c r="C2119" s="16" t="s">
        <v>62</v>
      </c>
      <c r="D2119">
        <v>3</v>
      </c>
      <c r="E2119" s="16" t="s">
        <v>41</v>
      </c>
      <c r="F2119" s="18">
        <v>1672</v>
      </c>
      <c r="G2119" s="22">
        <v>76</v>
      </c>
      <c r="H2119" s="18">
        <v>3.3918976280000002</v>
      </c>
      <c r="I2119" s="18">
        <v>257.78421972799998</v>
      </c>
      <c r="J2119" s="18">
        <v>1414.2157802720001</v>
      </c>
      <c r="K2119" s="22">
        <v>0</v>
      </c>
      <c r="L2119" s="22" t="str">
        <f t="shared" si="33"/>
        <v>46023, 7, 3</v>
      </c>
    </row>
    <row r="2120" spans="1:12">
      <c r="A2120" s="9">
        <v>46023</v>
      </c>
      <c r="B2120">
        <v>7</v>
      </c>
      <c r="C2120" s="16" t="s">
        <v>62</v>
      </c>
      <c r="D2120">
        <v>4</v>
      </c>
      <c r="E2120" s="16" t="s">
        <v>42</v>
      </c>
      <c r="F2120" s="18">
        <v>1476</v>
      </c>
      <c r="G2120" s="22">
        <v>82</v>
      </c>
      <c r="H2120" s="18">
        <v>7.4812827128888797</v>
      </c>
      <c r="I2120" s="18">
        <v>613.46518245688799</v>
      </c>
      <c r="J2120" s="18">
        <v>862.53481754311099</v>
      </c>
      <c r="K2120" s="22">
        <v>0</v>
      </c>
      <c r="L2120" s="22" t="str">
        <f t="shared" si="33"/>
        <v>46023, 7, 4</v>
      </c>
    </row>
    <row r="2121" spans="1:12">
      <c r="A2121" s="9">
        <v>46023</v>
      </c>
      <c r="B2121">
        <v>7</v>
      </c>
      <c r="C2121" s="16" t="s">
        <v>62</v>
      </c>
      <c r="D2121">
        <v>5</v>
      </c>
      <c r="E2121" s="16" t="s">
        <v>43</v>
      </c>
      <c r="F2121" s="18">
        <v>795.5</v>
      </c>
      <c r="G2121" s="22">
        <v>43</v>
      </c>
      <c r="H2121" s="18">
        <v>6.8854166666666599</v>
      </c>
      <c r="I2121" s="18">
        <v>296.072916666666</v>
      </c>
      <c r="J2121" s="18">
        <v>499.42708333333297</v>
      </c>
      <c r="K2121" s="22">
        <v>0</v>
      </c>
      <c r="L2121" s="22" t="str">
        <f t="shared" si="33"/>
        <v>46023, 7, 5</v>
      </c>
    </row>
    <row r="2122" spans="1:12">
      <c r="A2122" s="9">
        <v>46023</v>
      </c>
      <c r="B2122">
        <v>7</v>
      </c>
      <c r="C2122" s="16" t="s">
        <v>62</v>
      </c>
      <c r="D2122">
        <v>6</v>
      </c>
      <c r="E2122" s="16" t="s">
        <v>44</v>
      </c>
      <c r="F2122" s="18">
        <v>1833</v>
      </c>
      <c r="G2122" s="22">
        <v>94</v>
      </c>
      <c r="H2122" s="18">
        <v>4.4403942495499997</v>
      </c>
      <c r="I2122" s="18">
        <v>417.39705945769998</v>
      </c>
      <c r="J2122" s="18">
        <v>1415.6029405423001</v>
      </c>
      <c r="K2122" s="22">
        <v>0</v>
      </c>
      <c r="L2122" s="22" t="str">
        <f t="shared" si="33"/>
        <v>46023, 7, 6</v>
      </c>
    </row>
    <row r="2123" spans="1:12">
      <c r="A2123" s="9">
        <v>46023</v>
      </c>
      <c r="B2123">
        <v>7</v>
      </c>
      <c r="C2123" s="16" t="s">
        <v>62</v>
      </c>
      <c r="D2123">
        <v>7</v>
      </c>
      <c r="E2123" s="16" t="s">
        <v>45</v>
      </c>
      <c r="F2123" s="18">
        <v>1242</v>
      </c>
      <c r="G2123" s="22">
        <v>138</v>
      </c>
      <c r="H2123" s="18">
        <v>2.7951062699999998</v>
      </c>
      <c r="I2123" s="18">
        <v>385.72466525999999</v>
      </c>
      <c r="J2123" s="18">
        <v>856.27533473999995</v>
      </c>
      <c r="K2123" s="22">
        <v>0</v>
      </c>
      <c r="L2123" s="22" t="str">
        <f t="shared" si="33"/>
        <v>46023, 7, 7</v>
      </c>
    </row>
    <row r="2124" spans="1:12">
      <c r="A2124" s="9">
        <v>46023</v>
      </c>
      <c r="B2124">
        <v>7</v>
      </c>
      <c r="C2124" s="16" t="s">
        <v>62</v>
      </c>
      <c r="D2124">
        <v>8</v>
      </c>
      <c r="E2124" s="16" t="s">
        <v>46</v>
      </c>
      <c r="F2124" s="18">
        <v>1001</v>
      </c>
      <c r="G2124" s="22">
        <v>91</v>
      </c>
      <c r="H2124" s="18">
        <v>0.66736719733333305</v>
      </c>
      <c r="I2124" s="18">
        <v>60.730414957333302</v>
      </c>
      <c r="J2124" s="18">
        <v>940.26958504266599</v>
      </c>
      <c r="K2124" s="22">
        <v>0</v>
      </c>
      <c r="L2124" s="22" t="str">
        <f t="shared" si="33"/>
        <v>46023, 7, 8</v>
      </c>
    </row>
    <row r="2125" spans="1:12">
      <c r="A2125" s="9">
        <v>46023</v>
      </c>
      <c r="B2125">
        <v>7</v>
      </c>
      <c r="C2125" s="16" t="s">
        <v>62</v>
      </c>
      <c r="D2125">
        <v>9</v>
      </c>
      <c r="E2125" s="16" t="s">
        <v>47</v>
      </c>
      <c r="F2125" s="18">
        <v>1677</v>
      </c>
      <c r="G2125" s="22">
        <v>39</v>
      </c>
      <c r="H2125" s="18">
        <v>15.5227456476775</v>
      </c>
      <c r="I2125" s="18">
        <v>605.38708025942196</v>
      </c>
      <c r="J2125" s="18">
        <v>1071.6129197405701</v>
      </c>
      <c r="K2125" s="22">
        <v>0</v>
      </c>
      <c r="L2125" s="22" t="str">
        <f t="shared" si="33"/>
        <v>46023, 7, 9</v>
      </c>
    </row>
    <row r="2126" spans="1:12">
      <c r="A2126" s="9">
        <v>46023</v>
      </c>
      <c r="B2126">
        <v>7</v>
      </c>
      <c r="C2126" s="16" t="s">
        <v>62</v>
      </c>
      <c r="D2126">
        <v>10</v>
      </c>
      <c r="E2126" s="16" t="s">
        <v>57</v>
      </c>
      <c r="F2126" s="18">
        <v>528</v>
      </c>
      <c r="G2126" s="22">
        <v>44</v>
      </c>
      <c r="H2126" s="18">
        <v>2.3507887653529398</v>
      </c>
      <c r="I2126" s="18">
        <v>103.434705675529</v>
      </c>
      <c r="J2126" s="18">
        <v>424.56529432447002</v>
      </c>
      <c r="K2126" s="22">
        <v>0</v>
      </c>
      <c r="L2126" s="22" t="str">
        <f t="shared" si="33"/>
        <v>46023, 7, 10</v>
      </c>
    </row>
    <row r="2127" spans="1:12">
      <c r="A2127" s="9">
        <v>46023</v>
      </c>
      <c r="B2127">
        <v>7</v>
      </c>
      <c r="C2127" s="16" t="s">
        <v>62</v>
      </c>
      <c r="D2127">
        <v>11</v>
      </c>
      <c r="E2127" s="16" t="s">
        <v>48</v>
      </c>
      <c r="F2127" s="18">
        <v>1535.5</v>
      </c>
      <c r="G2127" s="22">
        <v>83</v>
      </c>
      <c r="H2127" s="18">
        <v>2.0033938472222199</v>
      </c>
      <c r="I2127" s="18">
        <v>166.28168931944401</v>
      </c>
      <c r="J2127" s="18">
        <v>1369.2183106805501</v>
      </c>
      <c r="K2127" s="22">
        <v>0</v>
      </c>
      <c r="L2127" s="22" t="str">
        <f t="shared" si="33"/>
        <v>46023, 7, 11</v>
      </c>
    </row>
    <row r="2128" spans="1:12">
      <c r="A2128" s="9">
        <v>46023</v>
      </c>
      <c r="B2128">
        <v>7</v>
      </c>
      <c r="C2128" s="16" t="s">
        <v>62</v>
      </c>
      <c r="D2128">
        <v>12</v>
      </c>
      <c r="E2128" s="16" t="s">
        <v>49</v>
      </c>
      <c r="F2128" s="18">
        <v>893</v>
      </c>
      <c r="G2128" s="22">
        <v>47</v>
      </c>
      <c r="H2128" s="18">
        <v>2.60758501263888</v>
      </c>
      <c r="I2128" s="18">
        <v>122.556495594027</v>
      </c>
      <c r="J2128" s="18">
        <v>770.44350440597202</v>
      </c>
      <c r="K2128" s="22">
        <v>0</v>
      </c>
      <c r="L2128" s="22" t="str">
        <f t="shared" si="33"/>
        <v>46023, 7, 12</v>
      </c>
    </row>
    <row r="2129" spans="1:12">
      <c r="A2129" s="9">
        <v>46023</v>
      </c>
      <c r="B2129">
        <v>7</v>
      </c>
      <c r="C2129" s="16" t="s">
        <v>62</v>
      </c>
      <c r="D2129">
        <v>13</v>
      </c>
      <c r="E2129" s="16" t="s">
        <v>50</v>
      </c>
      <c r="F2129" s="18">
        <v>2242.5</v>
      </c>
      <c r="G2129" s="22">
        <v>115</v>
      </c>
      <c r="H2129" s="18">
        <v>6.6621589999999999</v>
      </c>
      <c r="I2129" s="18">
        <v>766.14828499999999</v>
      </c>
      <c r="J2129" s="18">
        <v>1476.351715</v>
      </c>
      <c r="K2129" s="22">
        <v>0</v>
      </c>
      <c r="L2129" s="22" t="str">
        <f t="shared" si="33"/>
        <v>46023, 7, 13</v>
      </c>
    </row>
    <row r="2130" spans="1:12">
      <c r="A2130" s="9">
        <v>46023</v>
      </c>
      <c r="B2130">
        <v>7</v>
      </c>
      <c r="C2130" s="16" t="s">
        <v>62</v>
      </c>
      <c r="D2130">
        <v>14</v>
      </c>
      <c r="E2130" s="16" t="s">
        <v>51</v>
      </c>
      <c r="F2130" s="18">
        <v>1984.5</v>
      </c>
      <c r="G2130" s="22">
        <v>81</v>
      </c>
      <c r="H2130" s="18">
        <v>3.8598289283571399</v>
      </c>
      <c r="I2130" s="18">
        <v>312.64614319692799</v>
      </c>
      <c r="J2130" s="18">
        <v>1671.8538568030699</v>
      </c>
      <c r="K2130" s="22">
        <v>0</v>
      </c>
      <c r="L2130" s="22" t="str">
        <f t="shared" si="33"/>
        <v>46023, 7, 14</v>
      </c>
    </row>
    <row r="2131" spans="1:12">
      <c r="A2131" s="9">
        <v>46023</v>
      </c>
      <c r="B2131">
        <v>7</v>
      </c>
      <c r="C2131" s="16" t="s">
        <v>62</v>
      </c>
      <c r="D2131">
        <v>15</v>
      </c>
      <c r="E2131" s="16" t="s">
        <v>52</v>
      </c>
      <c r="F2131" s="18">
        <v>2163</v>
      </c>
      <c r="G2131" s="22">
        <v>103</v>
      </c>
      <c r="H2131" s="18">
        <v>2.4414053205714201</v>
      </c>
      <c r="I2131" s="18">
        <v>251.46474801885699</v>
      </c>
      <c r="J2131" s="18">
        <v>1911.5352519811399</v>
      </c>
      <c r="K2131" s="22">
        <v>0</v>
      </c>
      <c r="L2131" s="22" t="str">
        <f t="shared" si="33"/>
        <v>46023, 7, 15</v>
      </c>
    </row>
    <row r="2132" spans="1:12">
      <c r="A2132" s="9">
        <v>46023</v>
      </c>
      <c r="B2132">
        <v>7</v>
      </c>
      <c r="C2132" s="16" t="s">
        <v>62</v>
      </c>
      <c r="D2132">
        <v>16</v>
      </c>
      <c r="E2132" s="16" t="s">
        <v>53</v>
      </c>
      <c r="F2132" s="18">
        <v>562.5</v>
      </c>
      <c r="G2132" s="22">
        <v>75</v>
      </c>
      <c r="H2132" s="18">
        <v>1.41722532224358</v>
      </c>
      <c r="I2132" s="18">
        <v>106.291899168269</v>
      </c>
      <c r="J2132" s="18">
        <v>456.20810083173001</v>
      </c>
      <c r="K2132" s="22">
        <v>0</v>
      </c>
      <c r="L2132" s="22" t="str">
        <f t="shared" si="33"/>
        <v>46023, 7, 16</v>
      </c>
    </row>
    <row r="2133" spans="1:12">
      <c r="A2133" s="9">
        <v>46023</v>
      </c>
      <c r="B2133">
        <v>7</v>
      </c>
      <c r="C2133" s="16" t="s">
        <v>62</v>
      </c>
      <c r="D2133">
        <v>17</v>
      </c>
      <c r="E2133" s="16" t="s">
        <v>54</v>
      </c>
      <c r="F2133" s="18">
        <v>413</v>
      </c>
      <c r="G2133" s="22">
        <v>59</v>
      </c>
      <c r="H2133" s="18">
        <v>1.3821830934999999</v>
      </c>
      <c r="I2133" s="18">
        <v>81.548802516500004</v>
      </c>
      <c r="J2133" s="18">
        <v>331.45119748349998</v>
      </c>
      <c r="K2133" s="22">
        <v>0</v>
      </c>
      <c r="L2133" s="22" t="str">
        <f t="shared" si="33"/>
        <v>46023, 7, 17</v>
      </c>
    </row>
    <row r="2134" spans="1:12">
      <c r="A2134" s="9">
        <v>46023</v>
      </c>
      <c r="B2134">
        <v>7</v>
      </c>
      <c r="C2134" s="16" t="s">
        <v>62</v>
      </c>
      <c r="D2134">
        <v>18</v>
      </c>
      <c r="E2134" s="16" t="s">
        <v>55</v>
      </c>
      <c r="F2134" s="18">
        <v>430.5</v>
      </c>
      <c r="G2134" s="22">
        <v>21</v>
      </c>
      <c r="H2134" s="18">
        <v>5.913584518075</v>
      </c>
      <c r="I2134" s="18">
        <v>124.185274879575</v>
      </c>
      <c r="J2134" s="18">
        <v>306.31472512042501</v>
      </c>
      <c r="K2134" s="22">
        <v>0</v>
      </c>
      <c r="L2134" s="22" t="str">
        <f t="shared" si="33"/>
        <v>46023, 7, 18</v>
      </c>
    </row>
    <row r="2135" spans="1:12">
      <c r="A2135" s="9">
        <v>46054</v>
      </c>
      <c r="B2135">
        <v>7</v>
      </c>
      <c r="C2135" s="16" t="s">
        <v>62</v>
      </c>
      <c r="D2135">
        <v>1</v>
      </c>
      <c r="E2135" s="16" t="s">
        <v>38</v>
      </c>
      <c r="F2135" s="18">
        <v>2052</v>
      </c>
      <c r="G2135" s="22">
        <v>108</v>
      </c>
      <c r="H2135" s="18">
        <v>3.6885898125000001</v>
      </c>
      <c r="I2135" s="18">
        <v>398.36769974999999</v>
      </c>
      <c r="J2135" s="18">
        <v>1653.6323002500001</v>
      </c>
      <c r="K2135" s="22">
        <v>0</v>
      </c>
      <c r="L2135" s="22" t="str">
        <f t="shared" si="33"/>
        <v>46054, 7, 1</v>
      </c>
    </row>
    <row r="2136" spans="1:12">
      <c r="A2136" s="9">
        <v>46054</v>
      </c>
      <c r="B2136">
        <v>7</v>
      </c>
      <c r="C2136" s="16" t="s">
        <v>62</v>
      </c>
      <c r="D2136">
        <v>2</v>
      </c>
      <c r="E2136" s="16" t="s">
        <v>40</v>
      </c>
      <c r="F2136" s="18">
        <v>2835</v>
      </c>
      <c r="G2136" s="22">
        <v>135</v>
      </c>
      <c r="H2136" s="18">
        <v>6.6352086518749998</v>
      </c>
      <c r="I2136" s="18">
        <v>895.75316800312498</v>
      </c>
      <c r="J2136" s="18">
        <v>1939.24683199687</v>
      </c>
      <c r="K2136" s="22">
        <v>0</v>
      </c>
      <c r="L2136" s="22" t="str">
        <f t="shared" si="33"/>
        <v>46054, 7, 2</v>
      </c>
    </row>
    <row r="2137" spans="1:12">
      <c r="A2137" s="9">
        <v>46054</v>
      </c>
      <c r="B2137">
        <v>7</v>
      </c>
      <c r="C2137" s="16" t="s">
        <v>62</v>
      </c>
      <c r="D2137">
        <v>3</v>
      </c>
      <c r="E2137" s="16" t="s">
        <v>41</v>
      </c>
      <c r="F2137" s="18">
        <v>1562</v>
      </c>
      <c r="G2137" s="22">
        <v>71</v>
      </c>
      <c r="H2137" s="18">
        <v>3.3748815862499999</v>
      </c>
      <c r="I2137" s="18">
        <v>239.61659262374999</v>
      </c>
      <c r="J2137" s="18">
        <v>1322.38340737625</v>
      </c>
      <c r="K2137" s="22">
        <v>0</v>
      </c>
      <c r="L2137" s="22" t="str">
        <f t="shared" si="33"/>
        <v>46054, 7, 3</v>
      </c>
    </row>
    <row r="2138" spans="1:12">
      <c r="A2138" s="9">
        <v>46054</v>
      </c>
      <c r="B2138">
        <v>7</v>
      </c>
      <c r="C2138" s="16" t="s">
        <v>62</v>
      </c>
      <c r="D2138">
        <v>4</v>
      </c>
      <c r="E2138" s="16" t="s">
        <v>42</v>
      </c>
      <c r="F2138" s="18">
        <v>1512</v>
      </c>
      <c r="G2138" s="22">
        <v>84</v>
      </c>
      <c r="H2138" s="18">
        <v>7.4399794051250003</v>
      </c>
      <c r="I2138" s="18">
        <v>624.95827003049999</v>
      </c>
      <c r="J2138" s="18">
        <v>887.04172996950001</v>
      </c>
      <c r="K2138" s="22">
        <v>0</v>
      </c>
      <c r="L2138" s="22" t="str">
        <f t="shared" si="33"/>
        <v>46054, 7, 4</v>
      </c>
    </row>
    <row r="2139" spans="1:12">
      <c r="A2139" s="9">
        <v>46054</v>
      </c>
      <c r="B2139">
        <v>7</v>
      </c>
      <c r="C2139" s="16" t="s">
        <v>62</v>
      </c>
      <c r="D2139">
        <v>5</v>
      </c>
      <c r="E2139" s="16" t="s">
        <v>43</v>
      </c>
      <c r="F2139" s="18">
        <v>777</v>
      </c>
      <c r="G2139" s="22">
        <v>42</v>
      </c>
      <c r="H2139" s="18">
        <v>6.8965833333333304</v>
      </c>
      <c r="I2139" s="18">
        <v>289.65649999999903</v>
      </c>
      <c r="J2139" s="18">
        <v>487.34350000000001</v>
      </c>
      <c r="K2139" s="22">
        <v>0</v>
      </c>
      <c r="L2139" s="22" t="str">
        <f t="shared" si="33"/>
        <v>46054, 7, 5</v>
      </c>
    </row>
    <row r="2140" spans="1:12">
      <c r="A2140" s="9">
        <v>46054</v>
      </c>
      <c r="B2140">
        <v>7</v>
      </c>
      <c r="C2140" s="16" t="s">
        <v>62</v>
      </c>
      <c r="D2140">
        <v>6</v>
      </c>
      <c r="E2140" s="16" t="s">
        <v>44</v>
      </c>
      <c r="F2140" s="18">
        <v>2359.5</v>
      </c>
      <c r="G2140" s="22">
        <v>121</v>
      </c>
      <c r="H2140" s="18">
        <v>4.4718357083500004</v>
      </c>
      <c r="I2140" s="18">
        <v>541.09212071034995</v>
      </c>
      <c r="J2140" s="18">
        <v>1818.4078792896501</v>
      </c>
      <c r="K2140" s="22">
        <v>0</v>
      </c>
      <c r="L2140" s="22" t="str">
        <f t="shared" si="33"/>
        <v>46054, 7, 6</v>
      </c>
    </row>
    <row r="2141" spans="1:12">
      <c r="A2141" s="9">
        <v>46054</v>
      </c>
      <c r="B2141">
        <v>7</v>
      </c>
      <c r="C2141" s="16" t="s">
        <v>62</v>
      </c>
      <c r="D2141">
        <v>7</v>
      </c>
      <c r="E2141" s="16" t="s">
        <v>45</v>
      </c>
      <c r="F2141" s="18">
        <v>1143</v>
      </c>
      <c r="G2141" s="22">
        <v>127</v>
      </c>
      <c r="H2141" s="18">
        <v>2.8051902082894702</v>
      </c>
      <c r="I2141" s="18">
        <v>356.25915645276302</v>
      </c>
      <c r="J2141" s="18">
        <v>786.74084354723595</v>
      </c>
      <c r="K2141" s="22">
        <v>0</v>
      </c>
      <c r="L2141" s="22" t="str">
        <f t="shared" si="33"/>
        <v>46054, 7, 7</v>
      </c>
    </row>
    <row r="2142" spans="1:12">
      <c r="A2142" s="9">
        <v>46054</v>
      </c>
      <c r="B2142">
        <v>7</v>
      </c>
      <c r="C2142" s="16" t="s">
        <v>62</v>
      </c>
      <c r="D2142">
        <v>8</v>
      </c>
      <c r="E2142" s="16" t="s">
        <v>46</v>
      </c>
      <c r="F2142" s="18">
        <v>880</v>
      </c>
      <c r="G2142" s="22">
        <v>80</v>
      </c>
      <c r="H2142" s="18">
        <v>0.66239696466666598</v>
      </c>
      <c r="I2142" s="18">
        <v>52.991757173333298</v>
      </c>
      <c r="J2142" s="18">
        <v>827.00824282666599</v>
      </c>
      <c r="K2142" s="22">
        <v>0</v>
      </c>
      <c r="L2142" s="22" t="str">
        <f t="shared" si="33"/>
        <v>46054, 7, 8</v>
      </c>
    </row>
    <row r="2143" spans="1:12">
      <c r="A2143" s="9">
        <v>46054</v>
      </c>
      <c r="B2143">
        <v>7</v>
      </c>
      <c r="C2143" s="16" t="s">
        <v>62</v>
      </c>
      <c r="D2143">
        <v>9</v>
      </c>
      <c r="E2143" s="16" t="s">
        <v>47</v>
      </c>
      <c r="F2143" s="18">
        <v>1376</v>
      </c>
      <c r="G2143" s="22">
        <v>32</v>
      </c>
      <c r="H2143" s="18">
        <v>15.6234543304772</v>
      </c>
      <c r="I2143" s="18">
        <v>499.95053857527301</v>
      </c>
      <c r="J2143" s="18">
        <v>876.04946142472602</v>
      </c>
      <c r="K2143" s="22">
        <v>0</v>
      </c>
      <c r="L2143" s="22" t="str">
        <f t="shared" si="33"/>
        <v>46054, 7, 9</v>
      </c>
    </row>
    <row r="2144" spans="1:12">
      <c r="A2144" s="9">
        <v>46054</v>
      </c>
      <c r="B2144">
        <v>7</v>
      </c>
      <c r="C2144" s="16" t="s">
        <v>62</v>
      </c>
      <c r="D2144">
        <v>10</v>
      </c>
      <c r="E2144" s="16" t="s">
        <v>57</v>
      </c>
      <c r="F2144" s="18">
        <v>624</v>
      </c>
      <c r="G2144" s="22">
        <v>52</v>
      </c>
      <c r="H2144" s="18">
        <v>2.33771739313684</v>
      </c>
      <c r="I2144" s="18">
        <v>121.56130444311501</v>
      </c>
      <c r="J2144" s="18">
        <v>502.438695556884</v>
      </c>
      <c r="K2144" s="22">
        <v>0</v>
      </c>
      <c r="L2144" s="22" t="str">
        <f t="shared" si="33"/>
        <v>46054, 7, 10</v>
      </c>
    </row>
    <row r="2145" spans="1:12">
      <c r="A2145" s="9">
        <v>46054</v>
      </c>
      <c r="B2145">
        <v>7</v>
      </c>
      <c r="C2145" s="16" t="s">
        <v>62</v>
      </c>
      <c r="D2145">
        <v>11</v>
      </c>
      <c r="E2145" s="16" t="s">
        <v>48</v>
      </c>
      <c r="F2145" s="18">
        <v>1665</v>
      </c>
      <c r="G2145" s="22">
        <v>90</v>
      </c>
      <c r="H2145" s="18">
        <v>1.9919912500000001</v>
      </c>
      <c r="I2145" s="18">
        <v>179.2792125</v>
      </c>
      <c r="J2145" s="18">
        <v>1485.7207874999999</v>
      </c>
      <c r="K2145" s="22">
        <v>0</v>
      </c>
      <c r="L2145" s="22" t="str">
        <f t="shared" si="33"/>
        <v>46054, 7, 11</v>
      </c>
    </row>
    <row r="2146" spans="1:12">
      <c r="A2146" s="9">
        <v>46054</v>
      </c>
      <c r="B2146">
        <v>7</v>
      </c>
      <c r="C2146" s="16" t="s">
        <v>62</v>
      </c>
      <c r="D2146">
        <v>12</v>
      </c>
      <c r="E2146" s="16" t="s">
        <v>49</v>
      </c>
      <c r="F2146" s="18">
        <v>912</v>
      </c>
      <c r="G2146" s="22">
        <v>48</v>
      </c>
      <c r="H2146" s="18">
        <v>2.5793747710937498</v>
      </c>
      <c r="I2146" s="18">
        <v>123.8099890125</v>
      </c>
      <c r="J2146" s="18">
        <v>788.19001098750005</v>
      </c>
      <c r="K2146" s="22">
        <v>0</v>
      </c>
      <c r="L2146" s="22" t="str">
        <f t="shared" si="33"/>
        <v>46054, 7, 12</v>
      </c>
    </row>
    <row r="2147" spans="1:12">
      <c r="A2147" s="9">
        <v>46054</v>
      </c>
      <c r="B2147">
        <v>7</v>
      </c>
      <c r="C2147" s="16" t="s">
        <v>62</v>
      </c>
      <c r="D2147">
        <v>13</v>
      </c>
      <c r="E2147" s="16" t="s">
        <v>50</v>
      </c>
      <c r="F2147" s="18">
        <v>2613</v>
      </c>
      <c r="G2147" s="22">
        <v>134</v>
      </c>
      <c r="H2147" s="18">
        <v>6.66199977777777</v>
      </c>
      <c r="I2147" s="18">
        <v>892.707970222222</v>
      </c>
      <c r="J2147" s="18">
        <v>1720.29202977777</v>
      </c>
      <c r="K2147" s="22">
        <v>0</v>
      </c>
      <c r="L2147" s="22" t="str">
        <f t="shared" si="33"/>
        <v>46054, 7, 13</v>
      </c>
    </row>
    <row r="2148" spans="1:12">
      <c r="A2148" s="9">
        <v>46054</v>
      </c>
      <c r="B2148">
        <v>7</v>
      </c>
      <c r="C2148" s="16" t="s">
        <v>62</v>
      </c>
      <c r="D2148">
        <v>14</v>
      </c>
      <c r="E2148" s="16" t="s">
        <v>51</v>
      </c>
      <c r="F2148" s="18">
        <v>2033.5</v>
      </c>
      <c r="G2148" s="22">
        <v>83</v>
      </c>
      <c r="H2148" s="18">
        <v>3.8704029336388799</v>
      </c>
      <c r="I2148" s="18">
        <v>321.24344349202698</v>
      </c>
      <c r="J2148" s="18">
        <v>1712.2565565079699</v>
      </c>
      <c r="K2148" s="22">
        <v>0</v>
      </c>
      <c r="L2148" s="22" t="str">
        <f t="shared" si="33"/>
        <v>46054, 7, 14</v>
      </c>
    </row>
    <row r="2149" spans="1:12">
      <c r="A2149" s="9">
        <v>46054</v>
      </c>
      <c r="B2149">
        <v>7</v>
      </c>
      <c r="C2149" s="16" t="s">
        <v>62</v>
      </c>
      <c r="D2149">
        <v>15</v>
      </c>
      <c r="E2149" s="16" t="s">
        <v>52</v>
      </c>
      <c r="F2149" s="18">
        <v>2352</v>
      </c>
      <c r="G2149" s="22">
        <v>112</v>
      </c>
      <c r="H2149" s="18">
        <v>2.4316371831666599</v>
      </c>
      <c r="I2149" s="18">
        <v>272.34336451466601</v>
      </c>
      <c r="J2149" s="18">
        <v>2079.6566354853298</v>
      </c>
      <c r="K2149" s="22">
        <v>0</v>
      </c>
      <c r="L2149" s="22" t="str">
        <f t="shared" si="33"/>
        <v>46054, 7, 15</v>
      </c>
    </row>
    <row r="2150" spans="1:12">
      <c r="A2150" s="9">
        <v>46054</v>
      </c>
      <c r="B2150">
        <v>7</v>
      </c>
      <c r="C2150" s="16" t="s">
        <v>62</v>
      </c>
      <c r="D2150">
        <v>16</v>
      </c>
      <c r="E2150" s="16" t="s">
        <v>53</v>
      </c>
      <c r="F2150" s="18">
        <v>705</v>
      </c>
      <c r="G2150" s="22">
        <v>94</v>
      </c>
      <c r="H2150" s="18">
        <v>1.40939571680555</v>
      </c>
      <c r="I2150" s="18">
        <v>132.48319737972199</v>
      </c>
      <c r="J2150" s="18">
        <v>572.51680262027696</v>
      </c>
      <c r="K2150" s="22">
        <v>0</v>
      </c>
      <c r="L2150" s="22" t="str">
        <f t="shared" si="33"/>
        <v>46054, 7, 16</v>
      </c>
    </row>
    <row r="2151" spans="1:12">
      <c r="A2151" s="9">
        <v>46054</v>
      </c>
      <c r="B2151">
        <v>7</v>
      </c>
      <c r="C2151" s="16" t="s">
        <v>62</v>
      </c>
      <c r="D2151">
        <v>17</v>
      </c>
      <c r="E2151" s="16" t="s">
        <v>54</v>
      </c>
      <c r="F2151" s="18">
        <v>588</v>
      </c>
      <c r="G2151" s="22">
        <v>84</v>
      </c>
      <c r="H2151" s="18">
        <v>1.3748711389999999</v>
      </c>
      <c r="I2151" s="18">
        <v>115.489175676</v>
      </c>
      <c r="J2151" s="18">
        <v>472.510824324</v>
      </c>
      <c r="K2151" s="22">
        <v>0</v>
      </c>
      <c r="L2151" s="22" t="str">
        <f t="shared" si="33"/>
        <v>46054, 7, 17</v>
      </c>
    </row>
    <row r="2152" spans="1:12">
      <c r="A2152" s="9">
        <v>46054</v>
      </c>
      <c r="B2152">
        <v>7</v>
      </c>
      <c r="C2152" s="16" t="s">
        <v>62</v>
      </c>
      <c r="D2152">
        <v>18</v>
      </c>
      <c r="E2152" s="16" t="s">
        <v>55</v>
      </c>
      <c r="F2152" s="18">
        <v>533</v>
      </c>
      <c r="G2152" s="22">
        <v>26</v>
      </c>
      <c r="H2152" s="18">
        <v>5.9379319856250001</v>
      </c>
      <c r="I2152" s="18">
        <v>154.38623162625001</v>
      </c>
      <c r="J2152" s="18">
        <v>378.61376837375002</v>
      </c>
      <c r="K2152" s="22">
        <v>0</v>
      </c>
      <c r="L2152" s="22" t="str">
        <f t="shared" si="33"/>
        <v>46054, 7, 18</v>
      </c>
    </row>
    <row r="2153" spans="1:12">
      <c r="A2153" s="9">
        <v>46082</v>
      </c>
      <c r="B2153">
        <v>7</v>
      </c>
      <c r="C2153" s="16" t="s">
        <v>62</v>
      </c>
      <c r="D2153">
        <v>1</v>
      </c>
      <c r="E2153" s="16" t="s">
        <v>38</v>
      </c>
      <c r="F2153" s="18">
        <v>2774</v>
      </c>
      <c r="G2153" s="22">
        <v>146</v>
      </c>
      <c r="H2153" s="18">
        <v>3.7023572857142799</v>
      </c>
      <c r="I2153" s="18">
        <v>540.54416371428499</v>
      </c>
      <c r="J2153" s="18">
        <v>2233.4558362857101</v>
      </c>
      <c r="K2153" s="22">
        <v>0</v>
      </c>
      <c r="L2153" s="22" t="str">
        <f t="shared" si="33"/>
        <v>46082, 7, 1</v>
      </c>
    </row>
    <row r="2154" spans="1:12">
      <c r="A2154" s="9">
        <v>46082</v>
      </c>
      <c r="B2154">
        <v>7</v>
      </c>
      <c r="C2154" s="16" t="s">
        <v>62</v>
      </c>
      <c r="D2154">
        <v>2</v>
      </c>
      <c r="E2154" s="16" t="s">
        <v>40</v>
      </c>
      <c r="F2154" s="18">
        <v>3255</v>
      </c>
      <c r="G2154" s="22">
        <v>155</v>
      </c>
      <c r="H2154" s="18">
        <v>6.6651027917777697</v>
      </c>
      <c r="I2154" s="18">
        <v>1033.0909327255499</v>
      </c>
      <c r="J2154" s="18">
        <v>2221.9090672744401</v>
      </c>
      <c r="K2154" s="22">
        <v>0</v>
      </c>
      <c r="L2154" s="22" t="str">
        <f t="shared" si="33"/>
        <v>46082, 7, 2</v>
      </c>
    </row>
    <row r="2155" spans="1:12">
      <c r="A2155" s="9">
        <v>46082</v>
      </c>
      <c r="B2155">
        <v>7</v>
      </c>
      <c r="C2155" s="16" t="s">
        <v>62</v>
      </c>
      <c r="D2155">
        <v>3</v>
      </c>
      <c r="E2155" s="16" t="s">
        <v>41</v>
      </c>
      <c r="F2155" s="18">
        <v>1606</v>
      </c>
      <c r="G2155" s="22">
        <v>73</v>
      </c>
      <c r="H2155" s="18">
        <v>3.4076754814444401</v>
      </c>
      <c r="I2155" s="18">
        <v>248.76031014544401</v>
      </c>
      <c r="J2155" s="18">
        <v>1357.2396898545501</v>
      </c>
      <c r="K2155" s="22">
        <v>0</v>
      </c>
      <c r="L2155" s="22" t="str">
        <f t="shared" si="33"/>
        <v>46082, 7, 3</v>
      </c>
    </row>
    <row r="2156" spans="1:12">
      <c r="A2156" s="9">
        <v>46082</v>
      </c>
      <c r="B2156">
        <v>7</v>
      </c>
      <c r="C2156" s="16" t="s">
        <v>62</v>
      </c>
      <c r="D2156">
        <v>4</v>
      </c>
      <c r="E2156" s="16" t="s">
        <v>42</v>
      </c>
      <c r="F2156" s="18">
        <v>1998</v>
      </c>
      <c r="G2156" s="22">
        <v>111</v>
      </c>
      <c r="H2156" s="18">
        <v>7.3574932816666596</v>
      </c>
      <c r="I2156" s="18">
        <v>816.681754265</v>
      </c>
      <c r="J2156" s="18">
        <v>1181.3182457349899</v>
      </c>
      <c r="K2156" s="22">
        <v>0</v>
      </c>
      <c r="L2156" s="22" t="str">
        <f t="shared" si="33"/>
        <v>46082, 7, 4</v>
      </c>
    </row>
    <row r="2157" spans="1:12">
      <c r="A2157" s="9">
        <v>46082</v>
      </c>
      <c r="B2157">
        <v>7</v>
      </c>
      <c r="C2157" s="16" t="s">
        <v>62</v>
      </c>
      <c r="D2157">
        <v>5</v>
      </c>
      <c r="E2157" s="16" t="s">
        <v>43</v>
      </c>
      <c r="F2157" s="18">
        <v>1036</v>
      </c>
      <c r="G2157" s="22">
        <v>56</v>
      </c>
      <c r="H2157" s="18">
        <v>6.75875</v>
      </c>
      <c r="I2157" s="18">
        <v>378.49</v>
      </c>
      <c r="J2157" s="18">
        <v>657.51</v>
      </c>
      <c r="K2157" s="22">
        <v>0</v>
      </c>
      <c r="L2157" s="22" t="str">
        <f t="shared" si="33"/>
        <v>46082, 7, 5</v>
      </c>
    </row>
    <row r="2158" spans="1:12">
      <c r="A2158" s="9">
        <v>46082</v>
      </c>
      <c r="B2158">
        <v>7</v>
      </c>
      <c r="C2158" s="16" t="s">
        <v>62</v>
      </c>
      <c r="D2158">
        <v>6</v>
      </c>
      <c r="E2158" s="16" t="s">
        <v>44</v>
      </c>
      <c r="F2158" s="18">
        <v>2203.5</v>
      </c>
      <c r="G2158" s="22">
        <v>113</v>
      </c>
      <c r="H2158" s="18">
        <v>4.4680665326666604</v>
      </c>
      <c r="I2158" s="18">
        <v>504.89151819133298</v>
      </c>
      <c r="J2158" s="18">
        <v>1698.6084818086599</v>
      </c>
      <c r="K2158" s="22">
        <v>0</v>
      </c>
      <c r="L2158" s="22" t="str">
        <f t="shared" si="33"/>
        <v>46082, 7, 6</v>
      </c>
    </row>
    <row r="2159" spans="1:12">
      <c r="A2159" s="9">
        <v>46082</v>
      </c>
      <c r="B2159">
        <v>7</v>
      </c>
      <c r="C2159" s="16" t="s">
        <v>62</v>
      </c>
      <c r="D2159">
        <v>7</v>
      </c>
      <c r="E2159" s="16" t="s">
        <v>45</v>
      </c>
      <c r="F2159" s="18">
        <v>1242</v>
      </c>
      <c r="G2159" s="22">
        <v>138</v>
      </c>
      <c r="H2159" s="18">
        <v>2.7984743015000002</v>
      </c>
      <c r="I2159" s="18">
        <v>386.18945360700002</v>
      </c>
      <c r="J2159" s="18">
        <v>855.81054639299998</v>
      </c>
      <c r="K2159" s="22">
        <v>0</v>
      </c>
      <c r="L2159" s="22" t="str">
        <f t="shared" si="33"/>
        <v>46082, 7, 7</v>
      </c>
    </row>
    <row r="2160" spans="1:12">
      <c r="A2160" s="9">
        <v>46082</v>
      </c>
      <c r="B2160">
        <v>7</v>
      </c>
      <c r="C2160" s="16" t="s">
        <v>62</v>
      </c>
      <c r="D2160">
        <v>8</v>
      </c>
      <c r="E2160" s="16" t="s">
        <v>46</v>
      </c>
      <c r="F2160" s="18">
        <v>935</v>
      </c>
      <c r="G2160" s="22">
        <v>85</v>
      </c>
      <c r="H2160" s="18">
        <v>0.70142995363636296</v>
      </c>
      <c r="I2160" s="18">
        <v>59.621546059090903</v>
      </c>
      <c r="J2160" s="18">
        <v>875.37845394090903</v>
      </c>
      <c r="K2160" s="22">
        <v>0</v>
      </c>
      <c r="L2160" s="22" t="str">
        <f t="shared" si="33"/>
        <v>46082, 7, 8</v>
      </c>
    </row>
    <row r="2161" spans="1:12">
      <c r="A2161" s="9">
        <v>46082</v>
      </c>
      <c r="B2161">
        <v>7</v>
      </c>
      <c r="C2161" s="16" t="s">
        <v>62</v>
      </c>
      <c r="D2161">
        <v>9</v>
      </c>
      <c r="E2161" s="16" t="s">
        <v>47</v>
      </c>
      <c r="F2161" s="18">
        <v>1763</v>
      </c>
      <c r="G2161" s="22">
        <v>41</v>
      </c>
      <c r="H2161" s="18">
        <v>15.7315558336403</v>
      </c>
      <c r="I2161" s="18">
        <v>644.99378917925401</v>
      </c>
      <c r="J2161" s="18">
        <v>1118.0062108207401</v>
      </c>
      <c r="K2161" s="22">
        <v>0</v>
      </c>
      <c r="L2161" s="22" t="str">
        <f t="shared" si="33"/>
        <v>46082, 7, 9</v>
      </c>
    </row>
    <row r="2162" spans="1:12">
      <c r="A2162" s="9">
        <v>46082</v>
      </c>
      <c r="B2162">
        <v>7</v>
      </c>
      <c r="C2162" s="16" t="s">
        <v>62</v>
      </c>
      <c r="D2162">
        <v>10</v>
      </c>
      <c r="E2162" s="16" t="s">
        <v>57</v>
      </c>
      <c r="F2162" s="18">
        <v>804</v>
      </c>
      <c r="G2162" s="22">
        <v>67</v>
      </c>
      <c r="H2162" s="18">
        <v>2.2729671021</v>
      </c>
      <c r="I2162" s="18">
        <v>152.2887958407</v>
      </c>
      <c r="J2162" s="18">
        <v>651.7112041593</v>
      </c>
      <c r="K2162" s="22">
        <v>0</v>
      </c>
      <c r="L2162" s="22" t="str">
        <f t="shared" si="33"/>
        <v>46082, 7, 10</v>
      </c>
    </row>
    <row r="2163" spans="1:12">
      <c r="A2163" s="9">
        <v>46082</v>
      </c>
      <c r="B2163">
        <v>7</v>
      </c>
      <c r="C2163" s="16" t="s">
        <v>62</v>
      </c>
      <c r="D2163">
        <v>11</v>
      </c>
      <c r="E2163" s="16" t="s">
        <v>48</v>
      </c>
      <c r="F2163" s="18">
        <v>2053.5</v>
      </c>
      <c r="G2163" s="22">
        <v>111</v>
      </c>
      <c r="H2163" s="18">
        <v>1.999216375</v>
      </c>
      <c r="I2163" s="18">
        <v>221.91301762500001</v>
      </c>
      <c r="J2163" s="18">
        <v>1831.5869823749999</v>
      </c>
      <c r="K2163" s="22">
        <v>0</v>
      </c>
      <c r="L2163" s="22" t="str">
        <f t="shared" si="33"/>
        <v>46082, 7, 11</v>
      </c>
    </row>
    <row r="2164" spans="1:12">
      <c r="A2164" s="9">
        <v>46082</v>
      </c>
      <c r="B2164">
        <v>7</v>
      </c>
      <c r="C2164" s="16" t="s">
        <v>62</v>
      </c>
      <c r="D2164">
        <v>12</v>
      </c>
      <c r="E2164" s="16" t="s">
        <v>49</v>
      </c>
      <c r="F2164" s="18">
        <v>1064</v>
      </c>
      <c r="G2164" s="22">
        <v>56</v>
      </c>
      <c r="H2164" s="18">
        <v>2.6324914475000001</v>
      </c>
      <c r="I2164" s="18">
        <v>147.41952105999999</v>
      </c>
      <c r="J2164" s="18">
        <v>916.58047894000003</v>
      </c>
      <c r="K2164" s="22">
        <v>0</v>
      </c>
      <c r="L2164" s="22" t="str">
        <f t="shared" si="33"/>
        <v>46082, 7, 12</v>
      </c>
    </row>
    <row r="2165" spans="1:12">
      <c r="A2165" s="9">
        <v>46082</v>
      </c>
      <c r="B2165">
        <v>7</v>
      </c>
      <c r="C2165" s="16" t="s">
        <v>62</v>
      </c>
      <c r="D2165">
        <v>13</v>
      </c>
      <c r="E2165" s="16" t="s">
        <v>50</v>
      </c>
      <c r="F2165" s="18">
        <v>2652</v>
      </c>
      <c r="G2165" s="22">
        <v>136</v>
      </c>
      <c r="H2165" s="18">
        <v>6.6760986666666602</v>
      </c>
      <c r="I2165" s="18">
        <v>907.94941866666602</v>
      </c>
      <c r="J2165" s="18">
        <v>1744.05058133333</v>
      </c>
      <c r="K2165" s="22">
        <v>0</v>
      </c>
      <c r="L2165" s="22" t="str">
        <f t="shared" si="33"/>
        <v>46082, 7, 13</v>
      </c>
    </row>
    <row r="2166" spans="1:12">
      <c r="A2166" s="9">
        <v>46082</v>
      </c>
      <c r="B2166">
        <v>7</v>
      </c>
      <c r="C2166" s="16" t="s">
        <v>62</v>
      </c>
      <c r="D2166">
        <v>14</v>
      </c>
      <c r="E2166" s="16" t="s">
        <v>51</v>
      </c>
      <c r="F2166" s="18">
        <v>2352</v>
      </c>
      <c r="G2166" s="22">
        <v>96</v>
      </c>
      <c r="H2166" s="18">
        <v>3.8760123220384601</v>
      </c>
      <c r="I2166" s="18">
        <v>372.09718291569197</v>
      </c>
      <c r="J2166" s="18">
        <v>1979.9028170843001</v>
      </c>
      <c r="K2166" s="22">
        <v>0</v>
      </c>
      <c r="L2166" s="22" t="str">
        <f t="shared" si="33"/>
        <v>46082, 7, 14</v>
      </c>
    </row>
    <row r="2167" spans="1:12">
      <c r="A2167" s="9">
        <v>46082</v>
      </c>
      <c r="B2167">
        <v>7</v>
      </c>
      <c r="C2167" s="16" t="s">
        <v>62</v>
      </c>
      <c r="D2167">
        <v>15</v>
      </c>
      <c r="E2167" s="16" t="s">
        <v>52</v>
      </c>
      <c r="F2167" s="18">
        <v>3318</v>
      </c>
      <c r="G2167" s="22">
        <v>158</v>
      </c>
      <c r="H2167" s="18">
        <v>2.46700441176923</v>
      </c>
      <c r="I2167" s="18">
        <v>389.78669705953803</v>
      </c>
      <c r="J2167" s="18">
        <v>2928.2133029404599</v>
      </c>
      <c r="K2167" s="22">
        <v>0</v>
      </c>
      <c r="L2167" s="22" t="str">
        <f t="shared" si="33"/>
        <v>46082, 7, 15</v>
      </c>
    </row>
    <row r="2168" spans="1:12">
      <c r="A2168" s="9">
        <v>46082</v>
      </c>
      <c r="B2168">
        <v>7</v>
      </c>
      <c r="C2168" s="16" t="s">
        <v>62</v>
      </c>
      <c r="D2168">
        <v>16</v>
      </c>
      <c r="E2168" s="16" t="s">
        <v>53</v>
      </c>
      <c r="F2168" s="18">
        <v>697.5</v>
      </c>
      <c r="G2168" s="22">
        <v>93</v>
      </c>
      <c r="H2168" s="18">
        <v>1.4076431125</v>
      </c>
      <c r="I2168" s="18">
        <v>130.9108094625</v>
      </c>
      <c r="J2168" s="18">
        <v>566.58919053750003</v>
      </c>
      <c r="K2168" s="22">
        <v>0</v>
      </c>
      <c r="L2168" s="22" t="str">
        <f t="shared" si="33"/>
        <v>46082, 7, 16</v>
      </c>
    </row>
    <row r="2169" spans="1:12">
      <c r="A2169" s="9">
        <v>46082</v>
      </c>
      <c r="B2169">
        <v>7</v>
      </c>
      <c r="C2169" s="16" t="s">
        <v>62</v>
      </c>
      <c r="D2169">
        <v>17</v>
      </c>
      <c r="E2169" s="16" t="s">
        <v>54</v>
      </c>
      <c r="F2169" s="18">
        <v>602</v>
      </c>
      <c r="G2169" s="22">
        <v>86</v>
      </c>
      <c r="H2169" s="18">
        <v>1.37449505375</v>
      </c>
      <c r="I2169" s="18">
        <v>118.2065746225</v>
      </c>
      <c r="J2169" s="18">
        <v>483.7934253775</v>
      </c>
      <c r="K2169" s="22">
        <v>0</v>
      </c>
      <c r="L2169" s="22" t="str">
        <f t="shared" si="33"/>
        <v>46082, 7, 17</v>
      </c>
    </row>
    <row r="2170" spans="1:12">
      <c r="A2170" s="9">
        <v>46082</v>
      </c>
      <c r="B2170">
        <v>7</v>
      </c>
      <c r="C2170" s="16" t="s">
        <v>62</v>
      </c>
      <c r="D2170">
        <v>18</v>
      </c>
      <c r="E2170" s="16" t="s">
        <v>55</v>
      </c>
      <c r="F2170" s="18">
        <v>656</v>
      </c>
      <c r="G2170" s="22">
        <v>32</v>
      </c>
      <c r="H2170" s="18">
        <v>5.9283928791363598</v>
      </c>
      <c r="I2170" s="18">
        <v>189.708572132363</v>
      </c>
      <c r="J2170" s="18">
        <v>466.291427867636</v>
      </c>
      <c r="K2170" s="22">
        <v>0</v>
      </c>
      <c r="L2170" s="22" t="str">
        <f t="shared" si="33"/>
        <v>46082, 7, 18</v>
      </c>
    </row>
    <row r="2171" spans="1:12">
      <c r="A2171" s="9">
        <v>46113</v>
      </c>
      <c r="B2171">
        <v>7</v>
      </c>
      <c r="C2171" s="16" t="s">
        <v>62</v>
      </c>
      <c r="D2171">
        <v>1</v>
      </c>
      <c r="E2171" s="16" t="s">
        <v>38</v>
      </c>
      <c r="F2171" s="18">
        <v>2641</v>
      </c>
      <c r="G2171" s="22">
        <v>139</v>
      </c>
      <c r="H2171" s="18">
        <v>3.7089910769230698</v>
      </c>
      <c r="I2171" s="18">
        <v>515.54975969230702</v>
      </c>
      <c r="J2171" s="18">
        <v>2125.4502403076899</v>
      </c>
      <c r="K2171" s="22">
        <v>0</v>
      </c>
      <c r="L2171" s="22" t="str">
        <f t="shared" si="33"/>
        <v>46113, 7, 1</v>
      </c>
    </row>
    <row r="2172" spans="1:12">
      <c r="A2172" s="9">
        <v>46113</v>
      </c>
      <c r="B2172">
        <v>7</v>
      </c>
      <c r="C2172" s="16" t="s">
        <v>62</v>
      </c>
      <c r="D2172">
        <v>2</v>
      </c>
      <c r="E2172" s="16" t="s">
        <v>40</v>
      </c>
      <c r="F2172" s="18">
        <v>3192</v>
      </c>
      <c r="G2172" s="22">
        <v>152</v>
      </c>
      <c r="H2172" s="18">
        <v>6.6220610128235204</v>
      </c>
      <c r="I2172" s="18">
        <v>1006.55327394917</v>
      </c>
      <c r="J2172" s="18">
        <v>2185.44672605082</v>
      </c>
      <c r="K2172" s="22">
        <v>0</v>
      </c>
      <c r="L2172" s="22" t="str">
        <f t="shared" si="33"/>
        <v>46113, 7, 2</v>
      </c>
    </row>
    <row r="2173" spans="1:12">
      <c r="A2173" s="9">
        <v>46113</v>
      </c>
      <c r="B2173">
        <v>7</v>
      </c>
      <c r="C2173" s="16" t="s">
        <v>62</v>
      </c>
      <c r="D2173">
        <v>3</v>
      </c>
      <c r="E2173" s="16" t="s">
        <v>41</v>
      </c>
      <c r="F2173" s="18">
        <v>1320</v>
      </c>
      <c r="G2173" s="22">
        <v>60</v>
      </c>
      <c r="H2173" s="18">
        <v>3.4015074478823499</v>
      </c>
      <c r="I2173" s="18">
        <v>204.09044687294099</v>
      </c>
      <c r="J2173" s="18">
        <v>1115.90955312705</v>
      </c>
      <c r="K2173" s="22">
        <v>0</v>
      </c>
      <c r="L2173" s="22" t="str">
        <f t="shared" si="33"/>
        <v>46113, 7, 3</v>
      </c>
    </row>
    <row r="2174" spans="1:12">
      <c r="A2174" s="9">
        <v>46113</v>
      </c>
      <c r="B2174">
        <v>7</v>
      </c>
      <c r="C2174" s="16" t="s">
        <v>62</v>
      </c>
      <c r="D2174">
        <v>4</v>
      </c>
      <c r="E2174" s="16" t="s">
        <v>42</v>
      </c>
      <c r="F2174" s="18">
        <v>1890</v>
      </c>
      <c r="G2174" s="22">
        <v>105</v>
      </c>
      <c r="H2174" s="18">
        <v>7.1517152462352902</v>
      </c>
      <c r="I2174" s="18">
        <v>750.93010085470496</v>
      </c>
      <c r="J2174" s="18">
        <v>1139.06989914529</v>
      </c>
      <c r="K2174" s="22">
        <v>0</v>
      </c>
      <c r="L2174" s="22" t="str">
        <f t="shared" si="33"/>
        <v>46113, 7, 4</v>
      </c>
    </row>
    <row r="2175" spans="1:12">
      <c r="A2175" s="9">
        <v>46113</v>
      </c>
      <c r="B2175">
        <v>7</v>
      </c>
      <c r="C2175" s="16" t="s">
        <v>62</v>
      </c>
      <c r="D2175">
        <v>5</v>
      </c>
      <c r="E2175" s="16" t="s">
        <v>43</v>
      </c>
      <c r="F2175" s="18">
        <v>962</v>
      </c>
      <c r="G2175" s="22">
        <v>52</v>
      </c>
      <c r="H2175" s="18">
        <v>6.4908823529411697</v>
      </c>
      <c r="I2175" s="18">
        <v>337.52588235294098</v>
      </c>
      <c r="J2175" s="18">
        <v>624.47411764705805</v>
      </c>
      <c r="K2175" s="22">
        <v>0</v>
      </c>
      <c r="L2175" s="22" t="str">
        <f t="shared" si="33"/>
        <v>46113, 7, 5</v>
      </c>
    </row>
    <row r="2176" spans="1:12">
      <c r="A2176" s="9">
        <v>46113</v>
      </c>
      <c r="B2176">
        <v>7</v>
      </c>
      <c r="C2176" s="16" t="s">
        <v>62</v>
      </c>
      <c r="D2176">
        <v>6</v>
      </c>
      <c r="E2176" s="16" t="s">
        <v>44</v>
      </c>
      <c r="F2176" s="18">
        <v>1930.5</v>
      </c>
      <c r="G2176" s="22">
        <v>99</v>
      </c>
      <c r="H2176" s="18">
        <v>4.4866400716363604</v>
      </c>
      <c r="I2176" s="18">
        <v>444.177367092</v>
      </c>
      <c r="J2176" s="18">
        <v>1486.3226329079901</v>
      </c>
      <c r="K2176" s="22">
        <v>0</v>
      </c>
      <c r="L2176" s="22" t="str">
        <f t="shared" si="33"/>
        <v>46113, 7, 6</v>
      </c>
    </row>
    <row r="2177" spans="1:12">
      <c r="A2177" s="9">
        <v>46113</v>
      </c>
      <c r="B2177">
        <v>7</v>
      </c>
      <c r="C2177" s="16" t="s">
        <v>62</v>
      </c>
      <c r="D2177">
        <v>7</v>
      </c>
      <c r="E2177" s="16" t="s">
        <v>45</v>
      </c>
      <c r="F2177" s="18">
        <v>1152</v>
      </c>
      <c r="G2177" s="22">
        <v>128</v>
      </c>
      <c r="H2177" s="18">
        <v>2.8154278458333302</v>
      </c>
      <c r="I2177" s="18">
        <v>360.37476426666598</v>
      </c>
      <c r="J2177" s="18">
        <v>791.62523573333306</v>
      </c>
      <c r="K2177" s="22">
        <v>0</v>
      </c>
      <c r="L2177" s="22" t="str">
        <f t="shared" si="33"/>
        <v>46113, 7, 7</v>
      </c>
    </row>
    <row r="2178" spans="1:12">
      <c r="A2178" s="9">
        <v>46113</v>
      </c>
      <c r="B2178">
        <v>7</v>
      </c>
      <c r="C2178" s="16" t="s">
        <v>62</v>
      </c>
      <c r="D2178">
        <v>8</v>
      </c>
      <c r="E2178" s="16" t="s">
        <v>46</v>
      </c>
      <c r="F2178" s="18">
        <v>891</v>
      </c>
      <c r="G2178" s="22">
        <v>81</v>
      </c>
      <c r="H2178" s="18">
        <v>0.70552110727272699</v>
      </c>
      <c r="I2178" s="18">
        <v>57.1472096890909</v>
      </c>
      <c r="J2178" s="18">
        <v>833.85279031090897</v>
      </c>
      <c r="K2178" s="22">
        <v>0</v>
      </c>
      <c r="L2178" s="22" t="str">
        <f t="shared" si="33"/>
        <v>46113, 7, 8</v>
      </c>
    </row>
    <row r="2179" spans="1:12">
      <c r="A2179" s="9">
        <v>46113</v>
      </c>
      <c r="B2179">
        <v>7</v>
      </c>
      <c r="C2179" s="16" t="s">
        <v>62</v>
      </c>
      <c r="D2179">
        <v>9</v>
      </c>
      <c r="E2179" s="16" t="s">
        <v>47</v>
      </c>
      <c r="F2179" s="18">
        <v>1376</v>
      </c>
      <c r="G2179" s="22">
        <v>32</v>
      </c>
      <c r="H2179" s="18">
        <v>15.6456571968275</v>
      </c>
      <c r="I2179" s="18">
        <v>500.66103029848</v>
      </c>
      <c r="J2179" s="18">
        <v>875.33896970152</v>
      </c>
      <c r="K2179" s="22">
        <v>0</v>
      </c>
      <c r="L2179" s="22" t="str">
        <f t="shared" ref="L2179:L2242" si="34">(A2179&amp; ", "&amp; B2179&amp; ", "&amp; D2179)</f>
        <v>46113, 7, 9</v>
      </c>
    </row>
    <row r="2180" spans="1:12">
      <c r="A2180" s="9">
        <v>46113</v>
      </c>
      <c r="B2180">
        <v>7</v>
      </c>
      <c r="C2180" s="16" t="s">
        <v>62</v>
      </c>
      <c r="D2180">
        <v>10</v>
      </c>
      <c r="E2180" s="16" t="s">
        <v>57</v>
      </c>
      <c r="F2180" s="18">
        <v>672</v>
      </c>
      <c r="G2180" s="22">
        <v>56</v>
      </c>
      <c r="H2180" s="18">
        <v>2.1523600278999999</v>
      </c>
      <c r="I2180" s="18">
        <v>120.53216156240001</v>
      </c>
      <c r="J2180" s="18">
        <v>551.46783843759999</v>
      </c>
      <c r="K2180" s="22">
        <v>0</v>
      </c>
      <c r="L2180" s="22" t="str">
        <f t="shared" si="34"/>
        <v>46113, 7, 10</v>
      </c>
    </row>
    <row r="2181" spans="1:12">
      <c r="A2181" s="9">
        <v>46113</v>
      </c>
      <c r="B2181">
        <v>7</v>
      </c>
      <c r="C2181" s="16" t="s">
        <v>62</v>
      </c>
      <c r="D2181">
        <v>11</v>
      </c>
      <c r="E2181" s="16" t="s">
        <v>48</v>
      </c>
      <c r="F2181" s="18">
        <v>1998</v>
      </c>
      <c r="G2181" s="22">
        <v>108</v>
      </c>
      <c r="H2181" s="18">
        <v>2.0139401499999998</v>
      </c>
      <c r="I2181" s="18">
        <v>217.50553619999999</v>
      </c>
      <c r="J2181" s="18">
        <v>1780.4944637999999</v>
      </c>
      <c r="K2181" s="22">
        <v>0</v>
      </c>
      <c r="L2181" s="22" t="str">
        <f t="shared" si="34"/>
        <v>46113, 7, 11</v>
      </c>
    </row>
    <row r="2182" spans="1:12">
      <c r="A2182" s="9">
        <v>46113</v>
      </c>
      <c r="B2182">
        <v>7</v>
      </c>
      <c r="C2182" s="16" t="s">
        <v>62</v>
      </c>
      <c r="D2182">
        <v>12</v>
      </c>
      <c r="E2182" s="16" t="s">
        <v>49</v>
      </c>
      <c r="F2182" s="18">
        <v>1292</v>
      </c>
      <c r="G2182" s="22">
        <v>68</v>
      </c>
      <c r="H2182" s="18">
        <v>2.6217214735294099</v>
      </c>
      <c r="I2182" s="18">
        <v>178.277060199999</v>
      </c>
      <c r="J2182" s="18">
        <v>1113.7229397999999</v>
      </c>
      <c r="K2182" s="22">
        <v>0</v>
      </c>
      <c r="L2182" s="22" t="str">
        <f t="shared" si="34"/>
        <v>46113, 7, 12</v>
      </c>
    </row>
    <row r="2183" spans="1:12">
      <c r="A2183" s="9">
        <v>46113</v>
      </c>
      <c r="B2183">
        <v>7</v>
      </c>
      <c r="C2183" s="16" t="s">
        <v>62</v>
      </c>
      <c r="D2183">
        <v>13</v>
      </c>
      <c r="E2183" s="16" t="s">
        <v>50</v>
      </c>
      <c r="F2183" s="18">
        <v>2418</v>
      </c>
      <c r="G2183" s="22">
        <v>124</v>
      </c>
      <c r="H2183" s="18">
        <v>6.7090466666666604</v>
      </c>
      <c r="I2183" s="18">
        <v>831.92178666666598</v>
      </c>
      <c r="J2183" s="18">
        <v>1586.07821333333</v>
      </c>
      <c r="K2183" s="22">
        <v>0</v>
      </c>
      <c r="L2183" s="22" t="str">
        <f t="shared" si="34"/>
        <v>46113, 7, 13</v>
      </c>
    </row>
    <row r="2184" spans="1:12">
      <c r="A2184" s="9">
        <v>46113</v>
      </c>
      <c r="B2184">
        <v>7</v>
      </c>
      <c r="C2184" s="16" t="s">
        <v>62</v>
      </c>
      <c r="D2184">
        <v>14</v>
      </c>
      <c r="E2184" s="16" t="s">
        <v>51</v>
      </c>
      <c r="F2184" s="18">
        <v>1788.5</v>
      </c>
      <c r="G2184" s="22">
        <v>73</v>
      </c>
      <c r="H2184" s="18">
        <v>3.8819353093589699</v>
      </c>
      <c r="I2184" s="18">
        <v>283.38127758320502</v>
      </c>
      <c r="J2184" s="18">
        <v>1505.11872241679</v>
      </c>
      <c r="K2184" s="22">
        <v>0</v>
      </c>
      <c r="L2184" s="22" t="str">
        <f t="shared" si="34"/>
        <v>46113, 7, 14</v>
      </c>
    </row>
    <row r="2185" spans="1:12">
      <c r="A2185" s="9">
        <v>46113</v>
      </c>
      <c r="B2185">
        <v>7</v>
      </c>
      <c r="C2185" s="16" t="s">
        <v>62</v>
      </c>
      <c r="D2185">
        <v>15</v>
      </c>
      <c r="E2185" s="16" t="s">
        <v>52</v>
      </c>
      <c r="F2185" s="18">
        <v>2646</v>
      </c>
      <c r="G2185" s="22">
        <v>126</v>
      </c>
      <c r="H2185" s="18">
        <v>2.46106850338461</v>
      </c>
      <c r="I2185" s="18">
        <v>310.09463142646098</v>
      </c>
      <c r="J2185" s="18">
        <v>2335.9053685735298</v>
      </c>
      <c r="K2185" s="22">
        <v>0</v>
      </c>
      <c r="L2185" s="22" t="str">
        <f t="shared" si="34"/>
        <v>46113, 7, 15</v>
      </c>
    </row>
    <row r="2186" spans="1:12">
      <c r="A2186" s="9">
        <v>46113</v>
      </c>
      <c r="B2186">
        <v>7</v>
      </c>
      <c r="C2186" s="16" t="s">
        <v>62</v>
      </c>
      <c r="D2186">
        <v>16</v>
      </c>
      <c r="E2186" s="16" t="s">
        <v>53</v>
      </c>
      <c r="F2186" s="18">
        <v>697.5</v>
      </c>
      <c r="G2186" s="22">
        <v>93</v>
      </c>
      <c r="H2186" s="18">
        <v>1.4231353509615301</v>
      </c>
      <c r="I2186" s="18">
        <v>132.351587639423</v>
      </c>
      <c r="J2186" s="18">
        <v>565.148412360576</v>
      </c>
      <c r="K2186" s="22">
        <v>0</v>
      </c>
      <c r="L2186" s="22" t="str">
        <f t="shared" si="34"/>
        <v>46113, 7, 16</v>
      </c>
    </row>
    <row r="2187" spans="1:12">
      <c r="A2187" s="9">
        <v>46113</v>
      </c>
      <c r="B2187">
        <v>7</v>
      </c>
      <c r="C2187" s="16" t="s">
        <v>62</v>
      </c>
      <c r="D2187">
        <v>17</v>
      </c>
      <c r="E2187" s="16" t="s">
        <v>54</v>
      </c>
      <c r="F2187" s="18">
        <v>567</v>
      </c>
      <c r="G2187" s="22">
        <v>81</v>
      </c>
      <c r="H2187" s="18">
        <v>1.3856916863636299</v>
      </c>
      <c r="I2187" s="18">
        <v>112.241026595454</v>
      </c>
      <c r="J2187" s="18">
        <v>454.75897340454497</v>
      </c>
      <c r="K2187" s="22">
        <v>0</v>
      </c>
      <c r="L2187" s="22" t="str">
        <f t="shared" si="34"/>
        <v>46113, 7, 17</v>
      </c>
    </row>
    <row r="2188" spans="1:12">
      <c r="A2188" s="9">
        <v>46113</v>
      </c>
      <c r="B2188">
        <v>7</v>
      </c>
      <c r="C2188" s="16" t="s">
        <v>62</v>
      </c>
      <c r="D2188">
        <v>18</v>
      </c>
      <c r="E2188" s="16" t="s">
        <v>55</v>
      </c>
      <c r="F2188" s="18">
        <v>758.5</v>
      </c>
      <c r="G2188" s="22">
        <v>37</v>
      </c>
      <c r="H2188" s="18">
        <v>5.9455785786363604</v>
      </c>
      <c r="I2188" s="18">
        <v>219.986407409545</v>
      </c>
      <c r="J2188" s="18">
        <v>538.51359259045398</v>
      </c>
      <c r="K2188" s="22">
        <v>0</v>
      </c>
      <c r="L2188" s="22" t="str">
        <f t="shared" si="34"/>
        <v>46113, 7, 18</v>
      </c>
    </row>
    <row r="2189" spans="1:12">
      <c r="A2189" s="9">
        <v>46143</v>
      </c>
      <c r="B2189">
        <v>7</v>
      </c>
      <c r="C2189" s="16" t="s">
        <v>62</v>
      </c>
      <c r="D2189">
        <v>1</v>
      </c>
      <c r="E2189" s="16" t="s">
        <v>38</v>
      </c>
      <c r="F2189" s="18">
        <v>3515</v>
      </c>
      <c r="G2189" s="22">
        <v>185</v>
      </c>
      <c r="H2189" s="18">
        <v>3.7295691041666599</v>
      </c>
      <c r="I2189" s="18">
        <v>689.97028427083296</v>
      </c>
      <c r="J2189" s="18">
        <v>2825.0297157291602</v>
      </c>
      <c r="K2189" s="22">
        <v>0</v>
      </c>
      <c r="L2189" s="22" t="str">
        <f t="shared" si="34"/>
        <v>46143, 7, 1</v>
      </c>
    </row>
    <row r="2190" spans="1:12">
      <c r="A2190" s="9">
        <v>46143</v>
      </c>
      <c r="B2190">
        <v>7</v>
      </c>
      <c r="C2190" s="16" t="s">
        <v>62</v>
      </c>
      <c r="D2190">
        <v>2</v>
      </c>
      <c r="E2190" s="16" t="s">
        <v>40</v>
      </c>
      <c r="F2190" s="18">
        <v>3990</v>
      </c>
      <c r="G2190" s="22">
        <v>190</v>
      </c>
      <c r="H2190" s="18">
        <v>6.5952849043529396</v>
      </c>
      <c r="I2190" s="18">
        <v>1253.10413182705</v>
      </c>
      <c r="J2190" s="18">
        <v>2736.89586817294</v>
      </c>
      <c r="K2190" s="22">
        <v>0</v>
      </c>
      <c r="L2190" s="22" t="str">
        <f t="shared" si="34"/>
        <v>46143, 7, 2</v>
      </c>
    </row>
    <row r="2191" spans="1:12">
      <c r="A2191" s="9">
        <v>46143</v>
      </c>
      <c r="B2191">
        <v>7</v>
      </c>
      <c r="C2191" s="16" t="s">
        <v>62</v>
      </c>
      <c r="D2191">
        <v>3</v>
      </c>
      <c r="E2191" s="16" t="s">
        <v>41</v>
      </c>
      <c r="F2191" s="18">
        <v>1628</v>
      </c>
      <c r="G2191" s="22">
        <v>74</v>
      </c>
      <c r="H2191" s="18">
        <v>3.39501690764705</v>
      </c>
      <c r="I2191" s="18">
        <v>251.23125116588199</v>
      </c>
      <c r="J2191" s="18">
        <v>1376.7687488341101</v>
      </c>
      <c r="K2191" s="22">
        <v>0</v>
      </c>
      <c r="L2191" s="22" t="str">
        <f t="shared" si="34"/>
        <v>46143, 7, 3</v>
      </c>
    </row>
    <row r="2192" spans="1:12">
      <c r="A2192" s="9">
        <v>46143</v>
      </c>
      <c r="B2192">
        <v>7</v>
      </c>
      <c r="C2192" s="16" t="s">
        <v>62</v>
      </c>
      <c r="D2192">
        <v>4</v>
      </c>
      <c r="E2192" s="16" t="s">
        <v>42</v>
      </c>
      <c r="F2192" s="18">
        <v>2466</v>
      </c>
      <c r="G2192" s="22">
        <v>137</v>
      </c>
      <c r="H2192" s="18">
        <v>6.9597287787058804</v>
      </c>
      <c r="I2192" s="18">
        <v>953.48284268270504</v>
      </c>
      <c r="J2192" s="18">
        <v>1512.51715731729</v>
      </c>
      <c r="K2192" s="22">
        <v>0</v>
      </c>
      <c r="L2192" s="22" t="str">
        <f t="shared" si="34"/>
        <v>46143, 7, 4</v>
      </c>
    </row>
    <row r="2193" spans="1:12">
      <c r="A2193" s="9">
        <v>46143</v>
      </c>
      <c r="B2193">
        <v>7</v>
      </c>
      <c r="C2193" s="16" t="s">
        <v>62</v>
      </c>
      <c r="D2193">
        <v>5</v>
      </c>
      <c r="E2193" s="16" t="s">
        <v>43</v>
      </c>
      <c r="F2193" s="18">
        <v>1017.5</v>
      </c>
      <c r="G2193" s="22">
        <v>55</v>
      </c>
      <c r="H2193" s="18">
        <v>6.2670833333333302</v>
      </c>
      <c r="I2193" s="18">
        <v>344.68958333333302</v>
      </c>
      <c r="J2193" s="18">
        <v>672.81041666666601</v>
      </c>
      <c r="K2193" s="22">
        <v>0</v>
      </c>
      <c r="L2193" s="22" t="str">
        <f t="shared" si="34"/>
        <v>46143, 7, 5</v>
      </c>
    </row>
    <row r="2194" spans="1:12">
      <c r="A2194" s="9">
        <v>46143</v>
      </c>
      <c r="B2194">
        <v>7</v>
      </c>
      <c r="C2194" s="16" t="s">
        <v>62</v>
      </c>
      <c r="D2194">
        <v>6</v>
      </c>
      <c r="E2194" s="16" t="s">
        <v>44</v>
      </c>
      <c r="F2194" s="18">
        <v>1716</v>
      </c>
      <c r="G2194" s="22">
        <v>88</v>
      </c>
      <c r="H2194" s="18">
        <v>4.5118561259999996</v>
      </c>
      <c r="I2194" s="18">
        <v>397.04333908799998</v>
      </c>
      <c r="J2194" s="18">
        <v>1318.956660912</v>
      </c>
      <c r="K2194" s="22">
        <v>0</v>
      </c>
      <c r="L2194" s="22" t="str">
        <f t="shared" si="34"/>
        <v>46143, 7, 6</v>
      </c>
    </row>
    <row r="2195" spans="1:12">
      <c r="A2195" s="9">
        <v>46143</v>
      </c>
      <c r="B2195">
        <v>7</v>
      </c>
      <c r="C2195" s="16" t="s">
        <v>62</v>
      </c>
      <c r="D2195">
        <v>7</v>
      </c>
      <c r="E2195" s="16" t="s">
        <v>45</v>
      </c>
      <c r="F2195" s="18">
        <v>1179</v>
      </c>
      <c r="G2195" s="22">
        <v>131</v>
      </c>
      <c r="H2195" s="18">
        <v>2.803200935</v>
      </c>
      <c r="I2195" s="18">
        <v>367.21932248500002</v>
      </c>
      <c r="J2195" s="18">
        <v>811.78067751499998</v>
      </c>
      <c r="K2195" s="22">
        <v>0</v>
      </c>
      <c r="L2195" s="22" t="str">
        <f t="shared" si="34"/>
        <v>46143, 7, 7</v>
      </c>
    </row>
    <row r="2196" spans="1:12">
      <c r="A2196" s="9">
        <v>46143</v>
      </c>
      <c r="B2196">
        <v>7</v>
      </c>
      <c r="C2196" s="16" t="s">
        <v>62</v>
      </c>
      <c r="D2196">
        <v>8</v>
      </c>
      <c r="E2196" s="16" t="s">
        <v>46</v>
      </c>
      <c r="F2196" s="18">
        <v>660</v>
      </c>
      <c r="G2196" s="22">
        <v>60</v>
      </c>
      <c r="H2196" s="18">
        <v>0.69081674999999998</v>
      </c>
      <c r="I2196" s="18">
        <v>41.449005</v>
      </c>
      <c r="J2196" s="18">
        <v>618.55099499999903</v>
      </c>
      <c r="K2196" s="22">
        <v>0</v>
      </c>
      <c r="L2196" s="22" t="str">
        <f t="shared" si="34"/>
        <v>46143, 7, 8</v>
      </c>
    </row>
    <row r="2197" spans="1:12">
      <c r="A2197" s="9">
        <v>46143</v>
      </c>
      <c r="B2197">
        <v>7</v>
      </c>
      <c r="C2197" s="16" t="s">
        <v>62</v>
      </c>
      <c r="D2197">
        <v>9</v>
      </c>
      <c r="E2197" s="16" t="s">
        <v>47</v>
      </c>
      <c r="F2197" s="18">
        <v>1806</v>
      </c>
      <c r="G2197" s="22">
        <v>42</v>
      </c>
      <c r="H2197" s="18">
        <v>15.7654783365134</v>
      </c>
      <c r="I2197" s="18">
        <v>662.15009013356496</v>
      </c>
      <c r="J2197" s="18">
        <v>1143.8499098664299</v>
      </c>
      <c r="K2197" s="22">
        <v>0</v>
      </c>
      <c r="L2197" s="22" t="str">
        <f t="shared" si="34"/>
        <v>46143, 7, 9</v>
      </c>
    </row>
    <row r="2198" spans="1:12">
      <c r="A2198" s="9">
        <v>46143</v>
      </c>
      <c r="B2198">
        <v>7</v>
      </c>
      <c r="C2198" s="16" t="s">
        <v>62</v>
      </c>
      <c r="D2198">
        <v>10</v>
      </c>
      <c r="E2198" s="16" t="s">
        <v>57</v>
      </c>
      <c r="F2198" s="18">
        <v>756</v>
      </c>
      <c r="G2198" s="22">
        <v>63</v>
      </c>
      <c r="H2198" s="18">
        <v>2.0144627988099999</v>
      </c>
      <c r="I2198" s="18">
        <v>126.91115632503001</v>
      </c>
      <c r="J2198" s="18">
        <v>629.08884367497001</v>
      </c>
      <c r="K2198" s="22">
        <v>0</v>
      </c>
      <c r="L2198" s="22" t="str">
        <f t="shared" si="34"/>
        <v>46143, 7, 10</v>
      </c>
    </row>
    <row r="2199" spans="1:12">
      <c r="A2199" s="9">
        <v>46143</v>
      </c>
      <c r="B2199">
        <v>7</v>
      </c>
      <c r="C2199" s="16" t="s">
        <v>62</v>
      </c>
      <c r="D2199">
        <v>11</v>
      </c>
      <c r="E2199" s="16" t="s">
        <v>48</v>
      </c>
      <c r="F2199" s="18">
        <v>2442</v>
      </c>
      <c r="G2199" s="22">
        <v>132</v>
      </c>
      <c r="H2199" s="18">
        <v>2.0153919843749999</v>
      </c>
      <c r="I2199" s="18">
        <v>266.03174193749999</v>
      </c>
      <c r="J2199" s="18">
        <v>2175.9682580624999</v>
      </c>
      <c r="K2199" s="22">
        <v>0</v>
      </c>
      <c r="L2199" s="22" t="str">
        <f t="shared" si="34"/>
        <v>46143, 7, 11</v>
      </c>
    </row>
    <row r="2200" spans="1:12">
      <c r="A2200" s="9">
        <v>46143</v>
      </c>
      <c r="B2200">
        <v>7</v>
      </c>
      <c r="C2200" s="16" t="s">
        <v>62</v>
      </c>
      <c r="D2200">
        <v>12</v>
      </c>
      <c r="E2200" s="16" t="s">
        <v>49</v>
      </c>
      <c r="F2200" s="18">
        <v>1368</v>
      </c>
      <c r="G2200" s="22">
        <v>72</v>
      </c>
      <c r="H2200" s="18">
        <v>2.6193285317058801</v>
      </c>
      <c r="I2200" s="18">
        <v>188.59165428282299</v>
      </c>
      <c r="J2200" s="18">
        <v>1179.4083457171701</v>
      </c>
      <c r="K2200" s="22">
        <v>0</v>
      </c>
      <c r="L2200" s="22" t="str">
        <f t="shared" si="34"/>
        <v>46143, 7, 12</v>
      </c>
    </row>
    <row r="2201" spans="1:12">
      <c r="A2201" s="9">
        <v>46143</v>
      </c>
      <c r="B2201">
        <v>7</v>
      </c>
      <c r="C2201" s="16" t="s">
        <v>62</v>
      </c>
      <c r="D2201">
        <v>13</v>
      </c>
      <c r="E2201" s="16" t="s">
        <v>50</v>
      </c>
      <c r="F2201" s="18">
        <v>2418</v>
      </c>
      <c r="G2201" s="22">
        <v>124</v>
      </c>
      <c r="H2201" s="18">
        <v>6.7119852</v>
      </c>
      <c r="I2201" s="18">
        <v>832.28616480000005</v>
      </c>
      <c r="J2201" s="18">
        <v>1585.7138351999999</v>
      </c>
      <c r="K2201" s="22">
        <v>0</v>
      </c>
      <c r="L2201" s="22" t="str">
        <f t="shared" si="34"/>
        <v>46143, 7, 13</v>
      </c>
    </row>
    <row r="2202" spans="1:12">
      <c r="A2202" s="9">
        <v>46143</v>
      </c>
      <c r="B2202">
        <v>7</v>
      </c>
      <c r="C2202" s="16" t="s">
        <v>62</v>
      </c>
      <c r="D2202">
        <v>14</v>
      </c>
      <c r="E2202" s="16" t="s">
        <v>51</v>
      </c>
      <c r="F2202" s="18">
        <v>1592.5</v>
      </c>
      <c r="G2202" s="22">
        <v>65</v>
      </c>
      <c r="H2202" s="18">
        <v>3.8806352762179399</v>
      </c>
      <c r="I2202" s="18">
        <v>252.241292954166</v>
      </c>
      <c r="J2202" s="18">
        <v>1340.2587070458301</v>
      </c>
      <c r="K2202" s="22">
        <v>0</v>
      </c>
      <c r="L2202" s="22" t="str">
        <f t="shared" si="34"/>
        <v>46143, 7, 14</v>
      </c>
    </row>
    <row r="2203" spans="1:12">
      <c r="A2203" s="9">
        <v>46143</v>
      </c>
      <c r="B2203">
        <v>7</v>
      </c>
      <c r="C2203" s="16" t="s">
        <v>62</v>
      </c>
      <c r="D2203">
        <v>15</v>
      </c>
      <c r="E2203" s="16" t="s">
        <v>52</v>
      </c>
      <c r="F2203" s="18">
        <v>3738</v>
      </c>
      <c r="G2203" s="22">
        <v>178</v>
      </c>
      <c r="H2203" s="18">
        <v>2.44073279138461</v>
      </c>
      <c r="I2203" s="18">
        <v>434.45043686646102</v>
      </c>
      <c r="J2203" s="18">
        <v>3303.5495631335298</v>
      </c>
      <c r="K2203" s="22">
        <v>0</v>
      </c>
      <c r="L2203" s="22" t="str">
        <f t="shared" si="34"/>
        <v>46143, 7, 15</v>
      </c>
    </row>
    <row r="2204" spans="1:12">
      <c r="A2204" s="9">
        <v>46143</v>
      </c>
      <c r="B2204">
        <v>7</v>
      </c>
      <c r="C2204" s="16" t="s">
        <v>62</v>
      </c>
      <c r="D2204">
        <v>16</v>
      </c>
      <c r="E2204" s="16" t="s">
        <v>53</v>
      </c>
      <c r="F2204" s="18">
        <v>495</v>
      </c>
      <c r="G2204" s="22">
        <v>66</v>
      </c>
      <c r="H2204" s="18">
        <v>1.4281601504166599</v>
      </c>
      <c r="I2204" s="18">
        <v>94.258569927500005</v>
      </c>
      <c r="J2204" s="18">
        <v>400.74143007249899</v>
      </c>
      <c r="K2204" s="22">
        <v>0</v>
      </c>
      <c r="L2204" s="22" t="str">
        <f t="shared" si="34"/>
        <v>46143, 7, 16</v>
      </c>
    </row>
    <row r="2205" spans="1:12">
      <c r="A2205" s="9">
        <v>46143</v>
      </c>
      <c r="B2205">
        <v>7</v>
      </c>
      <c r="C2205" s="16" t="s">
        <v>62</v>
      </c>
      <c r="D2205">
        <v>17</v>
      </c>
      <c r="E2205" s="16" t="s">
        <v>54</v>
      </c>
      <c r="F2205" s="18">
        <v>875</v>
      </c>
      <c r="G2205" s="22">
        <v>125</v>
      </c>
      <c r="H2205" s="18">
        <v>1.3850169045</v>
      </c>
      <c r="I2205" s="18">
        <v>173.1271130625</v>
      </c>
      <c r="J2205" s="18">
        <v>701.87288693749997</v>
      </c>
      <c r="K2205" s="22">
        <v>0</v>
      </c>
      <c r="L2205" s="22" t="str">
        <f t="shared" si="34"/>
        <v>46143, 7, 17</v>
      </c>
    </row>
    <row r="2206" spans="1:12">
      <c r="A2206" s="9">
        <v>46143</v>
      </c>
      <c r="B2206">
        <v>7</v>
      </c>
      <c r="C2206" s="16" t="s">
        <v>62</v>
      </c>
      <c r="D2206">
        <v>18</v>
      </c>
      <c r="E2206" s="16" t="s">
        <v>55</v>
      </c>
      <c r="F2206" s="18">
        <v>1086.5</v>
      </c>
      <c r="G2206" s="22">
        <v>53</v>
      </c>
      <c r="H2206" s="18">
        <v>5.8869849350227197</v>
      </c>
      <c r="I2206" s="18">
        <v>312.01020155620398</v>
      </c>
      <c r="J2206" s="18">
        <v>774.48979844379505</v>
      </c>
      <c r="K2206" s="22">
        <v>0</v>
      </c>
      <c r="L2206" s="22" t="str">
        <f t="shared" si="34"/>
        <v>46143, 7, 18</v>
      </c>
    </row>
    <row r="2207" spans="1:12">
      <c r="A2207" s="9">
        <v>46174</v>
      </c>
      <c r="B2207">
        <v>7</v>
      </c>
      <c r="C2207" s="16" t="s">
        <v>62</v>
      </c>
      <c r="D2207">
        <v>1</v>
      </c>
      <c r="E2207" s="16" t="s">
        <v>38</v>
      </c>
      <c r="F2207" s="18">
        <v>2907</v>
      </c>
      <c r="G2207" s="22">
        <v>153</v>
      </c>
      <c r="H2207" s="18">
        <v>3.7387017678571399</v>
      </c>
      <c r="I2207" s="18">
        <v>572.02137048214195</v>
      </c>
      <c r="J2207" s="18">
        <v>2334.9786295178501</v>
      </c>
      <c r="K2207" s="22">
        <v>0</v>
      </c>
      <c r="L2207" s="22" t="str">
        <f t="shared" si="34"/>
        <v>46174, 7, 1</v>
      </c>
    </row>
    <row r="2208" spans="1:12">
      <c r="A2208" s="9">
        <v>46174</v>
      </c>
      <c r="B2208">
        <v>7</v>
      </c>
      <c r="C2208" s="16" t="s">
        <v>62</v>
      </c>
      <c r="D2208">
        <v>2</v>
      </c>
      <c r="E2208" s="16" t="s">
        <v>40</v>
      </c>
      <c r="F2208" s="18">
        <v>2898</v>
      </c>
      <c r="G2208" s="22">
        <v>138</v>
      </c>
      <c r="H2208" s="18">
        <v>6.5902111435555497</v>
      </c>
      <c r="I2208" s="18">
        <v>909.449137810666</v>
      </c>
      <c r="J2208" s="18">
        <v>1988.55086218933</v>
      </c>
      <c r="K2208" s="22">
        <v>0</v>
      </c>
      <c r="L2208" s="22" t="str">
        <f t="shared" si="34"/>
        <v>46174, 7, 2</v>
      </c>
    </row>
    <row r="2209" spans="1:12">
      <c r="A2209" s="9">
        <v>46174</v>
      </c>
      <c r="B2209">
        <v>7</v>
      </c>
      <c r="C2209" s="16" t="s">
        <v>62</v>
      </c>
      <c r="D2209">
        <v>3</v>
      </c>
      <c r="E2209" s="16" t="s">
        <v>41</v>
      </c>
      <c r="F2209" s="18">
        <v>836</v>
      </c>
      <c r="G2209" s="22">
        <v>38</v>
      </c>
      <c r="H2209" s="18">
        <v>3.42651580011111</v>
      </c>
      <c r="I2209" s="18">
        <v>130.20760040422201</v>
      </c>
      <c r="J2209" s="18">
        <v>705.79239959577706</v>
      </c>
      <c r="K2209" s="22">
        <v>0</v>
      </c>
      <c r="L2209" s="22" t="str">
        <f t="shared" si="34"/>
        <v>46174, 7, 3</v>
      </c>
    </row>
    <row r="2210" spans="1:12">
      <c r="A2210" s="9">
        <v>46174</v>
      </c>
      <c r="B2210">
        <v>7</v>
      </c>
      <c r="C2210" s="16" t="s">
        <v>62</v>
      </c>
      <c r="D2210">
        <v>4</v>
      </c>
      <c r="E2210" s="16" t="s">
        <v>42</v>
      </c>
      <c r="F2210" s="18">
        <v>1854</v>
      </c>
      <c r="G2210" s="22">
        <v>103</v>
      </c>
      <c r="H2210" s="18">
        <v>6.8404643289999996</v>
      </c>
      <c r="I2210" s="18">
        <v>704.56782588700003</v>
      </c>
      <c r="J2210" s="18">
        <v>1149.432174113</v>
      </c>
      <c r="K2210" s="22">
        <v>0</v>
      </c>
      <c r="L2210" s="22" t="str">
        <f t="shared" si="34"/>
        <v>46174, 7, 4</v>
      </c>
    </row>
    <row r="2211" spans="1:12">
      <c r="A2211" s="9">
        <v>46174</v>
      </c>
      <c r="B2211">
        <v>7</v>
      </c>
      <c r="C2211" s="16" t="s">
        <v>62</v>
      </c>
      <c r="D2211">
        <v>5</v>
      </c>
      <c r="E2211" s="16" t="s">
        <v>43</v>
      </c>
      <c r="F2211" s="18">
        <v>851</v>
      </c>
      <c r="G2211" s="22">
        <v>46</v>
      </c>
      <c r="H2211" s="18">
        <v>6.0760416666666597</v>
      </c>
      <c r="I2211" s="18">
        <v>279.49791666666601</v>
      </c>
      <c r="J2211" s="18">
        <v>571.50208333333296</v>
      </c>
      <c r="K2211" s="22">
        <v>0</v>
      </c>
      <c r="L2211" s="22" t="str">
        <f t="shared" si="34"/>
        <v>46174, 7, 5</v>
      </c>
    </row>
    <row r="2212" spans="1:12">
      <c r="A2212" s="9">
        <v>46174</v>
      </c>
      <c r="B2212">
        <v>7</v>
      </c>
      <c r="C2212" s="16" t="s">
        <v>62</v>
      </c>
      <c r="D2212">
        <v>6</v>
      </c>
      <c r="E2212" s="16" t="s">
        <v>44</v>
      </c>
      <c r="F2212" s="18">
        <v>1423.5</v>
      </c>
      <c r="G2212" s="22">
        <v>73</v>
      </c>
      <c r="H2212" s="18">
        <v>4.5239064202500003</v>
      </c>
      <c r="I2212" s="18">
        <v>330.24516867825002</v>
      </c>
      <c r="J2212" s="18">
        <v>1093.2548313217501</v>
      </c>
      <c r="K2212" s="22">
        <v>0</v>
      </c>
      <c r="L2212" s="22" t="str">
        <f t="shared" si="34"/>
        <v>46174, 7, 6</v>
      </c>
    </row>
    <row r="2213" spans="1:12">
      <c r="A2213" s="9">
        <v>46174</v>
      </c>
      <c r="B2213">
        <v>7</v>
      </c>
      <c r="C2213" s="16" t="s">
        <v>62</v>
      </c>
      <c r="D2213">
        <v>7</v>
      </c>
      <c r="E2213" s="16" t="s">
        <v>45</v>
      </c>
      <c r="F2213" s="18">
        <v>819</v>
      </c>
      <c r="G2213" s="22">
        <v>91</v>
      </c>
      <c r="H2213" s="18">
        <v>2.813905820375</v>
      </c>
      <c r="I2213" s="18">
        <v>256.06542965412501</v>
      </c>
      <c r="J2213" s="18">
        <v>562.93457034587504</v>
      </c>
      <c r="K2213" s="22">
        <v>0</v>
      </c>
      <c r="L2213" s="22" t="str">
        <f t="shared" si="34"/>
        <v>46174, 7, 7</v>
      </c>
    </row>
    <row r="2214" spans="1:12">
      <c r="A2214" s="9">
        <v>46174</v>
      </c>
      <c r="B2214">
        <v>7</v>
      </c>
      <c r="C2214" s="16" t="s">
        <v>62</v>
      </c>
      <c r="D2214">
        <v>8</v>
      </c>
      <c r="E2214" s="16" t="s">
        <v>46</v>
      </c>
      <c r="F2214" s="18">
        <v>572</v>
      </c>
      <c r="G2214" s="22">
        <v>52</v>
      </c>
      <c r="H2214" s="18">
        <v>0.69460648166666605</v>
      </c>
      <c r="I2214" s="18">
        <v>36.119537046666601</v>
      </c>
      <c r="J2214" s="18">
        <v>535.88046295333299</v>
      </c>
      <c r="K2214" s="22">
        <v>0</v>
      </c>
      <c r="L2214" s="22" t="str">
        <f t="shared" si="34"/>
        <v>46174, 7, 8</v>
      </c>
    </row>
    <row r="2215" spans="1:12">
      <c r="A2215" s="9">
        <v>46174</v>
      </c>
      <c r="B2215">
        <v>7</v>
      </c>
      <c r="C2215" s="16" t="s">
        <v>62</v>
      </c>
      <c r="D2215">
        <v>9</v>
      </c>
      <c r="E2215" s="16" t="s">
        <v>47</v>
      </c>
      <c r="F2215" s="18">
        <v>1204</v>
      </c>
      <c r="G2215" s="22">
        <v>28</v>
      </c>
      <c r="H2215" s="18">
        <v>15.6165839178932</v>
      </c>
      <c r="I2215" s="18">
        <v>437.26434970101099</v>
      </c>
      <c r="J2215" s="18">
        <v>766.73565029898805</v>
      </c>
      <c r="K2215" s="22">
        <v>0</v>
      </c>
      <c r="L2215" s="22" t="str">
        <f t="shared" si="34"/>
        <v>46174, 7, 9</v>
      </c>
    </row>
    <row r="2216" spans="1:12">
      <c r="A2216" s="9">
        <v>46174</v>
      </c>
      <c r="B2216">
        <v>7</v>
      </c>
      <c r="C2216" s="16" t="s">
        <v>62</v>
      </c>
      <c r="D2216">
        <v>10</v>
      </c>
      <c r="E2216" s="16" t="s">
        <v>57</v>
      </c>
      <c r="F2216" s="18">
        <v>756</v>
      </c>
      <c r="G2216" s="22">
        <v>63</v>
      </c>
      <c r="H2216" s="18">
        <v>1.9290848430111101</v>
      </c>
      <c r="I2216" s="18">
        <v>121.53234510969899</v>
      </c>
      <c r="J2216" s="18">
        <v>634.46765489029997</v>
      </c>
      <c r="K2216" s="22">
        <v>0</v>
      </c>
      <c r="L2216" s="22" t="str">
        <f t="shared" si="34"/>
        <v>46174, 7, 10</v>
      </c>
    </row>
    <row r="2217" spans="1:12">
      <c r="A2217" s="9">
        <v>46174</v>
      </c>
      <c r="B2217">
        <v>7</v>
      </c>
      <c r="C2217" s="16" t="s">
        <v>62</v>
      </c>
      <c r="D2217">
        <v>11</v>
      </c>
      <c r="E2217" s="16" t="s">
        <v>48</v>
      </c>
      <c r="F2217" s="18">
        <v>2294</v>
      </c>
      <c r="G2217" s="22">
        <v>124</v>
      </c>
      <c r="H2217" s="18">
        <v>2.05155007954545</v>
      </c>
      <c r="I2217" s="18">
        <v>254.392209863636</v>
      </c>
      <c r="J2217" s="18">
        <v>2039.6077901363601</v>
      </c>
      <c r="K2217" s="22">
        <v>0</v>
      </c>
      <c r="L2217" s="22" t="str">
        <f t="shared" si="34"/>
        <v>46174, 7, 11</v>
      </c>
    </row>
    <row r="2218" spans="1:12">
      <c r="A2218" s="9">
        <v>46174</v>
      </c>
      <c r="B2218">
        <v>7</v>
      </c>
      <c r="C2218" s="16" t="s">
        <v>62</v>
      </c>
      <c r="D2218">
        <v>12</v>
      </c>
      <c r="E2218" s="16" t="s">
        <v>49</v>
      </c>
      <c r="F2218" s="18">
        <v>1577</v>
      </c>
      <c r="G2218" s="22">
        <v>83</v>
      </c>
      <c r="H2218" s="18">
        <v>2.5937191213888799</v>
      </c>
      <c r="I2218" s="18">
        <v>215.27868707527699</v>
      </c>
      <c r="J2218" s="18">
        <v>1361.72131292472</v>
      </c>
      <c r="K2218" s="22">
        <v>0</v>
      </c>
      <c r="L2218" s="22" t="str">
        <f t="shared" si="34"/>
        <v>46174, 7, 12</v>
      </c>
    </row>
    <row r="2219" spans="1:12">
      <c r="A2219" s="9">
        <v>46174</v>
      </c>
      <c r="B2219">
        <v>7</v>
      </c>
      <c r="C2219" s="16" t="s">
        <v>62</v>
      </c>
      <c r="D2219">
        <v>13</v>
      </c>
      <c r="E2219" s="16" t="s">
        <v>50</v>
      </c>
      <c r="F2219" s="18">
        <v>1677</v>
      </c>
      <c r="G2219" s="22">
        <v>86</v>
      </c>
      <c r="H2219" s="18">
        <v>6.7253449999999999</v>
      </c>
      <c r="I2219" s="18">
        <v>578.37967000000003</v>
      </c>
      <c r="J2219" s="18">
        <v>1098.62033</v>
      </c>
      <c r="K2219" s="22">
        <v>0</v>
      </c>
      <c r="L2219" s="22" t="str">
        <f t="shared" si="34"/>
        <v>46174, 7, 13</v>
      </c>
    </row>
    <row r="2220" spans="1:12">
      <c r="A2220" s="9">
        <v>46174</v>
      </c>
      <c r="B2220">
        <v>7</v>
      </c>
      <c r="C2220" s="16" t="s">
        <v>62</v>
      </c>
      <c r="D2220">
        <v>14</v>
      </c>
      <c r="E2220" s="16" t="s">
        <v>51</v>
      </c>
      <c r="F2220" s="18">
        <v>1470</v>
      </c>
      <c r="G2220" s="22">
        <v>60</v>
      </c>
      <c r="H2220" s="18">
        <v>3.8862761114871698</v>
      </c>
      <c r="I2220" s="18">
        <v>233.17656668922999</v>
      </c>
      <c r="J2220" s="18">
        <v>1236.82343331076</v>
      </c>
      <c r="K2220" s="22">
        <v>0</v>
      </c>
      <c r="L2220" s="22" t="str">
        <f t="shared" si="34"/>
        <v>46174, 7, 14</v>
      </c>
    </row>
    <row r="2221" spans="1:12">
      <c r="A2221" s="9">
        <v>46174</v>
      </c>
      <c r="B2221">
        <v>7</v>
      </c>
      <c r="C2221" s="16" t="s">
        <v>62</v>
      </c>
      <c r="D2221">
        <v>15</v>
      </c>
      <c r="E2221" s="16" t="s">
        <v>52</v>
      </c>
      <c r="F2221" s="18">
        <v>2940</v>
      </c>
      <c r="G2221" s="22">
        <v>140</v>
      </c>
      <c r="H2221" s="18">
        <v>2.4352094056153799</v>
      </c>
      <c r="I2221" s="18">
        <v>340.92931678615298</v>
      </c>
      <c r="J2221" s="18">
        <v>2599.0706832138399</v>
      </c>
      <c r="K2221" s="22">
        <v>0</v>
      </c>
      <c r="L2221" s="22" t="str">
        <f t="shared" si="34"/>
        <v>46174, 7, 15</v>
      </c>
    </row>
    <row r="2222" spans="1:12">
      <c r="A2222" s="9">
        <v>46174</v>
      </c>
      <c r="B2222">
        <v>7</v>
      </c>
      <c r="C2222" s="16" t="s">
        <v>62</v>
      </c>
      <c r="D2222">
        <v>16</v>
      </c>
      <c r="E2222" s="16" t="s">
        <v>53</v>
      </c>
      <c r="F2222" s="18">
        <v>562.5</v>
      </c>
      <c r="G2222" s="22">
        <v>75</v>
      </c>
      <c r="H2222" s="18">
        <v>1.4292888684523799</v>
      </c>
      <c r="I2222" s="18">
        <v>107.19666513392799</v>
      </c>
      <c r="J2222" s="18">
        <v>455.303334866071</v>
      </c>
      <c r="K2222" s="22">
        <v>0</v>
      </c>
      <c r="L2222" s="22" t="str">
        <f t="shared" si="34"/>
        <v>46174, 7, 16</v>
      </c>
    </row>
    <row r="2223" spans="1:12">
      <c r="A2223" s="9">
        <v>46174</v>
      </c>
      <c r="B2223">
        <v>7</v>
      </c>
      <c r="C2223" s="16" t="s">
        <v>62</v>
      </c>
      <c r="D2223">
        <v>17</v>
      </c>
      <c r="E2223" s="16" t="s">
        <v>54</v>
      </c>
      <c r="F2223" s="18">
        <v>1127</v>
      </c>
      <c r="G2223" s="22">
        <v>161</v>
      </c>
      <c r="H2223" s="18">
        <v>1.386814145</v>
      </c>
      <c r="I2223" s="18">
        <v>223.27707734500001</v>
      </c>
      <c r="J2223" s="18">
        <v>903.72292265500005</v>
      </c>
      <c r="K2223" s="22">
        <v>0</v>
      </c>
      <c r="L2223" s="22" t="str">
        <f t="shared" si="34"/>
        <v>46174, 7, 17</v>
      </c>
    </row>
    <row r="2224" spans="1:12">
      <c r="A2224" s="9">
        <v>46174</v>
      </c>
      <c r="B2224">
        <v>7</v>
      </c>
      <c r="C2224" s="16" t="s">
        <v>62</v>
      </c>
      <c r="D2224">
        <v>18</v>
      </c>
      <c r="E2224" s="16" t="s">
        <v>55</v>
      </c>
      <c r="F2224" s="18">
        <v>1455.5</v>
      </c>
      <c r="G2224" s="22">
        <v>71</v>
      </c>
      <c r="H2224" s="18">
        <v>5.9177500197499997</v>
      </c>
      <c r="I2224" s="18">
        <v>420.16025140225003</v>
      </c>
      <c r="J2224" s="18">
        <v>1035.33974859775</v>
      </c>
      <c r="K2224" s="22">
        <v>0</v>
      </c>
      <c r="L2224" s="22" t="str">
        <f t="shared" si="34"/>
        <v>46174, 7, 18</v>
      </c>
    </row>
    <row r="2225" spans="1:12">
      <c r="A2225" s="9">
        <v>46204</v>
      </c>
      <c r="B2225">
        <v>7</v>
      </c>
      <c r="C2225" s="16" t="s">
        <v>62</v>
      </c>
      <c r="D2225">
        <v>1</v>
      </c>
      <c r="E2225" s="16" t="s">
        <v>38</v>
      </c>
      <c r="F2225" s="18">
        <v>2774</v>
      </c>
      <c r="G2225" s="22">
        <v>146</v>
      </c>
      <c r="H2225" s="18">
        <v>3.8190214038461501</v>
      </c>
      <c r="I2225" s="18">
        <v>557.57712496153795</v>
      </c>
      <c r="J2225" s="18">
        <v>2216.42287503846</v>
      </c>
      <c r="K2225" s="22">
        <v>0</v>
      </c>
      <c r="L2225" s="22" t="str">
        <f t="shared" si="34"/>
        <v>46204, 7, 1</v>
      </c>
    </row>
    <row r="2226" spans="1:12">
      <c r="A2226" s="9">
        <v>46204</v>
      </c>
      <c r="B2226">
        <v>7</v>
      </c>
      <c r="C2226" s="16" t="s">
        <v>62</v>
      </c>
      <c r="D2226">
        <v>2</v>
      </c>
      <c r="E2226" s="16" t="s">
        <v>40</v>
      </c>
      <c r="F2226" s="18">
        <v>3360</v>
      </c>
      <c r="G2226" s="22">
        <v>160</v>
      </c>
      <c r="H2226" s="18">
        <v>6.5795837137777697</v>
      </c>
      <c r="I2226" s="18">
        <v>1052.7333942044399</v>
      </c>
      <c r="J2226" s="18">
        <v>2307.2666057955498</v>
      </c>
      <c r="K2226" s="22">
        <v>0</v>
      </c>
      <c r="L2226" s="22" t="str">
        <f t="shared" si="34"/>
        <v>46204, 7, 2</v>
      </c>
    </row>
    <row r="2227" spans="1:12">
      <c r="A2227" s="9">
        <v>46204</v>
      </c>
      <c r="B2227">
        <v>7</v>
      </c>
      <c r="C2227" s="16" t="s">
        <v>62</v>
      </c>
      <c r="D2227">
        <v>3</v>
      </c>
      <c r="E2227" s="16" t="s">
        <v>41</v>
      </c>
      <c r="F2227" s="18">
        <v>1100</v>
      </c>
      <c r="G2227" s="22">
        <v>50</v>
      </c>
      <c r="H2227" s="18">
        <v>3.4351516785555498</v>
      </c>
      <c r="I2227" s="18">
        <v>171.75758392777701</v>
      </c>
      <c r="J2227" s="18">
        <v>928.242416072222</v>
      </c>
      <c r="K2227" s="22">
        <v>0</v>
      </c>
      <c r="L2227" s="22" t="str">
        <f t="shared" si="34"/>
        <v>46204, 7, 3</v>
      </c>
    </row>
    <row r="2228" spans="1:12">
      <c r="A2228" s="9">
        <v>46204</v>
      </c>
      <c r="B2228">
        <v>7</v>
      </c>
      <c r="C2228" s="16" t="s">
        <v>62</v>
      </c>
      <c r="D2228">
        <v>4</v>
      </c>
      <c r="E2228" s="16" t="s">
        <v>42</v>
      </c>
      <c r="F2228" s="18">
        <v>1836</v>
      </c>
      <c r="G2228" s="22">
        <v>102</v>
      </c>
      <c r="H2228" s="18">
        <v>6.7866080694444397</v>
      </c>
      <c r="I2228" s="18">
        <v>692.234023083333</v>
      </c>
      <c r="J2228" s="18">
        <v>1143.7659769166601</v>
      </c>
      <c r="K2228" s="22">
        <v>0</v>
      </c>
      <c r="L2228" s="22" t="str">
        <f t="shared" si="34"/>
        <v>46204, 7, 4</v>
      </c>
    </row>
    <row r="2229" spans="1:12">
      <c r="A2229" s="9">
        <v>46204</v>
      </c>
      <c r="B2229">
        <v>7</v>
      </c>
      <c r="C2229" s="16" t="s">
        <v>62</v>
      </c>
      <c r="D2229">
        <v>5</v>
      </c>
      <c r="E2229" s="16" t="s">
        <v>43</v>
      </c>
      <c r="F2229" s="18">
        <v>1073</v>
      </c>
      <c r="G2229" s="22">
        <v>58</v>
      </c>
      <c r="H2229" s="18">
        <v>5.9579411764705803</v>
      </c>
      <c r="I2229" s="18">
        <v>345.56058823529401</v>
      </c>
      <c r="J2229" s="18">
        <v>727.43941176470503</v>
      </c>
      <c r="K2229" s="22">
        <v>0</v>
      </c>
      <c r="L2229" s="22" t="str">
        <f t="shared" si="34"/>
        <v>46204, 7, 5</v>
      </c>
    </row>
    <row r="2230" spans="1:12">
      <c r="A2230" s="9">
        <v>46204</v>
      </c>
      <c r="B2230">
        <v>7</v>
      </c>
      <c r="C2230" s="16" t="s">
        <v>62</v>
      </c>
      <c r="D2230">
        <v>6</v>
      </c>
      <c r="E2230" s="16" t="s">
        <v>44</v>
      </c>
      <c r="F2230" s="18">
        <v>1404</v>
      </c>
      <c r="G2230" s="22">
        <v>72</v>
      </c>
      <c r="H2230" s="18">
        <v>4.5709263937272704</v>
      </c>
      <c r="I2230" s="18">
        <v>329.10670034836301</v>
      </c>
      <c r="J2230" s="18">
        <v>1074.8932996516301</v>
      </c>
      <c r="K2230" s="22">
        <v>0</v>
      </c>
      <c r="L2230" s="22" t="str">
        <f t="shared" si="34"/>
        <v>46204, 7, 6</v>
      </c>
    </row>
    <row r="2231" spans="1:12">
      <c r="A2231" s="9">
        <v>46204</v>
      </c>
      <c r="B2231">
        <v>7</v>
      </c>
      <c r="C2231" s="16" t="s">
        <v>62</v>
      </c>
      <c r="D2231">
        <v>7</v>
      </c>
      <c r="E2231" s="16" t="s">
        <v>45</v>
      </c>
      <c r="F2231" s="18">
        <v>765</v>
      </c>
      <c r="G2231" s="22">
        <v>85</v>
      </c>
      <c r="H2231" s="18">
        <v>2.8365380567499998</v>
      </c>
      <c r="I2231" s="18">
        <v>241.10573482375</v>
      </c>
      <c r="J2231" s="18">
        <v>523.89426517624997</v>
      </c>
      <c r="K2231" s="22">
        <v>0</v>
      </c>
      <c r="L2231" s="22" t="str">
        <f t="shared" si="34"/>
        <v>46204, 7, 7</v>
      </c>
    </row>
    <row r="2232" spans="1:12">
      <c r="A2232" s="9">
        <v>46204</v>
      </c>
      <c r="B2232">
        <v>7</v>
      </c>
      <c r="C2232" s="16" t="s">
        <v>62</v>
      </c>
      <c r="D2232">
        <v>8</v>
      </c>
      <c r="E2232" s="16" t="s">
        <v>46</v>
      </c>
      <c r="F2232" s="18">
        <v>770</v>
      </c>
      <c r="G2232" s="22">
        <v>70</v>
      </c>
      <c r="H2232" s="18">
        <v>0.65279139333333303</v>
      </c>
      <c r="I2232" s="18">
        <v>45.695397533333299</v>
      </c>
      <c r="J2232" s="18">
        <v>724.30460246666598</v>
      </c>
      <c r="K2232" s="22">
        <v>0</v>
      </c>
      <c r="L2232" s="22" t="str">
        <f t="shared" si="34"/>
        <v>46204, 7, 8</v>
      </c>
    </row>
    <row r="2233" spans="1:12">
      <c r="A2233" s="9">
        <v>46204</v>
      </c>
      <c r="B2233">
        <v>7</v>
      </c>
      <c r="C2233" s="16" t="s">
        <v>62</v>
      </c>
      <c r="D2233">
        <v>9</v>
      </c>
      <c r="E2233" s="16" t="s">
        <v>47</v>
      </c>
      <c r="F2233" s="18">
        <v>1032</v>
      </c>
      <c r="G2233" s="22">
        <v>24</v>
      </c>
      <c r="H2233" s="18">
        <v>15.8219799731633</v>
      </c>
      <c r="I2233" s="18">
        <v>379.727519355921</v>
      </c>
      <c r="J2233" s="18">
        <v>652.27248064407797</v>
      </c>
      <c r="K2233" s="22">
        <v>0</v>
      </c>
      <c r="L2233" s="22" t="str">
        <f t="shared" si="34"/>
        <v>46204, 7, 9</v>
      </c>
    </row>
    <row r="2234" spans="1:12">
      <c r="A2234" s="9">
        <v>46204</v>
      </c>
      <c r="B2234">
        <v>7</v>
      </c>
      <c r="C2234" s="16" t="s">
        <v>62</v>
      </c>
      <c r="D2234">
        <v>10</v>
      </c>
      <c r="E2234" s="16" t="s">
        <v>57</v>
      </c>
      <c r="F2234" s="18">
        <v>660</v>
      </c>
      <c r="G2234" s="22">
        <v>55</v>
      </c>
      <c r="H2234" s="18">
        <v>1.86644781647</v>
      </c>
      <c r="I2234" s="18">
        <v>102.65462990585</v>
      </c>
      <c r="J2234" s="18">
        <v>557.34537009414998</v>
      </c>
      <c r="K2234" s="22">
        <v>0</v>
      </c>
      <c r="L2234" s="22" t="str">
        <f t="shared" si="34"/>
        <v>46204, 7, 10</v>
      </c>
    </row>
    <row r="2235" spans="1:12">
      <c r="A2235" s="9">
        <v>46204</v>
      </c>
      <c r="B2235">
        <v>7</v>
      </c>
      <c r="C2235" s="16" t="s">
        <v>62</v>
      </c>
      <c r="D2235">
        <v>11</v>
      </c>
      <c r="E2235" s="16" t="s">
        <v>48</v>
      </c>
      <c r="F2235" s="18">
        <v>2645.5</v>
      </c>
      <c r="G2235" s="22">
        <v>143</v>
      </c>
      <c r="H2235" s="18">
        <v>2.1211359444444402</v>
      </c>
      <c r="I2235" s="18">
        <v>303.32244005555498</v>
      </c>
      <c r="J2235" s="18">
        <v>2342.17755994444</v>
      </c>
      <c r="K2235" s="22">
        <v>0</v>
      </c>
      <c r="L2235" s="22" t="str">
        <f t="shared" si="34"/>
        <v>46204, 7, 11</v>
      </c>
    </row>
    <row r="2236" spans="1:12">
      <c r="A2236" s="9">
        <v>46204</v>
      </c>
      <c r="B2236">
        <v>7</v>
      </c>
      <c r="C2236" s="16" t="s">
        <v>62</v>
      </c>
      <c r="D2236">
        <v>12</v>
      </c>
      <c r="E2236" s="16" t="s">
        <v>49</v>
      </c>
      <c r="F2236" s="18">
        <v>1273</v>
      </c>
      <c r="G2236" s="22">
        <v>67</v>
      </c>
      <c r="H2236" s="18">
        <v>2.5693553527777699</v>
      </c>
      <c r="I2236" s="18">
        <v>172.14680863611099</v>
      </c>
      <c r="J2236" s="18">
        <v>1100.8531913638799</v>
      </c>
      <c r="K2236" s="22">
        <v>0</v>
      </c>
      <c r="L2236" s="22" t="str">
        <f t="shared" si="34"/>
        <v>46204, 7, 12</v>
      </c>
    </row>
    <row r="2237" spans="1:12">
      <c r="A2237" s="9">
        <v>46204</v>
      </c>
      <c r="B2237">
        <v>7</v>
      </c>
      <c r="C2237" s="16" t="s">
        <v>62</v>
      </c>
      <c r="D2237">
        <v>13</v>
      </c>
      <c r="E2237" s="16" t="s">
        <v>50</v>
      </c>
      <c r="F2237" s="18">
        <v>1384.5</v>
      </c>
      <c r="G2237" s="22">
        <v>71</v>
      </c>
      <c r="H2237" s="18">
        <v>6.8973204761904698</v>
      </c>
      <c r="I2237" s="18">
        <v>489.70975380952302</v>
      </c>
      <c r="J2237" s="18">
        <v>894.79024619047595</v>
      </c>
      <c r="K2237" s="22">
        <v>0</v>
      </c>
      <c r="L2237" s="22" t="str">
        <f t="shared" si="34"/>
        <v>46204, 7, 13</v>
      </c>
    </row>
    <row r="2238" spans="1:12">
      <c r="A2238" s="9">
        <v>46204</v>
      </c>
      <c r="B2238">
        <v>7</v>
      </c>
      <c r="C2238" s="16" t="s">
        <v>62</v>
      </c>
      <c r="D2238">
        <v>14</v>
      </c>
      <c r="E2238" s="16" t="s">
        <v>51</v>
      </c>
      <c r="F2238" s="18">
        <v>1470</v>
      </c>
      <c r="G2238" s="22">
        <v>60</v>
      </c>
      <c r="H2238" s="18">
        <v>3.9076067078333301</v>
      </c>
      <c r="I2238" s="18">
        <v>234.45640247</v>
      </c>
      <c r="J2238" s="18">
        <v>1235.5435975299899</v>
      </c>
      <c r="K2238" s="22">
        <v>0</v>
      </c>
      <c r="L2238" s="22" t="str">
        <f t="shared" si="34"/>
        <v>46204, 7, 14</v>
      </c>
    </row>
    <row r="2239" spans="1:12">
      <c r="A2239" s="9">
        <v>46204</v>
      </c>
      <c r="B2239">
        <v>7</v>
      </c>
      <c r="C2239" s="16" t="s">
        <v>62</v>
      </c>
      <c r="D2239">
        <v>15</v>
      </c>
      <c r="E2239" s="16" t="s">
        <v>52</v>
      </c>
      <c r="F2239" s="18">
        <v>2919</v>
      </c>
      <c r="G2239" s="22">
        <v>139</v>
      </c>
      <c r="H2239" s="18">
        <v>2.4273953851428498</v>
      </c>
      <c r="I2239" s="18">
        <v>337.40795853485702</v>
      </c>
      <c r="J2239" s="18">
        <v>2581.59204146514</v>
      </c>
      <c r="K2239" s="22">
        <v>0</v>
      </c>
      <c r="L2239" s="22" t="str">
        <f t="shared" si="34"/>
        <v>46204, 7, 15</v>
      </c>
    </row>
    <row r="2240" spans="1:12">
      <c r="A2240" s="9">
        <v>46204</v>
      </c>
      <c r="B2240">
        <v>7</v>
      </c>
      <c r="C2240" s="16" t="s">
        <v>62</v>
      </c>
      <c r="D2240">
        <v>16</v>
      </c>
      <c r="E2240" s="16" t="s">
        <v>53</v>
      </c>
      <c r="F2240" s="18">
        <v>465</v>
      </c>
      <c r="G2240" s="22">
        <v>62</v>
      </c>
      <c r="H2240" s="18">
        <v>1.4480518795833299</v>
      </c>
      <c r="I2240" s="18">
        <v>89.779216534166594</v>
      </c>
      <c r="J2240" s="18">
        <v>375.22078346583299</v>
      </c>
      <c r="K2240" s="22">
        <v>0</v>
      </c>
      <c r="L2240" s="22" t="str">
        <f t="shared" si="34"/>
        <v>46204, 7, 16</v>
      </c>
    </row>
    <row r="2241" spans="1:12">
      <c r="A2241" s="9">
        <v>46204</v>
      </c>
      <c r="B2241">
        <v>7</v>
      </c>
      <c r="C2241" s="16" t="s">
        <v>62</v>
      </c>
      <c r="D2241">
        <v>17</v>
      </c>
      <c r="E2241" s="16" t="s">
        <v>54</v>
      </c>
      <c r="F2241" s="18">
        <v>1085</v>
      </c>
      <c r="G2241" s="22">
        <v>155</v>
      </c>
      <c r="H2241" s="18">
        <v>1.4039908845454501</v>
      </c>
      <c r="I2241" s="18">
        <v>217.61858710454501</v>
      </c>
      <c r="J2241" s="18">
        <v>867.38141289545399</v>
      </c>
      <c r="K2241" s="22">
        <v>0</v>
      </c>
      <c r="L2241" s="22" t="str">
        <f t="shared" si="34"/>
        <v>46204, 7, 17</v>
      </c>
    </row>
    <row r="2242" spans="1:12">
      <c r="A2242" s="9">
        <v>46204</v>
      </c>
      <c r="B2242">
        <v>7</v>
      </c>
      <c r="C2242" s="16" t="s">
        <v>62</v>
      </c>
      <c r="D2242">
        <v>18</v>
      </c>
      <c r="E2242" s="16" t="s">
        <v>55</v>
      </c>
      <c r="F2242" s="18">
        <v>1517</v>
      </c>
      <c r="G2242" s="22">
        <v>74</v>
      </c>
      <c r="H2242" s="18">
        <v>5.8791207192272701</v>
      </c>
      <c r="I2242" s="18">
        <v>435.05493322281802</v>
      </c>
      <c r="J2242" s="18">
        <v>1081.94506677718</v>
      </c>
      <c r="K2242" s="22">
        <v>0</v>
      </c>
      <c r="L2242" s="22" t="str">
        <f t="shared" si="34"/>
        <v>46204, 7, 18</v>
      </c>
    </row>
    <row r="2243" spans="1:12">
      <c r="A2243" s="9">
        <v>46235</v>
      </c>
      <c r="B2243">
        <v>7</v>
      </c>
      <c r="C2243" s="16" t="s">
        <v>62</v>
      </c>
      <c r="D2243">
        <v>1</v>
      </c>
      <c r="E2243" s="16" t="s">
        <v>38</v>
      </c>
      <c r="F2243" s="18">
        <v>3572</v>
      </c>
      <c r="G2243" s="22">
        <v>188</v>
      </c>
      <c r="H2243" s="18">
        <v>3.81624198076923</v>
      </c>
      <c r="I2243" s="18">
        <v>717.45349238461495</v>
      </c>
      <c r="J2243" s="18">
        <v>2854.5465076153801</v>
      </c>
      <c r="K2243" s="22">
        <v>0</v>
      </c>
      <c r="L2243" s="22" t="str">
        <f t="shared" ref="L2243:L2306" si="35">(A2243&amp; ", "&amp; B2243&amp; ", "&amp; D2243)</f>
        <v>46235, 7, 1</v>
      </c>
    </row>
    <row r="2244" spans="1:12">
      <c r="A2244" s="9">
        <v>46235</v>
      </c>
      <c r="B2244">
        <v>7</v>
      </c>
      <c r="C2244" s="16" t="s">
        <v>62</v>
      </c>
      <c r="D2244">
        <v>2</v>
      </c>
      <c r="E2244" s="16" t="s">
        <v>40</v>
      </c>
      <c r="F2244" s="18">
        <v>3234</v>
      </c>
      <c r="G2244" s="22">
        <v>154</v>
      </c>
      <c r="H2244" s="18">
        <v>6.6169488590588204</v>
      </c>
      <c r="I2244" s="18">
        <v>1019.01012429505</v>
      </c>
      <c r="J2244" s="18">
        <v>2214.98987570494</v>
      </c>
      <c r="K2244" s="22">
        <v>0</v>
      </c>
      <c r="L2244" s="22" t="str">
        <f t="shared" si="35"/>
        <v>46235, 7, 2</v>
      </c>
    </row>
    <row r="2245" spans="1:12">
      <c r="A2245" s="9">
        <v>46235</v>
      </c>
      <c r="B2245">
        <v>7</v>
      </c>
      <c r="C2245" s="16" t="s">
        <v>62</v>
      </c>
      <c r="D2245">
        <v>3</v>
      </c>
      <c r="E2245" s="16" t="s">
        <v>41</v>
      </c>
      <c r="F2245" s="18">
        <v>1364</v>
      </c>
      <c r="G2245" s="22">
        <v>62</v>
      </c>
      <c r="H2245" s="18">
        <v>3.39952551811764</v>
      </c>
      <c r="I2245" s="18">
        <v>210.77058212329399</v>
      </c>
      <c r="J2245" s="18">
        <v>1153.2294178766999</v>
      </c>
      <c r="K2245" s="22">
        <v>0</v>
      </c>
      <c r="L2245" s="22" t="str">
        <f t="shared" si="35"/>
        <v>46235, 7, 3</v>
      </c>
    </row>
    <row r="2246" spans="1:12">
      <c r="A2246" s="9">
        <v>46235</v>
      </c>
      <c r="B2246">
        <v>7</v>
      </c>
      <c r="C2246" s="16" t="s">
        <v>62</v>
      </c>
      <c r="D2246">
        <v>4</v>
      </c>
      <c r="E2246" s="16" t="s">
        <v>42</v>
      </c>
      <c r="F2246" s="18">
        <v>2016</v>
      </c>
      <c r="G2246" s="22">
        <v>112</v>
      </c>
      <c r="H2246" s="18">
        <v>6.8633283638823501</v>
      </c>
      <c r="I2246" s="18">
        <v>768.69277675482294</v>
      </c>
      <c r="J2246" s="18">
        <v>1247.30722324517</v>
      </c>
      <c r="K2246" s="22">
        <v>0</v>
      </c>
      <c r="L2246" s="22" t="str">
        <f t="shared" si="35"/>
        <v>46235, 7, 4</v>
      </c>
    </row>
    <row r="2247" spans="1:12">
      <c r="A2247" s="9">
        <v>46235</v>
      </c>
      <c r="B2247">
        <v>7</v>
      </c>
      <c r="C2247" s="16" t="s">
        <v>62</v>
      </c>
      <c r="D2247">
        <v>5</v>
      </c>
      <c r="E2247" s="16" t="s">
        <v>43</v>
      </c>
      <c r="F2247" s="18">
        <v>1110</v>
      </c>
      <c r="G2247" s="22">
        <v>60</v>
      </c>
      <c r="H2247" s="18">
        <v>6.0029044117646997</v>
      </c>
      <c r="I2247" s="18">
        <v>360.17426470588202</v>
      </c>
      <c r="J2247" s="18">
        <v>749.82573529411695</v>
      </c>
      <c r="K2247" s="22">
        <v>0</v>
      </c>
      <c r="L2247" s="22" t="str">
        <f t="shared" si="35"/>
        <v>46235, 7, 5</v>
      </c>
    </row>
    <row r="2248" spans="1:12">
      <c r="A2248" s="9">
        <v>46235</v>
      </c>
      <c r="B2248">
        <v>7</v>
      </c>
      <c r="C2248" s="16" t="s">
        <v>62</v>
      </c>
      <c r="D2248">
        <v>6</v>
      </c>
      <c r="E2248" s="16" t="s">
        <v>44</v>
      </c>
      <c r="F2248" s="18">
        <v>1657.5</v>
      </c>
      <c r="G2248" s="22">
        <v>85</v>
      </c>
      <c r="H2248" s="18">
        <v>4.5374858323333296</v>
      </c>
      <c r="I2248" s="18">
        <v>385.68629574833301</v>
      </c>
      <c r="J2248" s="18">
        <v>1271.8137042516601</v>
      </c>
      <c r="K2248" s="22">
        <v>0</v>
      </c>
      <c r="L2248" s="22" t="str">
        <f t="shared" si="35"/>
        <v>46235, 7, 6</v>
      </c>
    </row>
    <row r="2249" spans="1:12">
      <c r="A2249" s="9">
        <v>46235</v>
      </c>
      <c r="B2249">
        <v>7</v>
      </c>
      <c r="C2249" s="16" t="s">
        <v>62</v>
      </c>
      <c r="D2249">
        <v>7</v>
      </c>
      <c r="E2249" s="16" t="s">
        <v>45</v>
      </c>
      <c r="F2249" s="18">
        <v>1026</v>
      </c>
      <c r="G2249" s="22">
        <v>114</v>
      </c>
      <c r="H2249" s="18">
        <v>2.8488633249999999</v>
      </c>
      <c r="I2249" s="18">
        <v>324.77041904999999</v>
      </c>
      <c r="J2249" s="18">
        <v>701.22958095000001</v>
      </c>
      <c r="K2249" s="22">
        <v>0</v>
      </c>
      <c r="L2249" s="22" t="str">
        <f t="shared" si="35"/>
        <v>46235, 7, 7</v>
      </c>
    </row>
    <row r="2250" spans="1:12">
      <c r="A2250" s="9">
        <v>46235</v>
      </c>
      <c r="B2250">
        <v>7</v>
      </c>
      <c r="C2250" s="16" t="s">
        <v>62</v>
      </c>
      <c r="D2250">
        <v>8</v>
      </c>
      <c r="E2250" s="16" t="s">
        <v>46</v>
      </c>
      <c r="F2250" s="18">
        <v>836</v>
      </c>
      <c r="G2250" s="22">
        <v>76</v>
      </c>
      <c r="H2250" s="18">
        <v>0.64201794566666603</v>
      </c>
      <c r="I2250" s="18">
        <v>48.793363870666603</v>
      </c>
      <c r="J2250" s="18">
        <v>787.20663612933299</v>
      </c>
      <c r="K2250" s="22">
        <v>0</v>
      </c>
      <c r="L2250" s="22" t="str">
        <f t="shared" si="35"/>
        <v>46235, 7, 8</v>
      </c>
    </row>
    <row r="2251" spans="1:12">
      <c r="A2251" s="9">
        <v>46235</v>
      </c>
      <c r="B2251">
        <v>7</v>
      </c>
      <c r="C2251" s="16" t="s">
        <v>62</v>
      </c>
      <c r="D2251">
        <v>9</v>
      </c>
      <c r="E2251" s="16" t="s">
        <v>47</v>
      </c>
      <c r="F2251" s="18">
        <v>1118</v>
      </c>
      <c r="G2251" s="22">
        <v>26</v>
      </c>
      <c r="H2251" s="18">
        <v>15.820985480632499</v>
      </c>
      <c r="I2251" s="18">
        <v>411.345622496445</v>
      </c>
      <c r="J2251" s="18">
        <v>706.654377503555</v>
      </c>
      <c r="K2251" s="22">
        <v>0</v>
      </c>
      <c r="L2251" s="22" t="str">
        <f t="shared" si="35"/>
        <v>46235, 7, 9</v>
      </c>
    </row>
    <row r="2252" spans="1:12">
      <c r="A2252" s="9">
        <v>46235</v>
      </c>
      <c r="B2252">
        <v>7</v>
      </c>
      <c r="C2252" s="16" t="s">
        <v>62</v>
      </c>
      <c r="D2252">
        <v>10</v>
      </c>
      <c r="E2252" s="16" t="s">
        <v>57</v>
      </c>
      <c r="F2252" s="18">
        <v>804</v>
      </c>
      <c r="G2252" s="22">
        <v>67</v>
      </c>
      <c r="H2252" s="18">
        <v>1.88386509945263</v>
      </c>
      <c r="I2252" s="18">
        <v>126.218961663326</v>
      </c>
      <c r="J2252" s="18">
        <v>677.78103833667296</v>
      </c>
      <c r="K2252" s="22">
        <v>0</v>
      </c>
      <c r="L2252" s="22" t="str">
        <f t="shared" si="35"/>
        <v>46235, 7, 10</v>
      </c>
    </row>
    <row r="2253" spans="1:12">
      <c r="A2253" s="9">
        <v>46235</v>
      </c>
      <c r="B2253">
        <v>7</v>
      </c>
      <c r="C2253" s="16" t="s">
        <v>62</v>
      </c>
      <c r="D2253">
        <v>11</v>
      </c>
      <c r="E2253" s="16" t="s">
        <v>48</v>
      </c>
      <c r="F2253" s="18">
        <v>2978.5</v>
      </c>
      <c r="G2253" s="22">
        <v>161</v>
      </c>
      <c r="H2253" s="18">
        <v>2.1227370312499998</v>
      </c>
      <c r="I2253" s="18">
        <v>341.76066203124998</v>
      </c>
      <c r="J2253" s="18">
        <v>2636.7393379687501</v>
      </c>
      <c r="K2253" s="22">
        <v>0</v>
      </c>
      <c r="L2253" s="22" t="str">
        <f t="shared" si="35"/>
        <v>46235, 7, 11</v>
      </c>
    </row>
    <row r="2254" spans="1:12">
      <c r="A2254" s="9">
        <v>46235</v>
      </c>
      <c r="B2254">
        <v>7</v>
      </c>
      <c r="C2254" s="16" t="s">
        <v>62</v>
      </c>
      <c r="D2254">
        <v>12</v>
      </c>
      <c r="E2254" s="16" t="s">
        <v>49</v>
      </c>
      <c r="F2254" s="18">
        <v>1767</v>
      </c>
      <c r="G2254" s="22">
        <v>93</v>
      </c>
      <c r="H2254" s="18">
        <v>2.57050249988235</v>
      </c>
      <c r="I2254" s="18">
        <v>239.05673248905799</v>
      </c>
      <c r="J2254" s="18">
        <v>1527.9432675109399</v>
      </c>
      <c r="K2254" s="22">
        <v>0</v>
      </c>
      <c r="L2254" s="22" t="str">
        <f t="shared" si="35"/>
        <v>46235, 7, 12</v>
      </c>
    </row>
    <row r="2255" spans="1:12">
      <c r="A2255" s="9">
        <v>46235</v>
      </c>
      <c r="B2255">
        <v>7</v>
      </c>
      <c r="C2255" s="16" t="s">
        <v>62</v>
      </c>
      <c r="D2255">
        <v>13</v>
      </c>
      <c r="E2255" s="16" t="s">
        <v>50</v>
      </c>
      <c r="F2255" s="18">
        <v>1872</v>
      </c>
      <c r="G2255" s="22">
        <v>96</v>
      </c>
      <c r="H2255" s="18">
        <v>6.96414475</v>
      </c>
      <c r="I2255" s="18">
        <v>668.55789600000003</v>
      </c>
      <c r="J2255" s="18">
        <v>1203.442104</v>
      </c>
      <c r="K2255" s="22">
        <v>0</v>
      </c>
      <c r="L2255" s="22" t="str">
        <f t="shared" si="35"/>
        <v>46235, 7, 13</v>
      </c>
    </row>
    <row r="2256" spans="1:12">
      <c r="A2256" s="9">
        <v>46235</v>
      </c>
      <c r="B2256">
        <v>7</v>
      </c>
      <c r="C2256" s="16" t="s">
        <v>62</v>
      </c>
      <c r="D2256">
        <v>14</v>
      </c>
      <c r="E2256" s="16" t="s">
        <v>51</v>
      </c>
      <c r="F2256" s="18">
        <v>1519</v>
      </c>
      <c r="G2256" s="22">
        <v>62</v>
      </c>
      <c r="H2256" s="18">
        <v>3.9279722934583301</v>
      </c>
      <c r="I2256" s="18">
        <v>243.53428219441599</v>
      </c>
      <c r="J2256" s="18">
        <v>1275.46571780558</v>
      </c>
      <c r="K2256" s="22">
        <v>0</v>
      </c>
      <c r="L2256" s="22" t="str">
        <f t="shared" si="35"/>
        <v>46235, 7, 14</v>
      </c>
    </row>
    <row r="2257" spans="1:12">
      <c r="A2257" s="9">
        <v>46235</v>
      </c>
      <c r="B2257">
        <v>7</v>
      </c>
      <c r="C2257" s="16" t="s">
        <v>62</v>
      </c>
      <c r="D2257">
        <v>15</v>
      </c>
      <c r="E2257" s="16" t="s">
        <v>52</v>
      </c>
      <c r="F2257" s="18">
        <v>3297</v>
      </c>
      <c r="G2257" s="22">
        <v>157</v>
      </c>
      <c r="H2257" s="18">
        <v>2.4518388622499998</v>
      </c>
      <c r="I2257" s="18">
        <v>384.93870137325001</v>
      </c>
      <c r="J2257" s="18">
        <v>2912.0612986267502</v>
      </c>
      <c r="K2257" s="22">
        <v>0</v>
      </c>
      <c r="L2257" s="22" t="str">
        <f t="shared" si="35"/>
        <v>46235, 7, 15</v>
      </c>
    </row>
    <row r="2258" spans="1:12">
      <c r="A2258" s="9">
        <v>46235</v>
      </c>
      <c r="B2258">
        <v>7</v>
      </c>
      <c r="C2258" s="16" t="s">
        <v>62</v>
      </c>
      <c r="D2258">
        <v>16</v>
      </c>
      <c r="E2258" s="16" t="s">
        <v>53</v>
      </c>
      <c r="F2258" s="18">
        <v>510</v>
      </c>
      <c r="G2258" s="22">
        <v>68</v>
      </c>
      <c r="H2258" s="18">
        <v>1.43425673833333</v>
      </c>
      <c r="I2258" s="18">
        <v>97.529458206666604</v>
      </c>
      <c r="J2258" s="18">
        <v>412.47054179333298</v>
      </c>
      <c r="K2258" s="22">
        <v>0</v>
      </c>
      <c r="L2258" s="22" t="str">
        <f t="shared" si="35"/>
        <v>46235, 7, 16</v>
      </c>
    </row>
    <row r="2259" spans="1:12">
      <c r="A2259" s="9">
        <v>46235</v>
      </c>
      <c r="B2259">
        <v>7</v>
      </c>
      <c r="C2259" s="16" t="s">
        <v>62</v>
      </c>
      <c r="D2259">
        <v>17</v>
      </c>
      <c r="E2259" s="16" t="s">
        <v>54</v>
      </c>
      <c r="F2259" s="18">
        <v>1218</v>
      </c>
      <c r="G2259" s="22">
        <v>174</v>
      </c>
      <c r="H2259" s="18">
        <v>1.4028672131818101</v>
      </c>
      <c r="I2259" s="18">
        <v>244.098895093636</v>
      </c>
      <c r="J2259" s="18">
        <v>973.901104906363</v>
      </c>
      <c r="K2259" s="22">
        <v>0</v>
      </c>
      <c r="L2259" s="22" t="str">
        <f t="shared" si="35"/>
        <v>46235, 7, 17</v>
      </c>
    </row>
    <row r="2260" spans="1:12">
      <c r="A2260" s="9">
        <v>46235</v>
      </c>
      <c r="B2260">
        <v>7</v>
      </c>
      <c r="C2260" s="16" t="s">
        <v>62</v>
      </c>
      <c r="D2260">
        <v>18</v>
      </c>
      <c r="E2260" s="16" t="s">
        <v>55</v>
      </c>
      <c r="F2260" s="18">
        <v>1189</v>
      </c>
      <c r="G2260" s="22">
        <v>58</v>
      </c>
      <c r="H2260" s="18">
        <v>5.8927796212499999</v>
      </c>
      <c r="I2260" s="18">
        <v>341.78121803250002</v>
      </c>
      <c r="J2260" s="18">
        <v>847.21878196750004</v>
      </c>
      <c r="K2260" s="22">
        <v>0</v>
      </c>
      <c r="L2260" s="22" t="str">
        <f t="shared" si="35"/>
        <v>46235, 7, 18</v>
      </c>
    </row>
    <row r="2261" spans="1:12">
      <c r="A2261" s="9">
        <v>46266</v>
      </c>
      <c r="B2261">
        <v>7</v>
      </c>
      <c r="C2261" s="16" t="s">
        <v>62</v>
      </c>
      <c r="D2261">
        <v>1</v>
      </c>
      <c r="E2261" s="16" t="s">
        <v>38</v>
      </c>
      <c r="F2261" s="18">
        <v>2907</v>
      </c>
      <c r="G2261" s="22">
        <v>153</v>
      </c>
      <c r="H2261" s="18">
        <v>3.80495013461538</v>
      </c>
      <c r="I2261" s="18">
        <v>582.15737059615299</v>
      </c>
      <c r="J2261" s="18">
        <v>2324.84262940384</v>
      </c>
      <c r="K2261" s="22">
        <v>0</v>
      </c>
      <c r="L2261" s="22" t="str">
        <f t="shared" si="35"/>
        <v>46266, 7, 1</v>
      </c>
    </row>
    <row r="2262" spans="1:12">
      <c r="A2262" s="9">
        <v>46266</v>
      </c>
      <c r="B2262">
        <v>7</v>
      </c>
      <c r="C2262" s="16" t="s">
        <v>62</v>
      </c>
      <c r="D2262">
        <v>2</v>
      </c>
      <c r="E2262" s="16" t="s">
        <v>40</v>
      </c>
      <c r="F2262" s="18">
        <v>3738</v>
      </c>
      <c r="G2262" s="22">
        <v>178</v>
      </c>
      <c r="H2262" s="18">
        <v>6.7276370448235197</v>
      </c>
      <c r="I2262" s="18">
        <v>1197.51939397858</v>
      </c>
      <c r="J2262" s="18">
        <v>2540.48060602141</v>
      </c>
      <c r="K2262" s="22">
        <v>0</v>
      </c>
      <c r="L2262" s="22" t="str">
        <f t="shared" si="35"/>
        <v>46266, 7, 2</v>
      </c>
    </row>
    <row r="2263" spans="1:12">
      <c r="A2263" s="9">
        <v>46266</v>
      </c>
      <c r="B2263">
        <v>7</v>
      </c>
      <c r="C2263" s="16" t="s">
        <v>62</v>
      </c>
      <c r="D2263">
        <v>3</v>
      </c>
      <c r="E2263" s="16" t="s">
        <v>41</v>
      </c>
      <c r="F2263" s="18">
        <v>1386</v>
      </c>
      <c r="G2263" s="22">
        <v>63</v>
      </c>
      <c r="H2263" s="18">
        <v>3.4324595703529401</v>
      </c>
      <c r="I2263" s="18">
        <v>216.24495293223501</v>
      </c>
      <c r="J2263" s="18">
        <v>1169.75504706776</v>
      </c>
      <c r="K2263" s="22">
        <v>0</v>
      </c>
      <c r="L2263" s="22" t="str">
        <f t="shared" si="35"/>
        <v>46266, 7, 3</v>
      </c>
    </row>
    <row r="2264" spans="1:12">
      <c r="A2264" s="9">
        <v>46266</v>
      </c>
      <c r="B2264">
        <v>7</v>
      </c>
      <c r="C2264" s="16" t="s">
        <v>62</v>
      </c>
      <c r="D2264">
        <v>4</v>
      </c>
      <c r="E2264" s="16" t="s">
        <v>42</v>
      </c>
      <c r="F2264" s="18">
        <v>1692</v>
      </c>
      <c r="G2264" s="22">
        <v>94</v>
      </c>
      <c r="H2264" s="18">
        <v>7.07014420447058</v>
      </c>
      <c r="I2264" s="18">
        <v>664.59355522023498</v>
      </c>
      <c r="J2264" s="18">
        <v>1027.40644477976</v>
      </c>
      <c r="K2264" s="22">
        <v>0</v>
      </c>
      <c r="L2264" s="22" t="str">
        <f t="shared" si="35"/>
        <v>46266, 7, 4</v>
      </c>
    </row>
    <row r="2265" spans="1:12">
      <c r="A2265" s="9">
        <v>46266</v>
      </c>
      <c r="B2265">
        <v>7</v>
      </c>
      <c r="C2265" s="16" t="s">
        <v>62</v>
      </c>
      <c r="D2265">
        <v>5</v>
      </c>
      <c r="E2265" s="16" t="s">
        <v>43</v>
      </c>
      <c r="F2265" s="18">
        <v>1073</v>
      </c>
      <c r="G2265" s="22">
        <v>58</v>
      </c>
      <c r="H2265" s="18">
        <v>6.1881985294117596</v>
      </c>
      <c r="I2265" s="18">
        <v>358.915514705882</v>
      </c>
      <c r="J2265" s="18">
        <v>714.08448529411703</v>
      </c>
      <c r="K2265" s="22">
        <v>0</v>
      </c>
      <c r="L2265" s="22" t="str">
        <f t="shared" si="35"/>
        <v>46266, 7, 5</v>
      </c>
    </row>
    <row r="2266" spans="1:12">
      <c r="A2266" s="9">
        <v>46266</v>
      </c>
      <c r="B2266">
        <v>7</v>
      </c>
      <c r="C2266" s="16" t="s">
        <v>62</v>
      </c>
      <c r="D2266">
        <v>6</v>
      </c>
      <c r="E2266" s="16" t="s">
        <v>44</v>
      </c>
      <c r="F2266" s="18">
        <v>1794</v>
      </c>
      <c r="G2266" s="22">
        <v>92</v>
      </c>
      <c r="H2266" s="18">
        <v>4.5760568201666603</v>
      </c>
      <c r="I2266" s="18">
        <v>420.99722745533302</v>
      </c>
      <c r="J2266" s="18">
        <v>1373.00277254466</v>
      </c>
      <c r="K2266" s="22">
        <v>0</v>
      </c>
      <c r="L2266" s="22" t="str">
        <f t="shared" si="35"/>
        <v>46266, 7, 6</v>
      </c>
    </row>
    <row r="2267" spans="1:12">
      <c r="A2267" s="9">
        <v>46266</v>
      </c>
      <c r="B2267">
        <v>7</v>
      </c>
      <c r="C2267" s="16" t="s">
        <v>62</v>
      </c>
      <c r="D2267">
        <v>7</v>
      </c>
      <c r="E2267" s="16" t="s">
        <v>45</v>
      </c>
      <c r="F2267" s="18">
        <v>1413</v>
      </c>
      <c r="G2267" s="22">
        <v>157</v>
      </c>
      <c r="H2267" s="18">
        <v>2.88571530954545</v>
      </c>
      <c r="I2267" s="18">
        <v>453.057303598636</v>
      </c>
      <c r="J2267" s="18">
        <v>959.94269640136304</v>
      </c>
      <c r="K2267" s="22">
        <v>0</v>
      </c>
      <c r="L2267" s="22" t="str">
        <f t="shared" si="35"/>
        <v>46266, 7, 7</v>
      </c>
    </row>
    <row r="2268" spans="1:12">
      <c r="A2268" s="9">
        <v>46266</v>
      </c>
      <c r="B2268">
        <v>7</v>
      </c>
      <c r="C2268" s="16" t="s">
        <v>62</v>
      </c>
      <c r="D2268">
        <v>8</v>
      </c>
      <c r="E2268" s="16" t="s">
        <v>46</v>
      </c>
      <c r="F2268" s="18">
        <v>803</v>
      </c>
      <c r="G2268" s="22">
        <v>73</v>
      </c>
      <c r="H2268" s="18">
        <v>0.65401990878787797</v>
      </c>
      <c r="I2268" s="18">
        <v>47.743453341515099</v>
      </c>
      <c r="J2268" s="18">
        <v>755.25654665848401</v>
      </c>
      <c r="K2268" s="22">
        <v>0</v>
      </c>
      <c r="L2268" s="22" t="str">
        <f t="shared" si="35"/>
        <v>46266, 7, 8</v>
      </c>
    </row>
    <row r="2269" spans="1:12">
      <c r="A2269" s="9">
        <v>46266</v>
      </c>
      <c r="B2269">
        <v>7</v>
      </c>
      <c r="C2269" s="16" t="s">
        <v>62</v>
      </c>
      <c r="D2269">
        <v>9</v>
      </c>
      <c r="E2269" s="16" t="s">
        <v>47</v>
      </c>
      <c r="F2269" s="18">
        <v>1505</v>
      </c>
      <c r="G2269" s="22">
        <v>35</v>
      </c>
      <c r="H2269" s="18">
        <v>15.956151704395101</v>
      </c>
      <c r="I2269" s="18">
        <v>558.46530965383101</v>
      </c>
      <c r="J2269" s="18">
        <v>946.53469034616796</v>
      </c>
      <c r="K2269" s="22">
        <v>0</v>
      </c>
      <c r="L2269" s="22" t="str">
        <f t="shared" si="35"/>
        <v>46266, 7, 9</v>
      </c>
    </row>
    <row r="2270" spans="1:12">
      <c r="A2270" s="9">
        <v>46266</v>
      </c>
      <c r="B2270">
        <v>7</v>
      </c>
      <c r="C2270" s="16" t="s">
        <v>62</v>
      </c>
      <c r="D2270">
        <v>10</v>
      </c>
      <c r="E2270" s="16" t="s">
        <v>57</v>
      </c>
      <c r="F2270" s="18">
        <v>720</v>
      </c>
      <c r="G2270" s="22">
        <v>60</v>
      </c>
      <c r="H2270" s="18">
        <v>1.98855308271</v>
      </c>
      <c r="I2270" s="18">
        <v>119.3131849626</v>
      </c>
      <c r="J2270" s="18">
        <v>600.68681503740004</v>
      </c>
      <c r="K2270" s="22">
        <v>0</v>
      </c>
      <c r="L2270" s="22" t="str">
        <f t="shared" si="35"/>
        <v>46266, 7, 10</v>
      </c>
    </row>
    <row r="2271" spans="1:12">
      <c r="A2271" s="9">
        <v>46266</v>
      </c>
      <c r="B2271">
        <v>7</v>
      </c>
      <c r="C2271" s="16" t="s">
        <v>62</v>
      </c>
      <c r="D2271">
        <v>11</v>
      </c>
      <c r="E2271" s="16" t="s">
        <v>48</v>
      </c>
      <c r="F2271" s="18">
        <v>2479</v>
      </c>
      <c r="G2271" s="22">
        <v>134</v>
      </c>
      <c r="H2271" s="18">
        <v>2.1238257374999998</v>
      </c>
      <c r="I2271" s="18">
        <v>284.59264882500003</v>
      </c>
      <c r="J2271" s="18">
        <v>2194.4073511749998</v>
      </c>
      <c r="K2271" s="22">
        <v>0</v>
      </c>
      <c r="L2271" s="22" t="str">
        <f t="shared" si="35"/>
        <v>46266, 7, 11</v>
      </c>
    </row>
    <row r="2272" spans="1:12">
      <c r="A2272" s="9">
        <v>46266</v>
      </c>
      <c r="B2272">
        <v>7</v>
      </c>
      <c r="C2272" s="16" t="s">
        <v>62</v>
      </c>
      <c r="D2272">
        <v>12</v>
      </c>
      <c r="E2272" s="16" t="s">
        <v>49</v>
      </c>
      <c r="F2272" s="18">
        <v>1577</v>
      </c>
      <c r="G2272" s="22">
        <v>83</v>
      </c>
      <c r="H2272" s="18">
        <v>2.6026518907352898</v>
      </c>
      <c r="I2272" s="18">
        <v>216.02010693102901</v>
      </c>
      <c r="J2272" s="18">
        <v>1360.9798930689699</v>
      </c>
      <c r="K2272" s="22">
        <v>0</v>
      </c>
      <c r="L2272" s="22" t="str">
        <f t="shared" si="35"/>
        <v>46266, 7, 12</v>
      </c>
    </row>
    <row r="2273" spans="1:12">
      <c r="A2273" s="9">
        <v>46266</v>
      </c>
      <c r="B2273">
        <v>7</v>
      </c>
      <c r="C2273" s="16" t="s">
        <v>62</v>
      </c>
      <c r="D2273">
        <v>13</v>
      </c>
      <c r="E2273" s="16" t="s">
        <v>50</v>
      </c>
      <c r="F2273" s="18">
        <v>2008.5</v>
      </c>
      <c r="G2273" s="22">
        <v>103</v>
      </c>
      <c r="H2273" s="18">
        <v>7.002847</v>
      </c>
      <c r="I2273" s="18">
        <v>721.29324099999997</v>
      </c>
      <c r="J2273" s="18">
        <v>1287.2067589999999</v>
      </c>
      <c r="K2273" s="22">
        <v>0</v>
      </c>
      <c r="L2273" s="22" t="str">
        <f t="shared" si="35"/>
        <v>46266, 7, 13</v>
      </c>
    </row>
    <row r="2274" spans="1:12">
      <c r="A2274" s="9">
        <v>46266</v>
      </c>
      <c r="B2274">
        <v>7</v>
      </c>
      <c r="C2274" s="16" t="s">
        <v>62</v>
      </c>
      <c r="D2274">
        <v>14</v>
      </c>
      <c r="E2274" s="16" t="s">
        <v>51</v>
      </c>
      <c r="F2274" s="18">
        <v>1543.5</v>
      </c>
      <c r="G2274" s="22">
        <v>63</v>
      </c>
      <c r="H2274" s="18">
        <v>3.95029887030769</v>
      </c>
      <c r="I2274" s="18">
        <v>248.868828829384</v>
      </c>
      <c r="J2274" s="18">
        <v>1294.6311711706101</v>
      </c>
      <c r="K2274" s="22">
        <v>0</v>
      </c>
      <c r="L2274" s="22" t="str">
        <f t="shared" si="35"/>
        <v>46266, 7, 14</v>
      </c>
    </row>
    <row r="2275" spans="1:12">
      <c r="A2275" s="9">
        <v>46266</v>
      </c>
      <c r="B2275">
        <v>7</v>
      </c>
      <c r="C2275" s="16" t="s">
        <v>62</v>
      </c>
      <c r="D2275">
        <v>15</v>
      </c>
      <c r="E2275" s="16" t="s">
        <v>52</v>
      </c>
      <c r="F2275" s="18">
        <v>2709</v>
      </c>
      <c r="G2275" s="22">
        <v>129</v>
      </c>
      <c r="H2275" s="18">
        <v>2.4684100643076898</v>
      </c>
      <c r="I2275" s="18">
        <v>318.424898295692</v>
      </c>
      <c r="J2275" s="18">
        <v>2390.5751017042999</v>
      </c>
      <c r="K2275" s="22">
        <v>0</v>
      </c>
      <c r="L2275" s="22" t="str">
        <f t="shared" si="35"/>
        <v>46266, 7, 15</v>
      </c>
    </row>
    <row r="2276" spans="1:12">
      <c r="A2276" s="9">
        <v>46266</v>
      </c>
      <c r="B2276">
        <v>7</v>
      </c>
      <c r="C2276" s="16" t="s">
        <v>62</v>
      </c>
      <c r="D2276">
        <v>16</v>
      </c>
      <c r="E2276" s="16" t="s">
        <v>53</v>
      </c>
      <c r="F2276" s="18">
        <v>630</v>
      </c>
      <c r="G2276" s="22">
        <v>84</v>
      </c>
      <c r="H2276" s="18">
        <v>1.43225269467948</v>
      </c>
      <c r="I2276" s="18">
        <v>120.309226353076</v>
      </c>
      <c r="J2276" s="18">
        <v>509.69077364692299</v>
      </c>
      <c r="K2276" s="22">
        <v>0</v>
      </c>
      <c r="L2276" s="22" t="str">
        <f t="shared" si="35"/>
        <v>46266, 7, 16</v>
      </c>
    </row>
    <row r="2277" spans="1:12">
      <c r="A2277" s="9">
        <v>46266</v>
      </c>
      <c r="B2277">
        <v>7</v>
      </c>
      <c r="C2277" s="16" t="s">
        <v>62</v>
      </c>
      <c r="D2277">
        <v>17</v>
      </c>
      <c r="E2277" s="16" t="s">
        <v>54</v>
      </c>
      <c r="F2277" s="18">
        <v>980</v>
      </c>
      <c r="G2277" s="22">
        <v>140</v>
      </c>
      <c r="H2277" s="18">
        <v>1.4003902500000001</v>
      </c>
      <c r="I2277" s="18">
        <v>196.05463499999999</v>
      </c>
      <c r="J2277" s="18">
        <v>783.94536500000004</v>
      </c>
      <c r="K2277" s="22">
        <v>0</v>
      </c>
      <c r="L2277" s="22" t="str">
        <f t="shared" si="35"/>
        <v>46266, 7, 17</v>
      </c>
    </row>
    <row r="2278" spans="1:12">
      <c r="A2278" s="9">
        <v>46266</v>
      </c>
      <c r="B2278">
        <v>7</v>
      </c>
      <c r="C2278" s="16" t="s">
        <v>62</v>
      </c>
      <c r="D2278">
        <v>18</v>
      </c>
      <c r="E2278" s="16" t="s">
        <v>55</v>
      </c>
      <c r="F2278" s="18">
        <v>1004.5</v>
      </c>
      <c r="G2278" s="22">
        <v>49</v>
      </c>
      <c r="H2278" s="18">
        <v>5.9082382150227204</v>
      </c>
      <c r="I2278" s="18">
        <v>289.50367253611302</v>
      </c>
      <c r="J2278" s="18">
        <v>714.99632746388602</v>
      </c>
      <c r="K2278" s="22">
        <v>0</v>
      </c>
      <c r="L2278" s="22" t="str">
        <f t="shared" si="35"/>
        <v>46266, 7, 18</v>
      </c>
    </row>
    <row r="2279" spans="1:12">
      <c r="A2279" s="9">
        <v>45689</v>
      </c>
      <c r="B2279">
        <v>8</v>
      </c>
      <c r="C2279" s="16" t="s">
        <v>63</v>
      </c>
      <c r="D2279">
        <v>1</v>
      </c>
      <c r="E2279" s="16" t="s">
        <v>38</v>
      </c>
      <c r="F2279" s="18">
        <v>1483.5</v>
      </c>
      <c r="G2279" s="22">
        <v>69</v>
      </c>
      <c r="H2279" s="18">
        <v>4.3437877083333296</v>
      </c>
      <c r="I2279" s="18">
        <v>299.72135187499902</v>
      </c>
      <c r="J2279" s="18">
        <v>1183.778648125</v>
      </c>
      <c r="K2279" s="22">
        <v>0</v>
      </c>
      <c r="L2279" s="22" t="str">
        <f t="shared" si="35"/>
        <v>45689, 8, 1</v>
      </c>
    </row>
    <row r="2280" spans="1:12">
      <c r="A2280" s="9">
        <v>45689</v>
      </c>
      <c r="B2280">
        <v>8</v>
      </c>
      <c r="C2280" s="16" t="s">
        <v>63</v>
      </c>
      <c r="D2280">
        <v>2</v>
      </c>
      <c r="E2280" s="16" t="s">
        <v>40</v>
      </c>
      <c r="F2280" s="18">
        <v>1704</v>
      </c>
      <c r="G2280" s="22">
        <v>71</v>
      </c>
      <c r="H2280" s="18">
        <v>7.3611043181818099</v>
      </c>
      <c r="I2280" s="18">
        <v>522.63840659090897</v>
      </c>
      <c r="J2280" s="18">
        <v>1181.3615934090899</v>
      </c>
      <c r="K2280" s="22">
        <v>0</v>
      </c>
      <c r="L2280" s="22" t="str">
        <f t="shared" si="35"/>
        <v>45689, 8, 2</v>
      </c>
    </row>
    <row r="2281" spans="1:12">
      <c r="A2281" s="9">
        <v>45689</v>
      </c>
      <c r="B2281">
        <v>8</v>
      </c>
      <c r="C2281" s="16" t="s">
        <v>63</v>
      </c>
      <c r="D2281">
        <v>3</v>
      </c>
      <c r="E2281" s="16" t="s">
        <v>41</v>
      </c>
      <c r="F2281" s="18">
        <v>950</v>
      </c>
      <c r="G2281" s="22">
        <v>38</v>
      </c>
      <c r="H2281" s="18">
        <v>3.6503663968</v>
      </c>
      <c r="I2281" s="18">
        <v>138.7139230784</v>
      </c>
      <c r="J2281" s="18">
        <v>811.28607692160006</v>
      </c>
      <c r="K2281" s="22">
        <v>0</v>
      </c>
      <c r="L2281" s="22" t="str">
        <f t="shared" si="35"/>
        <v>45689, 8, 3</v>
      </c>
    </row>
    <row r="2282" spans="1:12">
      <c r="A2282" s="9">
        <v>45689</v>
      </c>
      <c r="B2282">
        <v>8</v>
      </c>
      <c r="C2282" s="16" t="s">
        <v>63</v>
      </c>
      <c r="D2282">
        <v>4</v>
      </c>
      <c r="E2282" s="16" t="s">
        <v>42</v>
      </c>
      <c r="F2282" s="18">
        <v>1148</v>
      </c>
      <c r="G2282" s="22">
        <v>56</v>
      </c>
      <c r="H2282" s="18">
        <v>7.7640183379999996</v>
      </c>
      <c r="I2282" s="18">
        <v>434.78502692799998</v>
      </c>
      <c r="J2282" s="18">
        <v>713.21497307200002</v>
      </c>
      <c r="K2282" s="22">
        <v>0</v>
      </c>
      <c r="L2282" s="22" t="str">
        <f t="shared" si="35"/>
        <v>45689, 8, 4</v>
      </c>
    </row>
    <row r="2283" spans="1:12">
      <c r="A2283" s="9">
        <v>45689</v>
      </c>
      <c r="B2283">
        <v>8</v>
      </c>
      <c r="C2283" s="16" t="s">
        <v>63</v>
      </c>
      <c r="D2283">
        <v>5</v>
      </c>
      <c r="E2283" s="16" t="s">
        <v>43</v>
      </c>
      <c r="F2283" s="18">
        <v>336</v>
      </c>
      <c r="G2283" s="22">
        <v>16</v>
      </c>
      <c r="H2283" s="18">
        <v>7.2870454545454502</v>
      </c>
      <c r="I2283" s="18">
        <v>116.592727272727</v>
      </c>
      <c r="J2283" s="18">
        <v>219.40727272727199</v>
      </c>
      <c r="K2283" s="22">
        <v>0</v>
      </c>
      <c r="L2283" s="22" t="str">
        <f t="shared" si="35"/>
        <v>45689, 8, 5</v>
      </c>
    </row>
    <row r="2284" spans="1:12">
      <c r="A2284" s="9">
        <v>45689</v>
      </c>
      <c r="B2284">
        <v>8</v>
      </c>
      <c r="C2284" s="16" t="s">
        <v>63</v>
      </c>
      <c r="D2284">
        <v>6</v>
      </c>
      <c r="E2284" s="16" t="s">
        <v>44</v>
      </c>
      <c r="F2284" s="18">
        <v>1417.5</v>
      </c>
      <c r="G2284" s="22">
        <v>63</v>
      </c>
      <c r="H2284" s="18">
        <v>5.1061153173499996</v>
      </c>
      <c r="I2284" s="18">
        <v>321.68526499305</v>
      </c>
      <c r="J2284" s="18">
        <v>1095.8147350069501</v>
      </c>
      <c r="K2284" s="22">
        <v>0</v>
      </c>
      <c r="L2284" s="22" t="str">
        <f t="shared" si="35"/>
        <v>45689, 8, 6</v>
      </c>
    </row>
    <row r="2285" spans="1:12">
      <c r="A2285" s="9">
        <v>45689</v>
      </c>
      <c r="B2285">
        <v>8</v>
      </c>
      <c r="C2285" s="16" t="s">
        <v>63</v>
      </c>
      <c r="D2285">
        <v>7</v>
      </c>
      <c r="E2285" s="16" t="s">
        <v>45</v>
      </c>
      <c r="F2285" s="18">
        <v>913.5</v>
      </c>
      <c r="G2285" s="22">
        <v>87</v>
      </c>
      <c r="H2285" s="18">
        <v>2.9625767573076902</v>
      </c>
      <c r="I2285" s="18">
        <v>257.74417788576898</v>
      </c>
      <c r="J2285" s="18">
        <v>655.75582211423</v>
      </c>
      <c r="K2285" s="22">
        <v>0</v>
      </c>
      <c r="L2285" s="22" t="str">
        <f t="shared" si="35"/>
        <v>45689, 8, 7</v>
      </c>
    </row>
    <row r="2286" spans="1:12">
      <c r="A2286" s="9">
        <v>45689</v>
      </c>
      <c r="B2286">
        <v>8</v>
      </c>
      <c r="C2286" s="16" t="s">
        <v>63</v>
      </c>
      <c r="D2286">
        <v>8</v>
      </c>
      <c r="E2286" s="16" t="s">
        <v>46</v>
      </c>
      <c r="F2286" s="18">
        <v>540</v>
      </c>
      <c r="G2286" s="22">
        <v>45</v>
      </c>
      <c r="H2286" s="18">
        <v>0.68663306393939305</v>
      </c>
      <c r="I2286" s="18">
        <v>30.8984878772727</v>
      </c>
      <c r="J2286" s="18">
        <v>509.101512122727</v>
      </c>
      <c r="K2286" s="22">
        <v>0</v>
      </c>
      <c r="L2286" s="22" t="str">
        <f t="shared" si="35"/>
        <v>45689, 8, 8</v>
      </c>
    </row>
    <row r="2287" spans="1:12">
      <c r="A2287" s="9">
        <v>45689</v>
      </c>
      <c r="B2287">
        <v>8</v>
      </c>
      <c r="C2287" s="16" t="s">
        <v>63</v>
      </c>
      <c r="D2287">
        <v>9</v>
      </c>
      <c r="E2287" s="16" t="s">
        <v>47</v>
      </c>
      <c r="F2287" s="18">
        <v>1455</v>
      </c>
      <c r="G2287" s="22">
        <v>30</v>
      </c>
      <c r="H2287" s="18">
        <v>18.8091840972291</v>
      </c>
      <c r="I2287" s="18">
        <v>564.275522916873</v>
      </c>
      <c r="J2287" s="18">
        <v>890.72447708312598</v>
      </c>
      <c r="K2287" s="22">
        <v>0</v>
      </c>
      <c r="L2287" s="22" t="str">
        <f t="shared" si="35"/>
        <v>45689, 8, 9</v>
      </c>
    </row>
    <row r="2288" spans="1:12">
      <c r="A2288" s="9">
        <v>45689</v>
      </c>
      <c r="B2288">
        <v>8</v>
      </c>
      <c r="C2288" s="16" t="s">
        <v>63</v>
      </c>
      <c r="D2288">
        <v>10</v>
      </c>
      <c r="E2288" s="16" t="s">
        <v>57</v>
      </c>
      <c r="F2288" s="18">
        <v>658</v>
      </c>
      <c r="G2288" s="22">
        <v>47</v>
      </c>
      <c r="H2288" s="18">
        <v>2.1609209158249998</v>
      </c>
      <c r="I2288" s="18">
        <v>101.563283043775</v>
      </c>
      <c r="J2288" s="18">
        <v>556.43671695622504</v>
      </c>
      <c r="K2288" s="22">
        <v>0</v>
      </c>
      <c r="L2288" s="22" t="str">
        <f t="shared" si="35"/>
        <v>45689, 8, 10</v>
      </c>
    </row>
    <row r="2289" spans="1:12">
      <c r="A2289" s="9">
        <v>45689</v>
      </c>
      <c r="B2289">
        <v>8</v>
      </c>
      <c r="C2289" s="16" t="s">
        <v>63</v>
      </c>
      <c r="D2289">
        <v>11</v>
      </c>
      <c r="E2289" s="16" t="s">
        <v>48</v>
      </c>
      <c r="F2289" s="18">
        <v>1260</v>
      </c>
      <c r="G2289" s="22">
        <v>60</v>
      </c>
      <c r="H2289" s="18">
        <v>2.1329473906250001</v>
      </c>
      <c r="I2289" s="18">
        <v>127.97684343749999</v>
      </c>
      <c r="J2289" s="18">
        <v>1132.0231565624999</v>
      </c>
      <c r="K2289" s="22">
        <v>0</v>
      </c>
      <c r="L2289" s="22" t="str">
        <f t="shared" si="35"/>
        <v>45689, 8, 11</v>
      </c>
    </row>
    <row r="2290" spans="1:12">
      <c r="A2290" s="9">
        <v>45689</v>
      </c>
      <c r="B2290">
        <v>8</v>
      </c>
      <c r="C2290" s="16" t="s">
        <v>63</v>
      </c>
      <c r="D2290">
        <v>12</v>
      </c>
      <c r="E2290" s="16" t="s">
        <v>49</v>
      </c>
      <c r="F2290" s="18">
        <v>1290</v>
      </c>
      <c r="G2290" s="22">
        <v>60</v>
      </c>
      <c r="H2290" s="18">
        <v>2.6392605700499998</v>
      </c>
      <c r="I2290" s="18">
        <v>158.35563420299999</v>
      </c>
      <c r="J2290" s="18">
        <v>1131.6443657970001</v>
      </c>
      <c r="K2290" s="22">
        <v>0</v>
      </c>
      <c r="L2290" s="22" t="str">
        <f t="shared" si="35"/>
        <v>45689, 8, 12</v>
      </c>
    </row>
    <row r="2291" spans="1:12">
      <c r="A2291" s="9">
        <v>45689</v>
      </c>
      <c r="B2291">
        <v>8</v>
      </c>
      <c r="C2291" s="16" t="s">
        <v>63</v>
      </c>
      <c r="D2291">
        <v>13</v>
      </c>
      <c r="E2291" s="16" t="s">
        <v>50</v>
      </c>
      <c r="F2291" s="18">
        <v>1305</v>
      </c>
      <c r="G2291" s="22">
        <v>58</v>
      </c>
      <c r="H2291" s="18">
        <v>7.2173836666666604</v>
      </c>
      <c r="I2291" s="18">
        <v>418.60825266666598</v>
      </c>
      <c r="J2291" s="18">
        <v>886.391747333333</v>
      </c>
      <c r="K2291" s="22">
        <v>0</v>
      </c>
      <c r="L2291" s="22" t="str">
        <f t="shared" si="35"/>
        <v>45689, 8, 13</v>
      </c>
    </row>
    <row r="2292" spans="1:12">
      <c r="A2292" s="9">
        <v>45689</v>
      </c>
      <c r="B2292">
        <v>8</v>
      </c>
      <c r="C2292" s="16" t="s">
        <v>63</v>
      </c>
      <c r="D2292">
        <v>14</v>
      </c>
      <c r="E2292" s="16" t="s">
        <v>51</v>
      </c>
      <c r="F2292" s="18">
        <v>1045</v>
      </c>
      <c r="G2292" s="22">
        <v>38</v>
      </c>
      <c r="H2292" s="18">
        <v>4.8577033530666602</v>
      </c>
      <c r="I2292" s="18">
        <v>184.59272741653299</v>
      </c>
      <c r="J2292" s="18">
        <v>860.40727258346601</v>
      </c>
      <c r="K2292" s="22">
        <v>0</v>
      </c>
      <c r="L2292" s="22" t="str">
        <f t="shared" si="35"/>
        <v>45689, 8, 14</v>
      </c>
    </row>
    <row r="2293" spans="1:12">
      <c r="A2293" s="9">
        <v>45689</v>
      </c>
      <c r="B2293">
        <v>8</v>
      </c>
      <c r="C2293" s="16" t="s">
        <v>63</v>
      </c>
      <c r="D2293">
        <v>15</v>
      </c>
      <c r="E2293" s="16" t="s">
        <v>52</v>
      </c>
      <c r="F2293" s="18">
        <v>1176</v>
      </c>
      <c r="G2293" s="22">
        <v>49</v>
      </c>
      <c r="H2293" s="18">
        <v>2.91435071027272</v>
      </c>
      <c r="I2293" s="18">
        <v>142.803184803363</v>
      </c>
      <c r="J2293" s="18">
        <v>1033.19681519663</v>
      </c>
      <c r="K2293" s="22">
        <v>0</v>
      </c>
      <c r="L2293" s="22" t="str">
        <f t="shared" si="35"/>
        <v>45689, 8, 15</v>
      </c>
    </row>
    <row r="2294" spans="1:12">
      <c r="A2294" s="9">
        <v>45689</v>
      </c>
      <c r="B2294">
        <v>8</v>
      </c>
      <c r="C2294" s="16" t="s">
        <v>63</v>
      </c>
      <c r="D2294">
        <v>16</v>
      </c>
      <c r="E2294" s="16" t="s">
        <v>53</v>
      </c>
      <c r="F2294" s="18">
        <v>423</v>
      </c>
      <c r="G2294" s="22">
        <v>47</v>
      </c>
      <c r="H2294" s="18">
        <v>1.64311099451388</v>
      </c>
      <c r="I2294" s="18">
        <v>77.226216742152701</v>
      </c>
      <c r="J2294" s="18">
        <v>345.77378325784701</v>
      </c>
      <c r="K2294" s="22">
        <v>0</v>
      </c>
      <c r="L2294" s="22" t="str">
        <f t="shared" si="35"/>
        <v>45689, 8, 16</v>
      </c>
    </row>
    <row r="2295" spans="1:12">
      <c r="A2295" s="9">
        <v>45689</v>
      </c>
      <c r="B2295">
        <v>8</v>
      </c>
      <c r="C2295" s="16" t="s">
        <v>63</v>
      </c>
      <c r="D2295">
        <v>17</v>
      </c>
      <c r="E2295" s="16" t="s">
        <v>54</v>
      </c>
      <c r="F2295" s="18">
        <v>367.5</v>
      </c>
      <c r="G2295" s="22">
        <v>49</v>
      </c>
      <c r="H2295" s="18">
        <v>1.4880637888888799</v>
      </c>
      <c r="I2295" s="18">
        <v>72.915125655555499</v>
      </c>
      <c r="J2295" s="18">
        <v>294.58487434444402</v>
      </c>
      <c r="K2295" s="22">
        <v>0</v>
      </c>
      <c r="L2295" s="22" t="str">
        <f t="shared" si="35"/>
        <v>45689, 8, 17</v>
      </c>
    </row>
    <row r="2296" spans="1:12">
      <c r="A2296" s="9">
        <v>45689</v>
      </c>
      <c r="B2296">
        <v>8</v>
      </c>
      <c r="C2296" s="16" t="s">
        <v>63</v>
      </c>
      <c r="D2296">
        <v>18</v>
      </c>
      <c r="E2296" s="16" t="s">
        <v>55</v>
      </c>
      <c r="F2296" s="18">
        <v>529</v>
      </c>
      <c r="G2296" s="22">
        <v>23</v>
      </c>
      <c r="H2296" s="18">
        <v>6.2976390802499997</v>
      </c>
      <c r="I2296" s="18">
        <v>144.84569884575001</v>
      </c>
      <c r="J2296" s="18">
        <v>384.15430115424999</v>
      </c>
      <c r="K2296" s="22">
        <v>0</v>
      </c>
      <c r="L2296" s="22" t="str">
        <f t="shared" si="35"/>
        <v>45689, 8, 18</v>
      </c>
    </row>
    <row r="2297" spans="1:12">
      <c r="A2297" s="9">
        <v>45717</v>
      </c>
      <c r="B2297">
        <v>8</v>
      </c>
      <c r="C2297" s="16" t="s">
        <v>63</v>
      </c>
      <c r="D2297">
        <v>1</v>
      </c>
      <c r="E2297" s="16" t="s">
        <v>38</v>
      </c>
      <c r="F2297" s="18">
        <v>1849</v>
      </c>
      <c r="G2297" s="22">
        <v>86</v>
      </c>
      <c r="H2297" s="18">
        <v>4.3643963076923002</v>
      </c>
      <c r="I2297" s="18">
        <v>375.33808246153802</v>
      </c>
      <c r="J2297" s="18">
        <v>1473.6619175384601</v>
      </c>
      <c r="K2297" s="22">
        <v>0</v>
      </c>
      <c r="L2297" s="22" t="str">
        <f t="shared" si="35"/>
        <v>45717, 8, 1</v>
      </c>
    </row>
    <row r="2298" spans="1:12">
      <c r="A2298" s="9">
        <v>45717</v>
      </c>
      <c r="B2298">
        <v>8</v>
      </c>
      <c r="C2298" s="16" t="s">
        <v>63</v>
      </c>
      <c r="D2298">
        <v>2</v>
      </c>
      <c r="E2298" s="16" t="s">
        <v>40</v>
      </c>
      <c r="F2298" s="18">
        <v>1800</v>
      </c>
      <c r="G2298" s="22">
        <v>75</v>
      </c>
      <c r="H2298" s="18">
        <v>7.4155414283333299</v>
      </c>
      <c r="I2298" s="18">
        <v>556.16560712499904</v>
      </c>
      <c r="J2298" s="18">
        <v>1243.834392875</v>
      </c>
      <c r="K2298" s="22">
        <v>0</v>
      </c>
      <c r="L2298" s="22" t="str">
        <f t="shared" si="35"/>
        <v>45717, 8, 2</v>
      </c>
    </row>
    <row r="2299" spans="1:12">
      <c r="A2299" s="9">
        <v>45717</v>
      </c>
      <c r="B2299">
        <v>8</v>
      </c>
      <c r="C2299" s="16" t="s">
        <v>63</v>
      </c>
      <c r="D2299">
        <v>3</v>
      </c>
      <c r="E2299" s="16" t="s">
        <v>41</v>
      </c>
      <c r="F2299" s="18">
        <v>1300</v>
      </c>
      <c r="G2299" s="22">
        <v>52</v>
      </c>
      <c r="H2299" s="18">
        <v>3.7018790263636299</v>
      </c>
      <c r="I2299" s="18">
        <v>192.49770937090901</v>
      </c>
      <c r="J2299" s="18">
        <v>1107.5022906290901</v>
      </c>
      <c r="K2299" s="22">
        <v>0</v>
      </c>
      <c r="L2299" s="22" t="str">
        <f t="shared" si="35"/>
        <v>45717, 8, 3</v>
      </c>
    </row>
    <row r="2300" spans="1:12">
      <c r="A2300" s="9">
        <v>45717</v>
      </c>
      <c r="B2300">
        <v>8</v>
      </c>
      <c r="C2300" s="16" t="s">
        <v>63</v>
      </c>
      <c r="D2300">
        <v>4</v>
      </c>
      <c r="E2300" s="16" t="s">
        <v>42</v>
      </c>
      <c r="F2300" s="18">
        <v>1373.5</v>
      </c>
      <c r="G2300" s="22">
        <v>67</v>
      </c>
      <c r="H2300" s="18">
        <v>7.7095838346000001</v>
      </c>
      <c r="I2300" s="18">
        <v>516.54211691820001</v>
      </c>
      <c r="J2300" s="18">
        <v>856.95788308179999</v>
      </c>
      <c r="K2300" s="22">
        <v>0</v>
      </c>
      <c r="L2300" s="22" t="str">
        <f t="shared" si="35"/>
        <v>45717, 8, 4</v>
      </c>
    </row>
    <row r="2301" spans="1:12">
      <c r="A2301" s="9">
        <v>45717</v>
      </c>
      <c r="B2301">
        <v>8</v>
      </c>
      <c r="C2301" s="16" t="s">
        <v>63</v>
      </c>
      <c r="D2301">
        <v>5</v>
      </c>
      <c r="E2301" s="16" t="s">
        <v>43</v>
      </c>
      <c r="F2301" s="18">
        <v>588</v>
      </c>
      <c r="G2301" s="22">
        <v>28</v>
      </c>
      <c r="H2301" s="18">
        <v>7.1963333333333299</v>
      </c>
      <c r="I2301" s="18">
        <v>201.49733333333299</v>
      </c>
      <c r="J2301" s="18">
        <v>386.50266666666602</v>
      </c>
      <c r="K2301" s="22">
        <v>0</v>
      </c>
      <c r="L2301" s="22" t="str">
        <f t="shared" si="35"/>
        <v>45717, 8, 5</v>
      </c>
    </row>
    <row r="2302" spans="1:12">
      <c r="A2302" s="9">
        <v>45717</v>
      </c>
      <c r="B2302">
        <v>8</v>
      </c>
      <c r="C2302" s="16" t="s">
        <v>63</v>
      </c>
      <c r="D2302">
        <v>6</v>
      </c>
      <c r="E2302" s="16" t="s">
        <v>44</v>
      </c>
      <c r="F2302" s="18">
        <v>1777.5</v>
      </c>
      <c r="G2302" s="22">
        <v>79</v>
      </c>
      <c r="H2302" s="18">
        <v>5.1474461409999996</v>
      </c>
      <c r="I2302" s="18">
        <v>406.64824513899998</v>
      </c>
      <c r="J2302" s="18">
        <v>1370.851754861</v>
      </c>
      <c r="K2302" s="22">
        <v>0</v>
      </c>
      <c r="L2302" s="22" t="str">
        <f t="shared" si="35"/>
        <v>45717, 8, 6</v>
      </c>
    </row>
    <row r="2303" spans="1:12">
      <c r="A2303" s="9">
        <v>45717</v>
      </c>
      <c r="B2303">
        <v>8</v>
      </c>
      <c r="C2303" s="16" t="s">
        <v>63</v>
      </c>
      <c r="D2303">
        <v>7</v>
      </c>
      <c r="E2303" s="16" t="s">
        <v>45</v>
      </c>
      <c r="F2303" s="18">
        <v>1029</v>
      </c>
      <c r="G2303" s="22">
        <v>98</v>
      </c>
      <c r="H2303" s="18">
        <v>2.96728686107142</v>
      </c>
      <c r="I2303" s="18">
        <v>290.79411238499898</v>
      </c>
      <c r="J2303" s="18">
        <v>738.20588761500005</v>
      </c>
      <c r="K2303" s="22">
        <v>0</v>
      </c>
      <c r="L2303" s="22" t="str">
        <f t="shared" si="35"/>
        <v>45717, 8, 7</v>
      </c>
    </row>
    <row r="2304" spans="1:12">
      <c r="A2304" s="9">
        <v>45717</v>
      </c>
      <c r="B2304">
        <v>8</v>
      </c>
      <c r="C2304" s="16" t="s">
        <v>63</v>
      </c>
      <c r="D2304">
        <v>8</v>
      </c>
      <c r="E2304" s="16" t="s">
        <v>46</v>
      </c>
      <c r="F2304" s="18">
        <v>780</v>
      </c>
      <c r="G2304" s="22">
        <v>65</v>
      </c>
      <c r="H2304" s="18">
        <v>0.72456857111111095</v>
      </c>
      <c r="I2304" s="18">
        <v>47.0969571222222</v>
      </c>
      <c r="J2304" s="18">
        <v>732.90304287777701</v>
      </c>
      <c r="K2304" s="22">
        <v>0</v>
      </c>
      <c r="L2304" s="22" t="str">
        <f t="shared" si="35"/>
        <v>45717, 8, 8</v>
      </c>
    </row>
    <row r="2305" spans="1:12">
      <c r="A2305" s="9">
        <v>45717</v>
      </c>
      <c r="B2305">
        <v>8</v>
      </c>
      <c r="C2305" s="16" t="s">
        <v>63</v>
      </c>
      <c r="D2305">
        <v>9</v>
      </c>
      <c r="E2305" s="16" t="s">
        <v>47</v>
      </c>
      <c r="F2305" s="18">
        <v>824.5</v>
      </c>
      <c r="G2305" s="22">
        <v>17</v>
      </c>
      <c r="H2305" s="18">
        <v>18.882943975497099</v>
      </c>
      <c r="I2305" s="18">
        <v>321.01004758345101</v>
      </c>
      <c r="J2305" s="18">
        <v>503.48995241654802</v>
      </c>
      <c r="K2305" s="22">
        <v>0</v>
      </c>
      <c r="L2305" s="22" t="str">
        <f t="shared" si="35"/>
        <v>45717, 8, 9</v>
      </c>
    </row>
    <row r="2306" spans="1:12">
      <c r="A2306" s="9">
        <v>45717</v>
      </c>
      <c r="B2306">
        <v>8</v>
      </c>
      <c r="C2306" s="16" t="s">
        <v>63</v>
      </c>
      <c r="D2306">
        <v>10</v>
      </c>
      <c r="E2306" s="16" t="s">
        <v>57</v>
      </c>
      <c r="F2306" s="18">
        <v>476</v>
      </c>
      <c r="G2306" s="22">
        <v>34</v>
      </c>
      <c r="H2306" s="18">
        <v>2.0955215781800001</v>
      </c>
      <c r="I2306" s="18">
        <v>71.247733658119998</v>
      </c>
      <c r="J2306" s="18">
        <v>404.75226634187999</v>
      </c>
      <c r="K2306" s="22">
        <v>0</v>
      </c>
      <c r="L2306" s="22" t="str">
        <f t="shared" si="35"/>
        <v>45717, 8, 10</v>
      </c>
    </row>
    <row r="2307" spans="1:12">
      <c r="A2307" s="9">
        <v>45717</v>
      </c>
      <c r="B2307">
        <v>8</v>
      </c>
      <c r="C2307" s="16" t="s">
        <v>63</v>
      </c>
      <c r="D2307">
        <v>11</v>
      </c>
      <c r="E2307" s="16" t="s">
        <v>48</v>
      </c>
      <c r="F2307" s="18">
        <v>1218</v>
      </c>
      <c r="G2307" s="22">
        <v>58</v>
      </c>
      <c r="H2307" s="18">
        <v>2.1439853250000001</v>
      </c>
      <c r="I2307" s="18">
        <v>124.35114885</v>
      </c>
      <c r="J2307" s="18">
        <v>1093.6488511499999</v>
      </c>
      <c r="K2307" s="22">
        <v>0</v>
      </c>
      <c r="L2307" s="22" t="str">
        <f t="shared" ref="L2307:L2370" si="36">(A2307&amp; ", "&amp; B2307&amp; ", "&amp; D2307)</f>
        <v>45717, 8, 11</v>
      </c>
    </row>
    <row r="2308" spans="1:12">
      <c r="A2308" s="9">
        <v>45717</v>
      </c>
      <c r="B2308">
        <v>8</v>
      </c>
      <c r="C2308" s="16" t="s">
        <v>63</v>
      </c>
      <c r="D2308">
        <v>12</v>
      </c>
      <c r="E2308" s="16" t="s">
        <v>49</v>
      </c>
      <c r="F2308" s="18">
        <v>1419</v>
      </c>
      <c r="G2308" s="22">
        <v>66</v>
      </c>
      <c r="H2308" s="18">
        <v>2.6953956561250001</v>
      </c>
      <c r="I2308" s="18">
        <v>177.89611330425001</v>
      </c>
      <c r="J2308" s="18">
        <v>1241.1038866957499</v>
      </c>
      <c r="K2308" s="22">
        <v>0</v>
      </c>
      <c r="L2308" s="22" t="str">
        <f t="shared" si="36"/>
        <v>45717, 8, 12</v>
      </c>
    </row>
    <row r="2309" spans="1:12">
      <c r="A2309" s="9">
        <v>45717</v>
      </c>
      <c r="B2309">
        <v>8</v>
      </c>
      <c r="C2309" s="16" t="s">
        <v>63</v>
      </c>
      <c r="D2309">
        <v>13</v>
      </c>
      <c r="E2309" s="16" t="s">
        <v>50</v>
      </c>
      <c r="F2309" s="18">
        <v>1327.5</v>
      </c>
      <c r="G2309" s="22">
        <v>59</v>
      </c>
      <c r="H2309" s="18">
        <v>7.2487860624999998</v>
      </c>
      <c r="I2309" s="18">
        <v>427.67837768750002</v>
      </c>
      <c r="J2309" s="18">
        <v>899.82162231250004</v>
      </c>
      <c r="K2309" s="22">
        <v>0</v>
      </c>
      <c r="L2309" s="22" t="str">
        <f t="shared" si="36"/>
        <v>45717, 8, 13</v>
      </c>
    </row>
    <row r="2310" spans="1:12">
      <c r="A2310" s="9">
        <v>45717</v>
      </c>
      <c r="B2310">
        <v>8</v>
      </c>
      <c r="C2310" s="16" t="s">
        <v>63</v>
      </c>
      <c r="D2310">
        <v>14</v>
      </c>
      <c r="E2310" s="16" t="s">
        <v>51</v>
      </c>
      <c r="F2310" s="18">
        <v>990</v>
      </c>
      <c r="G2310" s="22">
        <v>36</v>
      </c>
      <c r="H2310" s="18">
        <v>4.8657575509358901</v>
      </c>
      <c r="I2310" s="18">
        <v>175.16727183369201</v>
      </c>
      <c r="J2310" s="18">
        <v>814.83272816630699</v>
      </c>
      <c r="K2310" s="22">
        <v>0</v>
      </c>
      <c r="L2310" s="22" t="str">
        <f t="shared" si="36"/>
        <v>45717, 8, 14</v>
      </c>
    </row>
    <row r="2311" spans="1:12">
      <c r="A2311" s="9">
        <v>45717</v>
      </c>
      <c r="B2311">
        <v>8</v>
      </c>
      <c r="C2311" s="16" t="s">
        <v>63</v>
      </c>
      <c r="D2311">
        <v>15</v>
      </c>
      <c r="E2311" s="16" t="s">
        <v>52</v>
      </c>
      <c r="F2311" s="18">
        <v>1608</v>
      </c>
      <c r="G2311" s="22">
        <v>67</v>
      </c>
      <c r="H2311" s="18">
        <v>2.9352049413076902</v>
      </c>
      <c r="I2311" s="18">
        <v>196.65873106761501</v>
      </c>
      <c r="J2311" s="18">
        <v>1411.34126893238</v>
      </c>
      <c r="K2311" s="22">
        <v>0</v>
      </c>
      <c r="L2311" s="22" t="str">
        <f t="shared" si="36"/>
        <v>45717, 8, 15</v>
      </c>
    </row>
    <row r="2312" spans="1:12">
      <c r="A2312" s="9">
        <v>45717</v>
      </c>
      <c r="B2312">
        <v>8</v>
      </c>
      <c r="C2312" s="16" t="s">
        <v>63</v>
      </c>
      <c r="D2312">
        <v>16</v>
      </c>
      <c r="E2312" s="16" t="s">
        <v>53</v>
      </c>
      <c r="F2312" s="18">
        <v>396</v>
      </c>
      <c r="G2312" s="22">
        <v>44</v>
      </c>
      <c r="H2312" s="18">
        <v>1.66170529022727</v>
      </c>
      <c r="I2312" s="18">
        <v>73.115032769999999</v>
      </c>
      <c r="J2312" s="18">
        <v>322.88496722999901</v>
      </c>
      <c r="K2312" s="22">
        <v>0</v>
      </c>
      <c r="L2312" s="22" t="str">
        <f t="shared" si="36"/>
        <v>45717, 8, 16</v>
      </c>
    </row>
    <row r="2313" spans="1:12">
      <c r="A2313" s="9">
        <v>45717</v>
      </c>
      <c r="B2313">
        <v>8</v>
      </c>
      <c r="C2313" s="16" t="s">
        <v>63</v>
      </c>
      <c r="D2313">
        <v>17</v>
      </c>
      <c r="E2313" s="16" t="s">
        <v>54</v>
      </c>
      <c r="F2313" s="18">
        <v>382.5</v>
      </c>
      <c r="G2313" s="22">
        <v>51</v>
      </c>
      <c r="H2313" s="18">
        <v>1.4870724218181799</v>
      </c>
      <c r="I2313" s="18">
        <v>75.840693512727199</v>
      </c>
      <c r="J2313" s="18">
        <v>306.65930648727198</v>
      </c>
      <c r="K2313" s="22">
        <v>0</v>
      </c>
      <c r="L2313" s="22" t="str">
        <f t="shared" si="36"/>
        <v>45717, 8, 17</v>
      </c>
    </row>
    <row r="2314" spans="1:12">
      <c r="A2314" s="9">
        <v>45717</v>
      </c>
      <c r="B2314">
        <v>8</v>
      </c>
      <c r="C2314" s="16" t="s">
        <v>63</v>
      </c>
      <c r="D2314">
        <v>18</v>
      </c>
      <c r="E2314" s="16" t="s">
        <v>55</v>
      </c>
      <c r="F2314" s="18">
        <v>644</v>
      </c>
      <c r="G2314" s="22">
        <v>28</v>
      </c>
      <c r="H2314" s="18">
        <v>6.2797561651500002</v>
      </c>
      <c r="I2314" s="18">
        <v>175.83317262419999</v>
      </c>
      <c r="J2314" s="18">
        <v>468.16682737579998</v>
      </c>
      <c r="K2314" s="22">
        <v>0</v>
      </c>
      <c r="L2314" s="22" t="str">
        <f t="shared" si="36"/>
        <v>45717, 8, 18</v>
      </c>
    </row>
    <row r="2315" spans="1:12">
      <c r="A2315" s="9">
        <v>45748</v>
      </c>
      <c r="B2315">
        <v>8</v>
      </c>
      <c r="C2315" s="16" t="s">
        <v>63</v>
      </c>
      <c r="D2315">
        <v>1</v>
      </c>
      <c r="E2315" s="16" t="s">
        <v>38</v>
      </c>
      <c r="F2315" s="18">
        <v>1806</v>
      </c>
      <c r="G2315" s="22">
        <v>84</v>
      </c>
      <c r="H2315" s="18">
        <v>4.4158939038461504</v>
      </c>
      <c r="I2315" s="18">
        <v>370.93508792307603</v>
      </c>
      <c r="J2315" s="18">
        <v>1435.0649120769201</v>
      </c>
      <c r="K2315" s="22">
        <v>0</v>
      </c>
      <c r="L2315" s="22" t="str">
        <f t="shared" si="36"/>
        <v>45748, 8, 1</v>
      </c>
    </row>
    <row r="2316" spans="1:12">
      <c r="A2316" s="9">
        <v>45748</v>
      </c>
      <c r="B2316">
        <v>8</v>
      </c>
      <c r="C2316" s="16" t="s">
        <v>63</v>
      </c>
      <c r="D2316">
        <v>2</v>
      </c>
      <c r="E2316" s="16" t="s">
        <v>40</v>
      </c>
      <c r="F2316" s="18">
        <v>1824</v>
      </c>
      <c r="G2316" s="22">
        <v>76</v>
      </c>
      <c r="H2316" s="18">
        <v>7.3930688721666602</v>
      </c>
      <c r="I2316" s="18">
        <v>561.87323428466595</v>
      </c>
      <c r="J2316" s="18">
        <v>1262.1267657153301</v>
      </c>
      <c r="K2316" s="22">
        <v>0</v>
      </c>
      <c r="L2316" s="22" t="str">
        <f t="shared" si="36"/>
        <v>45748, 8, 2</v>
      </c>
    </row>
    <row r="2317" spans="1:12">
      <c r="A2317" s="9">
        <v>45748</v>
      </c>
      <c r="B2317">
        <v>8</v>
      </c>
      <c r="C2317" s="16" t="s">
        <v>63</v>
      </c>
      <c r="D2317">
        <v>3</v>
      </c>
      <c r="E2317" s="16" t="s">
        <v>41</v>
      </c>
      <c r="F2317" s="18">
        <v>825</v>
      </c>
      <c r="G2317" s="22">
        <v>33</v>
      </c>
      <c r="H2317" s="18">
        <v>3.67576377290909</v>
      </c>
      <c r="I2317" s="18">
        <v>121.300204506</v>
      </c>
      <c r="J2317" s="18">
        <v>703.69979549399898</v>
      </c>
      <c r="K2317" s="22">
        <v>0</v>
      </c>
      <c r="L2317" s="22" t="str">
        <f t="shared" si="36"/>
        <v>45748, 8, 3</v>
      </c>
    </row>
    <row r="2318" spans="1:12">
      <c r="A2318" s="9">
        <v>45748</v>
      </c>
      <c r="B2318">
        <v>8</v>
      </c>
      <c r="C2318" s="16" t="s">
        <v>63</v>
      </c>
      <c r="D2318">
        <v>4</v>
      </c>
      <c r="E2318" s="16" t="s">
        <v>42</v>
      </c>
      <c r="F2318" s="18">
        <v>1394</v>
      </c>
      <c r="G2318" s="22">
        <v>68</v>
      </c>
      <c r="H2318" s="18">
        <v>7.5677517702000001</v>
      </c>
      <c r="I2318" s="18">
        <v>514.60712037359997</v>
      </c>
      <c r="J2318" s="18">
        <v>879.39287962640003</v>
      </c>
      <c r="K2318" s="22">
        <v>0</v>
      </c>
      <c r="L2318" s="22" t="str">
        <f t="shared" si="36"/>
        <v>45748, 8, 4</v>
      </c>
    </row>
    <row r="2319" spans="1:12">
      <c r="A2319" s="9">
        <v>45748</v>
      </c>
      <c r="B2319">
        <v>8</v>
      </c>
      <c r="C2319" s="16" t="s">
        <v>63</v>
      </c>
      <c r="D2319">
        <v>5</v>
      </c>
      <c r="E2319" s="16" t="s">
        <v>43</v>
      </c>
      <c r="F2319" s="18">
        <v>567</v>
      </c>
      <c r="G2319" s="22">
        <v>27</v>
      </c>
      <c r="H2319" s="18">
        <v>6.8213749999999997</v>
      </c>
      <c r="I2319" s="18">
        <v>184.17712499999999</v>
      </c>
      <c r="J2319" s="18">
        <v>382.82287500000001</v>
      </c>
      <c r="K2319" s="22">
        <v>0</v>
      </c>
      <c r="L2319" s="22" t="str">
        <f t="shared" si="36"/>
        <v>45748, 8, 5</v>
      </c>
    </row>
    <row r="2320" spans="1:12">
      <c r="A2320" s="9">
        <v>45748</v>
      </c>
      <c r="B2320">
        <v>8</v>
      </c>
      <c r="C2320" s="16" t="s">
        <v>63</v>
      </c>
      <c r="D2320">
        <v>6</v>
      </c>
      <c r="E2320" s="16" t="s">
        <v>44</v>
      </c>
      <c r="F2320" s="18">
        <v>1237.5</v>
      </c>
      <c r="G2320" s="22">
        <v>55</v>
      </c>
      <c r="H2320" s="18">
        <v>5.1950098867500003</v>
      </c>
      <c r="I2320" s="18">
        <v>285.72554377124999</v>
      </c>
      <c r="J2320" s="18">
        <v>951.77445622874995</v>
      </c>
      <c r="K2320" s="22">
        <v>0</v>
      </c>
      <c r="L2320" s="22" t="str">
        <f t="shared" si="36"/>
        <v>45748, 8, 6</v>
      </c>
    </row>
    <row r="2321" spans="1:12">
      <c r="A2321" s="9">
        <v>45748</v>
      </c>
      <c r="B2321">
        <v>8</v>
      </c>
      <c r="C2321" s="16" t="s">
        <v>63</v>
      </c>
      <c r="D2321">
        <v>7</v>
      </c>
      <c r="E2321" s="16" t="s">
        <v>45</v>
      </c>
      <c r="F2321" s="18">
        <v>913.5</v>
      </c>
      <c r="G2321" s="22">
        <v>87</v>
      </c>
      <c r="H2321" s="18">
        <v>2.9609050967307602</v>
      </c>
      <c r="I2321" s="18">
        <v>257.598743415576</v>
      </c>
      <c r="J2321" s="18">
        <v>655.90125658442298</v>
      </c>
      <c r="K2321" s="22">
        <v>0</v>
      </c>
      <c r="L2321" s="22" t="str">
        <f t="shared" si="36"/>
        <v>45748, 8, 7</v>
      </c>
    </row>
    <row r="2322" spans="1:12">
      <c r="A2322" s="9">
        <v>45748</v>
      </c>
      <c r="B2322">
        <v>8</v>
      </c>
      <c r="C2322" s="16" t="s">
        <v>63</v>
      </c>
      <c r="D2322">
        <v>8</v>
      </c>
      <c r="E2322" s="16" t="s">
        <v>46</v>
      </c>
      <c r="F2322" s="18">
        <v>468</v>
      </c>
      <c r="G2322" s="22">
        <v>39</v>
      </c>
      <c r="H2322" s="18">
        <v>0.73556803555555506</v>
      </c>
      <c r="I2322" s="18">
        <v>28.687153386666601</v>
      </c>
      <c r="J2322" s="18">
        <v>439.31284661333302</v>
      </c>
      <c r="K2322" s="22">
        <v>0</v>
      </c>
      <c r="L2322" s="22" t="str">
        <f t="shared" si="36"/>
        <v>45748, 8, 8</v>
      </c>
    </row>
    <row r="2323" spans="1:12">
      <c r="A2323" s="9">
        <v>45748</v>
      </c>
      <c r="B2323">
        <v>8</v>
      </c>
      <c r="C2323" s="16" t="s">
        <v>63</v>
      </c>
      <c r="D2323">
        <v>9</v>
      </c>
      <c r="E2323" s="16" t="s">
        <v>47</v>
      </c>
      <c r="F2323" s="18">
        <v>1455</v>
      </c>
      <c r="G2323" s="22">
        <v>30</v>
      </c>
      <c r="H2323" s="18">
        <v>19.017566134604099</v>
      </c>
      <c r="I2323" s="18">
        <v>570.52698403812497</v>
      </c>
      <c r="J2323" s="18">
        <v>884.47301596187401</v>
      </c>
      <c r="K2323" s="22">
        <v>0</v>
      </c>
      <c r="L2323" s="22" t="str">
        <f t="shared" si="36"/>
        <v>45748, 8, 9</v>
      </c>
    </row>
    <row r="2324" spans="1:12">
      <c r="A2324" s="9">
        <v>45748</v>
      </c>
      <c r="B2324">
        <v>8</v>
      </c>
      <c r="C2324" s="16" t="s">
        <v>63</v>
      </c>
      <c r="D2324">
        <v>10</v>
      </c>
      <c r="E2324" s="16" t="s">
        <v>57</v>
      </c>
      <c r="F2324" s="18">
        <v>672</v>
      </c>
      <c r="G2324" s="22">
        <v>48</v>
      </c>
      <c r="H2324" s="18">
        <v>2.0129579297200002</v>
      </c>
      <c r="I2324" s="18">
        <v>96.621980626560003</v>
      </c>
      <c r="J2324" s="18">
        <v>575.37801937344</v>
      </c>
      <c r="K2324" s="22">
        <v>0</v>
      </c>
      <c r="L2324" s="22" t="str">
        <f t="shared" si="36"/>
        <v>45748, 8, 10</v>
      </c>
    </row>
    <row r="2325" spans="1:12">
      <c r="A2325" s="9">
        <v>45748</v>
      </c>
      <c r="B2325">
        <v>8</v>
      </c>
      <c r="C2325" s="16" t="s">
        <v>63</v>
      </c>
      <c r="D2325">
        <v>11</v>
      </c>
      <c r="E2325" s="16" t="s">
        <v>48</v>
      </c>
      <c r="F2325" s="18">
        <v>1050</v>
      </c>
      <c r="G2325" s="22">
        <v>50</v>
      </c>
      <c r="H2325" s="18">
        <v>2.1568312361111102</v>
      </c>
      <c r="I2325" s="18">
        <v>107.841561805555</v>
      </c>
      <c r="J2325" s="18">
        <v>942.15843819444399</v>
      </c>
      <c r="K2325" s="22">
        <v>0</v>
      </c>
      <c r="L2325" s="22" t="str">
        <f t="shared" si="36"/>
        <v>45748, 8, 11</v>
      </c>
    </row>
    <row r="2326" spans="1:12">
      <c r="A2326" s="9">
        <v>45748</v>
      </c>
      <c r="B2326">
        <v>8</v>
      </c>
      <c r="C2326" s="16" t="s">
        <v>63</v>
      </c>
      <c r="D2326">
        <v>12</v>
      </c>
      <c r="E2326" s="16" t="s">
        <v>49</v>
      </c>
      <c r="F2326" s="18">
        <v>1784.5</v>
      </c>
      <c r="G2326" s="22">
        <v>83</v>
      </c>
      <c r="H2326" s="18">
        <v>2.7039436469583298</v>
      </c>
      <c r="I2326" s="18">
        <v>224.427322697541</v>
      </c>
      <c r="J2326" s="18">
        <v>1560.0726773024501</v>
      </c>
      <c r="K2326" s="22">
        <v>0</v>
      </c>
      <c r="L2326" s="22" t="str">
        <f t="shared" si="36"/>
        <v>45748, 8, 12</v>
      </c>
    </row>
    <row r="2327" spans="1:12">
      <c r="A2327" s="9">
        <v>45748</v>
      </c>
      <c r="B2327">
        <v>8</v>
      </c>
      <c r="C2327" s="16" t="s">
        <v>63</v>
      </c>
      <c r="D2327">
        <v>13</v>
      </c>
      <c r="E2327" s="16" t="s">
        <v>50</v>
      </c>
      <c r="F2327" s="18">
        <v>1305</v>
      </c>
      <c r="G2327" s="22">
        <v>58</v>
      </c>
      <c r="H2327" s="18">
        <v>7.2774491176470502</v>
      </c>
      <c r="I2327" s="18">
        <v>422.09204882352901</v>
      </c>
      <c r="J2327" s="18">
        <v>882.90795117646996</v>
      </c>
      <c r="K2327" s="22">
        <v>0</v>
      </c>
      <c r="L2327" s="22" t="str">
        <f t="shared" si="36"/>
        <v>45748, 8, 13</v>
      </c>
    </row>
    <row r="2328" spans="1:12">
      <c r="A2328" s="9">
        <v>45748</v>
      </c>
      <c r="B2328">
        <v>8</v>
      </c>
      <c r="C2328" s="16" t="s">
        <v>63</v>
      </c>
      <c r="D2328">
        <v>14</v>
      </c>
      <c r="E2328" s="16" t="s">
        <v>51</v>
      </c>
      <c r="F2328" s="18">
        <v>1210</v>
      </c>
      <c r="G2328" s="22">
        <v>44</v>
      </c>
      <c r="H2328" s="18">
        <v>4.8556535612499996</v>
      </c>
      <c r="I2328" s="18">
        <v>213.648756695</v>
      </c>
      <c r="J2328" s="18">
        <v>996.35124330500003</v>
      </c>
      <c r="K2328" s="22">
        <v>0</v>
      </c>
      <c r="L2328" s="22" t="str">
        <f t="shared" si="36"/>
        <v>45748, 8, 14</v>
      </c>
    </row>
    <row r="2329" spans="1:12">
      <c r="A2329" s="9">
        <v>45748</v>
      </c>
      <c r="B2329">
        <v>8</v>
      </c>
      <c r="C2329" s="16" t="s">
        <v>63</v>
      </c>
      <c r="D2329">
        <v>15</v>
      </c>
      <c r="E2329" s="16" t="s">
        <v>52</v>
      </c>
      <c r="F2329" s="18">
        <v>1464</v>
      </c>
      <c r="G2329" s="22">
        <v>61</v>
      </c>
      <c r="H2329" s="18">
        <v>2.96399939684615</v>
      </c>
      <c r="I2329" s="18">
        <v>180.803963207615</v>
      </c>
      <c r="J2329" s="18">
        <v>1283.19603679238</v>
      </c>
      <c r="K2329" s="22">
        <v>0</v>
      </c>
      <c r="L2329" s="22" t="str">
        <f t="shared" si="36"/>
        <v>45748, 8, 15</v>
      </c>
    </row>
    <row r="2330" spans="1:12">
      <c r="A2330" s="9">
        <v>45748</v>
      </c>
      <c r="B2330">
        <v>8</v>
      </c>
      <c r="C2330" s="16" t="s">
        <v>63</v>
      </c>
      <c r="D2330">
        <v>16</v>
      </c>
      <c r="E2330" s="16" t="s">
        <v>53</v>
      </c>
      <c r="F2330" s="18">
        <v>378</v>
      </c>
      <c r="G2330" s="22">
        <v>42</v>
      </c>
      <c r="H2330" s="18">
        <v>1.6805843810000001</v>
      </c>
      <c r="I2330" s="18">
        <v>70.584544002000001</v>
      </c>
      <c r="J2330" s="18">
        <v>307.415455997999</v>
      </c>
      <c r="K2330" s="22">
        <v>0</v>
      </c>
      <c r="L2330" s="22" t="str">
        <f t="shared" si="36"/>
        <v>45748, 8, 16</v>
      </c>
    </row>
    <row r="2331" spans="1:12">
      <c r="A2331" s="9">
        <v>45748</v>
      </c>
      <c r="B2331">
        <v>8</v>
      </c>
      <c r="C2331" s="16" t="s">
        <v>63</v>
      </c>
      <c r="D2331">
        <v>17</v>
      </c>
      <c r="E2331" s="16" t="s">
        <v>54</v>
      </c>
      <c r="F2331" s="18">
        <v>555</v>
      </c>
      <c r="G2331" s="22">
        <v>74</v>
      </c>
      <c r="H2331" s="18">
        <v>1.49414221055555</v>
      </c>
      <c r="I2331" s="18">
        <v>110.566523581111</v>
      </c>
      <c r="J2331" s="18">
        <v>444.43347641888801</v>
      </c>
      <c r="K2331" s="22">
        <v>0</v>
      </c>
      <c r="L2331" s="22" t="str">
        <f t="shared" si="36"/>
        <v>45748, 8, 17</v>
      </c>
    </row>
    <row r="2332" spans="1:12">
      <c r="A2332" s="9">
        <v>45748</v>
      </c>
      <c r="B2332">
        <v>8</v>
      </c>
      <c r="C2332" s="16" t="s">
        <v>63</v>
      </c>
      <c r="D2332">
        <v>18</v>
      </c>
      <c r="E2332" s="16" t="s">
        <v>55</v>
      </c>
      <c r="F2332" s="18">
        <v>759</v>
      </c>
      <c r="G2332" s="22">
        <v>33</v>
      </c>
      <c r="H2332" s="18">
        <v>6.25602541728846</v>
      </c>
      <c r="I2332" s="18">
        <v>206.44883877051899</v>
      </c>
      <c r="J2332" s="18">
        <v>552.55116122948004</v>
      </c>
      <c r="K2332" s="22">
        <v>0</v>
      </c>
      <c r="L2332" s="22" t="str">
        <f t="shared" si="36"/>
        <v>45748, 8, 18</v>
      </c>
    </row>
    <row r="2333" spans="1:12">
      <c r="A2333" s="9">
        <v>45778</v>
      </c>
      <c r="B2333">
        <v>8</v>
      </c>
      <c r="C2333" s="16" t="s">
        <v>63</v>
      </c>
      <c r="D2333">
        <v>1</v>
      </c>
      <c r="E2333" s="16" t="s">
        <v>38</v>
      </c>
      <c r="F2333" s="18">
        <v>2300.5</v>
      </c>
      <c r="G2333" s="22">
        <v>107</v>
      </c>
      <c r="H2333" s="18">
        <v>4.4595564807692298</v>
      </c>
      <c r="I2333" s="18">
        <v>477.17254344230702</v>
      </c>
      <c r="J2333" s="18">
        <v>1823.3274565576901</v>
      </c>
      <c r="K2333" s="22">
        <v>0</v>
      </c>
      <c r="L2333" s="22" t="str">
        <f t="shared" si="36"/>
        <v>45778, 8, 1</v>
      </c>
    </row>
    <row r="2334" spans="1:12">
      <c r="A2334" s="9">
        <v>45778</v>
      </c>
      <c r="B2334">
        <v>8</v>
      </c>
      <c r="C2334" s="16" t="s">
        <v>63</v>
      </c>
      <c r="D2334">
        <v>2</v>
      </c>
      <c r="E2334" s="16" t="s">
        <v>40</v>
      </c>
      <c r="F2334" s="18">
        <v>2496</v>
      </c>
      <c r="G2334" s="22">
        <v>104</v>
      </c>
      <c r="H2334" s="18">
        <v>7.3742887183333297</v>
      </c>
      <c r="I2334" s="18">
        <v>766.92602670666599</v>
      </c>
      <c r="J2334" s="18">
        <v>1729.07397329333</v>
      </c>
      <c r="K2334" s="22">
        <v>0</v>
      </c>
      <c r="L2334" s="22" t="str">
        <f t="shared" si="36"/>
        <v>45778, 8, 2</v>
      </c>
    </row>
    <row r="2335" spans="1:12">
      <c r="A2335" s="9">
        <v>45778</v>
      </c>
      <c r="B2335">
        <v>8</v>
      </c>
      <c r="C2335" s="16" t="s">
        <v>63</v>
      </c>
      <c r="D2335">
        <v>3</v>
      </c>
      <c r="E2335" s="16" t="s">
        <v>41</v>
      </c>
      <c r="F2335" s="18">
        <v>1175</v>
      </c>
      <c r="G2335" s="22">
        <v>47</v>
      </c>
      <c r="H2335" s="18">
        <v>3.6735040405000001</v>
      </c>
      <c r="I2335" s="18">
        <v>172.65468990350001</v>
      </c>
      <c r="J2335" s="18">
        <v>1002.3453100965</v>
      </c>
      <c r="K2335" s="22">
        <v>0</v>
      </c>
      <c r="L2335" s="22" t="str">
        <f t="shared" si="36"/>
        <v>45778, 8, 3</v>
      </c>
    </row>
    <row r="2336" spans="1:12">
      <c r="A2336" s="9">
        <v>45778</v>
      </c>
      <c r="B2336">
        <v>8</v>
      </c>
      <c r="C2336" s="16" t="s">
        <v>63</v>
      </c>
      <c r="D2336">
        <v>4</v>
      </c>
      <c r="E2336" s="16" t="s">
        <v>42</v>
      </c>
      <c r="F2336" s="18">
        <v>1578.5</v>
      </c>
      <c r="G2336" s="22">
        <v>77</v>
      </c>
      <c r="H2336" s="18">
        <v>7.4524050176000003</v>
      </c>
      <c r="I2336" s="18">
        <v>573.83518635519999</v>
      </c>
      <c r="J2336" s="18">
        <v>1004.6648136448</v>
      </c>
      <c r="K2336" s="22">
        <v>0</v>
      </c>
      <c r="L2336" s="22" t="str">
        <f t="shared" si="36"/>
        <v>45778, 8, 4</v>
      </c>
    </row>
    <row r="2337" spans="1:12">
      <c r="A2337" s="9">
        <v>45778</v>
      </c>
      <c r="B2337">
        <v>8</v>
      </c>
      <c r="C2337" s="16" t="s">
        <v>63</v>
      </c>
      <c r="D2337">
        <v>5</v>
      </c>
      <c r="E2337" s="16" t="s">
        <v>43</v>
      </c>
      <c r="F2337" s="18">
        <v>1092</v>
      </c>
      <c r="G2337" s="22">
        <v>52</v>
      </c>
      <c r="H2337" s="18">
        <v>6.5236111111111104</v>
      </c>
      <c r="I2337" s="18">
        <v>339.22777777777702</v>
      </c>
      <c r="J2337" s="18">
        <v>752.77222222222201</v>
      </c>
      <c r="K2337" s="22">
        <v>0</v>
      </c>
      <c r="L2337" s="22" t="str">
        <f t="shared" si="36"/>
        <v>45778, 8, 5</v>
      </c>
    </row>
    <row r="2338" spans="1:12">
      <c r="A2338" s="9">
        <v>45778</v>
      </c>
      <c r="B2338">
        <v>8</v>
      </c>
      <c r="C2338" s="16" t="s">
        <v>63</v>
      </c>
      <c r="D2338">
        <v>6</v>
      </c>
      <c r="E2338" s="16" t="s">
        <v>44</v>
      </c>
      <c r="F2338" s="18">
        <v>1282.5</v>
      </c>
      <c r="G2338" s="22">
        <v>57</v>
      </c>
      <c r="H2338" s="18">
        <v>5.19292562270833</v>
      </c>
      <c r="I2338" s="18">
        <v>295.99676049437397</v>
      </c>
      <c r="J2338" s="18">
        <v>986.50323950562495</v>
      </c>
      <c r="K2338" s="22">
        <v>0</v>
      </c>
      <c r="L2338" s="22" t="str">
        <f t="shared" si="36"/>
        <v>45778, 8, 6</v>
      </c>
    </row>
    <row r="2339" spans="1:12">
      <c r="A2339" s="9">
        <v>45778</v>
      </c>
      <c r="B2339">
        <v>8</v>
      </c>
      <c r="C2339" s="16" t="s">
        <v>63</v>
      </c>
      <c r="D2339">
        <v>7</v>
      </c>
      <c r="E2339" s="16" t="s">
        <v>45</v>
      </c>
      <c r="F2339" s="18">
        <v>1134</v>
      </c>
      <c r="G2339" s="22">
        <v>108</v>
      </c>
      <c r="H2339" s="18">
        <v>2.9268839126666601</v>
      </c>
      <c r="I2339" s="18">
        <v>316.103462568</v>
      </c>
      <c r="J2339" s="18">
        <v>817.89653743199904</v>
      </c>
      <c r="K2339" s="22">
        <v>0</v>
      </c>
      <c r="L2339" s="22" t="str">
        <f t="shared" si="36"/>
        <v>45778, 8, 7</v>
      </c>
    </row>
    <row r="2340" spans="1:12">
      <c r="A2340" s="9">
        <v>45778</v>
      </c>
      <c r="B2340">
        <v>8</v>
      </c>
      <c r="C2340" s="16" t="s">
        <v>63</v>
      </c>
      <c r="D2340">
        <v>8</v>
      </c>
      <c r="E2340" s="16" t="s">
        <v>46</v>
      </c>
      <c r="F2340" s="18">
        <v>636</v>
      </c>
      <c r="G2340" s="22">
        <v>53</v>
      </c>
      <c r="H2340" s="18">
        <v>0.71353018194444395</v>
      </c>
      <c r="I2340" s="18">
        <v>37.817099643055499</v>
      </c>
      <c r="J2340" s="18">
        <v>598.18290035694395</v>
      </c>
      <c r="K2340" s="22">
        <v>0</v>
      </c>
      <c r="L2340" s="22" t="str">
        <f t="shared" si="36"/>
        <v>45778, 8, 8</v>
      </c>
    </row>
    <row r="2341" spans="1:12">
      <c r="A2341" s="9">
        <v>45778</v>
      </c>
      <c r="B2341">
        <v>8</v>
      </c>
      <c r="C2341" s="16" t="s">
        <v>63</v>
      </c>
      <c r="D2341">
        <v>9</v>
      </c>
      <c r="E2341" s="16" t="s">
        <v>47</v>
      </c>
      <c r="F2341" s="18">
        <v>1067</v>
      </c>
      <c r="G2341" s="22">
        <v>22</v>
      </c>
      <c r="H2341" s="18">
        <v>19.129916966904201</v>
      </c>
      <c r="I2341" s="18">
        <v>420.85817327189397</v>
      </c>
      <c r="J2341" s="18">
        <v>646.141826728105</v>
      </c>
      <c r="K2341" s="22">
        <v>0</v>
      </c>
      <c r="L2341" s="22" t="str">
        <f t="shared" si="36"/>
        <v>45778, 8, 9</v>
      </c>
    </row>
    <row r="2342" spans="1:12">
      <c r="A2342" s="9">
        <v>45778</v>
      </c>
      <c r="B2342">
        <v>8</v>
      </c>
      <c r="C2342" s="16" t="s">
        <v>63</v>
      </c>
      <c r="D2342">
        <v>10</v>
      </c>
      <c r="E2342" s="16" t="s">
        <v>57</v>
      </c>
      <c r="F2342" s="18">
        <v>686</v>
      </c>
      <c r="G2342" s="22">
        <v>49</v>
      </c>
      <c r="H2342" s="18">
        <v>1.90670022434</v>
      </c>
      <c r="I2342" s="18">
        <v>93.428310992660002</v>
      </c>
      <c r="J2342" s="18">
        <v>592.57168900733996</v>
      </c>
      <c r="K2342" s="22">
        <v>0</v>
      </c>
      <c r="L2342" s="22" t="str">
        <f t="shared" si="36"/>
        <v>45778, 8, 10</v>
      </c>
    </row>
    <row r="2343" spans="1:12">
      <c r="A2343" s="9">
        <v>45778</v>
      </c>
      <c r="B2343">
        <v>8</v>
      </c>
      <c r="C2343" s="16" t="s">
        <v>63</v>
      </c>
      <c r="D2343">
        <v>11</v>
      </c>
      <c r="E2343" s="16" t="s">
        <v>48</v>
      </c>
      <c r="F2343" s="18">
        <v>1575</v>
      </c>
      <c r="G2343" s="22">
        <v>75</v>
      </c>
      <c r="H2343" s="18">
        <v>2.1679471704545401</v>
      </c>
      <c r="I2343" s="18">
        <v>162.59603778408999</v>
      </c>
      <c r="J2343" s="18">
        <v>1412.4039622159</v>
      </c>
      <c r="K2343" s="22">
        <v>0</v>
      </c>
      <c r="L2343" s="22" t="str">
        <f t="shared" si="36"/>
        <v>45778, 8, 11</v>
      </c>
    </row>
    <row r="2344" spans="1:12">
      <c r="A2344" s="9">
        <v>45778</v>
      </c>
      <c r="B2344">
        <v>8</v>
      </c>
      <c r="C2344" s="16" t="s">
        <v>63</v>
      </c>
      <c r="D2344">
        <v>12</v>
      </c>
      <c r="E2344" s="16" t="s">
        <v>49</v>
      </c>
      <c r="F2344" s="18">
        <v>2171.5</v>
      </c>
      <c r="G2344" s="22">
        <v>101</v>
      </c>
      <c r="H2344" s="18">
        <v>2.6770351752083301</v>
      </c>
      <c r="I2344" s="18">
        <v>270.38055269604098</v>
      </c>
      <c r="J2344" s="18">
        <v>1901.11944730395</v>
      </c>
      <c r="K2344" s="22">
        <v>0</v>
      </c>
      <c r="L2344" s="22" t="str">
        <f t="shared" si="36"/>
        <v>45778, 8, 12</v>
      </c>
    </row>
    <row r="2345" spans="1:12">
      <c r="A2345" s="9">
        <v>45778</v>
      </c>
      <c r="B2345">
        <v>8</v>
      </c>
      <c r="C2345" s="16" t="s">
        <v>63</v>
      </c>
      <c r="D2345">
        <v>13</v>
      </c>
      <c r="E2345" s="16" t="s">
        <v>50</v>
      </c>
      <c r="F2345" s="18">
        <v>1642.5</v>
      </c>
      <c r="G2345" s="22">
        <v>73</v>
      </c>
      <c r="H2345" s="18">
        <v>7.3254994444444401</v>
      </c>
      <c r="I2345" s="18">
        <v>534.76145944444397</v>
      </c>
      <c r="J2345" s="18">
        <v>1107.7385405555499</v>
      </c>
      <c r="K2345" s="22">
        <v>0</v>
      </c>
      <c r="L2345" s="22" t="str">
        <f t="shared" si="36"/>
        <v>45778, 8, 13</v>
      </c>
    </row>
    <row r="2346" spans="1:12">
      <c r="A2346" s="9">
        <v>45778</v>
      </c>
      <c r="B2346">
        <v>8</v>
      </c>
      <c r="C2346" s="16" t="s">
        <v>63</v>
      </c>
      <c r="D2346">
        <v>14</v>
      </c>
      <c r="E2346" s="16" t="s">
        <v>51</v>
      </c>
      <c r="F2346" s="18">
        <v>1045</v>
      </c>
      <c r="G2346" s="22">
        <v>38</v>
      </c>
      <c r="H2346" s="18">
        <v>4.88372172249999</v>
      </c>
      <c r="I2346" s="18">
        <v>185.58142545499899</v>
      </c>
      <c r="J2346" s="18">
        <v>859.41857454499996</v>
      </c>
      <c r="K2346" s="22">
        <v>0</v>
      </c>
      <c r="L2346" s="22" t="str">
        <f t="shared" si="36"/>
        <v>45778, 8, 14</v>
      </c>
    </row>
    <row r="2347" spans="1:12">
      <c r="A2347" s="9">
        <v>45778</v>
      </c>
      <c r="B2347">
        <v>8</v>
      </c>
      <c r="C2347" s="16" t="s">
        <v>63</v>
      </c>
      <c r="D2347">
        <v>15</v>
      </c>
      <c r="E2347" s="16" t="s">
        <v>52</v>
      </c>
      <c r="F2347" s="18">
        <v>2184</v>
      </c>
      <c r="G2347" s="22">
        <v>91</v>
      </c>
      <c r="H2347" s="18">
        <v>2.9277571586153801</v>
      </c>
      <c r="I2347" s="18">
        <v>266.42590143400002</v>
      </c>
      <c r="J2347" s="18">
        <v>1917.57409856599</v>
      </c>
      <c r="K2347" s="22">
        <v>0</v>
      </c>
      <c r="L2347" s="22" t="str">
        <f t="shared" si="36"/>
        <v>45778, 8, 15</v>
      </c>
    </row>
    <row r="2348" spans="1:12">
      <c r="A2348" s="9">
        <v>45778</v>
      </c>
      <c r="B2348">
        <v>8</v>
      </c>
      <c r="C2348" s="16" t="s">
        <v>63</v>
      </c>
      <c r="D2348">
        <v>16</v>
      </c>
      <c r="E2348" s="16" t="s">
        <v>53</v>
      </c>
      <c r="F2348" s="18">
        <v>432</v>
      </c>
      <c r="G2348" s="22">
        <v>48</v>
      </c>
      <c r="H2348" s="18">
        <v>1.6945635569047599</v>
      </c>
      <c r="I2348" s="18">
        <v>81.3390507314285</v>
      </c>
      <c r="J2348" s="18">
        <v>350.66094926857102</v>
      </c>
      <c r="K2348" s="22">
        <v>0</v>
      </c>
      <c r="L2348" s="22" t="str">
        <f t="shared" si="36"/>
        <v>45778, 8, 16</v>
      </c>
    </row>
    <row r="2349" spans="1:12">
      <c r="A2349" s="9">
        <v>45778</v>
      </c>
      <c r="B2349">
        <v>8</v>
      </c>
      <c r="C2349" s="16" t="s">
        <v>63</v>
      </c>
      <c r="D2349">
        <v>17</v>
      </c>
      <c r="E2349" s="16" t="s">
        <v>54</v>
      </c>
      <c r="F2349" s="18">
        <v>735</v>
      </c>
      <c r="G2349" s="22">
        <v>98</v>
      </c>
      <c r="H2349" s="18">
        <v>1.5063148031818101</v>
      </c>
      <c r="I2349" s="18">
        <v>147.618850711818</v>
      </c>
      <c r="J2349" s="18">
        <v>587.38114928818095</v>
      </c>
      <c r="K2349" s="22">
        <v>0</v>
      </c>
      <c r="L2349" s="22" t="str">
        <f t="shared" si="36"/>
        <v>45778, 8, 17</v>
      </c>
    </row>
    <row r="2350" spans="1:12">
      <c r="A2350" s="9">
        <v>45778</v>
      </c>
      <c r="B2350">
        <v>8</v>
      </c>
      <c r="C2350" s="16" t="s">
        <v>63</v>
      </c>
      <c r="D2350">
        <v>18</v>
      </c>
      <c r="E2350" s="16" t="s">
        <v>55</v>
      </c>
      <c r="F2350" s="18">
        <v>1242</v>
      </c>
      <c r="G2350" s="22">
        <v>54</v>
      </c>
      <c r="H2350" s="18">
        <v>6.2031688242884604</v>
      </c>
      <c r="I2350" s="18">
        <v>334.97111651157599</v>
      </c>
      <c r="J2350" s="18">
        <v>907.02888348842305</v>
      </c>
      <c r="K2350" s="22">
        <v>0</v>
      </c>
      <c r="L2350" s="22" t="str">
        <f t="shared" si="36"/>
        <v>45778, 8, 18</v>
      </c>
    </row>
    <row r="2351" spans="1:12">
      <c r="A2351" s="9">
        <v>45809</v>
      </c>
      <c r="B2351">
        <v>8</v>
      </c>
      <c r="C2351" s="16" t="s">
        <v>63</v>
      </c>
      <c r="D2351">
        <v>1</v>
      </c>
      <c r="E2351" s="16" t="s">
        <v>38</v>
      </c>
      <c r="F2351" s="18">
        <v>2085.5</v>
      </c>
      <c r="G2351" s="22">
        <v>97</v>
      </c>
      <c r="H2351" s="18">
        <v>4.4698128846153802</v>
      </c>
      <c r="I2351" s="18">
        <v>433.57184980769199</v>
      </c>
      <c r="J2351" s="18">
        <v>1651.9281501923001</v>
      </c>
      <c r="K2351" s="22">
        <v>0</v>
      </c>
      <c r="L2351" s="22" t="str">
        <f t="shared" si="36"/>
        <v>45809, 8, 1</v>
      </c>
    </row>
    <row r="2352" spans="1:12">
      <c r="A2352" s="9">
        <v>45809</v>
      </c>
      <c r="B2352">
        <v>8</v>
      </c>
      <c r="C2352" s="16" t="s">
        <v>63</v>
      </c>
      <c r="D2352">
        <v>2</v>
      </c>
      <c r="E2352" s="16" t="s">
        <v>40</v>
      </c>
      <c r="F2352" s="18">
        <v>2616</v>
      </c>
      <c r="G2352" s="22">
        <v>109</v>
      </c>
      <c r="H2352" s="18">
        <v>7.4249566079999996</v>
      </c>
      <c r="I2352" s="18">
        <v>809.32027027200002</v>
      </c>
      <c r="J2352" s="18">
        <v>1806.679729728</v>
      </c>
      <c r="K2352" s="22">
        <v>0</v>
      </c>
      <c r="L2352" s="22" t="str">
        <f t="shared" si="36"/>
        <v>45809, 8, 2</v>
      </c>
    </row>
    <row r="2353" spans="1:12">
      <c r="A2353" s="9">
        <v>45809</v>
      </c>
      <c r="B2353">
        <v>8</v>
      </c>
      <c r="C2353" s="16" t="s">
        <v>63</v>
      </c>
      <c r="D2353">
        <v>3</v>
      </c>
      <c r="E2353" s="16" t="s">
        <v>41</v>
      </c>
      <c r="F2353" s="18">
        <v>950</v>
      </c>
      <c r="G2353" s="22">
        <v>38</v>
      </c>
      <c r="H2353" s="18">
        <v>3.6622432479999998</v>
      </c>
      <c r="I2353" s="18">
        <v>139.16524342400001</v>
      </c>
      <c r="J2353" s="18">
        <v>810.83475657600002</v>
      </c>
      <c r="K2353" s="22">
        <v>0</v>
      </c>
      <c r="L2353" s="22" t="str">
        <f t="shared" si="36"/>
        <v>45809, 8, 3</v>
      </c>
    </row>
    <row r="2354" spans="1:12">
      <c r="A2354" s="9">
        <v>45809</v>
      </c>
      <c r="B2354">
        <v>8</v>
      </c>
      <c r="C2354" s="16" t="s">
        <v>63</v>
      </c>
      <c r="D2354">
        <v>4</v>
      </c>
      <c r="E2354" s="16" t="s">
        <v>42</v>
      </c>
      <c r="F2354" s="18">
        <v>1804</v>
      </c>
      <c r="G2354" s="22">
        <v>88</v>
      </c>
      <c r="H2354" s="18">
        <v>7.3474288978000004</v>
      </c>
      <c r="I2354" s="18">
        <v>646.57374300640004</v>
      </c>
      <c r="J2354" s="18">
        <v>1157.4262569936</v>
      </c>
      <c r="K2354" s="22">
        <v>0</v>
      </c>
      <c r="L2354" s="22" t="str">
        <f t="shared" si="36"/>
        <v>45809, 8, 4</v>
      </c>
    </row>
    <row r="2355" spans="1:12">
      <c r="A2355" s="9">
        <v>45809</v>
      </c>
      <c r="B2355">
        <v>8</v>
      </c>
      <c r="C2355" s="16" t="s">
        <v>63</v>
      </c>
      <c r="D2355">
        <v>5</v>
      </c>
      <c r="E2355" s="16" t="s">
        <v>43</v>
      </c>
      <c r="F2355" s="18">
        <v>903</v>
      </c>
      <c r="G2355" s="22">
        <v>43</v>
      </c>
      <c r="H2355" s="18">
        <v>6.4116544117647001</v>
      </c>
      <c r="I2355" s="18">
        <v>275.70113970588199</v>
      </c>
      <c r="J2355" s="18">
        <v>627.29886029411705</v>
      </c>
      <c r="K2355" s="22">
        <v>0</v>
      </c>
      <c r="L2355" s="22" t="str">
        <f t="shared" si="36"/>
        <v>45809, 8, 5</v>
      </c>
    </row>
    <row r="2356" spans="1:12">
      <c r="A2356" s="9">
        <v>45809</v>
      </c>
      <c r="B2356">
        <v>8</v>
      </c>
      <c r="C2356" s="16" t="s">
        <v>63</v>
      </c>
      <c r="D2356">
        <v>6</v>
      </c>
      <c r="E2356" s="16" t="s">
        <v>44</v>
      </c>
      <c r="F2356" s="18">
        <v>1305</v>
      </c>
      <c r="G2356" s="22">
        <v>58</v>
      </c>
      <c r="H2356" s="18">
        <v>5.2565018093636304</v>
      </c>
      <c r="I2356" s="18">
        <v>304.87710494308999</v>
      </c>
      <c r="J2356" s="18">
        <v>1000.1228950569</v>
      </c>
      <c r="K2356" s="22">
        <v>0</v>
      </c>
      <c r="L2356" s="22" t="str">
        <f t="shared" si="36"/>
        <v>45809, 8, 6</v>
      </c>
    </row>
    <row r="2357" spans="1:12">
      <c r="A2357" s="9">
        <v>45809</v>
      </c>
      <c r="B2357">
        <v>8</v>
      </c>
      <c r="C2357" s="16" t="s">
        <v>63</v>
      </c>
      <c r="D2357">
        <v>7</v>
      </c>
      <c r="E2357" s="16" t="s">
        <v>45</v>
      </c>
      <c r="F2357" s="18">
        <v>1008</v>
      </c>
      <c r="G2357" s="22">
        <v>96</v>
      </c>
      <c r="H2357" s="18">
        <v>2.94388865166666</v>
      </c>
      <c r="I2357" s="18">
        <v>282.61331056</v>
      </c>
      <c r="J2357" s="18">
        <v>725.38668943999903</v>
      </c>
      <c r="K2357" s="22">
        <v>0</v>
      </c>
      <c r="L2357" s="22" t="str">
        <f t="shared" si="36"/>
        <v>45809, 8, 7</v>
      </c>
    </row>
    <row r="2358" spans="1:12">
      <c r="A2358" s="9">
        <v>45809</v>
      </c>
      <c r="B2358">
        <v>8</v>
      </c>
      <c r="C2358" s="16" t="s">
        <v>63</v>
      </c>
      <c r="D2358">
        <v>8</v>
      </c>
      <c r="E2358" s="16" t="s">
        <v>46</v>
      </c>
      <c r="F2358" s="18">
        <v>528</v>
      </c>
      <c r="G2358" s="22">
        <v>44</v>
      </c>
      <c r="H2358" s="18">
        <v>0.71605468222222202</v>
      </c>
      <c r="I2358" s="18">
        <v>31.506406017777699</v>
      </c>
      <c r="J2358" s="18">
        <v>496.49359398222202</v>
      </c>
      <c r="K2358" s="22">
        <v>0</v>
      </c>
      <c r="L2358" s="22" t="str">
        <f t="shared" si="36"/>
        <v>45809, 8, 8</v>
      </c>
    </row>
    <row r="2359" spans="1:12">
      <c r="A2359" s="9">
        <v>45809</v>
      </c>
      <c r="B2359">
        <v>8</v>
      </c>
      <c r="C2359" s="16" t="s">
        <v>63</v>
      </c>
      <c r="D2359">
        <v>9</v>
      </c>
      <c r="E2359" s="16" t="s">
        <v>47</v>
      </c>
      <c r="F2359" s="18">
        <v>921.5</v>
      </c>
      <c r="G2359" s="22">
        <v>19</v>
      </c>
      <c r="H2359" s="18">
        <v>19.231076878985899</v>
      </c>
      <c r="I2359" s="18">
        <v>365.390460700733</v>
      </c>
      <c r="J2359" s="18">
        <v>556.10953929926598</v>
      </c>
      <c r="K2359" s="22">
        <v>0</v>
      </c>
      <c r="L2359" s="22" t="str">
        <f t="shared" si="36"/>
        <v>45809, 8, 9</v>
      </c>
    </row>
    <row r="2360" spans="1:12">
      <c r="A2360" s="9">
        <v>45809</v>
      </c>
      <c r="B2360">
        <v>8</v>
      </c>
      <c r="C2360" s="16" t="s">
        <v>63</v>
      </c>
      <c r="D2360">
        <v>10</v>
      </c>
      <c r="E2360" s="16" t="s">
        <v>57</v>
      </c>
      <c r="F2360" s="18">
        <v>728</v>
      </c>
      <c r="G2360" s="22">
        <v>52</v>
      </c>
      <c r="H2360" s="18">
        <v>1.8287602491999999</v>
      </c>
      <c r="I2360" s="18">
        <v>95.0955329584</v>
      </c>
      <c r="J2360" s="18">
        <v>632.90446704160001</v>
      </c>
      <c r="K2360" s="22">
        <v>0</v>
      </c>
      <c r="L2360" s="22" t="str">
        <f t="shared" si="36"/>
        <v>45809, 8, 10</v>
      </c>
    </row>
    <row r="2361" spans="1:12">
      <c r="A2361" s="9">
        <v>45809</v>
      </c>
      <c r="B2361">
        <v>8</v>
      </c>
      <c r="C2361" s="16" t="s">
        <v>63</v>
      </c>
      <c r="D2361">
        <v>11</v>
      </c>
      <c r="E2361" s="16" t="s">
        <v>48</v>
      </c>
      <c r="F2361" s="18">
        <v>2058</v>
      </c>
      <c r="G2361" s="22">
        <v>98</v>
      </c>
      <c r="H2361" s="18">
        <v>2.1665063636363602</v>
      </c>
      <c r="I2361" s="18">
        <v>212.31762363636301</v>
      </c>
      <c r="J2361" s="18">
        <v>1845.6823763636301</v>
      </c>
      <c r="K2361" s="22">
        <v>0</v>
      </c>
      <c r="L2361" s="22" t="str">
        <f t="shared" si="36"/>
        <v>45809, 8, 11</v>
      </c>
    </row>
    <row r="2362" spans="1:12">
      <c r="A2362" s="9">
        <v>45809</v>
      </c>
      <c r="B2362">
        <v>8</v>
      </c>
      <c r="C2362" s="16" t="s">
        <v>63</v>
      </c>
      <c r="D2362">
        <v>12</v>
      </c>
      <c r="E2362" s="16" t="s">
        <v>49</v>
      </c>
      <c r="F2362" s="18">
        <v>2300.5</v>
      </c>
      <c r="G2362" s="22">
        <v>107</v>
      </c>
      <c r="H2362" s="18">
        <v>2.6550066080833301</v>
      </c>
      <c r="I2362" s="18">
        <v>284.08570706491599</v>
      </c>
      <c r="J2362" s="18">
        <v>2016.4142929350801</v>
      </c>
      <c r="K2362" s="22">
        <v>0</v>
      </c>
      <c r="L2362" s="22" t="str">
        <f t="shared" si="36"/>
        <v>45809, 8, 12</v>
      </c>
    </row>
    <row r="2363" spans="1:12">
      <c r="A2363" s="9">
        <v>45809</v>
      </c>
      <c r="B2363">
        <v>8</v>
      </c>
      <c r="C2363" s="16" t="s">
        <v>63</v>
      </c>
      <c r="D2363">
        <v>13</v>
      </c>
      <c r="E2363" s="16" t="s">
        <v>50</v>
      </c>
      <c r="F2363" s="18">
        <v>1305</v>
      </c>
      <c r="G2363" s="22">
        <v>58</v>
      </c>
      <c r="H2363" s="18">
        <v>7.34118382352941</v>
      </c>
      <c r="I2363" s="18">
        <v>425.78866176470501</v>
      </c>
      <c r="J2363" s="18">
        <v>879.21133823529397</v>
      </c>
      <c r="K2363" s="22">
        <v>0</v>
      </c>
      <c r="L2363" s="22" t="str">
        <f t="shared" si="36"/>
        <v>45809, 8, 13</v>
      </c>
    </row>
    <row r="2364" spans="1:12">
      <c r="A2364" s="9">
        <v>45809</v>
      </c>
      <c r="B2364">
        <v>8</v>
      </c>
      <c r="C2364" s="16" t="s">
        <v>63</v>
      </c>
      <c r="D2364">
        <v>14</v>
      </c>
      <c r="E2364" s="16" t="s">
        <v>51</v>
      </c>
      <c r="F2364" s="18">
        <v>742.5</v>
      </c>
      <c r="G2364" s="22">
        <v>27</v>
      </c>
      <c r="H2364" s="18">
        <v>4.9159782363974296</v>
      </c>
      <c r="I2364" s="18">
        <v>132.73141238273001</v>
      </c>
      <c r="J2364" s="18">
        <v>609.76858761726896</v>
      </c>
      <c r="K2364" s="22">
        <v>0</v>
      </c>
      <c r="L2364" s="22" t="str">
        <f t="shared" si="36"/>
        <v>45809, 8, 14</v>
      </c>
    </row>
    <row r="2365" spans="1:12">
      <c r="A2365" s="9">
        <v>45809</v>
      </c>
      <c r="B2365">
        <v>8</v>
      </c>
      <c r="C2365" s="16" t="s">
        <v>63</v>
      </c>
      <c r="D2365">
        <v>15</v>
      </c>
      <c r="E2365" s="16" t="s">
        <v>52</v>
      </c>
      <c r="F2365" s="18">
        <v>1920</v>
      </c>
      <c r="G2365" s="22">
        <v>80</v>
      </c>
      <c r="H2365" s="18">
        <v>2.94018806992307</v>
      </c>
      <c r="I2365" s="18">
        <v>235.21504559384601</v>
      </c>
      <c r="J2365" s="18">
        <v>1684.7849544061501</v>
      </c>
      <c r="K2365" s="22">
        <v>0</v>
      </c>
      <c r="L2365" s="22" t="str">
        <f t="shared" si="36"/>
        <v>45809, 8, 15</v>
      </c>
    </row>
    <row r="2366" spans="1:12">
      <c r="A2366" s="9">
        <v>45809</v>
      </c>
      <c r="B2366">
        <v>8</v>
      </c>
      <c r="C2366" s="16" t="s">
        <v>63</v>
      </c>
      <c r="D2366">
        <v>16</v>
      </c>
      <c r="E2366" s="16" t="s">
        <v>53</v>
      </c>
      <c r="F2366" s="18">
        <v>477</v>
      </c>
      <c r="G2366" s="22">
        <v>53</v>
      </c>
      <c r="H2366" s="18">
        <v>1.68165743098484</v>
      </c>
      <c r="I2366" s="18">
        <v>89.127843842196896</v>
      </c>
      <c r="J2366" s="18">
        <v>387.87215615780298</v>
      </c>
      <c r="K2366" s="22">
        <v>0</v>
      </c>
      <c r="L2366" s="22" t="str">
        <f t="shared" si="36"/>
        <v>45809, 8, 16</v>
      </c>
    </row>
    <row r="2367" spans="1:12">
      <c r="A2367" s="9">
        <v>45809</v>
      </c>
      <c r="B2367">
        <v>8</v>
      </c>
      <c r="C2367" s="16" t="s">
        <v>63</v>
      </c>
      <c r="D2367">
        <v>17</v>
      </c>
      <c r="E2367" s="16" t="s">
        <v>54</v>
      </c>
      <c r="F2367" s="18">
        <v>742.5</v>
      </c>
      <c r="G2367" s="22">
        <v>99</v>
      </c>
      <c r="H2367" s="18">
        <v>1.5171270489999999</v>
      </c>
      <c r="I2367" s="18">
        <v>150.195577851</v>
      </c>
      <c r="J2367" s="18">
        <v>592.30442214899995</v>
      </c>
      <c r="K2367" s="22">
        <v>0</v>
      </c>
      <c r="L2367" s="22" t="str">
        <f t="shared" si="36"/>
        <v>45809, 8, 17</v>
      </c>
    </row>
    <row r="2368" spans="1:12">
      <c r="A2368" s="9">
        <v>45809</v>
      </c>
      <c r="B2368">
        <v>8</v>
      </c>
      <c r="C2368" s="16" t="s">
        <v>63</v>
      </c>
      <c r="D2368">
        <v>18</v>
      </c>
      <c r="E2368" s="16" t="s">
        <v>55</v>
      </c>
      <c r="F2368" s="18">
        <v>1311</v>
      </c>
      <c r="G2368" s="22">
        <v>57</v>
      </c>
      <c r="H2368" s="18">
        <v>6.2261913721346103</v>
      </c>
      <c r="I2368" s="18">
        <v>354.89290821167299</v>
      </c>
      <c r="J2368" s="18">
        <v>956.10709178832599</v>
      </c>
      <c r="K2368" s="22">
        <v>0</v>
      </c>
      <c r="L2368" s="22" t="str">
        <f t="shared" si="36"/>
        <v>45809, 8, 18</v>
      </c>
    </row>
    <row r="2369" spans="1:12">
      <c r="A2369" s="9">
        <v>45839</v>
      </c>
      <c r="B2369">
        <v>8</v>
      </c>
      <c r="C2369" s="16" t="s">
        <v>63</v>
      </c>
      <c r="D2369">
        <v>1</v>
      </c>
      <c r="E2369" s="16" t="s">
        <v>38</v>
      </c>
      <c r="F2369" s="18">
        <v>1913.5</v>
      </c>
      <c r="G2369" s="22">
        <v>89</v>
      </c>
      <c r="H2369" s="18">
        <v>4.53407360714285</v>
      </c>
      <c r="I2369" s="18">
        <v>403.53255103571399</v>
      </c>
      <c r="J2369" s="18">
        <v>1509.96744896428</v>
      </c>
      <c r="K2369" s="22">
        <v>0</v>
      </c>
      <c r="L2369" s="22" t="str">
        <f t="shared" si="36"/>
        <v>45839, 8, 1</v>
      </c>
    </row>
    <row r="2370" spans="1:12">
      <c r="A2370" s="9">
        <v>45839</v>
      </c>
      <c r="B2370">
        <v>8</v>
      </c>
      <c r="C2370" s="16" t="s">
        <v>63</v>
      </c>
      <c r="D2370">
        <v>2</v>
      </c>
      <c r="E2370" s="16" t="s">
        <v>40</v>
      </c>
      <c r="F2370" s="18">
        <v>1800</v>
      </c>
      <c r="G2370" s="22">
        <v>75</v>
      </c>
      <c r="H2370" s="18">
        <v>7.3465345392307597</v>
      </c>
      <c r="I2370" s="18">
        <v>550.99009044230695</v>
      </c>
      <c r="J2370" s="18">
        <v>1249.00990955769</v>
      </c>
      <c r="K2370" s="22">
        <v>0</v>
      </c>
      <c r="L2370" s="22" t="str">
        <f t="shared" si="36"/>
        <v>45839, 8, 2</v>
      </c>
    </row>
    <row r="2371" spans="1:12">
      <c r="A2371" s="9">
        <v>45839</v>
      </c>
      <c r="B2371">
        <v>8</v>
      </c>
      <c r="C2371" s="16" t="s">
        <v>63</v>
      </c>
      <c r="D2371">
        <v>3</v>
      </c>
      <c r="E2371" s="16" t="s">
        <v>41</v>
      </c>
      <c r="F2371" s="18">
        <v>925</v>
      </c>
      <c r="G2371" s="22">
        <v>37</v>
      </c>
      <c r="H2371" s="18">
        <v>3.6978362484999998</v>
      </c>
      <c r="I2371" s="18">
        <v>136.81994119449999</v>
      </c>
      <c r="J2371" s="18">
        <v>788.18005880550004</v>
      </c>
      <c r="K2371" s="22">
        <v>0</v>
      </c>
      <c r="L2371" s="22" t="str">
        <f t="shared" ref="L2371:L2434" si="37">(A2371&amp; ", "&amp; B2371&amp; ", "&amp; D2371)</f>
        <v>45839, 8, 3</v>
      </c>
    </row>
    <row r="2372" spans="1:12">
      <c r="A2372" s="9">
        <v>45839</v>
      </c>
      <c r="B2372">
        <v>8</v>
      </c>
      <c r="C2372" s="16" t="s">
        <v>63</v>
      </c>
      <c r="D2372">
        <v>4</v>
      </c>
      <c r="E2372" s="16" t="s">
        <v>42</v>
      </c>
      <c r="F2372" s="18">
        <v>1086.5</v>
      </c>
      <c r="G2372" s="22">
        <v>53</v>
      </c>
      <c r="H2372" s="18">
        <v>7.2802179685999997</v>
      </c>
      <c r="I2372" s="18">
        <v>385.85155233580002</v>
      </c>
      <c r="J2372" s="18">
        <v>700.64844766420003</v>
      </c>
      <c r="K2372" s="22">
        <v>0</v>
      </c>
      <c r="L2372" s="22" t="str">
        <f t="shared" si="37"/>
        <v>45839, 8, 4</v>
      </c>
    </row>
    <row r="2373" spans="1:12">
      <c r="A2373" s="9">
        <v>45839</v>
      </c>
      <c r="B2373">
        <v>8</v>
      </c>
      <c r="C2373" s="16" t="s">
        <v>63</v>
      </c>
      <c r="D2373">
        <v>5</v>
      </c>
      <c r="E2373" s="16" t="s">
        <v>43</v>
      </c>
      <c r="F2373" s="18">
        <v>546</v>
      </c>
      <c r="G2373" s="22">
        <v>26</v>
      </c>
      <c r="H2373" s="18">
        <v>6.3607638888888802</v>
      </c>
      <c r="I2373" s="18">
        <v>165.37986111111101</v>
      </c>
      <c r="J2373" s="18">
        <v>380.62013888888799</v>
      </c>
      <c r="K2373" s="22">
        <v>0</v>
      </c>
      <c r="L2373" s="22" t="str">
        <f t="shared" si="37"/>
        <v>45839, 8, 5</v>
      </c>
    </row>
    <row r="2374" spans="1:12">
      <c r="A2374" s="9">
        <v>45839</v>
      </c>
      <c r="B2374">
        <v>8</v>
      </c>
      <c r="C2374" s="16" t="s">
        <v>63</v>
      </c>
      <c r="D2374">
        <v>6</v>
      </c>
      <c r="E2374" s="16" t="s">
        <v>44</v>
      </c>
      <c r="F2374" s="18">
        <v>765</v>
      </c>
      <c r="G2374" s="22">
        <v>34</v>
      </c>
      <c r="H2374" s="18">
        <v>5.262635784625</v>
      </c>
      <c r="I2374" s="18">
        <v>178.92961667725001</v>
      </c>
      <c r="J2374" s="18">
        <v>586.07038332274999</v>
      </c>
      <c r="K2374" s="22">
        <v>0</v>
      </c>
      <c r="L2374" s="22" t="str">
        <f t="shared" si="37"/>
        <v>45839, 8, 6</v>
      </c>
    </row>
    <row r="2375" spans="1:12">
      <c r="A2375" s="9">
        <v>45839</v>
      </c>
      <c r="B2375">
        <v>8</v>
      </c>
      <c r="C2375" s="16" t="s">
        <v>63</v>
      </c>
      <c r="D2375">
        <v>7</v>
      </c>
      <c r="E2375" s="16" t="s">
        <v>45</v>
      </c>
      <c r="F2375" s="18">
        <v>640.5</v>
      </c>
      <c r="G2375" s="22">
        <v>61</v>
      </c>
      <c r="H2375" s="18">
        <v>2.9621324590384601</v>
      </c>
      <c r="I2375" s="18">
        <v>180.69008000134599</v>
      </c>
      <c r="J2375" s="18">
        <v>459.80991999865302</v>
      </c>
      <c r="K2375" s="22">
        <v>0</v>
      </c>
      <c r="L2375" s="22" t="str">
        <f t="shared" si="37"/>
        <v>45839, 8, 7</v>
      </c>
    </row>
    <row r="2376" spans="1:12">
      <c r="A2376" s="9">
        <v>45839</v>
      </c>
      <c r="B2376">
        <v>8</v>
      </c>
      <c r="C2376" s="16" t="s">
        <v>63</v>
      </c>
      <c r="D2376">
        <v>8</v>
      </c>
      <c r="E2376" s="16" t="s">
        <v>46</v>
      </c>
      <c r="F2376" s="18">
        <v>504</v>
      </c>
      <c r="G2376" s="22">
        <v>42</v>
      </c>
      <c r="H2376" s="18">
        <v>0.67503111641025604</v>
      </c>
      <c r="I2376" s="18">
        <v>28.351306889230699</v>
      </c>
      <c r="J2376" s="18">
        <v>475.64869311076899</v>
      </c>
      <c r="K2376" s="22">
        <v>0</v>
      </c>
      <c r="L2376" s="22" t="str">
        <f t="shared" si="37"/>
        <v>45839, 8, 8</v>
      </c>
    </row>
    <row r="2377" spans="1:12">
      <c r="A2377" s="9">
        <v>45839</v>
      </c>
      <c r="B2377">
        <v>8</v>
      </c>
      <c r="C2377" s="16" t="s">
        <v>63</v>
      </c>
      <c r="D2377">
        <v>9</v>
      </c>
      <c r="E2377" s="16" t="s">
        <v>47</v>
      </c>
      <c r="F2377" s="18">
        <v>679</v>
      </c>
      <c r="G2377" s="22">
        <v>14</v>
      </c>
      <c r="H2377" s="18">
        <v>19.295820222465299</v>
      </c>
      <c r="I2377" s="18">
        <v>270.14148311451498</v>
      </c>
      <c r="J2377" s="18">
        <v>408.85851688548399</v>
      </c>
      <c r="K2377" s="22">
        <v>0</v>
      </c>
      <c r="L2377" s="22" t="str">
        <f t="shared" si="37"/>
        <v>45839, 8, 9</v>
      </c>
    </row>
    <row r="2378" spans="1:12">
      <c r="A2378" s="9">
        <v>45839</v>
      </c>
      <c r="B2378">
        <v>8</v>
      </c>
      <c r="C2378" s="16" t="s">
        <v>63</v>
      </c>
      <c r="D2378">
        <v>10</v>
      </c>
      <c r="E2378" s="16" t="s">
        <v>57</v>
      </c>
      <c r="F2378" s="18">
        <v>574</v>
      </c>
      <c r="G2378" s="22">
        <v>41</v>
      </c>
      <c r="H2378" s="18">
        <v>1.7764198100399999</v>
      </c>
      <c r="I2378" s="18">
        <v>72.833212211640003</v>
      </c>
      <c r="J2378" s="18">
        <v>501.16678778836001</v>
      </c>
      <c r="K2378" s="22">
        <v>0</v>
      </c>
      <c r="L2378" s="22" t="str">
        <f t="shared" si="37"/>
        <v>45839, 8, 10</v>
      </c>
    </row>
    <row r="2379" spans="1:12">
      <c r="A2379" s="9">
        <v>45839</v>
      </c>
      <c r="B2379">
        <v>8</v>
      </c>
      <c r="C2379" s="16" t="s">
        <v>63</v>
      </c>
      <c r="D2379">
        <v>11</v>
      </c>
      <c r="E2379" s="16" t="s">
        <v>48</v>
      </c>
      <c r="F2379" s="18">
        <v>1386</v>
      </c>
      <c r="G2379" s="22">
        <v>66</v>
      </c>
      <c r="H2379" s="18">
        <v>2.2341101562499999</v>
      </c>
      <c r="I2379" s="18">
        <v>147.45127031249999</v>
      </c>
      <c r="J2379" s="18">
        <v>1238.5487296875001</v>
      </c>
      <c r="K2379" s="22">
        <v>0</v>
      </c>
      <c r="L2379" s="22" t="str">
        <f t="shared" si="37"/>
        <v>45839, 8, 11</v>
      </c>
    </row>
    <row r="2380" spans="1:12">
      <c r="A2380" s="9">
        <v>45839</v>
      </c>
      <c r="B2380">
        <v>8</v>
      </c>
      <c r="C2380" s="16" t="s">
        <v>63</v>
      </c>
      <c r="D2380">
        <v>12</v>
      </c>
      <c r="E2380" s="16" t="s">
        <v>49</v>
      </c>
      <c r="F2380" s="18">
        <v>1892</v>
      </c>
      <c r="G2380" s="22">
        <v>88</v>
      </c>
      <c r="H2380" s="18">
        <v>2.62352307107692</v>
      </c>
      <c r="I2380" s="18">
        <v>230.87003025476901</v>
      </c>
      <c r="J2380" s="18">
        <v>1661.12996974523</v>
      </c>
      <c r="K2380" s="22">
        <v>0</v>
      </c>
      <c r="L2380" s="22" t="str">
        <f t="shared" si="37"/>
        <v>45839, 8, 12</v>
      </c>
    </row>
    <row r="2381" spans="1:12">
      <c r="A2381" s="9">
        <v>45839</v>
      </c>
      <c r="B2381">
        <v>8</v>
      </c>
      <c r="C2381" s="16" t="s">
        <v>63</v>
      </c>
      <c r="D2381">
        <v>13</v>
      </c>
      <c r="E2381" s="16" t="s">
        <v>50</v>
      </c>
      <c r="F2381" s="18">
        <v>832.5</v>
      </c>
      <c r="G2381" s="22">
        <v>37</v>
      </c>
      <c r="H2381" s="18">
        <v>7.4699454705882298</v>
      </c>
      <c r="I2381" s="18">
        <v>276.38798241176403</v>
      </c>
      <c r="J2381" s="18">
        <v>556.11201758823495</v>
      </c>
      <c r="K2381" s="22">
        <v>0</v>
      </c>
      <c r="L2381" s="22" t="str">
        <f t="shared" si="37"/>
        <v>45839, 8, 13</v>
      </c>
    </row>
    <row r="2382" spans="1:12">
      <c r="A2382" s="9">
        <v>45839</v>
      </c>
      <c r="B2382">
        <v>8</v>
      </c>
      <c r="C2382" s="16" t="s">
        <v>63</v>
      </c>
      <c r="D2382">
        <v>14</v>
      </c>
      <c r="E2382" s="16" t="s">
        <v>51</v>
      </c>
      <c r="F2382" s="18">
        <v>660</v>
      </c>
      <c r="G2382" s="22">
        <v>24</v>
      </c>
      <c r="H2382" s="18">
        <v>4.8746335323717904</v>
      </c>
      <c r="I2382" s="18">
        <v>116.991204776923</v>
      </c>
      <c r="J2382" s="18">
        <v>543.00879522307605</v>
      </c>
      <c r="K2382" s="22">
        <v>0</v>
      </c>
      <c r="L2382" s="22" t="str">
        <f t="shared" si="37"/>
        <v>45839, 8, 14</v>
      </c>
    </row>
    <row r="2383" spans="1:12">
      <c r="A2383" s="9">
        <v>45839</v>
      </c>
      <c r="B2383">
        <v>8</v>
      </c>
      <c r="C2383" s="16" t="s">
        <v>63</v>
      </c>
      <c r="D2383">
        <v>15</v>
      </c>
      <c r="E2383" s="16" t="s">
        <v>52</v>
      </c>
      <c r="F2383" s="18">
        <v>1296</v>
      </c>
      <c r="G2383" s="22">
        <v>54</v>
      </c>
      <c r="H2383" s="18">
        <v>2.9354494660769199</v>
      </c>
      <c r="I2383" s="18">
        <v>158.51427116815299</v>
      </c>
      <c r="J2383" s="18">
        <v>1137.4857288318401</v>
      </c>
      <c r="K2383" s="22">
        <v>0</v>
      </c>
      <c r="L2383" s="22" t="str">
        <f t="shared" si="37"/>
        <v>45839, 8, 15</v>
      </c>
    </row>
    <row r="2384" spans="1:12">
      <c r="A2384" s="9">
        <v>45839</v>
      </c>
      <c r="B2384">
        <v>8</v>
      </c>
      <c r="C2384" s="16" t="s">
        <v>63</v>
      </c>
      <c r="D2384">
        <v>16</v>
      </c>
      <c r="E2384" s="16" t="s">
        <v>53</v>
      </c>
      <c r="F2384" s="18">
        <v>414</v>
      </c>
      <c r="G2384" s="22">
        <v>46</v>
      </c>
      <c r="H2384" s="18">
        <v>1.6901089742948701</v>
      </c>
      <c r="I2384" s="18">
        <v>77.745012817564003</v>
      </c>
      <c r="J2384" s="18">
        <v>336.254987182435</v>
      </c>
      <c r="K2384" s="22">
        <v>0</v>
      </c>
      <c r="L2384" s="22" t="str">
        <f t="shared" si="37"/>
        <v>45839, 8, 16</v>
      </c>
    </row>
    <row r="2385" spans="1:12">
      <c r="A2385" s="9">
        <v>45839</v>
      </c>
      <c r="B2385">
        <v>8</v>
      </c>
      <c r="C2385" s="16" t="s">
        <v>63</v>
      </c>
      <c r="D2385">
        <v>17</v>
      </c>
      <c r="E2385" s="16" t="s">
        <v>54</v>
      </c>
      <c r="F2385" s="18">
        <v>450</v>
      </c>
      <c r="G2385" s="22">
        <v>60</v>
      </c>
      <c r="H2385" s="18">
        <v>1.5366560104545399</v>
      </c>
      <c r="I2385" s="18">
        <v>92.199360627272696</v>
      </c>
      <c r="J2385" s="18">
        <v>357.80063937272701</v>
      </c>
      <c r="K2385" s="22">
        <v>0</v>
      </c>
      <c r="L2385" s="22" t="str">
        <f t="shared" si="37"/>
        <v>45839, 8, 17</v>
      </c>
    </row>
    <row r="2386" spans="1:12">
      <c r="A2386" s="9">
        <v>45839</v>
      </c>
      <c r="B2386">
        <v>8</v>
      </c>
      <c r="C2386" s="16" t="s">
        <v>63</v>
      </c>
      <c r="D2386">
        <v>18</v>
      </c>
      <c r="E2386" s="16" t="s">
        <v>55</v>
      </c>
      <c r="F2386" s="18">
        <v>1081</v>
      </c>
      <c r="G2386" s="22">
        <v>47</v>
      </c>
      <c r="H2386" s="18">
        <v>6.1571929338392799</v>
      </c>
      <c r="I2386" s="18">
        <v>289.388067890446</v>
      </c>
      <c r="J2386" s="18">
        <v>791.61193210955298</v>
      </c>
      <c r="K2386" s="22">
        <v>0</v>
      </c>
      <c r="L2386" s="22" t="str">
        <f t="shared" si="37"/>
        <v>45839, 8, 18</v>
      </c>
    </row>
    <row r="2387" spans="1:12">
      <c r="A2387" s="9">
        <v>45870</v>
      </c>
      <c r="B2387">
        <v>8</v>
      </c>
      <c r="C2387" s="16" t="s">
        <v>63</v>
      </c>
      <c r="D2387">
        <v>1</v>
      </c>
      <c r="E2387" s="16" t="s">
        <v>38</v>
      </c>
      <c r="F2387" s="18">
        <v>2472.5</v>
      </c>
      <c r="G2387" s="22">
        <v>115</v>
      </c>
      <c r="H2387" s="18">
        <v>4.5628204583333298</v>
      </c>
      <c r="I2387" s="18">
        <v>524.72435270833296</v>
      </c>
      <c r="J2387" s="18">
        <v>1947.7756472916601</v>
      </c>
      <c r="K2387" s="22">
        <v>0</v>
      </c>
      <c r="L2387" s="22" t="str">
        <f t="shared" si="37"/>
        <v>45870, 8, 1</v>
      </c>
    </row>
    <row r="2388" spans="1:12">
      <c r="A2388" s="9">
        <v>45870</v>
      </c>
      <c r="B2388">
        <v>8</v>
      </c>
      <c r="C2388" s="16" t="s">
        <v>63</v>
      </c>
      <c r="D2388">
        <v>2</v>
      </c>
      <c r="E2388" s="16" t="s">
        <v>40</v>
      </c>
      <c r="F2388" s="18">
        <v>2280</v>
      </c>
      <c r="G2388" s="22">
        <v>95</v>
      </c>
      <c r="H2388" s="18">
        <v>7.3604674730908997</v>
      </c>
      <c r="I2388" s="18">
        <v>699.24440994363601</v>
      </c>
      <c r="J2388" s="18">
        <v>1580.75559005636</v>
      </c>
      <c r="K2388" s="22">
        <v>0</v>
      </c>
      <c r="L2388" s="22" t="str">
        <f t="shared" si="37"/>
        <v>45870, 8, 2</v>
      </c>
    </row>
    <row r="2389" spans="1:12">
      <c r="A2389" s="9">
        <v>45870</v>
      </c>
      <c r="B2389">
        <v>8</v>
      </c>
      <c r="C2389" s="16" t="s">
        <v>63</v>
      </c>
      <c r="D2389">
        <v>3</v>
      </c>
      <c r="E2389" s="16" t="s">
        <v>41</v>
      </c>
      <c r="F2389" s="18">
        <v>1150</v>
      </c>
      <c r="G2389" s="22">
        <v>46</v>
      </c>
      <c r="H2389" s="18">
        <v>3.6682969725999999</v>
      </c>
      <c r="I2389" s="18">
        <v>168.74166073960001</v>
      </c>
      <c r="J2389" s="18">
        <v>981.25833926040002</v>
      </c>
      <c r="K2389" s="22">
        <v>0</v>
      </c>
      <c r="L2389" s="22" t="str">
        <f t="shared" si="37"/>
        <v>45870, 8, 3</v>
      </c>
    </row>
    <row r="2390" spans="1:12">
      <c r="A2390" s="9">
        <v>45870</v>
      </c>
      <c r="B2390">
        <v>8</v>
      </c>
      <c r="C2390" s="16" t="s">
        <v>63</v>
      </c>
      <c r="D2390">
        <v>4</v>
      </c>
      <c r="E2390" s="16" t="s">
        <v>42</v>
      </c>
      <c r="F2390" s="18">
        <v>1722</v>
      </c>
      <c r="G2390" s="22">
        <v>84</v>
      </c>
      <c r="H2390" s="18">
        <v>7.3464894571111099</v>
      </c>
      <c r="I2390" s="18">
        <v>617.10511439733295</v>
      </c>
      <c r="J2390" s="18">
        <v>1104.89488560266</v>
      </c>
      <c r="K2390" s="22">
        <v>0</v>
      </c>
      <c r="L2390" s="22" t="str">
        <f t="shared" si="37"/>
        <v>45870, 8, 4</v>
      </c>
    </row>
    <row r="2391" spans="1:12">
      <c r="A2391" s="9">
        <v>45870</v>
      </c>
      <c r="B2391">
        <v>8</v>
      </c>
      <c r="C2391" s="16" t="s">
        <v>63</v>
      </c>
      <c r="D2391">
        <v>5</v>
      </c>
      <c r="E2391" s="16" t="s">
        <v>43</v>
      </c>
      <c r="F2391" s="18">
        <v>756</v>
      </c>
      <c r="G2391" s="22">
        <v>36</v>
      </c>
      <c r="H2391" s="18">
        <v>6.4141911764705801</v>
      </c>
      <c r="I2391" s="18">
        <v>230.910882352941</v>
      </c>
      <c r="J2391" s="18">
        <v>525.08911764705795</v>
      </c>
      <c r="K2391" s="22">
        <v>0</v>
      </c>
      <c r="L2391" s="22" t="str">
        <f t="shared" si="37"/>
        <v>45870, 8, 5</v>
      </c>
    </row>
    <row r="2392" spans="1:12">
      <c r="A2392" s="9">
        <v>45870</v>
      </c>
      <c r="B2392">
        <v>8</v>
      </c>
      <c r="C2392" s="16" t="s">
        <v>63</v>
      </c>
      <c r="D2392">
        <v>6</v>
      </c>
      <c r="E2392" s="16" t="s">
        <v>44</v>
      </c>
      <c r="F2392" s="18">
        <v>990</v>
      </c>
      <c r="G2392" s="22">
        <v>44</v>
      </c>
      <c r="H2392" s="18">
        <v>5.2730152278888802</v>
      </c>
      <c r="I2392" s="18">
        <v>232.012670027111</v>
      </c>
      <c r="J2392" s="18">
        <v>757.98732997288801</v>
      </c>
      <c r="K2392" s="22">
        <v>0</v>
      </c>
      <c r="L2392" s="22" t="str">
        <f t="shared" si="37"/>
        <v>45870, 8, 6</v>
      </c>
    </row>
    <row r="2393" spans="1:12">
      <c r="A2393" s="9">
        <v>45870</v>
      </c>
      <c r="B2393">
        <v>8</v>
      </c>
      <c r="C2393" s="16" t="s">
        <v>63</v>
      </c>
      <c r="D2393">
        <v>7</v>
      </c>
      <c r="E2393" s="16" t="s">
        <v>45</v>
      </c>
      <c r="F2393" s="18">
        <v>1018.5</v>
      </c>
      <c r="G2393" s="22">
        <v>97</v>
      </c>
      <c r="H2393" s="18">
        <v>3.0046527548076898</v>
      </c>
      <c r="I2393" s="18">
        <v>291.45131721634601</v>
      </c>
      <c r="J2393" s="18">
        <v>727.04868278365302</v>
      </c>
      <c r="K2393" s="22">
        <v>0</v>
      </c>
      <c r="L2393" s="22" t="str">
        <f t="shared" si="37"/>
        <v>45870, 8, 7</v>
      </c>
    </row>
    <row r="2394" spans="1:12">
      <c r="A2394" s="9">
        <v>45870</v>
      </c>
      <c r="B2394">
        <v>8</v>
      </c>
      <c r="C2394" s="16" t="s">
        <v>63</v>
      </c>
      <c r="D2394">
        <v>8</v>
      </c>
      <c r="E2394" s="16" t="s">
        <v>46</v>
      </c>
      <c r="F2394" s="18">
        <v>480</v>
      </c>
      <c r="G2394" s="22">
        <v>40</v>
      </c>
      <c r="H2394" s="18">
        <v>0.67361207333333295</v>
      </c>
      <c r="I2394" s="18">
        <v>26.944482933333301</v>
      </c>
      <c r="J2394" s="18">
        <v>453.05551706666603</v>
      </c>
      <c r="K2394" s="22">
        <v>0</v>
      </c>
      <c r="L2394" s="22" t="str">
        <f t="shared" si="37"/>
        <v>45870, 8, 8</v>
      </c>
    </row>
    <row r="2395" spans="1:12">
      <c r="A2395" s="9">
        <v>45870</v>
      </c>
      <c r="B2395">
        <v>8</v>
      </c>
      <c r="C2395" s="16" t="s">
        <v>63</v>
      </c>
      <c r="D2395">
        <v>9</v>
      </c>
      <c r="E2395" s="16" t="s">
        <v>47</v>
      </c>
      <c r="F2395" s="18">
        <v>776</v>
      </c>
      <c r="G2395" s="22">
        <v>16</v>
      </c>
      <c r="H2395" s="18">
        <v>19.361496243275901</v>
      </c>
      <c r="I2395" s="18">
        <v>309.78393989241403</v>
      </c>
      <c r="J2395" s="18">
        <v>466.21606010758501</v>
      </c>
      <c r="K2395" s="22">
        <v>0</v>
      </c>
      <c r="L2395" s="22" t="str">
        <f t="shared" si="37"/>
        <v>45870, 8, 9</v>
      </c>
    </row>
    <row r="2396" spans="1:12">
      <c r="A2396" s="9">
        <v>45870</v>
      </c>
      <c r="B2396">
        <v>8</v>
      </c>
      <c r="C2396" s="16" t="s">
        <v>63</v>
      </c>
      <c r="D2396">
        <v>10</v>
      </c>
      <c r="E2396" s="16" t="s">
        <v>57</v>
      </c>
      <c r="F2396" s="18">
        <v>868</v>
      </c>
      <c r="G2396" s="22">
        <v>62</v>
      </c>
      <c r="H2396" s="18">
        <v>1.82257679204444</v>
      </c>
      <c r="I2396" s="18">
        <v>112.999761106755</v>
      </c>
      <c r="J2396" s="18">
        <v>755.00023889324405</v>
      </c>
      <c r="K2396" s="22">
        <v>0</v>
      </c>
      <c r="L2396" s="22" t="str">
        <f t="shared" si="37"/>
        <v>45870, 8, 10</v>
      </c>
    </row>
    <row r="2397" spans="1:12">
      <c r="A2397" s="9">
        <v>45870</v>
      </c>
      <c r="B2397">
        <v>8</v>
      </c>
      <c r="C2397" s="16" t="s">
        <v>63</v>
      </c>
      <c r="D2397">
        <v>11</v>
      </c>
      <c r="E2397" s="16" t="s">
        <v>48</v>
      </c>
      <c r="F2397" s="18">
        <v>1722</v>
      </c>
      <c r="G2397" s="22">
        <v>82</v>
      </c>
      <c r="H2397" s="18">
        <v>2.2299936944444401</v>
      </c>
      <c r="I2397" s="18">
        <v>182.85948294444401</v>
      </c>
      <c r="J2397" s="18">
        <v>1539.1405170555499</v>
      </c>
      <c r="K2397" s="22">
        <v>0</v>
      </c>
      <c r="L2397" s="22" t="str">
        <f t="shared" si="37"/>
        <v>45870, 8, 11</v>
      </c>
    </row>
    <row r="2398" spans="1:12">
      <c r="A2398" s="9">
        <v>45870</v>
      </c>
      <c r="B2398">
        <v>8</v>
      </c>
      <c r="C2398" s="16" t="s">
        <v>63</v>
      </c>
      <c r="D2398">
        <v>12</v>
      </c>
      <c r="E2398" s="16" t="s">
        <v>49</v>
      </c>
      <c r="F2398" s="18">
        <v>1956.5</v>
      </c>
      <c r="G2398" s="22">
        <v>91</v>
      </c>
      <c r="H2398" s="18">
        <v>2.6463032616818101</v>
      </c>
      <c r="I2398" s="18">
        <v>240.813596813045</v>
      </c>
      <c r="J2398" s="18">
        <v>1715.68640318695</v>
      </c>
      <c r="K2398" s="22">
        <v>0</v>
      </c>
      <c r="L2398" s="22" t="str">
        <f t="shared" si="37"/>
        <v>45870, 8, 12</v>
      </c>
    </row>
    <row r="2399" spans="1:12">
      <c r="A2399" s="9">
        <v>45870</v>
      </c>
      <c r="B2399">
        <v>8</v>
      </c>
      <c r="C2399" s="16" t="s">
        <v>63</v>
      </c>
      <c r="D2399">
        <v>13</v>
      </c>
      <c r="E2399" s="16" t="s">
        <v>50</v>
      </c>
      <c r="F2399" s="18">
        <v>1192.5</v>
      </c>
      <c r="G2399" s="22">
        <v>53</v>
      </c>
      <c r="H2399" s="18">
        <v>7.4547694117647003</v>
      </c>
      <c r="I2399" s="18">
        <v>395.10277882352898</v>
      </c>
      <c r="J2399" s="18">
        <v>797.39722117647</v>
      </c>
      <c r="K2399" s="22">
        <v>0</v>
      </c>
      <c r="L2399" s="22" t="str">
        <f t="shared" si="37"/>
        <v>45870, 8, 13</v>
      </c>
    </row>
    <row r="2400" spans="1:12">
      <c r="A2400" s="9">
        <v>45870</v>
      </c>
      <c r="B2400">
        <v>8</v>
      </c>
      <c r="C2400" s="16" t="s">
        <v>63</v>
      </c>
      <c r="D2400">
        <v>14</v>
      </c>
      <c r="E2400" s="16" t="s">
        <v>51</v>
      </c>
      <c r="F2400" s="18">
        <v>660</v>
      </c>
      <c r="G2400" s="22">
        <v>24</v>
      </c>
      <c r="H2400" s="18">
        <v>4.9366294889861102</v>
      </c>
      <c r="I2400" s="18">
        <v>118.47910773566601</v>
      </c>
      <c r="J2400" s="18">
        <v>541.52089226433304</v>
      </c>
      <c r="K2400" s="22">
        <v>0</v>
      </c>
      <c r="L2400" s="22" t="str">
        <f t="shared" si="37"/>
        <v>45870, 8, 14</v>
      </c>
    </row>
    <row r="2401" spans="1:12">
      <c r="A2401" s="9">
        <v>45870</v>
      </c>
      <c r="B2401">
        <v>8</v>
      </c>
      <c r="C2401" s="16" t="s">
        <v>63</v>
      </c>
      <c r="D2401">
        <v>15</v>
      </c>
      <c r="E2401" s="16" t="s">
        <v>52</v>
      </c>
      <c r="F2401" s="18">
        <v>2040</v>
      </c>
      <c r="G2401" s="22">
        <v>85</v>
      </c>
      <c r="H2401" s="18">
        <v>2.9603372446363601</v>
      </c>
      <c r="I2401" s="18">
        <v>251.62866579409001</v>
      </c>
      <c r="J2401" s="18">
        <v>1788.3713342059</v>
      </c>
      <c r="K2401" s="22">
        <v>0</v>
      </c>
      <c r="L2401" s="22" t="str">
        <f t="shared" si="37"/>
        <v>45870, 8, 15</v>
      </c>
    </row>
    <row r="2402" spans="1:12">
      <c r="A2402" s="9">
        <v>45870</v>
      </c>
      <c r="B2402">
        <v>8</v>
      </c>
      <c r="C2402" s="16" t="s">
        <v>63</v>
      </c>
      <c r="D2402">
        <v>16</v>
      </c>
      <c r="E2402" s="16" t="s">
        <v>53</v>
      </c>
      <c r="F2402" s="18">
        <v>396</v>
      </c>
      <c r="G2402" s="22">
        <v>44</v>
      </c>
      <c r="H2402" s="18">
        <v>1.6828347573809499</v>
      </c>
      <c r="I2402" s="18">
        <v>74.044729324761903</v>
      </c>
      <c r="J2402" s="18">
        <v>321.95527067523801</v>
      </c>
      <c r="K2402" s="22">
        <v>0</v>
      </c>
      <c r="L2402" s="22" t="str">
        <f t="shared" si="37"/>
        <v>45870, 8, 16</v>
      </c>
    </row>
    <row r="2403" spans="1:12">
      <c r="A2403" s="9">
        <v>45870</v>
      </c>
      <c r="B2403">
        <v>8</v>
      </c>
      <c r="C2403" s="16" t="s">
        <v>63</v>
      </c>
      <c r="D2403">
        <v>17</v>
      </c>
      <c r="E2403" s="16" t="s">
        <v>54</v>
      </c>
      <c r="F2403" s="18">
        <v>787.5</v>
      </c>
      <c r="G2403" s="22">
        <v>105</v>
      </c>
      <c r="H2403" s="18">
        <v>1.5285793670000001</v>
      </c>
      <c r="I2403" s="18">
        <v>160.500833535</v>
      </c>
      <c r="J2403" s="18">
        <v>626.99916646500003</v>
      </c>
      <c r="K2403" s="22">
        <v>0</v>
      </c>
      <c r="L2403" s="22" t="str">
        <f t="shared" si="37"/>
        <v>45870, 8, 17</v>
      </c>
    </row>
    <row r="2404" spans="1:12">
      <c r="A2404" s="9">
        <v>45870</v>
      </c>
      <c r="B2404">
        <v>8</v>
      </c>
      <c r="C2404" s="16" t="s">
        <v>63</v>
      </c>
      <c r="D2404">
        <v>18</v>
      </c>
      <c r="E2404" s="16" t="s">
        <v>55</v>
      </c>
      <c r="F2404" s="18">
        <v>1449</v>
      </c>
      <c r="G2404" s="22">
        <v>63</v>
      </c>
      <c r="H2404" s="18">
        <v>6.1679394992500001</v>
      </c>
      <c r="I2404" s="18">
        <v>388.58018845275001</v>
      </c>
      <c r="J2404" s="18">
        <v>1060.41981154725</v>
      </c>
      <c r="K2404" s="22">
        <v>0</v>
      </c>
      <c r="L2404" s="22" t="str">
        <f t="shared" si="37"/>
        <v>45870, 8, 18</v>
      </c>
    </row>
    <row r="2405" spans="1:12">
      <c r="A2405" s="9">
        <v>45901</v>
      </c>
      <c r="B2405">
        <v>8</v>
      </c>
      <c r="C2405" s="16" t="s">
        <v>63</v>
      </c>
      <c r="D2405">
        <v>1</v>
      </c>
      <c r="E2405" s="16" t="s">
        <v>38</v>
      </c>
      <c r="F2405" s="18">
        <v>1935</v>
      </c>
      <c r="G2405" s="22">
        <v>90</v>
      </c>
      <c r="H2405" s="18">
        <v>4.5808116071428504</v>
      </c>
      <c r="I2405" s="18">
        <v>412.27304464285697</v>
      </c>
      <c r="J2405" s="18">
        <v>1522.72695535714</v>
      </c>
      <c r="K2405" s="22">
        <v>0</v>
      </c>
      <c r="L2405" s="22" t="str">
        <f t="shared" si="37"/>
        <v>45901, 8, 1</v>
      </c>
    </row>
    <row r="2406" spans="1:12">
      <c r="A2406" s="9">
        <v>45901</v>
      </c>
      <c r="B2406">
        <v>8</v>
      </c>
      <c r="C2406" s="16" t="s">
        <v>63</v>
      </c>
      <c r="D2406">
        <v>2</v>
      </c>
      <c r="E2406" s="16" t="s">
        <v>40</v>
      </c>
      <c r="F2406" s="18">
        <v>2088</v>
      </c>
      <c r="G2406" s="22">
        <v>87</v>
      </c>
      <c r="H2406" s="18">
        <v>7.4700438784285703</v>
      </c>
      <c r="I2406" s="18">
        <v>649.89381742328499</v>
      </c>
      <c r="J2406" s="18">
        <v>1438.1061825767099</v>
      </c>
      <c r="K2406" s="22">
        <v>0</v>
      </c>
      <c r="L2406" s="22" t="str">
        <f t="shared" si="37"/>
        <v>45901, 8, 2</v>
      </c>
    </row>
    <row r="2407" spans="1:12">
      <c r="A2407" s="9">
        <v>45901</v>
      </c>
      <c r="B2407">
        <v>8</v>
      </c>
      <c r="C2407" s="16" t="s">
        <v>63</v>
      </c>
      <c r="D2407">
        <v>3</v>
      </c>
      <c r="E2407" s="16" t="s">
        <v>41</v>
      </c>
      <c r="F2407" s="18">
        <v>1125</v>
      </c>
      <c r="G2407" s="22">
        <v>45</v>
      </c>
      <c r="H2407" s="18">
        <v>3.6845086171666601</v>
      </c>
      <c r="I2407" s="18">
        <v>165.80288777249999</v>
      </c>
      <c r="J2407" s="18">
        <v>959.19711222749902</v>
      </c>
      <c r="K2407" s="22">
        <v>0</v>
      </c>
      <c r="L2407" s="22" t="str">
        <f t="shared" si="37"/>
        <v>45901, 8, 3</v>
      </c>
    </row>
    <row r="2408" spans="1:12">
      <c r="A2408" s="9">
        <v>45901</v>
      </c>
      <c r="B2408">
        <v>8</v>
      </c>
      <c r="C2408" s="16" t="s">
        <v>63</v>
      </c>
      <c r="D2408">
        <v>4</v>
      </c>
      <c r="E2408" s="16" t="s">
        <v>42</v>
      </c>
      <c r="F2408" s="18">
        <v>1537.5</v>
      </c>
      <c r="G2408" s="22">
        <v>75</v>
      </c>
      <c r="H2408" s="18">
        <v>7.4980643330000003</v>
      </c>
      <c r="I2408" s="18">
        <v>562.35482497500004</v>
      </c>
      <c r="J2408" s="18">
        <v>975.14517502499996</v>
      </c>
      <c r="K2408" s="22">
        <v>0</v>
      </c>
      <c r="L2408" s="22" t="str">
        <f t="shared" si="37"/>
        <v>45901, 8, 4</v>
      </c>
    </row>
    <row r="2409" spans="1:12">
      <c r="A2409" s="9">
        <v>45901</v>
      </c>
      <c r="B2409">
        <v>8</v>
      </c>
      <c r="C2409" s="16" t="s">
        <v>63</v>
      </c>
      <c r="D2409">
        <v>5</v>
      </c>
      <c r="E2409" s="16" t="s">
        <v>43</v>
      </c>
      <c r="F2409" s="18">
        <v>672</v>
      </c>
      <c r="G2409" s="22">
        <v>32</v>
      </c>
      <c r="H2409" s="18">
        <v>6.6388888888888804</v>
      </c>
      <c r="I2409" s="18">
        <v>212.444444444444</v>
      </c>
      <c r="J2409" s="18">
        <v>459.55555555555497</v>
      </c>
      <c r="K2409" s="22">
        <v>0</v>
      </c>
      <c r="L2409" s="22" t="str">
        <f t="shared" si="37"/>
        <v>45901, 8, 5</v>
      </c>
    </row>
    <row r="2410" spans="1:12">
      <c r="A2410" s="9">
        <v>45901</v>
      </c>
      <c r="B2410">
        <v>8</v>
      </c>
      <c r="C2410" s="16" t="s">
        <v>63</v>
      </c>
      <c r="D2410">
        <v>6</v>
      </c>
      <c r="E2410" s="16" t="s">
        <v>44</v>
      </c>
      <c r="F2410" s="18">
        <v>1170</v>
      </c>
      <c r="G2410" s="22">
        <v>52</v>
      </c>
      <c r="H2410" s="18">
        <v>5.3315031963499999</v>
      </c>
      <c r="I2410" s="18">
        <v>277.23816621020001</v>
      </c>
      <c r="J2410" s="18">
        <v>892.76183378979999</v>
      </c>
      <c r="K2410" s="22">
        <v>0</v>
      </c>
      <c r="L2410" s="22" t="str">
        <f t="shared" si="37"/>
        <v>45901, 8, 6</v>
      </c>
    </row>
    <row r="2411" spans="1:12">
      <c r="A2411" s="9">
        <v>45901</v>
      </c>
      <c r="B2411">
        <v>8</v>
      </c>
      <c r="C2411" s="16" t="s">
        <v>63</v>
      </c>
      <c r="D2411">
        <v>7</v>
      </c>
      <c r="E2411" s="16" t="s">
        <v>45</v>
      </c>
      <c r="F2411" s="18">
        <v>829.5</v>
      </c>
      <c r="G2411" s="22">
        <v>79</v>
      </c>
      <c r="H2411" s="18">
        <v>3.0074430028846102</v>
      </c>
      <c r="I2411" s="18">
        <v>237.58799722788399</v>
      </c>
      <c r="J2411" s="18">
        <v>591.91200277211499</v>
      </c>
      <c r="K2411" s="22">
        <v>0</v>
      </c>
      <c r="L2411" s="22" t="str">
        <f t="shared" si="37"/>
        <v>45901, 8, 7</v>
      </c>
    </row>
    <row r="2412" spans="1:12">
      <c r="A2412" s="9">
        <v>45901</v>
      </c>
      <c r="B2412">
        <v>8</v>
      </c>
      <c r="C2412" s="16" t="s">
        <v>63</v>
      </c>
      <c r="D2412">
        <v>8</v>
      </c>
      <c r="E2412" s="16" t="s">
        <v>46</v>
      </c>
      <c r="F2412" s="18">
        <v>456</v>
      </c>
      <c r="G2412" s="22">
        <v>38</v>
      </c>
      <c r="H2412" s="18">
        <v>0.68119626095237995</v>
      </c>
      <c r="I2412" s="18">
        <v>25.885457916190401</v>
      </c>
      <c r="J2412" s="18">
        <v>430.114542083809</v>
      </c>
      <c r="K2412" s="22">
        <v>0</v>
      </c>
      <c r="L2412" s="22" t="str">
        <f t="shared" si="37"/>
        <v>45901, 8, 8</v>
      </c>
    </row>
    <row r="2413" spans="1:12">
      <c r="A2413" s="9">
        <v>45901</v>
      </c>
      <c r="B2413">
        <v>8</v>
      </c>
      <c r="C2413" s="16" t="s">
        <v>63</v>
      </c>
      <c r="D2413">
        <v>9</v>
      </c>
      <c r="E2413" s="16" t="s">
        <v>47</v>
      </c>
      <c r="F2413" s="18">
        <v>873</v>
      </c>
      <c r="G2413" s="22">
        <v>18</v>
      </c>
      <c r="H2413" s="18">
        <v>19.269202141954299</v>
      </c>
      <c r="I2413" s="18">
        <v>346.845638555177</v>
      </c>
      <c r="J2413" s="18">
        <v>526.15436144482203</v>
      </c>
      <c r="K2413" s="22">
        <v>0</v>
      </c>
      <c r="L2413" s="22" t="str">
        <f t="shared" si="37"/>
        <v>45901, 8, 9</v>
      </c>
    </row>
    <row r="2414" spans="1:12">
      <c r="A2414" s="9">
        <v>45901</v>
      </c>
      <c r="B2414">
        <v>8</v>
      </c>
      <c r="C2414" s="16" t="s">
        <v>63</v>
      </c>
      <c r="D2414">
        <v>10</v>
      </c>
      <c r="E2414" s="16" t="s">
        <v>57</v>
      </c>
      <c r="F2414" s="18">
        <v>756</v>
      </c>
      <c r="G2414" s="22">
        <v>54</v>
      </c>
      <c r="H2414" s="18">
        <v>1.9086122589600001</v>
      </c>
      <c r="I2414" s="18">
        <v>103.06506198384</v>
      </c>
      <c r="J2414" s="18">
        <v>652.93493801616</v>
      </c>
      <c r="K2414" s="22">
        <v>0</v>
      </c>
      <c r="L2414" s="22" t="str">
        <f t="shared" si="37"/>
        <v>45901, 8, 10</v>
      </c>
    </row>
    <row r="2415" spans="1:12">
      <c r="A2415" s="9">
        <v>45901</v>
      </c>
      <c r="B2415">
        <v>8</v>
      </c>
      <c r="C2415" s="16" t="s">
        <v>63</v>
      </c>
      <c r="D2415">
        <v>11</v>
      </c>
      <c r="E2415" s="16" t="s">
        <v>48</v>
      </c>
      <c r="F2415" s="18">
        <v>1260</v>
      </c>
      <c r="G2415" s="22">
        <v>60</v>
      </c>
      <c r="H2415" s="18">
        <v>2.2427199843749999</v>
      </c>
      <c r="I2415" s="18">
        <v>134.56319906249999</v>
      </c>
      <c r="J2415" s="18">
        <v>1125.4368009375</v>
      </c>
      <c r="K2415" s="22">
        <v>0</v>
      </c>
      <c r="L2415" s="22" t="str">
        <f t="shared" si="37"/>
        <v>45901, 8, 11</v>
      </c>
    </row>
    <row r="2416" spans="1:12">
      <c r="A2416" s="9">
        <v>45901</v>
      </c>
      <c r="B2416">
        <v>8</v>
      </c>
      <c r="C2416" s="16" t="s">
        <v>63</v>
      </c>
      <c r="D2416">
        <v>12</v>
      </c>
      <c r="E2416" s="16" t="s">
        <v>49</v>
      </c>
      <c r="F2416" s="18">
        <v>2257.5</v>
      </c>
      <c r="G2416" s="22">
        <v>105</v>
      </c>
      <c r="H2416" s="18">
        <v>2.7022193384583302</v>
      </c>
      <c r="I2416" s="18">
        <v>283.73303053812401</v>
      </c>
      <c r="J2416" s="18">
        <v>1973.7669694618701</v>
      </c>
      <c r="K2416" s="22">
        <v>0</v>
      </c>
      <c r="L2416" s="22" t="str">
        <f t="shared" si="37"/>
        <v>45901, 8, 12</v>
      </c>
    </row>
    <row r="2417" spans="1:12">
      <c r="A2417" s="9">
        <v>45901</v>
      </c>
      <c r="B2417">
        <v>8</v>
      </c>
      <c r="C2417" s="16" t="s">
        <v>63</v>
      </c>
      <c r="D2417">
        <v>13</v>
      </c>
      <c r="E2417" s="16" t="s">
        <v>50</v>
      </c>
      <c r="F2417" s="18">
        <v>1057.5</v>
      </c>
      <c r="G2417" s="22">
        <v>47</v>
      </c>
      <c r="H2417" s="18">
        <v>7.5007916666666601</v>
      </c>
      <c r="I2417" s="18">
        <v>352.53720833333301</v>
      </c>
      <c r="J2417" s="18">
        <v>704.96279166666602</v>
      </c>
      <c r="K2417" s="22">
        <v>0</v>
      </c>
      <c r="L2417" s="22" t="str">
        <f t="shared" si="37"/>
        <v>45901, 8, 13</v>
      </c>
    </row>
    <row r="2418" spans="1:12">
      <c r="A2418" s="9">
        <v>45901</v>
      </c>
      <c r="B2418">
        <v>8</v>
      </c>
      <c r="C2418" s="16" t="s">
        <v>63</v>
      </c>
      <c r="D2418">
        <v>14</v>
      </c>
      <c r="E2418" s="16" t="s">
        <v>51</v>
      </c>
      <c r="F2418" s="18">
        <v>770</v>
      </c>
      <c r="G2418" s="22">
        <v>28</v>
      </c>
      <c r="H2418" s="18">
        <v>4.9427341295138802</v>
      </c>
      <c r="I2418" s="18">
        <v>138.39655562638799</v>
      </c>
      <c r="J2418" s="18">
        <v>631.60344437361096</v>
      </c>
      <c r="K2418" s="22">
        <v>0</v>
      </c>
      <c r="L2418" s="22" t="str">
        <f t="shared" si="37"/>
        <v>45901, 8, 14</v>
      </c>
    </row>
    <row r="2419" spans="1:12">
      <c r="A2419" s="9">
        <v>45901</v>
      </c>
      <c r="B2419">
        <v>8</v>
      </c>
      <c r="C2419" s="16" t="s">
        <v>63</v>
      </c>
      <c r="D2419">
        <v>15</v>
      </c>
      <c r="E2419" s="16" t="s">
        <v>52</v>
      </c>
      <c r="F2419" s="18">
        <v>1608</v>
      </c>
      <c r="G2419" s="22">
        <v>67</v>
      </c>
      <c r="H2419" s="18">
        <v>2.9680654622142799</v>
      </c>
      <c r="I2419" s="18">
        <v>198.86038596835701</v>
      </c>
      <c r="J2419" s="18">
        <v>1409.1396140316399</v>
      </c>
      <c r="K2419" s="22">
        <v>0</v>
      </c>
      <c r="L2419" s="22" t="str">
        <f t="shared" si="37"/>
        <v>45901, 8, 15</v>
      </c>
    </row>
    <row r="2420" spans="1:12">
      <c r="A2420" s="9">
        <v>45901</v>
      </c>
      <c r="B2420">
        <v>8</v>
      </c>
      <c r="C2420" s="16" t="s">
        <v>63</v>
      </c>
      <c r="D2420">
        <v>16</v>
      </c>
      <c r="E2420" s="16" t="s">
        <v>53</v>
      </c>
      <c r="F2420" s="18">
        <v>225</v>
      </c>
      <c r="G2420" s="22">
        <v>25</v>
      </c>
      <c r="H2420" s="18">
        <v>1.70944751277777</v>
      </c>
      <c r="I2420" s="18">
        <v>42.736187819444403</v>
      </c>
      <c r="J2420" s="18">
        <v>182.26381218055499</v>
      </c>
      <c r="K2420" s="22">
        <v>0</v>
      </c>
      <c r="L2420" s="22" t="str">
        <f t="shared" si="37"/>
        <v>45901, 8, 16</v>
      </c>
    </row>
    <row r="2421" spans="1:12">
      <c r="A2421" s="9">
        <v>45901</v>
      </c>
      <c r="B2421">
        <v>8</v>
      </c>
      <c r="C2421" s="16" t="s">
        <v>63</v>
      </c>
      <c r="D2421">
        <v>17</v>
      </c>
      <c r="E2421" s="16" t="s">
        <v>54</v>
      </c>
      <c r="F2421" s="18">
        <v>525</v>
      </c>
      <c r="G2421" s="22">
        <v>70</v>
      </c>
      <c r="H2421" s="18">
        <v>1.5125923864999999</v>
      </c>
      <c r="I2421" s="18">
        <v>105.881467055</v>
      </c>
      <c r="J2421" s="18">
        <v>419.11853294500003</v>
      </c>
      <c r="K2421" s="22">
        <v>0</v>
      </c>
      <c r="L2421" s="22" t="str">
        <f t="shared" si="37"/>
        <v>45901, 8, 17</v>
      </c>
    </row>
    <row r="2422" spans="1:12">
      <c r="A2422" s="9">
        <v>45901</v>
      </c>
      <c r="B2422">
        <v>8</v>
      </c>
      <c r="C2422" s="16" t="s">
        <v>63</v>
      </c>
      <c r="D2422">
        <v>18</v>
      </c>
      <c r="E2422" s="16" t="s">
        <v>55</v>
      </c>
      <c r="F2422" s="18">
        <v>1127</v>
      </c>
      <c r="G2422" s="22">
        <v>49</v>
      </c>
      <c r="H2422" s="18">
        <v>6.1609551843653803</v>
      </c>
      <c r="I2422" s="18">
        <v>301.88680403390299</v>
      </c>
      <c r="J2422" s="18">
        <v>825.11319596609599</v>
      </c>
      <c r="K2422" s="22">
        <v>0</v>
      </c>
      <c r="L2422" s="22" t="str">
        <f t="shared" si="37"/>
        <v>45901, 8, 18</v>
      </c>
    </row>
    <row r="2423" spans="1:12">
      <c r="A2423" s="9">
        <v>45931</v>
      </c>
      <c r="B2423">
        <v>8</v>
      </c>
      <c r="C2423" s="16" t="s">
        <v>63</v>
      </c>
      <c r="D2423">
        <v>1</v>
      </c>
      <c r="E2423" s="16" t="s">
        <v>38</v>
      </c>
      <c r="F2423" s="18">
        <v>1698.5</v>
      </c>
      <c r="G2423" s="22">
        <v>79</v>
      </c>
      <c r="H2423" s="18">
        <v>4.5365113653846096</v>
      </c>
      <c r="I2423" s="18">
        <v>358.38439786538402</v>
      </c>
      <c r="J2423" s="18">
        <v>1340.1156021346101</v>
      </c>
      <c r="K2423" s="22">
        <v>0</v>
      </c>
      <c r="L2423" s="22" t="str">
        <f t="shared" si="37"/>
        <v>45931, 8, 1</v>
      </c>
    </row>
    <row r="2424" spans="1:12">
      <c r="A2424" s="9">
        <v>45931</v>
      </c>
      <c r="B2424">
        <v>8</v>
      </c>
      <c r="C2424" s="16" t="s">
        <v>63</v>
      </c>
      <c r="D2424">
        <v>2</v>
      </c>
      <c r="E2424" s="16" t="s">
        <v>40</v>
      </c>
      <c r="F2424" s="18">
        <v>2040</v>
      </c>
      <c r="G2424" s="22">
        <v>85</v>
      </c>
      <c r="H2424" s="18">
        <v>7.4235883201666599</v>
      </c>
      <c r="I2424" s="18">
        <v>631.00500721416597</v>
      </c>
      <c r="J2424" s="18">
        <v>1408.9949927858299</v>
      </c>
      <c r="K2424" s="22">
        <v>0</v>
      </c>
      <c r="L2424" s="22" t="str">
        <f t="shared" si="37"/>
        <v>45931, 8, 2</v>
      </c>
    </row>
    <row r="2425" spans="1:12">
      <c r="A2425" s="9">
        <v>45931</v>
      </c>
      <c r="B2425">
        <v>8</v>
      </c>
      <c r="C2425" s="16" t="s">
        <v>63</v>
      </c>
      <c r="D2425">
        <v>3</v>
      </c>
      <c r="E2425" s="16" t="s">
        <v>41</v>
      </c>
      <c r="F2425" s="18">
        <v>1125</v>
      </c>
      <c r="G2425" s="22">
        <v>45</v>
      </c>
      <c r="H2425" s="18">
        <v>3.7380634205454499</v>
      </c>
      <c r="I2425" s="18">
        <v>168.21285392454499</v>
      </c>
      <c r="J2425" s="18">
        <v>956.78714607545396</v>
      </c>
      <c r="K2425" s="22">
        <v>0</v>
      </c>
      <c r="L2425" s="22" t="str">
        <f t="shared" si="37"/>
        <v>45931, 8, 3</v>
      </c>
    </row>
    <row r="2426" spans="1:12">
      <c r="A2426" s="9">
        <v>45931</v>
      </c>
      <c r="B2426">
        <v>8</v>
      </c>
      <c r="C2426" s="16" t="s">
        <v>63</v>
      </c>
      <c r="D2426">
        <v>4</v>
      </c>
      <c r="E2426" s="16" t="s">
        <v>42</v>
      </c>
      <c r="F2426" s="18">
        <v>1394</v>
      </c>
      <c r="G2426" s="22">
        <v>68</v>
      </c>
      <c r="H2426" s="18">
        <v>7.6190320396000004</v>
      </c>
      <c r="I2426" s="18">
        <v>518.09417869280003</v>
      </c>
      <c r="J2426" s="18">
        <v>875.90582130719997</v>
      </c>
      <c r="K2426" s="22">
        <v>0</v>
      </c>
      <c r="L2426" s="22" t="str">
        <f t="shared" si="37"/>
        <v>45931, 8, 4</v>
      </c>
    </row>
    <row r="2427" spans="1:12">
      <c r="A2427" s="9">
        <v>45931</v>
      </c>
      <c r="B2427">
        <v>8</v>
      </c>
      <c r="C2427" s="16" t="s">
        <v>63</v>
      </c>
      <c r="D2427">
        <v>5</v>
      </c>
      <c r="E2427" s="16" t="s">
        <v>43</v>
      </c>
      <c r="F2427" s="18">
        <v>588</v>
      </c>
      <c r="G2427" s="22">
        <v>28</v>
      </c>
      <c r="H2427" s="18">
        <v>6.8509191176470496</v>
      </c>
      <c r="I2427" s="18">
        <v>191.82573529411701</v>
      </c>
      <c r="J2427" s="18">
        <v>396.17426470588202</v>
      </c>
      <c r="K2427" s="22">
        <v>0</v>
      </c>
      <c r="L2427" s="22" t="str">
        <f t="shared" si="37"/>
        <v>45931, 8, 5</v>
      </c>
    </row>
    <row r="2428" spans="1:12">
      <c r="A2428" s="9">
        <v>45931</v>
      </c>
      <c r="B2428">
        <v>8</v>
      </c>
      <c r="C2428" s="16" t="s">
        <v>63</v>
      </c>
      <c r="D2428">
        <v>6</v>
      </c>
      <c r="E2428" s="16" t="s">
        <v>44</v>
      </c>
      <c r="F2428" s="18">
        <v>1440</v>
      </c>
      <c r="G2428" s="22">
        <v>64</v>
      </c>
      <c r="H2428" s="18">
        <v>5.2906384225555501</v>
      </c>
      <c r="I2428" s="18">
        <v>338.60085904355498</v>
      </c>
      <c r="J2428" s="18">
        <v>1101.3991409564401</v>
      </c>
      <c r="K2428" s="22">
        <v>0</v>
      </c>
      <c r="L2428" s="22" t="str">
        <f t="shared" si="37"/>
        <v>45931, 8, 6</v>
      </c>
    </row>
    <row r="2429" spans="1:12">
      <c r="A2429" s="9">
        <v>45931</v>
      </c>
      <c r="B2429">
        <v>8</v>
      </c>
      <c r="C2429" s="16" t="s">
        <v>63</v>
      </c>
      <c r="D2429">
        <v>7</v>
      </c>
      <c r="E2429" s="16" t="s">
        <v>45</v>
      </c>
      <c r="F2429" s="18">
        <v>819</v>
      </c>
      <c r="G2429" s="22">
        <v>78</v>
      </c>
      <c r="H2429" s="18">
        <v>3.0164132355357101</v>
      </c>
      <c r="I2429" s="18">
        <v>235.28023237178499</v>
      </c>
      <c r="J2429" s="18">
        <v>583.71976762821396</v>
      </c>
      <c r="K2429" s="22">
        <v>0</v>
      </c>
      <c r="L2429" s="22" t="str">
        <f t="shared" si="37"/>
        <v>45931, 8, 7</v>
      </c>
    </row>
    <row r="2430" spans="1:12">
      <c r="A2430" s="9">
        <v>45931</v>
      </c>
      <c r="B2430">
        <v>8</v>
      </c>
      <c r="C2430" s="16" t="s">
        <v>63</v>
      </c>
      <c r="D2430">
        <v>8</v>
      </c>
      <c r="E2430" s="16" t="s">
        <v>46</v>
      </c>
      <c r="F2430" s="18">
        <v>468</v>
      </c>
      <c r="G2430" s="22">
        <v>39</v>
      </c>
      <c r="H2430" s="18">
        <v>0.68406798166666605</v>
      </c>
      <c r="I2430" s="18">
        <v>26.678651285000001</v>
      </c>
      <c r="J2430" s="18">
        <v>441.32134871499898</v>
      </c>
      <c r="K2430" s="22">
        <v>0</v>
      </c>
      <c r="L2430" s="22" t="str">
        <f t="shared" si="37"/>
        <v>45931, 8, 8</v>
      </c>
    </row>
    <row r="2431" spans="1:12">
      <c r="A2431" s="9">
        <v>45931</v>
      </c>
      <c r="B2431">
        <v>8</v>
      </c>
      <c r="C2431" s="16" t="s">
        <v>63</v>
      </c>
      <c r="D2431">
        <v>9</v>
      </c>
      <c r="E2431" s="16" t="s">
        <v>47</v>
      </c>
      <c r="F2431" s="18">
        <v>1212.5</v>
      </c>
      <c r="G2431" s="22">
        <v>25</v>
      </c>
      <c r="H2431" s="18">
        <v>19.4331353700893</v>
      </c>
      <c r="I2431" s="18">
        <v>485.82838425223298</v>
      </c>
      <c r="J2431" s="18">
        <v>726.67161574776605</v>
      </c>
      <c r="K2431" s="22">
        <v>0</v>
      </c>
      <c r="L2431" s="22" t="str">
        <f t="shared" si="37"/>
        <v>45931, 8, 9</v>
      </c>
    </row>
    <row r="2432" spans="1:12">
      <c r="A2432" s="9">
        <v>45931</v>
      </c>
      <c r="B2432">
        <v>8</v>
      </c>
      <c r="C2432" s="16" t="s">
        <v>63</v>
      </c>
      <c r="D2432">
        <v>10</v>
      </c>
      <c r="E2432" s="16" t="s">
        <v>57</v>
      </c>
      <c r="F2432" s="18">
        <v>672</v>
      </c>
      <c r="G2432" s="22">
        <v>48</v>
      </c>
      <c r="H2432" s="18">
        <v>2.0288641689600002</v>
      </c>
      <c r="I2432" s="18">
        <v>97.385480110079996</v>
      </c>
      <c r="J2432" s="18">
        <v>574.61451988991996</v>
      </c>
      <c r="K2432" s="22">
        <v>0</v>
      </c>
      <c r="L2432" s="22" t="str">
        <f t="shared" si="37"/>
        <v>45931, 8, 10</v>
      </c>
    </row>
    <row r="2433" spans="1:12">
      <c r="A2433" s="9">
        <v>45931</v>
      </c>
      <c r="B2433">
        <v>8</v>
      </c>
      <c r="C2433" s="16" t="s">
        <v>63</v>
      </c>
      <c r="D2433">
        <v>11</v>
      </c>
      <c r="E2433" s="16" t="s">
        <v>48</v>
      </c>
      <c r="F2433" s="18">
        <v>1344</v>
      </c>
      <c r="G2433" s="22">
        <v>64</v>
      </c>
      <c r="H2433" s="18">
        <v>2.25027121875</v>
      </c>
      <c r="I2433" s="18">
        <v>144.017358</v>
      </c>
      <c r="J2433" s="18">
        <v>1199.9826419999999</v>
      </c>
      <c r="K2433" s="22">
        <v>0</v>
      </c>
      <c r="L2433" s="22" t="str">
        <f t="shared" si="37"/>
        <v>45931, 8, 11</v>
      </c>
    </row>
    <row r="2434" spans="1:12">
      <c r="A2434" s="9">
        <v>45931</v>
      </c>
      <c r="B2434">
        <v>8</v>
      </c>
      <c r="C2434" s="16" t="s">
        <v>63</v>
      </c>
      <c r="D2434">
        <v>12</v>
      </c>
      <c r="E2434" s="16" t="s">
        <v>49</v>
      </c>
      <c r="F2434" s="18">
        <v>1612.5</v>
      </c>
      <c r="G2434" s="22">
        <v>75</v>
      </c>
      <c r="H2434" s="18">
        <v>2.7097364944583302</v>
      </c>
      <c r="I2434" s="18">
        <v>203.23023708437401</v>
      </c>
      <c r="J2434" s="18">
        <v>1409.26976291562</v>
      </c>
      <c r="K2434" s="22">
        <v>0</v>
      </c>
      <c r="L2434" s="22" t="str">
        <f t="shared" si="37"/>
        <v>45931, 8, 12</v>
      </c>
    </row>
    <row r="2435" spans="1:12">
      <c r="A2435" s="9">
        <v>45931</v>
      </c>
      <c r="B2435">
        <v>8</v>
      </c>
      <c r="C2435" s="16" t="s">
        <v>63</v>
      </c>
      <c r="D2435">
        <v>13</v>
      </c>
      <c r="E2435" s="16" t="s">
        <v>50</v>
      </c>
      <c r="F2435" s="18">
        <v>1552.5</v>
      </c>
      <c r="G2435" s="22">
        <v>69</v>
      </c>
      <c r="H2435" s="18">
        <v>7.5084708888888798</v>
      </c>
      <c r="I2435" s="18">
        <v>518.08449133333295</v>
      </c>
      <c r="J2435" s="18">
        <v>1034.4155086666599</v>
      </c>
      <c r="K2435" s="22">
        <v>0</v>
      </c>
      <c r="L2435" s="22" t="str">
        <f t="shared" ref="L2435:L2498" si="38">(A2435&amp; ", "&amp; B2435&amp; ", "&amp; D2435)</f>
        <v>45931, 8, 13</v>
      </c>
    </row>
    <row r="2436" spans="1:12">
      <c r="A2436" s="9">
        <v>45931</v>
      </c>
      <c r="B2436">
        <v>8</v>
      </c>
      <c r="C2436" s="16" t="s">
        <v>63</v>
      </c>
      <c r="D2436">
        <v>14</v>
      </c>
      <c r="E2436" s="16" t="s">
        <v>51</v>
      </c>
      <c r="F2436" s="18">
        <v>825</v>
      </c>
      <c r="G2436" s="22">
        <v>30</v>
      </c>
      <c r="H2436" s="18">
        <v>4.9365869729545402</v>
      </c>
      <c r="I2436" s="18">
        <v>148.097609188636</v>
      </c>
      <c r="J2436" s="18">
        <v>676.90239081136303</v>
      </c>
      <c r="K2436" s="22">
        <v>0</v>
      </c>
      <c r="L2436" s="22" t="str">
        <f t="shared" si="38"/>
        <v>45931, 8, 14</v>
      </c>
    </row>
    <row r="2437" spans="1:12">
      <c r="A2437" s="9">
        <v>45931</v>
      </c>
      <c r="B2437">
        <v>8</v>
      </c>
      <c r="C2437" s="16" t="s">
        <v>63</v>
      </c>
      <c r="D2437">
        <v>15</v>
      </c>
      <c r="E2437" s="16" t="s">
        <v>52</v>
      </c>
      <c r="F2437" s="18">
        <v>1896</v>
      </c>
      <c r="G2437" s="22">
        <v>79</v>
      </c>
      <c r="H2437" s="18">
        <v>2.9458917211538398</v>
      </c>
      <c r="I2437" s="18">
        <v>232.72544597115299</v>
      </c>
      <c r="J2437" s="18">
        <v>1663.2745540288399</v>
      </c>
      <c r="K2437" s="22">
        <v>0</v>
      </c>
      <c r="L2437" s="22" t="str">
        <f t="shared" si="38"/>
        <v>45931, 8, 15</v>
      </c>
    </row>
    <row r="2438" spans="1:12">
      <c r="A2438" s="9">
        <v>45931</v>
      </c>
      <c r="B2438">
        <v>8</v>
      </c>
      <c r="C2438" s="16" t="s">
        <v>63</v>
      </c>
      <c r="D2438">
        <v>16</v>
      </c>
      <c r="E2438" s="16" t="s">
        <v>53</v>
      </c>
      <c r="F2438" s="18">
        <v>486</v>
      </c>
      <c r="G2438" s="22">
        <v>54</v>
      </c>
      <c r="H2438" s="18">
        <v>1.6963822414743499</v>
      </c>
      <c r="I2438" s="18">
        <v>91.604641039615302</v>
      </c>
      <c r="J2438" s="18">
        <v>394.39535896038399</v>
      </c>
      <c r="K2438" s="22">
        <v>0</v>
      </c>
      <c r="L2438" s="22" t="str">
        <f t="shared" si="38"/>
        <v>45931, 8, 16</v>
      </c>
    </row>
    <row r="2439" spans="1:12">
      <c r="A2439" s="9">
        <v>45931</v>
      </c>
      <c r="B2439">
        <v>8</v>
      </c>
      <c r="C2439" s="16" t="s">
        <v>63</v>
      </c>
      <c r="D2439">
        <v>17</v>
      </c>
      <c r="E2439" s="16" t="s">
        <v>54</v>
      </c>
      <c r="F2439" s="18">
        <v>637.5</v>
      </c>
      <c r="G2439" s="22">
        <v>85</v>
      </c>
      <c r="H2439" s="18">
        <v>1.5366762395454501</v>
      </c>
      <c r="I2439" s="18">
        <v>130.61748036136299</v>
      </c>
      <c r="J2439" s="18">
        <v>506.88251963863598</v>
      </c>
      <c r="K2439" s="22">
        <v>0</v>
      </c>
      <c r="L2439" s="22" t="str">
        <f t="shared" si="38"/>
        <v>45931, 8, 17</v>
      </c>
    </row>
    <row r="2440" spans="1:12">
      <c r="A2440" s="9">
        <v>45931</v>
      </c>
      <c r="B2440">
        <v>8</v>
      </c>
      <c r="C2440" s="16" t="s">
        <v>63</v>
      </c>
      <c r="D2440">
        <v>18</v>
      </c>
      <c r="E2440" s="16" t="s">
        <v>55</v>
      </c>
      <c r="F2440" s="18">
        <v>874</v>
      </c>
      <c r="G2440" s="22">
        <v>38</v>
      </c>
      <c r="H2440" s="18">
        <v>6.25115694295833</v>
      </c>
      <c r="I2440" s="18">
        <v>237.54396383241601</v>
      </c>
      <c r="J2440" s="18">
        <v>636.45603616758297</v>
      </c>
      <c r="K2440" s="22">
        <v>0</v>
      </c>
      <c r="L2440" s="22" t="str">
        <f t="shared" si="38"/>
        <v>45931, 8, 18</v>
      </c>
    </row>
    <row r="2441" spans="1:12">
      <c r="A2441" s="9">
        <v>45962</v>
      </c>
      <c r="B2441">
        <v>8</v>
      </c>
      <c r="C2441" s="16" t="s">
        <v>63</v>
      </c>
      <c r="D2441">
        <v>1</v>
      </c>
      <c r="E2441" s="16" t="s">
        <v>38</v>
      </c>
      <c r="F2441" s="18">
        <v>1806</v>
      </c>
      <c r="G2441" s="22">
        <v>84</v>
      </c>
      <c r="H2441" s="18">
        <v>4.5510788333333299</v>
      </c>
      <c r="I2441" s="18">
        <v>382.29062199999902</v>
      </c>
      <c r="J2441" s="18">
        <v>1423.709378</v>
      </c>
      <c r="K2441" s="22">
        <v>0</v>
      </c>
      <c r="L2441" s="22" t="str">
        <f t="shared" si="38"/>
        <v>45962, 8, 1</v>
      </c>
    </row>
    <row r="2442" spans="1:12">
      <c r="A2442" s="9">
        <v>45962</v>
      </c>
      <c r="B2442">
        <v>8</v>
      </c>
      <c r="C2442" s="16" t="s">
        <v>63</v>
      </c>
      <c r="D2442">
        <v>2</v>
      </c>
      <c r="E2442" s="16" t="s">
        <v>40</v>
      </c>
      <c r="F2442" s="18">
        <v>2304</v>
      </c>
      <c r="G2442" s="22">
        <v>96</v>
      </c>
      <c r="H2442" s="18">
        <v>7.4330647876666598</v>
      </c>
      <c r="I2442" s="18">
        <v>713.57421961600005</v>
      </c>
      <c r="J2442" s="18">
        <v>1590.4257803839901</v>
      </c>
      <c r="K2442" s="22">
        <v>0</v>
      </c>
      <c r="L2442" s="22" t="str">
        <f t="shared" si="38"/>
        <v>45962, 8, 2</v>
      </c>
    </row>
    <row r="2443" spans="1:12">
      <c r="A2443" s="9">
        <v>45962</v>
      </c>
      <c r="B2443">
        <v>8</v>
      </c>
      <c r="C2443" s="16" t="s">
        <v>63</v>
      </c>
      <c r="D2443">
        <v>3</v>
      </c>
      <c r="E2443" s="16" t="s">
        <v>41</v>
      </c>
      <c r="F2443" s="18">
        <v>1225</v>
      </c>
      <c r="G2443" s="22">
        <v>49</v>
      </c>
      <c r="H2443" s="18">
        <v>3.7272212036363599</v>
      </c>
      <c r="I2443" s="18">
        <v>182.63383897818099</v>
      </c>
      <c r="J2443" s="18">
        <v>1042.3661610218101</v>
      </c>
      <c r="K2443" s="22">
        <v>0</v>
      </c>
      <c r="L2443" s="22" t="str">
        <f t="shared" si="38"/>
        <v>45962, 8, 3</v>
      </c>
    </row>
    <row r="2444" spans="1:12">
      <c r="A2444" s="9">
        <v>45962</v>
      </c>
      <c r="B2444">
        <v>8</v>
      </c>
      <c r="C2444" s="16" t="s">
        <v>63</v>
      </c>
      <c r="D2444">
        <v>4</v>
      </c>
      <c r="E2444" s="16" t="s">
        <v>42</v>
      </c>
      <c r="F2444" s="18">
        <v>1107</v>
      </c>
      <c r="G2444" s="22">
        <v>54</v>
      </c>
      <c r="H2444" s="18">
        <v>7.797555494</v>
      </c>
      <c r="I2444" s="18">
        <v>421.06799667600001</v>
      </c>
      <c r="J2444" s="18">
        <v>685.93200332399999</v>
      </c>
      <c r="K2444" s="22">
        <v>0</v>
      </c>
      <c r="L2444" s="22" t="str">
        <f t="shared" si="38"/>
        <v>45962, 8, 4</v>
      </c>
    </row>
    <row r="2445" spans="1:12">
      <c r="A2445" s="9">
        <v>45962</v>
      </c>
      <c r="B2445">
        <v>8</v>
      </c>
      <c r="C2445" s="16" t="s">
        <v>63</v>
      </c>
      <c r="D2445">
        <v>5</v>
      </c>
      <c r="E2445" s="16" t="s">
        <v>43</v>
      </c>
      <c r="F2445" s="18">
        <v>609</v>
      </c>
      <c r="G2445" s="22">
        <v>29</v>
      </c>
      <c r="H2445" s="18">
        <v>6.9902232142857104</v>
      </c>
      <c r="I2445" s="18">
        <v>202.716473214285</v>
      </c>
      <c r="J2445" s="18">
        <v>406.283526785714</v>
      </c>
      <c r="K2445" s="22">
        <v>0</v>
      </c>
      <c r="L2445" s="22" t="str">
        <f t="shared" si="38"/>
        <v>45962, 8, 5</v>
      </c>
    </row>
    <row r="2446" spans="1:12">
      <c r="A2446" s="9">
        <v>45962</v>
      </c>
      <c r="B2446">
        <v>8</v>
      </c>
      <c r="C2446" s="16" t="s">
        <v>63</v>
      </c>
      <c r="D2446">
        <v>6</v>
      </c>
      <c r="E2446" s="16" t="s">
        <v>44</v>
      </c>
      <c r="F2446" s="18">
        <v>1327.5</v>
      </c>
      <c r="G2446" s="22">
        <v>59</v>
      </c>
      <c r="H2446" s="18">
        <v>5.2932826677999998</v>
      </c>
      <c r="I2446" s="18">
        <v>312.3036774002</v>
      </c>
      <c r="J2446" s="18">
        <v>1015.1963225998001</v>
      </c>
      <c r="K2446" s="22">
        <v>0</v>
      </c>
      <c r="L2446" s="22" t="str">
        <f t="shared" si="38"/>
        <v>45962, 8, 6</v>
      </c>
    </row>
    <row r="2447" spans="1:12">
      <c r="A2447" s="9">
        <v>45962</v>
      </c>
      <c r="B2447">
        <v>8</v>
      </c>
      <c r="C2447" s="16" t="s">
        <v>63</v>
      </c>
      <c r="D2447">
        <v>7</v>
      </c>
      <c r="E2447" s="16" t="s">
        <v>45</v>
      </c>
      <c r="F2447" s="18">
        <v>1144.5</v>
      </c>
      <c r="G2447" s="22">
        <v>109</v>
      </c>
      <c r="H2447" s="18">
        <v>3.0253690988461499</v>
      </c>
      <c r="I2447" s="18">
        <v>329.76523177423002</v>
      </c>
      <c r="J2447" s="18">
        <v>814.73476822576902</v>
      </c>
      <c r="K2447" s="22">
        <v>0</v>
      </c>
      <c r="L2447" s="22" t="str">
        <f t="shared" si="38"/>
        <v>45962, 8, 7</v>
      </c>
    </row>
    <row r="2448" spans="1:12">
      <c r="A2448" s="9">
        <v>45962</v>
      </c>
      <c r="B2448">
        <v>8</v>
      </c>
      <c r="C2448" s="16" t="s">
        <v>63</v>
      </c>
      <c r="D2448">
        <v>8</v>
      </c>
      <c r="E2448" s="16" t="s">
        <v>46</v>
      </c>
      <c r="F2448" s="18">
        <v>648</v>
      </c>
      <c r="G2448" s="22">
        <v>54</v>
      </c>
      <c r="H2448" s="18">
        <v>0.68892484194444403</v>
      </c>
      <c r="I2448" s="18">
        <v>37.201941464999898</v>
      </c>
      <c r="J2448" s="18">
        <v>610.798058535</v>
      </c>
      <c r="K2448" s="22">
        <v>0</v>
      </c>
      <c r="L2448" s="22" t="str">
        <f t="shared" si="38"/>
        <v>45962, 8, 8</v>
      </c>
    </row>
    <row r="2449" spans="1:12">
      <c r="A2449" s="9">
        <v>45962</v>
      </c>
      <c r="B2449">
        <v>8</v>
      </c>
      <c r="C2449" s="16" t="s">
        <v>63</v>
      </c>
      <c r="D2449">
        <v>9</v>
      </c>
      <c r="E2449" s="16" t="s">
        <v>47</v>
      </c>
      <c r="F2449" s="18">
        <v>1503.5</v>
      </c>
      <c r="G2449" s="22">
        <v>31</v>
      </c>
      <c r="H2449" s="18">
        <v>19.453194772961901</v>
      </c>
      <c r="I2449" s="18">
        <v>603.04903796181998</v>
      </c>
      <c r="J2449" s="18">
        <v>900.450962038179</v>
      </c>
      <c r="K2449" s="22">
        <v>0</v>
      </c>
      <c r="L2449" s="22" t="str">
        <f t="shared" si="38"/>
        <v>45962, 8, 9</v>
      </c>
    </row>
    <row r="2450" spans="1:12">
      <c r="A2450" s="9">
        <v>45962</v>
      </c>
      <c r="B2450">
        <v>8</v>
      </c>
      <c r="C2450" s="16" t="s">
        <v>63</v>
      </c>
      <c r="D2450">
        <v>10</v>
      </c>
      <c r="E2450" s="16" t="s">
        <v>57</v>
      </c>
      <c r="F2450" s="18">
        <v>602</v>
      </c>
      <c r="G2450" s="22">
        <v>43</v>
      </c>
      <c r="H2450" s="18">
        <v>2.1464019868444399</v>
      </c>
      <c r="I2450" s="18">
        <v>92.295285434311097</v>
      </c>
      <c r="J2450" s="18">
        <v>509.70471456568799</v>
      </c>
      <c r="K2450" s="22">
        <v>0</v>
      </c>
      <c r="L2450" s="22" t="str">
        <f t="shared" si="38"/>
        <v>45962, 8, 10</v>
      </c>
    </row>
    <row r="2451" spans="1:12">
      <c r="A2451" s="9">
        <v>45962</v>
      </c>
      <c r="B2451">
        <v>8</v>
      </c>
      <c r="C2451" s="16" t="s">
        <v>63</v>
      </c>
      <c r="D2451">
        <v>11</v>
      </c>
      <c r="E2451" s="16" t="s">
        <v>48</v>
      </c>
      <c r="F2451" s="18">
        <v>1428</v>
      </c>
      <c r="G2451" s="22">
        <v>68</v>
      </c>
      <c r="H2451" s="18">
        <v>2.25701594444444</v>
      </c>
      <c r="I2451" s="18">
        <v>153.477084222222</v>
      </c>
      <c r="J2451" s="18">
        <v>1274.5229157777701</v>
      </c>
      <c r="K2451" s="22">
        <v>0</v>
      </c>
      <c r="L2451" s="22" t="str">
        <f t="shared" si="38"/>
        <v>45962, 8, 11</v>
      </c>
    </row>
    <row r="2452" spans="1:12">
      <c r="A2452" s="9">
        <v>45962</v>
      </c>
      <c r="B2452">
        <v>8</v>
      </c>
      <c r="C2452" s="16" t="s">
        <v>63</v>
      </c>
      <c r="D2452">
        <v>12</v>
      </c>
      <c r="E2452" s="16" t="s">
        <v>49</v>
      </c>
      <c r="F2452" s="18">
        <v>1591</v>
      </c>
      <c r="G2452" s="22">
        <v>74</v>
      </c>
      <c r="H2452" s="18">
        <v>2.7265549400000002</v>
      </c>
      <c r="I2452" s="18">
        <v>201.76506556000001</v>
      </c>
      <c r="J2452" s="18">
        <v>1389.23493444</v>
      </c>
      <c r="K2452" s="22">
        <v>0</v>
      </c>
      <c r="L2452" s="22" t="str">
        <f t="shared" si="38"/>
        <v>45962, 8, 12</v>
      </c>
    </row>
    <row r="2453" spans="1:12">
      <c r="A2453" s="9">
        <v>45962</v>
      </c>
      <c r="B2453">
        <v>8</v>
      </c>
      <c r="C2453" s="16" t="s">
        <v>63</v>
      </c>
      <c r="D2453">
        <v>13</v>
      </c>
      <c r="E2453" s="16" t="s">
        <v>50</v>
      </c>
      <c r="F2453" s="18">
        <v>1552.5</v>
      </c>
      <c r="G2453" s="22">
        <v>69</v>
      </c>
      <c r="H2453" s="18">
        <v>7.490173875</v>
      </c>
      <c r="I2453" s="18">
        <v>516.82199737500002</v>
      </c>
      <c r="J2453" s="18">
        <v>1035.6780026250001</v>
      </c>
      <c r="K2453" s="22">
        <v>0</v>
      </c>
      <c r="L2453" s="22" t="str">
        <f t="shared" si="38"/>
        <v>45962, 8, 13</v>
      </c>
    </row>
    <row r="2454" spans="1:12">
      <c r="A2454" s="9">
        <v>45962</v>
      </c>
      <c r="B2454">
        <v>8</v>
      </c>
      <c r="C2454" s="16" t="s">
        <v>63</v>
      </c>
      <c r="D2454">
        <v>14</v>
      </c>
      <c r="E2454" s="16" t="s">
        <v>51</v>
      </c>
      <c r="F2454" s="18">
        <v>1017.5</v>
      </c>
      <c r="G2454" s="22">
        <v>37</v>
      </c>
      <c r="H2454" s="18">
        <v>5.0060979959545397</v>
      </c>
      <c r="I2454" s="18">
        <v>185.22562585031801</v>
      </c>
      <c r="J2454" s="18">
        <v>832.27437414968097</v>
      </c>
      <c r="K2454" s="22">
        <v>0</v>
      </c>
      <c r="L2454" s="22" t="str">
        <f t="shared" si="38"/>
        <v>45962, 8, 14</v>
      </c>
    </row>
    <row r="2455" spans="1:12">
      <c r="A2455" s="9">
        <v>45962</v>
      </c>
      <c r="B2455">
        <v>8</v>
      </c>
      <c r="C2455" s="16" t="s">
        <v>63</v>
      </c>
      <c r="D2455">
        <v>15</v>
      </c>
      <c r="E2455" s="16" t="s">
        <v>52</v>
      </c>
      <c r="F2455" s="18">
        <v>1824</v>
      </c>
      <c r="G2455" s="22">
        <v>76</v>
      </c>
      <c r="H2455" s="18">
        <v>2.9796148775833302</v>
      </c>
      <c r="I2455" s="18">
        <v>226.45073069633301</v>
      </c>
      <c r="J2455" s="18">
        <v>1597.5492693036599</v>
      </c>
      <c r="K2455" s="22">
        <v>0</v>
      </c>
      <c r="L2455" s="22" t="str">
        <f t="shared" si="38"/>
        <v>45962, 8, 15</v>
      </c>
    </row>
    <row r="2456" spans="1:12">
      <c r="A2456" s="9">
        <v>45962</v>
      </c>
      <c r="B2456">
        <v>8</v>
      </c>
      <c r="C2456" s="16" t="s">
        <v>63</v>
      </c>
      <c r="D2456">
        <v>16</v>
      </c>
      <c r="E2456" s="16" t="s">
        <v>53</v>
      </c>
      <c r="F2456" s="18">
        <v>477</v>
      </c>
      <c r="G2456" s="22">
        <v>53</v>
      </c>
      <c r="H2456" s="18">
        <v>1.7267626059027701</v>
      </c>
      <c r="I2456" s="18">
        <v>91.518418112847201</v>
      </c>
      <c r="J2456" s="18">
        <v>385.481581887152</v>
      </c>
      <c r="K2456" s="22">
        <v>0</v>
      </c>
      <c r="L2456" s="22" t="str">
        <f t="shared" si="38"/>
        <v>45962, 8, 16</v>
      </c>
    </row>
    <row r="2457" spans="1:12">
      <c r="A2457" s="9">
        <v>45962</v>
      </c>
      <c r="B2457">
        <v>8</v>
      </c>
      <c r="C2457" s="16" t="s">
        <v>63</v>
      </c>
      <c r="D2457">
        <v>17</v>
      </c>
      <c r="E2457" s="16" t="s">
        <v>54</v>
      </c>
      <c r="F2457" s="18">
        <v>442.5</v>
      </c>
      <c r="G2457" s="22">
        <v>59</v>
      </c>
      <c r="H2457" s="18">
        <v>1.5746732938888801</v>
      </c>
      <c r="I2457" s="18">
        <v>92.905724339444404</v>
      </c>
      <c r="J2457" s="18">
        <v>349.59427566055501</v>
      </c>
      <c r="K2457" s="22">
        <v>0</v>
      </c>
      <c r="L2457" s="22" t="str">
        <f t="shared" si="38"/>
        <v>45962, 8, 17</v>
      </c>
    </row>
    <row r="2458" spans="1:12">
      <c r="A2458" s="9">
        <v>45962</v>
      </c>
      <c r="B2458">
        <v>8</v>
      </c>
      <c r="C2458" s="16" t="s">
        <v>63</v>
      </c>
      <c r="D2458">
        <v>18</v>
      </c>
      <c r="E2458" s="16" t="s">
        <v>55</v>
      </c>
      <c r="F2458" s="18">
        <v>621</v>
      </c>
      <c r="G2458" s="22">
        <v>27</v>
      </c>
      <c r="H2458" s="18">
        <v>6.5477339134318102</v>
      </c>
      <c r="I2458" s="18">
        <v>176.788815662659</v>
      </c>
      <c r="J2458" s="18">
        <v>444.21118433734</v>
      </c>
      <c r="K2458" s="22">
        <v>0</v>
      </c>
      <c r="L2458" s="22" t="str">
        <f t="shared" si="38"/>
        <v>45962, 8, 18</v>
      </c>
    </row>
    <row r="2459" spans="1:12">
      <c r="A2459" s="9">
        <v>45992</v>
      </c>
      <c r="B2459">
        <v>8</v>
      </c>
      <c r="C2459" s="16" t="s">
        <v>63</v>
      </c>
      <c r="D2459">
        <v>1</v>
      </c>
      <c r="E2459" s="16" t="s">
        <v>38</v>
      </c>
      <c r="F2459" s="18">
        <v>1462</v>
      </c>
      <c r="G2459" s="22">
        <v>68</v>
      </c>
      <c r="H2459" s="18">
        <v>4.54018989285714</v>
      </c>
      <c r="I2459" s="18">
        <v>308.73291271428502</v>
      </c>
      <c r="J2459" s="18">
        <v>1153.26708728571</v>
      </c>
      <c r="K2459" s="22">
        <v>0</v>
      </c>
      <c r="L2459" s="22" t="str">
        <f t="shared" si="38"/>
        <v>45992, 8, 1</v>
      </c>
    </row>
    <row r="2460" spans="1:12">
      <c r="A2460" s="9">
        <v>45992</v>
      </c>
      <c r="B2460">
        <v>8</v>
      </c>
      <c r="C2460" s="16" t="s">
        <v>63</v>
      </c>
      <c r="D2460">
        <v>2</v>
      </c>
      <c r="E2460" s="16" t="s">
        <v>40</v>
      </c>
      <c r="F2460" s="18">
        <v>1824</v>
      </c>
      <c r="G2460" s="22">
        <v>76</v>
      </c>
      <c r="H2460" s="18">
        <v>7.4666574473846099</v>
      </c>
      <c r="I2460" s="18">
        <v>567.46596600122996</v>
      </c>
      <c r="J2460" s="18">
        <v>1256.5340339987599</v>
      </c>
      <c r="K2460" s="22">
        <v>0</v>
      </c>
      <c r="L2460" s="22" t="str">
        <f t="shared" si="38"/>
        <v>45992, 8, 2</v>
      </c>
    </row>
    <row r="2461" spans="1:12">
      <c r="A2461" s="9">
        <v>45992</v>
      </c>
      <c r="B2461">
        <v>8</v>
      </c>
      <c r="C2461" s="16" t="s">
        <v>63</v>
      </c>
      <c r="D2461">
        <v>3</v>
      </c>
      <c r="E2461" s="16" t="s">
        <v>41</v>
      </c>
      <c r="F2461" s="18">
        <v>1550</v>
      </c>
      <c r="G2461" s="22">
        <v>62</v>
      </c>
      <c r="H2461" s="18">
        <v>3.7495220226666599</v>
      </c>
      <c r="I2461" s="18">
        <v>232.47036540533301</v>
      </c>
      <c r="J2461" s="18">
        <v>1317.5296345946599</v>
      </c>
      <c r="K2461" s="22">
        <v>0</v>
      </c>
      <c r="L2461" s="22" t="str">
        <f t="shared" si="38"/>
        <v>45992, 8, 3</v>
      </c>
    </row>
    <row r="2462" spans="1:12">
      <c r="A2462" s="9">
        <v>45992</v>
      </c>
      <c r="B2462">
        <v>8</v>
      </c>
      <c r="C2462" s="16" t="s">
        <v>63</v>
      </c>
      <c r="D2462">
        <v>4</v>
      </c>
      <c r="E2462" s="16" t="s">
        <v>42</v>
      </c>
      <c r="F2462" s="18">
        <v>1209.5</v>
      </c>
      <c r="G2462" s="22">
        <v>59</v>
      </c>
      <c r="H2462" s="18">
        <v>7.9411961688888804</v>
      </c>
      <c r="I2462" s="18">
        <v>468.53057396444399</v>
      </c>
      <c r="J2462" s="18">
        <v>740.96942603555499</v>
      </c>
      <c r="K2462" s="22">
        <v>0</v>
      </c>
      <c r="L2462" s="22" t="str">
        <f t="shared" si="38"/>
        <v>45992, 8, 4</v>
      </c>
    </row>
    <row r="2463" spans="1:12">
      <c r="A2463" s="9">
        <v>45992</v>
      </c>
      <c r="B2463">
        <v>8</v>
      </c>
      <c r="C2463" s="16" t="s">
        <v>63</v>
      </c>
      <c r="D2463">
        <v>5</v>
      </c>
      <c r="E2463" s="16" t="s">
        <v>43</v>
      </c>
      <c r="F2463" s="18">
        <v>546</v>
      </c>
      <c r="G2463" s="22">
        <v>26</v>
      </c>
      <c r="H2463" s="18">
        <v>7.2773958333333297</v>
      </c>
      <c r="I2463" s="18">
        <v>189.212291666666</v>
      </c>
      <c r="J2463" s="18">
        <v>356.787708333333</v>
      </c>
      <c r="K2463" s="22">
        <v>0</v>
      </c>
      <c r="L2463" s="22" t="str">
        <f t="shared" si="38"/>
        <v>45992, 8, 5</v>
      </c>
    </row>
    <row r="2464" spans="1:12">
      <c r="A2464" s="9">
        <v>45992</v>
      </c>
      <c r="B2464">
        <v>8</v>
      </c>
      <c r="C2464" s="16" t="s">
        <v>63</v>
      </c>
      <c r="D2464">
        <v>6</v>
      </c>
      <c r="E2464" s="16" t="s">
        <v>44</v>
      </c>
      <c r="F2464" s="18">
        <v>1777.5</v>
      </c>
      <c r="G2464" s="22">
        <v>79</v>
      </c>
      <c r="H2464" s="18">
        <v>5.3008048576666598</v>
      </c>
      <c r="I2464" s="18">
        <v>418.76358375566599</v>
      </c>
      <c r="J2464" s="18">
        <v>1358.73641624433</v>
      </c>
      <c r="K2464" s="22">
        <v>0</v>
      </c>
      <c r="L2464" s="22" t="str">
        <f t="shared" si="38"/>
        <v>45992, 8, 6</v>
      </c>
    </row>
    <row r="2465" spans="1:12">
      <c r="A2465" s="9">
        <v>45992</v>
      </c>
      <c r="B2465">
        <v>8</v>
      </c>
      <c r="C2465" s="16" t="s">
        <v>63</v>
      </c>
      <c r="D2465">
        <v>7</v>
      </c>
      <c r="E2465" s="16" t="s">
        <v>45</v>
      </c>
      <c r="F2465" s="18">
        <v>913.5</v>
      </c>
      <c r="G2465" s="22">
        <v>87</v>
      </c>
      <c r="H2465" s="18">
        <v>3.0253777560714199</v>
      </c>
      <c r="I2465" s="18">
        <v>263.207864778214</v>
      </c>
      <c r="J2465" s="18">
        <v>650.29213522178497</v>
      </c>
      <c r="K2465" s="22">
        <v>0</v>
      </c>
      <c r="L2465" s="22" t="str">
        <f t="shared" si="38"/>
        <v>45992, 8, 7</v>
      </c>
    </row>
    <row r="2466" spans="1:12">
      <c r="A2466" s="9">
        <v>45992</v>
      </c>
      <c r="B2466">
        <v>8</v>
      </c>
      <c r="C2466" s="16" t="s">
        <v>63</v>
      </c>
      <c r="D2466">
        <v>8</v>
      </c>
      <c r="E2466" s="16" t="s">
        <v>46</v>
      </c>
      <c r="F2466" s="18">
        <v>696</v>
      </c>
      <c r="G2466" s="22">
        <v>58</v>
      </c>
      <c r="H2466" s="18">
        <v>0.69381105923076902</v>
      </c>
      <c r="I2466" s="18">
        <v>40.241041435384602</v>
      </c>
      <c r="J2466" s="18">
        <v>655.758958564615</v>
      </c>
      <c r="K2466" s="22">
        <v>0</v>
      </c>
      <c r="L2466" s="22" t="str">
        <f t="shared" si="38"/>
        <v>45992, 8, 8</v>
      </c>
    </row>
    <row r="2467" spans="1:12">
      <c r="A2467" s="9">
        <v>45992</v>
      </c>
      <c r="B2467">
        <v>8</v>
      </c>
      <c r="C2467" s="16" t="s">
        <v>63</v>
      </c>
      <c r="D2467">
        <v>9</v>
      </c>
      <c r="E2467" s="16" t="s">
        <v>47</v>
      </c>
      <c r="F2467" s="18">
        <v>1309.5</v>
      </c>
      <c r="G2467" s="22">
        <v>27</v>
      </c>
      <c r="H2467" s="18">
        <v>19.5237735674331</v>
      </c>
      <c r="I2467" s="18">
        <v>527.14188632069499</v>
      </c>
      <c r="J2467" s="18">
        <v>782.35811367930398</v>
      </c>
      <c r="K2467" s="22">
        <v>0</v>
      </c>
      <c r="L2467" s="22" t="str">
        <f t="shared" si="38"/>
        <v>45992, 8, 9</v>
      </c>
    </row>
    <row r="2468" spans="1:12">
      <c r="A2468" s="9">
        <v>45992</v>
      </c>
      <c r="B2468">
        <v>8</v>
      </c>
      <c r="C2468" s="16" t="s">
        <v>63</v>
      </c>
      <c r="D2468">
        <v>10</v>
      </c>
      <c r="E2468" s="16" t="s">
        <v>57</v>
      </c>
      <c r="F2468" s="18">
        <v>448</v>
      </c>
      <c r="G2468" s="22">
        <v>32</v>
      </c>
      <c r="H2468" s="18">
        <v>2.2417085402888799</v>
      </c>
      <c r="I2468" s="18">
        <v>71.734673289244398</v>
      </c>
      <c r="J2468" s="18">
        <v>376.26532671075501</v>
      </c>
      <c r="K2468" s="22">
        <v>0</v>
      </c>
      <c r="L2468" s="22" t="str">
        <f t="shared" si="38"/>
        <v>45992, 8, 10</v>
      </c>
    </row>
    <row r="2469" spans="1:12">
      <c r="A2469" s="9">
        <v>45992</v>
      </c>
      <c r="B2469">
        <v>8</v>
      </c>
      <c r="C2469" s="16" t="s">
        <v>63</v>
      </c>
      <c r="D2469">
        <v>11</v>
      </c>
      <c r="E2469" s="16" t="s">
        <v>48</v>
      </c>
      <c r="F2469" s="18">
        <v>1197</v>
      </c>
      <c r="G2469" s="22">
        <v>57</v>
      </c>
      <c r="H2469" s="18">
        <v>2.2664168522727199</v>
      </c>
      <c r="I2469" s="18">
        <v>129.18576057954499</v>
      </c>
      <c r="J2469" s="18">
        <v>1067.8142394204499</v>
      </c>
      <c r="K2469" s="22">
        <v>0</v>
      </c>
      <c r="L2469" s="22" t="str">
        <f t="shared" si="38"/>
        <v>45992, 8, 11</v>
      </c>
    </row>
    <row r="2470" spans="1:12">
      <c r="A2470" s="9">
        <v>45992</v>
      </c>
      <c r="B2470">
        <v>8</v>
      </c>
      <c r="C2470" s="16" t="s">
        <v>63</v>
      </c>
      <c r="D2470">
        <v>12</v>
      </c>
      <c r="E2470" s="16" t="s">
        <v>49</v>
      </c>
      <c r="F2470" s="18">
        <v>1526.5</v>
      </c>
      <c r="G2470" s="22">
        <v>71</v>
      </c>
      <c r="H2470" s="18">
        <v>2.7639829266249998</v>
      </c>
      <c r="I2470" s="18">
        <v>196.24278779037499</v>
      </c>
      <c r="J2470" s="18">
        <v>1330.2572122096201</v>
      </c>
      <c r="K2470" s="22">
        <v>0</v>
      </c>
      <c r="L2470" s="22" t="str">
        <f t="shared" si="38"/>
        <v>45992, 8, 12</v>
      </c>
    </row>
    <row r="2471" spans="1:12">
      <c r="A2471" s="9">
        <v>45992</v>
      </c>
      <c r="B2471">
        <v>8</v>
      </c>
      <c r="C2471" s="16" t="s">
        <v>63</v>
      </c>
      <c r="D2471">
        <v>13</v>
      </c>
      <c r="E2471" s="16" t="s">
        <v>50</v>
      </c>
      <c r="F2471" s="18">
        <v>1687.5</v>
      </c>
      <c r="G2471" s="22">
        <v>75</v>
      </c>
      <c r="H2471" s="18">
        <v>7.5205764444444396</v>
      </c>
      <c r="I2471" s="18">
        <v>564.04323333333298</v>
      </c>
      <c r="J2471" s="18">
        <v>1123.4567666666601</v>
      </c>
      <c r="K2471" s="22">
        <v>0</v>
      </c>
      <c r="L2471" s="22" t="str">
        <f t="shared" si="38"/>
        <v>45992, 8, 13</v>
      </c>
    </row>
    <row r="2472" spans="1:12">
      <c r="A2472" s="9">
        <v>45992</v>
      </c>
      <c r="B2472">
        <v>8</v>
      </c>
      <c r="C2472" s="16" t="s">
        <v>63</v>
      </c>
      <c r="D2472">
        <v>14</v>
      </c>
      <c r="E2472" s="16" t="s">
        <v>51</v>
      </c>
      <c r="F2472" s="18">
        <v>1237.5</v>
      </c>
      <c r="G2472" s="22">
        <v>45</v>
      </c>
      <c r="H2472" s="18">
        <v>4.99878989216666</v>
      </c>
      <c r="I2472" s="18">
        <v>224.94554514749899</v>
      </c>
      <c r="J2472" s="18">
        <v>1012.5544548525</v>
      </c>
      <c r="K2472" s="22">
        <v>0</v>
      </c>
      <c r="L2472" s="22" t="str">
        <f t="shared" si="38"/>
        <v>45992, 8, 14</v>
      </c>
    </row>
    <row r="2473" spans="1:12">
      <c r="A2473" s="9">
        <v>45992</v>
      </c>
      <c r="B2473">
        <v>8</v>
      </c>
      <c r="C2473" s="16" t="s">
        <v>63</v>
      </c>
      <c r="D2473">
        <v>15</v>
      </c>
      <c r="E2473" s="16" t="s">
        <v>52</v>
      </c>
      <c r="F2473" s="18">
        <v>1272</v>
      </c>
      <c r="G2473" s="22">
        <v>53</v>
      </c>
      <c r="H2473" s="18">
        <v>3.00342134764285</v>
      </c>
      <c r="I2473" s="18">
        <v>159.18133142507099</v>
      </c>
      <c r="J2473" s="18">
        <v>1112.8186685749199</v>
      </c>
      <c r="K2473" s="22">
        <v>0</v>
      </c>
      <c r="L2473" s="22" t="str">
        <f t="shared" si="38"/>
        <v>45992, 8, 15</v>
      </c>
    </row>
    <row r="2474" spans="1:12">
      <c r="A2474" s="9">
        <v>45992</v>
      </c>
      <c r="B2474">
        <v>8</v>
      </c>
      <c r="C2474" s="16" t="s">
        <v>63</v>
      </c>
      <c r="D2474">
        <v>16</v>
      </c>
      <c r="E2474" s="16" t="s">
        <v>53</v>
      </c>
      <c r="F2474" s="18">
        <v>459</v>
      </c>
      <c r="G2474" s="22">
        <v>51</v>
      </c>
      <c r="H2474" s="18">
        <v>1.72539820797619</v>
      </c>
      <c r="I2474" s="18">
        <v>87.995308606785699</v>
      </c>
      <c r="J2474" s="18">
        <v>371.00469139321399</v>
      </c>
      <c r="K2474" s="22">
        <v>0</v>
      </c>
      <c r="L2474" s="22" t="str">
        <f t="shared" si="38"/>
        <v>45992, 8, 16</v>
      </c>
    </row>
    <row r="2475" spans="1:12">
      <c r="A2475" s="9">
        <v>45992</v>
      </c>
      <c r="B2475">
        <v>8</v>
      </c>
      <c r="C2475" s="16" t="s">
        <v>63</v>
      </c>
      <c r="D2475">
        <v>17</v>
      </c>
      <c r="E2475" s="16" t="s">
        <v>54</v>
      </c>
      <c r="F2475" s="18">
        <v>450</v>
      </c>
      <c r="G2475" s="22">
        <v>60</v>
      </c>
      <c r="H2475" s="18">
        <v>1.55277886772727</v>
      </c>
      <c r="I2475" s="18">
        <v>93.166732063636303</v>
      </c>
      <c r="J2475" s="18">
        <v>356.83326793636297</v>
      </c>
      <c r="K2475" s="22">
        <v>0</v>
      </c>
      <c r="L2475" s="22" t="str">
        <f t="shared" si="38"/>
        <v>45992, 8, 17</v>
      </c>
    </row>
    <row r="2476" spans="1:12">
      <c r="A2476" s="9">
        <v>45992</v>
      </c>
      <c r="B2476">
        <v>8</v>
      </c>
      <c r="C2476" s="16" t="s">
        <v>63</v>
      </c>
      <c r="D2476">
        <v>18</v>
      </c>
      <c r="E2476" s="16" t="s">
        <v>55</v>
      </c>
      <c r="F2476" s="18">
        <v>552</v>
      </c>
      <c r="G2476" s="22">
        <v>24</v>
      </c>
      <c r="H2476" s="18">
        <v>6.9152206752857097</v>
      </c>
      <c r="I2476" s="18">
        <v>165.965296206857</v>
      </c>
      <c r="J2476" s="18">
        <v>386.034703793142</v>
      </c>
      <c r="K2476" s="22">
        <v>0</v>
      </c>
      <c r="L2476" s="22" t="str">
        <f t="shared" si="38"/>
        <v>45992, 8, 18</v>
      </c>
    </row>
    <row r="2477" spans="1:12">
      <c r="A2477" s="9">
        <v>46023</v>
      </c>
      <c r="B2477">
        <v>8</v>
      </c>
      <c r="C2477" s="16" t="s">
        <v>63</v>
      </c>
      <c r="D2477">
        <v>1</v>
      </c>
      <c r="E2477" s="16" t="s">
        <v>38</v>
      </c>
      <c r="F2477" s="18">
        <v>1462</v>
      </c>
      <c r="G2477" s="22">
        <v>68</v>
      </c>
      <c r="H2477" s="18">
        <v>4.5208509615384598</v>
      </c>
      <c r="I2477" s="18">
        <v>307.41786538461503</v>
      </c>
      <c r="J2477" s="18">
        <v>1154.58213461538</v>
      </c>
      <c r="K2477" s="22">
        <v>0</v>
      </c>
      <c r="L2477" s="22" t="str">
        <f t="shared" si="38"/>
        <v>46023, 8, 1</v>
      </c>
    </row>
    <row r="2478" spans="1:12">
      <c r="A2478" s="9">
        <v>46023</v>
      </c>
      <c r="B2478">
        <v>8</v>
      </c>
      <c r="C2478" s="16" t="s">
        <v>63</v>
      </c>
      <c r="D2478">
        <v>2</v>
      </c>
      <c r="E2478" s="16" t="s">
        <v>40</v>
      </c>
      <c r="F2478" s="18">
        <v>1872</v>
      </c>
      <c r="G2478" s="22">
        <v>78</v>
      </c>
      <c r="H2478" s="18">
        <v>7.5293941798333304</v>
      </c>
      <c r="I2478" s="18">
        <v>587.292746026999</v>
      </c>
      <c r="J2478" s="18">
        <v>1284.707253973</v>
      </c>
      <c r="K2478" s="22">
        <v>0</v>
      </c>
      <c r="L2478" s="22" t="str">
        <f t="shared" si="38"/>
        <v>46023, 8, 2</v>
      </c>
    </row>
    <row r="2479" spans="1:12">
      <c r="A2479" s="9">
        <v>46023</v>
      </c>
      <c r="B2479">
        <v>8</v>
      </c>
      <c r="C2479" s="16" t="s">
        <v>63</v>
      </c>
      <c r="D2479">
        <v>3</v>
      </c>
      <c r="E2479" s="16" t="s">
        <v>41</v>
      </c>
      <c r="F2479" s="18">
        <v>1500</v>
      </c>
      <c r="G2479" s="22">
        <v>60</v>
      </c>
      <c r="H2479" s="18">
        <v>3.7368387615000001</v>
      </c>
      <c r="I2479" s="18">
        <v>224.21032568999999</v>
      </c>
      <c r="J2479" s="18">
        <v>1275.78967431</v>
      </c>
      <c r="K2479" s="22">
        <v>0</v>
      </c>
      <c r="L2479" s="22" t="str">
        <f t="shared" si="38"/>
        <v>46023, 8, 3</v>
      </c>
    </row>
    <row r="2480" spans="1:12">
      <c r="A2480" s="9">
        <v>46023</v>
      </c>
      <c r="B2480">
        <v>8</v>
      </c>
      <c r="C2480" s="16" t="s">
        <v>63</v>
      </c>
      <c r="D2480">
        <v>4</v>
      </c>
      <c r="E2480" s="16" t="s">
        <v>42</v>
      </c>
      <c r="F2480" s="18">
        <v>1086.5</v>
      </c>
      <c r="G2480" s="22">
        <v>53</v>
      </c>
      <c r="H2480" s="18">
        <v>8.0256487136000008</v>
      </c>
      <c r="I2480" s="18">
        <v>425.35938182080002</v>
      </c>
      <c r="J2480" s="18">
        <v>661.14061817920003</v>
      </c>
      <c r="K2480" s="22">
        <v>0</v>
      </c>
      <c r="L2480" s="22" t="str">
        <f t="shared" si="38"/>
        <v>46023, 8, 4</v>
      </c>
    </row>
    <row r="2481" spans="1:12">
      <c r="A2481" s="9">
        <v>46023</v>
      </c>
      <c r="B2481">
        <v>8</v>
      </c>
      <c r="C2481" s="16" t="s">
        <v>63</v>
      </c>
      <c r="D2481">
        <v>5</v>
      </c>
      <c r="E2481" s="16" t="s">
        <v>43</v>
      </c>
      <c r="F2481" s="18">
        <v>693</v>
      </c>
      <c r="G2481" s="22">
        <v>33</v>
      </c>
      <c r="H2481" s="18">
        <v>7.3552573529411696</v>
      </c>
      <c r="I2481" s="18">
        <v>242.72349264705801</v>
      </c>
      <c r="J2481" s="18">
        <v>450.276507352941</v>
      </c>
      <c r="K2481" s="22">
        <v>0</v>
      </c>
      <c r="L2481" s="22" t="str">
        <f t="shared" si="38"/>
        <v>46023, 8, 5</v>
      </c>
    </row>
    <row r="2482" spans="1:12">
      <c r="A2482" s="9">
        <v>46023</v>
      </c>
      <c r="B2482">
        <v>8</v>
      </c>
      <c r="C2482" s="16" t="s">
        <v>63</v>
      </c>
      <c r="D2482">
        <v>6</v>
      </c>
      <c r="E2482" s="16" t="s">
        <v>44</v>
      </c>
      <c r="F2482" s="18">
        <v>1575</v>
      </c>
      <c r="G2482" s="22">
        <v>70</v>
      </c>
      <c r="H2482" s="18">
        <v>5.2745671567272696</v>
      </c>
      <c r="I2482" s="18">
        <v>369.219700970909</v>
      </c>
      <c r="J2482" s="18">
        <v>1205.78029902909</v>
      </c>
      <c r="K2482" s="22">
        <v>0</v>
      </c>
      <c r="L2482" s="22" t="str">
        <f t="shared" si="38"/>
        <v>46023, 8, 6</v>
      </c>
    </row>
    <row r="2483" spans="1:12">
      <c r="A2483" s="9">
        <v>46023</v>
      </c>
      <c r="B2483">
        <v>8</v>
      </c>
      <c r="C2483" s="16" t="s">
        <v>63</v>
      </c>
      <c r="D2483">
        <v>7</v>
      </c>
      <c r="E2483" s="16" t="s">
        <v>45</v>
      </c>
      <c r="F2483" s="18">
        <v>787.5</v>
      </c>
      <c r="G2483" s="22">
        <v>75</v>
      </c>
      <c r="H2483" s="18">
        <v>3.0323871660416599</v>
      </c>
      <c r="I2483" s="18">
        <v>227.42903745312501</v>
      </c>
      <c r="J2483" s="18">
        <v>560.07096254687394</v>
      </c>
      <c r="K2483" s="22">
        <v>0</v>
      </c>
      <c r="L2483" s="22" t="str">
        <f t="shared" si="38"/>
        <v>46023, 8, 7</v>
      </c>
    </row>
    <row r="2484" spans="1:12">
      <c r="A2484" s="9">
        <v>46023</v>
      </c>
      <c r="B2484">
        <v>8</v>
      </c>
      <c r="C2484" s="16" t="s">
        <v>63</v>
      </c>
      <c r="D2484">
        <v>8</v>
      </c>
      <c r="E2484" s="16" t="s">
        <v>46</v>
      </c>
      <c r="F2484" s="18">
        <v>564</v>
      </c>
      <c r="G2484" s="22">
        <v>47</v>
      </c>
      <c r="H2484" s="18">
        <v>0.70497791499999996</v>
      </c>
      <c r="I2484" s="18">
        <v>33.133962005000001</v>
      </c>
      <c r="J2484" s="18">
        <v>530.86603799499903</v>
      </c>
      <c r="K2484" s="22">
        <v>0</v>
      </c>
      <c r="L2484" s="22" t="str">
        <f t="shared" si="38"/>
        <v>46023, 8, 8</v>
      </c>
    </row>
    <row r="2485" spans="1:12">
      <c r="A2485" s="9">
        <v>46023</v>
      </c>
      <c r="B2485">
        <v>8</v>
      </c>
      <c r="C2485" s="16" t="s">
        <v>63</v>
      </c>
      <c r="D2485">
        <v>9</v>
      </c>
      <c r="E2485" s="16" t="s">
        <v>47</v>
      </c>
      <c r="F2485" s="18">
        <v>1212.5</v>
      </c>
      <c r="G2485" s="22">
        <v>25</v>
      </c>
      <c r="H2485" s="18">
        <v>19.490489790455801</v>
      </c>
      <c r="I2485" s="18">
        <v>487.26224476139498</v>
      </c>
      <c r="J2485" s="18">
        <v>725.237755238604</v>
      </c>
      <c r="K2485" s="22">
        <v>0</v>
      </c>
      <c r="L2485" s="22" t="str">
        <f t="shared" si="38"/>
        <v>46023, 8, 9</v>
      </c>
    </row>
    <row r="2486" spans="1:12">
      <c r="A2486" s="9">
        <v>46023</v>
      </c>
      <c r="B2486">
        <v>8</v>
      </c>
      <c r="C2486" s="16" t="s">
        <v>63</v>
      </c>
      <c r="D2486">
        <v>10</v>
      </c>
      <c r="E2486" s="16" t="s">
        <v>57</v>
      </c>
      <c r="F2486" s="18">
        <v>504</v>
      </c>
      <c r="G2486" s="22">
        <v>36</v>
      </c>
      <c r="H2486" s="18">
        <v>2.2763587202800002</v>
      </c>
      <c r="I2486" s="18">
        <v>81.948913930079996</v>
      </c>
      <c r="J2486" s="18">
        <v>422.05108606992002</v>
      </c>
      <c r="K2486" s="22">
        <v>0</v>
      </c>
      <c r="L2486" s="22" t="str">
        <f t="shared" si="38"/>
        <v>46023, 8, 10</v>
      </c>
    </row>
    <row r="2487" spans="1:12">
      <c r="A2487" s="9">
        <v>46023</v>
      </c>
      <c r="B2487">
        <v>8</v>
      </c>
      <c r="C2487" s="16" t="s">
        <v>63</v>
      </c>
      <c r="D2487">
        <v>11</v>
      </c>
      <c r="E2487" s="16" t="s">
        <v>48</v>
      </c>
      <c r="F2487" s="18">
        <v>1533</v>
      </c>
      <c r="G2487" s="22">
        <v>73</v>
      </c>
      <c r="H2487" s="18">
        <v>2.1841416931818101</v>
      </c>
      <c r="I2487" s="18">
        <v>159.44234360227199</v>
      </c>
      <c r="J2487" s="18">
        <v>1373.5576563977199</v>
      </c>
      <c r="K2487" s="22">
        <v>0</v>
      </c>
      <c r="L2487" s="22" t="str">
        <f t="shared" si="38"/>
        <v>46023, 8, 11</v>
      </c>
    </row>
    <row r="2488" spans="1:12">
      <c r="A2488" s="9">
        <v>46023</v>
      </c>
      <c r="B2488">
        <v>8</v>
      </c>
      <c r="C2488" s="16" t="s">
        <v>63</v>
      </c>
      <c r="D2488">
        <v>12</v>
      </c>
      <c r="E2488" s="16" t="s">
        <v>49</v>
      </c>
      <c r="F2488" s="18">
        <v>1397.5</v>
      </c>
      <c r="G2488" s="22">
        <v>65</v>
      </c>
      <c r="H2488" s="18">
        <v>2.7439016949583301</v>
      </c>
      <c r="I2488" s="18">
        <v>178.35361017229101</v>
      </c>
      <c r="J2488" s="18">
        <v>1219.1463898277</v>
      </c>
      <c r="K2488" s="22">
        <v>0</v>
      </c>
      <c r="L2488" s="22" t="str">
        <f t="shared" si="38"/>
        <v>46023, 8, 12</v>
      </c>
    </row>
    <row r="2489" spans="1:12">
      <c r="A2489" s="9">
        <v>46023</v>
      </c>
      <c r="B2489">
        <v>8</v>
      </c>
      <c r="C2489" s="16" t="s">
        <v>63</v>
      </c>
      <c r="D2489">
        <v>13</v>
      </c>
      <c r="E2489" s="16" t="s">
        <v>50</v>
      </c>
      <c r="F2489" s="18">
        <v>1530</v>
      </c>
      <c r="G2489" s="22">
        <v>68</v>
      </c>
      <c r="H2489" s="18">
        <v>7.4042294999999996</v>
      </c>
      <c r="I2489" s="18">
        <v>503.48760600000003</v>
      </c>
      <c r="J2489" s="18">
        <v>1026.5123940000001</v>
      </c>
      <c r="K2489" s="22">
        <v>0</v>
      </c>
      <c r="L2489" s="22" t="str">
        <f t="shared" si="38"/>
        <v>46023, 8, 13</v>
      </c>
    </row>
    <row r="2490" spans="1:12">
      <c r="A2490" s="9">
        <v>46023</v>
      </c>
      <c r="B2490">
        <v>8</v>
      </c>
      <c r="C2490" s="16" t="s">
        <v>63</v>
      </c>
      <c r="D2490">
        <v>14</v>
      </c>
      <c r="E2490" s="16" t="s">
        <v>51</v>
      </c>
      <c r="F2490" s="18">
        <v>1210</v>
      </c>
      <c r="G2490" s="22">
        <v>44</v>
      </c>
      <c r="H2490" s="18">
        <v>5.0587130455000002</v>
      </c>
      <c r="I2490" s="18">
        <v>222.583374002</v>
      </c>
      <c r="J2490" s="18">
        <v>987.41662599799997</v>
      </c>
      <c r="K2490" s="22">
        <v>0</v>
      </c>
      <c r="L2490" s="22" t="str">
        <f t="shared" si="38"/>
        <v>46023, 8, 14</v>
      </c>
    </row>
    <row r="2491" spans="1:12">
      <c r="A2491" s="9">
        <v>46023</v>
      </c>
      <c r="B2491">
        <v>8</v>
      </c>
      <c r="C2491" s="16" t="s">
        <v>63</v>
      </c>
      <c r="D2491">
        <v>15</v>
      </c>
      <c r="E2491" s="16" t="s">
        <v>52</v>
      </c>
      <c r="F2491" s="18">
        <v>1296</v>
      </c>
      <c r="G2491" s="22">
        <v>54</v>
      </c>
      <c r="H2491" s="18">
        <v>3.0044816787692299</v>
      </c>
      <c r="I2491" s="18">
        <v>162.24201065353799</v>
      </c>
      <c r="J2491" s="18">
        <v>1133.7579893464599</v>
      </c>
      <c r="K2491" s="22">
        <v>0</v>
      </c>
      <c r="L2491" s="22" t="str">
        <f t="shared" si="38"/>
        <v>46023, 8, 15</v>
      </c>
    </row>
    <row r="2492" spans="1:12">
      <c r="A2492" s="9">
        <v>46023</v>
      </c>
      <c r="B2492">
        <v>8</v>
      </c>
      <c r="C2492" s="16" t="s">
        <v>63</v>
      </c>
      <c r="D2492">
        <v>16</v>
      </c>
      <c r="E2492" s="16" t="s">
        <v>53</v>
      </c>
      <c r="F2492" s="18">
        <v>468</v>
      </c>
      <c r="G2492" s="22">
        <v>52</v>
      </c>
      <c r="H2492" s="18">
        <v>1.71550130173611</v>
      </c>
      <c r="I2492" s="18">
        <v>89.206067690277706</v>
      </c>
      <c r="J2492" s="18">
        <v>378.79393230972198</v>
      </c>
      <c r="K2492" s="22">
        <v>0</v>
      </c>
      <c r="L2492" s="22" t="str">
        <f t="shared" si="38"/>
        <v>46023, 8, 16</v>
      </c>
    </row>
    <row r="2493" spans="1:12">
      <c r="A2493" s="9">
        <v>46023</v>
      </c>
      <c r="B2493">
        <v>8</v>
      </c>
      <c r="C2493" s="16" t="s">
        <v>63</v>
      </c>
      <c r="D2493">
        <v>17</v>
      </c>
      <c r="E2493" s="16" t="s">
        <v>54</v>
      </c>
      <c r="F2493" s="18">
        <v>405</v>
      </c>
      <c r="G2493" s="22">
        <v>54</v>
      </c>
      <c r="H2493" s="18">
        <v>1.5458433355000001</v>
      </c>
      <c r="I2493" s="18">
        <v>83.475540116999994</v>
      </c>
      <c r="J2493" s="18">
        <v>321.52445988300002</v>
      </c>
      <c r="K2493" s="22">
        <v>0</v>
      </c>
      <c r="L2493" s="22" t="str">
        <f t="shared" si="38"/>
        <v>46023, 8, 17</v>
      </c>
    </row>
    <row r="2494" spans="1:12">
      <c r="A2494" s="9">
        <v>46023</v>
      </c>
      <c r="B2494">
        <v>8</v>
      </c>
      <c r="C2494" s="16" t="s">
        <v>63</v>
      </c>
      <c r="D2494">
        <v>18</v>
      </c>
      <c r="E2494" s="16" t="s">
        <v>55</v>
      </c>
      <c r="F2494" s="18">
        <v>460</v>
      </c>
      <c r="G2494" s="22">
        <v>20</v>
      </c>
      <c r="H2494" s="18">
        <v>6.3155779507708303</v>
      </c>
      <c r="I2494" s="18">
        <v>126.31155901541599</v>
      </c>
      <c r="J2494" s="18">
        <v>333.688440984583</v>
      </c>
      <c r="K2494" s="22">
        <v>0</v>
      </c>
      <c r="L2494" s="22" t="str">
        <f t="shared" si="38"/>
        <v>46023, 8, 18</v>
      </c>
    </row>
    <row r="2495" spans="1:12">
      <c r="A2495" s="9">
        <v>46054</v>
      </c>
      <c r="B2495">
        <v>8</v>
      </c>
      <c r="C2495" s="16" t="s">
        <v>63</v>
      </c>
      <c r="D2495">
        <v>1</v>
      </c>
      <c r="E2495" s="16" t="s">
        <v>38</v>
      </c>
      <c r="F2495" s="18">
        <v>1483.5</v>
      </c>
      <c r="G2495" s="22">
        <v>69</v>
      </c>
      <c r="H2495" s="18">
        <v>4.4941412083333301</v>
      </c>
      <c r="I2495" s="18">
        <v>310.09574337499902</v>
      </c>
      <c r="J2495" s="18">
        <v>1173.404256625</v>
      </c>
      <c r="K2495" s="22">
        <v>0</v>
      </c>
      <c r="L2495" s="22" t="str">
        <f t="shared" si="38"/>
        <v>46054, 8, 1</v>
      </c>
    </row>
    <row r="2496" spans="1:12">
      <c r="A2496" s="9">
        <v>46054</v>
      </c>
      <c r="B2496">
        <v>8</v>
      </c>
      <c r="C2496" s="16" t="s">
        <v>63</v>
      </c>
      <c r="D2496">
        <v>2</v>
      </c>
      <c r="E2496" s="16" t="s">
        <v>40</v>
      </c>
      <c r="F2496" s="18">
        <v>2256</v>
      </c>
      <c r="G2496" s="22">
        <v>94</v>
      </c>
      <c r="H2496" s="18">
        <v>7.5811856796666603</v>
      </c>
      <c r="I2496" s="18">
        <v>712.63145388866599</v>
      </c>
      <c r="J2496" s="18">
        <v>1543.36854611133</v>
      </c>
      <c r="K2496" s="22">
        <v>0</v>
      </c>
      <c r="L2496" s="22" t="str">
        <f t="shared" si="38"/>
        <v>46054, 8, 2</v>
      </c>
    </row>
    <row r="2497" spans="1:12">
      <c r="A2497" s="9">
        <v>46054</v>
      </c>
      <c r="B2497">
        <v>8</v>
      </c>
      <c r="C2497" s="16" t="s">
        <v>63</v>
      </c>
      <c r="D2497">
        <v>3</v>
      </c>
      <c r="E2497" s="16" t="s">
        <v>41</v>
      </c>
      <c r="F2497" s="18">
        <v>1625</v>
      </c>
      <c r="G2497" s="22">
        <v>65</v>
      </c>
      <c r="H2497" s="18">
        <v>3.71676322963636</v>
      </c>
      <c r="I2497" s="18">
        <v>241.58960992636301</v>
      </c>
      <c r="J2497" s="18">
        <v>1383.41039007363</v>
      </c>
      <c r="K2497" s="22">
        <v>0</v>
      </c>
      <c r="L2497" s="22" t="str">
        <f t="shared" si="38"/>
        <v>46054, 8, 3</v>
      </c>
    </row>
    <row r="2498" spans="1:12">
      <c r="A2498" s="9">
        <v>46054</v>
      </c>
      <c r="B2498">
        <v>8</v>
      </c>
      <c r="C2498" s="16" t="s">
        <v>63</v>
      </c>
      <c r="D2498">
        <v>4</v>
      </c>
      <c r="E2498" s="16" t="s">
        <v>42</v>
      </c>
      <c r="F2498" s="18">
        <v>1312</v>
      </c>
      <c r="G2498" s="22">
        <v>64</v>
      </c>
      <c r="H2498" s="18">
        <v>8.0176131513333306</v>
      </c>
      <c r="I2498" s="18">
        <v>513.12724168533305</v>
      </c>
      <c r="J2498" s="18">
        <v>798.87275831466604</v>
      </c>
      <c r="K2498" s="22">
        <v>0</v>
      </c>
      <c r="L2498" s="22" t="str">
        <f t="shared" si="38"/>
        <v>46054, 8, 4</v>
      </c>
    </row>
    <row r="2499" spans="1:12">
      <c r="A2499" s="9">
        <v>46054</v>
      </c>
      <c r="B2499">
        <v>8</v>
      </c>
      <c r="C2499" s="16" t="s">
        <v>63</v>
      </c>
      <c r="D2499">
        <v>5</v>
      </c>
      <c r="E2499" s="16" t="s">
        <v>43</v>
      </c>
      <c r="F2499" s="18">
        <v>693</v>
      </c>
      <c r="G2499" s="22">
        <v>33</v>
      </c>
      <c r="H2499" s="18">
        <v>7.29725</v>
      </c>
      <c r="I2499" s="18">
        <v>240.80924999999999</v>
      </c>
      <c r="J2499" s="18">
        <v>452.19074999999998</v>
      </c>
      <c r="K2499" s="22">
        <v>0</v>
      </c>
      <c r="L2499" s="22" t="str">
        <f t="shared" ref="L2499:L2562" si="39">(A2499&amp; ", "&amp; B2499&amp; ", "&amp; D2499)</f>
        <v>46054, 8, 5</v>
      </c>
    </row>
    <row r="2500" spans="1:12">
      <c r="A2500" s="9">
        <v>46054</v>
      </c>
      <c r="B2500">
        <v>8</v>
      </c>
      <c r="C2500" s="16" t="s">
        <v>63</v>
      </c>
      <c r="D2500">
        <v>6</v>
      </c>
      <c r="E2500" s="16" t="s">
        <v>44</v>
      </c>
      <c r="F2500" s="18">
        <v>1642.5</v>
      </c>
      <c r="G2500" s="22">
        <v>73</v>
      </c>
      <c r="H2500" s="18">
        <v>5.2674856564090904</v>
      </c>
      <c r="I2500" s="18">
        <v>384.52645291786303</v>
      </c>
      <c r="J2500" s="18">
        <v>1257.9735470821299</v>
      </c>
      <c r="K2500" s="22">
        <v>0</v>
      </c>
      <c r="L2500" s="22" t="str">
        <f t="shared" si="39"/>
        <v>46054, 8, 6</v>
      </c>
    </row>
    <row r="2501" spans="1:12">
      <c r="A2501" s="9">
        <v>46054</v>
      </c>
      <c r="B2501">
        <v>8</v>
      </c>
      <c r="C2501" s="16" t="s">
        <v>63</v>
      </c>
      <c r="D2501">
        <v>7</v>
      </c>
      <c r="E2501" s="16" t="s">
        <v>45</v>
      </c>
      <c r="F2501" s="18">
        <v>966</v>
      </c>
      <c r="G2501" s="22">
        <v>92</v>
      </c>
      <c r="H2501" s="18">
        <v>3.0481431961538399</v>
      </c>
      <c r="I2501" s="18">
        <v>280.42917404615298</v>
      </c>
      <c r="J2501" s="18">
        <v>685.570825953846</v>
      </c>
      <c r="K2501" s="22">
        <v>0</v>
      </c>
      <c r="L2501" s="22" t="str">
        <f t="shared" si="39"/>
        <v>46054, 8, 7</v>
      </c>
    </row>
    <row r="2502" spans="1:12">
      <c r="A2502" s="9">
        <v>46054</v>
      </c>
      <c r="B2502">
        <v>8</v>
      </c>
      <c r="C2502" s="16" t="s">
        <v>63</v>
      </c>
      <c r="D2502">
        <v>8</v>
      </c>
      <c r="E2502" s="16" t="s">
        <v>46</v>
      </c>
      <c r="F2502" s="18">
        <v>696</v>
      </c>
      <c r="G2502" s="22">
        <v>58</v>
      </c>
      <c r="H2502" s="18">
        <v>0.70055541388888798</v>
      </c>
      <c r="I2502" s="18">
        <v>40.632214005555497</v>
      </c>
      <c r="J2502" s="18">
        <v>655.36778599444403</v>
      </c>
      <c r="K2502" s="22">
        <v>0</v>
      </c>
      <c r="L2502" s="22" t="str">
        <f t="shared" si="39"/>
        <v>46054, 8, 8</v>
      </c>
    </row>
    <row r="2503" spans="1:12">
      <c r="A2503" s="9">
        <v>46054</v>
      </c>
      <c r="B2503">
        <v>8</v>
      </c>
      <c r="C2503" s="16" t="s">
        <v>63</v>
      </c>
      <c r="D2503">
        <v>9</v>
      </c>
      <c r="E2503" s="16" t="s">
        <v>47</v>
      </c>
      <c r="F2503" s="18">
        <v>1309.5</v>
      </c>
      <c r="G2503" s="22">
        <v>27</v>
      </c>
      <c r="H2503" s="18">
        <v>19.804494804277599</v>
      </c>
      <c r="I2503" s="18">
        <v>534.72135971549699</v>
      </c>
      <c r="J2503" s="18">
        <v>774.77864028450199</v>
      </c>
      <c r="K2503" s="22">
        <v>0</v>
      </c>
      <c r="L2503" s="22" t="str">
        <f t="shared" si="39"/>
        <v>46054, 8, 9</v>
      </c>
    </row>
    <row r="2504" spans="1:12">
      <c r="A2504" s="9">
        <v>46054</v>
      </c>
      <c r="B2504">
        <v>8</v>
      </c>
      <c r="C2504" s="16" t="s">
        <v>63</v>
      </c>
      <c r="D2504">
        <v>10</v>
      </c>
      <c r="E2504" s="16" t="s">
        <v>57</v>
      </c>
      <c r="F2504" s="18">
        <v>686</v>
      </c>
      <c r="G2504" s="22">
        <v>49</v>
      </c>
      <c r="H2504" s="18">
        <v>2.2372739992222201</v>
      </c>
      <c r="I2504" s="18">
        <v>109.626425961888</v>
      </c>
      <c r="J2504" s="18">
        <v>576.37357403811097</v>
      </c>
      <c r="K2504" s="22">
        <v>0</v>
      </c>
      <c r="L2504" s="22" t="str">
        <f t="shared" si="39"/>
        <v>46054, 8, 10</v>
      </c>
    </row>
    <row r="2505" spans="1:12">
      <c r="A2505" s="9">
        <v>46054</v>
      </c>
      <c r="B2505">
        <v>8</v>
      </c>
      <c r="C2505" s="16" t="s">
        <v>63</v>
      </c>
      <c r="D2505">
        <v>11</v>
      </c>
      <c r="E2505" s="16" t="s">
        <v>48</v>
      </c>
      <c r="F2505" s="18">
        <v>1134</v>
      </c>
      <c r="G2505" s="22">
        <v>54</v>
      </c>
      <c r="H2505" s="18">
        <v>2.1718168124999999</v>
      </c>
      <c r="I2505" s="18">
        <v>117.278107875</v>
      </c>
      <c r="J2505" s="18">
        <v>1016.721892125</v>
      </c>
      <c r="K2505" s="22">
        <v>0</v>
      </c>
      <c r="L2505" s="22" t="str">
        <f t="shared" si="39"/>
        <v>46054, 8, 11</v>
      </c>
    </row>
    <row r="2506" spans="1:12">
      <c r="A2506" s="9">
        <v>46054</v>
      </c>
      <c r="B2506">
        <v>8</v>
      </c>
      <c r="C2506" s="16" t="s">
        <v>63</v>
      </c>
      <c r="D2506">
        <v>12</v>
      </c>
      <c r="E2506" s="16" t="s">
        <v>49</v>
      </c>
      <c r="F2506" s="18">
        <v>1548</v>
      </c>
      <c r="G2506" s="22">
        <v>72</v>
      </c>
      <c r="H2506" s="18">
        <v>2.7430107841363598</v>
      </c>
      <c r="I2506" s="18">
        <v>197.49677645781799</v>
      </c>
      <c r="J2506" s="18">
        <v>1350.50322354218</v>
      </c>
      <c r="K2506" s="22">
        <v>0</v>
      </c>
      <c r="L2506" s="22" t="str">
        <f t="shared" si="39"/>
        <v>46054, 8, 12</v>
      </c>
    </row>
    <row r="2507" spans="1:12">
      <c r="A2507" s="9">
        <v>46054</v>
      </c>
      <c r="B2507">
        <v>8</v>
      </c>
      <c r="C2507" s="16" t="s">
        <v>63</v>
      </c>
      <c r="D2507">
        <v>13</v>
      </c>
      <c r="E2507" s="16" t="s">
        <v>50</v>
      </c>
      <c r="F2507" s="18">
        <v>1710</v>
      </c>
      <c r="G2507" s="22">
        <v>76</v>
      </c>
      <c r="H2507" s="18">
        <v>7.4393168125000004</v>
      </c>
      <c r="I2507" s="18">
        <v>565.38807774999998</v>
      </c>
      <c r="J2507" s="18">
        <v>1144.6119222499999</v>
      </c>
      <c r="K2507" s="22">
        <v>0</v>
      </c>
      <c r="L2507" s="22" t="str">
        <f t="shared" si="39"/>
        <v>46054, 8, 13</v>
      </c>
    </row>
    <row r="2508" spans="1:12">
      <c r="A2508" s="9">
        <v>46054</v>
      </c>
      <c r="B2508">
        <v>8</v>
      </c>
      <c r="C2508" s="16" t="s">
        <v>63</v>
      </c>
      <c r="D2508">
        <v>14</v>
      </c>
      <c r="E2508" s="16" t="s">
        <v>51</v>
      </c>
      <c r="F2508" s="18">
        <v>1375</v>
      </c>
      <c r="G2508" s="22">
        <v>50</v>
      </c>
      <c r="H2508" s="18">
        <v>5.0384224704305502</v>
      </c>
      <c r="I2508" s="18">
        <v>251.92112352152699</v>
      </c>
      <c r="J2508" s="18">
        <v>1123.07887647847</v>
      </c>
      <c r="K2508" s="22">
        <v>0</v>
      </c>
      <c r="L2508" s="22" t="str">
        <f t="shared" si="39"/>
        <v>46054, 8, 14</v>
      </c>
    </row>
    <row r="2509" spans="1:12">
      <c r="A2509" s="9">
        <v>46054</v>
      </c>
      <c r="B2509">
        <v>8</v>
      </c>
      <c r="C2509" s="16" t="s">
        <v>63</v>
      </c>
      <c r="D2509">
        <v>15</v>
      </c>
      <c r="E2509" s="16" t="s">
        <v>52</v>
      </c>
      <c r="F2509" s="18">
        <v>1392</v>
      </c>
      <c r="G2509" s="22">
        <v>58</v>
      </c>
      <c r="H2509" s="18">
        <v>3.0077772299999999</v>
      </c>
      <c r="I2509" s="18">
        <v>174.45107934000001</v>
      </c>
      <c r="J2509" s="18">
        <v>1217.54892066</v>
      </c>
      <c r="K2509" s="22">
        <v>0</v>
      </c>
      <c r="L2509" s="22" t="str">
        <f t="shared" si="39"/>
        <v>46054, 8, 15</v>
      </c>
    </row>
    <row r="2510" spans="1:12">
      <c r="A2510" s="9">
        <v>46054</v>
      </c>
      <c r="B2510">
        <v>8</v>
      </c>
      <c r="C2510" s="16" t="s">
        <v>63</v>
      </c>
      <c r="D2510">
        <v>16</v>
      </c>
      <c r="E2510" s="16" t="s">
        <v>53</v>
      </c>
      <c r="F2510" s="18">
        <v>567</v>
      </c>
      <c r="G2510" s="22">
        <v>63</v>
      </c>
      <c r="H2510" s="18">
        <v>1.7226686607692301</v>
      </c>
      <c r="I2510" s="18">
        <v>108.528125628461</v>
      </c>
      <c r="J2510" s="18">
        <v>458.47187437153798</v>
      </c>
      <c r="K2510" s="22">
        <v>0</v>
      </c>
      <c r="L2510" s="22" t="str">
        <f t="shared" si="39"/>
        <v>46054, 8, 16</v>
      </c>
    </row>
    <row r="2511" spans="1:12">
      <c r="A2511" s="9">
        <v>46054</v>
      </c>
      <c r="B2511">
        <v>8</v>
      </c>
      <c r="C2511" s="16" t="s">
        <v>63</v>
      </c>
      <c r="D2511">
        <v>17</v>
      </c>
      <c r="E2511" s="16" t="s">
        <v>54</v>
      </c>
      <c r="F2511" s="18">
        <v>382.5</v>
      </c>
      <c r="G2511" s="22">
        <v>51</v>
      </c>
      <c r="H2511" s="18">
        <v>1.53837415111111</v>
      </c>
      <c r="I2511" s="18">
        <v>78.4570817066666</v>
      </c>
      <c r="J2511" s="18">
        <v>304.042918293333</v>
      </c>
      <c r="K2511" s="22">
        <v>0</v>
      </c>
      <c r="L2511" s="22" t="str">
        <f t="shared" si="39"/>
        <v>46054, 8, 17</v>
      </c>
    </row>
    <row r="2512" spans="1:12">
      <c r="A2512" s="9">
        <v>46054</v>
      </c>
      <c r="B2512">
        <v>8</v>
      </c>
      <c r="C2512" s="16" t="s">
        <v>63</v>
      </c>
      <c r="D2512">
        <v>18</v>
      </c>
      <c r="E2512" s="16" t="s">
        <v>55</v>
      </c>
      <c r="F2512" s="18">
        <v>368</v>
      </c>
      <c r="G2512" s="22">
        <v>16</v>
      </c>
      <c r="H2512" s="18">
        <v>6.3051248979750003</v>
      </c>
      <c r="I2512" s="18">
        <v>100.8819983676</v>
      </c>
      <c r="J2512" s="18">
        <v>267.11800163240002</v>
      </c>
      <c r="K2512" s="22">
        <v>0</v>
      </c>
      <c r="L2512" s="22" t="str">
        <f t="shared" si="39"/>
        <v>46054, 8, 18</v>
      </c>
    </row>
    <row r="2513" spans="1:12">
      <c r="A2513" s="9">
        <v>46082</v>
      </c>
      <c r="B2513">
        <v>8</v>
      </c>
      <c r="C2513" s="16" t="s">
        <v>63</v>
      </c>
      <c r="D2513">
        <v>1</v>
      </c>
      <c r="E2513" s="16" t="s">
        <v>38</v>
      </c>
      <c r="F2513" s="18">
        <v>1612.5</v>
      </c>
      <c r="G2513" s="22">
        <v>75</v>
      </c>
      <c r="H2513" s="18">
        <v>4.5342339464285697</v>
      </c>
      <c r="I2513" s="18">
        <v>340.06754598214201</v>
      </c>
      <c r="J2513" s="18">
        <v>1272.43245401785</v>
      </c>
      <c r="K2513" s="22">
        <v>0</v>
      </c>
      <c r="L2513" s="22" t="str">
        <f t="shared" si="39"/>
        <v>46082, 8, 1</v>
      </c>
    </row>
    <row r="2514" spans="1:12">
      <c r="A2514" s="9">
        <v>46082</v>
      </c>
      <c r="B2514">
        <v>8</v>
      </c>
      <c r="C2514" s="16" t="s">
        <v>63</v>
      </c>
      <c r="D2514">
        <v>2</v>
      </c>
      <c r="E2514" s="16" t="s">
        <v>40</v>
      </c>
      <c r="F2514" s="18">
        <v>1896</v>
      </c>
      <c r="G2514" s="22">
        <v>79</v>
      </c>
      <c r="H2514" s="18">
        <v>7.6337617295384597</v>
      </c>
      <c r="I2514" s="18">
        <v>603.067176633538</v>
      </c>
      <c r="J2514" s="18">
        <v>1292.9328233664601</v>
      </c>
      <c r="K2514" s="22">
        <v>0</v>
      </c>
      <c r="L2514" s="22" t="str">
        <f t="shared" si="39"/>
        <v>46082, 8, 2</v>
      </c>
    </row>
    <row r="2515" spans="1:12">
      <c r="A2515" s="9">
        <v>46082</v>
      </c>
      <c r="B2515">
        <v>8</v>
      </c>
      <c r="C2515" s="16" t="s">
        <v>63</v>
      </c>
      <c r="D2515">
        <v>3</v>
      </c>
      <c r="E2515" s="16" t="s">
        <v>41</v>
      </c>
      <c r="F2515" s="18">
        <v>1075</v>
      </c>
      <c r="G2515" s="22">
        <v>43</v>
      </c>
      <c r="H2515" s="18">
        <v>3.7667026548333302</v>
      </c>
      <c r="I2515" s="18">
        <v>161.96821415783299</v>
      </c>
      <c r="J2515" s="18">
        <v>913.03178584216596</v>
      </c>
      <c r="K2515" s="22">
        <v>0</v>
      </c>
      <c r="L2515" s="22" t="str">
        <f t="shared" si="39"/>
        <v>46082, 8, 3</v>
      </c>
    </row>
    <row r="2516" spans="1:12">
      <c r="A2516" s="9">
        <v>46082</v>
      </c>
      <c r="B2516">
        <v>8</v>
      </c>
      <c r="C2516" s="16" t="s">
        <v>63</v>
      </c>
      <c r="D2516">
        <v>4</v>
      </c>
      <c r="E2516" s="16" t="s">
        <v>42</v>
      </c>
      <c r="F2516" s="18">
        <v>1250.5</v>
      </c>
      <c r="G2516" s="22">
        <v>61</v>
      </c>
      <c r="H2516" s="18">
        <v>7.9871637698181797</v>
      </c>
      <c r="I2516" s="18">
        <v>487.21698995890898</v>
      </c>
      <c r="J2516" s="18">
        <v>763.28301004109005</v>
      </c>
      <c r="K2516" s="22">
        <v>0</v>
      </c>
      <c r="L2516" s="22" t="str">
        <f t="shared" si="39"/>
        <v>46082, 8, 4</v>
      </c>
    </row>
    <row r="2517" spans="1:12">
      <c r="A2517" s="9">
        <v>46082</v>
      </c>
      <c r="B2517">
        <v>8</v>
      </c>
      <c r="C2517" s="16" t="s">
        <v>63</v>
      </c>
      <c r="D2517">
        <v>5</v>
      </c>
      <c r="E2517" s="16" t="s">
        <v>43</v>
      </c>
      <c r="F2517" s="18">
        <v>609</v>
      </c>
      <c r="G2517" s="22">
        <v>29</v>
      </c>
      <c r="H2517" s="18">
        <v>7.0586111111111096</v>
      </c>
      <c r="I2517" s="18">
        <v>204.69972222222199</v>
      </c>
      <c r="J2517" s="18">
        <v>404.30027777777701</v>
      </c>
      <c r="K2517" s="22">
        <v>0</v>
      </c>
      <c r="L2517" s="22" t="str">
        <f t="shared" si="39"/>
        <v>46082, 8, 5</v>
      </c>
    </row>
    <row r="2518" spans="1:12">
      <c r="A2518" s="9">
        <v>46082</v>
      </c>
      <c r="B2518">
        <v>8</v>
      </c>
      <c r="C2518" s="16" t="s">
        <v>63</v>
      </c>
      <c r="D2518">
        <v>6</v>
      </c>
      <c r="E2518" s="16" t="s">
        <v>44</v>
      </c>
      <c r="F2518" s="18">
        <v>1417.5</v>
      </c>
      <c r="G2518" s="22">
        <v>63</v>
      </c>
      <c r="H2518" s="18">
        <v>5.2702715903333299</v>
      </c>
      <c r="I2518" s="18">
        <v>332.027110190999</v>
      </c>
      <c r="J2518" s="18">
        <v>1085.472889809</v>
      </c>
      <c r="K2518" s="22">
        <v>0</v>
      </c>
      <c r="L2518" s="22" t="str">
        <f t="shared" si="39"/>
        <v>46082, 8, 6</v>
      </c>
    </row>
    <row r="2519" spans="1:12">
      <c r="A2519" s="9">
        <v>46082</v>
      </c>
      <c r="B2519">
        <v>8</v>
      </c>
      <c r="C2519" s="16" t="s">
        <v>63</v>
      </c>
      <c r="D2519">
        <v>7</v>
      </c>
      <c r="E2519" s="16" t="s">
        <v>45</v>
      </c>
      <c r="F2519" s="18">
        <v>651</v>
      </c>
      <c r="G2519" s="22">
        <v>62</v>
      </c>
      <c r="H2519" s="18">
        <v>3.0443360794230698</v>
      </c>
      <c r="I2519" s="18">
        <v>188.74883692423001</v>
      </c>
      <c r="J2519" s="18">
        <v>462.251163075769</v>
      </c>
      <c r="K2519" s="22">
        <v>0</v>
      </c>
      <c r="L2519" s="22" t="str">
        <f t="shared" si="39"/>
        <v>46082, 8, 7</v>
      </c>
    </row>
    <row r="2520" spans="1:12">
      <c r="A2520" s="9">
        <v>46082</v>
      </c>
      <c r="B2520">
        <v>8</v>
      </c>
      <c r="C2520" s="16" t="s">
        <v>63</v>
      </c>
      <c r="D2520">
        <v>8</v>
      </c>
      <c r="E2520" s="16" t="s">
        <v>46</v>
      </c>
      <c r="F2520" s="18">
        <v>564</v>
      </c>
      <c r="G2520" s="22">
        <v>47</v>
      </c>
      <c r="H2520" s="18">
        <v>0.72399193846153798</v>
      </c>
      <c r="I2520" s="18">
        <v>34.027621107692298</v>
      </c>
      <c r="J2520" s="18">
        <v>529.97237889230701</v>
      </c>
      <c r="K2520" s="22">
        <v>0</v>
      </c>
      <c r="L2520" s="22" t="str">
        <f t="shared" si="39"/>
        <v>46082, 8, 8</v>
      </c>
    </row>
    <row r="2521" spans="1:12">
      <c r="A2521" s="9">
        <v>46082</v>
      </c>
      <c r="B2521">
        <v>8</v>
      </c>
      <c r="C2521" s="16" t="s">
        <v>63</v>
      </c>
      <c r="D2521">
        <v>9</v>
      </c>
      <c r="E2521" s="16" t="s">
        <v>47</v>
      </c>
      <c r="F2521" s="18">
        <v>1455</v>
      </c>
      <c r="G2521" s="22">
        <v>30</v>
      </c>
      <c r="H2521" s="18">
        <v>19.707885041539001</v>
      </c>
      <c r="I2521" s="18">
        <v>591.23655124617096</v>
      </c>
      <c r="J2521" s="18">
        <v>863.76344875382802</v>
      </c>
      <c r="K2521" s="22">
        <v>0</v>
      </c>
      <c r="L2521" s="22" t="str">
        <f t="shared" si="39"/>
        <v>46082, 8, 9</v>
      </c>
    </row>
    <row r="2522" spans="1:12">
      <c r="A2522" s="9">
        <v>46082</v>
      </c>
      <c r="B2522">
        <v>8</v>
      </c>
      <c r="C2522" s="16" t="s">
        <v>63</v>
      </c>
      <c r="D2522">
        <v>10</v>
      </c>
      <c r="E2522" s="16" t="s">
        <v>57</v>
      </c>
      <c r="F2522" s="18">
        <v>630</v>
      </c>
      <c r="G2522" s="22">
        <v>45</v>
      </c>
      <c r="H2522" s="18">
        <v>2.1750029073090902</v>
      </c>
      <c r="I2522" s="18">
        <v>97.875130828908993</v>
      </c>
      <c r="J2522" s="18">
        <v>532.12486917109004</v>
      </c>
      <c r="K2522" s="22">
        <v>0</v>
      </c>
      <c r="L2522" s="22" t="str">
        <f t="shared" si="39"/>
        <v>46082, 8, 10</v>
      </c>
    </row>
    <row r="2523" spans="1:12">
      <c r="A2523" s="9">
        <v>46082</v>
      </c>
      <c r="B2523">
        <v>8</v>
      </c>
      <c r="C2523" s="16" t="s">
        <v>63</v>
      </c>
      <c r="D2523">
        <v>11</v>
      </c>
      <c r="E2523" s="16" t="s">
        <v>48</v>
      </c>
      <c r="F2523" s="18">
        <v>1197</v>
      </c>
      <c r="G2523" s="22">
        <v>57</v>
      </c>
      <c r="H2523" s="18">
        <v>2.1835156363636301</v>
      </c>
      <c r="I2523" s="18">
        <v>124.46039127272699</v>
      </c>
      <c r="J2523" s="18">
        <v>1072.53960872727</v>
      </c>
      <c r="K2523" s="22">
        <v>0</v>
      </c>
      <c r="L2523" s="22" t="str">
        <f t="shared" si="39"/>
        <v>46082, 8, 11</v>
      </c>
    </row>
    <row r="2524" spans="1:12">
      <c r="A2524" s="9">
        <v>46082</v>
      </c>
      <c r="B2524">
        <v>8</v>
      </c>
      <c r="C2524" s="16" t="s">
        <v>63</v>
      </c>
      <c r="D2524">
        <v>12</v>
      </c>
      <c r="E2524" s="16" t="s">
        <v>49</v>
      </c>
      <c r="F2524" s="18">
        <v>1354.5</v>
      </c>
      <c r="G2524" s="22">
        <v>63</v>
      </c>
      <c r="H2524" s="18">
        <v>2.7773171347307599</v>
      </c>
      <c r="I2524" s="18">
        <v>174.97097948803801</v>
      </c>
      <c r="J2524" s="18">
        <v>1179.52902051196</v>
      </c>
      <c r="K2524" s="22">
        <v>0</v>
      </c>
      <c r="L2524" s="22" t="str">
        <f t="shared" si="39"/>
        <v>46082, 8, 12</v>
      </c>
    </row>
    <row r="2525" spans="1:12">
      <c r="A2525" s="9">
        <v>46082</v>
      </c>
      <c r="B2525">
        <v>8</v>
      </c>
      <c r="C2525" s="16" t="s">
        <v>63</v>
      </c>
      <c r="D2525">
        <v>13</v>
      </c>
      <c r="E2525" s="16" t="s">
        <v>50</v>
      </c>
      <c r="F2525" s="18">
        <v>1597.5</v>
      </c>
      <c r="G2525" s="22">
        <v>71</v>
      </c>
      <c r="H2525" s="18">
        <v>7.4616325555555498</v>
      </c>
      <c r="I2525" s="18">
        <v>529.77591144444398</v>
      </c>
      <c r="J2525" s="18">
        <v>1067.72408855555</v>
      </c>
      <c r="K2525" s="22">
        <v>0</v>
      </c>
      <c r="L2525" s="22" t="str">
        <f t="shared" si="39"/>
        <v>46082, 8, 13</v>
      </c>
    </row>
    <row r="2526" spans="1:12">
      <c r="A2526" s="9">
        <v>46082</v>
      </c>
      <c r="B2526">
        <v>8</v>
      </c>
      <c r="C2526" s="16" t="s">
        <v>63</v>
      </c>
      <c r="D2526">
        <v>14</v>
      </c>
      <c r="E2526" s="16" t="s">
        <v>51</v>
      </c>
      <c r="F2526" s="18">
        <v>935</v>
      </c>
      <c r="G2526" s="22">
        <v>34</v>
      </c>
      <c r="H2526" s="18">
        <v>5.0905323179880897</v>
      </c>
      <c r="I2526" s="18">
        <v>173.078098811595</v>
      </c>
      <c r="J2526" s="18">
        <v>761.92190118840404</v>
      </c>
      <c r="K2526" s="22">
        <v>0</v>
      </c>
      <c r="L2526" s="22" t="str">
        <f t="shared" si="39"/>
        <v>46082, 8, 14</v>
      </c>
    </row>
    <row r="2527" spans="1:12">
      <c r="A2527" s="9">
        <v>46082</v>
      </c>
      <c r="B2527">
        <v>8</v>
      </c>
      <c r="C2527" s="16" t="s">
        <v>63</v>
      </c>
      <c r="D2527">
        <v>15</v>
      </c>
      <c r="E2527" s="16" t="s">
        <v>52</v>
      </c>
      <c r="F2527" s="18">
        <v>1152</v>
      </c>
      <c r="G2527" s="22">
        <v>48</v>
      </c>
      <c r="H2527" s="18">
        <v>3.0318289840000001</v>
      </c>
      <c r="I2527" s="18">
        <v>145.527791232</v>
      </c>
      <c r="J2527" s="18">
        <v>1006.472208768</v>
      </c>
      <c r="K2527" s="22">
        <v>0</v>
      </c>
      <c r="L2527" s="22" t="str">
        <f t="shared" si="39"/>
        <v>46082, 8, 15</v>
      </c>
    </row>
    <row r="2528" spans="1:12">
      <c r="A2528" s="9">
        <v>46082</v>
      </c>
      <c r="B2528">
        <v>8</v>
      </c>
      <c r="C2528" s="16" t="s">
        <v>63</v>
      </c>
      <c r="D2528">
        <v>16</v>
      </c>
      <c r="E2528" s="16" t="s">
        <v>53</v>
      </c>
      <c r="F2528" s="18">
        <v>369</v>
      </c>
      <c r="G2528" s="22">
        <v>41</v>
      </c>
      <c r="H2528" s="18">
        <v>1.7213470011111101</v>
      </c>
      <c r="I2528" s="18">
        <v>70.575227045555494</v>
      </c>
      <c r="J2528" s="18">
        <v>298.42477295444399</v>
      </c>
      <c r="K2528" s="22">
        <v>0</v>
      </c>
      <c r="L2528" s="22" t="str">
        <f t="shared" si="39"/>
        <v>46082, 8, 16</v>
      </c>
    </row>
    <row r="2529" spans="1:12">
      <c r="A2529" s="9">
        <v>46082</v>
      </c>
      <c r="B2529">
        <v>8</v>
      </c>
      <c r="C2529" s="16" t="s">
        <v>63</v>
      </c>
      <c r="D2529">
        <v>17</v>
      </c>
      <c r="E2529" s="16" t="s">
        <v>54</v>
      </c>
      <c r="F2529" s="18">
        <v>427.5</v>
      </c>
      <c r="G2529" s="22">
        <v>57</v>
      </c>
      <c r="H2529" s="18">
        <v>1.541737033</v>
      </c>
      <c r="I2529" s="18">
        <v>87.879010880999999</v>
      </c>
      <c r="J2529" s="18">
        <v>339.620989119</v>
      </c>
      <c r="K2529" s="22">
        <v>0</v>
      </c>
      <c r="L2529" s="22" t="str">
        <f t="shared" si="39"/>
        <v>46082, 8, 17</v>
      </c>
    </row>
    <row r="2530" spans="1:12">
      <c r="A2530" s="9">
        <v>46082</v>
      </c>
      <c r="B2530">
        <v>8</v>
      </c>
      <c r="C2530" s="16" t="s">
        <v>63</v>
      </c>
      <c r="D2530">
        <v>18</v>
      </c>
      <c r="E2530" s="16" t="s">
        <v>55</v>
      </c>
      <c r="F2530" s="18">
        <v>575</v>
      </c>
      <c r="G2530" s="22">
        <v>25</v>
      </c>
      <c r="H2530" s="18">
        <v>6.3438100386730696</v>
      </c>
      <c r="I2530" s="18">
        <v>158.595250966826</v>
      </c>
      <c r="J2530" s="18">
        <v>416.404749033173</v>
      </c>
      <c r="K2530" s="22">
        <v>0</v>
      </c>
      <c r="L2530" s="22" t="str">
        <f t="shared" si="39"/>
        <v>46082, 8, 18</v>
      </c>
    </row>
    <row r="2531" spans="1:12">
      <c r="A2531" s="9">
        <v>46113</v>
      </c>
      <c r="B2531">
        <v>8</v>
      </c>
      <c r="C2531" s="16" t="s">
        <v>63</v>
      </c>
      <c r="D2531">
        <v>1</v>
      </c>
      <c r="E2531" s="16" t="s">
        <v>38</v>
      </c>
      <c r="F2531" s="18">
        <v>1870.5</v>
      </c>
      <c r="G2531" s="22">
        <v>87</v>
      </c>
      <c r="H2531" s="18">
        <v>4.6000382884615298</v>
      </c>
      <c r="I2531" s="18">
        <v>400.20333109615302</v>
      </c>
      <c r="J2531" s="18">
        <v>1470.2966689038401</v>
      </c>
      <c r="K2531" s="22">
        <v>0</v>
      </c>
      <c r="L2531" s="22" t="str">
        <f t="shared" si="39"/>
        <v>46113, 8, 1</v>
      </c>
    </row>
    <row r="2532" spans="1:12">
      <c r="A2532" s="9">
        <v>46113</v>
      </c>
      <c r="B2532">
        <v>8</v>
      </c>
      <c r="C2532" s="16" t="s">
        <v>63</v>
      </c>
      <c r="D2532">
        <v>2</v>
      </c>
      <c r="E2532" s="16" t="s">
        <v>40</v>
      </c>
      <c r="F2532" s="18">
        <v>1992</v>
      </c>
      <c r="G2532" s="22">
        <v>83</v>
      </c>
      <c r="H2532" s="18">
        <v>7.6633157309090896</v>
      </c>
      <c r="I2532" s="18">
        <v>636.05520566545397</v>
      </c>
      <c r="J2532" s="18">
        <v>1355.9447943345399</v>
      </c>
      <c r="K2532" s="22">
        <v>0</v>
      </c>
      <c r="L2532" s="22" t="str">
        <f t="shared" si="39"/>
        <v>46113, 8, 2</v>
      </c>
    </row>
    <row r="2533" spans="1:12">
      <c r="A2533" s="9">
        <v>46113</v>
      </c>
      <c r="B2533">
        <v>8</v>
      </c>
      <c r="C2533" s="16" t="s">
        <v>63</v>
      </c>
      <c r="D2533">
        <v>3</v>
      </c>
      <c r="E2533" s="16" t="s">
        <v>41</v>
      </c>
      <c r="F2533" s="18">
        <v>1050</v>
      </c>
      <c r="G2533" s="22">
        <v>42</v>
      </c>
      <c r="H2533" s="18">
        <v>3.7529118752727202</v>
      </c>
      <c r="I2533" s="18">
        <v>157.622298761454</v>
      </c>
      <c r="J2533" s="18">
        <v>892.377701238545</v>
      </c>
      <c r="K2533" s="22">
        <v>0</v>
      </c>
      <c r="L2533" s="22" t="str">
        <f t="shared" si="39"/>
        <v>46113, 8, 3</v>
      </c>
    </row>
    <row r="2534" spans="1:12">
      <c r="A2534" s="9">
        <v>46113</v>
      </c>
      <c r="B2534">
        <v>8</v>
      </c>
      <c r="C2534" s="16" t="s">
        <v>63</v>
      </c>
      <c r="D2534">
        <v>4</v>
      </c>
      <c r="E2534" s="16" t="s">
        <v>42</v>
      </c>
      <c r="F2534" s="18">
        <v>1209.5</v>
      </c>
      <c r="G2534" s="22">
        <v>59</v>
      </c>
      <c r="H2534" s="18">
        <v>7.8650780272</v>
      </c>
      <c r="I2534" s="18">
        <v>464.03960360479999</v>
      </c>
      <c r="J2534" s="18">
        <v>745.46039639519995</v>
      </c>
      <c r="K2534" s="22">
        <v>0</v>
      </c>
      <c r="L2534" s="22" t="str">
        <f t="shared" si="39"/>
        <v>46113, 8, 4</v>
      </c>
    </row>
    <row r="2535" spans="1:12">
      <c r="A2535" s="9">
        <v>46113</v>
      </c>
      <c r="B2535">
        <v>8</v>
      </c>
      <c r="C2535" s="16" t="s">
        <v>63</v>
      </c>
      <c r="D2535">
        <v>5</v>
      </c>
      <c r="E2535" s="16" t="s">
        <v>43</v>
      </c>
      <c r="F2535" s="18">
        <v>735</v>
      </c>
      <c r="G2535" s="22">
        <v>35</v>
      </c>
      <c r="H2535" s="18">
        <v>6.8264705882352903</v>
      </c>
      <c r="I2535" s="18">
        <v>238.92647058823499</v>
      </c>
      <c r="J2535" s="18">
        <v>496.07352941176401</v>
      </c>
      <c r="K2535" s="22">
        <v>0</v>
      </c>
      <c r="L2535" s="22" t="str">
        <f t="shared" si="39"/>
        <v>46113, 8, 5</v>
      </c>
    </row>
    <row r="2536" spans="1:12">
      <c r="A2536" s="9">
        <v>46113</v>
      </c>
      <c r="B2536">
        <v>8</v>
      </c>
      <c r="C2536" s="16" t="s">
        <v>63</v>
      </c>
      <c r="D2536">
        <v>6</v>
      </c>
      <c r="E2536" s="16" t="s">
        <v>44</v>
      </c>
      <c r="F2536" s="18">
        <v>1080</v>
      </c>
      <c r="G2536" s="22">
        <v>48</v>
      </c>
      <c r="H2536" s="18">
        <v>5.3460508223181797</v>
      </c>
      <c r="I2536" s="18">
        <v>256.610439471272</v>
      </c>
      <c r="J2536" s="18">
        <v>823.38956052872697</v>
      </c>
      <c r="K2536" s="22">
        <v>0</v>
      </c>
      <c r="L2536" s="22" t="str">
        <f t="shared" si="39"/>
        <v>46113, 8, 6</v>
      </c>
    </row>
    <row r="2537" spans="1:12">
      <c r="A2537" s="9">
        <v>46113</v>
      </c>
      <c r="B2537">
        <v>8</v>
      </c>
      <c r="C2537" s="16" t="s">
        <v>63</v>
      </c>
      <c r="D2537">
        <v>7</v>
      </c>
      <c r="E2537" s="16" t="s">
        <v>45</v>
      </c>
      <c r="F2537" s="18">
        <v>892.5</v>
      </c>
      <c r="G2537" s="22">
        <v>85</v>
      </c>
      <c r="H2537" s="18">
        <v>3.06434905865384</v>
      </c>
      <c r="I2537" s="18">
        <v>260.46966998557599</v>
      </c>
      <c r="J2537" s="18">
        <v>632.03033001442304</v>
      </c>
      <c r="K2537" s="22">
        <v>0</v>
      </c>
      <c r="L2537" s="22" t="str">
        <f t="shared" si="39"/>
        <v>46113, 8, 7</v>
      </c>
    </row>
    <row r="2538" spans="1:12">
      <c r="A2538" s="9">
        <v>46113</v>
      </c>
      <c r="B2538">
        <v>8</v>
      </c>
      <c r="C2538" s="16" t="s">
        <v>63</v>
      </c>
      <c r="D2538">
        <v>8</v>
      </c>
      <c r="E2538" s="16" t="s">
        <v>46</v>
      </c>
      <c r="F2538" s="18">
        <v>432</v>
      </c>
      <c r="G2538" s="22">
        <v>36</v>
      </c>
      <c r="H2538" s="18">
        <v>0.75616188303030296</v>
      </c>
      <c r="I2538" s="18">
        <v>27.221827789090899</v>
      </c>
      <c r="J2538" s="18">
        <v>404.77817221090902</v>
      </c>
      <c r="K2538" s="22">
        <v>0</v>
      </c>
      <c r="L2538" s="22" t="str">
        <f t="shared" si="39"/>
        <v>46113, 8, 8</v>
      </c>
    </row>
    <row r="2539" spans="1:12">
      <c r="A2539" s="9">
        <v>46113</v>
      </c>
      <c r="B2539">
        <v>8</v>
      </c>
      <c r="C2539" s="16" t="s">
        <v>63</v>
      </c>
      <c r="D2539">
        <v>9</v>
      </c>
      <c r="E2539" s="16" t="s">
        <v>47</v>
      </c>
      <c r="F2539" s="18">
        <v>824.5</v>
      </c>
      <c r="G2539" s="22">
        <v>17</v>
      </c>
      <c r="H2539" s="18">
        <v>19.8156415675933</v>
      </c>
      <c r="I2539" s="18">
        <v>336.86590664908698</v>
      </c>
      <c r="J2539" s="18">
        <v>487.634093350912</v>
      </c>
      <c r="K2539" s="22">
        <v>0</v>
      </c>
      <c r="L2539" s="22" t="str">
        <f t="shared" si="39"/>
        <v>46113, 8, 9</v>
      </c>
    </row>
    <row r="2540" spans="1:12">
      <c r="A2540" s="9">
        <v>46113</v>
      </c>
      <c r="B2540">
        <v>8</v>
      </c>
      <c r="C2540" s="16" t="s">
        <v>63</v>
      </c>
      <c r="D2540">
        <v>10</v>
      </c>
      <c r="E2540" s="16" t="s">
        <v>57</v>
      </c>
      <c r="F2540" s="18">
        <v>770</v>
      </c>
      <c r="G2540" s="22">
        <v>55</v>
      </c>
      <c r="H2540" s="18">
        <v>2.0771436205799998</v>
      </c>
      <c r="I2540" s="18">
        <v>114.2428991319</v>
      </c>
      <c r="J2540" s="18">
        <v>655.7571008681</v>
      </c>
      <c r="K2540" s="22">
        <v>0</v>
      </c>
      <c r="L2540" s="22" t="str">
        <f t="shared" si="39"/>
        <v>46113, 8, 10</v>
      </c>
    </row>
    <row r="2541" spans="1:12">
      <c r="A2541" s="9">
        <v>46113</v>
      </c>
      <c r="B2541">
        <v>8</v>
      </c>
      <c r="C2541" s="16" t="s">
        <v>63</v>
      </c>
      <c r="D2541">
        <v>11</v>
      </c>
      <c r="E2541" s="16" t="s">
        <v>48</v>
      </c>
      <c r="F2541" s="18">
        <v>1092</v>
      </c>
      <c r="G2541" s="22">
        <v>52</v>
      </c>
      <c r="H2541" s="18">
        <v>2.21551505</v>
      </c>
      <c r="I2541" s="18">
        <v>115.2067826</v>
      </c>
      <c r="J2541" s="18">
        <v>976.7932174</v>
      </c>
      <c r="K2541" s="22">
        <v>0</v>
      </c>
      <c r="L2541" s="22" t="str">
        <f t="shared" si="39"/>
        <v>46113, 8, 11</v>
      </c>
    </row>
    <row r="2542" spans="1:12">
      <c r="A2542" s="9">
        <v>46113</v>
      </c>
      <c r="B2542">
        <v>8</v>
      </c>
      <c r="C2542" s="16" t="s">
        <v>63</v>
      </c>
      <c r="D2542">
        <v>12</v>
      </c>
      <c r="E2542" s="16" t="s">
        <v>49</v>
      </c>
      <c r="F2542" s="18">
        <v>1591</v>
      </c>
      <c r="G2542" s="22">
        <v>74</v>
      </c>
      <c r="H2542" s="18">
        <v>2.8210249309166602</v>
      </c>
      <c r="I2542" s="18">
        <v>208.75584488783301</v>
      </c>
      <c r="J2542" s="18">
        <v>1382.2441551121599</v>
      </c>
      <c r="K2542" s="22">
        <v>0</v>
      </c>
      <c r="L2542" s="22" t="str">
        <f t="shared" si="39"/>
        <v>46113, 8, 12</v>
      </c>
    </row>
    <row r="2543" spans="1:12">
      <c r="A2543" s="9">
        <v>46113</v>
      </c>
      <c r="B2543">
        <v>8</v>
      </c>
      <c r="C2543" s="16" t="s">
        <v>63</v>
      </c>
      <c r="D2543">
        <v>13</v>
      </c>
      <c r="E2543" s="16" t="s">
        <v>50</v>
      </c>
      <c r="F2543" s="18">
        <v>1125</v>
      </c>
      <c r="G2543" s="22">
        <v>50</v>
      </c>
      <c r="H2543" s="18">
        <v>7.4769892352941101</v>
      </c>
      <c r="I2543" s="18">
        <v>373.84946176470498</v>
      </c>
      <c r="J2543" s="18">
        <v>751.15053823529399</v>
      </c>
      <c r="K2543" s="22">
        <v>0</v>
      </c>
      <c r="L2543" s="22" t="str">
        <f t="shared" si="39"/>
        <v>46113, 8, 13</v>
      </c>
    </row>
    <row r="2544" spans="1:12">
      <c r="A2544" s="9">
        <v>46113</v>
      </c>
      <c r="B2544">
        <v>8</v>
      </c>
      <c r="C2544" s="16" t="s">
        <v>63</v>
      </c>
      <c r="D2544">
        <v>14</v>
      </c>
      <c r="E2544" s="16" t="s">
        <v>51</v>
      </c>
      <c r="F2544" s="18">
        <v>880</v>
      </c>
      <c r="G2544" s="22">
        <v>32</v>
      </c>
      <c r="H2544" s="18">
        <v>5.0770098052051198</v>
      </c>
      <c r="I2544" s="18">
        <v>162.464313766564</v>
      </c>
      <c r="J2544" s="18">
        <v>717.53568623343494</v>
      </c>
      <c r="K2544" s="22">
        <v>0</v>
      </c>
      <c r="L2544" s="22" t="str">
        <f t="shared" si="39"/>
        <v>46113, 8, 14</v>
      </c>
    </row>
    <row r="2545" spans="1:12">
      <c r="A2545" s="9">
        <v>46113</v>
      </c>
      <c r="B2545">
        <v>8</v>
      </c>
      <c r="C2545" s="16" t="s">
        <v>63</v>
      </c>
      <c r="D2545">
        <v>15</v>
      </c>
      <c r="E2545" s="16" t="s">
        <v>52</v>
      </c>
      <c r="F2545" s="18">
        <v>1032</v>
      </c>
      <c r="G2545" s="22">
        <v>43</v>
      </c>
      <c r="H2545" s="18">
        <v>3.0131451973076899</v>
      </c>
      <c r="I2545" s="18">
        <v>129.56524348423</v>
      </c>
      <c r="J2545" s="18">
        <v>902.43475651576898</v>
      </c>
      <c r="K2545" s="22">
        <v>0</v>
      </c>
      <c r="L2545" s="22" t="str">
        <f t="shared" si="39"/>
        <v>46113, 8, 15</v>
      </c>
    </row>
    <row r="2546" spans="1:12">
      <c r="A2546" s="9">
        <v>46113</v>
      </c>
      <c r="B2546">
        <v>8</v>
      </c>
      <c r="C2546" s="16" t="s">
        <v>63</v>
      </c>
      <c r="D2546">
        <v>16</v>
      </c>
      <c r="E2546" s="16" t="s">
        <v>53</v>
      </c>
      <c r="F2546" s="18">
        <v>207</v>
      </c>
      <c r="G2546" s="22">
        <v>23</v>
      </c>
      <c r="H2546" s="18">
        <v>1.7264799623484799</v>
      </c>
      <c r="I2546" s="18">
        <v>39.7090391340151</v>
      </c>
      <c r="J2546" s="18">
        <v>167.290960865984</v>
      </c>
      <c r="K2546" s="22">
        <v>0</v>
      </c>
      <c r="L2546" s="22" t="str">
        <f t="shared" si="39"/>
        <v>46113, 8, 16</v>
      </c>
    </row>
    <row r="2547" spans="1:12">
      <c r="A2547" s="9">
        <v>46113</v>
      </c>
      <c r="B2547">
        <v>8</v>
      </c>
      <c r="C2547" s="16" t="s">
        <v>63</v>
      </c>
      <c r="D2547">
        <v>17</v>
      </c>
      <c r="E2547" s="16" t="s">
        <v>54</v>
      </c>
      <c r="F2547" s="18">
        <v>495</v>
      </c>
      <c r="G2547" s="22">
        <v>66</v>
      </c>
      <c r="H2547" s="18">
        <v>1.5452556500000001</v>
      </c>
      <c r="I2547" s="18">
        <v>101.98687289999999</v>
      </c>
      <c r="J2547" s="18">
        <v>393.01312710000002</v>
      </c>
      <c r="K2547" s="22">
        <v>0</v>
      </c>
      <c r="L2547" s="22" t="str">
        <f t="shared" si="39"/>
        <v>46113, 8, 17</v>
      </c>
    </row>
    <row r="2548" spans="1:12">
      <c r="A2548" s="9">
        <v>46113</v>
      </c>
      <c r="B2548">
        <v>8</v>
      </c>
      <c r="C2548" s="16" t="s">
        <v>63</v>
      </c>
      <c r="D2548">
        <v>18</v>
      </c>
      <c r="E2548" s="16" t="s">
        <v>55</v>
      </c>
      <c r="F2548" s="18">
        <v>460</v>
      </c>
      <c r="G2548" s="22">
        <v>20</v>
      </c>
      <c r="H2548" s="18">
        <v>6.3230301649375003</v>
      </c>
      <c r="I2548" s="18">
        <v>126.46060329875</v>
      </c>
      <c r="J2548" s="18">
        <v>333.53939670124998</v>
      </c>
      <c r="K2548" s="22">
        <v>0</v>
      </c>
      <c r="L2548" s="22" t="str">
        <f t="shared" si="39"/>
        <v>46113, 8, 18</v>
      </c>
    </row>
    <row r="2549" spans="1:12">
      <c r="A2549" s="9">
        <v>46143</v>
      </c>
      <c r="B2549">
        <v>8</v>
      </c>
      <c r="C2549" s="16" t="s">
        <v>63</v>
      </c>
      <c r="D2549">
        <v>1</v>
      </c>
      <c r="E2549" s="16" t="s">
        <v>38</v>
      </c>
      <c r="F2549" s="18">
        <v>1956.5</v>
      </c>
      <c r="G2549" s="22">
        <v>91</v>
      </c>
      <c r="H2549" s="18">
        <v>4.6147400000000003</v>
      </c>
      <c r="I2549" s="18">
        <v>419.94134000000003</v>
      </c>
      <c r="J2549" s="18">
        <v>1536.5586599999999</v>
      </c>
      <c r="K2549" s="22">
        <v>0</v>
      </c>
      <c r="L2549" s="22" t="str">
        <f t="shared" si="39"/>
        <v>46143, 8, 1</v>
      </c>
    </row>
    <row r="2550" spans="1:12">
      <c r="A2550" s="9">
        <v>46143</v>
      </c>
      <c r="B2550">
        <v>8</v>
      </c>
      <c r="C2550" s="16" t="s">
        <v>63</v>
      </c>
      <c r="D2550">
        <v>2</v>
      </c>
      <c r="E2550" s="16" t="s">
        <v>40</v>
      </c>
      <c r="F2550" s="18">
        <v>2064</v>
      </c>
      <c r="G2550" s="22">
        <v>86</v>
      </c>
      <c r="H2550" s="18">
        <v>7.7522048110909001</v>
      </c>
      <c r="I2550" s="18">
        <v>666.68961375381798</v>
      </c>
      <c r="J2550" s="18">
        <v>1397.3103862461801</v>
      </c>
      <c r="K2550" s="22">
        <v>0</v>
      </c>
      <c r="L2550" s="22" t="str">
        <f t="shared" si="39"/>
        <v>46143, 8, 2</v>
      </c>
    </row>
    <row r="2551" spans="1:12">
      <c r="A2551" s="9">
        <v>46143</v>
      </c>
      <c r="B2551">
        <v>8</v>
      </c>
      <c r="C2551" s="16" t="s">
        <v>63</v>
      </c>
      <c r="D2551">
        <v>3</v>
      </c>
      <c r="E2551" s="16" t="s">
        <v>41</v>
      </c>
      <c r="F2551" s="18">
        <v>950</v>
      </c>
      <c r="G2551" s="22">
        <v>38</v>
      </c>
      <c r="H2551" s="18">
        <v>3.73079955044444</v>
      </c>
      <c r="I2551" s="18">
        <v>141.770382916888</v>
      </c>
      <c r="J2551" s="18">
        <v>808.22961708311095</v>
      </c>
      <c r="K2551" s="22">
        <v>0</v>
      </c>
      <c r="L2551" s="22" t="str">
        <f t="shared" si="39"/>
        <v>46143, 8, 3</v>
      </c>
    </row>
    <row r="2552" spans="1:12">
      <c r="A2552" s="9">
        <v>46143</v>
      </c>
      <c r="B2552">
        <v>8</v>
      </c>
      <c r="C2552" s="16" t="s">
        <v>63</v>
      </c>
      <c r="D2552">
        <v>4</v>
      </c>
      <c r="E2552" s="16" t="s">
        <v>42</v>
      </c>
      <c r="F2552" s="18">
        <v>1291.5</v>
      </c>
      <c r="G2552" s="22">
        <v>63</v>
      </c>
      <c r="H2552" s="18">
        <v>7.7790747485000002</v>
      </c>
      <c r="I2552" s="18">
        <v>490.08170915549999</v>
      </c>
      <c r="J2552" s="18">
        <v>801.41829084450001</v>
      </c>
      <c r="K2552" s="22">
        <v>0</v>
      </c>
      <c r="L2552" s="22" t="str">
        <f t="shared" si="39"/>
        <v>46143, 8, 4</v>
      </c>
    </row>
    <row r="2553" spans="1:12">
      <c r="A2553" s="9">
        <v>46143</v>
      </c>
      <c r="B2553">
        <v>8</v>
      </c>
      <c r="C2553" s="16" t="s">
        <v>63</v>
      </c>
      <c r="D2553">
        <v>5</v>
      </c>
      <c r="E2553" s="16" t="s">
        <v>43</v>
      </c>
      <c r="F2553" s="18">
        <v>693</v>
      </c>
      <c r="G2553" s="22">
        <v>33</v>
      </c>
      <c r="H2553" s="18">
        <v>6.6243014705882297</v>
      </c>
      <c r="I2553" s="18">
        <v>218.601948529411</v>
      </c>
      <c r="J2553" s="18">
        <v>474.39805147058797</v>
      </c>
      <c r="K2553" s="22">
        <v>0</v>
      </c>
      <c r="L2553" s="22" t="str">
        <f t="shared" si="39"/>
        <v>46143, 8, 5</v>
      </c>
    </row>
    <row r="2554" spans="1:12">
      <c r="A2554" s="9">
        <v>46143</v>
      </c>
      <c r="B2554">
        <v>8</v>
      </c>
      <c r="C2554" s="16" t="s">
        <v>63</v>
      </c>
      <c r="D2554">
        <v>6</v>
      </c>
      <c r="E2554" s="16" t="s">
        <v>44</v>
      </c>
      <c r="F2554" s="18">
        <v>1215</v>
      </c>
      <c r="G2554" s="22">
        <v>54</v>
      </c>
      <c r="H2554" s="18">
        <v>5.4114479949499996</v>
      </c>
      <c r="I2554" s="18">
        <v>292.2181917273</v>
      </c>
      <c r="J2554" s="18">
        <v>922.7818082727</v>
      </c>
      <c r="K2554" s="22">
        <v>0</v>
      </c>
      <c r="L2554" s="22" t="str">
        <f t="shared" si="39"/>
        <v>46143, 8, 6</v>
      </c>
    </row>
    <row r="2555" spans="1:12">
      <c r="A2555" s="9">
        <v>46143</v>
      </c>
      <c r="B2555">
        <v>8</v>
      </c>
      <c r="C2555" s="16" t="s">
        <v>63</v>
      </c>
      <c r="D2555">
        <v>7</v>
      </c>
      <c r="E2555" s="16" t="s">
        <v>45</v>
      </c>
      <c r="F2555" s="18">
        <v>829.5</v>
      </c>
      <c r="G2555" s="22">
        <v>79</v>
      </c>
      <c r="H2555" s="18">
        <v>3.0951271646153802</v>
      </c>
      <c r="I2555" s="18">
        <v>244.51504600461499</v>
      </c>
      <c r="J2555" s="18">
        <v>584.98495399538399</v>
      </c>
      <c r="K2555" s="22">
        <v>0</v>
      </c>
      <c r="L2555" s="22" t="str">
        <f t="shared" si="39"/>
        <v>46143, 8, 7</v>
      </c>
    </row>
    <row r="2556" spans="1:12">
      <c r="A2556" s="9">
        <v>46143</v>
      </c>
      <c r="B2556">
        <v>8</v>
      </c>
      <c r="C2556" s="16" t="s">
        <v>63</v>
      </c>
      <c r="D2556">
        <v>8</v>
      </c>
      <c r="E2556" s="16" t="s">
        <v>46</v>
      </c>
      <c r="F2556" s="18">
        <v>384</v>
      </c>
      <c r="G2556" s="22">
        <v>32</v>
      </c>
      <c r="H2556" s="18">
        <v>0.74783510606060599</v>
      </c>
      <c r="I2556" s="18">
        <v>23.930723393939299</v>
      </c>
      <c r="J2556" s="18">
        <v>360.06927660605999</v>
      </c>
      <c r="K2556" s="22">
        <v>0</v>
      </c>
      <c r="L2556" s="22" t="str">
        <f t="shared" si="39"/>
        <v>46143, 8, 8</v>
      </c>
    </row>
    <row r="2557" spans="1:12">
      <c r="A2557" s="9">
        <v>46143</v>
      </c>
      <c r="B2557">
        <v>8</v>
      </c>
      <c r="C2557" s="16" t="s">
        <v>63</v>
      </c>
      <c r="D2557">
        <v>9</v>
      </c>
      <c r="E2557" s="16" t="s">
        <v>47</v>
      </c>
      <c r="F2557" s="18">
        <v>727.5</v>
      </c>
      <c r="G2557" s="22">
        <v>15</v>
      </c>
      <c r="H2557" s="18">
        <v>20.143143025007198</v>
      </c>
      <c r="I2557" s="18">
        <v>302.14714537510901</v>
      </c>
      <c r="J2557" s="18">
        <v>425.35285462489003</v>
      </c>
      <c r="K2557" s="22">
        <v>0</v>
      </c>
      <c r="L2557" s="22" t="str">
        <f t="shared" si="39"/>
        <v>46143, 8, 9</v>
      </c>
    </row>
    <row r="2558" spans="1:12">
      <c r="A2558" s="9">
        <v>46143</v>
      </c>
      <c r="B2558">
        <v>8</v>
      </c>
      <c r="C2558" s="16" t="s">
        <v>63</v>
      </c>
      <c r="D2558">
        <v>10</v>
      </c>
      <c r="E2558" s="16" t="s">
        <v>57</v>
      </c>
      <c r="F2558" s="18">
        <v>574</v>
      </c>
      <c r="G2558" s="22">
        <v>41</v>
      </c>
      <c r="H2558" s="18">
        <v>1.9652831922</v>
      </c>
      <c r="I2558" s="18">
        <v>80.576610880199993</v>
      </c>
      <c r="J2558" s="18">
        <v>493.42338911979999</v>
      </c>
      <c r="K2558" s="22">
        <v>0</v>
      </c>
      <c r="L2558" s="22" t="str">
        <f t="shared" si="39"/>
        <v>46143, 8, 10</v>
      </c>
    </row>
    <row r="2559" spans="1:12">
      <c r="A2559" s="9">
        <v>46143</v>
      </c>
      <c r="B2559">
        <v>8</v>
      </c>
      <c r="C2559" s="16" t="s">
        <v>63</v>
      </c>
      <c r="D2559">
        <v>11</v>
      </c>
      <c r="E2559" s="16" t="s">
        <v>48</v>
      </c>
      <c r="F2559" s="18">
        <v>1344</v>
      </c>
      <c r="G2559" s="22">
        <v>64</v>
      </c>
      <c r="H2559" s="18">
        <v>2.22997221875</v>
      </c>
      <c r="I2559" s="18">
        <v>142.718222</v>
      </c>
      <c r="J2559" s="18">
        <v>1201.281778</v>
      </c>
      <c r="K2559" s="22">
        <v>0</v>
      </c>
      <c r="L2559" s="22" t="str">
        <f t="shared" si="39"/>
        <v>46143, 8, 11</v>
      </c>
    </row>
    <row r="2560" spans="1:12">
      <c r="A2560" s="9">
        <v>46143</v>
      </c>
      <c r="B2560">
        <v>8</v>
      </c>
      <c r="C2560" s="16" t="s">
        <v>63</v>
      </c>
      <c r="D2560">
        <v>12</v>
      </c>
      <c r="E2560" s="16" t="s">
        <v>49</v>
      </c>
      <c r="F2560" s="18">
        <v>1999.5</v>
      </c>
      <c r="G2560" s="22">
        <v>93</v>
      </c>
      <c r="H2560" s="18">
        <v>2.7801914945999999</v>
      </c>
      <c r="I2560" s="18">
        <v>258.55780899780001</v>
      </c>
      <c r="J2560" s="18">
        <v>1740.9421910021999</v>
      </c>
      <c r="K2560" s="22">
        <v>0</v>
      </c>
      <c r="L2560" s="22" t="str">
        <f t="shared" si="39"/>
        <v>46143, 8, 12</v>
      </c>
    </row>
    <row r="2561" spans="1:12">
      <c r="A2561" s="9">
        <v>46143</v>
      </c>
      <c r="B2561">
        <v>8</v>
      </c>
      <c r="C2561" s="16" t="s">
        <v>63</v>
      </c>
      <c r="D2561">
        <v>13</v>
      </c>
      <c r="E2561" s="16" t="s">
        <v>50</v>
      </c>
      <c r="F2561" s="18">
        <v>1080</v>
      </c>
      <c r="G2561" s="22">
        <v>48</v>
      </c>
      <c r="H2561" s="18">
        <v>7.5659001176470504</v>
      </c>
      <c r="I2561" s="18">
        <v>363.16320564705802</v>
      </c>
      <c r="J2561" s="18">
        <v>716.83679435294096</v>
      </c>
      <c r="K2561" s="22">
        <v>0</v>
      </c>
      <c r="L2561" s="22" t="str">
        <f t="shared" si="39"/>
        <v>46143, 8, 13</v>
      </c>
    </row>
    <row r="2562" spans="1:12">
      <c r="A2562" s="9">
        <v>46143</v>
      </c>
      <c r="B2562">
        <v>8</v>
      </c>
      <c r="C2562" s="16" t="s">
        <v>63</v>
      </c>
      <c r="D2562">
        <v>14</v>
      </c>
      <c r="E2562" s="16" t="s">
        <v>51</v>
      </c>
      <c r="F2562" s="18">
        <v>550</v>
      </c>
      <c r="G2562" s="22">
        <v>20</v>
      </c>
      <c r="H2562" s="18">
        <v>5.0655349005416603</v>
      </c>
      <c r="I2562" s="18">
        <v>101.31069801083299</v>
      </c>
      <c r="J2562" s="18">
        <v>448.68930198916598</v>
      </c>
      <c r="K2562" s="22">
        <v>0</v>
      </c>
      <c r="L2562" s="22" t="str">
        <f t="shared" si="39"/>
        <v>46143, 8, 14</v>
      </c>
    </row>
    <row r="2563" spans="1:12">
      <c r="A2563" s="9">
        <v>46143</v>
      </c>
      <c r="B2563">
        <v>8</v>
      </c>
      <c r="C2563" s="16" t="s">
        <v>63</v>
      </c>
      <c r="D2563">
        <v>15</v>
      </c>
      <c r="E2563" s="16" t="s">
        <v>52</v>
      </c>
      <c r="F2563" s="18">
        <v>1440</v>
      </c>
      <c r="G2563" s="22">
        <v>60</v>
      </c>
      <c r="H2563" s="18">
        <v>2.9982968345000001</v>
      </c>
      <c r="I2563" s="18">
        <v>179.89781006999999</v>
      </c>
      <c r="J2563" s="18">
        <v>1260.1021899299999</v>
      </c>
      <c r="K2563" s="22">
        <v>0</v>
      </c>
      <c r="L2563" s="22" t="str">
        <f t="shared" ref="L2563:L2626" si="40">(A2563&amp; ", "&amp; B2563&amp; ", "&amp; D2563)</f>
        <v>46143, 8, 15</v>
      </c>
    </row>
    <row r="2564" spans="1:12">
      <c r="A2564" s="9">
        <v>46143</v>
      </c>
      <c r="B2564">
        <v>8</v>
      </c>
      <c r="C2564" s="16" t="s">
        <v>63</v>
      </c>
      <c r="D2564">
        <v>16</v>
      </c>
      <c r="E2564" s="16" t="s">
        <v>53</v>
      </c>
      <c r="F2564" s="18">
        <v>450</v>
      </c>
      <c r="G2564" s="22">
        <v>50</v>
      </c>
      <c r="H2564" s="18">
        <v>1.7447383774999901</v>
      </c>
      <c r="I2564" s="18">
        <v>87.236918874999901</v>
      </c>
      <c r="J2564" s="18">
        <v>362.76308112499999</v>
      </c>
      <c r="K2564" s="22">
        <v>0</v>
      </c>
      <c r="L2564" s="22" t="str">
        <f t="shared" si="40"/>
        <v>46143, 8, 16</v>
      </c>
    </row>
    <row r="2565" spans="1:12">
      <c r="A2565" s="9">
        <v>46143</v>
      </c>
      <c r="B2565">
        <v>8</v>
      </c>
      <c r="C2565" s="16" t="s">
        <v>63</v>
      </c>
      <c r="D2565">
        <v>17</v>
      </c>
      <c r="E2565" s="16" t="s">
        <v>54</v>
      </c>
      <c r="F2565" s="18">
        <v>450</v>
      </c>
      <c r="G2565" s="22">
        <v>60</v>
      </c>
      <c r="H2565" s="18">
        <v>1.541721828</v>
      </c>
      <c r="I2565" s="18">
        <v>92.503309680000001</v>
      </c>
      <c r="J2565" s="18">
        <v>357.49669032000003</v>
      </c>
      <c r="K2565" s="22">
        <v>0</v>
      </c>
      <c r="L2565" s="22" t="str">
        <f t="shared" si="40"/>
        <v>46143, 8, 17</v>
      </c>
    </row>
    <row r="2566" spans="1:12">
      <c r="A2566" s="9">
        <v>46143</v>
      </c>
      <c r="B2566">
        <v>8</v>
      </c>
      <c r="C2566" s="16" t="s">
        <v>63</v>
      </c>
      <c r="D2566">
        <v>18</v>
      </c>
      <c r="E2566" s="16" t="s">
        <v>55</v>
      </c>
      <c r="F2566" s="18">
        <v>874</v>
      </c>
      <c r="G2566" s="22">
        <v>38</v>
      </c>
      <c r="H2566" s="18">
        <v>6.3023804634375002</v>
      </c>
      <c r="I2566" s="18">
        <v>239.49045761062499</v>
      </c>
      <c r="J2566" s="18">
        <v>634.50954238937504</v>
      </c>
      <c r="K2566" s="22">
        <v>0</v>
      </c>
      <c r="L2566" s="22" t="str">
        <f t="shared" si="40"/>
        <v>46143, 8, 18</v>
      </c>
    </row>
    <row r="2567" spans="1:12">
      <c r="A2567" s="9">
        <v>46174</v>
      </c>
      <c r="B2567">
        <v>8</v>
      </c>
      <c r="C2567" s="16" t="s">
        <v>63</v>
      </c>
      <c r="D2567">
        <v>1</v>
      </c>
      <c r="E2567" s="16" t="s">
        <v>38</v>
      </c>
      <c r="F2567" s="18">
        <v>1483.5</v>
      </c>
      <c r="G2567" s="22">
        <v>69</v>
      </c>
      <c r="H2567" s="18">
        <v>4.5705112678571398</v>
      </c>
      <c r="I2567" s="18">
        <v>315.36527748214201</v>
      </c>
      <c r="J2567" s="18">
        <v>1168.1347225178499</v>
      </c>
      <c r="K2567" s="22">
        <v>0</v>
      </c>
      <c r="L2567" s="22" t="str">
        <f t="shared" si="40"/>
        <v>46174, 8, 1</v>
      </c>
    </row>
    <row r="2568" spans="1:12">
      <c r="A2568" s="9">
        <v>46174</v>
      </c>
      <c r="B2568">
        <v>8</v>
      </c>
      <c r="C2568" s="16" t="s">
        <v>63</v>
      </c>
      <c r="D2568">
        <v>2</v>
      </c>
      <c r="E2568" s="16" t="s">
        <v>40</v>
      </c>
      <c r="F2568" s="18">
        <v>1656</v>
      </c>
      <c r="G2568" s="22">
        <v>69</v>
      </c>
      <c r="H2568" s="18">
        <v>7.7139127375000003</v>
      </c>
      <c r="I2568" s="18">
        <v>532.25997888749998</v>
      </c>
      <c r="J2568" s="18">
        <v>1123.7400211125</v>
      </c>
      <c r="K2568" s="22">
        <v>0</v>
      </c>
      <c r="L2568" s="22" t="str">
        <f t="shared" si="40"/>
        <v>46174, 8, 2</v>
      </c>
    </row>
    <row r="2569" spans="1:12">
      <c r="A2569" s="9">
        <v>46174</v>
      </c>
      <c r="B2569">
        <v>8</v>
      </c>
      <c r="C2569" s="16" t="s">
        <v>63</v>
      </c>
      <c r="D2569">
        <v>3</v>
      </c>
      <c r="E2569" s="16" t="s">
        <v>41</v>
      </c>
      <c r="F2569" s="18">
        <v>725</v>
      </c>
      <c r="G2569" s="22">
        <v>29</v>
      </c>
      <c r="H2569" s="18">
        <v>3.7601190973333298</v>
      </c>
      <c r="I2569" s="18">
        <v>109.043453822666</v>
      </c>
      <c r="J2569" s="18">
        <v>615.95654617733305</v>
      </c>
      <c r="K2569" s="22">
        <v>0</v>
      </c>
      <c r="L2569" s="22" t="str">
        <f t="shared" si="40"/>
        <v>46174, 8, 3</v>
      </c>
    </row>
    <row r="2570" spans="1:12">
      <c r="A2570" s="9">
        <v>46174</v>
      </c>
      <c r="B2570">
        <v>8</v>
      </c>
      <c r="C2570" s="16" t="s">
        <v>63</v>
      </c>
      <c r="D2570">
        <v>4</v>
      </c>
      <c r="E2570" s="16" t="s">
        <v>42</v>
      </c>
      <c r="F2570" s="18">
        <v>1025</v>
      </c>
      <c r="G2570" s="22">
        <v>50</v>
      </c>
      <c r="H2570" s="18">
        <v>7.6515891873999999</v>
      </c>
      <c r="I2570" s="18">
        <v>382.57945937</v>
      </c>
      <c r="J2570" s="18">
        <v>642.42054063</v>
      </c>
      <c r="K2570" s="22">
        <v>0</v>
      </c>
      <c r="L2570" s="22" t="str">
        <f t="shared" si="40"/>
        <v>46174, 8, 4</v>
      </c>
    </row>
    <row r="2571" spans="1:12">
      <c r="A2571" s="9">
        <v>46174</v>
      </c>
      <c r="B2571">
        <v>8</v>
      </c>
      <c r="C2571" s="16" t="s">
        <v>63</v>
      </c>
      <c r="D2571">
        <v>5</v>
      </c>
      <c r="E2571" s="16" t="s">
        <v>43</v>
      </c>
      <c r="F2571" s="18">
        <v>399</v>
      </c>
      <c r="G2571" s="22">
        <v>19</v>
      </c>
      <c r="H2571" s="18">
        <v>6.3980833333333296</v>
      </c>
      <c r="I2571" s="18">
        <v>121.563583333333</v>
      </c>
      <c r="J2571" s="18">
        <v>277.43641666666599</v>
      </c>
      <c r="K2571" s="22">
        <v>0</v>
      </c>
      <c r="L2571" s="22" t="str">
        <f t="shared" si="40"/>
        <v>46174, 8, 5</v>
      </c>
    </row>
    <row r="2572" spans="1:12">
      <c r="A2572" s="9">
        <v>46174</v>
      </c>
      <c r="B2572">
        <v>8</v>
      </c>
      <c r="C2572" s="16" t="s">
        <v>63</v>
      </c>
      <c r="D2572">
        <v>6</v>
      </c>
      <c r="E2572" s="16" t="s">
        <v>44</v>
      </c>
      <c r="F2572" s="18">
        <v>765</v>
      </c>
      <c r="G2572" s="22">
        <v>34</v>
      </c>
      <c r="H2572" s="18">
        <v>5.374068603375</v>
      </c>
      <c r="I2572" s="18">
        <v>182.71833251474999</v>
      </c>
      <c r="J2572" s="18">
        <v>582.28166748524995</v>
      </c>
      <c r="K2572" s="22">
        <v>0</v>
      </c>
      <c r="L2572" s="22" t="str">
        <f t="shared" si="40"/>
        <v>46174, 8, 6</v>
      </c>
    </row>
    <row r="2573" spans="1:12">
      <c r="A2573" s="9">
        <v>46174</v>
      </c>
      <c r="B2573">
        <v>8</v>
      </c>
      <c r="C2573" s="16" t="s">
        <v>63</v>
      </c>
      <c r="D2573">
        <v>7</v>
      </c>
      <c r="E2573" s="16" t="s">
        <v>45</v>
      </c>
      <c r="F2573" s="18">
        <v>483</v>
      </c>
      <c r="G2573" s="22">
        <v>46</v>
      </c>
      <c r="H2573" s="18">
        <v>3.0967058343749998</v>
      </c>
      <c r="I2573" s="18">
        <v>142.44846838125</v>
      </c>
      <c r="J2573" s="18">
        <v>340.55153161875</v>
      </c>
      <c r="K2573" s="22">
        <v>0</v>
      </c>
      <c r="L2573" s="22" t="str">
        <f t="shared" si="40"/>
        <v>46174, 8, 7</v>
      </c>
    </row>
    <row r="2574" spans="1:12">
      <c r="A2574" s="9">
        <v>46174</v>
      </c>
      <c r="B2574">
        <v>8</v>
      </c>
      <c r="C2574" s="16" t="s">
        <v>63</v>
      </c>
      <c r="D2574">
        <v>8</v>
      </c>
      <c r="E2574" s="16" t="s">
        <v>46</v>
      </c>
      <c r="F2574" s="18">
        <v>456</v>
      </c>
      <c r="G2574" s="22">
        <v>38</v>
      </c>
      <c r="H2574" s="18">
        <v>0.74690420472222196</v>
      </c>
      <c r="I2574" s="18">
        <v>28.3823597794444</v>
      </c>
      <c r="J2574" s="18">
        <v>427.61764022055502</v>
      </c>
      <c r="K2574" s="22">
        <v>0</v>
      </c>
      <c r="L2574" s="22" t="str">
        <f t="shared" si="40"/>
        <v>46174, 8, 8</v>
      </c>
    </row>
    <row r="2575" spans="1:12">
      <c r="A2575" s="9">
        <v>46174</v>
      </c>
      <c r="B2575">
        <v>8</v>
      </c>
      <c r="C2575" s="16" t="s">
        <v>63</v>
      </c>
      <c r="D2575">
        <v>9</v>
      </c>
      <c r="E2575" s="16" t="s">
        <v>47</v>
      </c>
      <c r="F2575" s="18">
        <v>776</v>
      </c>
      <c r="G2575" s="22">
        <v>16</v>
      </c>
      <c r="H2575" s="18">
        <v>19.970337554850001</v>
      </c>
      <c r="I2575" s="18">
        <v>319.52540087760002</v>
      </c>
      <c r="J2575" s="18">
        <v>456.47459912239998</v>
      </c>
      <c r="K2575" s="22">
        <v>0</v>
      </c>
      <c r="L2575" s="22" t="str">
        <f t="shared" si="40"/>
        <v>46174, 8, 9</v>
      </c>
    </row>
    <row r="2576" spans="1:12">
      <c r="A2576" s="9">
        <v>46174</v>
      </c>
      <c r="B2576">
        <v>8</v>
      </c>
      <c r="C2576" s="16" t="s">
        <v>63</v>
      </c>
      <c r="D2576">
        <v>10</v>
      </c>
      <c r="E2576" s="16" t="s">
        <v>57</v>
      </c>
      <c r="F2576" s="18">
        <v>588</v>
      </c>
      <c r="G2576" s="22">
        <v>42</v>
      </c>
      <c r="H2576" s="18">
        <v>1.88409435514</v>
      </c>
      <c r="I2576" s="18">
        <v>79.131962915879996</v>
      </c>
      <c r="J2576" s="18">
        <v>508.86803708411998</v>
      </c>
      <c r="K2576" s="22">
        <v>0</v>
      </c>
      <c r="L2576" s="22" t="str">
        <f t="shared" si="40"/>
        <v>46174, 8, 10</v>
      </c>
    </row>
    <row r="2577" spans="1:12">
      <c r="A2577" s="9">
        <v>46174</v>
      </c>
      <c r="B2577">
        <v>8</v>
      </c>
      <c r="C2577" s="16" t="s">
        <v>63</v>
      </c>
      <c r="D2577">
        <v>11</v>
      </c>
      <c r="E2577" s="16" t="s">
        <v>48</v>
      </c>
      <c r="F2577" s="18">
        <v>1071</v>
      </c>
      <c r="G2577" s="22">
        <v>51</v>
      </c>
      <c r="H2577" s="18">
        <v>2.2254476749999998</v>
      </c>
      <c r="I2577" s="18">
        <v>113.497831425</v>
      </c>
      <c r="J2577" s="18">
        <v>957.50216857500004</v>
      </c>
      <c r="K2577" s="22">
        <v>0</v>
      </c>
      <c r="L2577" s="22" t="str">
        <f t="shared" si="40"/>
        <v>46174, 8, 11</v>
      </c>
    </row>
    <row r="2578" spans="1:12">
      <c r="A2578" s="9">
        <v>46174</v>
      </c>
      <c r="B2578">
        <v>8</v>
      </c>
      <c r="C2578" s="16" t="s">
        <v>63</v>
      </c>
      <c r="D2578">
        <v>12</v>
      </c>
      <c r="E2578" s="16" t="s">
        <v>49</v>
      </c>
      <c r="F2578" s="18">
        <v>1677</v>
      </c>
      <c r="G2578" s="22">
        <v>78</v>
      </c>
      <c r="H2578" s="18">
        <v>2.7615941152692298</v>
      </c>
      <c r="I2578" s="18">
        <v>215.404340990999</v>
      </c>
      <c r="J2578" s="18">
        <v>1461.595659009</v>
      </c>
      <c r="K2578" s="22">
        <v>0</v>
      </c>
      <c r="L2578" s="22" t="str">
        <f t="shared" si="40"/>
        <v>46174, 8, 12</v>
      </c>
    </row>
    <row r="2579" spans="1:12">
      <c r="A2579" s="9">
        <v>46174</v>
      </c>
      <c r="B2579">
        <v>8</v>
      </c>
      <c r="C2579" s="16" t="s">
        <v>63</v>
      </c>
      <c r="D2579">
        <v>13</v>
      </c>
      <c r="E2579" s="16" t="s">
        <v>50</v>
      </c>
      <c r="F2579" s="18">
        <v>922.5</v>
      </c>
      <c r="G2579" s="22">
        <v>41</v>
      </c>
      <c r="H2579" s="18">
        <v>7.5423054444444402</v>
      </c>
      <c r="I2579" s="18">
        <v>309.23452322222198</v>
      </c>
      <c r="J2579" s="18">
        <v>613.26547677777705</v>
      </c>
      <c r="K2579" s="22">
        <v>0</v>
      </c>
      <c r="L2579" s="22" t="str">
        <f t="shared" si="40"/>
        <v>46174, 8, 13</v>
      </c>
    </row>
    <row r="2580" spans="1:12">
      <c r="A2580" s="9">
        <v>46174</v>
      </c>
      <c r="B2580">
        <v>8</v>
      </c>
      <c r="C2580" s="16" t="s">
        <v>63</v>
      </c>
      <c r="D2580">
        <v>14</v>
      </c>
      <c r="E2580" s="16" t="s">
        <v>51</v>
      </c>
      <c r="F2580" s="18">
        <v>467.5</v>
      </c>
      <c r="G2580" s="22">
        <v>17</v>
      </c>
      <c r="H2580" s="18">
        <v>5.0635131077916604</v>
      </c>
      <c r="I2580" s="18">
        <v>86.079722832458302</v>
      </c>
      <c r="J2580" s="18">
        <v>381.42027716754097</v>
      </c>
      <c r="K2580" s="22">
        <v>0</v>
      </c>
      <c r="L2580" s="22" t="str">
        <f t="shared" si="40"/>
        <v>46174, 8, 14</v>
      </c>
    </row>
    <row r="2581" spans="1:12">
      <c r="A2581" s="9">
        <v>46174</v>
      </c>
      <c r="B2581">
        <v>8</v>
      </c>
      <c r="C2581" s="16" t="s">
        <v>63</v>
      </c>
      <c r="D2581">
        <v>15</v>
      </c>
      <c r="E2581" s="16" t="s">
        <v>52</v>
      </c>
      <c r="F2581" s="18">
        <v>1320</v>
      </c>
      <c r="G2581" s="22">
        <v>55</v>
      </c>
      <c r="H2581" s="18">
        <v>2.9977866086153799</v>
      </c>
      <c r="I2581" s="18">
        <v>164.878263473846</v>
      </c>
      <c r="J2581" s="18">
        <v>1155.12173652615</v>
      </c>
      <c r="K2581" s="22">
        <v>0</v>
      </c>
      <c r="L2581" s="22" t="str">
        <f t="shared" si="40"/>
        <v>46174, 8, 15</v>
      </c>
    </row>
    <row r="2582" spans="1:12">
      <c r="A2582" s="9">
        <v>46174</v>
      </c>
      <c r="B2582">
        <v>8</v>
      </c>
      <c r="C2582" s="16" t="s">
        <v>63</v>
      </c>
      <c r="D2582">
        <v>16</v>
      </c>
      <c r="E2582" s="16" t="s">
        <v>53</v>
      </c>
      <c r="F2582" s="18">
        <v>288</v>
      </c>
      <c r="G2582" s="22">
        <v>32</v>
      </c>
      <c r="H2582" s="18">
        <v>1.74944145636363</v>
      </c>
      <c r="I2582" s="18">
        <v>55.982126603636303</v>
      </c>
      <c r="J2582" s="18">
        <v>232.017873396363</v>
      </c>
      <c r="K2582" s="22">
        <v>0</v>
      </c>
      <c r="L2582" s="22" t="str">
        <f t="shared" si="40"/>
        <v>46174, 8, 16</v>
      </c>
    </row>
    <row r="2583" spans="1:12">
      <c r="A2583" s="9">
        <v>46174</v>
      </c>
      <c r="B2583">
        <v>8</v>
      </c>
      <c r="C2583" s="16" t="s">
        <v>63</v>
      </c>
      <c r="D2583">
        <v>17</v>
      </c>
      <c r="E2583" s="16" t="s">
        <v>54</v>
      </c>
      <c r="F2583" s="18">
        <v>510</v>
      </c>
      <c r="G2583" s="22">
        <v>68</v>
      </c>
      <c r="H2583" s="18">
        <v>1.5534256795000001</v>
      </c>
      <c r="I2583" s="18">
        <v>105.632946206</v>
      </c>
      <c r="J2583" s="18">
        <v>404.36705379400001</v>
      </c>
      <c r="K2583" s="22">
        <v>0</v>
      </c>
      <c r="L2583" s="22" t="str">
        <f t="shared" si="40"/>
        <v>46174, 8, 17</v>
      </c>
    </row>
    <row r="2584" spans="1:12">
      <c r="A2584" s="9">
        <v>46174</v>
      </c>
      <c r="B2584">
        <v>8</v>
      </c>
      <c r="C2584" s="16" t="s">
        <v>63</v>
      </c>
      <c r="D2584">
        <v>18</v>
      </c>
      <c r="E2584" s="16" t="s">
        <v>55</v>
      </c>
      <c r="F2584" s="18">
        <v>1150</v>
      </c>
      <c r="G2584" s="22">
        <v>50</v>
      </c>
      <c r="H2584" s="18">
        <v>6.3050459746346101</v>
      </c>
      <c r="I2584" s="18">
        <v>315.25229873172998</v>
      </c>
      <c r="J2584" s="18">
        <v>834.747701268269</v>
      </c>
      <c r="K2584" s="22">
        <v>0</v>
      </c>
      <c r="L2584" s="22" t="str">
        <f t="shared" si="40"/>
        <v>46174, 8, 18</v>
      </c>
    </row>
    <row r="2585" spans="1:12">
      <c r="A2585" s="9">
        <v>46204</v>
      </c>
      <c r="B2585">
        <v>8</v>
      </c>
      <c r="C2585" s="16" t="s">
        <v>63</v>
      </c>
      <c r="D2585">
        <v>1</v>
      </c>
      <c r="E2585" s="16" t="s">
        <v>38</v>
      </c>
      <c r="F2585" s="18">
        <v>1935</v>
      </c>
      <c r="G2585" s="22">
        <v>90</v>
      </c>
      <c r="H2585" s="18">
        <v>4.6726458653846104</v>
      </c>
      <c r="I2585" s="18">
        <v>420.53812788461499</v>
      </c>
      <c r="J2585" s="18">
        <v>1514.4618721153799</v>
      </c>
      <c r="K2585" s="22">
        <v>0</v>
      </c>
      <c r="L2585" s="22" t="str">
        <f t="shared" si="40"/>
        <v>46204, 8, 1</v>
      </c>
    </row>
    <row r="2586" spans="1:12">
      <c r="A2586" s="9">
        <v>46204</v>
      </c>
      <c r="B2586">
        <v>8</v>
      </c>
      <c r="C2586" s="16" t="s">
        <v>63</v>
      </c>
      <c r="D2586">
        <v>2</v>
      </c>
      <c r="E2586" s="16" t="s">
        <v>40</v>
      </c>
      <c r="F2586" s="18">
        <v>2064</v>
      </c>
      <c r="G2586" s="22">
        <v>86</v>
      </c>
      <c r="H2586" s="18">
        <v>7.7442987870908997</v>
      </c>
      <c r="I2586" s="18">
        <v>666.00969568981805</v>
      </c>
      <c r="J2586" s="18">
        <v>1397.9903043101799</v>
      </c>
      <c r="K2586" s="22">
        <v>0</v>
      </c>
      <c r="L2586" s="22" t="str">
        <f t="shared" si="40"/>
        <v>46204, 8, 2</v>
      </c>
    </row>
    <row r="2587" spans="1:12">
      <c r="A2587" s="9">
        <v>46204</v>
      </c>
      <c r="B2587">
        <v>8</v>
      </c>
      <c r="C2587" s="16" t="s">
        <v>63</v>
      </c>
      <c r="D2587">
        <v>3</v>
      </c>
      <c r="E2587" s="16" t="s">
        <v>41</v>
      </c>
      <c r="F2587" s="18">
        <v>650</v>
      </c>
      <c r="G2587" s="22">
        <v>26</v>
      </c>
      <c r="H2587" s="18">
        <v>3.76453863890909</v>
      </c>
      <c r="I2587" s="18">
        <v>97.8780046116363</v>
      </c>
      <c r="J2587" s="18">
        <v>552.12199538836296</v>
      </c>
      <c r="K2587" s="22">
        <v>0</v>
      </c>
      <c r="L2587" s="22" t="str">
        <f t="shared" si="40"/>
        <v>46204, 8, 3</v>
      </c>
    </row>
    <row r="2588" spans="1:12">
      <c r="A2588" s="9">
        <v>46204</v>
      </c>
      <c r="B2588">
        <v>8</v>
      </c>
      <c r="C2588" s="16" t="s">
        <v>63</v>
      </c>
      <c r="D2588">
        <v>4</v>
      </c>
      <c r="E2588" s="16" t="s">
        <v>42</v>
      </c>
      <c r="F2588" s="18">
        <v>1107</v>
      </c>
      <c r="G2588" s="22">
        <v>54</v>
      </c>
      <c r="H2588" s="18">
        <v>7.6248957404000004</v>
      </c>
      <c r="I2588" s="18">
        <v>411.74436998160002</v>
      </c>
      <c r="J2588" s="18">
        <v>695.25563001839998</v>
      </c>
      <c r="K2588" s="22">
        <v>0</v>
      </c>
      <c r="L2588" s="22" t="str">
        <f t="shared" si="40"/>
        <v>46204, 8, 4</v>
      </c>
    </row>
    <row r="2589" spans="1:12">
      <c r="A2589" s="9">
        <v>46204</v>
      </c>
      <c r="B2589">
        <v>8</v>
      </c>
      <c r="C2589" s="16" t="s">
        <v>63</v>
      </c>
      <c r="D2589">
        <v>5</v>
      </c>
      <c r="E2589" s="16" t="s">
        <v>43</v>
      </c>
      <c r="F2589" s="18">
        <v>651</v>
      </c>
      <c r="G2589" s="22">
        <v>31</v>
      </c>
      <c r="H2589" s="18">
        <v>6.4406944444444401</v>
      </c>
      <c r="I2589" s="18">
        <v>199.661527777777</v>
      </c>
      <c r="J2589" s="18">
        <v>451.33847222222198</v>
      </c>
      <c r="K2589" s="22">
        <v>0</v>
      </c>
      <c r="L2589" s="22" t="str">
        <f t="shared" si="40"/>
        <v>46204, 8, 5</v>
      </c>
    </row>
    <row r="2590" spans="1:12">
      <c r="A2590" s="9">
        <v>46204</v>
      </c>
      <c r="B2590">
        <v>8</v>
      </c>
      <c r="C2590" s="16" t="s">
        <v>63</v>
      </c>
      <c r="D2590">
        <v>6</v>
      </c>
      <c r="E2590" s="16" t="s">
        <v>44</v>
      </c>
      <c r="F2590" s="18">
        <v>1125</v>
      </c>
      <c r="G2590" s="22">
        <v>50</v>
      </c>
      <c r="H2590" s="18">
        <v>5.4479582634545398</v>
      </c>
      <c r="I2590" s="18">
        <v>272.39791317272699</v>
      </c>
      <c r="J2590" s="18">
        <v>852.60208682727205</v>
      </c>
      <c r="K2590" s="22">
        <v>0</v>
      </c>
      <c r="L2590" s="22" t="str">
        <f t="shared" si="40"/>
        <v>46204, 8, 6</v>
      </c>
    </row>
    <row r="2591" spans="1:12">
      <c r="A2591" s="9">
        <v>46204</v>
      </c>
      <c r="B2591">
        <v>8</v>
      </c>
      <c r="C2591" s="16" t="s">
        <v>63</v>
      </c>
      <c r="D2591">
        <v>7</v>
      </c>
      <c r="E2591" s="16" t="s">
        <v>45</v>
      </c>
      <c r="F2591" s="18">
        <v>619.5</v>
      </c>
      <c r="G2591" s="22">
        <v>59</v>
      </c>
      <c r="H2591" s="18">
        <v>3.0883027808333301</v>
      </c>
      <c r="I2591" s="18">
        <v>182.209864069166</v>
      </c>
      <c r="J2591" s="18">
        <v>437.290135930833</v>
      </c>
      <c r="K2591" s="22">
        <v>0</v>
      </c>
      <c r="L2591" s="22" t="str">
        <f t="shared" si="40"/>
        <v>46204, 8, 7</v>
      </c>
    </row>
    <row r="2592" spans="1:12">
      <c r="A2592" s="9">
        <v>46204</v>
      </c>
      <c r="B2592">
        <v>8</v>
      </c>
      <c r="C2592" s="16" t="s">
        <v>63</v>
      </c>
      <c r="D2592">
        <v>8</v>
      </c>
      <c r="E2592" s="16" t="s">
        <v>46</v>
      </c>
      <c r="F2592" s="18">
        <v>336</v>
      </c>
      <c r="G2592" s="22">
        <v>28</v>
      </c>
      <c r="H2592" s="18">
        <v>0.705330843636363</v>
      </c>
      <c r="I2592" s="18">
        <v>19.749263621818098</v>
      </c>
      <c r="J2592" s="18">
        <v>316.25073637818099</v>
      </c>
      <c r="K2592" s="22">
        <v>0</v>
      </c>
      <c r="L2592" s="22" t="str">
        <f t="shared" si="40"/>
        <v>46204, 8, 8</v>
      </c>
    </row>
    <row r="2593" spans="1:12">
      <c r="A2593" s="9">
        <v>46204</v>
      </c>
      <c r="B2593">
        <v>8</v>
      </c>
      <c r="C2593" s="16" t="s">
        <v>63</v>
      </c>
      <c r="D2593">
        <v>9</v>
      </c>
      <c r="E2593" s="16" t="s">
        <v>47</v>
      </c>
      <c r="F2593" s="18">
        <v>339.5</v>
      </c>
      <c r="G2593" s="22">
        <v>7</v>
      </c>
      <c r="H2593" s="18">
        <v>19.9083050373989</v>
      </c>
      <c r="I2593" s="18">
        <v>139.358135261792</v>
      </c>
      <c r="J2593" s="18">
        <v>200.141864738207</v>
      </c>
      <c r="K2593" s="22">
        <v>0</v>
      </c>
      <c r="L2593" s="22" t="str">
        <f t="shared" si="40"/>
        <v>46204, 8, 9</v>
      </c>
    </row>
    <row r="2594" spans="1:12">
      <c r="A2594" s="9">
        <v>46204</v>
      </c>
      <c r="B2594">
        <v>8</v>
      </c>
      <c r="C2594" s="16" t="s">
        <v>63</v>
      </c>
      <c r="D2594">
        <v>10</v>
      </c>
      <c r="E2594" s="16" t="s">
        <v>57</v>
      </c>
      <c r="F2594" s="18">
        <v>672</v>
      </c>
      <c r="G2594" s="22">
        <v>48</v>
      </c>
      <c r="H2594" s="18">
        <v>1.8302280661999999</v>
      </c>
      <c r="I2594" s="18">
        <v>87.850947177600005</v>
      </c>
      <c r="J2594" s="18">
        <v>584.14905282239999</v>
      </c>
      <c r="K2594" s="22">
        <v>0</v>
      </c>
      <c r="L2594" s="22" t="str">
        <f t="shared" si="40"/>
        <v>46204, 8, 10</v>
      </c>
    </row>
    <row r="2595" spans="1:12">
      <c r="A2595" s="9">
        <v>46204</v>
      </c>
      <c r="B2595">
        <v>8</v>
      </c>
      <c r="C2595" s="16" t="s">
        <v>63</v>
      </c>
      <c r="D2595">
        <v>11</v>
      </c>
      <c r="E2595" s="16" t="s">
        <v>48</v>
      </c>
      <c r="F2595" s="18">
        <v>2121</v>
      </c>
      <c r="G2595" s="22">
        <v>101</v>
      </c>
      <c r="H2595" s="18">
        <v>2.3211589125000001</v>
      </c>
      <c r="I2595" s="18">
        <v>234.43705016249999</v>
      </c>
      <c r="J2595" s="18">
        <v>1886.5629498374999</v>
      </c>
      <c r="K2595" s="22">
        <v>0</v>
      </c>
      <c r="L2595" s="22" t="str">
        <f t="shared" si="40"/>
        <v>46204, 8, 11</v>
      </c>
    </row>
    <row r="2596" spans="1:12">
      <c r="A2596" s="9">
        <v>46204</v>
      </c>
      <c r="B2596">
        <v>8</v>
      </c>
      <c r="C2596" s="16" t="s">
        <v>63</v>
      </c>
      <c r="D2596">
        <v>12</v>
      </c>
      <c r="E2596" s="16" t="s">
        <v>49</v>
      </c>
      <c r="F2596" s="18">
        <v>1935</v>
      </c>
      <c r="G2596" s="22">
        <v>90</v>
      </c>
      <c r="H2596" s="18">
        <v>2.73854095025</v>
      </c>
      <c r="I2596" s="18">
        <v>246.46868552250001</v>
      </c>
      <c r="J2596" s="18">
        <v>1688.5313144775</v>
      </c>
      <c r="K2596" s="22">
        <v>0</v>
      </c>
      <c r="L2596" s="22" t="str">
        <f t="shared" si="40"/>
        <v>46204, 8, 12</v>
      </c>
    </row>
    <row r="2597" spans="1:12">
      <c r="A2597" s="9">
        <v>46204</v>
      </c>
      <c r="B2597">
        <v>8</v>
      </c>
      <c r="C2597" s="16" t="s">
        <v>63</v>
      </c>
      <c r="D2597">
        <v>13</v>
      </c>
      <c r="E2597" s="16" t="s">
        <v>50</v>
      </c>
      <c r="F2597" s="18">
        <v>810</v>
      </c>
      <c r="G2597" s="22">
        <v>36</v>
      </c>
      <c r="H2597" s="18">
        <v>7.7469909411764704</v>
      </c>
      <c r="I2597" s="18">
        <v>278.89167388235199</v>
      </c>
      <c r="J2597" s="18">
        <v>531.10832611764704</v>
      </c>
      <c r="K2597" s="22">
        <v>0</v>
      </c>
      <c r="L2597" s="22" t="str">
        <f t="shared" si="40"/>
        <v>46204, 8, 13</v>
      </c>
    </row>
    <row r="2598" spans="1:12">
      <c r="A2598" s="9">
        <v>46204</v>
      </c>
      <c r="B2598">
        <v>8</v>
      </c>
      <c r="C2598" s="16" t="s">
        <v>63</v>
      </c>
      <c r="D2598">
        <v>14</v>
      </c>
      <c r="E2598" s="16" t="s">
        <v>51</v>
      </c>
      <c r="F2598" s="18">
        <v>797.5</v>
      </c>
      <c r="G2598" s="22">
        <v>29</v>
      </c>
      <c r="H2598" s="18">
        <v>4.9812189634615303</v>
      </c>
      <c r="I2598" s="18">
        <v>144.455349940384</v>
      </c>
      <c r="J2598" s="18">
        <v>653.04465005961504</v>
      </c>
      <c r="K2598" s="22">
        <v>0</v>
      </c>
      <c r="L2598" s="22" t="str">
        <f t="shared" si="40"/>
        <v>46204, 8, 14</v>
      </c>
    </row>
    <row r="2599" spans="1:12">
      <c r="A2599" s="9">
        <v>46204</v>
      </c>
      <c r="B2599">
        <v>8</v>
      </c>
      <c r="C2599" s="16" t="s">
        <v>63</v>
      </c>
      <c r="D2599">
        <v>15</v>
      </c>
      <c r="E2599" s="16" t="s">
        <v>52</v>
      </c>
      <c r="F2599" s="18">
        <v>1176</v>
      </c>
      <c r="G2599" s="22">
        <v>49</v>
      </c>
      <c r="H2599" s="18">
        <v>2.99509043253846</v>
      </c>
      <c r="I2599" s="18">
        <v>146.75943119438401</v>
      </c>
      <c r="J2599" s="18">
        <v>1029.2405688056101</v>
      </c>
      <c r="K2599" s="22">
        <v>0</v>
      </c>
      <c r="L2599" s="22" t="str">
        <f t="shared" si="40"/>
        <v>46204, 8, 15</v>
      </c>
    </row>
    <row r="2600" spans="1:12">
      <c r="A2600" s="9">
        <v>46204</v>
      </c>
      <c r="B2600">
        <v>8</v>
      </c>
      <c r="C2600" s="16" t="s">
        <v>63</v>
      </c>
      <c r="D2600">
        <v>16</v>
      </c>
      <c r="E2600" s="16" t="s">
        <v>53</v>
      </c>
      <c r="F2600" s="18">
        <v>243</v>
      </c>
      <c r="G2600" s="22">
        <v>27</v>
      </c>
      <c r="H2600" s="18">
        <v>1.7455726050641001</v>
      </c>
      <c r="I2600" s="18">
        <v>47.1304603367307</v>
      </c>
      <c r="J2600" s="18">
        <v>195.86953966326899</v>
      </c>
      <c r="K2600" s="22">
        <v>0</v>
      </c>
      <c r="L2600" s="22" t="str">
        <f t="shared" si="40"/>
        <v>46204, 8, 16</v>
      </c>
    </row>
    <row r="2601" spans="1:12">
      <c r="A2601" s="9">
        <v>46204</v>
      </c>
      <c r="B2601">
        <v>8</v>
      </c>
      <c r="C2601" s="16" t="s">
        <v>63</v>
      </c>
      <c r="D2601">
        <v>17</v>
      </c>
      <c r="E2601" s="16" t="s">
        <v>54</v>
      </c>
      <c r="F2601" s="18">
        <v>562.5</v>
      </c>
      <c r="G2601" s="22">
        <v>75</v>
      </c>
      <c r="H2601" s="18">
        <v>1.5484321405000001</v>
      </c>
      <c r="I2601" s="18">
        <v>116.13241053749999</v>
      </c>
      <c r="J2601" s="18">
        <v>446.36758946250001</v>
      </c>
      <c r="K2601" s="22">
        <v>0</v>
      </c>
      <c r="L2601" s="22" t="str">
        <f t="shared" si="40"/>
        <v>46204, 8, 17</v>
      </c>
    </row>
    <row r="2602" spans="1:12">
      <c r="A2602" s="9">
        <v>46204</v>
      </c>
      <c r="B2602">
        <v>8</v>
      </c>
      <c r="C2602" s="16" t="s">
        <v>63</v>
      </c>
      <c r="D2602">
        <v>18</v>
      </c>
      <c r="E2602" s="16" t="s">
        <v>55</v>
      </c>
      <c r="F2602" s="18">
        <v>805</v>
      </c>
      <c r="G2602" s="22">
        <v>35</v>
      </c>
      <c r="H2602" s="18">
        <v>6.2746325735416599</v>
      </c>
      <c r="I2602" s="18">
        <v>219.61214007395799</v>
      </c>
      <c r="J2602" s="18">
        <v>585.38785992604096</v>
      </c>
      <c r="K2602" s="22">
        <v>0</v>
      </c>
      <c r="L2602" s="22" t="str">
        <f t="shared" si="40"/>
        <v>46204, 8, 18</v>
      </c>
    </row>
    <row r="2603" spans="1:12">
      <c r="A2603" s="9">
        <v>46235</v>
      </c>
      <c r="B2603">
        <v>8</v>
      </c>
      <c r="C2603" s="16" t="s">
        <v>63</v>
      </c>
      <c r="D2603">
        <v>1</v>
      </c>
      <c r="E2603" s="16" t="s">
        <v>38</v>
      </c>
      <c r="F2603" s="18">
        <v>1892</v>
      </c>
      <c r="G2603" s="22">
        <v>88</v>
      </c>
      <c r="H2603" s="18">
        <v>4.69665703846153</v>
      </c>
      <c r="I2603" s="18">
        <v>413.30581938461501</v>
      </c>
      <c r="J2603" s="18">
        <v>1478.69418061538</v>
      </c>
      <c r="K2603" s="22">
        <v>0</v>
      </c>
      <c r="L2603" s="22" t="str">
        <f t="shared" si="40"/>
        <v>46235, 8, 1</v>
      </c>
    </row>
    <row r="2604" spans="1:12">
      <c r="A2604" s="9">
        <v>46235</v>
      </c>
      <c r="B2604">
        <v>8</v>
      </c>
      <c r="C2604" s="16" t="s">
        <v>63</v>
      </c>
      <c r="D2604">
        <v>2</v>
      </c>
      <c r="E2604" s="16" t="s">
        <v>40</v>
      </c>
      <c r="F2604" s="18">
        <v>2160</v>
      </c>
      <c r="G2604" s="22">
        <v>90</v>
      </c>
      <c r="H2604" s="18">
        <v>7.6702214814999996</v>
      </c>
      <c r="I2604" s="18">
        <v>690.31993333499997</v>
      </c>
      <c r="J2604" s="18">
        <v>1469.6800666649999</v>
      </c>
      <c r="K2604" s="22">
        <v>0</v>
      </c>
      <c r="L2604" s="22" t="str">
        <f t="shared" si="40"/>
        <v>46235, 8, 2</v>
      </c>
    </row>
    <row r="2605" spans="1:12">
      <c r="A2605" s="9">
        <v>46235</v>
      </c>
      <c r="B2605">
        <v>8</v>
      </c>
      <c r="C2605" s="16" t="s">
        <v>63</v>
      </c>
      <c r="D2605">
        <v>3</v>
      </c>
      <c r="E2605" s="16" t="s">
        <v>41</v>
      </c>
      <c r="F2605" s="18">
        <v>1100</v>
      </c>
      <c r="G2605" s="22">
        <v>44</v>
      </c>
      <c r="H2605" s="18">
        <v>3.7573105227272698</v>
      </c>
      <c r="I2605" s="18">
        <v>165.321663</v>
      </c>
      <c r="J2605" s="18">
        <v>934.67833699999903</v>
      </c>
      <c r="K2605" s="22">
        <v>0</v>
      </c>
      <c r="L2605" s="22" t="str">
        <f t="shared" si="40"/>
        <v>46235, 8, 3</v>
      </c>
    </row>
    <row r="2606" spans="1:12">
      <c r="A2606" s="9">
        <v>46235</v>
      </c>
      <c r="B2606">
        <v>8</v>
      </c>
      <c r="C2606" s="16" t="s">
        <v>63</v>
      </c>
      <c r="D2606">
        <v>4</v>
      </c>
      <c r="E2606" s="16" t="s">
        <v>42</v>
      </c>
      <c r="F2606" s="18">
        <v>1004.5</v>
      </c>
      <c r="G2606" s="22">
        <v>49</v>
      </c>
      <c r="H2606" s="18">
        <v>7.6339573198000004</v>
      </c>
      <c r="I2606" s="18">
        <v>374.06390867020002</v>
      </c>
      <c r="J2606" s="18">
        <v>630.43609132979998</v>
      </c>
      <c r="K2606" s="22">
        <v>0</v>
      </c>
      <c r="L2606" s="22" t="str">
        <f t="shared" si="40"/>
        <v>46235, 8, 4</v>
      </c>
    </row>
    <row r="2607" spans="1:12">
      <c r="A2607" s="9">
        <v>46235</v>
      </c>
      <c r="B2607">
        <v>8</v>
      </c>
      <c r="C2607" s="16" t="s">
        <v>63</v>
      </c>
      <c r="D2607">
        <v>5</v>
      </c>
      <c r="E2607" s="16" t="s">
        <v>43</v>
      </c>
      <c r="F2607" s="18">
        <v>588</v>
      </c>
      <c r="G2607" s="22">
        <v>28</v>
      </c>
      <c r="H2607" s="18">
        <v>6.5257142857142796</v>
      </c>
      <c r="I2607" s="18">
        <v>182.72</v>
      </c>
      <c r="J2607" s="18">
        <v>405.27999999999901</v>
      </c>
      <c r="K2607" s="22">
        <v>0</v>
      </c>
      <c r="L2607" s="22" t="str">
        <f t="shared" si="40"/>
        <v>46235, 8, 5</v>
      </c>
    </row>
    <row r="2608" spans="1:12">
      <c r="A2608" s="9">
        <v>46235</v>
      </c>
      <c r="B2608">
        <v>8</v>
      </c>
      <c r="C2608" s="16" t="s">
        <v>63</v>
      </c>
      <c r="D2608">
        <v>6</v>
      </c>
      <c r="E2608" s="16" t="s">
        <v>44</v>
      </c>
      <c r="F2608" s="18">
        <v>990</v>
      </c>
      <c r="G2608" s="22">
        <v>44</v>
      </c>
      <c r="H2608" s="18">
        <v>5.40450351045454</v>
      </c>
      <c r="I2608" s="18">
        <v>237.79815445999901</v>
      </c>
      <c r="J2608" s="18">
        <v>752.20184554000002</v>
      </c>
      <c r="K2608" s="22">
        <v>0</v>
      </c>
      <c r="L2608" s="22" t="str">
        <f t="shared" si="40"/>
        <v>46235, 8, 6</v>
      </c>
    </row>
    <row r="2609" spans="1:12">
      <c r="A2609" s="9">
        <v>46235</v>
      </c>
      <c r="B2609">
        <v>8</v>
      </c>
      <c r="C2609" s="16" t="s">
        <v>63</v>
      </c>
      <c r="D2609">
        <v>7</v>
      </c>
      <c r="E2609" s="16" t="s">
        <v>45</v>
      </c>
      <c r="F2609" s="18">
        <v>546</v>
      </c>
      <c r="G2609" s="22">
        <v>52</v>
      </c>
      <c r="H2609" s="18">
        <v>3.0931339295833302</v>
      </c>
      <c r="I2609" s="18">
        <v>160.84296433833299</v>
      </c>
      <c r="J2609" s="18">
        <v>385.15703566166599</v>
      </c>
      <c r="K2609" s="22">
        <v>0</v>
      </c>
      <c r="L2609" s="22" t="str">
        <f t="shared" si="40"/>
        <v>46235, 8, 7</v>
      </c>
    </row>
    <row r="2610" spans="1:12">
      <c r="A2610" s="9">
        <v>46235</v>
      </c>
      <c r="B2610">
        <v>8</v>
      </c>
      <c r="C2610" s="16" t="s">
        <v>63</v>
      </c>
      <c r="D2610">
        <v>8</v>
      </c>
      <c r="E2610" s="16" t="s">
        <v>46</v>
      </c>
      <c r="F2610" s="18">
        <v>468</v>
      </c>
      <c r="G2610" s="22">
        <v>39</v>
      </c>
      <c r="H2610" s="18">
        <v>0.69404692194444395</v>
      </c>
      <c r="I2610" s="18">
        <v>27.0678299558333</v>
      </c>
      <c r="J2610" s="18">
        <v>440.93217004416601</v>
      </c>
      <c r="K2610" s="22">
        <v>0</v>
      </c>
      <c r="L2610" s="22" t="str">
        <f t="shared" si="40"/>
        <v>46235, 8, 8</v>
      </c>
    </row>
    <row r="2611" spans="1:12">
      <c r="A2611" s="9">
        <v>46235</v>
      </c>
      <c r="B2611">
        <v>8</v>
      </c>
      <c r="C2611" s="16" t="s">
        <v>63</v>
      </c>
      <c r="D2611">
        <v>9</v>
      </c>
      <c r="E2611" s="16" t="s">
        <v>47</v>
      </c>
      <c r="F2611" s="18">
        <v>582</v>
      </c>
      <c r="G2611" s="22">
        <v>12</v>
      </c>
      <c r="H2611" s="18">
        <v>19.8270829788048</v>
      </c>
      <c r="I2611" s="18">
        <v>237.92499574565699</v>
      </c>
      <c r="J2611" s="18">
        <v>344.07500425434199</v>
      </c>
      <c r="K2611" s="22">
        <v>0</v>
      </c>
      <c r="L2611" s="22" t="str">
        <f t="shared" si="40"/>
        <v>46235, 8, 9</v>
      </c>
    </row>
    <row r="2612" spans="1:12">
      <c r="A2612" s="9">
        <v>46235</v>
      </c>
      <c r="B2612">
        <v>8</v>
      </c>
      <c r="C2612" s="16" t="s">
        <v>63</v>
      </c>
      <c r="D2612">
        <v>10</v>
      </c>
      <c r="E2612" s="16" t="s">
        <v>57</v>
      </c>
      <c r="F2612" s="18">
        <v>686</v>
      </c>
      <c r="G2612" s="22">
        <v>49</v>
      </c>
      <c r="H2612" s="18">
        <v>1.8568604157599999</v>
      </c>
      <c r="I2612" s="18">
        <v>90.986160372239993</v>
      </c>
      <c r="J2612" s="18">
        <v>595.01383962776004</v>
      </c>
      <c r="K2612" s="22">
        <v>0</v>
      </c>
      <c r="L2612" s="22" t="str">
        <f t="shared" si="40"/>
        <v>46235, 8, 10</v>
      </c>
    </row>
    <row r="2613" spans="1:12">
      <c r="A2613" s="9">
        <v>46235</v>
      </c>
      <c r="B2613">
        <v>8</v>
      </c>
      <c r="C2613" s="16" t="s">
        <v>63</v>
      </c>
      <c r="D2613">
        <v>11</v>
      </c>
      <c r="E2613" s="16" t="s">
        <v>48</v>
      </c>
      <c r="F2613" s="18">
        <v>1407</v>
      </c>
      <c r="G2613" s="22">
        <v>67</v>
      </c>
      <c r="H2613" s="18">
        <v>2.3493952222222201</v>
      </c>
      <c r="I2613" s="18">
        <v>157.409479888888</v>
      </c>
      <c r="J2613" s="18">
        <v>1249.59052011111</v>
      </c>
      <c r="K2613" s="22">
        <v>0</v>
      </c>
      <c r="L2613" s="22" t="str">
        <f t="shared" si="40"/>
        <v>46235, 8, 11</v>
      </c>
    </row>
    <row r="2614" spans="1:12">
      <c r="A2614" s="9">
        <v>46235</v>
      </c>
      <c r="B2614">
        <v>8</v>
      </c>
      <c r="C2614" s="16" t="s">
        <v>63</v>
      </c>
      <c r="D2614">
        <v>12</v>
      </c>
      <c r="E2614" s="16" t="s">
        <v>49</v>
      </c>
      <c r="F2614" s="18">
        <v>1591</v>
      </c>
      <c r="G2614" s="22">
        <v>74</v>
      </c>
      <c r="H2614" s="18">
        <v>2.7497379237083299</v>
      </c>
      <c r="I2614" s="18">
        <v>203.48060635441601</v>
      </c>
      <c r="J2614" s="18">
        <v>1387.5193936455801</v>
      </c>
      <c r="K2614" s="22">
        <v>0</v>
      </c>
      <c r="L2614" s="22" t="str">
        <f t="shared" si="40"/>
        <v>46235, 8, 12</v>
      </c>
    </row>
    <row r="2615" spans="1:12">
      <c r="A2615" s="9">
        <v>46235</v>
      </c>
      <c r="B2615">
        <v>8</v>
      </c>
      <c r="C2615" s="16" t="s">
        <v>63</v>
      </c>
      <c r="D2615">
        <v>13</v>
      </c>
      <c r="E2615" s="16" t="s">
        <v>50</v>
      </c>
      <c r="F2615" s="18">
        <v>922.5</v>
      </c>
      <c r="G2615" s="22">
        <v>41</v>
      </c>
      <c r="H2615" s="18">
        <v>7.7584692941176403</v>
      </c>
      <c r="I2615" s="18">
        <v>318.09724105882299</v>
      </c>
      <c r="J2615" s="18">
        <v>604.40275894117599</v>
      </c>
      <c r="K2615" s="22">
        <v>0</v>
      </c>
      <c r="L2615" s="22" t="str">
        <f t="shared" si="40"/>
        <v>46235, 8, 13</v>
      </c>
    </row>
    <row r="2616" spans="1:12">
      <c r="A2616" s="9">
        <v>46235</v>
      </c>
      <c r="B2616">
        <v>8</v>
      </c>
      <c r="C2616" s="16" t="s">
        <v>63</v>
      </c>
      <c r="D2616">
        <v>14</v>
      </c>
      <c r="E2616" s="16" t="s">
        <v>51</v>
      </c>
      <c r="F2616" s="18">
        <v>632.5</v>
      </c>
      <c r="G2616" s="22">
        <v>23</v>
      </c>
      <c r="H2616" s="18">
        <v>5.01499485537878</v>
      </c>
      <c r="I2616" s="18">
        <v>115.344881673712</v>
      </c>
      <c r="J2616" s="18">
        <v>517.15511832628704</v>
      </c>
      <c r="K2616" s="22">
        <v>0</v>
      </c>
      <c r="L2616" s="22" t="str">
        <f t="shared" si="40"/>
        <v>46235, 8, 14</v>
      </c>
    </row>
    <row r="2617" spans="1:12">
      <c r="A2617" s="9">
        <v>46235</v>
      </c>
      <c r="B2617">
        <v>8</v>
      </c>
      <c r="C2617" s="16" t="s">
        <v>63</v>
      </c>
      <c r="D2617">
        <v>15</v>
      </c>
      <c r="E2617" s="16" t="s">
        <v>52</v>
      </c>
      <c r="F2617" s="18">
        <v>1296</v>
      </c>
      <c r="G2617" s="22">
        <v>54</v>
      </c>
      <c r="H2617" s="18">
        <v>2.9929527033076901</v>
      </c>
      <c r="I2617" s="18">
        <v>161.619445978615</v>
      </c>
      <c r="J2617" s="18">
        <v>1134.38055402138</v>
      </c>
      <c r="K2617" s="22">
        <v>0</v>
      </c>
      <c r="L2617" s="22" t="str">
        <f t="shared" si="40"/>
        <v>46235, 8, 15</v>
      </c>
    </row>
    <row r="2618" spans="1:12">
      <c r="A2618" s="9">
        <v>46235</v>
      </c>
      <c r="B2618">
        <v>8</v>
      </c>
      <c r="C2618" s="16" t="s">
        <v>63</v>
      </c>
      <c r="D2618">
        <v>16</v>
      </c>
      <c r="E2618" s="16" t="s">
        <v>53</v>
      </c>
      <c r="F2618" s="18">
        <v>297</v>
      </c>
      <c r="G2618" s="22">
        <v>33</v>
      </c>
      <c r="H2618" s="18">
        <v>1.7284001025</v>
      </c>
      <c r="I2618" s="18">
        <v>57.037203382500003</v>
      </c>
      <c r="J2618" s="18">
        <v>239.9627966175</v>
      </c>
      <c r="K2618" s="22">
        <v>0</v>
      </c>
      <c r="L2618" s="22" t="str">
        <f t="shared" si="40"/>
        <v>46235, 8, 16</v>
      </c>
    </row>
    <row r="2619" spans="1:12">
      <c r="A2619" s="9">
        <v>46235</v>
      </c>
      <c r="B2619">
        <v>8</v>
      </c>
      <c r="C2619" s="16" t="s">
        <v>63</v>
      </c>
      <c r="D2619">
        <v>17</v>
      </c>
      <c r="E2619" s="16" t="s">
        <v>54</v>
      </c>
      <c r="F2619" s="18">
        <v>570</v>
      </c>
      <c r="G2619" s="22">
        <v>76</v>
      </c>
      <c r="H2619" s="18">
        <v>1.5603908040000001</v>
      </c>
      <c r="I2619" s="18">
        <v>118.589701104</v>
      </c>
      <c r="J2619" s="18">
        <v>451.41029889599997</v>
      </c>
      <c r="K2619" s="22">
        <v>0</v>
      </c>
      <c r="L2619" s="22" t="str">
        <f t="shared" si="40"/>
        <v>46235, 8, 17</v>
      </c>
    </row>
    <row r="2620" spans="1:12">
      <c r="A2620" s="9">
        <v>46235</v>
      </c>
      <c r="B2620">
        <v>8</v>
      </c>
      <c r="C2620" s="16" t="s">
        <v>63</v>
      </c>
      <c r="D2620">
        <v>18</v>
      </c>
      <c r="E2620" s="16" t="s">
        <v>55</v>
      </c>
      <c r="F2620" s="18">
        <v>1104</v>
      </c>
      <c r="G2620" s="22">
        <v>48</v>
      </c>
      <c r="H2620" s="18">
        <v>6.2578882400384597</v>
      </c>
      <c r="I2620" s="18">
        <v>300.37863552184598</v>
      </c>
      <c r="J2620" s="18">
        <v>803.62136447815305</v>
      </c>
      <c r="K2620" s="22">
        <v>0</v>
      </c>
      <c r="L2620" s="22" t="str">
        <f t="shared" si="40"/>
        <v>46235, 8, 18</v>
      </c>
    </row>
    <row r="2621" spans="1:12">
      <c r="A2621" s="9">
        <v>46266</v>
      </c>
      <c r="B2621">
        <v>8</v>
      </c>
      <c r="C2621" s="16" t="s">
        <v>63</v>
      </c>
      <c r="D2621">
        <v>1</v>
      </c>
      <c r="E2621" s="16" t="s">
        <v>38</v>
      </c>
      <c r="F2621" s="18">
        <v>1483.5</v>
      </c>
      <c r="G2621" s="22">
        <v>69</v>
      </c>
      <c r="H2621" s="18">
        <v>4.6773370833333301</v>
      </c>
      <c r="I2621" s="18">
        <v>322.73625874999902</v>
      </c>
      <c r="J2621" s="18">
        <v>1160.7637412500001</v>
      </c>
      <c r="K2621" s="22">
        <v>0</v>
      </c>
      <c r="L2621" s="22" t="str">
        <f t="shared" si="40"/>
        <v>46266, 8, 1</v>
      </c>
    </row>
    <row r="2622" spans="1:12">
      <c r="A2622" s="9">
        <v>46266</v>
      </c>
      <c r="B2622">
        <v>8</v>
      </c>
      <c r="C2622" s="16" t="s">
        <v>63</v>
      </c>
      <c r="D2622">
        <v>2</v>
      </c>
      <c r="E2622" s="16" t="s">
        <v>40</v>
      </c>
      <c r="F2622" s="18">
        <v>1920</v>
      </c>
      <c r="G2622" s="22">
        <v>80</v>
      </c>
      <c r="H2622" s="18">
        <v>7.7140598283333297</v>
      </c>
      <c r="I2622" s="18">
        <v>617.12478626666598</v>
      </c>
      <c r="J2622" s="18">
        <v>1302.8752137333299</v>
      </c>
      <c r="K2622" s="22">
        <v>0</v>
      </c>
      <c r="L2622" s="22" t="str">
        <f t="shared" si="40"/>
        <v>46266, 8, 2</v>
      </c>
    </row>
    <row r="2623" spans="1:12">
      <c r="A2623" s="9">
        <v>46266</v>
      </c>
      <c r="B2623">
        <v>8</v>
      </c>
      <c r="C2623" s="16" t="s">
        <v>63</v>
      </c>
      <c r="D2623">
        <v>3</v>
      </c>
      <c r="E2623" s="16" t="s">
        <v>41</v>
      </c>
      <c r="F2623" s="18">
        <v>1050</v>
      </c>
      <c r="G2623" s="22">
        <v>42</v>
      </c>
      <c r="H2623" s="18">
        <v>3.7760722609999999</v>
      </c>
      <c r="I2623" s="18">
        <v>158.595034962</v>
      </c>
      <c r="J2623" s="18">
        <v>891.404965038</v>
      </c>
      <c r="K2623" s="22">
        <v>0</v>
      </c>
      <c r="L2623" s="22" t="str">
        <f t="shared" si="40"/>
        <v>46266, 8, 3</v>
      </c>
    </row>
    <row r="2624" spans="1:12">
      <c r="A2624" s="9">
        <v>46266</v>
      </c>
      <c r="B2624">
        <v>8</v>
      </c>
      <c r="C2624" s="16" t="s">
        <v>63</v>
      </c>
      <c r="D2624">
        <v>4</v>
      </c>
      <c r="E2624" s="16" t="s">
        <v>42</v>
      </c>
      <c r="F2624" s="18">
        <v>1189</v>
      </c>
      <c r="G2624" s="22">
        <v>58</v>
      </c>
      <c r="H2624" s="18">
        <v>7.7658497002500004</v>
      </c>
      <c r="I2624" s="18">
        <v>450.41928261449999</v>
      </c>
      <c r="J2624" s="18">
        <v>738.58071738549995</v>
      </c>
      <c r="K2624" s="22">
        <v>0</v>
      </c>
      <c r="L2624" s="22" t="str">
        <f t="shared" si="40"/>
        <v>46266, 8, 4</v>
      </c>
    </row>
    <row r="2625" spans="1:12">
      <c r="A2625" s="9">
        <v>46266</v>
      </c>
      <c r="B2625">
        <v>8</v>
      </c>
      <c r="C2625" s="16" t="s">
        <v>63</v>
      </c>
      <c r="D2625">
        <v>5</v>
      </c>
      <c r="E2625" s="16" t="s">
        <v>43</v>
      </c>
      <c r="F2625" s="18">
        <v>819</v>
      </c>
      <c r="G2625" s="22">
        <v>39</v>
      </c>
      <c r="H2625" s="18">
        <v>6.7796874999999996</v>
      </c>
      <c r="I2625" s="18">
        <v>264.40781249999998</v>
      </c>
      <c r="J2625" s="18">
        <v>554.59218750000002</v>
      </c>
      <c r="K2625" s="22">
        <v>0</v>
      </c>
      <c r="L2625" s="22" t="str">
        <f t="shared" si="40"/>
        <v>46266, 8, 5</v>
      </c>
    </row>
    <row r="2626" spans="1:12">
      <c r="A2626" s="9">
        <v>46266</v>
      </c>
      <c r="B2626">
        <v>8</v>
      </c>
      <c r="C2626" s="16" t="s">
        <v>63</v>
      </c>
      <c r="D2626">
        <v>6</v>
      </c>
      <c r="E2626" s="16" t="s">
        <v>44</v>
      </c>
      <c r="F2626" s="18">
        <v>1057.5</v>
      </c>
      <c r="G2626" s="22">
        <v>47</v>
      </c>
      <c r="H2626" s="18">
        <v>5.4252578907272699</v>
      </c>
      <c r="I2626" s="18">
        <v>254.98712086418101</v>
      </c>
      <c r="J2626" s="18">
        <v>802.51287913581803</v>
      </c>
      <c r="K2626" s="22">
        <v>0</v>
      </c>
      <c r="L2626" s="22" t="str">
        <f t="shared" si="40"/>
        <v>46266, 8, 6</v>
      </c>
    </row>
    <row r="2627" spans="1:12">
      <c r="A2627" s="9">
        <v>46266</v>
      </c>
      <c r="B2627">
        <v>8</v>
      </c>
      <c r="C2627" s="16" t="s">
        <v>63</v>
      </c>
      <c r="D2627">
        <v>7</v>
      </c>
      <c r="E2627" s="16" t="s">
        <v>45</v>
      </c>
      <c r="F2627" s="18">
        <v>672</v>
      </c>
      <c r="G2627" s="22">
        <v>64</v>
      </c>
      <c r="H2627" s="18">
        <v>3.1274865636538398</v>
      </c>
      <c r="I2627" s="18">
        <v>200.159140073846</v>
      </c>
      <c r="J2627" s="18">
        <v>471.84085992615297</v>
      </c>
      <c r="K2627" s="22">
        <v>0</v>
      </c>
      <c r="L2627" s="22" t="str">
        <f t="shared" ref="L2627:L2638" si="41">(A2627&amp; ", "&amp; B2627&amp; ", "&amp; D2627)</f>
        <v>46266, 8, 7</v>
      </c>
    </row>
    <row r="2628" spans="1:12">
      <c r="A2628" s="9">
        <v>46266</v>
      </c>
      <c r="B2628">
        <v>8</v>
      </c>
      <c r="C2628" s="16" t="s">
        <v>63</v>
      </c>
      <c r="D2628">
        <v>8</v>
      </c>
      <c r="E2628" s="16" t="s">
        <v>46</v>
      </c>
      <c r="F2628" s="18">
        <v>300</v>
      </c>
      <c r="G2628" s="22">
        <v>25</v>
      </c>
      <c r="H2628" s="18">
        <v>0.70466587000000003</v>
      </c>
      <c r="I2628" s="18">
        <v>17.616646750000001</v>
      </c>
      <c r="J2628" s="18">
        <v>282.38335325000003</v>
      </c>
      <c r="K2628" s="22">
        <v>0</v>
      </c>
      <c r="L2628" s="22" t="str">
        <f t="shared" si="41"/>
        <v>46266, 8, 8</v>
      </c>
    </row>
    <row r="2629" spans="1:12">
      <c r="A2629" s="9">
        <v>46266</v>
      </c>
      <c r="B2629">
        <v>8</v>
      </c>
      <c r="C2629" s="16" t="s">
        <v>63</v>
      </c>
      <c r="D2629">
        <v>9</v>
      </c>
      <c r="E2629" s="16" t="s">
        <v>47</v>
      </c>
      <c r="F2629" s="18">
        <v>582</v>
      </c>
      <c r="G2629" s="22">
        <v>12</v>
      </c>
      <c r="H2629" s="18">
        <v>19.9892951261936</v>
      </c>
      <c r="I2629" s="18">
        <v>239.87154151432301</v>
      </c>
      <c r="J2629" s="18">
        <v>342.12845848567599</v>
      </c>
      <c r="K2629" s="22">
        <v>0</v>
      </c>
      <c r="L2629" s="22" t="str">
        <f t="shared" si="41"/>
        <v>46266, 8, 9</v>
      </c>
    </row>
    <row r="2630" spans="1:12">
      <c r="A2630" s="9">
        <v>46266</v>
      </c>
      <c r="B2630">
        <v>8</v>
      </c>
      <c r="C2630" s="16" t="s">
        <v>63</v>
      </c>
      <c r="D2630">
        <v>10</v>
      </c>
      <c r="E2630" s="16" t="s">
        <v>57</v>
      </c>
      <c r="F2630" s="18">
        <v>714</v>
      </c>
      <c r="G2630" s="22">
        <v>51</v>
      </c>
      <c r="H2630" s="18">
        <v>1.95449936795</v>
      </c>
      <c r="I2630" s="18">
        <v>99.679467765449999</v>
      </c>
      <c r="J2630" s="18">
        <v>614.32053223455</v>
      </c>
      <c r="K2630" s="22">
        <v>0</v>
      </c>
      <c r="L2630" s="22" t="str">
        <f t="shared" si="41"/>
        <v>46266, 8, 10</v>
      </c>
    </row>
    <row r="2631" spans="1:12">
      <c r="A2631" s="9">
        <v>46266</v>
      </c>
      <c r="B2631">
        <v>8</v>
      </c>
      <c r="C2631" s="16" t="s">
        <v>63</v>
      </c>
      <c r="D2631">
        <v>11</v>
      </c>
      <c r="E2631" s="16" t="s">
        <v>48</v>
      </c>
      <c r="F2631" s="18">
        <v>1323</v>
      </c>
      <c r="G2631" s="22">
        <v>63</v>
      </c>
      <c r="H2631" s="18">
        <v>2.3325225468749999</v>
      </c>
      <c r="I2631" s="18">
        <v>146.948920453125</v>
      </c>
      <c r="J2631" s="18">
        <v>1176.0510795468699</v>
      </c>
      <c r="K2631" s="22">
        <v>0</v>
      </c>
      <c r="L2631" s="22" t="str">
        <f t="shared" si="41"/>
        <v>46266, 8, 11</v>
      </c>
    </row>
    <row r="2632" spans="1:12">
      <c r="A2632" s="9">
        <v>46266</v>
      </c>
      <c r="B2632">
        <v>8</v>
      </c>
      <c r="C2632" s="16" t="s">
        <v>63</v>
      </c>
      <c r="D2632">
        <v>12</v>
      </c>
      <c r="E2632" s="16" t="s">
        <v>49</v>
      </c>
      <c r="F2632" s="18">
        <v>1376</v>
      </c>
      <c r="G2632" s="22">
        <v>64</v>
      </c>
      <c r="H2632" s="18">
        <v>2.7756517460999999</v>
      </c>
      <c r="I2632" s="18">
        <v>177.64171175039999</v>
      </c>
      <c r="J2632" s="18">
        <v>1198.3582882496</v>
      </c>
      <c r="K2632" s="22">
        <v>0</v>
      </c>
      <c r="L2632" s="22" t="str">
        <f t="shared" si="41"/>
        <v>46266, 8, 12</v>
      </c>
    </row>
    <row r="2633" spans="1:12">
      <c r="A2633" s="9">
        <v>46266</v>
      </c>
      <c r="B2633">
        <v>8</v>
      </c>
      <c r="C2633" s="16" t="s">
        <v>63</v>
      </c>
      <c r="D2633">
        <v>13</v>
      </c>
      <c r="E2633" s="16" t="s">
        <v>50</v>
      </c>
      <c r="F2633" s="18">
        <v>1260</v>
      </c>
      <c r="G2633" s="22">
        <v>56</v>
      </c>
      <c r="H2633" s="18">
        <v>7.7573452352941104</v>
      </c>
      <c r="I2633" s="18">
        <v>434.41133317647001</v>
      </c>
      <c r="J2633" s="18">
        <v>825.58866682352902</v>
      </c>
      <c r="K2633" s="22">
        <v>0</v>
      </c>
      <c r="L2633" s="22" t="str">
        <f t="shared" si="41"/>
        <v>46266, 8, 13</v>
      </c>
    </row>
    <row r="2634" spans="1:12">
      <c r="A2634" s="9">
        <v>46266</v>
      </c>
      <c r="B2634">
        <v>8</v>
      </c>
      <c r="C2634" s="16" t="s">
        <v>63</v>
      </c>
      <c r="D2634">
        <v>14</v>
      </c>
      <c r="E2634" s="16" t="s">
        <v>51</v>
      </c>
      <c r="F2634" s="18">
        <v>907.5</v>
      </c>
      <c r="G2634" s="22">
        <v>33</v>
      </c>
      <c r="H2634" s="18">
        <v>5.0639976603787797</v>
      </c>
      <c r="I2634" s="18">
        <v>167.111922792499</v>
      </c>
      <c r="J2634" s="18">
        <v>740.38807720750003</v>
      </c>
      <c r="K2634" s="22">
        <v>0</v>
      </c>
      <c r="L2634" s="22" t="str">
        <f t="shared" si="41"/>
        <v>46266, 8, 14</v>
      </c>
    </row>
    <row r="2635" spans="1:12">
      <c r="A2635" s="9">
        <v>46266</v>
      </c>
      <c r="B2635">
        <v>8</v>
      </c>
      <c r="C2635" s="16" t="s">
        <v>63</v>
      </c>
      <c r="D2635">
        <v>15</v>
      </c>
      <c r="E2635" s="16" t="s">
        <v>52</v>
      </c>
      <c r="F2635" s="18">
        <v>1368</v>
      </c>
      <c r="G2635" s="22">
        <v>57</v>
      </c>
      <c r="H2635" s="18">
        <v>3.0268426234615302</v>
      </c>
      <c r="I2635" s="18">
        <v>172.530029537307</v>
      </c>
      <c r="J2635" s="18">
        <v>1195.4699704626901</v>
      </c>
      <c r="K2635" s="22">
        <v>0</v>
      </c>
      <c r="L2635" s="22" t="str">
        <f t="shared" si="41"/>
        <v>46266, 8, 15</v>
      </c>
    </row>
    <row r="2636" spans="1:12">
      <c r="A2636" s="9">
        <v>46266</v>
      </c>
      <c r="B2636">
        <v>8</v>
      </c>
      <c r="C2636" s="16" t="s">
        <v>63</v>
      </c>
      <c r="D2636">
        <v>16</v>
      </c>
      <c r="E2636" s="16" t="s">
        <v>53</v>
      </c>
      <c r="F2636" s="18">
        <v>324</v>
      </c>
      <c r="G2636" s="22">
        <v>36</v>
      </c>
      <c r="H2636" s="18">
        <v>1.7415537128205101</v>
      </c>
      <c r="I2636" s="18">
        <v>62.695933661538398</v>
      </c>
      <c r="J2636" s="18">
        <v>261.30406633846098</v>
      </c>
      <c r="K2636" s="22">
        <v>0</v>
      </c>
      <c r="L2636" s="22" t="str">
        <f t="shared" si="41"/>
        <v>46266, 8, 16</v>
      </c>
    </row>
    <row r="2637" spans="1:12">
      <c r="A2637" s="9">
        <v>46266</v>
      </c>
      <c r="B2637">
        <v>8</v>
      </c>
      <c r="C2637" s="16" t="s">
        <v>63</v>
      </c>
      <c r="D2637">
        <v>17</v>
      </c>
      <c r="E2637" s="16" t="s">
        <v>54</v>
      </c>
      <c r="F2637" s="18">
        <v>405</v>
      </c>
      <c r="G2637" s="22">
        <v>54</v>
      </c>
      <c r="H2637" s="18">
        <v>1.5672383514999999</v>
      </c>
      <c r="I2637" s="18">
        <v>84.630870981000001</v>
      </c>
      <c r="J2637" s="18">
        <v>320.36912901900001</v>
      </c>
      <c r="K2637" s="22">
        <v>0</v>
      </c>
      <c r="L2637" s="22" t="str">
        <f t="shared" si="41"/>
        <v>46266, 8, 17</v>
      </c>
    </row>
    <row r="2638" spans="1:12">
      <c r="A2638" s="9">
        <v>46266</v>
      </c>
      <c r="B2638">
        <v>8</v>
      </c>
      <c r="C2638" s="16" t="s">
        <v>63</v>
      </c>
      <c r="D2638">
        <v>18</v>
      </c>
      <c r="E2638" s="16" t="s">
        <v>55</v>
      </c>
      <c r="F2638" s="18">
        <v>828</v>
      </c>
      <c r="G2638" s="22">
        <v>36</v>
      </c>
      <c r="H2638" s="18">
        <v>6.2704993768408999</v>
      </c>
      <c r="I2638" s="18">
        <v>225.73797756627201</v>
      </c>
      <c r="J2638" s="18">
        <v>602.262022433727</v>
      </c>
      <c r="K2638" s="22">
        <v>0</v>
      </c>
      <c r="L2638" s="22" t="str">
        <f t="shared" si="41"/>
        <v>46266, 8, 18</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FAFA-404E-D942-A387-DF5EC3B6D9FC}">
  <dimension ref="A1:N8016"/>
  <sheetViews>
    <sheetView workbookViewId="0">
      <pane ySplit="1" topLeftCell="A2" activePane="bottomLeft" state="frozen"/>
      <selection pane="bottomLeft" activeCell="N3" sqref="N3"/>
    </sheetView>
  </sheetViews>
  <sheetFormatPr baseColWidth="10" defaultRowHeight="16"/>
  <cols>
    <col min="1" max="1" width="10.1640625" bestFit="1" customWidth="1"/>
    <col min="2" max="2" width="19.33203125" style="16" bestFit="1" customWidth="1"/>
    <col min="3" max="3" width="11.33203125" style="9" bestFit="1" customWidth="1"/>
    <col min="4" max="4" width="11.83203125" bestFit="1" customWidth="1"/>
    <col min="5" max="5" width="28.1640625" style="16" bestFit="1" customWidth="1"/>
    <col min="6" max="6" width="17.6640625" style="16" bestFit="1" customWidth="1"/>
    <col min="7" max="7" width="17.5" style="22" bestFit="1" customWidth="1"/>
    <col min="8" max="8" width="15.33203125" style="18" bestFit="1" customWidth="1"/>
    <col min="9" max="9" width="13.33203125" style="18" bestFit="1" customWidth="1"/>
    <col min="10" max="10" width="18.33203125" style="18" bestFit="1" customWidth="1"/>
    <col min="11" max="11" width="18" style="18" bestFit="1" customWidth="1"/>
    <col min="12" max="12" width="11.1640625" style="22" bestFit="1" customWidth="1"/>
    <col min="14" max="14" width="21.6640625" bestFit="1" customWidth="1"/>
  </cols>
  <sheetData>
    <row r="1" spans="1:14" s="10" customFormat="1">
      <c r="A1" s="10" t="s">
        <v>28</v>
      </c>
      <c r="B1" s="15" t="s">
        <v>29</v>
      </c>
      <c r="C1" s="11" t="s">
        <v>64</v>
      </c>
      <c r="D1" s="10" t="s">
        <v>71</v>
      </c>
      <c r="E1" s="15" t="s">
        <v>72</v>
      </c>
      <c r="F1" s="15" t="s">
        <v>73</v>
      </c>
      <c r="G1" s="21" t="s">
        <v>74</v>
      </c>
      <c r="H1" s="17" t="s">
        <v>75</v>
      </c>
      <c r="I1" s="17" t="s">
        <v>76</v>
      </c>
      <c r="J1" s="17" t="s">
        <v>77</v>
      </c>
      <c r="K1" s="17" t="s">
        <v>78</v>
      </c>
      <c r="L1" s="21" t="s">
        <v>79</v>
      </c>
    </row>
    <row r="2" spans="1:14">
      <c r="A2">
        <v>1</v>
      </c>
      <c r="B2" s="16" t="s">
        <v>37</v>
      </c>
      <c r="C2" s="9">
        <v>45689</v>
      </c>
      <c r="D2">
        <v>1</v>
      </c>
      <c r="E2" s="16" t="s">
        <v>80</v>
      </c>
      <c r="F2" s="16" t="s">
        <v>81</v>
      </c>
      <c r="G2" s="22">
        <v>12</v>
      </c>
      <c r="H2" s="18">
        <v>136.08000000000001</v>
      </c>
      <c r="I2" s="18">
        <v>11.34</v>
      </c>
      <c r="J2" s="18">
        <v>11.34</v>
      </c>
      <c r="K2" s="18">
        <v>11.34</v>
      </c>
      <c r="L2" s="22">
        <v>1</v>
      </c>
      <c r="N2" s="10" t="s">
        <v>182</v>
      </c>
    </row>
    <row r="3" spans="1:14">
      <c r="A3">
        <v>1</v>
      </c>
      <c r="B3" s="16" t="s">
        <v>37</v>
      </c>
      <c r="C3" s="9">
        <v>45717</v>
      </c>
      <c r="D3">
        <v>1</v>
      </c>
      <c r="E3" s="16" t="s">
        <v>80</v>
      </c>
      <c r="F3" s="16" t="s">
        <v>81</v>
      </c>
      <c r="G3" s="22">
        <v>24</v>
      </c>
      <c r="H3" s="18">
        <v>319.2</v>
      </c>
      <c r="I3" s="18">
        <v>13.3</v>
      </c>
      <c r="J3" s="18">
        <v>13.46</v>
      </c>
      <c r="K3" s="18">
        <v>13.14</v>
      </c>
      <c r="L3" s="22">
        <v>2</v>
      </c>
      <c r="N3" s="34">
        <f>SUM(H:H)</f>
        <v>1577342.2175000052</v>
      </c>
    </row>
    <row r="4" spans="1:14">
      <c r="A4">
        <v>1</v>
      </c>
      <c r="B4" s="16" t="s">
        <v>37</v>
      </c>
      <c r="C4" s="9">
        <v>45748</v>
      </c>
      <c r="D4">
        <v>1</v>
      </c>
      <c r="E4" s="16" t="s">
        <v>80</v>
      </c>
      <c r="F4" s="16" t="s">
        <v>81</v>
      </c>
      <c r="G4" s="22">
        <v>24</v>
      </c>
      <c r="H4" s="18">
        <v>327.60000000000002</v>
      </c>
      <c r="I4" s="18">
        <v>13.65</v>
      </c>
      <c r="J4" s="18">
        <v>13.94</v>
      </c>
      <c r="K4" s="18">
        <v>13.36</v>
      </c>
      <c r="L4" s="22">
        <v>2</v>
      </c>
    </row>
    <row r="5" spans="1:14">
      <c r="A5">
        <v>1</v>
      </c>
      <c r="B5" s="16" t="s">
        <v>37</v>
      </c>
      <c r="C5" s="9">
        <v>45778</v>
      </c>
      <c r="D5">
        <v>1</v>
      </c>
      <c r="E5" s="16" t="s">
        <v>80</v>
      </c>
      <c r="F5" s="16" t="s">
        <v>81</v>
      </c>
      <c r="G5" s="22">
        <v>24</v>
      </c>
      <c r="H5" s="18">
        <v>324.72000000000003</v>
      </c>
      <c r="I5" s="18">
        <v>13.53</v>
      </c>
      <c r="J5" s="18">
        <v>13.57</v>
      </c>
      <c r="K5" s="18">
        <v>13.49</v>
      </c>
      <c r="L5" s="22">
        <v>2</v>
      </c>
    </row>
    <row r="6" spans="1:14">
      <c r="A6">
        <v>1</v>
      </c>
      <c r="B6" s="16" t="s">
        <v>37</v>
      </c>
      <c r="C6" s="9">
        <v>45809</v>
      </c>
      <c r="D6">
        <v>1</v>
      </c>
      <c r="E6" s="16" t="s">
        <v>80</v>
      </c>
      <c r="F6" s="16" t="s">
        <v>81</v>
      </c>
      <c r="G6" s="22">
        <v>24</v>
      </c>
      <c r="H6" s="18">
        <v>319.44</v>
      </c>
      <c r="I6" s="18">
        <v>13.31</v>
      </c>
      <c r="J6" s="18">
        <v>13.34</v>
      </c>
      <c r="K6" s="18">
        <v>13.28</v>
      </c>
      <c r="L6" s="22">
        <v>2</v>
      </c>
    </row>
    <row r="7" spans="1:14">
      <c r="A7">
        <v>1</v>
      </c>
      <c r="B7" s="16" t="s">
        <v>37</v>
      </c>
      <c r="C7" s="9">
        <v>45839</v>
      </c>
      <c r="D7">
        <v>1</v>
      </c>
      <c r="E7" s="16" t="s">
        <v>80</v>
      </c>
      <c r="F7" s="16" t="s">
        <v>81</v>
      </c>
      <c r="G7" s="22">
        <v>24</v>
      </c>
      <c r="H7" s="18">
        <v>271.92</v>
      </c>
      <c r="I7" s="18">
        <v>11.33</v>
      </c>
      <c r="J7" s="18">
        <v>11.5</v>
      </c>
      <c r="K7" s="18">
        <v>11.16</v>
      </c>
      <c r="L7" s="22">
        <v>2</v>
      </c>
    </row>
    <row r="8" spans="1:14">
      <c r="A8">
        <v>1</v>
      </c>
      <c r="B8" s="16" t="s">
        <v>37</v>
      </c>
      <c r="C8" s="9">
        <v>45870</v>
      </c>
      <c r="D8">
        <v>1</v>
      </c>
      <c r="E8" s="16" t="s">
        <v>80</v>
      </c>
      <c r="F8" s="16" t="s">
        <v>81</v>
      </c>
      <c r="G8" s="22">
        <v>24</v>
      </c>
      <c r="H8" s="18">
        <v>270.72000000000003</v>
      </c>
      <c r="I8" s="18">
        <v>11.28</v>
      </c>
      <c r="J8" s="18">
        <v>11.45</v>
      </c>
      <c r="K8" s="18">
        <v>11.11</v>
      </c>
      <c r="L8" s="22">
        <v>2</v>
      </c>
    </row>
    <row r="9" spans="1:14">
      <c r="A9">
        <v>1</v>
      </c>
      <c r="B9" s="16" t="s">
        <v>37</v>
      </c>
      <c r="C9" s="9">
        <v>45901</v>
      </c>
      <c r="D9">
        <v>1</v>
      </c>
      <c r="E9" s="16" t="s">
        <v>80</v>
      </c>
      <c r="F9" s="16" t="s">
        <v>81</v>
      </c>
      <c r="G9" s="22">
        <v>24</v>
      </c>
      <c r="H9" s="18">
        <v>267.12</v>
      </c>
      <c r="I9" s="18">
        <v>11.13</v>
      </c>
      <c r="J9" s="18">
        <v>11.25</v>
      </c>
      <c r="K9" s="18">
        <v>11.01</v>
      </c>
      <c r="L9" s="22">
        <v>2</v>
      </c>
    </row>
    <row r="10" spans="1:14">
      <c r="A10">
        <v>1</v>
      </c>
      <c r="B10" s="16" t="s">
        <v>37</v>
      </c>
      <c r="C10" s="9">
        <v>45931</v>
      </c>
      <c r="D10">
        <v>1</v>
      </c>
      <c r="E10" s="16" t="s">
        <v>80</v>
      </c>
      <c r="F10" s="16" t="s">
        <v>81</v>
      </c>
      <c r="G10" s="22">
        <v>24</v>
      </c>
      <c r="H10" s="18">
        <v>273.24</v>
      </c>
      <c r="I10" s="18">
        <v>11.385</v>
      </c>
      <c r="J10" s="18">
        <v>11.47</v>
      </c>
      <c r="K10" s="18">
        <v>11.3</v>
      </c>
      <c r="L10" s="22">
        <v>2</v>
      </c>
    </row>
    <row r="11" spans="1:14">
      <c r="A11">
        <v>1</v>
      </c>
      <c r="B11" s="16" t="s">
        <v>37</v>
      </c>
      <c r="C11" s="9">
        <v>45962</v>
      </c>
      <c r="D11">
        <v>1</v>
      </c>
      <c r="E11" s="16" t="s">
        <v>80</v>
      </c>
      <c r="F11" s="16" t="s">
        <v>81</v>
      </c>
      <c r="G11" s="22">
        <v>24</v>
      </c>
      <c r="H11" s="18">
        <v>274.56</v>
      </c>
      <c r="I11" s="18">
        <v>11.44</v>
      </c>
      <c r="J11" s="18">
        <v>11.55</v>
      </c>
      <c r="K11" s="18">
        <v>11.33</v>
      </c>
      <c r="L11" s="22">
        <v>2</v>
      </c>
    </row>
    <row r="12" spans="1:14">
      <c r="A12">
        <v>1</v>
      </c>
      <c r="B12" s="16" t="s">
        <v>37</v>
      </c>
      <c r="C12" s="9">
        <v>45992</v>
      </c>
      <c r="D12">
        <v>1</v>
      </c>
      <c r="E12" s="16" t="s">
        <v>80</v>
      </c>
      <c r="F12" s="16" t="s">
        <v>81</v>
      </c>
      <c r="G12" s="22">
        <v>36</v>
      </c>
      <c r="H12" s="18">
        <v>415.44</v>
      </c>
      <c r="I12" s="18">
        <v>11.54</v>
      </c>
      <c r="J12" s="18">
        <v>11.68</v>
      </c>
      <c r="K12" s="18">
        <v>11.41</v>
      </c>
      <c r="L12" s="22">
        <v>3</v>
      </c>
    </row>
    <row r="13" spans="1:14">
      <c r="A13">
        <v>1</v>
      </c>
      <c r="B13" s="16" t="s">
        <v>37</v>
      </c>
      <c r="C13" s="9">
        <v>46023</v>
      </c>
      <c r="D13">
        <v>1</v>
      </c>
      <c r="E13" s="16" t="s">
        <v>80</v>
      </c>
      <c r="F13" s="16" t="s">
        <v>81</v>
      </c>
      <c r="G13" s="22">
        <v>12</v>
      </c>
      <c r="H13" s="18">
        <v>129.96</v>
      </c>
      <c r="I13" s="18">
        <v>10.83</v>
      </c>
      <c r="J13" s="18">
        <v>10.83</v>
      </c>
      <c r="K13" s="18">
        <v>10.83</v>
      </c>
      <c r="L13" s="22">
        <v>1</v>
      </c>
    </row>
    <row r="14" spans="1:14">
      <c r="A14">
        <v>1</v>
      </c>
      <c r="B14" s="16" t="s">
        <v>37</v>
      </c>
      <c r="C14" s="9">
        <v>46054</v>
      </c>
      <c r="D14">
        <v>1</v>
      </c>
      <c r="E14" s="16" t="s">
        <v>80</v>
      </c>
      <c r="F14" s="16" t="s">
        <v>81</v>
      </c>
      <c r="G14" s="22">
        <v>24</v>
      </c>
      <c r="H14" s="18">
        <v>267.36</v>
      </c>
      <c r="I14" s="18">
        <v>11.14</v>
      </c>
      <c r="J14" s="18">
        <v>11.22</v>
      </c>
      <c r="K14" s="18">
        <v>11.06</v>
      </c>
      <c r="L14" s="22">
        <v>2</v>
      </c>
    </row>
    <row r="15" spans="1:14">
      <c r="A15">
        <v>1</v>
      </c>
      <c r="B15" s="16" t="s">
        <v>37</v>
      </c>
      <c r="C15" s="9">
        <v>46082</v>
      </c>
      <c r="D15">
        <v>1</v>
      </c>
      <c r="E15" s="16" t="s">
        <v>80</v>
      </c>
      <c r="F15" s="16" t="s">
        <v>81</v>
      </c>
      <c r="G15" s="22">
        <v>24</v>
      </c>
      <c r="H15" s="18">
        <v>319.92</v>
      </c>
      <c r="I15" s="18">
        <v>13.33</v>
      </c>
      <c r="J15" s="18">
        <v>13.34</v>
      </c>
      <c r="K15" s="18">
        <v>13.32</v>
      </c>
      <c r="L15" s="22">
        <v>2</v>
      </c>
    </row>
    <row r="16" spans="1:14">
      <c r="A16">
        <v>1</v>
      </c>
      <c r="B16" s="16" t="s">
        <v>37</v>
      </c>
      <c r="C16" s="9">
        <v>46113</v>
      </c>
      <c r="D16">
        <v>1</v>
      </c>
      <c r="E16" s="16" t="s">
        <v>80</v>
      </c>
      <c r="F16" s="16" t="s">
        <v>81</v>
      </c>
      <c r="G16" s="22">
        <v>24</v>
      </c>
      <c r="H16" s="18">
        <v>320.04000000000002</v>
      </c>
      <c r="I16" s="18">
        <v>13.335000000000001</v>
      </c>
      <c r="J16" s="18">
        <v>13.41</v>
      </c>
      <c r="K16" s="18">
        <v>13.26</v>
      </c>
      <c r="L16" s="22">
        <v>2</v>
      </c>
    </row>
    <row r="17" spans="1:12">
      <c r="A17">
        <v>1</v>
      </c>
      <c r="B17" s="16" t="s">
        <v>37</v>
      </c>
      <c r="C17" s="9">
        <v>46143</v>
      </c>
      <c r="D17">
        <v>1</v>
      </c>
      <c r="E17" s="16" t="s">
        <v>80</v>
      </c>
      <c r="F17" s="16" t="s">
        <v>81</v>
      </c>
      <c r="G17" s="22">
        <v>24</v>
      </c>
      <c r="H17" s="18">
        <v>310.92</v>
      </c>
      <c r="I17" s="18">
        <v>12.955</v>
      </c>
      <c r="J17" s="18">
        <v>12.99</v>
      </c>
      <c r="K17" s="18">
        <v>12.92</v>
      </c>
      <c r="L17" s="22">
        <v>2</v>
      </c>
    </row>
    <row r="18" spans="1:12">
      <c r="A18">
        <v>1</v>
      </c>
      <c r="B18" s="16" t="s">
        <v>37</v>
      </c>
      <c r="C18" s="9">
        <v>46174</v>
      </c>
      <c r="D18">
        <v>1</v>
      </c>
      <c r="E18" s="16" t="s">
        <v>80</v>
      </c>
      <c r="F18" s="16" t="s">
        <v>81</v>
      </c>
      <c r="G18" s="22">
        <v>24</v>
      </c>
      <c r="H18" s="18">
        <v>314.88</v>
      </c>
      <c r="I18" s="18">
        <v>13.12</v>
      </c>
      <c r="J18" s="18">
        <v>13.19</v>
      </c>
      <c r="K18" s="18">
        <v>13.05</v>
      </c>
      <c r="L18" s="22">
        <v>2</v>
      </c>
    </row>
    <row r="19" spans="1:12">
      <c r="A19">
        <v>1</v>
      </c>
      <c r="B19" s="16" t="s">
        <v>37</v>
      </c>
      <c r="C19" s="9">
        <v>46204</v>
      </c>
      <c r="D19">
        <v>1</v>
      </c>
      <c r="E19" s="16" t="s">
        <v>80</v>
      </c>
      <c r="F19" s="16" t="s">
        <v>81</v>
      </c>
      <c r="G19" s="22">
        <v>36</v>
      </c>
      <c r="H19" s="18">
        <v>390.48</v>
      </c>
      <c r="I19" s="18">
        <v>10.846666666999999</v>
      </c>
      <c r="J19" s="18">
        <v>10.86</v>
      </c>
      <c r="K19" s="18">
        <v>10.82</v>
      </c>
      <c r="L19" s="22">
        <v>2</v>
      </c>
    </row>
    <row r="20" spans="1:12">
      <c r="A20">
        <v>1</v>
      </c>
      <c r="B20" s="16" t="s">
        <v>37</v>
      </c>
      <c r="C20" s="9">
        <v>46235</v>
      </c>
      <c r="D20">
        <v>1</v>
      </c>
      <c r="E20" s="16" t="s">
        <v>80</v>
      </c>
      <c r="F20" s="16" t="s">
        <v>81</v>
      </c>
      <c r="G20" s="22">
        <v>12</v>
      </c>
      <c r="H20" s="18">
        <v>127.92</v>
      </c>
      <c r="I20" s="18">
        <v>10.66</v>
      </c>
      <c r="J20" s="18">
        <v>10.66</v>
      </c>
      <c r="K20" s="18">
        <v>10.66</v>
      </c>
      <c r="L20" s="22">
        <v>1</v>
      </c>
    </row>
    <row r="21" spans="1:12">
      <c r="A21">
        <v>1</v>
      </c>
      <c r="B21" s="16" t="s">
        <v>37</v>
      </c>
      <c r="C21" s="9">
        <v>46266</v>
      </c>
      <c r="D21">
        <v>1</v>
      </c>
      <c r="E21" s="16" t="s">
        <v>80</v>
      </c>
      <c r="F21" s="16" t="s">
        <v>81</v>
      </c>
      <c r="G21" s="22">
        <v>24</v>
      </c>
      <c r="H21" s="18">
        <v>260.27999999999997</v>
      </c>
      <c r="I21" s="18">
        <v>10.845000000000001</v>
      </c>
      <c r="J21" s="18">
        <v>10.88</v>
      </c>
      <c r="K21" s="18">
        <v>10.81</v>
      </c>
      <c r="L21" s="22">
        <v>2</v>
      </c>
    </row>
    <row r="22" spans="1:12">
      <c r="A22">
        <v>1</v>
      </c>
      <c r="B22" s="16" t="s">
        <v>37</v>
      </c>
      <c r="C22" s="9">
        <v>45689</v>
      </c>
      <c r="D22">
        <v>2</v>
      </c>
      <c r="E22" s="16" t="s">
        <v>82</v>
      </c>
      <c r="F22" s="16" t="s">
        <v>83</v>
      </c>
      <c r="G22" s="22">
        <v>21</v>
      </c>
      <c r="H22" s="18">
        <v>332.59</v>
      </c>
      <c r="I22" s="18">
        <v>15.837619048000001</v>
      </c>
      <c r="J22" s="18">
        <v>16.11</v>
      </c>
      <c r="K22" s="18">
        <v>15.53</v>
      </c>
      <c r="L22" s="22">
        <v>8</v>
      </c>
    </row>
    <row r="23" spans="1:12">
      <c r="A23">
        <v>1</v>
      </c>
      <c r="B23" s="16" t="s">
        <v>37</v>
      </c>
      <c r="C23" s="9">
        <v>45717</v>
      </c>
      <c r="D23">
        <v>2</v>
      </c>
      <c r="E23" s="16" t="s">
        <v>82</v>
      </c>
      <c r="F23" s="16" t="s">
        <v>83</v>
      </c>
      <c r="G23" s="22">
        <v>21</v>
      </c>
      <c r="H23" s="18">
        <v>333.48500000000001</v>
      </c>
      <c r="I23" s="18">
        <v>15.880238094999999</v>
      </c>
      <c r="J23" s="18">
        <v>16.34</v>
      </c>
      <c r="K23" s="18">
        <v>15.52</v>
      </c>
      <c r="L23" s="22">
        <v>9</v>
      </c>
    </row>
    <row r="24" spans="1:12">
      <c r="A24">
        <v>1</v>
      </c>
      <c r="B24" s="16" t="s">
        <v>37</v>
      </c>
      <c r="C24" s="9">
        <v>45748</v>
      </c>
      <c r="D24">
        <v>2</v>
      </c>
      <c r="E24" s="16" t="s">
        <v>82</v>
      </c>
      <c r="F24" s="16" t="s">
        <v>83</v>
      </c>
      <c r="G24" s="22">
        <v>19.5</v>
      </c>
      <c r="H24" s="18">
        <v>312.22000000000003</v>
      </c>
      <c r="I24" s="18">
        <v>16.011282050999998</v>
      </c>
      <c r="J24" s="18">
        <v>16.54</v>
      </c>
      <c r="K24" s="18">
        <v>15.59</v>
      </c>
      <c r="L24" s="22">
        <v>8</v>
      </c>
    </row>
    <row r="25" spans="1:12">
      <c r="A25">
        <v>1</v>
      </c>
      <c r="B25" s="16" t="s">
        <v>37</v>
      </c>
      <c r="C25" s="9">
        <v>45778</v>
      </c>
      <c r="D25">
        <v>2</v>
      </c>
      <c r="E25" s="16" t="s">
        <v>82</v>
      </c>
      <c r="F25" s="16" t="s">
        <v>83</v>
      </c>
      <c r="G25" s="22">
        <v>21.5</v>
      </c>
      <c r="H25" s="18">
        <v>346.58</v>
      </c>
      <c r="I25" s="18">
        <v>16.12</v>
      </c>
      <c r="J25" s="18">
        <v>16.91</v>
      </c>
      <c r="K25" s="18">
        <v>15.86</v>
      </c>
      <c r="L25" s="22">
        <v>9</v>
      </c>
    </row>
    <row r="26" spans="1:12">
      <c r="A26">
        <v>1</v>
      </c>
      <c r="B26" s="16" t="s">
        <v>37</v>
      </c>
      <c r="C26" s="9">
        <v>45809</v>
      </c>
      <c r="D26">
        <v>2</v>
      </c>
      <c r="E26" s="16" t="s">
        <v>82</v>
      </c>
      <c r="F26" s="16" t="s">
        <v>83</v>
      </c>
      <c r="G26" s="22">
        <v>21</v>
      </c>
      <c r="H26" s="18">
        <v>338.48500000000001</v>
      </c>
      <c r="I26" s="18">
        <v>16.118333332999999</v>
      </c>
      <c r="J26" s="18">
        <v>16.41</v>
      </c>
      <c r="K26" s="18">
        <v>16</v>
      </c>
      <c r="L26" s="22">
        <v>9</v>
      </c>
    </row>
    <row r="27" spans="1:12">
      <c r="A27">
        <v>1</v>
      </c>
      <c r="B27" s="16" t="s">
        <v>37</v>
      </c>
      <c r="C27" s="9">
        <v>45839</v>
      </c>
      <c r="D27">
        <v>2</v>
      </c>
      <c r="E27" s="16" t="s">
        <v>82</v>
      </c>
      <c r="F27" s="16" t="s">
        <v>83</v>
      </c>
      <c r="G27" s="22">
        <v>18</v>
      </c>
      <c r="H27" s="18">
        <v>312.39999999999998</v>
      </c>
      <c r="I27" s="18">
        <v>17.355555555999999</v>
      </c>
      <c r="J27" s="18">
        <v>17.850000000000001</v>
      </c>
      <c r="K27" s="18">
        <v>16.88</v>
      </c>
      <c r="L27" s="22">
        <v>9</v>
      </c>
    </row>
    <row r="28" spans="1:12">
      <c r="A28">
        <v>1</v>
      </c>
      <c r="B28" s="16" t="s">
        <v>37</v>
      </c>
      <c r="C28" s="9">
        <v>45870</v>
      </c>
      <c r="D28">
        <v>2</v>
      </c>
      <c r="E28" s="16" t="s">
        <v>82</v>
      </c>
      <c r="F28" s="16" t="s">
        <v>83</v>
      </c>
      <c r="G28" s="22">
        <v>13.5</v>
      </c>
      <c r="H28" s="18">
        <v>237.43</v>
      </c>
      <c r="I28" s="18">
        <v>17.587407407000001</v>
      </c>
      <c r="J28" s="18">
        <v>17.82</v>
      </c>
      <c r="K28" s="18">
        <v>17.440000000000001</v>
      </c>
      <c r="L28" s="22">
        <v>8</v>
      </c>
    </row>
    <row r="29" spans="1:12">
      <c r="A29">
        <v>1</v>
      </c>
      <c r="B29" s="16" t="s">
        <v>37</v>
      </c>
      <c r="C29" s="9">
        <v>45901</v>
      </c>
      <c r="D29">
        <v>2</v>
      </c>
      <c r="E29" s="16" t="s">
        <v>82</v>
      </c>
      <c r="F29" s="16" t="s">
        <v>83</v>
      </c>
      <c r="G29" s="22">
        <v>22</v>
      </c>
      <c r="H29" s="18">
        <v>389.88499999999999</v>
      </c>
      <c r="I29" s="18">
        <v>17.722045455</v>
      </c>
      <c r="J29" s="18">
        <v>18.010000000000002</v>
      </c>
      <c r="K29" s="18">
        <v>17.48</v>
      </c>
      <c r="L29" s="22">
        <v>9</v>
      </c>
    </row>
    <row r="30" spans="1:12">
      <c r="A30">
        <v>1</v>
      </c>
      <c r="B30" s="16" t="s">
        <v>37</v>
      </c>
      <c r="C30" s="9">
        <v>45931</v>
      </c>
      <c r="D30">
        <v>2</v>
      </c>
      <c r="E30" s="16" t="s">
        <v>82</v>
      </c>
      <c r="F30" s="16" t="s">
        <v>83</v>
      </c>
      <c r="G30" s="22">
        <v>25.5</v>
      </c>
      <c r="H30" s="18">
        <v>457.495</v>
      </c>
      <c r="I30" s="18">
        <v>17.940980392</v>
      </c>
      <c r="J30" s="18">
        <v>18.32</v>
      </c>
      <c r="K30" s="18">
        <v>17.57</v>
      </c>
      <c r="L30" s="22">
        <v>9</v>
      </c>
    </row>
    <row r="31" spans="1:12">
      <c r="A31">
        <v>1</v>
      </c>
      <c r="B31" s="16" t="s">
        <v>37</v>
      </c>
      <c r="C31" s="9">
        <v>45962</v>
      </c>
      <c r="D31">
        <v>2</v>
      </c>
      <c r="E31" s="16" t="s">
        <v>82</v>
      </c>
      <c r="F31" s="16" t="s">
        <v>83</v>
      </c>
      <c r="G31" s="22">
        <v>23</v>
      </c>
      <c r="H31" s="18">
        <v>414.67</v>
      </c>
      <c r="I31" s="18">
        <v>18.029130434999999</v>
      </c>
      <c r="J31" s="18">
        <v>18.329999999999998</v>
      </c>
      <c r="K31" s="18">
        <v>17.690000000000001</v>
      </c>
      <c r="L31" s="22">
        <v>8</v>
      </c>
    </row>
    <row r="32" spans="1:12">
      <c r="A32">
        <v>1</v>
      </c>
      <c r="B32" s="16" t="s">
        <v>37</v>
      </c>
      <c r="C32" s="9">
        <v>45992</v>
      </c>
      <c r="D32">
        <v>2</v>
      </c>
      <c r="E32" s="16" t="s">
        <v>82</v>
      </c>
      <c r="F32" s="16" t="s">
        <v>83</v>
      </c>
      <c r="G32" s="22">
        <v>27</v>
      </c>
      <c r="H32" s="18">
        <v>487.41</v>
      </c>
      <c r="I32" s="18">
        <v>18.052222222000001</v>
      </c>
      <c r="J32" s="18">
        <v>18.64</v>
      </c>
      <c r="K32" s="18">
        <v>17.73</v>
      </c>
      <c r="L32" s="22">
        <v>9</v>
      </c>
    </row>
    <row r="33" spans="1:12">
      <c r="A33">
        <v>1</v>
      </c>
      <c r="B33" s="16" t="s">
        <v>37</v>
      </c>
      <c r="C33" s="9">
        <v>46023</v>
      </c>
      <c r="D33">
        <v>2</v>
      </c>
      <c r="E33" s="16" t="s">
        <v>82</v>
      </c>
      <c r="F33" s="16" t="s">
        <v>83</v>
      </c>
      <c r="G33" s="22">
        <v>26</v>
      </c>
      <c r="H33" s="18">
        <v>441.9</v>
      </c>
      <c r="I33" s="18">
        <v>16.996153845999999</v>
      </c>
      <c r="J33" s="18">
        <v>17.260000000000002</v>
      </c>
      <c r="K33" s="18">
        <v>16.72</v>
      </c>
      <c r="L33" s="22">
        <v>9</v>
      </c>
    </row>
    <row r="34" spans="1:12">
      <c r="A34">
        <v>1</v>
      </c>
      <c r="B34" s="16" t="s">
        <v>37</v>
      </c>
      <c r="C34" s="9">
        <v>46054</v>
      </c>
      <c r="D34">
        <v>2</v>
      </c>
      <c r="E34" s="16" t="s">
        <v>82</v>
      </c>
      <c r="F34" s="16" t="s">
        <v>83</v>
      </c>
      <c r="G34" s="22">
        <v>23.5</v>
      </c>
      <c r="H34" s="18">
        <v>398.93</v>
      </c>
      <c r="I34" s="18">
        <v>16.975744680999998</v>
      </c>
      <c r="J34" s="18">
        <v>17.149999999999999</v>
      </c>
      <c r="K34" s="18">
        <v>16.55</v>
      </c>
      <c r="L34" s="22">
        <v>8</v>
      </c>
    </row>
    <row r="35" spans="1:12">
      <c r="A35">
        <v>1</v>
      </c>
      <c r="B35" s="16" t="s">
        <v>37</v>
      </c>
      <c r="C35" s="9">
        <v>46082</v>
      </c>
      <c r="D35">
        <v>2</v>
      </c>
      <c r="E35" s="16" t="s">
        <v>82</v>
      </c>
      <c r="F35" s="16" t="s">
        <v>83</v>
      </c>
      <c r="G35" s="22">
        <v>23.5</v>
      </c>
      <c r="H35" s="18">
        <v>404.47</v>
      </c>
      <c r="I35" s="18">
        <v>17.211489361999998</v>
      </c>
      <c r="J35" s="18">
        <v>17.559999999999999</v>
      </c>
      <c r="K35" s="18">
        <v>16.84</v>
      </c>
      <c r="L35" s="22">
        <v>9</v>
      </c>
    </row>
    <row r="36" spans="1:12">
      <c r="A36">
        <v>1</v>
      </c>
      <c r="B36" s="16" t="s">
        <v>37</v>
      </c>
      <c r="C36" s="9">
        <v>46113</v>
      </c>
      <c r="D36">
        <v>2</v>
      </c>
      <c r="E36" s="16" t="s">
        <v>82</v>
      </c>
      <c r="F36" s="16" t="s">
        <v>83</v>
      </c>
      <c r="G36" s="22">
        <v>25</v>
      </c>
      <c r="H36" s="18">
        <v>431.76</v>
      </c>
      <c r="I36" s="18">
        <v>17.270399999999999</v>
      </c>
      <c r="J36" s="18">
        <v>17.739999999999998</v>
      </c>
      <c r="K36" s="18">
        <v>16.87</v>
      </c>
      <c r="L36" s="22">
        <v>9</v>
      </c>
    </row>
    <row r="37" spans="1:12">
      <c r="A37">
        <v>1</v>
      </c>
      <c r="B37" s="16" t="s">
        <v>37</v>
      </c>
      <c r="C37" s="9">
        <v>46143</v>
      </c>
      <c r="D37">
        <v>2</v>
      </c>
      <c r="E37" s="16" t="s">
        <v>82</v>
      </c>
      <c r="F37" s="16" t="s">
        <v>83</v>
      </c>
      <c r="G37" s="22">
        <v>19</v>
      </c>
      <c r="H37" s="18">
        <v>331.755</v>
      </c>
      <c r="I37" s="18">
        <v>17.460789473999998</v>
      </c>
      <c r="J37" s="18">
        <v>18.73</v>
      </c>
      <c r="K37" s="18">
        <v>17.079999999999998</v>
      </c>
      <c r="L37" s="22">
        <v>8</v>
      </c>
    </row>
    <row r="38" spans="1:12">
      <c r="A38">
        <v>1</v>
      </c>
      <c r="B38" s="16" t="s">
        <v>37</v>
      </c>
      <c r="C38" s="9">
        <v>46174</v>
      </c>
      <c r="D38">
        <v>2</v>
      </c>
      <c r="E38" s="16" t="s">
        <v>82</v>
      </c>
      <c r="F38" s="16" t="s">
        <v>83</v>
      </c>
      <c r="G38" s="22">
        <v>20.5</v>
      </c>
      <c r="H38" s="18">
        <v>362.38</v>
      </c>
      <c r="I38" s="18">
        <v>17.677073171</v>
      </c>
      <c r="J38" s="18">
        <v>18.670000000000002</v>
      </c>
      <c r="K38" s="18">
        <v>17.3</v>
      </c>
      <c r="L38" s="22">
        <v>9</v>
      </c>
    </row>
    <row r="39" spans="1:12">
      <c r="A39">
        <v>1</v>
      </c>
      <c r="B39" s="16" t="s">
        <v>37</v>
      </c>
      <c r="C39" s="9">
        <v>46204</v>
      </c>
      <c r="D39">
        <v>2</v>
      </c>
      <c r="E39" s="16" t="s">
        <v>82</v>
      </c>
      <c r="F39" s="16" t="s">
        <v>83</v>
      </c>
      <c r="G39" s="22">
        <v>20</v>
      </c>
      <c r="H39" s="18">
        <v>373.79500000000002</v>
      </c>
      <c r="I39" s="18">
        <v>18.68975</v>
      </c>
      <c r="J39" s="18">
        <v>19.149999999999999</v>
      </c>
      <c r="K39" s="18">
        <v>18.440000000000001</v>
      </c>
      <c r="L39" s="22">
        <v>9</v>
      </c>
    </row>
    <row r="40" spans="1:12">
      <c r="A40">
        <v>1</v>
      </c>
      <c r="B40" s="16" t="s">
        <v>37</v>
      </c>
      <c r="C40" s="9">
        <v>46235</v>
      </c>
      <c r="D40">
        <v>2</v>
      </c>
      <c r="E40" s="16" t="s">
        <v>82</v>
      </c>
      <c r="F40" s="16" t="s">
        <v>83</v>
      </c>
      <c r="G40" s="22">
        <v>20</v>
      </c>
      <c r="H40" s="18">
        <v>375.79500000000002</v>
      </c>
      <c r="I40" s="18">
        <v>18.789750000000002</v>
      </c>
      <c r="J40" s="18">
        <v>19.239999999999998</v>
      </c>
      <c r="K40" s="18">
        <v>18.47</v>
      </c>
      <c r="L40" s="22">
        <v>9</v>
      </c>
    </row>
    <row r="41" spans="1:12">
      <c r="A41">
        <v>1</v>
      </c>
      <c r="B41" s="16" t="s">
        <v>37</v>
      </c>
      <c r="C41" s="9">
        <v>46266</v>
      </c>
      <c r="D41">
        <v>2</v>
      </c>
      <c r="E41" s="16" t="s">
        <v>82</v>
      </c>
      <c r="F41" s="16" t="s">
        <v>83</v>
      </c>
      <c r="G41" s="22">
        <v>21.5</v>
      </c>
      <c r="H41" s="18">
        <v>409.16</v>
      </c>
      <c r="I41" s="18">
        <v>19.030697673999999</v>
      </c>
      <c r="J41" s="18">
        <v>20.11</v>
      </c>
      <c r="K41" s="18">
        <v>18.36</v>
      </c>
      <c r="L41" s="22">
        <v>8</v>
      </c>
    </row>
    <row r="42" spans="1:12">
      <c r="A42">
        <v>1</v>
      </c>
      <c r="B42" s="16" t="s">
        <v>37</v>
      </c>
      <c r="C42" s="9">
        <v>45689</v>
      </c>
      <c r="D42">
        <v>3</v>
      </c>
      <c r="E42" s="16" t="s">
        <v>84</v>
      </c>
      <c r="F42" s="16" t="s">
        <v>85</v>
      </c>
      <c r="G42" s="22">
        <v>250</v>
      </c>
      <c r="H42" s="18">
        <v>171.5</v>
      </c>
      <c r="I42" s="18">
        <v>0.68600000000000005</v>
      </c>
      <c r="J42" s="18">
        <v>0.69</v>
      </c>
      <c r="K42" s="18">
        <v>0.68</v>
      </c>
      <c r="L42" s="22">
        <v>2</v>
      </c>
    </row>
    <row r="43" spans="1:12">
      <c r="A43">
        <v>1</v>
      </c>
      <c r="B43" s="16" t="s">
        <v>37</v>
      </c>
      <c r="C43" s="9">
        <v>45717</v>
      </c>
      <c r="D43">
        <v>3</v>
      </c>
      <c r="E43" s="16" t="s">
        <v>84</v>
      </c>
      <c r="F43" s="16" t="s">
        <v>85</v>
      </c>
      <c r="G43" s="22">
        <v>250</v>
      </c>
      <c r="H43" s="18">
        <v>172</v>
      </c>
      <c r="I43" s="18">
        <v>0.68799999999999994</v>
      </c>
      <c r="J43" s="18">
        <v>0.7</v>
      </c>
      <c r="K43" s="18">
        <v>0.68</v>
      </c>
      <c r="L43" s="22">
        <v>2</v>
      </c>
    </row>
    <row r="44" spans="1:12">
      <c r="A44">
        <v>1</v>
      </c>
      <c r="B44" s="16" t="s">
        <v>37</v>
      </c>
      <c r="C44" s="9">
        <v>45748</v>
      </c>
      <c r="D44">
        <v>3</v>
      </c>
      <c r="E44" s="16" t="s">
        <v>84</v>
      </c>
      <c r="F44" s="16" t="s">
        <v>85</v>
      </c>
      <c r="G44" s="22">
        <v>400</v>
      </c>
      <c r="H44" s="18">
        <v>277.5</v>
      </c>
      <c r="I44" s="18">
        <v>0.69374999999999998</v>
      </c>
      <c r="J44" s="18">
        <v>0.7</v>
      </c>
      <c r="K44" s="18">
        <v>0.69</v>
      </c>
      <c r="L44" s="22">
        <v>3</v>
      </c>
    </row>
    <row r="45" spans="1:12">
      <c r="A45">
        <v>1</v>
      </c>
      <c r="B45" s="16" t="s">
        <v>37</v>
      </c>
      <c r="C45" s="9">
        <v>45778</v>
      </c>
      <c r="D45">
        <v>3</v>
      </c>
      <c r="E45" s="16" t="s">
        <v>84</v>
      </c>
      <c r="F45" s="16" t="s">
        <v>85</v>
      </c>
      <c r="G45" s="22">
        <v>250</v>
      </c>
      <c r="H45" s="18">
        <v>175.5</v>
      </c>
      <c r="I45" s="18">
        <v>0.70199999999999996</v>
      </c>
      <c r="J45" s="18">
        <v>0.71</v>
      </c>
      <c r="K45" s="18">
        <v>0.69</v>
      </c>
      <c r="L45" s="22">
        <v>2</v>
      </c>
    </row>
    <row r="46" spans="1:12">
      <c r="A46">
        <v>1</v>
      </c>
      <c r="B46" s="16" t="s">
        <v>37</v>
      </c>
      <c r="C46" s="9">
        <v>45809</v>
      </c>
      <c r="D46">
        <v>3</v>
      </c>
      <c r="E46" s="16" t="s">
        <v>84</v>
      </c>
      <c r="F46" s="16" t="s">
        <v>85</v>
      </c>
      <c r="G46" s="22">
        <v>250</v>
      </c>
      <c r="H46" s="18">
        <v>174</v>
      </c>
      <c r="I46" s="18">
        <v>0.69599999999999995</v>
      </c>
      <c r="J46" s="18">
        <v>0.7</v>
      </c>
      <c r="K46" s="18">
        <v>0.69</v>
      </c>
      <c r="L46" s="22">
        <v>2</v>
      </c>
    </row>
    <row r="47" spans="1:12">
      <c r="A47">
        <v>1</v>
      </c>
      <c r="B47" s="16" t="s">
        <v>37</v>
      </c>
      <c r="C47" s="9">
        <v>45839</v>
      </c>
      <c r="D47">
        <v>3</v>
      </c>
      <c r="E47" s="16" t="s">
        <v>84</v>
      </c>
      <c r="F47" s="16" t="s">
        <v>85</v>
      </c>
      <c r="G47" s="22">
        <v>200</v>
      </c>
      <c r="H47" s="18">
        <v>138</v>
      </c>
      <c r="I47" s="18">
        <v>0.69</v>
      </c>
      <c r="J47" s="18">
        <v>0.69</v>
      </c>
      <c r="K47" s="18">
        <v>0.69</v>
      </c>
      <c r="L47" s="22">
        <v>2</v>
      </c>
    </row>
    <row r="48" spans="1:12">
      <c r="A48">
        <v>1</v>
      </c>
      <c r="B48" s="16" t="s">
        <v>37</v>
      </c>
      <c r="C48" s="9">
        <v>45870</v>
      </c>
      <c r="D48">
        <v>3</v>
      </c>
      <c r="E48" s="16" t="s">
        <v>84</v>
      </c>
      <c r="F48" s="16" t="s">
        <v>85</v>
      </c>
      <c r="G48" s="22">
        <v>250</v>
      </c>
      <c r="H48" s="18">
        <v>172</v>
      </c>
      <c r="I48" s="18">
        <v>0.68799999999999994</v>
      </c>
      <c r="J48" s="18">
        <v>0.7</v>
      </c>
      <c r="K48" s="18">
        <v>0.67</v>
      </c>
      <c r="L48" s="22">
        <v>2</v>
      </c>
    </row>
    <row r="49" spans="1:12">
      <c r="A49">
        <v>1</v>
      </c>
      <c r="B49" s="16" t="s">
        <v>37</v>
      </c>
      <c r="C49" s="9">
        <v>45901</v>
      </c>
      <c r="D49">
        <v>3</v>
      </c>
      <c r="E49" s="16" t="s">
        <v>84</v>
      </c>
      <c r="F49" s="16" t="s">
        <v>85</v>
      </c>
      <c r="G49" s="22">
        <v>400</v>
      </c>
      <c r="H49" s="18">
        <v>274.5</v>
      </c>
      <c r="I49" s="18">
        <v>0.68625000000000003</v>
      </c>
      <c r="J49" s="18">
        <v>0.69</v>
      </c>
      <c r="K49" s="18">
        <v>0.68</v>
      </c>
      <c r="L49" s="22">
        <v>3</v>
      </c>
    </row>
    <row r="50" spans="1:12">
      <c r="A50">
        <v>1</v>
      </c>
      <c r="B50" s="16" t="s">
        <v>37</v>
      </c>
      <c r="C50" s="9">
        <v>45931</v>
      </c>
      <c r="D50">
        <v>3</v>
      </c>
      <c r="E50" s="16" t="s">
        <v>84</v>
      </c>
      <c r="F50" s="16" t="s">
        <v>85</v>
      </c>
      <c r="G50" s="22">
        <v>300</v>
      </c>
      <c r="H50" s="18">
        <v>208.5</v>
      </c>
      <c r="I50" s="18">
        <v>0.69499999999999995</v>
      </c>
      <c r="J50" s="18">
        <v>0.71</v>
      </c>
      <c r="K50" s="18">
        <v>0.68</v>
      </c>
      <c r="L50" s="22">
        <v>2</v>
      </c>
    </row>
    <row r="51" spans="1:12">
      <c r="A51">
        <v>1</v>
      </c>
      <c r="B51" s="16" t="s">
        <v>37</v>
      </c>
      <c r="C51" s="9">
        <v>45962</v>
      </c>
      <c r="D51">
        <v>3</v>
      </c>
      <c r="E51" s="16" t="s">
        <v>84</v>
      </c>
      <c r="F51" s="16" t="s">
        <v>85</v>
      </c>
      <c r="G51" s="22">
        <v>300</v>
      </c>
      <c r="H51" s="18">
        <v>214.5</v>
      </c>
      <c r="I51" s="18">
        <v>0.71499999999999997</v>
      </c>
      <c r="J51" s="18">
        <v>0.72</v>
      </c>
      <c r="K51" s="18">
        <v>0.71</v>
      </c>
      <c r="L51" s="22">
        <v>2</v>
      </c>
    </row>
    <row r="52" spans="1:12">
      <c r="A52">
        <v>1</v>
      </c>
      <c r="B52" s="16" t="s">
        <v>37</v>
      </c>
      <c r="C52" s="9">
        <v>45992</v>
      </c>
      <c r="D52">
        <v>3</v>
      </c>
      <c r="E52" s="16" t="s">
        <v>84</v>
      </c>
      <c r="F52" s="16" t="s">
        <v>85</v>
      </c>
      <c r="G52" s="22">
        <v>350</v>
      </c>
      <c r="H52" s="18">
        <v>252</v>
      </c>
      <c r="I52" s="18">
        <v>0.72</v>
      </c>
      <c r="J52" s="18">
        <v>0.72</v>
      </c>
      <c r="K52" s="18">
        <v>0.72</v>
      </c>
      <c r="L52" s="22">
        <v>2</v>
      </c>
    </row>
    <row r="53" spans="1:12">
      <c r="A53">
        <v>1</v>
      </c>
      <c r="B53" s="16" t="s">
        <v>37</v>
      </c>
      <c r="C53" s="9">
        <v>46023</v>
      </c>
      <c r="D53">
        <v>3</v>
      </c>
      <c r="E53" s="16" t="s">
        <v>84</v>
      </c>
      <c r="F53" s="16" t="s">
        <v>85</v>
      </c>
      <c r="G53" s="22">
        <v>300</v>
      </c>
      <c r="H53" s="18">
        <v>222</v>
      </c>
      <c r="I53" s="18">
        <v>0.74</v>
      </c>
      <c r="J53" s="18">
        <v>0.75</v>
      </c>
      <c r="K53" s="18">
        <v>0.73</v>
      </c>
      <c r="L53" s="22">
        <v>2</v>
      </c>
    </row>
    <row r="54" spans="1:12">
      <c r="A54">
        <v>1</v>
      </c>
      <c r="B54" s="16" t="s">
        <v>37</v>
      </c>
      <c r="C54" s="9">
        <v>46054</v>
      </c>
      <c r="D54">
        <v>3</v>
      </c>
      <c r="E54" s="16" t="s">
        <v>84</v>
      </c>
      <c r="F54" s="16" t="s">
        <v>85</v>
      </c>
      <c r="G54" s="22">
        <v>250</v>
      </c>
      <c r="H54" s="18">
        <v>184</v>
      </c>
      <c r="I54" s="18">
        <v>0.73599999999999999</v>
      </c>
      <c r="J54" s="18">
        <v>0.74</v>
      </c>
      <c r="K54" s="18">
        <v>0.73</v>
      </c>
      <c r="L54" s="22">
        <v>2</v>
      </c>
    </row>
    <row r="55" spans="1:12">
      <c r="A55">
        <v>1</v>
      </c>
      <c r="B55" s="16" t="s">
        <v>37</v>
      </c>
      <c r="C55" s="9">
        <v>46082</v>
      </c>
      <c r="D55">
        <v>3</v>
      </c>
      <c r="E55" s="16" t="s">
        <v>84</v>
      </c>
      <c r="F55" s="16" t="s">
        <v>85</v>
      </c>
      <c r="G55" s="22">
        <v>450</v>
      </c>
      <c r="H55" s="18">
        <v>333</v>
      </c>
      <c r="I55" s="18">
        <v>0.74</v>
      </c>
      <c r="J55" s="18">
        <v>0.74</v>
      </c>
      <c r="K55" s="18">
        <v>0.74</v>
      </c>
      <c r="L55" s="22">
        <v>3</v>
      </c>
    </row>
    <row r="56" spans="1:12">
      <c r="A56">
        <v>1</v>
      </c>
      <c r="B56" s="16" t="s">
        <v>37</v>
      </c>
      <c r="C56" s="9">
        <v>46113</v>
      </c>
      <c r="D56">
        <v>3</v>
      </c>
      <c r="E56" s="16" t="s">
        <v>84</v>
      </c>
      <c r="F56" s="16" t="s">
        <v>85</v>
      </c>
      <c r="G56" s="22">
        <v>350</v>
      </c>
      <c r="H56" s="18">
        <v>259</v>
      </c>
      <c r="I56" s="18">
        <v>0.74</v>
      </c>
      <c r="J56" s="18">
        <v>0.74</v>
      </c>
      <c r="K56" s="18">
        <v>0.74</v>
      </c>
      <c r="L56" s="22">
        <v>2</v>
      </c>
    </row>
    <row r="57" spans="1:12">
      <c r="A57">
        <v>1</v>
      </c>
      <c r="B57" s="16" t="s">
        <v>37</v>
      </c>
      <c r="C57" s="9">
        <v>46143</v>
      </c>
      <c r="D57">
        <v>3</v>
      </c>
      <c r="E57" s="16" t="s">
        <v>84</v>
      </c>
      <c r="F57" s="16" t="s">
        <v>85</v>
      </c>
      <c r="G57" s="22">
        <v>250</v>
      </c>
      <c r="H57" s="18">
        <v>183</v>
      </c>
      <c r="I57" s="18">
        <v>0.73199999999999998</v>
      </c>
      <c r="J57" s="18">
        <v>0.74</v>
      </c>
      <c r="K57" s="18">
        <v>0.72</v>
      </c>
      <c r="L57" s="22">
        <v>2</v>
      </c>
    </row>
    <row r="58" spans="1:12">
      <c r="A58">
        <v>1</v>
      </c>
      <c r="B58" s="16" t="s">
        <v>37</v>
      </c>
      <c r="C58" s="9">
        <v>46174</v>
      </c>
      <c r="D58">
        <v>3</v>
      </c>
      <c r="E58" s="16" t="s">
        <v>84</v>
      </c>
      <c r="F58" s="16" t="s">
        <v>85</v>
      </c>
      <c r="G58" s="22">
        <v>300</v>
      </c>
      <c r="H58" s="18">
        <v>222</v>
      </c>
      <c r="I58" s="18">
        <v>0.74</v>
      </c>
      <c r="J58" s="18">
        <v>0.75</v>
      </c>
      <c r="K58" s="18">
        <v>0.73</v>
      </c>
      <c r="L58" s="22">
        <v>2</v>
      </c>
    </row>
    <row r="59" spans="1:12">
      <c r="A59">
        <v>1</v>
      </c>
      <c r="B59" s="16" t="s">
        <v>37</v>
      </c>
      <c r="C59" s="9">
        <v>46204</v>
      </c>
      <c r="D59">
        <v>3</v>
      </c>
      <c r="E59" s="16" t="s">
        <v>84</v>
      </c>
      <c r="F59" s="16" t="s">
        <v>85</v>
      </c>
      <c r="G59" s="22">
        <v>250</v>
      </c>
      <c r="H59" s="18">
        <v>186.5</v>
      </c>
      <c r="I59" s="18">
        <v>0.746</v>
      </c>
      <c r="J59" s="18">
        <v>0.75</v>
      </c>
      <c r="K59" s="18">
        <v>0.74</v>
      </c>
      <c r="L59" s="22">
        <v>2</v>
      </c>
    </row>
    <row r="60" spans="1:12">
      <c r="A60">
        <v>1</v>
      </c>
      <c r="B60" s="16" t="s">
        <v>37</v>
      </c>
      <c r="C60" s="9">
        <v>46235</v>
      </c>
      <c r="D60">
        <v>3</v>
      </c>
      <c r="E60" s="16" t="s">
        <v>84</v>
      </c>
      <c r="F60" s="16" t="s">
        <v>85</v>
      </c>
      <c r="G60" s="22">
        <v>300</v>
      </c>
      <c r="H60" s="18">
        <v>220.5</v>
      </c>
      <c r="I60" s="18">
        <v>0.73499999999999999</v>
      </c>
      <c r="J60" s="18">
        <v>0.74</v>
      </c>
      <c r="K60" s="18">
        <v>0.73</v>
      </c>
      <c r="L60" s="22">
        <v>2</v>
      </c>
    </row>
    <row r="61" spans="1:12">
      <c r="A61">
        <v>1</v>
      </c>
      <c r="B61" s="16" t="s">
        <v>37</v>
      </c>
      <c r="C61" s="9">
        <v>46266</v>
      </c>
      <c r="D61">
        <v>3</v>
      </c>
      <c r="E61" s="16" t="s">
        <v>84</v>
      </c>
      <c r="F61" s="16" t="s">
        <v>85</v>
      </c>
      <c r="G61" s="22">
        <v>350</v>
      </c>
      <c r="H61" s="18">
        <v>260</v>
      </c>
      <c r="I61" s="18">
        <v>0.74285714300000005</v>
      </c>
      <c r="J61" s="18">
        <v>0.75</v>
      </c>
      <c r="K61" s="18">
        <v>0.74</v>
      </c>
      <c r="L61" s="22">
        <v>3</v>
      </c>
    </row>
    <row r="62" spans="1:12">
      <c r="A62">
        <v>1</v>
      </c>
      <c r="B62" s="16" t="s">
        <v>37</v>
      </c>
      <c r="C62" s="9">
        <v>45689</v>
      </c>
      <c r="D62">
        <v>4</v>
      </c>
      <c r="E62" s="16" t="s">
        <v>86</v>
      </c>
      <c r="F62" s="16" t="s">
        <v>87</v>
      </c>
      <c r="G62" s="22">
        <v>42.75</v>
      </c>
      <c r="H62" s="18">
        <v>692.97</v>
      </c>
      <c r="I62" s="18">
        <v>16.209824561000001</v>
      </c>
      <c r="J62" s="18">
        <v>17.03</v>
      </c>
      <c r="K62" s="18">
        <v>15.84</v>
      </c>
      <c r="L62" s="22">
        <v>8</v>
      </c>
    </row>
    <row r="63" spans="1:12">
      <c r="A63">
        <v>1</v>
      </c>
      <c r="B63" s="16" t="s">
        <v>37</v>
      </c>
      <c r="C63" s="9">
        <v>45717</v>
      </c>
      <c r="D63">
        <v>4</v>
      </c>
      <c r="E63" s="16" t="s">
        <v>86</v>
      </c>
      <c r="F63" s="16" t="s">
        <v>87</v>
      </c>
      <c r="G63" s="22">
        <v>46.25</v>
      </c>
      <c r="H63" s="18">
        <v>746.4325</v>
      </c>
      <c r="I63" s="18">
        <v>16.139081081</v>
      </c>
      <c r="J63" s="18">
        <v>16.399999999999999</v>
      </c>
      <c r="K63" s="18">
        <v>15.88</v>
      </c>
      <c r="L63" s="22">
        <v>9</v>
      </c>
    </row>
    <row r="64" spans="1:12">
      <c r="A64">
        <v>1</v>
      </c>
      <c r="B64" s="16" t="s">
        <v>37</v>
      </c>
      <c r="C64" s="9">
        <v>45748</v>
      </c>
      <c r="D64">
        <v>4</v>
      </c>
      <c r="E64" s="16" t="s">
        <v>86</v>
      </c>
      <c r="F64" s="16" t="s">
        <v>87</v>
      </c>
      <c r="G64" s="22">
        <v>46.75</v>
      </c>
      <c r="H64" s="18">
        <v>748.94</v>
      </c>
      <c r="I64" s="18">
        <v>16.020106951999999</v>
      </c>
      <c r="J64" s="18">
        <v>16.239999999999998</v>
      </c>
      <c r="K64" s="18">
        <v>15.59</v>
      </c>
      <c r="L64" s="22">
        <v>8</v>
      </c>
    </row>
    <row r="65" spans="1:12">
      <c r="A65">
        <v>1</v>
      </c>
      <c r="B65" s="16" t="s">
        <v>37</v>
      </c>
      <c r="C65" s="9">
        <v>45778</v>
      </c>
      <c r="D65">
        <v>4</v>
      </c>
      <c r="E65" s="16" t="s">
        <v>86</v>
      </c>
      <c r="F65" s="16" t="s">
        <v>87</v>
      </c>
      <c r="G65" s="22">
        <v>49.25</v>
      </c>
      <c r="H65" s="18">
        <v>797.05</v>
      </c>
      <c r="I65" s="18">
        <v>16.183756344999999</v>
      </c>
      <c r="J65" s="18">
        <v>16.5</v>
      </c>
      <c r="K65" s="18">
        <v>15.85</v>
      </c>
      <c r="L65" s="22">
        <v>9</v>
      </c>
    </row>
    <row r="66" spans="1:12">
      <c r="A66">
        <v>1</v>
      </c>
      <c r="B66" s="16" t="s">
        <v>37</v>
      </c>
      <c r="C66" s="9">
        <v>45809</v>
      </c>
      <c r="D66">
        <v>4</v>
      </c>
      <c r="E66" s="16" t="s">
        <v>86</v>
      </c>
      <c r="F66" s="16" t="s">
        <v>87</v>
      </c>
      <c r="G66" s="22">
        <v>51.25</v>
      </c>
      <c r="H66" s="18">
        <v>833.99749999999995</v>
      </c>
      <c r="I66" s="18">
        <v>16.273121951</v>
      </c>
      <c r="J66" s="18">
        <v>16.54</v>
      </c>
      <c r="K66" s="18">
        <v>15.6</v>
      </c>
      <c r="L66" s="22">
        <v>9</v>
      </c>
    </row>
    <row r="67" spans="1:12">
      <c r="A67">
        <v>1</v>
      </c>
      <c r="B67" s="16" t="s">
        <v>37</v>
      </c>
      <c r="C67" s="9">
        <v>45839</v>
      </c>
      <c r="D67">
        <v>4</v>
      </c>
      <c r="E67" s="16" t="s">
        <v>86</v>
      </c>
      <c r="F67" s="16" t="s">
        <v>87</v>
      </c>
      <c r="G67" s="22">
        <v>45</v>
      </c>
      <c r="H67" s="18">
        <v>724.72749999999996</v>
      </c>
      <c r="I67" s="18">
        <v>16.105055556</v>
      </c>
      <c r="J67" s="18">
        <v>16.36</v>
      </c>
      <c r="K67" s="18">
        <v>15.79</v>
      </c>
      <c r="L67" s="22">
        <v>9</v>
      </c>
    </row>
    <row r="68" spans="1:12">
      <c r="A68">
        <v>1</v>
      </c>
      <c r="B68" s="16" t="s">
        <v>37</v>
      </c>
      <c r="C68" s="9">
        <v>45870</v>
      </c>
      <c r="D68">
        <v>4</v>
      </c>
      <c r="E68" s="16" t="s">
        <v>86</v>
      </c>
      <c r="F68" s="16" t="s">
        <v>87</v>
      </c>
      <c r="G68" s="22">
        <v>42</v>
      </c>
      <c r="H68" s="18">
        <v>675.23749999999995</v>
      </c>
      <c r="I68" s="18">
        <v>16.077083333000001</v>
      </c>
      <c r="J68" s="18">
        <v>16.29</v>
      </c>
      <c r="K68" s="18">
        <v>15.84</v>
      </c>
      <c r="L68" s="22">
        <v>8</v>
      </c>
    </row>
    <row r="69" spans="1:12">
      <c r="A69">
        <v>1</v>
      </c>
      <c r="B69" s="16" t="s">
        <v>37</v>
      </c>
      <c r="C69" s="9">
        <v>45901</v>
      </c>
      <c r="D69">
        <v>4</v>
      </c>
      <c r="E69" s="16" t="s">
        <v>86</v>
      </c>
      <c r="F69" s="16" t="s">
        <v>87</v>
      </c>
      <c r="G69" s="22">
        <v>52.5</v>
      </c>
      <c r="H69" s="18">
        <v>848.13750000000005</v>
      </c>
      <c r="I69" s="18">
        <v>16.155000000000001</v>
      </c>
      <c r="J69" s="18">
        <v>16.43</v>
      </c>
      <c r="K69" s="18">
        <v>15.97</v>
      </c>
      <c r="L69" s="22">
        <v>9</v>
      </c>
    </row>
    <row r="70" spans="1:12">
      <c r="A70">
        <v>1</v>
      </c>
      <c r="B70" s="16" t="s">
        <v>37</v>
      </c>
      <c r="C70" s="9">
        <v>45931</v>
      </c>
      <c r="D70">
        <v>4</v>
      </c>
      <c r="E70" s="16" t="s">
        <v>86</v>
      </c>
      <c r="F70" s="16" t="s">
        <v>87</v>
      </c>
      <c r="G70" s="22">
        <v>65.75</v>
      </c>
      <c r="H70" s="18">
        <v>1066.1875</v>
      </c>
      <c r="I70" s="18">
        <v>16.215779468000001</v>
      </c>
      <c r="J70" s="18">
        <v>16.88</v>
      </c>
      <c r="K70" s="18">
        <v>15.89</v>
      </c>
      <c r="L70" s="22">
        <v>9</v>
      </c>
    </row>
    <row r="71" spans="1:12">
      <c r="A71">
        <v>1</v>
      </c>
      <c r="B71" s="16" t="s">
        <v>37</v>
      </c>
      <c r="C71" s="9">
        <v>45962</v>
      </c>
      <c r="D71">
        <v>4</v>
      </c>
      <c r="E71" s="16" t="s">
        <v>86</v>
      </c>
      <c r="F71" s="16" t="s">
        <v>87</v>
      </c>
      <c r="G71" s="22">
        <v>49</v>
      </c>
      <c r="H71" s="18">
        <v>796.24</v>
      </c>
      <c r="I71" s="18">
        <v>16.249795918</v>
      </c>
      <c r="J71" s="18">
        <v>16.440000000000001</v>
      </c>
      <c r="K71" s="18">
        <v>15.97</v>
      </c>
      <c r="L71" s="22">
        <v>8</v>
      </c>
    </row>
    <row r="72" spans="1:12">
      <c r="A72">
        <v>1</v>
      </c>
      <c r="B72" s="16" t="s">
        <v>37</v>
      </c>
      <c r="C72" s="9">
        <v>45992</v>
      </c>
      <c r="D72">
        <v>4</v>
      </c>
      <c r="E72" s="16" t="s">
        <v>86</v>
      </c>
      <c r="F72" s="16" t="s">
        <v>87</v>
      </c>
      <c r="G72" s="22">
        <v>70</v>
      </c>
      <c r="H72" s="18">
        <v>1137.2275</v>
      </c>
      <c r="I72" s="18">
        <v>16.246107143</v>
      </c>
      <c r="J72" s="18">
        <v>16.489999999999998</v>
      </c>
      <c r="K72" s="18">
        <v>15.99</v>
      </c>
      <c r="L72" s="22">
        <v>9</v>
      </c>
    </row>
    <row r="73" spans="1:12">
      <c r="A73">
        <v>1</v>
      </c>
      <c r="B73" s="16" t="s">
        <v>37</v>
      </c>
      <c r="C73" s="9">
        <v>46023</v>
      </c>
      <c r="D73">
        <v>4</v>
      </c>
      <c r="E73" s="16" t="s">
        <v>86</v>
      </c>
      <c r="F73" s="16" t="s">
        <v>87</v>
      </c>
      <c r="G73" s="22">
        <v>52.5</v>
      </c>
      <c r="H73" s="18">
        <v>856.1</v>
      </c>
      <c r="I73" s="18">
        <v>16.306666666999998</v>
      </c>
      <c r="J73" s="18">
        <v>16.63</v>
      </c>
      <c r="K73" s="18">
        <v>16.079999999999998</v>
      </c>
      <c r="L73" s="22">
        <v>9</v>
      </c>
    </row>
    <row r="74" spans="1:12">
      <c r="A74">
        <v>1</v>
      </c>
      <c r="B74" s="16" t="s">
        <v>37</v>
      </c>
      <c r="C74" s="9">
        <v>46054</v>
      </c>
      <c r="D74">
        <v>4</v>
      </c>
      <c r="E74" s="16" t="s">
        <v>86</v>
      </c>
      <c r="F74" s="16" t="s">
        <v>87</v>
      </c>
      <c r="G74" s="22">
        <v>47</v>
      </c>
      <c r="H74" s="18">
        <v>773.42499999999995</v>
      </c>
      <c r="I74" s="18">
        <v>16.455851064000001</v>
      </c>
      <c r="J74" s="18">
        <v>16.62</v>
      </c>
      <c r="K74" s="18">
        <v>16.239999999999998</v>
      </c>
      <c r="L74" s="22">
        <v>8</v>
      </c>
    </row>
    <row r="75" spans="1:12">
      <c r="A75">
        <v>1</v>
      </c>
      <c r="B75" s="16" t="s">
        <v>37</v>
      </c>
      <c r="C75" s="9">
        <v>46082</v>
      </c>
      <c r="D75">
        <v>4</v>
      </c>
      <c r="E75" s="16" t="s">
        <v>86</v>
      </c>
      <c r="F75" s="16" t="s">
        <v>87</v>
      </c>
      <c r="G75" s="22">
        <v>48.25</v>
      </c>
      <c r="H75" s="18">
        <v>791.27</v>
      </c>
      <c r="I75" s="18">
        <v>16.399378238000001</v>
      </c>
      <c r="J75" s="18">
        <v>16.649999999999999</v>
      </c>
      <c r="K75" s="18">
        <v>16.27</v>
      </c>
      <c r="L75" s="22">
        <v>9</v>
      </c>
    </row>
    <row r="76" spans="1:12">
      <c r="A76">
        <v>1</v>
      </c>
      <c r="B76" s="16" t="s">
        <v>37</v>
      </c>
      <c r="C76" s="9">
        <v>46113</v>
      </c>
      <c r="D76">
        <v>4</v>
      </c>
      <c r="E76" s="16" t="s">
        <v>86</v>
      </c>
      <c r="F76" s="16" t="s">
        <v>87</v>
      </c>
      <c r="G76" s="22">
        <v>58.25</v>
      </c>
      <c r="H76" s="18">
        <v>965.125</v>
      </c>
      <c r="I76" s="18">
        <v>16.568669528000001</v>
      </c>
      <c r="J76" s="18">
        <v>16.82</v>
      </c>
      <c r="K76" s="18">
        <v>16.36</v>
      </c>
      <c r="L76" s="22">
        <v>9</v>
      </c>
    </row>
    <row r="77" spans="1:12">
      <c r="A77">
        <v>1</v>
      </c>
      <c r="B77" s="16" t="s">
        <v>37</v>
      </c>
      <c r="C77" s="9">
        <v>46143</v>
      </c>
      <c r="D77">
        <v>4</v>
      </c>
      <c r="E77" s="16" t="s">
        <v>86</v>
      </c>
      <c r="F77" s="16" t="s">
        <v>87</v>
      </c>
      <c r="G77" s="22">
        <v>47.25</v>
      </c>
      <c r="H77" s="18">
        <v>780.90750000000003</v>
      </c>
      <c r="I77" s="18">
        <v>16.527142857000001</v>
      </c>
      <c r="J77" s="18">
        <v>16.79</v>
      </c>
      <c r="K77" s="18">
        <v>16.170000000000002</v>
      </c>
      <c r="L77" s="22">
        <v>8</v>
      </c>
    </row>
    <row r="78" spans="1:12">
      <c r="A78">
        <v>1</v>
      </c>
      <c r="B78" s="16" t="s">
        <v>37</v>
      </c>
      <c r="C78" s="9">
        <v>46174</v>
      </c>
      <c r="D78">
        <v>4</v>
      </c>
      <c r="E78" s="16" t="s">
        <v>86</v>
      </c>
      <c r="F78" s="16" t="s">
        <v>87</v>
      </c>
      <c r="G78" s="22">
        <v>51</v>
      </c>
      <c r="H78" s="18">
        <v>855.53750000000002</v>
      </c>
      <c r="I78" s="18">
        <v>16.775245097999999</v>
      </c>
      <c r="J78" s="18">
        <v>17.04</v>
      </c>
      <c r="K78" s="18">
        <v>16.440000000000001</v>
      </c>
      <c r="L78" s="22">
        <v>9</v>
      </c>
    </row>
    <row r="79" spans="1:12">
      <c r="A79">
        <v>1</v>
      </c>
      <c r="B79" s="16" t="s">
        <v>37</v>
      </c>
      <c r="C79" s="9">
        <v>46204</v>
      </c>
      <c r="D79">
        <v>4</v>
      </c>
      <c r="E79" s="16" t="s">
        <v>86</v>
      </c>
      <c r="F79" s="16" t="s">
        <v>87</v>
      </c>
      <c r="G79" s="22">
        <v>58</v>
      </c>
      <c r="H79" s="18">
        <v>978.3125</v>
      </c>
      <c r="I79" s="18">
        <v>16.867456897</v>
      </c>
      <c r="J79" s="18">
        <v>17.170000000000002</v>
      </c>
      <c r="K79" s="18">
        <v>16.37</v>
      </c>
      <c r="L79" s="22">
        <v>9</v>
      </c>
    </row>
    <row r="80" spans="1:12">
      <c r="A80">
        <v>1</v>
      </c>
      <c r="B80" s="16" t="s">
        <v>37</v>
      </c>
      <c r="C80" s="9">
        <v>46235</v>
      </c>
      <c r="D80">
        <v>4</v>
      </c>
      <c r="E80" s="16" t="s">
        <v>86</v>
      </c>
      <c r="F80" s="16" t="s">
        <v>87</v>
      </c>
      <c r="G80" s="22">
        <v>47.75</v>
      </c>
      <c r="H80" s="18">
        <v>796.85500000000002</v>
      </c>
      <c r="I80" s="18">
        <v>16.688062827</v>
      </c>
      <c r="J80" s="18">
        <v>16.95</v>
      </c>
      <c r="K80" s="18">
        <v>16.329999999999998</v>
      </c>
      <c r="L80" s="22">
        <v>9</v>
      </c>
    </row>
    <row r="81" spans="1:12">
      <c r="A81">
        <v>1</v>
      </c>
      <c r="B81" s="16" t="s">
        <v>37</v>
      </c>
      <c r="C81" s="9">
        <v>46266</v>
      </c>
      <c r="D81">
        <v>4</v>
      </c>
      <c r="E81" s="16" t="s">
        <v>86</v>
      </c>
      <c r="F81" s="16" t="s">
        <v>87</v>
      </c>
      <c r="G81" s="22">
        <v>54</v>
      </c>
      <c r="H81" s="18">
        <v>904.56</v>
      </c>
      <c r="I81" s="18">
        <v>16.751111111</v>
      </c>
      <c r="J81" s="18">
        <v>17.010000000000002</v>
      </c>
      <c r="K81" s="18">
        <v>16.52</v>
      </c>
      <c r="L81" s="22">
        <v>8</v>
      </c>
    </row>
    <row r="82" spans="1:12">
      <c r="A82">
        <v>1</v>
      </c>
      <c r="B82" s="16" t="s">
        <v>37</v>
      </c>
      <c r="C82" s="9">
        <v>45689</v>
      </c>
      <c r="D82">
        <v>5</v>
      </c>
      <c r="E82" s="16" t="s">
        <v>88</v>
      </c>
      <c r="F82" s="16" t="s">
        <v>83</v>
      </c>
      <c r="G82" s="22">
        <v>474</v>
      </c>
      <c r="H82" s="18">
        <v>174.18</v>
      </c>
      <c r="I82" s="18">
        <v>0.367468354</v>
      </c>
      <c r="J82" s="18">
        <v>0.38</v>
      </c>
      <c r="K82" s="18">
        <v>0.36</v>
      </c>
      <c r="L82" s="22">
        <v>8</v>
      </c>
    </row>
    <row r="83" spans="1:12">
      <c r="A83">
        <v>1</v>
      </c>
      <c r="B83" s="16" t="s">
        <v>37</v>
      </c>
      <c r="C83" s="9">
        <v>45717</v>
      </c>
      <c r="D83">
        <v>5</v>
      </c>
      <c r="E83" s="16" t="s">
        <v>88</v>
      </c>
      <c r="F83" s="16" t="s">
        <v>83</v>
      </c>
      <c r="G83" s="22">
        <v>552</v>
      </c>
      <c r="H83" s="18">
        <v>200.94</v>
      </c>
      <c r="I83" s="18">
        <v>0.36402173900000001</v>
      </c>
      <c r="J83" s="18">
        <v>0.37</v>
      </c>
      <c r="K83" s="18">
        <v>0.36</v>
      </c>
      <c r="L83" s="22">
        <v>9</v>
      </c>
    </row>
    <row r="84" spans="1:12">
      <c r="A84">
        <v>1</v>
      </c>
      <c r="B84" s="16" t="s">
        <v>37</v>
      </c>
      <c r="C84" s="9">
        <v>45748</v>
      </c>
      <c r="D84">
        <v>5</v>
      </c>
      <c r="E84" s="16" t="s">
        <v>88</v>
      </c>
      <c r="F84" s="16" t="s">
        <v>83</v>
      </c>
      <c r="G84" s="22">
        <v>552</v>
      </c>
      <c r="H84" s="18">
        <v>204.84</v>
      </c>
      <c r="I84" s="18">
        <v>0.371086957</v>
      </c>
      <c r="J84" s="18">
        <v>0.39</v>
      </c>
      <c r="K84" s="18">
        <v>0.36</v>
      </c>
      <c r="L84" s="22">
        <v>8</v>
      </c>
    </row>
    <row r="85" spans="1:12">
      <c r="A85">
        <v>1</v>
      </c>
      <c r="B85" s="16" t="s">
        <v>37</v>
      </c>
      <c r="C85" s="9">
        <v>45778</v>
      </c>
      <c r="D85">
        <v>5</v>
      </c>
      <c r="E85" s="16" t="s">
        <v>88</v>
      </c>
      <c r="F85" s="16" t="s">
        <v>83</v>
      </c>
      <c r="G85" s="22">
        <v>660</v>
      </c>
      <c r="H85" s="18">
        <v>248.4</v>
      </c>
      <c r="I85" s="18">
        <v>0.376363636</v>
      </c>
      <c r="J85" s="18">
        <v>0.39</v>
      </c>
      <c r="K85" s="18">
        <v>0.37</v>
      </c>
      <c r="L85" s="22">
        <v>9</v>
      </c>
    </row>
    <row r="86" spans="1:12">
      <c r="A86">
        <v>1</v>
      </c>
      <c r="B86" s="16" t="s">
        <v>37</v>
      </c>
      <c r="C86" s="9">
        <v>45809</v>
      </c>
      <c r="D86">
        <v>5</v>
      </c>
      <c r="E86" s="16" t="s">
        <v>88</v>
      </c>
      <c r="F86" s="16" t="s">
        <v>83</v>
      </c>
      <c r="G86" s="22">
        <v>678</v>
      </c>
      <c r="H86" s="18">
        <v>258.18</v>
      </c>
      <c r="I86" s="18">
        <v>0.38079646</v>
      </c>
      <c r="J86" s="18">
        <v>0.39</v>
      </c>
      <c r="K86" s="18">
        <v>0.37</v>
      </c>
      <c r="L86" s="22">
        <v>9</v>
      </c>
    </row>
    <row r="87" spans="1:12">
      <c r="A87">
        <v>1</v>
      </c>
      <c r="B87" s="16" t="s">
        <v>37</v>
      </c>
      <c r="C87" s="9">
        <v>45839</v>
      </c>
      <c r="D87">
        <v>5</v>
      </c>
      <c r="E87" s="16" t="s">
        <v>88</v>
      </c>
      <c r="F87" s="16" t="s">
        <v>83</v>
      </c>
      <c r="G87" s="22">
        <v>564</v>
      </c>
      <c r="H87" s="18">
        <v>213.9</v>
      </c>
      <c r="I87" s="18">
        <v>0.37925531899999998</v>
      </c>
      <c r="J87" s="18">
        <v>0.39</v>
      </c>
      <c r="K87" s="18">
        <v>0.37</v>
      </c>
      <c r="L87" s="22">
        <v>9</v>
      </c>
    </row>
    <row r="88" spans="1:12">
      <c r="A88">
        <v>1</v>
      </c>
      <c r="B88" s="16" t="s">
        <v>37</v>
      </c>
      <c r="C88" s="9">
        <v>45870</v>
      </c>
      <c r="D88">
        <v>5</v>
      </c>
      <c r="E88" s="16" t="s">
        <v>88</v>
      </c>
      <c r="F88" s="16" t="s">
        <v>83</v>
      </c>
      <c r="G88" s="22">
        <v>522</v>
      </c>
      <c r="H88" s="18">
        <v>198</v>
      </c>
      <c r="I88" s="18">
        <v>0.37931034499999999</v>
      </c>
      <c r="J88" s="18">
        <v>0.4</v>
      </c>
      <c r="K88" s="18">
        <v>0.37</v>
      </c>
      <c r="L88" s="22">
        <v>8</v>
      </c>
    </row>
    <row r="89" spans="1:12">
      <c r="A89">
        <v>1</v>
      </c>
      <c r="B89" s="16" t="s">
        <v>37</v>
      </c>
      <c r="C89" s="9">
        <v>45901</v>
      </c>
      <c r="D89">
        <v>5</v>
      </c>
      <c r="E89" s="16" t="s">
        <v>88</v>
      </c>
      <c r="F89" s="16" t="s">
        <v>83</v>
      </c>
      <c r="G89" s="22">
        <v>684</v>
      </c>
      <c r="H89" s="18">
        <v>261.18</v>
      </c>
      <c r="I89" s="18">
        <v>0.38184210499999999</v>
      </c>
      <c r="J89" s="18">
        <v>0.39</v>
      </c>
      <c r="K89" s="18">
        <v>0.37</v>
      </c>
      <c r="L89" s="22">
        <v>9</v>
      </c>
    </row>
    <row r="90" spans="1:12">
      <c r="A90">
        <v>1</v>
      </c>
      <c r="B90" s="16" t="s">
        <v>37</v>
      </c>
      <c r="C90" s="9">
        <v>45931</v>
      </c>
      <c r="D90">
        <v>5</v>
      </c>
      <c r="E90" s="16" t="s">
        <v>88</v>
      </c>
      <c r="F90" s="16" t="s">
        <v>83</v>
      </c>
      <c r="G90" s="22">
        <v>786</v>
      </c>
      <c r="H90" s="18">
        <v>299.10000000000002</v>
      </c>
      <c r="I90" s="18">
        <v>0.38053435099999999</v>
      </c>
      <c r="J90" s="18">
        <v>0.39</v>
      </c>
      <c r="K90" s="18">
        <v>0.37</v>
      </c>
      <c r="L90" s="22">
        <v>9</v>
      </c>
    </row>
    <row r="91" spans="1:12">
      <c r="A91">
        <v>1</v>
      </c>
      <c r="B91" s="16" t="s">
        <v>37</v>
      </c>
      <c r="C91" s="9">
        <v>45962</v>
      </c>
      <c r="D91">
        <v>5</v>
      </c>
      <c r="E91" s="16" t="s">
        <v>88</v>
      </c>
      <c r="F91" s="16" t="s">
        <v>83</v>
      </c>
      <c r="G91" s="22">
        <v>618</v>
      </c>
      <c r="H91" s="18">
        <v>238.98</v>
      </c>
      <c r="I91" s="18">
        <v>0.38669902900000003</v>
      </c>
      <c r="J91" s="18">
        <v>0.39</v>
      </c>
      <c r="K91" s="18">
        <v>0.38</v>
      </c>
      <c r="L91" s="22">
        <v>8</v>
      </c>
    </row>
    <row r="92" spans="1:12">
      <c r="A92">
        <v>1</v>
      </c>
      <c r="B92" s="16" t="s">
        <v>37</v>
      </c>
      <c r="C92" s="9">
        <v>45992</v>
      </c>
      <c r="D92">
        <v>5</v>
      </c>
      <c r="E92" s="16" t="s">
        <v>88</v>
      </c>
      <c r="F92" s="16" t="s">
        <v>83</v>
      </c>
      <c r="G92" s="22">
        <v>774</v>
      </c>
      <c r="H92" s="18">
        <v>298.2</v>
      </c>
      <c r="I92" s="18">
        <v>0.38527131799999997</v>
      </c>
      <c r="J92" s="18">
        <v>0.39</v>
      </c>
      <c r="K92" s="18">
        <v>0.38</v>
      </c>
      <c r="L92" s="22">
        <v>9</v>
      </c>
    </row>
    <row r="93" spans="1:12">
      <c r="A93">
        <v>1</v>
      </c>
      <c r="B93" s="16" t="s">
        <v>37</v>
      </c>
      <c r="C93" s="9">
        <v>46023</v>
      </c>
      <c r="D93">
        <v>5</v>
      </c>
      <c r="E93" s="16" t="s">
        <v>88</v>
      </c>
      <c r="F93" s="16" t="s">
        <v>83</v>
      </c>
      <c r="G93" s="22">
        <v>582</v>
      </c>
      <c r="H93" s="18">
        <v>224.16</v>
      </c>
      <c r="I93" s="18">
        <v>0.38515463900000002</v>
      </c>
      <c r="J93" s="18">
        <v>0.39</v>
      </c>
      <c r="K93" s="18">
        <v>0.38</v>
      </c>
      <c r="L93" s="22">
        <v>9</v>
      </c>
    </row>
    <row r="94" spans="1:12">
      <c r="A94">
        <v>1</v>
      </c>
      <c r="B94" s="16" t="s">
        <v>37</v>
      </c>
      <c r="C94" s="9">
        <v>46054</v>
      </c>
      <c r="D94">
        <v>5</v>
      </c>
      <c r="E94" s="16" t="s">
        <v>88</v>
      </c>
      <c r="F94" s="16" t="s">
        <v>83</v>
      </c>
      <c r="G94" s="22">
        <v>510</v>
      </c>
      <c r="H94" s="18">
        <v>198.48</v>
      </c>
      <c r="I94" s="18">
        <v>0.38917647100000002</v>
      </c>
      <c r="J94" s="18">
        <v>0.42</v>
      </c>
      <c r="K94" s="18">
        <v>0.38</v>
      </c>
      <c r="L94" s="22">
        <v>8</v>
      </c>
    </row>
    <row r="95" spans="1:12">
      <c r="A95">
        <v>1</v>
      </c>
      <c r="B95" s="16" t="s">
        <v>37</v>
      </c>
      <c r="C95" s="9">
        <v>46082</v>
      </c>
      <c r="D95">
        <v>5</v>
      </c>
      <c r="E95" s="16" t="s">
        <v>88</v>
      </c>
      <c r="F95" s="16" t="s">
        <v>83</v>
      </c>
      <c r="G95" s="22">
        <v>594</v>
      </c>
      <c r="H95" s="18">
        <v>230.16</v>
      </c>
      <c r="I95" s="18">
        <v>0.38747474700000001</v>
      </c>
      <c r="J95" s="18">
        <v>0.39</v>
      </c>
      <c r="K95" s="18">
        <v>0.38</v>
      </c>
      <c r="L95" s="22">
        <v>9</v>
      </c>
    </row>
    <row r="96" spans="1:12">
      <c r="A96">
        <v>1</v>
      </c>
      <c r="B96" s="16" t="s">
        <v>37</v>
      </c>
      <c r="C96" s="9">
        <v>46113</v>
      </c>
      <c r="D96">
        <v>5</v>
      </c>
      <c r="E96" s="16" t="s">
        <v>88</v>
      </c>
      <c r="F96" s="16" t="s">
        <v>83</v>
      </c>
      <c r="G96" s="22">
        <v>702</v>
      </c>
      <c r="H96" s="18">
        <v>272.22000000000003</v>
      </c>
      <c r="I96" s="18">
        <v>0.38777777800000002</v>
      </c>
      <c r="J96" s="18">
        <v>0.39</v>
      </c>
      <c r="K96" s="18">
        <v>0.38</v>
      </c>
      <c r="L96" s="22">
        <v>9</v>
      </c>
    </row>
    <row r="97" spans="1:12">
      <c r="A97">
        <v>1</v>
      </c>
      <c r="B97" s="16" t="s">
        <v>37</v>
      </c>
      <c r="C97" s="9">
        <v>46143</v>
      </c>
      <c r="D97">
        <v>5</v>
      </c>
      <c r="E97" s="16" t="s">
        <v>88</v>
      </c>
      <c r="F97" s="16" t="s">
        <v>83</v>
      </c>
      <c r="G97" s="22">
        <v>606</v>
      </c>
      <c r="H97" s="18">
        <v>235.8</v>
      </c>
      <c r="I97" s="18">
        <v>0.389108911</v>
      </c>
      <c r="J97" s="18">
        <v>0.4</v>
      </c>
      <c r="K97" s="18">
        <v>0.38</v>
      </c>
      <c r="L97" s="22">
        <v>8</v>
      </c>
    </row>
    <row r="98" spans="1:12">
      <c r="A98">
        <v>1</v>
      </c>
      <c r="B98" s="16" t="s">
        <v>37</v>
      </c>
      <c r="C98" s="9">
        <v>46174</v>
      </c>
      <c r="D98">
        <v>5</v>
      </c>
      <c r="E98" s="16" t="s">
        <v>88</v>
      </c>
      <c r="F98" s="16" t="s">
        <v>83</v>
      </c>
      <c r="G98" s="22">
        <v>642</v>
      </c>
      <c r="H98" s="18">
        <v>254.52</v>
      </c>
      <c r="I98" s="18">
        <v>0.39644859799999999</v>
      </c>
      <c r="J98" s="18">
        <v>0.42</v>
      </c>
      <c r="K98" s="18">
        <v>0.39</v>
      </c>
      <c r="L98" s="22">
        <v>9</v>
      </c>
    </row>
    <row r="99" spans="1:12">
      <c r="A99">
        <v>1</v>
      </c>
      <c r="B99" s="16" t="s">
        <v>37</v>
      </c>
      <c r="C99" s="9">
        <v>46204</v>
      </c>
      <c r="D99">
        <v>5</v>
      </c>
      <c r="E99" s="16" t="s">
        <v>88</v>
      </c>
      <c r="F99" s="16" t="s">
        <v>83</v>
      </c>
      <c r="G99" s="22">
        <v>786</v>
      </c>
      <c r="H99" s="18">
        <v>306.12</v>
      </c>
      <c r="I99" s="18">
        <v>0.38946564900000002</v>
      </c>
      <c r="J99" s="18">
        <v>0.4</v>
      </c>
      <c r="K99" s="18">
        <v>0.38</v>
      </c>
      <c r="L99" s="22">
        <v>9</v>
      </c>
    </row>
    <row r="100" spans="1:12">
      <c r="A100">
        <v>1</v>
      </c>
      <c r="B100" s="16" t="s">
        <v>37</v>
      </c>
      <c r="C100" s="9">
        <v>46235</v>
      </c>
      <c r="D100">
        <v>5</v>
      </c>
      <c r="E100" s="16" t="s">
        <v>88</v>
      </c>
      <c r="F100" s="16" t="s">
        <v>83</v>
      </c>
      <c r="G100" s="22">
        <v>624</v>
      </c>
      <c r="H100" s="18">
        <v>247.2</v>
      </c>
      <c r="I100" s="18">
        <v>0.39615384599999998</v>
      </c>
      <c r="J100" s="18">
        <v>0.42</v>
      </c>
      <c r="K100" s="18">
        <v>0.39</v>
      </c>
      <c r="L100" s="22">
        <v>9</v>
      </c>
    </row>
    <row r="101" spans="1:12">
      <c r="A101">
        <v>1</v>
      </c>
      <c r="B101" s="16" t="s">
        <v>37</v>
      </c>
      <c r="C101" s="9">
        <v>46266</v>
      </c>
      <c r="D101">
        <v>5</v>
      </c>
      <c r="E101" s="16" t="s">
        <v>88</v>
      </c>
      <c r="F101" s="16" t="s">
        <v>83</v>
      </c>
      <c r="G101" s="22">
        <v>678</v>
      </c>
      <c r="H101" s="18">
        <v>266.7</v>
      </c>
      <c r="I101" s="18">
        <v>0.393362832</v>
      </c>
      <c r="J101" s="18">
        <v>0.4</v>
      </c>
      <c r="K101" s="18">
        <v>0.38</v>
      </c>
      <c r="L101" s="22">
        <v>8</v>
      </c>
    </row>
    <row r="102" spans="1:12">
      <c r="A102">
        <v>1</v>
      </c>
      <c r="B102" s="16" t="s">
        <v>37</v>
      </c>
      <c r="C102" s="9">
        <v>45689</v>
      </c>
      <c r="D102">
        <v>6</v>
      </c>
      <c r="E102" s="16" t="s">
        <v>89</v>
      </c>
      <c r="F102" s="16" t="s">
        <v>90</v>
      </c>
      <c r="G102" s="22">
        <v>26</v>
      </c>
      <c r="H102" s="18">
        <v>688.28</v>
      </c>
      <c r="I102" s="18">
        <v>26.472307692000001</v>
      </c>
      <c r="J102" s="18">
        <v>26.98</v>
      </c>
      <c r="K102" s="18">
        <v>25.88</v>
      </c>
      <c r="L102" s="22">
        <v>2</v>
      </c>
    </row>
    <row r="103" spans="1:12">
      <c r="A103">
        <v>1</v>
      </c>
      <c r="B103" s="16" t="s">
        <v>37</v>
      </c>
      <c r="C103" s="9">
        <v>45717</v>
      </c>
      <c r="D103">
        <v>6</v>
      </c>
      <c r="E103" s="16" t="s">
        <v>89</v>
      </c>
      <c r="F103" s="16" t="s">
        <v>90</v>
      </c>
      <c r="G103" s="22">
        <v>24</v>
      </c>
      <c r="H103" s="18">
        <v>604.08000000000004</v>
      </c>
      <c r="I103" s="18">
        <v>25.17</v>
      </c>
      <c r="J103" s="18">
        <v>25.18</v>
      </c>
      <c r="K103" s="18">
        <v>25.16</v>
      </c>
      <c r="L103" s="22">
        <v>2</v>
      </c>
    </row>
    <row r="104" spans="1:12">
      <c r="A104">
        <v>1</v>
      </c>
      <c r="B104" s="16" t="s">
        <v>37</v>
      </c>
      <c r="C104" s="9">
        <v>45748</v>
      </c>
      <c r="D104">
        <v>6</v>
      </c>
      <c r="E104" s="16" t="s">
        <v>89</v>
      </c>
      <c r="F104" s="16" t="s">
        <v>90</v>
      </c>
      <c r="G104" s="22">
        <v>40</v>
      </c>
      <c r="H104" s="18">
        <v>996.68</v>
      </c>
      <c r="I104" s="18">
        <v>24.917000000000002</v>
      </c>
      <c r="J104" s="18">
        <v>25.29</v>
      </c>
      <c r="K104" s="18">
        <v>24.61</v>
      </c>
      <c r="L104" s="22">
        <v>3</v>
      </c>
    </row>
    <row r="105" spans="1:12">
      <c r="A105">
        <v>1</v>
      </c>
      <c r="B105" s="16" t="s">
        <v>37</v>
      </c>
      <c r="C105" s="9">
        <v>45778</v>
      </c>
      <c r="D105">
        <v>6</v>
      </c>
      <c r="E105" s="16" t="s">
        <v>89</v>
      </c>
      <c r="F105" s="16" t="s">
        <v>90</v>
      </c>
      <c r="G105" s="22">
        <v>26</v>
      </c>
      <c r="H105" s="18">
        <v>654.22</v>
      </c>
      <c r="I105" s="18">
        <v>25.162307691999999</v>
      </c>
      <c r="J105" s="18">
        <v>25.55</v>
      </c>
      <c r="K105" s="18">
        <v>24.71</v>
      </c>
      <c r="L105" s="22">
        <v>2</v>
      </c>
    </row>
    <row r="106" spans="1:12">
      <c r="A106">
        <v>1</v>
      </c>
      <c r="B106" s="16" t="s">
        <v>37</v>
      </c>
      <c r="C106" s="9">
        <v>45809</v>
      </c>
      <c r="D106">
        <v>6</v>
      </c>
      <c r="E106" s="16" t="s">
        <v>89</v>
      </c>
      <c r="F106" s="16" t="s">
        <v>90</v>
      </c>
      <c r="G106" s="22">
        <v>24</v>
      </c>
      <c r="H106" s="18">
        <v>605.16</v>
      </c>
      <c r="I106" s="18">
        <v>25.215</v>
      </c>
      <c r="J106" s="18">
        <v>25.25</v>
      </c>
      <c r="K106" s="18">
        <v>25.18</v>
      </c>
      <c r="L106" s="22">
        <v>2</v>
      </c>
    </row>
    <row r="107" spans="1:12">
      <c r="A107">
        <v>1</v>
      </c>
      <c r="B107" s="16" t="s">
        <v>37</v>
      </c>
      <c r="C107" s="9">
        <v>45839</v>
      </c>
      <c r="D107">
        <v>6</v>
      </c>
      <c r="E107" s="16" t="s">
        <v>89</v>
      </c>
      <c r="F107" s="16" t="s">
        <v>90</v>
      </c>
      <c r="G107" s="22">
        <v>20</v>
      </c>
      <c r="H107" s="18">
        <v>499.7</v>
      </c>
      <c r="I107" s="18">
        <v>24.984999999999999</v>
      </c>
      <c r="J107" s="18">
        <v>25.14</v>
      </c>
      <c r="K107" s="18">
        <v>24.83</v>
      </c>
      <c r="L107" s="22">
        <v>2</v>
      </c>
    </row>
    <row r="108" spans="1:12">
      <c r="A108">
        <v>1</v>
      </c>
      <c r="B108" s="16" t="s">
        <v>37</v>
      </c>
      <c r="C108" s="9">
        <v>45870</v>
      </c>
      <c r="D108">
        <v>6</v>
      </c>
      <c r="E108" s="16" t="s">
        <v>89</v>
      </c>
      <c r="F108" s="16" t="s">
        <v>90</v>
      </c>
      <c r="G108" s="22">
        <v>22</v>
      </c>
      <c r="H108" s="18">
        <v>554.64</v>
      </c>
      <c r="I108" s="18">
        <v>25.210909091000001</v>
      </c>
      <c r="J108" s="18">
        <v>25.44</v>
      </c>
      <c r="K108" s="18">
        <v>25.02</v>
      </c>
      <c r="L108" s="22">
        <v>2</v>
      </c>
    </row>
    <row r="109" spans="1:12">
      <c r="A109">
        <v>1</v>
      </c>
      <c r="B109" s="16" t="s">
        <v>37</v>
      </c>
      <c r="C109" s="9">
        <v>45901</v>
      </c>
      <c r="D109">
        <v>6</v>
      </c>
      <c r="E109" s="16" t="s">
        <v>89</v>
      </c>
      <c r="F109" s="16" t="s">
        <v>90</v>
      </c>
      <c r="G109" s="22">
        <v>28</v>
      </c>
      <c r="H109" s="18">
        <v>703.36</v>
      </c>
      <c r="I109" s="18">
        <v>25.12</v>
      </c>
      <c r="J109" s="18">
        <v>25.14</v>
      </c>
      <c r="K109" s="18">
        <v>25.1</v>
      </c>
      <c r="L109" s="22">
        <v>2</v>
      </c>
    </row>
    <row r="110" spans="1:12">
      <c r="A110">
        <v>1</v>
      </c>
      <c r="B110" s="16" t="s">
        <v>37</v>
      </c>
      <c r="C110" s="9">
        <v>45931</v>
      </c>
      <c r="D110">
        <v>6</v>
      </c>
      <c r="E110" s="16" t="s">
        <v>89</v>
      </c>
      <c r="F110" s="16" t="s">
        <v>90</v>
      </c>
      <c r="G110" s="22">
        <v>46</v>
      </c>
      <c r="H110" s="18">
        <v>1159.5</v>
      </c>
      <c r="I110" s="18">
        <v>25.206521738999999</v>
      </c>
      <c r="J110" s="18">
        <v>25.53</v>
      </c>
      <c r="K110" s="18">
        <v>24.79</v>
      </c>
      <c r="L110" s="22">
        <v>3</v>
      </c>
    </row>
    <row r="111" spans="1:12">
      <c r="A111">
        <v>1</v>
      </c>
      <c r="B111" s="16" t="s">
        <v>37</v>
      </c>
      <c r="C111" s="9">
        <v>45962</v>
      </c>
      <c r="D111">
        <v>6</v>
      </c>
      <c r="E111" s="16" t="s">
        <v>89</v>
      </c>
      <c r="F111" s="16" t="s">
        <v>90</v>
      </c>
      <c r="G111" s="22">
        <v>30</v>
      </c>
      <c r="H111" s="18">
        <v>755.36</v>
      </c>
      <c r="I111" s="18">
        <v>25.178666667000002</v>
      </c>
      <c r="J111" s="18">
        <v>25.37</v>
      </c>
      <c r="K111" s="18">
        <v>24.96</v>
      </c>
      <c r="L111" s="22">
        <v>2</v>
      </c>
    </row>
    <row r="112" spans="1:12">
      <c r="A112">
        <v>1</v>
      </c>
      <c r="B112" s="16" t="s">
        <v>37</v>
      </c>
      <c r="C112" s="9">
        <v>45992</v>
      </c>
      <c r="D112">
        <v>6</v>
      </c>
      <c r="E112" s="16" t="s">
        <v>89</v>
      </c>
      <c r="F112" s="16" t="s">
        <v>90</v>
      </c>
      <c r="G112" s="22">
        <v>36</v>
      </c>
      <c r="H112" s="18">
        <v>893.88</v>
      </c>
      <c r="I112" s="18">
        <v>24.83</v>
      </c>
      <c r="J112" s="18">
        <v>24.88</v>
      </c>
      <c r="K112" s="18">
        <v>24.78</v>
      </c>
      <c r="L112" s="22">
        <v>2</v>
      </c>
    </row>
    <row r="113" spans="1:12">
      <c r="A113">
        <v>1</v>
      </c>
      <c r="B113" s="16" t="s">
        <v>37</v>
      </c>
      <c r="C113" s="9">
        <v>46023</v>
      </c>
      <c r="D113">
        <v>6</v>
      </c>
      <c r="E113" s="16" t="s">
        <v>89</v>
      </c>
      <c r="F113" s="16" t="s">
        <v>90</v>
      </c>
      <c r="G113" s="22">
        <v>28</v>
      </c>
      <c r="H113" s="18">
        <v>693.56</v>
      </c>
      <c r="I113" s="18">
        <v>24.77</v>
      </c>
      <c r="J113" s="18">
        <v>25</v>
      </c>
      <c r="K113" s="18">
        <v>24.54</v>
      </c>
      <c r="L113" s="22">
        <v>2</v>
      </c>
    </row>
    <row r="114" spans="1:12">
      <c r="A114">
        <v>1</v>
      </c>
      <c r="B114" s="16" t="s">
        <v>37</v>
      </c>
      <c r="C114" s="9">
        <v>46054</v>
      </c>
      <c r="D114">
        <v>6</v>
      </c>
      <c r="E114" s="16" t="s">
        <v>89</v>
      </c>
      <c r="F114" s="16" t="s">
        <v>90</v>
      </c>
      <c r="G114" s="22">
        <v>28</v>
      </c>
      <c r="H114" s="18">
        <v>697.48</v>
      </c>
      <c r="I114" s="18">
        <v>24.91</v>
      </c>
      <c r="J114" s="18">
        <v>25.01</v>
      </c>
      <c r="K114" s="18">
        <v>24.81</v>
      </c>
      <c r="L114" s="22">
        <v>2</v>
      </c>
    </row>
    <row r="115" spans="1:12">
      <c r="A115">
        <v>1</v>
      </c>
      <c r="B115" s="16" t="s">
        <v>37</v>
      </c>
      <c r="C115" s="9">
        <v>46082</v>
      </c>
      <c r="D115">
        <v>6</v>
      </c>
      <c r="E115" s="16" t="s">
        <v>89</v>
      </c>
      <c r="F115" s="16" t="s">
        <v>90</v>
      </c>
      <c r="G115" s="22">
        <v>28</v>
      </c>
      <c r="H115" s="18">
        <v>718.06</v>
      </c>
      <c r="I115" s="18">
        <v>25.645</v>
      </c>
      <c r="J115" s="18">
        <v>25.7</v>
      </c>
      <c r="K115" s="18">
        <v>25.59</v>
      </c>
      <c r="L115" s="22">
        <v>2</v>
      </c>
    </row>
    <row r="116" spans="1:12">
      <c r="A116">
        <v>1</v>
      </c>
      <c r="B116" s="16" t="s">
        <v>37</v>
      </c>
      <c r="C116" s="9">
        <v>46113</v>
      </c>
      <c r="D116">
        <v>6</v>
      </c>
      <c r="E116" s="16" t="s">
        <v>89</v>
      </c>
      <c r="F116" s="16" t="s">
        <v>90</v>
      </c>
      <c r="G116" s="22">
        <v>44</v>
      </c>
      <c r="H116" s="18">
        <v>1096.5</v>
      </c>
      <c r="I116" s="18">
        <v>24.920454544999998</v>
      </c>
      <c r="J116" s="18">
        <v>25.49</v>
      </c>
      <c r="K116" s="18">
        <v>24.36</v>
      </c>
      <c r="L116" s="22">
        <v>3</v>
      </c>
    </row>
    <row r="117" spans="1:12">
      <c r="A117">
        <v>1</v>
      </c>
      <c r="B117" s="16" t="s">
        <v>37</v>
      </c>
      <c r="C117" s="9">
        <v>46143</v>
      </c>
      <c r="D117">
        <v>6</v>
      </c>
      <c r="E117" s="16" t="s">
        <v>89</v>
      </c>
      <c r="F117" s="16" t="s">
        <v>90</v>
      </c>
      <c r="G117" s="22">
        <v>26</v>
      </c>
      <c r="H117" s="18">
        <v>645.86</v>
      </c>
      <c r="I117" s="18">
        <v>24.840769230999999</v>
      </c>
      <c r="J117" s="18">
        <v>24.9</v>
      </c>
      <c r="K117" s="18">
        <v>24.79</v>
      </c>
      <c r="L117" s="22">
        <v>2</v>
      </c>
    </row>
    <row r="118" spans="1:12">
      <c r="A118">
        <v>1</v>
      </c>
      <c r="B118" s="16" t="s">
        <v>37</v>
      </c>
      <c r="C118" s="9">
        <v>46174</v>
      </c>
      <c r="D118">
        <v>6</v>
      </c>
      <c r="E118" s="16" t="s">
        <v>89</v>
      </c>
      <c r="F118" s="16" t="s">
        <v>90</v>
      </c>
      <c r="G118" s="22">
        <v>26</v>
      </c>
      <c r="H118" s="18">
        <v>649.98</v>
      </c>
      <c r="I118" s="18">
        <v>24.999230769</v>
      </c>
      <c r="J118" s="18">
        <v>25.22</v>
      </c>
      <c r="K118" s="18">
        <v>24.81</v>
      </c>
      <c r="L118" s="22">
        <v>2</v>
      </c>
    </row>
    <row r="119" spans="1:12">
      <c r="A119">
        <v>1</v>
      </c>
      <c r="B119" s="16" t="s">
        <v>37</v>
      </c>
      <c r="C119" s="9">
        <v>46204</v>
      </c>
      <c r="D119">
        <v>6</v>
      </c>
      <c r="E119" s="16" t="s">
        <v>89</v>
      </c>
      <c r="F119" s="16" t="s">
        <v>90</v>
      </c>
      <c r="G119" s="22">
        <v>26</v>
      </c>
      <c r="H119" s="18">
        <v>644.36</v>
      </c>
      <c r="I119" s="18">
        <v>24.783076922999999</v>
      </c>
      <c r="J119" s="18">
        <v>24.94</v>
      </c>
      <c r="K119" s="18">
        <v>24.6</v>
      </c>
      <c r="L119" s="22">
        <v>2</v>
      </c>
    </row>
    <row r="120" spans="1:12">
      <c r="A120">
        <v>1</v>
      </c>
      <c r="B120" s="16" t="s">
        <v>37</v>
      </c>
      <c r="C120" s="9">
        <v>46235</v>
      </c>
      <c r="D120">
        <v>6</v>
      </c>
      <c r="E120" s="16" t="s">
        <v>89</v>
      </c>
      <c r="F120" s="16" t="s">
        <v>90</v>
      </c>
      <c r="G120" s="22">
        <v>24</v>
      </c>
      <c r="H120" s="18">
        <v>593.28</v>
      </c>
      <c r="I120" s="18">
        <v>24.72</v>
      </c>
      <c r="J120" s="18">
        <v>24.81</v>
      </c>
      <c r="K120" s="18">
        <v>24.63</v>
      </c>
      <c r="L120" s="22">
        <v>2</v>
      </c>
    </row>
    <row r="121" spans="1:12">
      <c r="A121">
        <v>1</v>
      </c>
      <c r="B121" s="16" t="s">
        <v>37</v>
      </c>
      <c r="C121" s="9">
        <v>46266</v>
      </c>
      <c r="D121">
        <v>6</v>
      </c>
      <c r="E121" s="16" t="s">
        <v>89</v>
      </c>
      <c r="F121" s="16" t="s">
        <v>90</v>
      </c>
      <c r="G121" s="22">
        <v>36</v>
      </c>
      <c r="H121" s="18">
        <v>926.28</v>
      </c>
      <c r="I121" s="18">
        <v>25.73</v>
      </c>
      <c r="J121" s="18">
        <v>26.58</v>
      </c>
      <c r="K121" s="18">
        <v>25.17</v>
      </c>
      <c r="L121" s="22">
        <v>3</v>
      </c>
    </row>
    <row r="122" spans="1:12">
      <c r="A122">
        <v>1</v>
      </c>
      <c r="B122" s="16" t="s">
        <v>37</v>
      </c>
      <c r="C122" s="9">
        <v>45689</v>
      </c>
      <c r="D122">
        <v>7</v>
      </c>
      <c r="E122" s="16" t="s">
        <v>91</v>
      </c>
      <c r="F122" s="16" t="s">
        <v>92</v>
      </c>
      <c r="G122" s="22">
        <v>200</v>
      </c>
      <c r="H122" s="18">
        <v>144.63999999999999</v>
      </c>
      <c r="I122" s="18">
        <v>0.72319999999999995</v>
      </c>
      <c r="J122" s="18">
        <v>0.74</v>
      </c>
      <c r="K122" s="18">
        <v>0.7</v>
      </c>
      <c r="L122" s="22">
        <v>8</v>
      </c>
    </row>
    <row r="123" spans="1:12">
      <c r="A123">
        <v>1</v>
      </c>
      <c r="B123" s="16" t="s">
        <v>37</v>
      </c>
      <c r="C123" s="9">
        <v>45717</v>
      </c>
      <c r="D123">
        <v>7</v>
      </c>
      <c r="E123" s="16" t="s">
        <v>91</v>
      </c>
      <c r="F123" s="16" t="s">
        <v>92</v>
      </c>
      <c r="G123" s="22">
        <v>220</v>
      </c>
      <c r="H123" s="18">
        <v>154.28</v>
      </c>
      <c r="I123" s="18">
        <v>0.70127272699999998</v>
      </c>
      <c r="J123" s="18">
        <v>0.71</v>
      </c>
      <c r="K123" s="18">
        <v>0.69</v>
      </c>
      <c r="L123" s="22">
        <v>9</v>
      </c>
    </row>
    <row r="124" spans="1:12">
      <c r="A124">
        <v>1</v>
      </c>
      <c r="B124" s="16" t="s">
        <v>37</v>
      </c>
      <c r="C124" s="9">
        <v>45748</v>
      </c>
      <c r="D124">
        <v>7</v>
      </c>
      <c r="E124" s="16" t="s">
        <v>91</v>
      </c>
      <c r="F124" s="16" t="s">
        <v>92</v>
      </c>
      <c r="G124" s="22">
        <v>252</v>
      </c>
      <c r="H124" s="18">
        <v>166.12</v>
      </c>
      <c r="I124" s="18">
        <v>0.65920634899999997</v>
      </c>
      <c r="J124" s="18">
        <v>0.67</v>
      </c>
      <c r="K124" s="18">
        <v>0.64</v>
      </c>
      <c r="L124" s="22">
        <v>8</v>
      </c>
    </row>
    <row r="125" spans="1:12">
      <c r="A125">
        <v>1</v>
      </c>
      <c r="B125" s="16" t="s">
        <v>37</v>
      </c>
      <c r="C125" s="9">
        <v>45778</v>
      </c>
      <c r="D125">
        <v>7</v>
      </c>
      <c r="E125" s="16" t="s">
        <v>91</v>
      </c>
      <c r="F125" s="16" t="s">
        <v>92</v>
      </c>
      <c r="G125" s="22">
        <v>320</v>
      </c>
      <c r="H125" s="18">
        <v>197.28</v>
      </c>
      <c r="I125" s="18">
        <v>0.61650000000000005</v>
      </c>
      <c r="J125" s="18">
        <v>0.63</v>
      </c>
      <c r="K125" s="18">
        <v>0.6</v>
      </c>
      <c r="L125" s="22">
        <v>9</v>
      </c>
    </row>
    <row r="126" spans="1:12">
      <c r="A126">
        <v>1</v>
      </c>
      <c r="B126" s="16" t="s">
        <v>37</v>
      </c>
      <c r="C126" s="9">
        <v>45809</v>
      </c>
      <c r="D126">
        <v>7</v>
      </c>
      <c r="E126" s="16" t="s">
        <v>91</v>
      </c>
      <c r="F126" s="16" t="s">
        <v>92</v>
      </c>
      <c r="G126" s="22">
        <v>304</v>
      </c>
      <c r="H126" s="18">
        <v>177.88</v>
      </c>
      <c r="I126" s="18">
        <v>0.58513157900000001</v>
      </c>
      <c r="J126" s="18">
        <v>0.6</v>
      </c>
      <c r="K126" s="18">
        <v>0.56999999999999995</v>
      </c>
      <c r="L126" s="22">
        <v>9</v>
      </c>
    </row>
    <row r="127" spans="1:12">
      <c r="A127">
        <v>1</v>
      </c>
      <c r="B127" s="16" t="s">
        <v>37</v>
      </c>
      <c r="C127" s="9">
        <v>45839</v>
      </c>
      <c r="D127">
        <v>7</v>
      </c>
      <c r="E127" s="16" t="s">
        <v>91</v>
      </c>
      <c r="F127" s="16" t="s">
        <v>92</v>
      </c>
      <c r="G127" s="22">
        <v>272</v>
      </c>
      <c r="H127" s="18">
        <v>157.72</v>
      </c>
      <c r="I127" s="18">
        <v>0.57985294099999996</v>
      </c>
      <c r="J127" s="18">
        <v>0.59</v>
      </c>
      <c r="K127" s="18">
        <v>0.56999999999999995</v>
      </c>
      <c r="L127" s="22">
        <v>9</v>
      </c>
    </row>
    <row r="128" spans="1:12">
      <c r="A128">
        <v>1</v>
      </c>
      <c r="B128" s="16" t="s">
        <v>37</v>
      </c>
      <c r="C128" s="9">
        <v>45870</v>
      </c>
      <c r="D128">
        <v>7</v>
      </c>
      <c r="E128" s="16" t="s">
        <v>91</v>
      </c>
      <c r="F128" s="16" t="s">
        <v>92</v>
      </c>
      <c r="G128" s="22">
        <v>236</v>
      </c>
      <c r="H128" s="18">
        <v>142.12</v>
      </c>
      <c r="I128" s="18">
        <v>0.60220339000000001</v>
      </c>
      <c r="J128" s="18">
        <v>0.61</v>
      </c>
      <c r="K128" s="18">
        <v>0.57999999999999996</v>
      </c>
      <c r="L128" s="22">
        <v>8</v>
      </c>
    </row>
    <row r="129" spans="1:12">
      <c r="A129">
        <v>1</v>
      </c>
      <c r="B129" s="16" t="s">
        <v>37</v>
      </c>
      <c r="C129" s="9">
        <v>45901</v>
      </c>
      <c r="D129">
        <v>7</v>
      </c>
      <c r="E129" s="16" t="s">
        <v>91</v>
      </c>
      <c r="F129" s="16" t="s">
        <v>92</v>
      </c>
      <c r="G129" s="22">
        <v>312</v>
      </c>
      <c r="H129" s="18">
        <v>197</v>
      </c>
      <c r="I129" s="18">
        <v>0.631410256</v>
      </c>
      <c r="J129" s="18">
        <v>0.64</v>
      </c>
      <c r="K129" s="18">
        <v>0.63</v>
      </c>
      <c r="L129" s="22">
        <v>9</v>
      </c>
    </row>
    <row r="130" spans="1:12">
      <c r="A130">
        <v>1</v>
      </c>
      <c r="B130" s="16" t="s">
        <v>37</v>
      </c>
      <c r="C130" s="9">
        <v>45931</v>
      </c>
      <c r="D130">
        <v>7</v>
      </c>
      <c r="E130" s="16" t="s">
        <v>91</v>
      </c>
      <c r="F130" s="16" t="s">
        <v>92</v>
      </c>
      <c r="G130" s="22">
        <v>324</v>
      </c>
      <c r="H130" s="18">
        <v>215.72</v>
      </c>
      <c r="I130" s="18">
        <v>0.66580246899999995</v>
      </c>
      <c r="J130" s="18">
        <v>0.68</v>
      </c>
      <c r="K130" s="18">
        <v>0.65</v>
      </c>
      <c r="L130" s="22">
        <v>9</v>
      </c>
    </row>
    <row r="131" spans="1:12">
      <c r="A131">
        <v>1</v>
      </c>
      <c r="B131" s="16" t="s">
        <v>37</v>
      </c>
      <c r="C131" s="9">
        <v>45962</v>
      </c>
      <c r="D131">
        <v>7</v>
      </c>
      <c r="E131" s="16" t="s">
        <v>91</v>
      </c>
      <c r="F131" s="16" t="s">
        <v>92</v>
      </c>
      <c r="G131" s="22">
        <v>236</v>
      </c>
      <c r="H131" s="18">
        <v>167.28</v>
      </c>
      <c r="I131" s="18">
        <v>0.70881355899999998</v>
      </c>
      <c r="J131" s="18">
        <v>0.73</v>
      </c>
      <c r="K131" s="18">
        <v>0.7</v>
      </c>
      <c r="L131" s="22">
        <v>8</v>
      </c>
    </row>
    <row r="132" spans="1:12">
      <c r="A132">
        <v>1</v>
      </c>
      <c r="B132" s="16" t="s">
        <v>37</v>
      </c>
      <c r="C132" s="9">
        <v>45992</v>
      </c>
      <c r="D132">
        <v>7</v>
      </c>
      <c r="E132" s="16" t="s">
        <v>91</v>
      </c>
      <c r="F132" s="16" t="s">
        <v>92</v>
      </c>
      <c r="G132" s="22">
        <v>288</v>
      </c>
      <c r="H132" s="18">
        <v>215.24</v>
      </c>
      <c r="I132" s="18">
        <v>0.74736111100000002</v>
      </c>
      <c r="J132" s="18">
        <v>0.76</v>
      </c>
      <c r="K132" s="18">
        <v>0.73</v>
      </c>
      <c r="L132" s="22">
        <v>9</v>
      </c>
    </row>
    <row r="133" spans="1:12">
      <c r="A133">
        <v>1</v>
      </c>
      <c r="B133" s="16" t="s">
        <v>37</v>
      </c>
      <c r="C133" s="9">
        <v>46023</v>
      </c>
      <c r="D133">
        <v>7</v>
      </c>
      <c r="E133" s="16" t="s">
        <v>91</v>
      </c>
      <c r="F133" s="16" t="s">
        <v>92</v>
      </c>
      <c r="G133" s="22">
        <v>240</v>
      </c>
      <c r="H133" s="18">
        <v>181.72</v>
      </c>
      <c r="I133" s="18">
        <v>0.75716666700000002</v>
      </c>
      <c r="J133" s="18">
        <v>0.77</v>
      </c>
      <c r="K133" s="18">
        <v>0.75</v>
      </c>
      <c r="L133" s="22">
        <v>9</v>
      </c>
    </row>
    <row r="134" spans="1:12">
      <c r="A134">
        <v>1</v>
      </c>
      <c r="B134" s="16" t="s">
        <v>37</v>
      </c>
      <c r="C134" s="9">
        <v>46054</v>
      </c>
      <c r="D134">
        <v>7</v>
      </c>
      <c r="E134" s="16" t="s">
        <v>91</v>
      </c>
      <c r="F134" s="16" t="s">
        <v>92</v>
      </c>
      <c r="G134" s="22">
        <v>228</v>
      </c>
      <c r="H134" s="18">
        <v>171.52</v>
      </c>
      <c r="I134" s="18">
        <v>0.75228070199999997</v>
      </c>
      <c r="J134" s="18">
        <v>0.77</v>
      </c>
      <c r="K134" s="18">
        <v>0.74</v>
      </c>
      <c r="L134" s="22">
        <v>8</v>
      </c>
    </row>
    <row r="135" spans="1:12">
      <c r="A135">
        <v>1</v>
      </c>
      <c r="B135" s="16" t="s">
        <v>37</v>
      </c>
      <c r="C135" s="9">
        <v>46082</v>
      </c>
      <c r="D135">
        <v>7</v>
      </c>
      <c r="E135" s="16" t="s">
        <v>91</v>
      </c>
      <c r="F135" s="16" t="s">
        <v>92</v>
      </c>
      <c r="G135" s="22">
        <v>256</v>
      </c>
      <c r="H135" s="18">
        <v>184.56</v>
      </c>
      <c r="I135" s="18">
        <v>0.72093750000000001</v>
      </c>
      <c r="J135" s="18">
        <v>0.73</v>
      </c>
      <c r="K135" s="18">
        <v>0.7</v>
      </c>
      <c r="L135" s="22">
        <v>9</v>
      </c>
    </row>
    <row r="136" spans="1:12">
      <c r="A136">
        <v>1</v>
      </c>
      <c r="B136" s="16" t="s">
        <v>37</v>
      </c>
      <c r="C136" s="9">
        <v>46113</v>
      </c>
      <c r="D136">
        <v>7</v>
      </c>
      <c r="E136" s="16" t="s">
        <v>91</v>
      </c>
      <c r="F136" s="16" t="s">
        <v>92</v>
      </c>
      <c r="G136" s="22">
        <v>312</v>
      </c>
      <c r="H136" s="18">
        <v>214.12</v>
      </c>
      <c r="I136" s="18">
        <v>0.68628205099999995</v>
      </c>
      <c r="J136" s="18">
        <v>0.74</v>
      </c>
      <c r="K136" s="18">
        <v>0.66</v>
      </c>
      <c r="L136" s="22">
        <v>9</v>
      </c>
    </row>
    <row r="137" spans="1:12">
      <c r="A137">
        <v>1</v>
      </c>
      <c r="B137" s="16" t="s">
        <v>37</v>
      </c>
      <c r="C137" s="9">
        <v>46143</v>
      </c>
      <c r="D137">
        <v>7</v>
      </c>
      <c r="E137" s="16" t="s">
        <v>91</v>
      </c>
      <c r="F137" s="16" t="s">
        <v>92</v>
      </c>
      <c r="G137" s="22">
        <v>280</v>
      </c>
      <c r="H137" s="18">
        <v>175.72</v>
      </c>
      <c r="I137" s="18">
        <v>0.62757142899999996</v>
      </c>
      <c r="J137" s="18">
        <v>0.64</v>
      </c>
      <c r="K137" s="18">
        <v>0.62</v>
      </c>
      <c r="L137" s="22">
        <v>8</v>
      </c>
    </row>
    <row r="138" spans="1:12">
      <c r="A138">
        <v>1</v>
      </c>
      <c r="B138" s="16" t="s">
        <v>37</v>
      </c>
      <c r="C138" s="9">
        <v>46174</v>
      </c>
      <c r="D138">
        <v>7</v>
      </c>
      <c r="E138" s="16" t="s">
        <v>91</v>
      </c>
      <c r="F138" s="16" t="s">
        <v>92</v>
      </c>
      <c r="G138" s="22">
        <v>316</v>
      </c>
      <c r="H138" s="18">
        <v>191.08</v>
      </c>
      <c r="I138" s="18">
        <v>0.60468354400000002</v>
      </c>
      <c r="J138" s="18">
        <v>0.61</v>
      </c>
      <c r="K138" s="18">
        <v>0.6</v>
      </c>
      <c r="L138" s="22">
        <v>9</v>
      </c>
    </row>
    <row r="139" spans="1:12">
      <c r="A139">
        <v>1</v>
      </c>
      <c r="B139" s="16" t="s">
        <v>37</v>
      </c>
      <c r="C139" s="9">
        <v>46204</v>
      </c>
      <c r="D139">
        <v>7</v>
      </c>
      <c r="E139" s="16" t="s">
        <v>91</v>
      </c>
      <c r="F139" s="16" t="s">
        <v>92</v>
      </c>
      <c r="G139" s="22">
        <v>316</v>
      </c>
      <c r="H139" s="18">
        <v>189.8</v>
      </c>
      <c r="I139" s="18">
        <v>0.60063291100000005</v>
      </c>
      <c r="J139" s="18">
        <v>0.62</v>
      </c>
      <c r="K139" s="18">
        <v>0.59</v>
      </c>
      <c r="L139" s="22">
        <v>9</v>
      </c>
    </row>
    <row r="140" spans="1:12">
      <c r="A140">
        <v>1</v>
      </c>
      <c r="B140" s="16" t="s">
        <v>37</v>
      </c>
      <c r="C140" s="9">
        <v>46235</v>
      </c>
      <c r="D140">
        <v>7</v>
      </c>
      <c r="E140" s="16" t="s">
        <v>91</v>
      </c>
      <c r="F140" s="16" t="s">
        <v>92</v>
      </c>
      <c r="G140" s="22">
        <v>280</v>
      </c>
      <c r="H140" s="18">
        <v>171.72</v>
      </c>
      <c r="I140" s="18">
        <v>0.61328571399999998</v>
      </c>
      <c r="J140" s="18">
        <v>0.63</v>
      </c>
      <c r="K140" s="18">
        <v>0.61</v>
      </c>
      <c r="L140" s="22">
        <v>9</v>
      </c>
    </row>
    <row r="141" spans="1:12">
      <c r="A141">
        <v>1</v>
      </c>
      <c r="B141" s="16" t="s">
        <v>37</v>
      </c>
      <c r="C141" s="9">
        <v>46266</v>
      </c>
      <c r="D141">
        <v>7</v>
      </c>
      <c r="E141" s="16" t="s">
        <v>91</v>
      </c>
      <c r="F141" s="16" t="s">
        <v>92</v>
      </c>
      <c r="G141" s="22">
        <v>288</v>
      </c>
      <c r="H141" s="18">
        <v>187</v>
      </c>
      <c r="I141" s="18">
        <v>0.64930555599999995</v>
      </c>
      <c r="J141" s="18">
        <v>0.66</v>
      </c>
      <c r="K141" s="18">
        <v>0.64</v>
      </c>
      <c r="L141" s="22">
        <v>8</v>
      </c>
    </row>
    <row r="142" spans="1:12">
      <c r="A142">
        <v>1</v>
      </c>
      <c r="B142" s="16" t="s">
        <v>37</v>
      </c>
      <c r="C142" s="9">
        <v>45689</v>
      </c>
      <c r="D142">
        <v>8</v>
      </c>
      <c r="E142" s="16" t="s">
        <v>93</v>
      </c>
      <c r="F142" s="16" t="s">
        <v>83</v>
      </c>
      <c r="G142" s="22">
        <v>120</v>
      </c>
      <c r="H142" s="18">
        <v>2292.25</v>
      </c>
      <c r="I142" s="18">
        <v>19.102083332999999</v>
      </c>
      <c r="J142" s="18">
        <v>20.05</v>
      </c>
      <c r="K142" s="18">
        <v>18.53</v>
      </c>
      <c r="L142" s="22">
        <v>12</v>
      </c>
    </row>
    <row r="143" spans="1:12">
      <c r="A143">
        <v>1</v>
      </c>
      <c r="B143" s="16" t="s">
        <v>37</v>
      </c>
      <c r="C143" s="9">
        <v>45717</v>
      </c>
      <c r="D143">
        <v>8</v>
      </c>
      <c r="E143" s="16" t="s">
        <v>93</v>
      </c>
      <c r="F143" s="16" t="s">
        <v>83</v>
      </c>
      <c r="G143" s="22">
        <v>132.5</v>
      </c>
      <c r="H143" s="18">
        <v>2562.6374999999998</v>
      </c>
      <c r="I143" s="18">
        <v>19.340660376999999</v>
      </c>
      <c r="J143" s="18">
        <v>20.45</v>
      </c>
      <c r="K143" s="18">
        <v>18.47</v>
      </c>
      <c r="L143" s="22">
        <v>13</v>
      </c>
    </row>
    <row r="144" spans="1:12">
      <c r="A144">
        <v>1</v>
      </c>
      <c r="B144" s="16" t="s">
        <v>37</v>
      </c>
      <c r="C144" s="9">
        <v>45748</v>
      </c>
      <c r="D144">
        <v>8</v>
      </c>
      <c r="E144" s="16" t="s">
        <v>93</v>
      </c>
      <c r="F144" s="16" t="s">
        <v>83</v>
      </c>
      <c r="G144" s="22">
        <v>140</v>
      </c>
      <c r="H144" s="18">
        <v>2685.8625000000002</v>
      </c>
      <c r="I144" s="18">
        <v>19.184732143000002</v>
      </c>
      <c r="J144" s="18">
        <v>19.670000000000002</v>
      </c>
      <c r="K144" s="18">
        <v>18.73</v>
      </c>
      <c r="L144" s="22">
        <v>13</v>
      </c>
    </row>
    <row r="145" spans="1:12">
      <c r="A145">
        <v>1</v>
      </c>
      <c r="B145" s="16" t="s">
        <v>37</v>
      </c>
      <c r="C145" s="9">
        <v>45778</v>
      </c>
      <c r="D145">
        <v>8</v>
      </c>
      <c r="E145" s="16" t="s">
        <v>93</v>
      </c>
      <c r="F145" s="16" t="s">
        <v>83</v>
      </c>
      <c r="G145" s="22">
        <v>170</v>
      </c>
      <c r="H145" s="18">
        <v>3278.95</v>
      </c>
      <c r="I145" s="18">
        <v>19.287941176</v>
      </c>
      <c r="J145" s="18">
        <v>19.64</v>
      </c>
      <c r="K145" s="18">
        <v>18.89</v>
      </c>
      <c r="L145" s="22">
        <v>13</v>
      </c>
    </row>
    <row r="146" spans="1:12">
      <c r="A146">
        <v>1</v>
      </c>
      <c r="B146" s="16" t="s">
        <v>37</v>
      </c>
      <c r="C146" s="9">
        <v>45809</v>
      </c>
      <c r="D146">
        <v>8</v>
      </c>
      <c r="E146" s="16" t="s">
        <v>93</v>
      </c>
      <c r="F146" s="16" t="s">
        <v>83</v>
      </c>
      <c r="G146" s="22">
        <v>155</v>
      </c>
      <c r="H146" s="18">
        <v>3006.6</v>
      </c>
      <c r="I146" s="18">
        <v>19.397419355</v>
      </c>
      <c r="J146" s="18">
        <v>20.45</v>
      </c>
      <c r="K146" s="18">
        <v>19.05</v>
      </c>
      <c r="L146" s="22">
        <v>13</v>
      </c>
    </row>
    <row r="147" spans="1:12">
      <c r="A147">
        <v>1</v>
      </c>
      <c r="B147" s="16" t="s">
        <v>37</v>
      </c>
      <c r="C147" s="9">
        <v>45839</v>
      </c>
      <c r="D147">
        <v>8</v>
      </c>
      <c r="E147" s="16" t="s">
        <v>93</v>
      </c>
      <c r="F147" s="16" t="s">
        <v>83</v>
      </c>
      <c r="G147" s="22">
        <v>140</v>
      </c>
      <c r="H147" s="18">
        <v>2693.3375000000001</v>
      </c>
      <c r="I147" s="18">
        <v>19.238125</v>
      </c>
      <c r="J147" s="18">
        <v>19.54</v>
      </c>
      <c r="K147" s="18">
        <v>18.87</v>
      </c>
      <c r="L147" s="22">
        <v>13</v>
      </c>
    </row>
    <row r="148" spans="1:12">
      <c r="A148">
        <v>1</v>
      </c>
      <c r="B148" s="16" t="s">
        <v>37</v>
      </c>
      <c r="C148" s="9">
        <v>45870</v>
      </c>
      <c r="D148">
        <v>8</v>
      </c>
      <c r="E148" s="16" t="s">
        <v>93</v>
      </c>
      <c r="F148" s="16" t="s">
        <v>83</v>
      </c>
      <c r="G148" s="22">
        <v>138.75</v>
      </c>
      <c r="H148" s="18">
        <v>2683.65</v>
      </c>
      <c r="I148" s="18">
        <v>19.341621622000002</v>
      </c>
      <c r="J148" s="18">
        <v>19.8</v>
      </c>
      <c r="K148" s="18">
        <v>19.079999999999998</v>
      </c>
      <c r="L148" s="22">
        <v>13</v>
      </c>
    </row>
    <row r="149" spans="1:12">
      <c r="A149">
        <v>1</v>
      </c>
      <c r="B149" s="16" t="s">
        <v>37</v>
      </c>
      <c r="C149" s="9">
        <v>45901</v>
      </c>
      <c r="D149">
        <v>8</v>
      </c>
      <c r="E149" s="16" t="s">
        <v>93</v>
      </c>
      <c r="F149" s="16" t="s">
        <v>83</v>
      </c>
      <c r="G149" s="22">
        <v>165</v>
      </c>
      <c r="H149" s="18">
        <v>3226.625</v>
      </c>
      <c r="I149" s="18">
        <v>19.555303030000001</v>
      </c>
      <c r="J149" s="18">
        <v>19.850000000000001</v>
      </c>
      <c r="K149" s="18">
        <v>19.23</v>
      </c>
      <c r="L149" s="22">
        <v>13</v>
      </c>
    </row>
    <row r="150" spans="1:12">
      <c r="A150">
        <v>1</v>
      </c>
      <c r="B150" s="16" t="s">
        <v>37</v>
      </c>
      <c r="C150" s="9">
        <v>45931</v>
      </c>
      <c r="D150">
        <v>8</v>
      </c>
      <c r="E150" s="16" t="s">
        <v>93</v>
      </c>
      <c r="F150" s="16" t="s">
        <v>83</v>
      </c>
      <c r="G150" s="22">
        <v>193.75</v>
      </c>
      <c r="H150" s="18">
        <v>3793.1875</v>
      </c>
      <c r="I150" s="18">
        <v>19.577741934999999</v>
      </c>
      <c r="J150" s="18">
        <v>19.95</v>
      </c>
      <c r="K150" s="18">
        <v>19.18</v>
      </c>
      <c r="L150" s="22">
        <v>14</v>
      </c>
    </row>
    <row r="151" spans="1:12">
      <c r="A151">
        <v>1</v>
      </c>
      <c r="B151" s="16" t="s">
        <v>37</v>
      </c>
      <c r="C151" s="9">
        <v>45962</v>
      </c>
      <c r="D151">
        <v>8</v>
      </c>
      <c r="E151" s="16" t="s">
        <v>93</v>
      </c>
      <c r="F151" s="16" t="s">
        <v>83</v>
      </c>
      <c r="G151" s="22">
        <v>140</v>
      </c>
      <c r="H151" s="18">
        <v>2761.3874999999998</v>
      </c>
      <c r="I151" s="18">
        <v>19.724196428999999</v>
      </c>
      <c r="J151" s="18">
        <v>20.079999999999998</v>
      </c>
      <c r="K151" s="18">
        <v>19.22</v>
      </c>
      <c r="L151" s="22">
        <v>12</v>
      </c>
    </row>
    <row r="152" spans="1:12">
      <c r="A152">
        <v>1</v>
      </c>
      <c r="B152" s="16" t="s">
        <v>37</v>
      </c>
      <c r="C152" s="9">
        <v>45992</v>
      </c>
      <c r="D152">
        <v>8</v>
      </c>
      <c r="E152" s="16" t="s">
        <v>93</v>
      </c>
      <c r="F152" s="16" t="s">
        <v>83</v>
      </c>
      <c r="G152" s="22">
        <v>193.75</v>
      </c>
      <c r="H152" s="18">
        <v>3819.2125000000001</v>
      </c>
      <c r="I152" s="18">
        <v>19.712064516000002</v>
      </c>
      <c r="J152" s="18">
        <v>20.12</v>
      </c>
      <c r="K152" s="18">
        <v>19.3</v>
      </c>
      <c r="L152" s="22">
        <v>14</v>
      </c>
    </row>
    <row r="153" spans="1:12">
      <c r="A153">
        <v>1</v>
      </c>
      <c r="B153" s="16" t="s">
        <v>37</v>
      </c>
      <c r="C153" s="9">
        <v>46023</v>
      </c>
      <c r="D153">
        <v>8</v>
      </c>
      <c r="E153" s="16" t="s">
        <v>93</v>
      </c>
      <c r="F153" s="16" t="s">
        <v>83</v>
      </c>
      <c r="G153" s="22">
        <v>167.5</v>
      </c>
      <c r="H153" s="18">
        <v>3368.3375000000001</v>
      </c>
      <c r="I153" s="18">
        <v>20.109477611999999</v>
      </c>
      <c r="J153" s="18">
        <v>21.56</v>
      </c>
      <c r="K153" s="18">
        <v>19.47</v>
      </c>
      <c r="L153" s="22">
        <v>13</v>
      </c>
    </row>
    <row r="154" spans="1:12">
      <c r="A154">
        <v>1</v>
      </c>
      <c r="B154" s="16" t="s">
        <v>37</v>
      </c>
      <c r="C154" s="9">
        <v>46054</v>
      </c>
      <c r="D154">
        <v>8</v>
      </c>
      <c r="E154" s="16" t="s">
        <v>93</v>
      </c>
      <c r="F154" s="16" t="s">
        <v>83</v>
      </c>
      <c r="G154" s="22">
        <v>146.25</v>
      </c>
      <c r="H154" s="18">
        <v>2948.4875000000002</v>
      </c>
      <c r="I154" s="18">
        <v>20.160598290999999</v>
      </c>
      <c r="J154" s="18">
        <v>20.65</v>
      </c>
      <c r="K154" s="18">
        <v>19.829999999999998</v>
      </c>
      <c r="L154" s="22">
        <v>12</v>
      </c>
    </row>
    <row r="155" spans="1:12">
      <c r="A155">
        <v>1</v>
      </c>
      <c r="B155" s="16" t="s">
        <v>37</v>
      </c>
      <c r="C155" s="9">
        <v>46082</v>
      </c>
      <c r="D155">
        <v>8</v>
      </c>
      <c r="E155" s="16" t="s">
        <v>93</v>
      </c>
      <c r="F155" s="16" t="s">
        <v>83</v>
      </c>
      <c r="G155" s="22">
        <v>158.75</v>
      </c>
      <c r="H155" s="18">
        <v>3199.0875000000001</v>
      </c>
      <c r="I155" s="18">
        <v>20.151732283000001</v>
      </c>
      <c r="J155" s="18">
        <v>20.38</v>
      </c>
      <c r="K155" s="18">
        <v>19.82</v>
      </c>
      <c r="L155" s="22">
        <v>13</v>
      </c>
    </row>
    <row r="156" spans="1:12">
      <c r="A156">
        <v>1</v>
      </c>
      <c r="B156" s="16" t="s">
        <v>37</v>
      </c>
      <c r="C156" s="9">
        <v>46113</v>
      </c>
      <c r="D156">
        <v>8</v>
      </c>
      <c r="E156" s="16" t="s">
        <v>93</v>
      </c>
      <c r="F156" s="16" t="s">
        <v>83</v>
      </c>
      <c r="G156" s="22">
        <v>176.25</v>
      </c>
      <c r="H156" s="18">
        <v>3540.5749999999998</v>
      </c>
      <c r="I156" s="18">
        <v>20.088368794000001</v>
      </c>
      <c r="J156" s="18">
        <v>20.399999999999999</v>
      </c>
      <c r="K156" s="18">
        <v>19.809999999999999</v>
      </c>
      <c r="L156" s="22">
        <v>13</v>
      </c>
    </row>
    <row r="157" spans="1:12">
      <c r="A157">
        <v>1</v>
      </c>
      <c r="B157" s="16" t="s">
        <v>37</v>
      </c>
      <c r="C157" s="9">
        <v>46143</v>
      </c>
      <c r="D157">
        <v>8</v>
      </c>
      <c r="E157" s="16" t="s">
        <v>93</v>
      </c>
      <c r="F157" s="16" t="s">
        <v>83</v>
      </c>
      <c r="G157" s="22">
        <v>183.75</v>
      </c>
      <c r="H157" s="18">
        <v>3683.2249999999999</v>
      </c>
      <c r="I157" s="18">
        <v>20.044761905000001</v>
      </c>
      <c r="J157" s="18">
        <v>21.37</v>
      </c>
      <c r="K157" s="18">
        <v>19.47</v>
      </c>
      <c r="L157" s="22">
        <v>13</v>
      </c>
    </row>
    <row r="158" spans="1:12">
      <c r="A158">
        <v>1</v>
      </c>
      <c r="B158" s="16" t="s">
        <v>37</v>
      </c>
      <c r="C158" s="9">
        <v>46174</v>
      </c>
      <c r="D158">
        <v>8</v>
      </c>
      <c r="E158" s="16" t="s">
        <v>93</v>
      </c>
      <c r="F158" s="16" t="s">
        <v>83</v>
      </c>
      <c r="G158" s="22">
        <v>176.25</v>
      </c>
      <c r="H158" s="18">
        <v>3525.0875000000001</v>
      </c>
      <c r="I158" s="18">
        <v>20.000496454</v>
      </c>
      <c r="J158" s="18">
        <v>20.23</v>
      </c>
      <c r="K158" s="18">
        <v>19.600000000000001</v>
      </c>
      <c r="L158" s="22">
        <v>13</v>
      </c>
    </row>
    <row r="159" spans="1:12">
      <c r="A159">
        <v>1</v>
      </c>
      <c r="B159" s="16" t="s">
        <v>37</v>
      </c>
      <c r="C159" s="9">
        <v>46204</v>
      </c>
      <c r="D159">
        <v>8</v>
      </c>
      <c r="E159" s="16" t="s">
        <v>93</v>
      </c>
      <c r="F159" s="16" t="s">
        <v>83</v>
      </c>
      <c r="G159" s="22">
        <v>208.75</v>
      </c>
      <c r="H159" s="18">
        <v>4176.4125000000004</v>
      </c>
      <c r="I159" s="18">
        <v>20.006766466999998</v>
      </c>
      <c r="J159" s="18">
        <v>21.33</v>
      </c>
      <c r="K159" s="18">
        <v>19.47</v>
      </c>
      <c r="L159" s="22">
        <v>14</v>
      </c>
    </row>
    <row r="160" spans="1:12">
      <c r="A160">
        <v>1</v>
      </c>
      <c r="B160" s="16" t="s">
        <v>37</v>
      </c>
      <c r="C160" s="9">
        <v>46235</v>
      </c>
      <c r="D160">
        <v>8</v>
      </c>
      <c r="E160" s="16" t="s">
        <v>93</v>
      </c>
      <c r="F160" s="16" t="s">
        <v>83</v>
      </c>
      <c r="G160" s="22">
        <v>157.5</v>
      </c>
      <c r="H160" s="18">
        <v>3111.2750000000001</v>
      </c>
      <c r="I160" s="18">
        <v>19.754126983999999</v>
      </c>
      <c r="J160" s="18">
        <v>20.25</v>
      </c>
      <c r="K160" s="18">
        <v>19.3</v>
      </c>
      <c r="L160" s="22">
        <v>13</v>
      </c>
    </row>
    <row r="161" spans="1:12">
      <c r="A161">
        <v>1</v>
      </c>
      <c r="B161" s="16" t="s">
        <v>37</v>
      </c>
      <c r="C161" s="9">
        <v>46266</v>
      </c>
      <c r="D161">
        <v>8</v>
      </c>
      <c r="E161" s="16" t="s">
        <v>93</v>
      </c>
      <c r="F161" s="16" t="s">
        <v>83</v>
      </c>
      <c r="G161" s="22">
        <v>186.25</v>
      </c>
      <c r="H161" s="18">
        <v>3695.1125000000002</v>
      </c>
      <c r="I161" s="18">
        <v>19.839530200999999</v>
      </c>
      <c r="J161" s="18">
        <v>20.39</v>
      </c>
      <c r="K161" s="18">
        <v>19.47</v>
      </c>
      <c r="L161" s="22">
        <v>13</v>
      </c>
    </row>
    <row r="162" spans="1:12">
      <c r="A162">
        <v>1</v>
      </c>
      <c r="B162" s="16" t="s">
        <v>37</v>
      </c>
      <c r="C162" s="9">
        <v>45689</v>
      </c>
      <c r="D162">
        <v>9</v>
      </c>
      <c r="E162" s="16" t="s">
        <v>94</v>
      </c>
      <c r="F162" s="16" t="s">
        <v>85</v>
      </c>
      <c r="G162" s="22">
        <v>25</v>
      </c>
      <c r="H162" s="18">
        <v>79.5</v>
      </c>
      <c r="I162" s="18">
        <v>3.18</v>
      </c>
      <c r="J162" s="18">
        <v>3.18</v>
      </c>
      <c r="K162" s="18">
        <v>3.18</v>
      </c>
      <c r="L162" s="22">
        <v>1</v>
      </c>
    </row>
    <row r="163" spans="1:12">
      <c r="A163">
        <v>1</v>
      </c>
      <c r="B163" s="16" t="s">
        <v>37</v>
      </c>
      <c r="C163" s="9">
        <v>45717</v>
      </c>
      <c r="D163">
        <v>9</v>
      </c>
      <c r="E163" s="16" t="s">
        <v>94</v>
      </c>
      <c r="F163" s="16" t="s">
        <v>85</v>
      </c>
      <c r="G163" s="22">
        <v>50</v>
      </c>
      <c r="H163" s="18">
        <v>161.5</v>
      </c>
      <c r="I163" s="18">
        <v>3.23</v>
      </c>
      <c r="J163" s="18">
        <v>3.26</v>
      </c>
      <c r="K163" s="18">
        <v>3.2</v>
      </c>
      <c r="L163" s="22">
        <v>2</v>
      </c>
    </row>
    <row r="164" spans="1:12">
      <c r="A164">
        <v>1</v>
      </c>
      <c r="B164" s="16" t="s">
        <v>37</v>
      </c>
      <c r="C164" s="9">
        <v>45778</v>
      </c>
      <c r="D164">
        <v>9</v>
      </c>
      <c r="E164" s="16" t="s">
        <v>94</v>
      </c>
      <c r="F164" s="16" t="s">
        <v>85</v>
      </c>
      <c r="G164" s="22">
        <v>25</v>
      </c>
      <c r="H164" s="18">
        <v>83.25</v>
      </c>
      <c r="I164" s="18">
        <v>3.33</v>
      </c>
      <c r="J164" s="18">
        <v>3.33</v>
      </c>
      <c r="K164" s="18">
        <v>3.33</v>
      </c>
      <c r="L164" s="22">
        <v>1</v>
      </c>
    </row>
    <row r="165" spans="1:12">
      <c r="A165">
        <v>1</v>
      </c>
      <c r="B165" s="16" t="s">
        <v>37</v>
      </c>
      <c r="C165" s="9">
        <v>45809</v>
      </c>
      <c r="D165">
        <v>9</v>
      </c>
      <c r="E165" s="16" t="s">
        <v>94</v>
      </c>
      <c r="F165" s="16" t="s">
        <v>85</v>
      </c>
      <c r="G165" s="22">
        <v>25</v>
      </c>
      <c r="H165" s="18">
        <v>82.25</v>
      </c>
      <c r="I165" s="18">
        <v>3.29</v>
      </c>
      <c r="J165" s="18">
        <v>3.29</v>
      </c>
      <c r="K165" s="18">
        <v>3.29</v>
      </c>
      <c r="L165" s="22">
        <v>1</v>
      </c>
    </row>
    <row r="166" spans="1:12">
      <c r="A166">
        <v>1</v>
      </c>
      <c r="B166" s="16" t="s">
        <v>37</v>
      </c>
      <c r="C166" s="9">
        <v>45839</v>
      </c>
      <c r="D166">
        <v>9</v>
      </c>
      <c r="E166" s="16" t="s">
        <v>94</v>
      </c>
      <c r="F166" s="16" t="s">
        <v>85</v>
      </c>
      <c r="G166" s="22">
        <v>25</v>
      </c>
      <c r="H166" s="18">
        <v>82.25</v>
      </c>
      <c r="I166" s="18">
        <v>3.29</v>
      </c>
      <c r="J166" s="18">
        <v>3.29</v>
      </c>
      <c r="K166" s="18">
        <v>3.29</v>
      </c>
      <c r="L166" s="22">
        <v>1</v>
      </c>
    </row>
    <row r="167" spans="1:12">
      <c r="A167">
        <v>1</v>
      </c>
      <c r="B167" s="16" t="s">
        <v>37</v>
      </c>
      <c r="C167" s="9">
        <v>45870</v>
      </c>
      <c r="D167">
        <v>9</v>
      </c>
      <c r="E167" s="16" t="s">
        <v>94</v>
      </c>
      <c r="F167" s="16" t="s">
        <v>85</v>
      </c>
      <c r="G167" s="22">
        <v>25</v>
      </c>
      <c r="H167" s="18">
        <v>81.25</v>
      </c>
      <c r="I167" s="18">
        <v>3.25</v>
      </c>
      <c r="J167" s="18">
        <v>3.25</v>
      </c>
      <c r="K167" s="18">
        <v>3.25</v>
      </c>
      <c r="L167" s="22">
        <v>1</v>
      </c>
    </row>
    <row r="168" spans="1:12">
      <c r="A168">
        <v>1</v>
      </c>
      <c r="B168" s="16" t="s">
        <v>37</v>
      </c>
      <c r="C168" s="9">
        <v>45901</v>
      </c>
      <c r="D168">
        <v>9</v>
      </c>
      <c r="E168" s="16" t="s">
        <v>94</v>
      </c>
      <c r="F168" s="16" t="s">
        <v>85</v>
      </c>
      <c r="G168" s="22">
        <v>25</v>
      </c>
      <c r="H168" s="18">
        <v>83.25</v>
      </c>
      <c r="I168" s="18">
        <v>3.33</v>
      </c>
      <c r="J168" s="18">
        <v>3.33</v>
      </c>
      <c r="K168" s="18">
        <v>3.33</v>
      </c>
      <c r="L168" s="22">
        <v>1</v>
      </c>
    </row>
    <row r="169" spans="1:12">
      <c r="A169">
        <v>1</v>
      </c>
      <c r="B169" s="16" t="s">
        <v>37</v>
      </c>
      <c r="C169" s="9">
        <v>45931</v>
      </c>
      <c r="D169">
        <v>9</v>
      </c>
      <c r="E169" s="16" t="s">
        <v>94</v>
      </c>
      <c r="F169" s="16" t="s">
        <v>85</v>
      </c>
      <c r="G169" s="22">
        <v>50</v>
      </c>
      <c r="H169" s="18">
        <v>166.25</v>
      </c>
      <c r="I169" s="18">
        <v>3.3250000000000002</v>
      </c>
      <c r="J169" s="18">
        <v>3.37</v>
      </c>
      <c r="K169" s="18">
        <v>3.28</v>
      </c>
      <c r="L169" s="22">
        <v>2</v>
      </c>
    </row>
    <row r="170" spans="1:12">
      <c r="A170">
        <v>1</v>
      </c>
      <c r="B170" s="16" t="s">
        <v>37</v>
      </c>
      <c r="C170" s="9">
        <v>45962</v>
      </c>
      <c r="D170">
        <v>9</v>
      </c>
      <c r="E170" s="16" t="s">
        <v>94</v>
      </c>
      <c r="F170" s="16" t="s">
        <v>85</v>
      </c>
      <c r="G170" s="22">
        <v>25</v>
      </c>
      <c r="H170" s="18">
        <v>83.75</v>
      </c>
      <c r="I170" s="18">
        <v>3.35</v>
      </c>
      <c r="J170" s="18">
        <v>3.35</v>
      </c>
      <c r="K170" s="18">
        <v>3.35</v>
      </c>
      <c r="L170" s="22">
        <v>1</v>
      </c>
    </row>
    <row r="171" spans="1:12">
      <c r="A171">
        <v>1</v>
      </c>
      <c r="B171" s="16" t="s">
        <v>37</v>
      </c>
      <c r="C171" s="9">
        <v>45992</v>
      </c>
      <c r="D171">
        <v>9</v>
      </c>
      <c r="E171" s="16" t="s">
        <v>94</v>
      </c>
      <c r="F171" s="16" t="s">
        <v>85</v>
      </c>
      <c r="G171" s="22">
        <v>50</v>
      </c>
      <c r="H171" s="18">
        <v>168.25</v>
      </c>
      <c r="I171" s="18">
        <v>3.3650000000000002</v>
      </c>
      <c r="J171" s="18">
        <v>3.38</v>
      </c>
      <c r="K171" s="18">
        <v>3.35</v>
      </c>
      <c r="L171" s="22">
        <v>2</v>
      </c>
    </row>
    <row r="172" spans="1:12">
      <c r="A172">
        <v>1</v>
      </c>
      <c r="B172" s="16" t="s">
        <v>37</v>
      </c>
      <c r="C172" s="9">
        <v>46023</v>
      </c>
      <c r="D172">
        <v>9</v>
      </c>
      <c r="E172" s="16" t="s">
        <v>94</v>
      </c>
      <c r="F172" s="16" t="s">
        <v>85</v>
      </c>
      <c r="G172" s="22">
        <v>25</v>
      </c>
      <c r="H172" s="18">
        <v>84.75</v>
      </c>
      <c r="I172" s="18">
        <v>3.39</v>
      </c>
      <c r="J172" s="18">
        <v>3.39</v>
      </c>
      <c r="K172" s="18">
        <v>3.39</v>
      </c>
      <c r="L172" s="22">
        <v>1</v>
      </c>
    </row>
    <row r="173" spans="1:12">
      <c r="A173">
        <v>1</v>
      </c>
      <c r="B173" s="16" t="s">
        <v>37</v>
      </c>
      <c r="C173" s="9">
        <v>46054</v>
      </c>
      <c r="D173">
        <v>9</v>
      </c>
      <c r="E173" s="16" t="s">
        <v>94</v>
      </c>
      <c r="F173" s="16" t="s">
        <v>85</v>
      </c>
      <c r="G173" s="22">
        <v>25</v>
      </c>
      <c r="H173" s="18">
        <v>85.75</v>
      </c>
      <c r="I173" s="18">
        <v>3.43</v>
      </c>
      <c r="J173" s="18">
        <v>3.43</v>
      </c>
      <c r="K173" s="18">
        <v>3.43</v>
      </c>
      <c r="L173" s="22">
        <v>1</v>
      </c>
    </row>
    <row r="174" spans="1:12">
      <c r="A174">
        <v>1</v>
      </c>
      <c r="B174" s="16" t="s">
        <v>37</v>
      </c>
      <c r="C174" s="9">
        <v>46082</v>
      </c>
      <c r="D174">
        <v>9</v>
      </c>
      <c r="E174" s="16" t="s">
        <v>94</v>
      </c>
      <c r="F174" s="16" t="s">
        <v>85</v>
      </c>
      <c r="G174" s="22">
        <v>50</v>
      </c>
      <c r="H174" s="18">
        <v>172</v>
      </c>
      <c r="I174" s="18">
        <v>3.44</v>
      </c>
      <c r="J174" s="18">
        <v>3.47</v>
      </c>
      <c r="K174" s="18">
        <v>3.41</v>
      </c>
      <c r="L174" s="22">
        <v>2</v>
      </c>
    </row>
    <row r="175" spans="1:12">
      <c r="A175">
        <v>1</v>
      </c>
      <c r="B175" s="16" t="s">
        <v>37</v>
      </c>
      <c r="C175" s="9">
        <v>46113</v>
      </c>
      <c r="D175">
        <v>9</v>
      </c>
      <c r="E175" s="16" t="s">
        <v>94</v>
      </c>
      <c r="F175" s="16" t="s">
        <v>85</v>
      </c>
      <c r="G175" s="22">
        <v>25</v>
      </c>
      <c r="H175" s="18">
        <v>87.25</v>
      </c>
      <c r="I175" s="18">
        <v>3.49</v>
      </c>
      <c r="J175" s="18">
        <v>3.49</v>
      </c>
      <c r="K175" s="18">
        <v>3.49</v>
      </c>
      <c r="L175" s="22">
        <v>1</v>
      </c>
    </row>
    <row r="176" spans="1:12">
      <c r="A176">
        <v>1</v>
      </c>
      <c r="B176" s="16" t="s">
        <v>37</v>
      </c>
      <c r="C176" s="9">
        <v>46143</v>
      </c>
      <c r="D176">
        <v>9</v>
      </c>
      <c r="E176" s="16" t="s">
        <v>94</v>
      </c>
      <c r="F176" s="16" t="s">
        <v>85</v>
      </c>
      <c r="G176" s="22">
        <v>25</v>
      </c>
      <c r="H176" s="18">
        <v>87.25</v>
      </c>
      <c r="I176" s="18">
        <v>3.49</v>
      </c>
      <c r="J176" s="18">
        <v>3.49</v>
      </c>
      <c r="K176" s="18">
        <v>3.49</v>
      </c>
      <c r="L176" s="22">
        <v>1</v>
      </c>
    </row>
    <row r="177" spans="1:12">
      <c r="A177">
        <v>1</v>
      </c>
      <c r="B177" s="16" t="s">
        <v>37</v>
      </c>
      <c r="C177" s="9">
        <v>46174</v>
      </c>
      <c r="D177">
        <v>9</v>
      </c>
      <c r="E177" s="16" t="s">
        <v>94</v>
      </c>
      <c r="F177" s="16" t="s">
        <v>85</v>
      </c>
      <c r="G177" s="22">
        <v>50</v>
      </c>
      <c r="H177" s="18">
        <v>176</v>
      </c>
      <c r="I177" s="18">
        <v>3.52</v>
      </c>
      <c r="J177" s="18">
        <v>3.54</v>
      </c>
      <c r="K177" s="18">
        <v>3.5</v>
      </c>
      <c r="L177" s="22">
        <v>2</v>
      </c>
    </row>
    <row r="178" spans="1:12">
      <c r="A178">
        <v>1</v>
      </c>
      <c r="B178" s="16" t="s">
        <v>37</v>
      </c>
      <c r="C178" s="9">
        <v>46204</v>
      </c>
      <c r="D178">
        <v>9</v>
      </c>
      <c r="E178" s="16" t="s">
        <v>94</v>
      </c>
      <c r="F178" s="16" t="s">
        <v>85</v>
      </c>
      <c r="G178" s="22">
        <v>25</v>
      </c>
      <c r="H178" s="18">
        <v>87</v>
      </c>
      <c r="I178" s="18">
        <v>3.48</v>
      </c>
      <c r="J178" s="18">
        <v>3.48</v>
      </c>
      <c r="K178" s="18">
        <v>3.48</v>
      </c>
      <c r="L178" s="22">
        <v>1</v>
      </c>
    </row>
    <row r="179" spans="1:12">
      <c r="A179">
        <v>1</v>
      </c>
      <c r="B179" s="16" t="s">
        <v>37</v>
      </c>
      <c r="C179" s="9">
        <v>46235</v>
      </c>
      <c r="D179">
        <v>9</v>
      </c>
      <c r="E179" s="16" t="s">
        <v>94</v>
      </c>
      <c r="F179" s="16" t="s">
        <v>85</v>
      </c>
      <c r="G179" s="22">
        <v>25</v>
      </c>
      <c r="H179" s="18">
        <v>88.5</v>
      </c>
      <c r="I179" s="18">
        <v>3.54</v>
      </c>
      <c r="J179" s="18">
        <v>3.54</v>
      </c>
      <c r="K179" s="18">
        <v>3.54</v>
      </c>
      <c r="L179" s="22">
        <v>1</v>
      </c>
    </row>
    <row r="180" spans="1:12">
      <c r="A180">
        <v>1</v>
      </c>
      <c r="B180" s="16" t="s">
        <v>37</v>
      </c>
      <c r="C180" s="9">
        <v>46266</v>
      </c>
      <c r="D180">
        <v>9</v>
      </c>
      <c r="E180" s="16" t="s">
        <v>94</v>
      </c>
      <c r="F180" s="16" t="s">
        <v>85</v>
      </c>
      <c r="G180" s="22">
        <v>25</v>
      </c>
      <c r="H180" s="18">
        <v>89.5</v>
      </c>
      <c r="I180" s="18">
        <v>3.58</v>
      </c>
      <c r="J180" s="18">
        <v>3.58</v>
      </c>
      <c r="K180" s="18">
        <v>3.58</v>
      </c>
      <c r="L180" s="22">
        <v>1</v>
      </c>
    </row>
    <row r="181" spans="1:12">
      <c r="A181">
        <v>1</v>
      </c>
      <c r="B181" s="16" t="s">
        <v>37</v>
      </c>
      <c r="C181" s="9">
        <v>45689</v>
      </c>
      <c r="D181">
        <v>10</v>
      </c>
      <c r="E181" s="16" t="s">
        <v>95</v>
      </c>
      <c r="F181" s="16" t="s">
        <v>83</v>
      </c>
      <c r="G181" s="22">
        <v>40</v>
      </c>
      <c r="H181" s="18">
        <v>568.1</v>
      </c>
      <c r="I181" s="18">
        <v>14.202500000000001</v>
      </c>
      <c r="J181" s="18">
        <v>14.45</v>
      </c>
      <c r="K181" s="18">
        <v>13.99</v>
      </c>
      <c r="L181" s="22">
        <v>4</v>
      </c>
    </row>
    <row r="182" spans="1:12">
      <c r="A182">
        <v>1</v>
      </c>
      <c r="B182" s="16" t="s">
        <v>37</v>
      </c>
      <c r="C182" s="9">
        <v>45717</v>
      </c>
      <c r="D182">
        <v>10</v>
      </c>
      <c r="E182" s="16" t="s">
        <v>95</v>
      </c>
      <c r="F182" s="16" t="s">
        <v>83</v>
      </c>
      <c r="G182" s="22">
        <v>50</v>
      </c>
      <c r="H182" s="18">
        <v>719.5</v>
      </c>
      <c r="I182" s="18">
        <v>14.39</v>
      </c>
      <c r="J182" s="18">
        <v>14.51</v>
      </c>
      <c r="K182" s="18">
        <v>14.23</v>
      </c>
      <c r="L182" s="22">
        <v>5</v>
      </c>
    </row>
    <row r="183" spans="1:12">
      <c r="A183">
        <v>1</v>
      </c>
      <c r="B183" s="16" t="s">
        <v>37</v>
      </c>
      <c r="C183" s="9">
        <v>45748</v>
      </c>
      <c r="D183">
        <v>10</v>
      </c>
      <c r="E183" s="16" t="s">
        <v>95</v>
      </c>
      <c r="F183" s="16" t="s">
        <v>83</v>
      </c>
      <c r="G183" s="22">
        <v>50</v>
      </c>
      <c r="H183" s="18">
        <v>723.2</v>
      </c>
      <c r="I183" s="18">
        <v>14.464</v>
      </c>
      <c r="J183" s="18">
        <v>14.61</v>
      </c>
      <c r="K183" s="18">
        <v>14.23</v>
      </c>
      <c r="L183" s="22">
        <v>5</v>
      </c>
    </row>
    <row r="184" spans="1:12">
      <c r="A184">
        <v>1</v>
      </c>
      <c r="B184" s="16" t="s">
        <v>37</v>
      </c>
      <c r="C184" s="9">
        <v>45778</v>
      </c>
      <c r="D184">
        <v>10</v>
      </c>
      <c r="E184" s="16" t="s">
        <v>95</v>
      </c>
      <c r="F184" s="16" t="s">
        <v>83</v>
      </c>
      <c r="G184" s="22">
        <v>60</v>
      </c>
      <c r="H184" s="18">
        <v>866.2</v>
      </c>
      <c r="I184" s="18">
        <v>14.436666667000001</v>
      </c>
      <c r="J184" s="18">
        <v>14.72</v>
      </c>
      <c r="K184" s="18">
        <v>14.28</v>
      </c>
      <c r="L184" s="22">
        <v>6</v>
      </c>
    </row>
    <row r="185" spans="1:12">
      <c r="A185">
        <v>1</v>
      </c>
      <c r="B185" s="16" t="s">
        <v>37</v>
      </c>
      <c r="C185" s="9">
        <v>45809</v>
      </c>
      <c r="D185">
        <v>10</v>
      </c>
      <c r="E185" s="16" t="s">
        <v>95</v>
      </c>
      <c r="F185" s="16" t="s">
        <v>83</v>
      </c>
      <c r="G185" s="22">
        <v>50</v>
      </c>
      <c r="H185" s="18">
        <v>728.3</v>
      </c>
      <c r="I185" s="18">
        <v>14.566000000000001</v>
      </c>
      <c r="J185" s="18">
        <v>14.78</v>
      </c>
      <c r="K185" s="18">
        <v>14.34</v>
      </c>
      <c r="L185" s="22">
        <v>5</v>
      </c>
    </row>
    <row r="186" spans="1:12">
      <c r="A186">
        <v>1</v>
      </c>
      <c r="B186" s="16" t="s">
        <v>37</v>
      </c>
      <c r="C186" s="9">
        <v>45839</v>
      </c>
      <c r="D186">
        <v>10</v>
      </c>
      <c r="E186" s="16" t="s">
        <v>95</v>
      </c>
      <c r="F186" s="16" t="s">
        <v>83</v>
      </c>
      <c r="G186" s="22">
        <v>50</v>
      </c>
      <c r="H186" s="18">
        <v>780.2</v>
      </c>
      <c r="I186" s="18">
        <v>15.603999999999999</v>
      </c>
      <c r="J186" s="18">
        <v>15.69</v>
      </c>
      <c r="K186" s="18">
        <v>15.5</v>
      </c>
      <c r="L186" s="22">
        <v>5</v>
      </c>
    </row>
    <row r="187" spans="1:12">
      <c r="A187">
        <v>1</v>
      </c>
      <c r="B187" s="16" t="s">
        <v>37</v>
      </c>
      <c r="C187" s="9">
        <v>45870</v>
      </c>
      <c r="D187">
        <v>10</v>
      </c>
      <c r="E187" s="16" t="s">
        <v>95</v>
      </c>
      <c r="F187" s="16" t="s">
        <v>83</v>
      </c>
      <c r="G187" s="22">
        <v>40</v>
      </c>
      <c r="H187" s="18">
        <v>624.79999999999995</v>
      </c>
      <c r="I187" s="18">
        <v>15.62</v>
      </c>
      <c r="J187" s="18">
        <v>15.87</v>
      </c>
      <c r="K187" s="18">
        <v>15.36</v>
      </c>
      <c r="L187" s="22">
        <v>4</v>
      </c>
    </row>
    <row r="188" spans="1:12">
      <c r="A188">
        <v>1</v>
      </c>
      <c r="B188" s="16" t="s">
        <v>37</v>
      </c>
      <c r="C188" s="9">
        <v>45901</v>
      </c>
      <c r="D188">
        <v>10</v>
      </c>
      <c r="E188" s="16" t="s">
        <v>95</v>
      </c>
      <c r="F188" s="16" t="s">
        <v>83</v>
      </c>
      <c r="G188" s="22">
        <v>60</v>
      </c>
      <c r="H188" s="18">
        <v>937.8</v>
      </c>
      <c r="I188" s="18">
        <v>15.63</v>
      </c>
      <c r="J188" s="18">
        <v>15.87</v>
      </c>
      <c r="K188" s="18">
        <v>15.23</v>
      </c>
      <c r="L188" s="22">
        <v>6</v>
      </c>
    </row>
    <row r="189" spans="1:12">
      <c r="A189">
        <v>1</v>
      </c>
      <c r="B189" s="16" t="s">
        <v>37</v>
      </c>
      <c r="C189" s="9">
        <v>45931</v>
      </c>
      <c r="D189">
        <v>10</v>
      </c>
      <c r="E189" s="16" t="s">
        <v>95</v>
      </c>
      <c r="F189" s="16" t="s">
        <v>83</v>
      </c>
      <c r="G189" s="22">
        <v>70</v>
      </c>
      <c r="H189" s="18">
        <v>1099.0999999999999</v>
      </c>
      <c r="I189" s="18">
        <v>15.701428570999999</v>
      </c>
      <c r="J189" s="18">
        <v>15.84</v>
      </c>
      <c r="K189" s="18">
        <v>15.49</v>
      </c>
      <c r="L189" s="22">
        <v>7</v>
      </c>
    </row>
    <row r="190" spans="1:12">
      <c r="A190">
        <v>1</v>
      </c>
      <c r="B190" s="16" t="s">
        <v>37</v>
      </c>
      <c r="C190" s="9">
        <v>45962</v>
      </c>
      <c r="D190">
        <v>10</v>
      </c>
      <c r="E190" s="16" t="s">
        <v>95</v>
      </c>
      <c r="F190" s="16" t="s">
        <v>83</v>
      </c>
      <c r="G190" s="22">
        <v>50</v>
      </c>
      <c r="H190" s="18">
        <v>782.6</v>
      </c>
      <c r="I190" s="18">
        <v>15.651999999999999</v>
      </c>
      <c r="J190" s="18">
        <v>15.93</v>
      </c>
      <c r="K190" s="18">
        <v>15.52</v>
      </c>
      <c r="L190" s="22">
        <v>5</v>
      </c>
    </row>
    <row r="191" spans="1:12">
      <c r="A191">
        <v>1</v>
      </c>
      <c r="B191" s="16" t="s">
        <v>37</v>
      </c>
      <c r="C191" s="9">
        <v>45992</v>
      </c>
      <c r="D191">
        <v>10</v>
      </c>
      <c r="E191" s="16" t="s">
        <v>95</v>
      </c>
      <c r="F191" s="16" t="s">
        <v>83</v>
      </c>
      <c r="G191" s="22">
        <v>70</v>
      </c>
      <c r="H191" s="18">
        <v>1105.9000000000001</v>
      </c>
      <c r="I191" s="18">
        <v>15.798571429000001</v>
      </c>
      <c r="J191" s="18">
        <v>16.04</v>
      </c>
      <c r="K191" s="18">
        <v>15.7</v>
      </c>
      <c r="L191" s="22">
        <v>6</v>
      </c>
    </row>
    <row r="192" spans="1:12">
      <c r="A192">
        <v>1</v>
      </c>
      <c r="B192" s="16" t="s">
        <v>37</v>
      </c>
      <c r="C192" s="9">
        <v>46023</v>
      </c>
      <c r="D192">
        <v>10</v>
      </c>
      <c r="E192" s="16" t="s">
        <v>95</v>
      </c>
      <c r="F192" s="16" t="s">
        <v>83</v>
      </c>
      <c r="G192" s="22">
        <v>60</v>
      </c>
      <c r="H192" s="18">
        <v>888</v>
      </c>
      <c r="I192" s="18">
        <v>14.8</v>
      </c>
      <c r="J192" s="18">
        <v>15.63</v>
      </c>
      <c r="K192" s="18">
        <v>14.34</v>
      </c>
      <c r="L192" s="22">
        <v>6</v>
      </c>
    </row>
    <row r="193" spans="1:12">
      <c r="A193">
        <v>1</v>
      </c>
      <c r="B193" s="16" t="s">
        <v>37</v>
      </c>
      <c r="C193" s="9">
        <v>46054</v>
      </c>
      <c r="D193">
        <v>10</v>
      </c>
      <c r="E193" s="16" t="s">
        <v>95</v>
      </c>
      <c r="F193" s="16" t="s">
        <v>83</v>
      </c>
      <c r="G193" s="22">
        <v>50</v>
      </c>
      <c r="H193" s="18">
        <v>726.1</v>
      </c>
      <c r="I193" s="18">
        <v>14.522</v>
      </c>
      <c r="J193" s="18">
        <v>14.72</v>
      </c>
      <c r="K193" s="18">
        <v>14.4</v>
      </c>
      <c r="L193" s="22">
        <v>5</v>
      </c>
    </row>
    <row r="194" spans="1:12">
      <c r="A194">
        <v>1</v>
      </c>
      <c r="B194" s="16" t="s">
        <v>37</v>
      </c>
      <c r="C194" s="9">
        <v>46082</v>
      </c>
      <c r="D194">
        <v>10</v>
      </c>
      <c r="E194" s="16" t="s">
        <v>95</v>
      </c>
      <c r="F194" s="16" t="s">
        <v>83</v>
      </c>
      <c r="G194" s="22">
        <v>60</v>
      </c>
      <c r="H194" s="18">
        <v>877.4</v>
      </c>
      <c r="I194" s="18">
        <v>14.623333333</v>
      </c>
      <c r="J194" s="18">
        <v>14.81</v>
      </c>
      <c r="K194" s="18">
        <v>14.36</v>
      </c>
      <c r="L194" s="22">
        <v>6</v>
      </c>
    </row>
    <row r="195" spans="1:12">
      <c r="A195">
        <v>1</v>
      </c>
      <c r="B195" s="16" t="s">
        <v>37</v>
      </c>
      <c r="C195" s="9">
        <v>46113</v>
      </c>
      <c r="D195">
        <v>10</v>
      </c>
      <c r="E195" s="16" t="s">
        <v>95</v>
      </c>
      <c r="F195" s="16" t="s">
        <v>83</v>
      </c>
      <c r="G195" s="22">
        <v>60</v>
      </c>
      <c r="H195" s="18">
        <v>883.6</v>
      </c>
      <c r="I195" s="18">
        <v>14.726666667</v>
      </c>
      <c r="J195" s="18">
        <v>15</v>
      </c>
      <c r="K195" s="18">
        <v>14.48</v>
      </c>
      <c r="L195" s="22">
        <v>6</v>
      </c>
    </row>
    <row r="196" spans="1:12">
      <c r="A196">
        <v>1</v>
      </c>
      <c r="B196" s="16" t="s">
        <v>37</v>
      </c>
      <c r="C196" s="9">
        <v>46143</v>
      </c>
      <c r="D196">
        <v>10</v>
      </c>
      <c r="E196" s="16" t="s">
        <v>95</v>
      </c>
      <c r="F196" s="16" t="s">
        <v>83</v>
      </c>
      <c r="G196" s="22">
        <v>50</v>
      </c>
      <c r="H196" s="18">
        <v>727.9</v>
      </c>
      <c r="I196" s="18">
        <v>14.558</v>
      </c>
      <c r="J196" s="18">
        <v>14.8</v>
      </c>
      <c r="K196" s="18">
        <v>14.4</v>
      </c>
      <c r="L196" s="22">
        <v>5</v>
      </c>
    </row>
    <row r="197" spans="1:12">
      <c r="A197">
        <v>1</v>
      </c>
      <c r="B197" s="16" t="s">
        <v>37</v>
      </c>
      <c r="C197" s="9">
        <v>46174</v>
      </c>
      <c r="D197">
        <v>10</v>
      </c>
      <c r="E197" s="16" t="s">
        <v>95</v>
      </c>
      <c r="F197" s="16" t="s">
        <v>83</v>
      </c>
      <c r="G197" s="22">
        <v>60</v>
      </c>
      <c r="H197" s="18">
        <v>874.1</v>
      </c>
      <c r="I197" s="18">
        <v>14.568333333</v>
      </c>
      <c r="J197" s="18">
        <v>14.82</v>
      </c>
      <c r="K197" s="18">
        <v>14.27</v>
      </c>
      <c r="L197" s="22">
        <v>6</v>
      </c>
    </row>
    <row r="198" spans="1:12">
      <c r="A198">
        <v>1</v>
      </c>
      <c r="B198" s="16" t="s">
        <v>37</v>
      </c>
      <c r="C198" s="9">
        <v>46204</v>
      </c>
      <c r="D198">
        <v>10</v>
      </c>
      <c r="E198" s="16" t="s">
        <v>95</v>
      </c>
      <c r="F198" s="16" t="s">
        <v>83</v>
      </c>
      <c r="G198" s="22">
        <v>60</v>
      </c>
      <c r="H198" s="18">
        <v>924.6</v>
      </c>
      <c r="I198" s="18">
        <v>15.41</v>
      </c>
      <c r="J198" s="18">
        <v>15.65</v>
      </c>
      <c r="K198" s="18">
        <v>15.07</v>
      </c>
      <c r="L198" s="22">
        <v>6</v>
      </c>
    </row>
    <row r="199" spans="1:12">
      <c r="A199">
        <v>1</v>
      </c>
      <c r="B199" s="16" t="s">
        <v>37</v>
      </c>
      <c r="C199" s="9">
        <v>46235</v>
      </c>
      <c r="D199">
        <v>10</v>
      </c>
      <c r="E199" s="16" t="s">
        <v>95</v>
      </c>
      <c r="F199" s="16" t="s">
        <v>83</v>
      </c>
      <c r="G199" s="22">
        <v>60</v>
      </c>
      <c r="H199" s="18">
        <v>935.3</v>
      </c>
      <c r="I199" s="18">
        <v>15.588333333</v>
      </c>
      <c r="J199" s="18">
        <v>16.37</v>
      </c>
      <c r="K199" s="18">
        <v>14.96</v>
      </c>
      <c r="L199" s="22">
        <v>6</v>
      </c>
    </row>
    <row r="200" spans="1:12">
      <c r="A200">
        <v>1</v>
      </c>
      <c r="B200" s="16" t="s">
        <v>37</v>
      </c>
      <c r="C200" s="9">
        <v>46266</v>
      </c>
      <c r="D200">
        <v>10</v>
      </c>
      <c r="E200" s="16" t="s">
        <v>95</v>
      </c>
      <c r="F200" s="16" t="s">
        <v>83</v>
      </c>
      <c r="G200" s="22">
        <v>60</v>
      </c>
      <c r="H200" s="18">
        <v>926.3</v>
      </c>
      <c r="I200" s="18">
        <v>15.438333332999999</v>
      </c>
      <c r="J200" s="18">
        <v>15.64</v>
      </c>
      <c r="K200" s="18">
        <v>15.13</v>
      </c>
      <c r="L200" s="22">
        <v>6</v>
      </c>
    </row>
    <row r="201" spans="1:12">
      <c r="A201">
        <v>1</v>
      </c>
      <c r="B201" s="16" t="s">
        <v>37</v>
      </c>
      <c r="C201" s="9">
        <v>45689</v>
      </c>
      <c r="D201">
        <v>11</v>
      </c>
      <c r="E201" s="16" t="s">
        <v>96</v>
      </c>
      <c r="F201" s="16" t="s">
        <v>87</v>
      </c>
      <c r="G201" s="22">
        <v>19</v>
      </c>
      <c r="H201" s="18">
        <v>455.52249999999998</v>
      </c>
      <c r="I201" s="18">
        <v>23.974868421</v>
      </c>
      <c r="J201" s="18">
        <v>24.36</v>
      </c>
      <c r="K201" s="18">
        <v>23.31</v>
      </c>
      <c r="L201" s="22">
        <v>8</v>
      </c>
    </row>
    <row r="202" spans="1:12">
      <c r="A202">
        <v>1</v>
      </c>
      <c r="B202" s="16" t="s">
        <v>37</v>
      </c>
      <c r="C202" s="9">
        <v>45717</v>
      </c>
      <c r="D202">
        <v>11</v>
      </c>
      <c r="E202" s="16" t="s">
        <v>96</v>
      </c>
      <c r="F202" s="16" t="s">
        <v>87</v>
      </c>
      <c r="G202" s="22">
        <v>21</v>
      </c>
      <c r="H202" s="18">
        <v>505.94499999999999</v>
      </c>
      <c r="I202" s="18">
        <v>24.092619048</v>
      </c>
      <c r="J202" s="18">
        <v>24.4</v>
      </c>
      <c r="K202" s="18">
        <v>23.45</v>
      </c>
      <c r="L202" s="22">
        <v>9</v>
      </c>
    </row>
    <row r="203" spans="1:12">
      <c r="A203">
        <v>1</v>
      </c>
      <c r="B203" s="16" t="s">
        <v>37</v>
      </c>
      <c r="C203" s="9">
        <v>45748</v>
      </c>
      <c r="D203">
        <v>11</v>
      </c>
      <c r="E203" s="16" t="s">
        <v>96</v>
      </c>
      <c r="F203" s="16" t="s">
        <v>87</v>
      </c>
      <c r="G203" s="22">
        <v>19.5</v>
      </c>
      <c r="H203" s="18">
        <v>478.11750000000001</v>
      </c>
      <c r="I203" s="18">
        <v>24.518846153999998</v>
      </c>
      <c r="J203" s="18">
        <v>25.79</v>
      </c>
      <c r="K203" s="18">
        <v>23.8</v>
      </c>
      <c r="L203" s="22">
        <v>8</v>
      </c>
    </row>
    <row r="204" spans="1:12">
      <c r="A204">
        <v>1</v>
      </c>
      <c r="B204" s="16" t="s">
        <v>37</v>
      </c>
      <c r="C204" s="9">
        <v>45778</v>
      </c>
      <c r="D204">
        <v>11</v>
      </c>
      <c r="E204" s="16" t="s">
        <v>96</v>
      </c>
      <c r="F204" s="16" t="s">
        <v>87</v>
      </c>
      <c r="G204" s="22">
        <v>30</v>
      </c>
      <c r="H204" s="18">
        <v>733.26</v>
      </c>
      <c r="I204" s="18">
        <v>24.442</v>
      </c>
      <c r="J204" s="18">
        <v>24.81</v>
      </c>
      <c r="K204" s="18">
        <v>23.97</v>
      </c>
      <c r="L204" s="22">
        <v>9</v>
      </c>
    </row>
    <row r="205" spans="1:12">
      <c r="A205">
        <v>1</v>
      </c>
      <c r="B205" s="16" t="s">
        <v>37</v>
      </c>
      <c r="C205" s="9">
        <v>45809</v>
      </c>
      <c r="D205">
        <v>11</v>
      </c>
      <c r="E205" s="16" t="s">
        <v>96</v>
      </c>
      <c r="F205" s="16" t="s">
        <v>87</v>
      </c>
      <c r="G205" s="22">
        <v>24.5</v>
      </c>
      <c r="H205" s="18">
        <v>604.77250000000004</v>
      </c>
      <c r="I205" s="18">
        <v>24.684591836999999</v>
      </c>
      <c r="J205" s="18">
        <v>25.27</v>
      </c>
      <c r="K205" s="18">
        <v>23.94</v>
      </c>
      <c r="L205" s="22">
        <v>9</v>
      </c>
    </row>
    <row r="206" spans="1:12">
      <c r="A206">
        <v>1</v>
      </c>
      <c r="B206" s="16" t="s">
        <v>37</v>
      </c>
      <c r="C206" s="9">
        <v>45839</v>
      </c>
      <c r="D206">
        <v>11</v>
      </c>
      <c r="E206" s="16" t="s">
        <v>96</v>
      </c>
      <c r="F206" s="16" t="s">
        <v>87</v>
      </c>
      <c r="G206" s="22">
        <v>25.25</v>
      </c>
      <c r="H206" s="18">
        <v>620.22500000000002</v>
      </c>
      <c r="I206" s="18">
        <v>24.563366337000001</v>
      </c>
      <c r="J206" s="18">
        <v>24.98</v>
      </c>
      <c r="K206" s="18">
        <v>24</v>
      </c>
      <c r="L206" s="22">
        <v>9</v>
      </c>
    </row>
    <row r="207" spans="1:12">
      <c r="A207">
        <v>1</v>
      </c>
      <c r="B207" s="16" t="s">
        <v>37</v>
      </c>
      <c r="C207" s="9">
        <v>45870</v>
      </c>
      <c r="D207">
        <v>11</v>
      </c>
      <c r="E207" s="16" t="s">
        <v>96</v>
      </c>
      <c r="F207" s="16" t="s">
        <v>87</v>
      </c>
      <c r="G207" s="22">
        <v>18</v>
      </c>
      <c r="H207" s="18">
        <v>447.47</v>
      </c>
      <c r="I207" s="18">
        <v>24.859444444000001</v>
      </c>
      <c r="J207" s="18">
        <v>25.09</v>
      </c>
      <c r="K207" s="18">
        <v>24.58</v>
      </c>
      <c r="L207" s="22">
        <v>8</v>
      </c>
    </row>
    <row r="208" spans="1:12">
      <c r="A208">
        <v>1</v>
      </c>
      <c r="B208" s="16" t="s">
        <v>37</v>
      </c>
      <c r="C208" s="9">
        <v>45901</v>
      </c>
      <c r="D208">
        <v>11</v>
      </c>
      <c r="E208" s="16" t="s">
        <v>96</v>
      </c>
      <c r="F208" s="16" t="s">
        <v>87</v>
      </c>
      <c r="G208" s="22">
        <v>27</v>
      </c>
      <c r="H208" s="18">
        <v>675.82249999999999</v>
      </c>
      <c r="I208" s="18">
        <v>25.030462963000002</v>
      </c>
      <c r="J208" s="18">
        <v>25.28</v>
      </c>
      <c r="K208" s="18">
        <v>24.45</v>
      </c>
      <c r="L208" s="22">
        <v>9</v>
      </c>
    </row>
    <row r="209" spans="1:12">
      <c r="A209">
        <v>1</v>
      </c>
      <c r="B209" s="16" t="s">
        <v>37</v>
      </c>
      <c r="C209" s="9">
        <v>45931</v>
      </c>
      <c r="D209">
        <v>11</v>
      </c>
      <c r="E209" s="16" t="s">
        <v>96</v>
      </c>
      <c r="F209" s="16" t="s">
        <v>87</v>
      </c>
      <c r="G209" s="22">
        <v>29.5</v>
      </c>
      <c r="H209" s="18">
        <v>735.24749999999995</v>
      </c>
      <c r="I209" s="18">
        <v>24.923644068000002</v>
      </c>
      <c r="J209" s="18">
        <v>25.6</v>
      </c>
      <c r="K209" s="18">
        <v>24.4</v>
      </c>
      <c r="L209" s="22">
        <v>9</v>
      </c>
    </row>
    <row r="210" spans="1:12">
      <c r="A210">
        <v>1</v>
      </c>
      <c r="B210" s="16" t="s">
        <v>37</v>
      </c>
      <c r="C210" s="9">
        <v>45962</v>
      </c>
      <c r="D210">
        <v>11</v>
      </c>
      <c r="E210" s="16" t="s">
        <v>96</v>
      </c>
      <c r="F210" s="16" t="s">
        <v>87</v>
      </c>
      <c r="G210" s="22">
        <v>25</v>
      </c>
      <c r="H210" s="18">
        <v>620.19500000000005</v>
      </c>
      <c r="I210" s="18">
        <v>24.8078</v>
      </c>
      <c r="J210" s="18">
        <v>25.34</v>
      </c>
      <c r="K210" s="18">
        <v>24.05</v>
      </c>
      <c r="L210" s="22">
        <v>8</v>
      </c>
    </row>
    <row r="211" spans="1:12">
      <c r="A211">
        <v>1</v>
      </c>
      <c r="B211" s="16" t="s">
        <v>37</v>
      </c>
      <c r="C211" s="9">
        <v>45992</v>
      </c>
      <c r="D211">
        <v>11</v>
      </c>
      <c r="E211" s="16" t="s">
        <v>96</v>
      </c>
      <c r="F211" s="16" t="s">
        <v>87</v>
      </c>
      <c r="G211" s="22">
        <v>33.75</v>
      </c>
      <c r="H211" s="18">
        <v>839.00250000000005</v>
      </c>
      <c r="I211" s="18">
        <v>24.859333332999999</v>
      </c>
      <c r="J211" s="18">
        <v>25.17</v>
      </c>
      <c r="K211" s="18">
        <v>24.47</v>
      </c>
      <c r="L211" s="22">
        <v>9</v>
      </c>
    </row>
    <row r="212" spans="1:12">
      <c r="A212">
        <v>1</v>
      </c>
      <c r="B212" s="16" t="s">
        <v>37</v>
      </c>
      <c r="C212" s="9">
        <v>46023</v>
      </c>
      <c r="D212">
        <v>11</v>
      </c>
      <c r="E212" s="16" t="s">
        <v>96</v>
      </c>
      <c r="F212" s="16" t="s">
        <v>87</v>
      </c>
      <c r="G212" s="22">
        <v>28.5</v>
      </c>
      <c r="H212" s="18">
        <v>713.0575</v>
      </c>
      <c r="I212" s="18">
        <v>25.019561404000001</v>
      </c>
      <c r="J212" s="18">
        <v>25.35</v>
      </c>
      <c r="K212" s="18">
        <v>24.54</v>
      </c>
      <c r="L212" s="22">
        <v>9</v>
      </c>
    </row>
    <row r="213" spans="1:12">
      <c r="A213">
        <v>1</v>
      </c>
      <c r="B213" s="16" t="s">
        <v>37</v>
      </c>
      <c r="C213" s="9">
        <v>46054</v>
      </c>
      <c r="D213">
        <v>11</v>
      </c>
      <c r="E213" s="16" t="s">
        <v>96</v>
      </c>
      <c r="F213" s="16" t="s">
        <v>87</v>
      </c>
      <c r="G213" s="22">
        <v>28.5</v>
      </c>
      <c r="H213" s="18">
        <v>710.32749999999999</v>
      </c>
      <c r="I213" s="18">
        <v>24.923771930000001</v>
      </c>
      <c r="J213" s="18">
        <v>25.28</v>
      </c>
      <c r="K213" s="18">
        <v>24.63</v>
      </c>
      <c r="L213" s="22">
        <v>8</v>
      </c>
    </row>
    <row r="214" spans="1:12">
      <c r="A214">
        <v>1</v>
      </c>
      <c r="B214" s="16" t="s">
        <v>37</v>
      </c>
      <c r="C214" s="9">
        <v>46082</v>
      </c>
      <c r="D214">
        <v>11</v>
      </c>
      <c r="E214" s="16" t="s">
        <v>96</v>
      </c>
      <c r="F214" s="16" t="s">
        <v>87</v>
      </c>
      <c r="G214" s="22">
        <v>25.75</v>
      </c>
      <c r="H214" s="18">
        <v>642.34249999999997</v>
      </c>
      <c r="I214" s="18">
        <v>24.945339806</v>
      </c>
      <c r="J214" s="18">
        <v>25.65</v>
      </c>
      <c r="K214" s="18">
        <v>24.38</v>
      </c>
      <c r="L214" s="22">
        <v>9</v>
      </c>
    </row>
    <row r="215" spans="1:12">
      <c r="A215">
        <v>1</v>
      </c>
      <c r="B215" s="16" t="s">
        <v>37</v>
      </c>
      <c r="C215" s="9">
        <v>46113</v>
      </c>
      <c r="D215">
        <v>11</v>
      </c>
      <c r="E215" s="16" t="s">
        <v>96</v>
      </c>
      <c r="F215" s="16" t="s">
        <v>87</v>
      </c>
      <c r="G215" s="22">
        <v>38.5</v>
      </c>
      <c r="H215" s="18">
        <v>957.66</v>
      </c>
      <c r="I215" s="18">
        <v>24.874285713999999</v>
      </c>
      <c r="J215" s="18">
        <v>25.25</v>
      </c>
      <c r="K215" s="18">
        <v>24.18</v>
      </c>
      <c r="L215" s="22">
        <v>9</v>
      </c>
    </row>
    <row r="216" spans="1:12">
      <c r="A216">
        <v>1</v>
      </c>
      <c r="B216" s="16" t="s">
        <v>37</v>
      </c>
      <c r="C216" s="9">
        <v>46143</v>
      </c>
      <c r="D216">
        <v>11</v>
      </c>
      <c r="E216" s="16" t="s">
        <v>96</v>
      </c>
      <c r="F216" s="16" t="s">
        <v>87</v>
      </c>
      <c r="G216" s="22">
        <v>30.25</v>
      </c>
      <c r="H216" s="18">
        <v>760.82249999999999</v>
      </c>
      <c r="I216" s="18">
        <v>25.151157025</v>
      </c>
      <c r="J216" s="18">
        <v>25.6</v>
      </c>
      <c r="K216" s="18">
        <v>24.66</v>
      </c>
      <c r="L216" s="22">
        <v>8</v>
      </c>
    </row>
    <row r="217" spans="1:12">
      <c r="A217">
        <v>1</v>
      </c>
      <c r="B217" s="16" t="s">
        <v>37</v>
      </c>
      <c r="C217" s="9">
        <v>46174</v>
      </c>
      <c r="D217">
        <v>11</v>
      </c>
      <c r="E217" s="16" t="s">
        <v>96</v>
      </c>
      <c r="F217" s="16" t="s">
        <v>87</v>
      </c>
      <c r="G217" s="22">
        <v>30.25</v>
      </c>
      <c r="H217" s="18">
        <v>751.45</v>
      </c>
      <c r="I217" s="18">
        <v>24.841322313999999</v>
      </c>
      <c r="J217" s="18">
        <v>25.56</v>
      </c>
      <c r="K217" s="18">
        <v>23.91</v>
      </c>
      <c r="L217" s="22">
        <v>9</v>
      </c>
    </row>
    <row r="218" spans="1:12">
      <c r="A218">
        <v>1</v>
      </c>
      <c r="B218" s="16" t="s">
        <v>37</v>
      </c>
      <c r="C218" s="9">
        <v>46204</v>
      </c>
      <c r="D218">
        <v>11</v>
      </c>
      <c r="E218" s="16" t="s">
        <v>96</v>
      </c>
      <c r="F218" s="16" t="s">
        <v>87</v>
      </c>
      <c r="G218" s="22">
        <v>32.25</v>
      </c>
      <c r="H218" s="18">
        <v>810.6875</v>
      </c>
      <c r="I218" s="18">
        <v>25.137596898999998</v>
      </c>
      <c r="J218" s="18">
        <v>25.74</v>
      </c>
      <c r="K218" s="18">
        <v>24.68</v>
      </c>
      <c r="L218" s="22">
        <v>9</v>
      </c>
    </row>
    <row r="219" spans="1:12">
      <c r="A219">
        <v>1</v>
      </c>
      <c r="B219" s="16" t="s">
        <v>37</v>
      </c>
      <c r="C219" s="9">
        <v>46235</v>
      </c>
      <c r="D219">
        <v>11</v>
      </c>
      <c r="E219" s="16" t="s">
        <v>96</v>
      </c>
      <c r="F219" s="16" t="s">
        <v>87</v>
      </c>
      <c r="G219" s="22">
        <v>32.75</v>
      </c>
      <c r="H219" s="18">
        <v>836.38</v>
      </c>
      <c r="I219" s="18">
        <v>25.538320611</v>
      </c>
      <c r="J219" s="18">
        <v>26.87</v>
      </c>
      <c r="K219" s="18">
        <v>24.71</v>
      </c>
      <c r="L219" s="22">
        <v>9</v>
      </c>
    </row>
    <row r="220" spans="1:12">
      <c r="A220">
        <v>1</v>
      </c>
      <c r="B220" s="16" t="s">
        <v>37</v>
      </c>
      <c r="C220" s="9">
        <v>46266</v>
      </c>
      <c r="D220">
        <v>11</v>
      </c>
      <c r="E220" s="16" t="s">
        <v>96</v>
      </c>
      <c r="F220" s="16" t="s">
        <v>87</v>
      </c>
      <c r="G220" s="22">
        <v>35</v>
      </c>
      <c r="H220" s="18">
        <v>889.59</v>
      </c>
      <c r="I220" s="18">
        <v>25.416857143000001</v>
      </c>
      <c r="J220" s="18">
        <v>25.84</v>
      </c>
      <c r="K220" s="18">
        <v>25.08</v>
      </c>
      <c r="L220" s="22">
        <v>8</v>
      </c>
    </row>
    <row r="221" spans="1:12">
      <c r="A221">
        <v>1</v>
      </c>
      <c r="B221" s="16" t="s">
        <v>37</v>
      </c>
      <c r="C221" s="9">
        <v>45689</v>
      </c>
      <c r="D221">
        <v>13</v>
      </c>
      <c r="E221" s="16" t="s">
        <v>97</v>
      </c>
      <c r="F221" s="16" t="s">
        <v>98</v>
      </c>
      <c r="G221" s="22">
        <v>120</v>
      </c>
      <c r="H221" s="18">
        <v>246</v>
      </c>
      <c r="I221" s="18">
        <v>2.0499999999999998</v>
      </c>
      <c r="J221" s="18">
        <v>2.0699999999999998</v>
      </c>
      <c r="K221" s="18">
        <v>2.0299999999999998</v>
      </c>
      <c r="L221" s="22">
        <v>2</v>
      </c>
    </row>
    <row r="222" spans="1:12">
      <c r="A222">
        <v>1</v>
      </c>
      <c r="B222" s="16" t="s">
        <v>37</v>
      </c>
      <c r="C222" s="9">
        <v>45717</v>
      </c>
      <c r="D222">
        <v>13</v>
      </c>
      <c r="E222" s="16" t="s">
        <v>97</v>
      </c>
      <c r="F222" s="16" t="s">
        <v>98</v>
      </c>
      <c r="G222" s="22">
        <v>120</v>
      </c>
      <c r="H222" s="18">
        <v>252.6</v>
      </c>
      <c r="I222" s="18">
        <v>2.105</v>
      </c>
      <c r="J222" s="18">
        <v>2.12</v>
      </c>
      <c r="K222" s="18">
        <v>2.09</v>
      </c>
      <c r="L222" s="22">
        <v>2</v>
      </c>
    </row>
    <row r="223" spans="1:12">
      <c r="A223">
        <v>1</v>
      </c>
      <c r="B223" s="16" t="s">
        <v>37</v>
      </c>
      <c r="C223" s="9">
        <v>45748</v>
      </c>
      <c r="D223">
        <v>13</v>
      </c>
      <c r="E223" s="16" t="s">
        <v>97</v>
      </c>
      <c r="F223" s="16" t="s">
        <v>98</v>
      </c>
      <c r="G223" s="22">
        <v>220</v>
      </c>
      <c r="H223" s="18">
        <v>448</v>
      </c>
      <c r="I223" s="18">
        <v>2.0363636359999999</v>
      </c>
      <c r="J223" s="18">
        <v>2.04</v>
      </c>
      <c r="K223" s="18">
        <v>2.0299999999999998</v>
      </c>
      <c r="L223" s="22">
        <v>3</v>
      </c>
    </row>
    <row r="224" spans="1:12">
      <c r="A224">
        <v>1</v>
      </c>
      <c r="B224" s="16" t="s">
        <v>37</v>
      </c>
      <c r="C224" s="9">
        <v>45778</v>
      </c>
      <c r="D224">
        <v>13</v>
      </c>
      <c r="E224" s="16" t="s">
        <v>97</v>
      </c>
      <c r="F224" s="16" t="s">
        <v>98</v>
      </c>
      <c r="G224" s="22">
        <v>160</v>
      </c>
      <c r="H224" s="18">
        <v>332</v>
      </c>
      <c r="I224" s="18">
        <v>2.0750000000000002</v>
      </c>
      <c r="J224" s="18">
        <v>2.08</v>
      </c>
      <c r="K224" s="18">
        <v>2.0699999999999998</v>
      </c>
      <c r="L224" s="22">
        <v>2</v>
      </c>
    </row>
    <row r="225" spans="1:12">
      <c r="A225">
        <v>1</v>
      </c>
      <c r="B225" s="16" t="s">
        <v>37</v>
      </c>
      <c r="C225" s="9">
        <v>45809</v>
      </c>
      <c r="D225">
        <v>13</v>
      </c>
      <c r="E225" s="16" t="s">
        <v>97</v>
      </c>
      <c r="F225" s="16" t="s">
        <v>98</v>
      </c>
      <c r="G225" s="22">
        <v>160</v>
      </c>
      <c r="H225" s="18">
        <v>328</v>
      </c>
      <c r="I225" s="18">
        <v>2.0499999999999998</v>
      </c>
      <c r="J225" s="18">
        <v>2.0699999999999998</v>
      </c>
      <c r="K225" s="18">
        <v>2.0299999999999998</v>
      </c>
      <c r="L225" s="22">
        <v>2</v>
      </c>
    </row>
    <row r="226" spans="1:12">
      <c r="A226">
        <v>1</v>
      </c>
      <c r="B226" s="16" t="s">
        <v>37</v>
      </c>
      <c r="C226" s="9">
        <v>45839</v>
      </c>
      <c r="D226">
        <v>13</v>
      </c>
      <c r="E226" s="16" t="s">
        <v>97</v>
      </c>
      <c r="F226" s="16" t="s">
        <v>98</v>
      </c>
      <c r="G226" s="22">
        <v>160</v>
      </c>
      <c r="H226" s="18">
        <v>332.8</v>
      </c>
      <c r="I226" s="18">
        <v>2.08</v>
      </c>
      <c r="J226" s="18">
        <v>2.1</v>
      </c>
      <c r="K226" s="18">
        <v>2.06</v>
      </c>
      <c r="L226" s="22">
        <v>2</v>
      </c>
    </row>
    <row r="227" spans="1:12">
      <c r="A227">
        <v>1</v>
      </c>
      <c r="B227" s="16" t="s">
        <v>37</v>
      </c>
      <c r="C227" s="9">
        <v>45870</v>
      </c>
      <c r="D227">
        <v>13</v>
      </c>
      <c r="E227" s="16" t="s">
        <v>97</v>
      </c>
      <c r="F227" s="16" t="s">
        <v>98</v>
      </c>
      <c r="G227" s="22">
        <v>140</v>
      </c>
      <c r="H227" s="18">
        <v>291.2</v>
      </c>
      <c r="I227" s="18">
        <v>2.08</v>
      </c>
      <c r="J227" s="18">
        <v>2.08</v>
      </c>
      <c r="K227" s="18">
        <v>2.08</v>
      </c>
      <c r="L227" s="22">
        <v>2</v>
      </c>
    </row>
    <row r="228" spans="1:12">
      <c r="A228">
        <v>1</v>
      </c>
      <c r="B228" s="16" t="s">
        <v>37</v>
      </c>
      <c r="C228" s="9">
        <v>45901</v>
      </c>
      <c r="D228">
        <v>13</v>
      </c>
      <c r="E228" s="16" t="s">
        <v>97</v>
      </c>
      <c r="F228" s="16" t="s">
        <v>98</v>
      </c>
      <c r="G228" s="22">
        <v>240</v>
      </c>
      <c r="H228" s="18">
        <v>496.8</v>
      </c>
      <c r="I228" s="18">
        <v>2.0699999999999998</v>
      </c>
      <c r="J228" s="18">
        <v>2.09</v>
      </c>
      <c r="K228" s="18">
        <v>2.06</v>
      </c>
      <c r="L228" s="22">
        <v>3</v>
      </c>
    </row>
    <row r="229" spans="1:12">
      <c r="A229">
        <v>1</v>
      </c>
      <c r="B229" s="16" t="s">
        <v>37</v>
      </c>
      <c r="C229" s="9">
        <v>45931</v>
      </c>
      <c r="D229">
        <v>13</v>
      </c>
      <c r="E229" s="16" t="s">
        <v>97</v>
      </c>
      <c r="F229" s="16" t="s">
        <v>98</v>
      </c>
      <c r="G229" s="22">
        <v>180</v>
      </c>
      <c r="H229" s="18">
        <v>373.2</v>
      </c>
      <c r="I229" s="18">
        <v>2.0733333329999999</v>
      </c>
      <c r="J229" s="18">
        <v>2.1</v>
      </c>
      <c r="K229" s="18">
        <v>2.02</v>
      </c>
      <c r="L229" s="22">
        <v>2</v>
      </c>
    </row>
    <row r="230" spans="1:12">
      <c r="A230">
        <v>1</v>
      </c>
      <c r="B230" s="16" t="s">
        <v>37</v>
      </c>
      <c r="C230" s="9">
        <v>45962</v>
      </c>
      <c r="D230">
        <v>13</v>
      </c>
      <c r="E230" s="16" t="s">
        <v>97</v>
      </c>
      <c r="F230" s="16" t="s">
        <v>98</v>
      </c>
      <c r="G230" s="22">
        <v>160</v>
      </c>
      <c r="H230" s="18">
        <v>328.8</v>
      </c>
      <c r="I230" s="18">
        <v>2.0550000000000002</v>
      </c>
      <c r="J230" s="18">
        <v>2.0699999999999998</v>
      </c>
      <c r="K230" s="18">
        <v>2.04</v>
      </c>
      <c r="L230" s="22">
        <v>2</v>
      </c>
    </row>
    <row r="231" spans="1:12">
      <c r="A231">
        <v>1</v>
      </c>
      <c r="B231" s="16" t="s">
        <v>37</v>
      </c>
      <c r="C231" s="9">
        <v>45992</v>
      </c>
      <c r="D231">
        <v>13</v>
      </c>
      <c r="E231" s="16" t="s">
        <v>97</v>
      </c>
      <c r="F231" s="16" t="s">
        <v>98</v>
      </c>
      <c r="G231" s="22">
        <v>180</v>
      </c>
      <c r="H231" s="18">
        <v>371.8</v>
      </c>
      <c r="I231" s="18">
        <v>2.0655555560000001</v>
      </c>
      <c r="J231" s="18">
        <v>2.0699999999999998</v>
      </c>
      <c r="K231" s="18">
        <v>2.06</v>
      </c>
      <c r="L231" s="22">
        <v>2</v>
      </c>
    </row>
    <row r="232" spans="1:12">
      <c r="A232">
        <v>1</v>
      </c>
      <c r="B232" s="16" t="s">
        <v>37</v>
      </c>
      <c r="C232" s="9">
        <v>46023</v>
      </c>
      <c r="D232">
        <v>13</v>
      </c>
      <c r="E232" s="16" t="s">
        <v>97</v>
      </c>
      <c r="F232" s="16" t="s">
        <v>98</v>
      </c>
      <c r="G232" s="22">
        <v>120</v>
      </c>
      <c r="H232" s="18">
        <v>246</v>
      </c>
      <c r="I232" s="18">
        <v>2.0499999999999998</v>
      </c>
      <c r="J232" s="18">
        <v>2.0499999999999998</v>
      </c>
      <c r="K232" s="18">
        <v>2.0499999999999998</v>
      </c>
      <c r="L232" s="22">
        <v>2</v>
      </c>
    </row>
    <row r="233" spans="1:12">
      <c r="A233">
        <v>1</v>
      </c>
      <c r="B233" s="16" t="s">
        <v>37</v>
      </c>
      <c r="C233" s="9">
        <v>46054</v>
      </c>
      <c r="D233">
        <v>13</v>
      </c>
      <c r="E233" s="16" t="s">
        <v>97</v>
      </c>
      <c r="F233" s="16" t="s">
        <v>98</v>
      </c>
      <c r="G233" s="22">
        <v>140</v>
      </c>
      <c r="H233" s="18">
        <v>290.60000000000002</v>
      </c>
      <c r="I233" s="18">
        <v>2.0757142860000002</v>
      </c>
      <c r="J233" s="18">
        <v>2.08</v>
      </c>
      <c r="K233" s="18">
        <v>2.0699999999999998</v>
      </c>
      <c r="L233" s="22">
        <v>2</v>
      </c>
    </row>
    <row r="234" spans="1:12">
      <c r="A234">
        <v>1</v>
      </c>
      <c r="B234" s="16" t="s">
        <v>37</v>
      </c>
      <c r="C234" s="9">
        <v>46082</v>
      </c>
      <c r="D234">
        <v>13</v>
      </c>
      <c r="E234" s="16" t="s">
        <v>97</v>
      </c>
      <c r="F234" s="16" t="s">
        <v>98</v>
      </c>
      <c r="G234" s="22">
        <v>240</v>
      </c>
      <c r="H234" s="18">
        <v>500.2</v>
      </c>
      <c r="I234" s="18">
        <v>2.0841666669999999</v>
      </c>
      <c r="J234" s="18">
        <v>2.11</v>
      </c>
      <c r="K234" s="18">
        <v>2.0699999999999998</v>
      </c>
      <c r="L234" s="22">
        <v>3</v>
      </c>
    </row>
    <row r="235" spans="1:12">
      <c r="A235">
        <v>1</v>
      </c>
      <c r="B235" s="16" t="s">
        <v>37</v>
      </c>
      <c r="C235" s="9">
        <v>46113</v>
      </c>
      <c r="D235">
        <v>13</v>
      </c>
      <c r="E235" s="16" t="s">
        <v>97</v>
      </c>
      <c r="F235" s="16" t="s">
        <v>98</v>
      </c>
      <c r="G235" s="22">
        <v>160</v>
      </c>
      <c r="H235" s="18">
        <v>327.2</v>
      </c>
      <c r="I235" s="18">
        <v>2.0449999999999999</v>
      </c>
      <c r="J235" s="18">
        <v>2.0699999999999998</v>
      </c>
      <c r="K235" s="18">
        <v>2.02</v>
      </c>
      <c r="L235" s="22">
        <v>2</v>
      </c>
    </row>
    <row r="236" spans="1:12">
      <c r="A236">
        <v>1</v>
      </c>
      <c r="B236" s="16" t="s">
        <v>37</v>
      </c>
      <c r="C236" s="9">
        <v>46143</v>
      </c>
      <c r="D236">
        <v>13</v>
      </c>
      <c r="E236" s="16" t="s">
        <v>97</v>
      </c>
      <c r="F236" s="16" t="s">
        <v>98</v>
      </c>
      <c r="G236" s="22">
        <v>160</v>
      </c>
      <c r="H236" s="18">
        <v>329.6</v>
      </c>
      <c r="I236" s="18">
        <v>2.06</v>
      </c>
      <c r="J236" s="18">
        <v>2.09</v>
      </c>
      <c r="K236" s="18">
        <v>2.0299999999999998</v>
      </c>
      <c r="L236" s="22">
        <v>2</v>
      </c>
    </row>
    <row r="237" spans="1:12">
      <c r="A237">
        <v>1</v>
      </c>
      <c r="B237" s="16" t="s">
        <v>37</v>
      </c>
      <c r="C237" s="9">
        <v>46174</v>
      </c>
      <c r="D237">
        <v>13</v>
      </c>
      <c r="E237" s="16" t="s">
        <v>97</v>
      </c>
      <c r="F237" s="16" t="s">
        <v>98</v>
      </c>
      <c r="G237" s="22">
        <v>180</v>
      </c>
      <c r="H237" s="18">
        <v>369.8</v>
      </c>
      <c r="I237" s="18">
        <v>2.054444444</v>
      </c>
      <c r="J237" s="18">
        <v>2.06</v>
      </c>
      <c r="K237" s="18">
        <v>2.0499999999999998</v>
      </c>
      <c r="L237" s="22">
        <v>2</v>
      </c>
    </row>
    <row r="238" spans="1:12">
      <c r="A238">
        <v>1</v>
      </c>
      <c r="B238" s="16" t="s">
        <v>37</v>
      </c>
      <c r="C238" s="9">
        <v>46204</v>
      </c>
      <c r="D238">
        <v>13</v>
      </c>
      <c r="E238" s="16" t="s">
        <v>97</v>
      </c>
      <c r="F238" s="16" t="s">
        <v>98</v>
      </c>
      <c r="G238" s="22">
        <v>180</v>
      </c>
      <c r="H238" s="18">
        <v>366</v>
      </c>
      <c r="I238" s="18">
        <v>2.0333333329999999</v>
      </c>
      <c r="J238" s="18">
        <v>2.0499999999999998</v>
      </c>
      <c r="K238" s="18">
        <v>2.02</v>
      </c>
      <c r="L238" s="22">
        <v>2</v>
      </c>
    </row>
    <row r="239" spans="1:12">
      <c r="A239">
        <v>1</v>
      </c>
      <c r="B239" s="16" t="s">
        <v>37</v>
      </c>
      <c r="C239" s="9">
        <v>46235</v>
      </c>
      <c r="D239">
        <v>13</v>
      </c>
      <c r="E239" s="16" t="s">
        <v>97</v>
      </c>
      <c r="F239" s="16" t="s">
        <v>98</v>
      </c>
      <c r="G239" s="22">
        <v>180</v>
      </c>
      <c r="H239" s="18">
        <v>369</v>
      </c>
      <c r="I239" s="18">
        <v>2.0499999999999998</v>
      </c>
      <c r="J239" s="18">
        <v>2.0499999999999998</v>
      </c>
      <c r="K239" s="18">
        <v>2.0499999999999998</v>
      </c>
      <c r="L239" s="22">
        <v>2</v>
      </c>
    </row>
    <row r="240" spans="1:12">
      <c r="A240">
        <v>1</v>
      </c>
      <c r="B240" s="16" t="s">
        <v>37</v>
      </c>
      <c r="C240" s="9">
        <v>46266</v>
      </c>
      <c r="D240">
        <v>13</v>
      </c>
      <c r="E240" s="16" t="s">
        <v>97</v>
      </c>
      <c r="F240" s="16" t="s">
        <v>98</v>
      </c>
      <c r="G240" s="22">
        <v>260</v>
      </c>
      <c r="H240" s="18">
        <v>538</v>
      </c>
      <c r="I240" s="18">
        <v>2.0692307689999998</v>
      </c>
      <c r="J240" s="18">
        <v>2.09</v>
      </c>
      <c r="K240" s="18">
        <v>2.06</v>
      </c>
      <c r="L240" s="22">
        <v>3</v>
      </c>
    </row>
    <row r="241" spans="1:12">
      <c r="A241">
        <v>1</v>
      </c>
      <c r="B241" s="16" t="s">
        <v>37</v>
      </c>
      <c r="C241" s="9">
        <v>45689</v>
      </c>
      <c r="D241">
        <v>14</v>
      </c>
      <c r="E241" s="16" t="s">
        <v>99</v>
      </c>
      <c r="F241" s="16" t="s">
        <v>90</v>
      </c>
      <c r="G241" s="22">
        <v>0.75</v>
      </c>
      <c r="H241" s="18">
        <v>14.1525</v>
      </c>
      <c r="I241" s="18">
        <v>18.87</v>
      </c>
      <c r="J241" s="18">
        <v>18.87</v>
      </c>
      <c r="K241" s="18">
        <v>18.87</v>
      </c>
      <c r="L241" s="22">
        <v>1</v>
      </c>
    </row>
    <row r="242" spans="1:12">
      <c r="A242">
        <v>1</v>
      </c>
      <c r="B242" s="16" t="s">
        <v>37</v>
      </c>
      <c r="C242" s="9">
        <v>45717</v>
      </c>
      <c r="D242">
        <v>14</v>
      </c>
      <c r="E242" s="16" t="s">
        <v>99</v>
      </c>
      <c r="F242" s="16" t="s">
        <v>90</v>
      </c>
      <c r="G242" s="22">
        <v>1.5</v>
      </c>
      <c r="H242" s="18">
        <v>28.447500000000002</v>
      </c>
      <c r="I242" s="18">
        <v>18.965</v>
      </c>
      <c r="J242" s="18">
        <v>19.22</v>
      </c>
      <c r="K242" s="18">
        <v>18.71</v>
      </c>
      <c r="L242" s="22">
        <v>2</v>
      </c>
    </row>
    <row r="243" spans="1:12">
      <c r="A243">
        <v>1</v>
      </c>
      <c r="B243" s="16" t="s">
        <v>37</v>
      </c>
      <c r="C243" s="9">
        <v>45748</v>
      </c>
      <c r="D243">
        <v>14</v>
      </c>
      <c r="E243" s="16" t="s">
        <v>99</v>
      </c>
      <c r="F243" s="16" t="s">
        <v>90</v>
      </c>
      <c r="G243" s="22">
        <v>1.5</v>
      </c>
      <c r="H243" s="18">
        <v>28.44</v>
      </c>
      <c r="I243" s="18">
        <v>18.96</v>
      </c>
      <c r="J243" s="18">
        <v>18.989999999999998</v>
      </c>
      <c r="K243" s="18">
        <v>18.93</v>
      </c>
      <c r="L243" s="22">
        <v>2</v>
      </c>
    </row>
    <row r="244" spans="1:12">
      <c r="A244">
        <v>1</v>
      </c>
      <c r="B244" s="16" t="s">
        <v>37</v>
      </c>
      <c r="C244" s="9">
        <v>45778</v>
      </c>
      <c r="D244">
        <v>14</v>
      </c>
      <c r="E244" s="16" t="s">
        <v>99</v>
      </c>
      <c r="F244" s="16" t="s">
        <v>90</v>
      </c>
      <c r="G244" s="22">
        <v>1.5</v>
      </c>
      <c r="H244" s="18">
        <v>28.7925</v>
      </c>
      <c r="I244" s="18">
        <v>19.195</v>
      </c>
      <c r="J244" s="18">
        <v>19.68</v>
      </c>
      <c r="K244" s="18">
        <v>18.71</v>
      </c>
      <c r="L244" s="22">
        <v>2</v>
      </c>
    </row>
    <row r="245" spans="1:12">
      <c r="A245">
        <v>1</v>
      </c>
      <c r="B245" s="16" t="s">
        <v>37</v>
      </c>
      <c r="C245" s="9">
        <v>45809</v>
      </c>
      <c r="D245">
        <v>14</v>
      </c>
      <c r="E245" s="16" t="s">
        <v>99</v>
      </c>
      <c r="F245" s="16" t="s">
        <v>90</v>
      </c>
      <c r="G245" s="22">
        <v>1.5</v>
      </c>
      <c r="H245" s="18">
        <v>28.552499999999998</v>
      </c>
      <c r="I245" s="18">
        <v>19.035</v>
      </c>
      <c r="J245" s="18">
        <v>19.21</v>
      </c>
      <c r="K245" s="18">
        <v>18.86</v>
      </c>
      <c r="L245" s="22">
        <v>2</v>
      </c>
    </row>
    <row r="246" spans="1:12">
      <c r="A246">
        <v>1</v>
      </c>
      <c r="B246" s="16" t="s">
        <v>37</v>
      </c>
      <c r="C246" s="9">
        <v>45839</v>
      </c>
      <c r="D246">
        <v>14</v>
      </c>
      <c r="E246" s="16" t="s">
        <v>99</v>
      </c>
      <c r="F246" s="16" t="s">
        <v>90</v>
      </c>
      <c r="G246" s="22">
        <v>1.5</v>
      </c>
      <c r="H246" s="18">
        <v>28.484999999999999</v>
      </c>
      <c r="I246" s="18">
        <v>18.989999999999998</v>
      </c>
      <c r="J246" s="18">
        <v>19.03</v>
      </c>
      <c r="K246" s="18">
        <v>18.95</v>
      </c>
      <c r="L246" s="22">
        <v>2</v>
      </c>
    </row>
    <row r="247" spans="1:12">
      <c r="A247">
        <v>1</v>
      </c>
      <c r="B247" s="16" t="s">
        <v>37</v>
      </c>
      <c r="C247" s="9">
        <v>45870</v>
      </c>
      <c r="D247">
        <v>14</v>
      </c>
      <c r="E247" s="16" t="s">
        <v>99</v>
      </c>
      <c r="F247" s="16" t="s">
        <v>90</v>
      </c>
      <c r="G247" s="22">
        <v>0.75</v>
      </c>
      <c r="H247" s="18">
        <v>14.715</v>
      </c>
      <c r="I247" s="18">
        <v>19.62</v>
      </c>
      <c r="J247" s="18">
        <v>19.62</v>
      </c>
      <c r="K247" s="18">
        <v>19.62</v>
      </c>
      <c r="L247" s="22">
        <v>1</v>
      </c>
    </row>
    <row r="248" spans="1:12">
      <c r="A248">
        <v>1</v>
      </c>
      <c r="B248" s="16" t="s">
        <v>37</v>
      </c>
      <c r="C248" s="9">
        <v>45901</v>
      </c>
      <c r="D248">
        <v>14</v>
      </c>
      <c r="E248" s="16" t="s">
        <v>99</v>
      </c>
      <c r="F248" s="16" t="s">
        <v>90</v>
      </c>
      <c r="G248" s="22">
        <v>1.5</v>
      </c>
      <c r="H248" s="18">
        <v>28.77</v>
      </c>
      <c r="I248" s="18">
        <v>19.18</v>
      </c>
      <c r="J248" s="18">
        <v>19.239999999999998</v>
      </c>
      <c r="K248" s="18">
        <v>19.12</v>
      </c>
      <c r="L248" s="22">
        <v>2</v>
      </c>
    </row>
    <row r="249" spans="1:12">
      <c r="A249">
        <v>1</v>
      </c>
      <c r="B249" s="16" t="s">
        <v>37</v>
      </c>
      <c r="C249" s="9">
        <v>45931</v>
      </c>
      <c r="D249">
        <v>14</v>
      </c>
      <c r="E249" s="16" t="s">
        <v>99</v>
      </c>
      <c r="F249" s="16" t="s">
        <v>90</v>
      </c>
      <c r="G249" s="22">
        <v>2.25</v>
      </c>
      <c r="H249" s="18">
        <v>43.5075</v>
      </c>
      <c r="I249" s="18">
        <v>19.336666666999999</v>
      </c>
      <c r="J249" s="18">
        <v>19.510000000000002</v>
      </c>
      <c r="K249" s="18">
        <v>19.25</v>
      </c>
      <c r="L249" s="22">
        <v>2</v>
      </c>
    </row>
    <row r="250" spans="1:12">
      <c r="A250">
        <v>1</v>
      </c>
      <c r="B250" s="16" t="s">
        <v>37</v>
      </c>
      <c r="C250" s="9">
        <v>45962</v>
      </c>
      <c r="D250">
        <v>14</v>
      </c>
      <c r="E250" s="16" t="s">
        <v>99</v>
      </c>
      <c r="F250" s="16" t="s">
        <v>90</v>
      </c>
      <c r="G250" s="22">
        <v>1.5</v>
      </c>
      <c r="H250" s="18">
        <v>29.182500000000001</v>
      </c>
      <c r="I250" s="18">
        <v>19.454999999999998</v>
      </c>
      <c r="J250" s="18">
        <v>19.59</v>
      </c>
      <c r="K250" s="18">
        <v>19.32</v>
      </c>
      <c r="L250" s="22">
        <v>2</v>
      </c>
    </row>
    <row r="251" spans="1:12">
      <c r="A251">
        <v>1</v>
      </c>
      <c r="B251" s="16" t="s">
        <v>37</v>
      </c>
      <c r="C251" s="9">
        <v>45992</v>
      </c>
      <c r="D251">
        <v>14</v>
      </c>
      <c r="E251" s="16" t="s">
        <v>99</v>
      </c>
      <c r="F251" s="16" t="s">
        <v>90</v>
      </c>
      <c r="G251" s="22">
        <v>1.5</v>
      </c>
      <c r="H251" s="18">
        <v>28.912500000000001</v>
      </c>
      <c r="I251" s="18">
        <v>19.274999999999999</v>
      </c>
      <c r="J251" s="18">
        <v>19.350000000000001</v>
      </c>
      <c r="K251" s="18">
        <v>19.2</v>
      </c>
      <c r="L251" s="22">
        <v>2</v>
      </c>
    </row>
    <row r="252" spans="1:12">
      <c r="A252">
        <v>1</v>
      </c>
      <c r="B252" s="16" t="s">
        <v>37</v>
      </c>
      <c r="C252" s="9">
        <v>46023</v>
      </c>
      <c r="D252">
        <v>14</v>
      </c>
      <c r="E252" s="16" t="s">
        <v>99</v>
      </c>
      <c r="F252" s="16" t="s">
        <v>90</v>
      </c>
      <c r="G252" s="22">
        <v>1.5</v>
      </c>
      <c r="H252" s="18">
        <v>28.83</v>
      </c>
      <c r="I252" s="18">
        <v>19.22</v>
      </c>
      <c r="J252" s="18">
        <v>19.309999999999999</v>
      </c>
      <c r="K252" s="18">
        <v>19.13</v>
      </c>
      <c r="L252" s="22">
        <v>2</v>
      </c>
    </row>
    <row r="253" spans="1:12">
      <c r="A253">
        <v>1</v>
      </c>
      <c r="B253" s="16" t="s">
        <v>37</v>
      </c>
      <c r="C253" s="9">
        <v>46054</v>
      </c>
      <c r="D253">
        <v>14</v>
      </c>
      <c r="E253" s="16" t="s">
        <v>99</v>
      </c>
      <c r="F253" s="16" t="s">
        <v>90</v>
      </c>
      <c r="G253" s="22">
        <v>1.5</v>
      </c>
      <c r="H253" s="18">
        <v>29.092500000000001</v>
      </c>
      <c r="I253" s="18">
        <v>19.395</v>
      </c>
      <c r="J253" s="18">
        <v>19.57</v>
      </c>
      <c r="K253" s="18">
        <v>19.22</v>
      </c>
      <c r="L253" s="22">
        <v>2</v>
      </c>
    </row>
    <row r="254" spans="1:12">
      <c r="A254">
        <v>1</v>
      </c>
      <c r="B254" s="16" t="s">
        <v>37</v>
      </c>
      <c r="C254" s="9">
        <v>46082</v>
      </c>
      <c r="D254">
        <v>14</v>
      </c>
      <c r="E254" s="16" t="s">
        <v>99</v>
      </c>
      <c r="F254" s="16" t="s">
        <v>90</v>
      </c>
      <c r="G254" s="22">
        <v>1.5</v>
      </c>
      <c r="H254" s="18">
        <v>28.5</v>
      </c>
      <c r="I254" s="18">
        <v>19</v>
      </c>
      <c r="J254" s="18">
        <v>19.29</v>
      </c>
      <c r="K254" s="18">
        <v>18.71</v>
      </c>
      <c r="L254" s="22">
        <v>2</v>
      </c>
    </row>
    <row r="255" spans="1:12">
      <c r="A255">
        <v>1</v>
      </c>
      <c r="B255" s="16" t="s">
        <v>37</v>
      </c>
      <c r="C255" s="9">
        <v>46113</v>
      </c>
      <c r="D255">
        <v>14</v>
      </c>
      <c r="E255" s="16" t="s">
        <v>99</v>
      </c>
      <c r="F255" s="16" t="s">
        <v>90</v>
      </c>
      <c r="G255" s="22">
        <v>2.25</v>
      </c>
      <c r="H255" s="18">
        <v>42.96</v>
      </c>
      <c r="I255" s="18">
        <v>19.093333333</v>
      </c>
      <c r="J255" s="18">
        <v>19.22</v>
      </c>
      <c r="K255" s="18">
        <v>19.02</v>
      </c>
      <c r="L255" s="22">
        <v>3</v>
      </c>
    </row>
    <row r="256" spans="1:12">
      <c r="A256">
        <v>1</v>
      </c>
      <c r="B256" s="16" t="s">
        <v>37</v>
      </c>
      <c r="C256" s="9">
        <v>46143</v>
      </c>
      <c r="D256">
        <v>14</v>
      </c>
      <c r="E256" s="16" t="s">
        <v>99</v>
      </c>
      <c r="F256" s="16" t="s">
        <v>90</v>
      </c>
      <c r="G256" s="22">
        <v>2.25</v>
      </c>
      <c r="H256" s="18">
        <v>42.862499999999997</v>
      </c>
      <c r="I256" s="18">
        <v>19.05</v>
      </c>
      <c r="J256" s="18">
        <v>19.510000000000002</v>
      </c>
      <c r="K256" s="18">
        <v>18.82</v>
      </c>
      <c r="L256" s="22">
        <v>2</v>
      </c>
    </row>
    <row r="257" spans="1:12">
      <c r="A257">
        <v>1</v>
      </c>
      <c r="B257" s="16" t="s">
        <v>37</v>
      </c>
      <c r="C257" s="9">
        <v>46174</v>
      </c>
      <c r="D257">
        <v>14</v>
      </c>
      <c r="E257" s="16" t="s">
        <v>99</v>
      </c>
      <c r="F257" s="16" t="s">
        <v>90</v>
      </c>
      <c r="G257" s="22">
        <v>1.5</v>
      </c>
      <c r="H257" s="18">
        <v>28.56</v>
      </c>
      <c r="I257" s="18">
        <v>19.04</v>
      </c>
      <c r="J257" s="18">
        <v>19.18</v>
      </c>
      <c r="K257" s="18">
        <v>18.899999999999999</v>
      </c>
      <c r="L257" s="22">
        <v>2</v>
      </c>
    </row>
    <row r="258" spans="1:12">
      <c r="A258">
        <v>1</v>
      </c>
      <c r="B258" s="16" t="s">
        <v>37</v>
      </c>
      <c r="C258" s="9">
        <v>46204</v>
      </c>
      <c r="D258">
        <v>14</v>
      </c>
      <c r="E258" s="16" t="s">
        <v>99</v>
      </c>
      <c r="F258" s="16" t="s">
        <v>90</v>
      </c>
      <c r="G258" s="22">
        <v>2.25</v>
      </c>
      <c r="H258" s="18">
        <v>43.274999999999999</v>
      </c>
      <c r="I258" s="18">
        <v>19.233333333000001</v>
      </c>
      <c r="J258" s="18">
        <v>19.38</v>
      </c>
      <c r="K258" s="18">
        <v>19.16</v>
      </c>
      <c r="L258" s="22">
        <v>2</v>
      </c>
    </row>
    <row r="259" spans="1:12">
      <c r="A259">
        <v>1</v>
      </c>
      <c r="B259" s="16" t="s">
        <v>37</v>
      </c>
      <c r="C259" s="9">
        <v>46235</v>
      </c>
      <c r="D259">
        <v>14</v>
      </c>
      <c r="E259" s="16" t="s">
        <v>99</v>
      </c>
      <c r="F259" s="16" t="s">
        <v>90</v>
      </c>
      <c r="G259" s="22">
        <v>1.5</v>
      </c>
      <c r="H259" s="18">
        <v>28.567499999999999</v>
      </c>
      <c r="I259" s="18">
        <v>19.045000000000002</v>
      </c>
      <c r="J259" s="18">
        <v>19.12</v>
      </c>
      <c r="K259" s="18">
        <v>18.97</v>
      </c>
      <c r="L259" s="22">
        <v>2</v>
      </c>
    </row>
    <row r="260" spans="1:12">
      <c r="A260">
        <v>1</v>
      </c>
      <c r="B260" s="16" t="s">
        <v>37</v>
      </c>
      <c r="C260" s="9">
        <v>46266</v>
      </c>
      <c r="D260">
        <v>14</v>
      </c>
      <c r="E260" s="16" t="s">
        <v>99</v>
      </c>
      <c r="F260" s="16" t="s">
        <v>90</v>
      </c>
      <c r="G260" s="22">
        <v>2.25</v>
      </c>
      <c r="H260" s="18">
        <v>43.582500000000003</v>
      </c>
      <c r="I260" s="18">
        <v>19.37</v>
      </c>
      <c r="J260" s="18">
        <v>19.43</v>
      </c>
      <c r="K260" s="18">
        <v>19.3</v>
      </c>
      <c r="L260" s="22">
        <v>3</v>
      </c>
    </row>
    <row r="261" spans="1:12">
      <c r="A261">
        <v>1</v>
      </c>
      <c r="B261" s="16" t="s">
        <v>37</v>
      </c>
      <c r="C261" s="9">
        <v>45689</v>
      </c>
      <c r="D261">
        <v>15</v>
      </c>
      <c r="E261" s="16" t="s">
        <v>100</v>
      </c>
      <c r="F261" s="16" t="s">
        <v>92</v>
      </c>
      <c r="G261" s="22">
        <v>402</v>
      </c>
      <c r="H261" s="18">
        <v>98.82</v>
      </c>
      <c r="I261" s="18">
        <v>0.24582089600000001</v>
      </c>
      <c r="J261" s="18">
        <v>0.25</v>
      </c>
      <c r="K261" s="18">
        <v>0.24</v>
      </c>
      <c r="L261" s="22">
        <v>8</v>
      </c>
    </row>
    <row r="262" spans="1:12">
      <c r="A262">
        <v>1</v>
      </c>
      <c r="B262" s="16" t="s">
        <v>37</v>
      </c>
      <c r="C262" s="9">
        <v>45717</v>
      </c>
      <c r="D262">
        <v>15</v>
      </c>
      <c r="E262" s="16" t="s">
        <v>100</v>
      </c>
      <c r="F262" s="16" t="s">
        <v>92</v>
      </c>
      <c r="G262" s="22">
        <v>474</v>
      </c>
      <c r="H262" s="18">
        <v>113.04</v>
      </c>
      <c r="I262" s="18">
        <v>0.23848101299999999</v>
      </c>
      <c r="J262" s="18">
        <v>0.24</v>
      </c>
      <c r="K262" s="18">
        <v>0.23</v>
      </c>
      <c r="L262" s="22">
        <v>9</v>
      </c>
    </row>
    <row r="263" spans="1:12">
      <c r="A263">
        <v>1</v>
      </c>
      <c r="B263" s="16" t="s">
        <v>37</v>
      </c>
      <c r="C263" s="9">
        <v>45748</v>
      </c>
      <c r="D263">
        <v>15</v>
      </c>
      <c r="E263" s="16" t="s">
        <v>100</v>
      </c>
      <c r="F263" s="16" t="s">
        <v>92</v>
      </c>
      <c r="G263" s="22">
        <v>480</v>
      </c>
      <c r="H263" s="18">
        <v>110.46</v>
      </c>
      <c r="I263" s="18">
        <v>0.230125</v>
      </c>
      <c r="J263" s="18">
        <v>0.24</v>
      </c>
      <c r="K263" s="18">
        <v>0.22</v>
      </c>
      <c r="L263" s="22">
        <v>8</v>
      </c>
    </row>
    <row r="264" spans="1:12">
      <c r="A264">
        <v>1</v>
      </c>
      <c r="B264" s="16" t="s">
        <v>37</v>
      </c>
      <c r="C264" s="9">
        <v>45778</v>
      </c>
      <c r="D264">
        <v>15</v>
      </c>
      <c r="E264" s="16" t="s">
        <v>100</v>
      </c>
      <c r="F264" s="16" t="s">
        <v>92</v>
      </c>
      <c r="G264" s="22">
        <v>576</v>
      </c>
      <c r="H264" s="18">
        <v>128.22</v>
      </c>
      <c r="I264" s="18">
        <v>0.22260416699999999</v>
      </c>
      <c r="J264" s="18">
        <v>0.23</v>
      </c>
      <c r="K264" s="18">
        <v>0.22</v>
      </c>
      <c r="L264" s="22">
        <v>9</v>
      </c>
    </row>
    <row r="265" spans="1:12">
      <c r="A265">
        <v>1</v>
      </c>
      <c r="B265" s="16" t="s">
        <v>37</v>
      </c>
      <c r="C265" s="9">
        <v>45809</v>
      </c>
      <c r="D265">
        <v>15</v>
      </c>
      <c r="E265" s="16" t="s">
        <v>100</v>
      </c>
      <c r="F265" s="16" t="s">
        <v>92</v>
      </c>
      <c r="G265" s="22">
        <v>546</v>
      </c>
      <c r="H265" s="18">
        <v>116.94</v>
      </c>
      <c r="I265" s="18">
        <v>0.21417582399999999</v>
      </c>
      <c r="J265" s="18">
        <v>0.22</v>
      </c>
      <c r="K265" s="18">
        <v>0.21</v>
      </c>
      <c r="L265" s="22">
        <v>9</v>
      </c>
    </row>
    <row r="266" spans="1:12">
      <c r="A266">
        <v>1</v>
      </c>
      <c r="B266" s="16" t="s">
        <v>37</v>
      </c>
      <c r="C266" s="9">
        <v>45839</v>
      </c>
      <c r="D266">
        <v>15</v>
      </c>
      <c r="E266" s="16" t="s">
        <v>100</v>
      </c>
      <c r="F266" s="16" t="s">
        <v>92</v>
      </c>
      <c r="G266" s="22">
        <v>492</v>
      </c>
      <c r="H266" s="18">
        <v>104.34</v>
      </c>
      <c r="I266" s="18">
        <v>0.212073171</v>
      </c>
      <c r="J266" s="18">
        <v>0.22</v>
      </c>
      <c r="K266" s="18">
        <v>0.21</v>
      </c>
      <c r="L266" s="22">
        <v>9</v>
      </c>
    </row>
    <row r="267" spans="1:12">
      <c r="A267">
        <v>1</v>
      </c>
      <c r="B267" s="16" t="s">
        <v>37</v>
      </c>
      <c r="C267" s="9">
        <v>45870</v>
      </c>
      <c r="D267">
        <v>15</v>
      </c>
      <c r="E267" s="16" t="s">
        <v>100</v>
      </c>
      <c r="F267" s="16" t="s">
        <v>92</v>
      </c>
      <c r="G267" s="22">
        <v>378</v>
      </c>
      <c r="H267" s="18">
        <v>81.599999999999994</v>
      </c>
      <c r="I267" s="18">
        <v>0.215873016</v>
      </c>
      <c r="J267" s="18">
        <v>0.22</v>
      </c>
      <c r="K267" s="18">
        <v>0.21</v>
      </c>
      <c r="L267" s="22">
        <v>8</v>
      </c>
    </row>
    <row r="268" spans="1:12">
      <c r="A268">
        <v>1</v>
      </c>
      <c r="B268" s="16" t="s">
        <v>37</v>
      </c>
      <c r="C268" s="9">
        <v>45901</v>
      </c>
      <c r="D268">
        <v>15</v>
      </c>
      <c r="E268" s="16" t="s">
        <v>100</v>
      </c>
      <c r="F268" s="16" t="s">
        <v>92</v>
      </c>
      <c r="G268" s="22">
        <v>546</v>
      </c>
      <c r="H268" s="18">
        <v>122.4</v>
      </c>
      <c r="I268" s="18">
        <v>0.224175824</v>
      </c>
      <c r="J268" s="18">
        <v>0.24</v>
      </c>
      <c r="K268" s="18">
        <v>0.22</v>
      </c>
      <c r="L268" s="22">
        <v>9</v>
      </c>
    </row>
    <row r="269" spans="1:12">
      <c r="A269">
        <v>1</v>
      </c>
      <c r="B269" s="16" t="s">
        <v>37</v>
      </c>
      <c r="C269" s="9">
        <v>45931</v>
      </c>
      <c r="D269">
        <v>15</v>
      </c>
      <c r="E269" s="16" t="s">
        <v>100</v>
      </c>
      <c r="F269" s="16" t="s">
        <v>92</v>
      </c>
      <c r="G269" s="22">
        <v>630</v>
      </c>
      <c r="H269" s="18">
        <v>146.82</v>
      </c>
      <c r="I269" s="18">
        <v>0.23304761900000001</v>
      </c>
      <c r="J269" s="18">
        <v>0.24</v>
      </c>
      <c r="K269" s="18">
        <v>0.23</v>
      </c>
      <c r="L269" s="22">
        <v>9</v>
      </c>
    </row>
    <row r="270" spans="1:12">
      <c r="A270">
        <v>1</v>
      </c>
      <c r="B270" s="16" t="s">
        <v>37</v>
      </c>
      <c r="C270" s="9">
        <v>45962</v>
      </c>
      <c r="D270">
        <v>15</v>
      </c>
      <c r="E270" s="16" t="s">
        <v>100</v>
      </c>
      <c r="F270" s="16" t="s">
        <v>92</v>
      </c>
      <c r="G270" s="22">
        <v>564</v>
      </c>
      <c r="H270" s="18">
        <v>136.19999999999999</v>
      </c>
      <c r="I270" s="18">
        <v>0.24148936200000001</v>
      </c>
      <c r="J270" s="18">
        <v>0.25</v>
      </c>
      <c r="K270" s="18">
        <v>0.24</v>
      </c>
      <c r="L270" s="22">
        <v>8</v>
      </c>
    </row>
    <row r="271" spans="1:12">
      <c r="A271">
        <v>1</v>
      </c>
      <c r="B271" s="16" t="s">
        <v>37</v>
      </c>
      <c r="C271" s="9">
        <v>45992</v>
      </c>
      <c r="D271">
        <v>15</v>
      </c>
      <c r="E271" s="16" t="s">
        <v>100</v>
      </c>
      <c r="F271" s="16" t="s">
        <v>92</v>
      </c>
      <c r="G271" s="22">
        <v>660</v>
      </c>
      <c r="H271" s="18">
        <v>165.3</v>
      </c>
      <c r="I271" s="18">
        <v>0.25045454499999997</v>
      </c>
      <c r="J271" s="18">
        <v>0.26</v>
      </c>
      <c r="K271" s="18">
        <v>0.24</v>
      </c>
      <c r="L271" s="22">
        <v>9</v>
      </c>
    </row>
    <row r="272" spans="1:12">
      <c r="A272">
        <v>1</v>
      </c>
      <c r="B272" s="16" t="s">
        <v>37</v>
      </c>
      <c r="C272" s="9">
        <v>46023</v>
      </c>
      <c r="D272">
        <v>15</v>
      </c>
      <c r="E272" s="16" t="s">
        <v>100</v>
      </c>
      <c r="F272" s="16" t="s">
        <v>92</v>
      </c>
      <c r="G272" s="22">
        <v>540</v>
      </c>
      <c r="H272" s="18">
        <v>136.56</v>
      </c>
      <c r="I272" s="18">
        <v>0.25288888900000001</v>
      </c>
      <c r="J272" s="18">
        <v>0.26</v>
      </c>
      <c r="K272" s="18">
        <v>0.25</v>
      </c>
      <c r="L272" s="22">
        <v>9</v>
      </c>
    </row>
    <row r="273" spans="1:12">
      <c r="A273">
        <v>1</v>
      </c>
      <c r="B273" s="16" t="s">
        <v>37</v>
      </c>
      <c r="C273" s="9">
        <v>46054</v>
      </c>
      <c r="D273">
        <v>15</v>
      </c>
      <c r="E273" s="16" t="s">
        <v>100</v>
      </c>
      <c r="F273" s="16" t="s">
        <v>92</v>
      </c>
      <c r="G273" s="22">
        <v>480</v>
      </c>
      <c r="H273" s="18">
        <v>120</v>
      </c>
      <c r="I273" s="18">
        <v>0.25</v>
      </c>
      <c r="J273" s="18">
        <v>0.25</v>
      </c>
      <c r="K273" s="18">
        <v>0.25</v>
      </c>
      <c r="L273" s="22">
        <v>8</v>
      </c>
    </row>
    <row r="274" spans="1:12">
      <c r="A274">
        <v>1</v>
      </c>
      <c r="B274" s="16" t="s">
        <v>37</v>
      </c>
      <c r="C274" s="9">
        <v>46082</v>
      </c>
      <c r="D274">
        <v>15</v>
      </c>
      <c r="E274" s="16" t="s">
        <v>100</v>
      </c>
      <c r="F274" s="16" t="s">
        <v>92</v>
      </c>
      <c r="G274" s="22">
        <v>516</v>
      </c>
      <c r="H274" s="18">
        <v>127.62</v>
      </c>
      <c r="I274" s="18">
        <v>0.24732558099999999</v>
      </c>
      <c r="J274" s="18">
        <v>0.25</v>
      </c>
      <c r="K274" s="18">
        <v>0.24</v>
      </c>
      <c r="L274" s="22">
        <v>9</v>
      </c>
    </row>
    <row r="275" spans="1:12">
      <c r="A275">
        <v>1</v>
      </c>
      <c r="B275" s="16" t="s">
        <v>37</v>
      </c>
      <c r="C275" s="9">
        <v>46113</v>
      </c>
      <c r="D275">
        <v>15</v>
      </c>
      <c r="E275" s="16" t="s">
        <v>100</v>
      </c>
      <c r="F275" s="16" t="s">
        <v>92</v>
      </c>
      <c r="G275" s="22">
        <v>582</v>
      </c>
      <c r="H275" s="18">
        <v>137.4</v>
      </c>
      <c r="I275" s="18">
        <v>0.23608247399999999</v>
      </c>
      <c r="J275" s="18">
        <v>0.24</v>
      </c>
      <c r="K275" s="18">
        <v>0.23</v>
      </c>
      <c r="L275" s="22">
        <v>9</v>
      </c>
    </row>
    <row r="276" spans="1:12">
      <c r="A276">
        <v>1</v>
      </c>
      <c r="B276" s="16" t="s">
        <v>37</v>
      </c>
      <c r="C276" s="9">
        <v>46143</v>
      </c>
      <c r="D276">
        <v>15</v>
      </c>
      <c r="E276" s="16" t="s">
        <v>100</v>
      </c>
      <c r="F276" s="16" t="s">
        <v>92</v>
      </c>
      <c r="G276" s="22">
        <v>558</v>
      </c>
      <c r="H276" s="18">
        <v>127.44</v>
      </c>
      <c r="I276" s="18">
        <v>0.22838709700000001</v>
      </c>
      <c r="J276" s="18">
        <v>0.23</v>
      </c>
      <c r="K276" s="18">
        <v>0.22</v>
      </c>
      <c r="L276" s="22">
        <v>8</v>
      </c>
    </row>
    <row r="277" spans="1:12">
      <c r="A277">
        <v>1</v>
      </c>
      <c r="B277" s="16" t="s">
        <v>37</v>
      </c>
      <c r="C277" s="9">
        <v>46174</v>
      </c>
      <c r="D277">
        <v>15</v>
      </c>
      <c r="E277" s="16" t="s">
        <v>100</v>
      </c>
      <c r="F277" s="16" t="s">
        <v>92</v>
      </c>
      <c r="G277" s="22">
        <v>528</v>
      </c>
      <c r="H277" s="18">
        <v>117.42</v>
      </c>
      <c r="I277" s="18">
        <v>0.222386364</v>
      </c>
      <c r="J277" s="18">
        <v>0.23</v>
      </c>
      <c r="K277" s="18">
        <v>0.22</v>
      </c>
      <c r="L277" s="22">
        <v>9</v>
      </c>
    </row>
    <row r="278" spans="1:12">
      <c r="A278">
        <v>1</v>
      </c>
      <c r="B278" s="16" t="s">
        <v>37</v>
      </c>
      <c r="C278" s="9">
        <v>46204</v>
      </c>
      <c r="D278">
        <v>15</v>
      </c>
      <c r="E278" s="16" t="s">
        <v>100</v>
      </c>
      <c r="F278" s="16" t="s">
        <v>92</v>
      </c>
      <c r="G278" s="22">
        <v>576</v>
      </c>
      <c r="H278" s="18">
        <v>126.72</v>
      </c>
      <c r="I278" s="18">
        <v>0.22</v>
      </c>
      <c r="J278" s="18">
        <v>0.22</v>
      </c>
      <c r="K278" s="18">
        <v>0.22</v>
      </c>
      <c r="L278" s="22">
        <v>9</v>
      </c>
    </row>
    <row r="279" spans="1:12">
      <c r="A279">
        <v>1</v>
      </c>
      <c r="B279" s="16" t="s">
        <v>37</v>
      </c>
      <c r="C279" s="9">
        <v>46235</v>
      </c>
      <c r="D279">
        <v>15</v>
      </c>
      <c r="E279" s="16" t="s">
        <v>100</v>
      </c>
      <c r="F279" s="16" t="s">
        <v>92</v>
      </c>
      <c r="G279" s="22">
        <v>534</v>
      </c>
      <c r="H279" s="18">
        <v>117</v>
      </c>
      <c r="I279" s="18">
        <v>0.21910112400000001</v>
      </c>
      <c r="J279" s="18">
        <v>0.22</v>
      </c>
      <c r="K279" s="18">
        <v>0.21</v>
      </c>
      <c r="L279" s="22">
        <v>9</v>
      </c>
    </row>
    <row r="280" spans="1:12">
      <c r="A280">
        <v>1</v>
      </c>
      <c r="B280" s="16" t="s">
        <v>37</v>
      </c>
      <c r="C280" s="9">
        <v>46266</v>
      </c>
      <c r="D280">
        <v>15</v>
      </c>
      <c r="E280" s="16" t="s">
        <v>100</v>
      </c>
      <c r="F280" s="16" t="s">
        <v>92</v>
      </c>
      <c r="G280" s="22">
        <v>552</v>
      </c>
      <c r="H280" s="18">
        <v>126.24</v>
      </c>
      <c r="I280" s="18">
        <v>0.228695652</v>
      </c>
      <c r="J280" s="18">
        <v>0.23</v>
      </c>
      <c r="K280" s="18">
        <v>0.22</v>
      </c>
      <c r="L280" s="22">
        <v>8</v>
      </c>
    </row>
    <row r="281" spans="1:12">
      <c r="A281">
        <v>1</v>
      </c>
      <c r="B281" s="16" t="s">
        <v>37</v>
      </c>
      <c r="C281" s="9">
        <v>45689</v>
      </c>
      <c r="D281">
        <v>16</v>
      </c>
      <c r="E281" s="16" t="s">
        <v>101</v>
      </c>
      <c r="F281" s="16" t="s">
        <v>92</v>
      </c>
      <c r="G281" s="22">
        <v>45</v>
      </c>
      <c r="H281" s="18">
        <v>28.094999999999999</v>
      </c>
      <c r="I281" s="18">
        <v>0.62433333300000005</v>
      </c>
      <c r="J281" s="18">
        <v>0.63</v>
      </c>
      <c r="K281" s="18">
        <v>0.62</v>
      </c>
      <c r="L281" s="22">
        <v>8</v>
      </c>
    </row>
    <row r="282" spans="1:12">
      <c r="A282">
        <v>1</v>
      </c>
      <c r="B282" s="16" t="s">
        <v>37</v>
      </c>
      <c r="C282" s="9">
        <v>45717</v>
      </c>
      <c r="D282">
        <v>16</v>
      </c>
      <c r="E282" s="16" t="s">
        <v>101</v>
      </c>
      <c r="F282" s="16" t="s">
        <v>92</v>
      </c>
      <c r="G282" s="22">
        <v>45</v>
      </c>
      <c r="H282" s="18">
        <v>27.254999999999999</v>
      </c>
      <c r="I282" s="18">
        <v>0.60566666700000005</v>
      </c>
      <c r="J282" s="18">
        <v>0.62</v>
      </c>
      <c r="K282" s="18">
        <v>0.59</v>
      </c>
      <c r="L282" s="22">
        <v>9</v>
      </c>
    </row>
    <row r="283" spans="1:12">
      <c r="A283">
        <v>1</v>
      </c>
      <c r="B283" s="16" t="s">
        <v>37</v>
      </c>
      <c r="C283" s="9">
        <v>45748</v>
      </c>
      <c r="D283">
        <v>16</v>
      </c>
      <c r="E283" s="16" t="s">
        <v>101</v>
      </c>
      <c r="F283" s="16" t="s">
        <v>92</v>
      </c>
      <c r="G283" s="22">
        <v>51</v>
      </c>
      <c r="H283" s="18">
        <v>29.504999999999999</v>
      </c>
      <c r="I283" s="18">
        <v>0.57852941199999997</v>
      </c>
      <c r="J283" s="18">
        <v>0.59</v>
      </c>
      <c r="K283" s="18">
        <v>0.56999999999999995</v>
      </c>
      <c r="L283" s="22">
        <v>8</v>
      </c>
    </row>
    <row r="284" spans="1:12">
      <c r="A284">
        <v>1</v>
      </c>
      <c r="B284" s="16" t="s">
        <v>37</v>
      </c>
      <c r="C284" s="9">
        <v>45778</v>
      </c>
      <c r="D284">
        <v>16</v>
      </c>
      <c r="E284" s="16" t="s">
        <v>101</v>
      </c>
      <c r="F284" s="16" t="s">
        <v>92</v>
      </c>
      <c r="G284" s="22">
        <v>49.5</v>
      </c>
      <c r="H284" s="18">
        <v>27.614999999999998</v>
      </c>
      <c r="I284" s="18">
        <v>0.55787878800000001</v>
      </c>
      <c r="J284" s="18">
        <v>0.56999999999999995</v>
      </c>
      <c r="K284" s="18">
        <v>0.55000000000000004</v>
      </c>
      <c r="L284" s="22">
        <v>9</v>
      </c>
    </row>
    <row r="285" spans="1:12">
      <c r="A285">
        <v>1</v>
      </c>
      <c r="B285" s="16" t="s">
        <v>37</v>
      </c>
      <c r="C285" s="9">
        <v>45809</v>
      </c>
      <c r="D285">
        <v>16</v>
      </c>
      <c r="E285" s="16" t="s">
        <v>101</v>
      </c>
      <c r="F285" s="16" t="s">
        <v>92</v>
      </c>
      <c r="G285" s="22">
        <v>48</v>
      </c>
      <c r="H285" s="18">
        <v>25.92</v>
      </c>
      <c r="I285" s="18">
        <v>0.54</v>
      </c>
      <c r="J285" s="18">
        <v>0.55000000000000004</v>
      </c>
      <c r="K285" s="18">
        <v>0.53</v>
      </c>
      <c r="L285" s="22">
        <v>9</v>
      </c>
    </row>
    <row r="286" spans="1:12">
      <c r="A286">
        <v>1</v>
      </c>
      <c r="B286" s="16" t="s">
        <v>37</v>
      </c>
      <c r="C286" s="9">
        <v>45839</v>
      </c>
      <c r="D286">
        <v>16</v>
      </c>
      <c r="E286" s="16" t="s">
        <v>101</v>
      </c>
      <c r="F286" s="16" t="s">
        <v>92</v>
      </c>
      <c r="G286" s="22">
        <v>40.5</v>
      </c>
      <c r="H286" s="18">
        <v>21.72</v>
      </c>
      <c r="I286" s="18">
        <v>0.53629629599999995</v>
      </c>
      <c r="J286" s="18">
        <v>0.54</v>
      </c>
      <c r="K286" s="18">
        <v>0.53</v>
      </c>
      <c r="L286" s="22">
        <v>9</v>
      </c>
    </row>
    <row r="287" spans="1:12">
      <c r="A287">
        <v>1</v>
      </c>
      <c r="B287" s="16" t="s">
        <v>37</v>
      </c>
      <c r="C287" s="9">
        <v>45870</v>
      </c>
      <c r="D287">
        <v>16</v>
      </c>
      <c r="E287" s="16" t="s">
        <v>101</v>
      </c>
      <c r="F287" s="16" t="s">
        <v>92</v>
      </c>
      <c r="G287" s="22">
        <v>34.5</v>
      </c>
      <c r="H287" s="18">
        <v>18.795000000000002</v>
      </c>
      <c r="I287" s="18">
        <v>0.54478260899999997</v>
      </c>
      <c r="J287" s="18">
        <v>0.55000000000000004</v>
      </c>
      <c r="K287" s="18">
        <v>0.54</v>
      </c>
      <c r="L287" s="22">
        <v>8</v>
      </c>
    </row>
    <row r="288" spans="1:12">
      <c r="A288">
        <v>1</v>
      </c>
      <c r="B288" s="16" t="s">
        <v>37</v>
      </c>
      <c r="C288" s="9">
        <v>45901</v>
      </c>
      <c r="D288">
        <v>16</v>
      </c>
      <c r="E288" s="16" t="s">
        <v>101</v>
      </c>
      <c r="F288" s="16" t="s">
        <v>92</v>
      </c>
      <c r="G288" s="22">
        <v>54</v>
      </c>
      <c r="H288" s="18">
        <v>30.3</v>
      </c>
      <c r="I288" s="18">
        <v>0.561111111</v>
      </c>
      <c r="J288" s="18">
        <v>0.56999999999999995</v>
      </c>
      <c r="K288" s="18">
        <v>0.55000000000000004</v>
      </c>
      <c r="L288" s="22">
        <v>9</v>
      </c>
    </row>
    <row r="289" spans="1:12">
      <c r="A289">
        <v>1</v>
      </c>
      <c r="B289" s="16" t="s">
        <v>37</v>
      </c>
      <c r="C289" s="9">
        <v>45931</v>
      </c>
      <c r="D289">
        <v>16</v>
      </c>
      <c r="E289" s="16" t="s">
        <v>101</v>
      </c>
      <c r="F289" s="16" t="s">
        <v>92</v>
      </c>
      <c r="G289" s="22">
        <v>64.5</v>
      </c>
      <c r="H289" s="18">
        <v>38.22</v>
      </c>
      <c r="I289" s="18">
        <v>0.59255813999999996</v>
      </c>
      <c r="J289" s="18">
        <v>0.6</v>
      </c>
      <c r="K289" s="18">
        <v>0.57999999999999996</v>
      </c>
      <c r="L289" s="22">
        <v>9</v>
      </c>
    </row>
    <row r="290" spans="1:12">
      <c r="A290">
        <v>1</v>
      </c>
      <c r="B290" s="16" t="s">
        <v>37</v>
      </c>
      <c r="C290" s="9">
        <v>45962</v>
      </c>
      <c r="D290">
        <v>16</v>
      </c>
      <c r="E290" s="16" t="s">
        <v>101</v>
      </c>
      <c r="F290" s="16" t="s">
        <v>92</v>
      </c>
      <c r="G290" s="22">
        <v>51</v>
      </c>
      <c r="H290" s="18">
        <v>31.23</v>
      </c>
      <c r="I290" s="18">
        <v>0.61235294100000004</v>
      </c>
      <c r="J290" s="18">
        <v>0.63</v>
      </c>
      <c r="K290" s="18">
        <v>0.6</v>
      </c>
      <c r="L290" s="22">
        <v>8</v>
      </c>
    </row>
    <row r="291" spans="1:12">
      <c r="A291">
        <v>1</v>
      </c>
      <c r="B291" s="16" t="s">
        <v>37</v>
      </c>
      <c r="C291" s="9">
        <v>45992</v>
      </c>
      <c r="D291">
        <v>16</v>
      </c>
      <c r="E291" s="16" t="s">
        <v>101</v>
      </c>
      <c r="F291" s="16" t="s">
        <v>92</v>
      </c>
      <c r="G291" s="22">
        <v>61.5</v>
      </c>
      <c r="H291" s="18">
        <v>38.880000000000003</v>
      </c>
      <c r="I291" s="18">
        <v>0.63219512200000005</v>
      </c>
      <c r="J291" s="18">
        <v>0.65</v>
      </c>
      <c r="K291" s="18">
        <v>0.61</v>
      </c>
      <c r="L291" s="22">
        <v>9</v>
      </c>
    </row>
    <row r="292" spans="1:12">
      <c r="A292">
        <v>1</v>
      </c>
      <c r="B292" s="16" t="s">
        <v>37</v>
      </c>
      <c r="C292" s="9">
        <v>46023</v>
      </c>
      <c r="D292">
        <v>16</v>
      </c>
      <c r="E292" s="16" t="s">
        <v>101</v>
      </c>
      <c r="F292" s="16" t="s">
        <v>92</v>
      </c>
      <c r="G292" s="22">
        <v>45</v>
      </c>
      <c r="H292" s="18">
        <v>28.785</v>
      </c>
      <c r="I292" s="18">
        <v>0.63966666699999997</v>
      </c>
      <c r="J292" s="18">
        <v>0.65</v>
      </c>
      <c r="K292" s="18">
        <v>0.63</v>
      </c>
      <c r="L292" s="22">
        <v>9</v>
      </c>
    </row>
    <row r="293" spans="1:12">
      <c r="A293">
        <v>1</v>
      </c>
      <c r="B293" s="16" t="s">
        <v>37</v>
      </c>
      <c r="C293" s="9">
        <v>46054</v>
      </c>
      <c r="D293">
        <v>16</v>
      </c>
      <c r="E293" s="16" t="s">
        <v>101</v>
      </c>
      <c r="F293" s="16" t="s">
        <v>92</v>
      </c>
      <c r="G293" s="22">
        <v>39</v>
      </c>
      <c r="H293" s="18">
        <v>24.824999999999999</v>
      </c>
      <c r="I293" s="18">
        <v>0.63653846199999997</v>
      </c>
      <c r="J293" s="18">
        <v>0.65</v>
      </c>
      <c r="K293" s="18">
        <v>0.62</v>
      </c>
      <c r="L293" s="22">
        <v>8</v>
      </c>
    </row>
    <row r="294" spans="1:12">
      <c r="A294">
        <v>1</v>
      </c>
      <c r="B294" s="16" t="s">
        <v>37</v>
      </c>
      <c r="C294" s="9">
        <v>46082</v>
      </c>
      <c r="D294">
        <v>16</v>
      </c>
      <c r="E294" s="16" t="s">
        <v>101</v>
      </c>
      <c r="F294" s="16" t="s">
        <v>92</v>
      </c>
      <c r="G294" s="22">
        <v>37.5</v>
      </c>
      <c r="H294" s="18">
        <v>23.114999999999998</v>
      </c>
      <c r="I294" s="18">
        <v>0.61639999999999995</v>
      </c>
      <c r="J294" s="18">
        <v>0.63</v>
      </c>
      <c r="K294" s="18">
        <v>0.61</v>
      </c>
      <c r="L294" s="22">
        <v>9</v>
      </c>
    </row>
    <row r="295" spans="1:12">
      <c r="A295">
        <v>1</v>
      </c>
      <c r="B295" s="16" t="s">
        <v>37</v>
      </c>
      <c r="C295" s="9">
        <v>46113</v>
      </c>
      <c r="D295">
        <v>16</v>
      </c>
      <c r="E295" s="16" t="s">
        <v>101</v>
      </c>
      <c r="F295" s="16" t="s">
        <v>92</v>
      </c>
      <c r="G295" s="22">
        <v>48</v>
      </c>
      <c r="H295" s="18">
        <v>28.41</v>
      </c>
      <c r="I295" s="18">
        <v>0.59187500000000004</v>
      </c>
      <c r="J295" s="18">
        <v>0.61</v>
      </c>
      <c r="K295" s="18">
        <v>0.57999999999999996</v>
      </c>
      <c r="L295" s="22">
        <v>9</v>
      </c>
    </row>
    <row r="296" spans="1:12">
      <c r="A296">
        <v>1</v>
      </c>
      <c r="B296" s="16" t="s">
        <v>37</v>
      </c>
      <c r="C296" s="9">
        <v>46143</v>
      </c>
      <c r="D296">
        <v>16</v>
      </c>
      <c r="E296" s="16" t="s">
        <v>101</v>
      </c>
      <c r="F296" s="16" t="s">
        <v>92</v>
      </c>
      <c r="G296" s="22">
        <v>37.5</v>
      </c>
      <c r="H296" s="18">
        <v>21.06</v>
      </c>
      <c r="I296" s="18">
        <v>0.56159999999999999</v>
      </c>
      <c r="J296" s="18">
        <v>0.56999999999999995</v>
      </c>
      <c r="K296" s="18">
        <v>0.55000000000000004</v>
      </c>
      <c r="L296" s="22">
        <v>8</v>
      </c>
    </row>
    <row r="297" spans="1:12">
      <c r="A297">
        <v>1</v>
      </c>
      <c r="B297" s="16" t="s">
        <v>37</v>
      </c>
      <c r="C297" s="9">
        <v>46174</v>
      </c>
      <c r="D297">
        <v>16</v>
      </c>
      <c r="E297" s="16" t="s">
        <v>101</v>
      </c>
      <c r="F297" s="16" t="s">
        <v>92</v>
      </c>
      <c r="G297" s="22">
        <v>28.5</v>
      </c>
      <c r="H297" s="18">
        <v>15.48</v>
      </c>
      <c r="I297" s="18">
        <v>0.543157895</v>
      </c>
      <c r="J297" s="18">
        <v>0.55000000000000004</v>
      </c>
      <c r="K297" s="18">
        <v>0.54</v>
      </c>
      <c r="L297" s="22">
        <v>9</v>
      </c>
    </row>
    <row r="298" spans="1:12">
      <c r="A298">
        <v>1</v>
      </c>
      <c r="B298" s="16" t="s">
        <v>37</v>
      </c>
      <c r="C298" s="9">
        <v>46204</v>
      </c>
      <c r="D298">
        <v>16</v>
      </c>
      <c r="E298" s="16" t="s">
        <v>101</v>
      </c>
      <c r="F298" s="16" t="s">
        <v>92</v>
      </c>
      <c r="G298" s="22">
        <v>31.5</v>
      </c>
      <c r="H298" s="18">
        <v>16.965</v>
      </c>
      <c r="I298" s="18">
        <v>0.53857142899999999</v>
      </c>
      <c r="J298" s="18">
        <v>0.55000000000000004</v>
      </c>
      <c r="K298" s="18">
        <v>0.52</v>
      </c>
      <c r="L298" s="22">
        <v>9</v>
      </c>
    </row>
    <row r="299" spans="1:12">
      <c r="A299">
        <v>1</v>
      </c>
      <c r="B299" s="16" t="s">
        <v>37</v>
      </c>
      <c r="C299" s="9">
        <v>46235</v>
      </c>
      <c r="D299">
        <v>16</v>
      </c>
      <c r="E299" s="16" t="s">
        <v>101</v>
      </c>
      <c r="F299" s="16" t="s">
        <v>92</v>
      </c>
      <c r="G299" s="22">
        <v>30</v>
      </c>
      <c r="H299" s="18">
        <v>16.260000000000002</v>
      </c>
      <c r="I299" s="18">
        <v>0.54200000000000004</v>
      </c>
      <c r="J299" s="18">
        <v>0.55000000000000004</v>
      </c>
      <c r="K299" s="18">
        <v>0.53</v>
      </c>
      <c r="L299" s="22">
        <v>9</v>
      </c>
    </row>
    <row r="300" spans="1:12">
      <c r="A300">
        <v>1</v>
      </c>
      <c r="B300" s="16" t="s">
        <v>37</v>
      </c>
      <c r="C300" s="9">
        <v>46266</v>
      </c>
      <c r="D300">
        <v>16</v>
      </c>
      <c r="E300" s="16" t="s">
        <v>101</v>
      </c>
      <c r="F300" s="16" t="s">
        <v>92</v>
      </c>
      <c r="G300" s="22">
        <v>36</v>
      </c>
      <c r="H300" s="18">
        <v>20.175000000000001</v>
      </c>
      <c r="I300" s="18">
        <v>0.56041666700000003</v>
      </c>
      <c r="J300" s="18">
        <v>0.56999999999999995</v>
      </c>
      <c r="K300" s="18">
        <v>0.56000000000000005</v>
      </c>
      <c r="L300" s="22">
        <v>8</v>
      </c>
    </row>
    <row r="301" spans="1:12">
      <c r="A301">
        <v>1</v>
      </c>
      <c r="B301" s="16" t="s">
        <v>37</v>
      </c>
      <c r="C301" s="9">
        <v>45689</v>
      </c>
      <c r="D301">
        <v>17</v>
      </c>
      <c r="E301" s="16" t="s">
        <v>102</v>
      </c>
      <c r="F301" s="16" t="s">
        <v>103</v>
      </c>
      <c r="G301" s="22">
        <v>4.5</v>
      </c>
      <c r="H301" s="18">
        <v>45.202500000000001</v>
      </c>
      <c r="I301" s="18">
        <v>10.045</v>
      </c>
      <c r="J301" s="18">
        <v>10.130000000000001</v>
      </c>
      <c r="K301" s="18">
        <v>9.9600000000000009</v>
      </c>
      <c r="L301" s="22">
        <v>2</v>
      </c>
    </row>
    <row r="302" spans="1:12">
      <c r="A302">
        <v>1</v>
      </c>
      <c r="B302" s="16" t="s">
        <v>37</v>
      </c>
      <c r="C302" s="9">
        <v>45717</v>
      </c>
      <c r="D302">
        <v>17</v>
      </c>
      <c r="E302" s="16" t="s">
        <v>102</v>
      </c>
      <c r="F302" s="16" t="s">
        <v>103</v>
      </c>
      <c r="G302" s="22">
        <v>2.25</v>
      </c>
      <c r="H302" s="18">
        <v>22.635000000000002</v>
      </c>
      <c r="I302" s="18">
        <v>10.06</v>
      </c>
      <c r="J302" s="18">
        <v>10.06</v>
      </c>
      <c r="K302" s="18">
        <v>10.06</v>
      </c>
      <c r="L302" s="22">
        <v>1</v>
      </c>
    </row>
    <row r="303" spans="1:12">
      <c r="A303">
        <v>1</v>
      </c>
      <c r="B303" s="16" t="s">
        <v>37</v>
      </c>
      <c r="C303" s="9">
        <v>45748</v>
      </c>
      <c r="D303">
        <v>17</v>
      </c>
      <c r="E303" s="16" t="s">
        <v>102</v>
      </c>
      <c r="F303" s="16" t="s">
        <v>103</v>
      </c>
      <c r="G303" s="22">
        <v>6.75</v>
      </c>
      <c r="H303" s="18">
        <v>67.635000000000005</v>
      </c>
      <c r="I303" s="18">
        <v>10.02</v>
      </c>
      <c r="J303" s="18">
        <v>10.3</v>
      </c>
      <c r="K303" s="18">
        <v>9.8800000000000008</v>
      </c>
      <c r="L303" s="22">
        <v>2</v>
      </c>
    </row>
    <row r="304" spans="1:12">
      <c r="A304">
        <v>1</v>
      </c>
      <c r="B304" s="16" t="s">
        <v>37</v>
      </c>
      <c r="C304" s="9">
        <v>45778</v>
      </c>
      <c r="D304">
        <v>17</v>
      </c>
      <c r="E304" s="16" t="s">
        <v>102</v>
      </c>
      <c r="F304" s="16" t="s">
        <v>103</v>
      </c>
      <c r="G304" s="22">
        <v>4.5</v>
      </c>
      <c r="H304" s="18">
        <v>46.012500000000003</v>
      </c>
      <c r="I304" s="18">
        <v>10.225</v>
      </c>
      <c r="J304" s="18">
        <v>10.25</v>
      </c>
      <c r="K304" s="18">
        <v>10.199999999999999</v>
      </c>
      <c r="L304" s="22">
        <v>2</v>
      </c>
    </row>
    <row r="305" spans="1:12">
      <c r="A305">
        <v>1</v>
      </c>
      <c r="B305" s="16" t="s">
        <v>37</v>
      </c>
      <c r="C305" s="9">
        <v>45809</v>
      </c>
      <c r="D305">
        <v>17</v>
      </c>
      <c r="E305" s="16" t="s">
        <v>102</v>
      </c>
      <c r="F305" s="16" t="s">
        <v>103</v>
      </c>
      <c r="G305" s="22">
        <v>4.5</v>
      </c>
      <c r="H305" s="18">
        <v>49.072499999999998</v>
      </c>
      <c r="I305" s="18">
        <v>10.904999999999999</v>
      </c>
      <c r="J305" s="18">
        <v>11.31</v>
      </c>
      <c r="K305" s="18">
        <v>10.5</v>
      </c>
      <c r="L305" s="22">
        <v>2</v>
      </c>
    </row>
    <row r="306" spans="1:12">
      <c r="A306">
        <v>1</v>
      </c>
      <c r="B306" s="16" t="s">
        <v>37</v>
      </c>
      <c r="C306" s="9">
        <v>45839</v>
      </c>
      <c r="D306">
        <v>17</v>
      </c>
      <c r="E306" s="16" t="s">
        <v>102</v>
      </c>
      <c r="F306" s="16" t="s">
        <v>103</v>
      </c>
      <c r="G306" s="22">
        <v>4.5</v>
      </c>
      <c r="H306" s="18">
        <v>48.06</v>
      </c>
      <c r="I306" s="18">
        <v>10.68</v>
      </c>
      <c r="J306" s="18">
        <v>10.74</v>
      </c>
      <c r="K306" s="18">
        <v>10.62</v>
      </c>
      <c r="L306" s="22">
        <v>2</v>
      </c>
    </row>
    <row r="307" spans="1:12">
      <c r="A307">
        <v>1</v>
      </c>
      <c r="B307" s="16" t="s">
        <v>37</v>
      </c>
      <c r="C307" s="9">
        <v>45870</v>
      </c>
      <c r="D307">
        <v>17</v>
      </c>
      <c r="E307" s="16" t="s">
        <v>102</v>
      </c>
      <c r="F307" s="16" t="s">
        <v>103</v>
      </c>
      <c r="G307" s="22">
        <v>2.25</v>
      </c>
      <c r="H307" s="18">
        <v>25.4925</v>
      </c>
      <c r="I307" s="18">
        <v>11.33</v>
      </c>
      <c r="J307" s="18">
        <v>11.33</v>
      </c>
      <c r="K307" s="18">
        <v>11.33</v>
      </c>
      <c r="L307" s="22">
        <v>1</v>
      </c>
    </row>
    <row r="308" spans="1:12">
      <c r="A308">
        <v>1</v>
      </c>
      <c r="B308" s="16" t="s">
        <v>37</v>
      </c>
      <c r="C308" s="9">
        <v>45901</v>
      </c>
      <c r="D308">
        <v>17</v>
      </c>
      <c r="E308" s="16" t="s">
        <v>102</v>
      </c>
      <c r="F308" s="16" t="s">
        <v>103</v>
      </c>
      <c r="G308" s="22">
        <v>6.75</v>
      </c>
      <c r="H308" s="18">
        <v>72.067499999999995</v>
      </c>
      <c r="I308" s="18">
        <v>10.676666666999999</v>
      </c>
      <c r="J308" s="18">
        <v>10.83</v>
      </c>
      <c r="K308" s="18">
        <v>10.37</v>
      </c>
      <c r="L308" s="22">
        <v>2</v>
      </c>
    </row>
    <row r="309" spans="1:12">
      <c r="A309">
        <v>1</v>
      </c>
      <c r="B309" s="16" t="s">
        <v>37</v>
      </c>
      <c r="C309" s="9">
        <v>45931</v>
      </c>
      <c r="D309">
        <v>17</v>
      </c>
      <c r="E309" s="16" t="s">
        <v>102</v>
      </c>
      <c r="F309" s="16" t="s">
        <v>103</v>
      </c>
      <c r="G309" s="22">
        <v>4.5</v>
      </c>
      <c r="H309" s="18">
        <v>50.017499999999998</v>
      </c>
      <c r="I309" s="18">
        <v>11.115</v>
      </c>
      <c r="J309" s="18">
        <v>11.17</v>
      </c>
      <c r="K309" s="18">
        <v>11.06</v>
      </c>
      <c r="L309" s="22">
        <v>2</v>
      </c>
    </row>
    <row r="310" spans="1:12">
      <c r="A310">
        <v>1</v>
      </c>
      <c r="B310" s="16" t="s">
        <v>37</v>
      </c>
      <c r="C310" s="9">
        <v>45962</v>
      </c>
      <c r="D310">
        <v>17</v>
      </c>
      <c r="E310" s="16" t="s">
        <v>102</v>
      </c>
      <c r="F310" s="16" t="s">
        <v>103</v>
      </c>
      <c r="G310" s="22">
        <v>4.5</v>
      </c>
      <c r="H310" s="18">
        <v>49.86</v>
      </c>
      <c r="I310" s="18">
        <v>11.08</v>
      </c>
      <c r="J310" s="18">
        <v>11.13</v>
      </c>
      <c r="K310" s="18">
        <v>11.03</v>
      </c>
      <c r="L310" s="22">
        <v>2</v>
      </c>
    </row>
    <row r="311" spans="1:12">
      <c r="A311">
        <v>1</v>
      </c>
      <c r="B311" s="16" t="s">
        <v>37</v>
      </c>
      <c r="C311" s="9">
        <v>45992</v>
      </c>
      <c r="D311">
        <v>17</v>
      </c>
      <c r="E311" s="16" t="s">
        <v>102</v>
      </c>
      <c r="F311" s="16" t="s">
        <v>103</v>
      </c>
      <c r="G311" s="22">
        <v>11.25</v>
      </c>
      <c r="H311" s="18">
        <v>124.2</v>
      </c>
      <c r="I311" s="18">
        <v>11.04</v>
      </c>
      <c r="J311" s="18">
        <v>11.08</v>
      </c>
      <c r="K311" s="18">
        <v>10.94</v>
      </c>
      <c r="L311" s="22">
        <v>3</v>
      </c>
    </row>
    <row r="312" spans="1:12">
      <c r="A312">
        <v>1</v>
      </c>
      <c r="B312" s="16" t="s">
        <v>37</v>
      </c>
      <c r="C312" s="9">
        <v>46023</v>
      </c>
      <c r="D312">
        <v>17</v>
      </c>
      <c r="E312" s="16" t="s">
        <v>102</v>
      </c>
      <c r="F312" s="16" t="s">
        <v>103</v>
      </c>
      <c r="G312" s="22">
        <v>4.5</v>
      </c>
      <c r="H312" s="18">
        <v>50.152500000000003</v>
      </c>
      <c r="I312" s="18">
        <v>11.145</v>
      </c>
      <c r="J312" s="18">
        <v>11.28</v>
      </c>
      <c r="K312" s="18">
        <v>11.01</v>
      </c>
      <c r="L312" s="22">
        <v>2</v>
      </c>
    </row>
    <row r="313" spans="1:12">
      <c r="A313">
        <v>1</v>
      </c>
      <c r="B313" s="16" t="s">
        <v>37</v>
      </c>
      <c r="C313" s="9">
        <v>46054</v>
      </c>
      <c r="D313">
        <v>17</v>
      </c>
      <c r="E313" s="16" t="s">
        <v>102</v>
      </c>
      <c r="F313" s="16" t="s">
        <v>103</v>
      </c>
      <c r="G313" s="22">
        <v>4.5</v>
      </c>
      <c r="H313" s="18">
        <v>50.602499999999999</v>
      </c>
      <c r="I313" s="18">
        <v>11.244999999999999</v>
      </c>
      <c r="J313" s="18">
        <v>11.38</v>
      </c>
      <c r="K313" s="18">
        <v>11.11</v>
      </c>
      <c r="L313" s="22">
        <v>2</v>
      </c>
    </row>
    <row r="314" spans="1:12">
      <c r="A314">
        <v>1</v>
      </c>
      <c r="B314" s="16" t="s">
        <v>37</v>
      </c>
      <c r="C314" s="9">
        <v>46082</v>
      </c>
      <c r="D314">
        <v>17</v>
      </c>
      <c r="E314" s="16" t="s">
        <v>102</v>
      </c>
      <c r="F314" s="16" t="s">
        <v>103</v>
      </c>
      <c r="G314" s="22">
        <v>4.5</v>
      </c>
      <c r="H314" s="18">
        <v>50.534999999999997</v>
      </c>
      <c r="I314" s="18">
        <v>11.23</v>
      </c>
      <c r="J314" s="18">
        <v>11.25</v>
      </c>
      <c r="K314" s="18">
        <v>11.21</v>
      </c>
      <c r="L314" s="22">
        <v>2</v>
      </c>
    </row>
    <row r="315" spans="1:12">
      <c r="A315">
        <v>1</v>
      </c>
      <c r="B315" s="16" t="s">
        <v>37</v>
      </c>
      <c r="C315" s="9">
        <v>46113</v>
      </c>
      <c r="D315">
        <v>17</v>
      </c>
      <c r="E315" s="16" t="s">
        <v>102</v>
      </c>
      <c r="F315" s="16" t="s">
        <v>103</v>
      </c>
      <c r="G315" s="22">
        <v>6.75</v>
      </c>
      <c r="H315" s="18">
        <v>80.842500000000001</v>
      </c>
      <c r="I315" s="18">
        <v>11.976666667</v>
      </c>
      <c r="J315" s="18">
        <v>12.2</v>
      </c>
      <c r="K315" s="18">
        <v>11.53</v>
      </c>
      <c r="L315" s="22">
        <v>2</v>
      </c>
    </row>
    <row r="316" spans="1:12">
      <c r="A316">
        <v>1</v>
      </c>
      <c r="B316" s="16" t="s">
        <v>37</v>
      </c>
      <c r="C316" s="9">
        <v>46143</v>
      </c>
      <c r="D316">
        <v>17</v>
      </c>
      <c r="E316" s="16" t="s">
        <v>102</v>
      </c>
      <c r="F316" s="16" t="s">
        <v>103</v>
      </c>
      <c r="G316" s="22">
        <v>4.5</v>
      </c>
      <c r="H316" s="18">
        <v>51.907499999999999</v>
      </c>
      <c r="I316" s="18">
        <v>11.535</v>
      </c>
      <c r="J316" s="18">
        <v>11.57</v>
      </c>
      <c r="K316" s="18">
        <v>11.5</v>
      </c>
      <c r="L316" s="22">
        <v>2</v>
      </c>
    </row>
    <row r="317" spans="1:12">
      <c r="A317">
        <v>1</v>
      </c>
      <c r="B317" s="16" t="s">
        <v>37</v>
      </c>
      <c r="C317" s="9">
        <v>46174</v>
      </c>
      <c r="D317">
        <v>17</v>
      </c>
      <c r="E317" s="16" t="s">
        <v>102</v>
      </c>
      <c r="F317" s="16" t="s">
        <v>103</v>
      </c>
      <c r="G317" s="22">
        <v>2.25</v>
      </c>
      <c r="H317" s="18">
        <v>25.1325</v>
      </c>
      <c r="I317" s="18">
        <v>11.17</v>
      </c>
      <c r="J317" s="18">
        <v>11.17</v>
      </c>
      <c r="K317" s="18">
        <v>11.17</v>
      </c>
      <c r="L317" s="22">
        <v>1</v>
      </c>
    </row>
    <row r="318" spans="1:12">
      <c r="A318">
        <v>1</v>
      </c>
      <c r="B318" s="16" t="s">
        <v>37</v>
      </c>
      <c r="C318" s="9">
        <v>46204</v>
      </c>
      <c r="D318">
        <v>17</v>
      </c>
      <c r="E318" s="16" t="s">
        <v>102</v>
      </c>
      <c r="F318" s="16" t="s">
        <v>103</v>
      </c>
      <c r="G318" s="22">
        <v>4.5</v>
      </c>
      <c r="H318" s="18">
        <v>50.917499999999997</v>
      </c>
      <c r="I318" s="18">
        <v>11.315</v>
      </c>
      <c r="J318" s="18">
        <v>11.34</v>
      </c>
      <c r="K318" s="18">
        <v>11.29</v>
      </c>
      <c r="L318" s="22">
        <v>2</v>
      </c>
    </row>
    <row r="319" spans="1:12">
      <c r="A319">
        <v>1</v>
      </c>
      <c r="B319" s="16" t="s">
        <v>37</v>
      </c>
      <c r="C319" s="9">
        <v>46235</v>
      </c>
      <c r="D319">
        <v>17</v>
      </c>
      <c r="E319" s="16" t="s">
        <v>102</v>
      </c>
      <c r="F319" s="16" t="s">
        <v>103</v>
      </c>
      <c r="G319" s="22">
        <v>4.5</v>
      </c>
      <c r="H319" s="18">
        <v>52.155000000000001</v>
      </c>
      <c r="I319" s="18">
        <v>11.59</v>
      </c>
      <c r="J319" s="18">
        <v>11.63</v>
      </c>
      <c r="K319" s="18">
        <v>11.55</v>
      </c>
      <c r="L319" s="22">
        <v>2</v>
      </c>
    </row>
    <row r="320" spans="1:12">
      <c r="A320">
        <v>1</v>
      </c>
      <c r="B320" s="16" t="s">
        <v>37</v>
      </c>
      <c r="C320" s="9">
        <v>46266</v>
      </c>
      <c r="D320">
        <v>17</v>
      </c>
      <c r="E320" s="16" t="s">
        <v>102</v>
      </c>
      <c r="F320" s="16" t="s">
        <v>103</v>
      </c>
      <c r="G320" s="22">
        <v>4.5</v>
      </c>
      <c r="H320" s="18">
        <v>51.952500000000001</v>
      </c>
      <c r="I320" s="18">
        <v>11.545</v>
      </c>
      <c r="J320" s="18">
        <v>11.62</v>
      </c>
      <c r="K320" s="18">
        <v>11.47</v>
      </c>
      <c r="L320" s="22">
        <v>2</v>
      </c>
    </row>
    <row r="321" spans="1:12">
      <c r="A321">
        <v>1</v>
      </c>
      <c r="B321" s="16" t="s">
        <v>37</v>
      </c>
      <c r="C321" s="9">
        <v>45689</v>
      </c>
      <c r="D321">
        <v>18</v>
      </c>
      <c r="E321" s="16" t="s">
        <v>104</v>
      </c>
      <c r="F321" s="16" t="s">
        <v>103</v>
      </c>
      <c r="G321" s="22">
        <v>6.25</v>
      </c>
      <c r="H321" s="18">
        <v>61.75</v>
      </c>
      <c r="I321" s="18">
        <v>9.8800000000000008</v>
      </c>
      <c r="J321" s="18">
        <v>9.8800000000000008</v>
      </c>
      <c r="K321" s="18">
        <v>9.8800000000000008</v>
      </c>
      <c r="L321" s="22">
        <v>1</v>
      </c>
    </row>
    <row r="322" spans="1:12">
      <c r="A322">
        <v>1</v>
      </c>
      <c r="B322" s="16" t="s">
        <v>37</v>
      </c>
      <c r="C322" s="9">
        <v>45717</v>
      </c>
      <c r="D322">
        <v>18</v>
      </c>
      <c r="E322" s="16" t="s">
        <v>104</v>
      </c>
      <c r="F322" s="16" t="s">
        <v>103</v>
      </c>
      <c r="G322" s="22">
        <v>6.25</v>
      </c>
      <c r="H322" s="18">
        <v>61.875</v>
      </c>
      <c r="I322" s="18">
        <v>9.9</v>
      </c>
      <c r="J322" s="18">
        <v>9.9</v>
      </c>
      <c r="K322" s="18">
        <v>9.9</v>
      </c>
      <c r="L322" s="22">
        <v>1</v>
      </c>
    </row>
    <row r="323" spans="1:12">
      <c r="A323">
        <v>1</v>
      </c>
      <c r="B323" s="16" t="s">
        <v>37</v>
      </c>
      <c r="C323" s="9">
        <v>45748</v>
      </c>
      <c r="D323">
        <v>18</v>
      </c>
      <c r="E323" s="16" t="s">
        <v>104</v>
      </c>
      <c r="F323" s="16" t="s">
        <v>103</v>
      </c>
      <c r="G323" s="22">
        <v>12.5</v>
      </c>
      <c r="H323" s="18">
        <v>123.6875</v>
      </c>
      <c r="I323" s="18">
        <v>9.8949999999999996</v>
      </c>
      <c r="J323" s="18">
        <v>9.9499999999999993</v>
      </c>
      <c r="K323" s="18">
        <v>9.84</v>
      </c>
      <c r="L323" s="22">
        <v>2</v>
      </c>
    </row>
    <row r="324" spans="1:12">
      <c r="A324">
        <v>1</v>
      </c>
      <c r="B324" s="16" t="s">
        <v>37</v>
      </c>
      <c r="C324" s="9">
        <v>45778</v>
      </c>
      <c r="D324">
        <v>18</v>
      </c>
      <c r="E324" s="16" t="s">
        <v>104</v>
      </c>
      <c r="F324" s="16" t="s">
        <v>103</v>
      </c>
      <c r="G324" s="22">
        <v>6.25</v>
      </c>
      <c r="H324" s="18">
        <v>61.125</v>
      </c>
      <c r="I324" s="18">
        <v>9.7799999999999994</v>
      </c>
      <c r="J324" s="18">
        <v>9.7799999999999994</v>
      </c>
      <c r="K324" s="18">
        <v>9.7799999999999994</v>
      </c>
      <c r="L324" s="22">
        <v>1</v>
      </c>
    </row>
    <row r="325" spans="1:12">
      <c r="A325">
        <v>1</v>
      </c>
      <c r="B325" s="16" t="s">
        <v>37</v>
      </c>
      <c r="C325" s="9">
        <v>45809</v>
      </c>
      <c r="D325">
        <v>18</v>
      </c>
      <c r="E325" s="16" t="s">
        <v>104</v>
      </c>
      <c r="F325" s="16" t="s">
        <v>103</v>
      </c>
      <c r="G325" s="22">
        <v>6.25</v>
      </c>
      <c r="H325" s="18">
        <v>61.3125</v>
      </c>
      <c r="I325" s="18">
        <v>9.81</v>
      </c>
      <c r="J325" s="18">
        <v>9.81</v>
      </c>
      <c r="K325" s="18">
        <v>9.81</v>
      </c>
      <c r="L325" s="22">
        <v>1</v>
      </c>
    </row>
    <row r="326" spans="1:12">
      <c r="A326">
        <v>1</v>
      </c>
      <c r="B326" s="16" t="s">
        <v>37</v>
      </c>
      <c r="C326" s="9">
        <v>45839</v>
      </c>
      <c r="D326">
        <v>18</v>
      </c>
      <c r="E326" s="16" t="s">
        <v>104</v>
      </c>
      <c r="F326" s="16" t="s">
        <v>103</v>
      </c>
      <c r="G326" s="22">
        <v>6.25</v>
      </c>
      <c r="H326" s="18">
        <v>63.0625</v>
      </c>
      <c r="I326" s="18">
        <v>10.09</v>
      </c>
      <c r="J326" s="18">
        <v>10.09</v>
      </c>
      <c r="K326" s="18">
        <v>10.09</v>
      </c>
      <c r="L326" s="22">
        <v>1</v>
      </c>
    </row>
    <row r="327" spans="1:12">
      <c r="A327">
        <v>1</v>
      </c>
      <c r="B327" s="16" t="s">
        <v>37</v>
      </c>
      <c r="C327" s="9">
        <v>45870</v>
      </c>
      <c r="D327">
        <v>18</v>
      </c>
      <c r="E327" s="16" t="s">
        <v>104</v>
      </c>
      <c r="F327" s="16" t="s">
        <v>103</v>
      </c>
      <c r="G327" s="22">
        <v>6.25</v>
      </c>
      <c r="H327" s="18">
        <v>61.875</v>
      </c>
      <c r="I327" s="18">
        <v>9.9</v>
      </c>
      <c r="J327" s="18">
        <v>9.9</v>
      </c>
      <c r="K327" s="18">
        <v>9.9</v>
      </c>
      <c r="L327" s="22">
        <v>1</v>
      </c>
    </row>
    <row r="328" spans="1:12">
      <c r="A328">
        <v>1</v>
      </c>
      <c r="B328" s="16" t="s">
        <v>37</v>
      </c>
      <c r="C328" s="9">
        <v>45901</v>
      </c>
      <c r="D328">
        <v>18</v>
      </c>
      <c r="E328" s="16" t="s">
        <v>104</v>
      </c>
      <c r="F328" s="16" t="s">
        <v>103</v>
      </c>
      <c r="G328" s="22">
        <v>6.25</v>
      </c>
      <c r="H328" s="18">
        <v>61.5</v>
      </c>
      <c r="I328" s="18">
        <v>9.84</v>
      </c>
      <c r="J328" s="18">
        <v>9.84</v>
      </c>
      <c r="K328" s="18">
        <v>9.84</v>
      </c>
      <c r="L328" s="22">
        <v>1</v>
      </c>
    </row>
    <row r="329" spans="1:12">
      <c r="A329">
        <v>1</v>
      </c>
      <c r="B329" s="16" t="s">
        <v>37</v>
      </c>
      <c r="C329" s="9">
        <v>45931</v>
      </c>
      <c r="D329">
        <v>18</v>
      </c>
      <c r="E329" s="16" t="s">
        <v>104</v>
      </c>
      <c r="F329" s="16" t="s">
        <v>103</v>
      </c>
      <c r="G329" s="22">
        <v>12.5</v>
      </c>
      <c r="H329" s="18">
        <v>122.5</v>
      </c>
      <c r="I329" s="18">
        <v>9.8000000000000007</v>
      </c>
      <c r="J329" s="18">
        <v>9.81</v>
      </c>
      <c r="K329" s="18">
        <v>9.7899999999999991</v>
      </c>
      <c r="L329" s="22">
        <v>2</v>
      </c>
    </row>
    <row r="330" spans="1:12">
      <c r="A330">
        <v>1</v>
      </c>
      <c r="B330" s="16" t="s">
        <v>37</v>
      </c>
      <c r="C330" s="9">
        <v>45962</v>
      </c>
      <c r="D330">
        <v>18</v>
      </c>
      <c r="E330" s="16" t="s">
        <v>104</v>
      </c>
      <c r="F330" s="16" t="s">
        <v>103</v>
      </c>
      <c r="G330" s="22">
        <v>12.5</v>
      </c>
      <c r="H330" s="18">
        <v>123.1875</v>
      </c>
      <c r="I330" s="18">
        <v>9.8550000000000004</v>
      </c>
      <c r="J330" s="18">
        <v>10.039999999999999</v>
      </c>
      <c r="K330" s="18">
        <v>9.67</v>
      </c>
      <c r="L330" s="22">
        <v>2</v>
      </c>
    </row>
    <row r="331" spans="1:12">
      <c r="A331">
        <v>1</v>
      </c>
      <c r="B331" s="16" t="s">
        <v>37</v>
      </c>
      <c r="C331" s="9">
        <v>45992</v>
      </c>
      <c r="D331">
        <v>18</v>
      </c>
      <c r="E331" s="16" t="s">
        <v>104</v>
      </c>
      <c r="F331" s="16" t="s">
        <v>103</v>
      </c>
      <c r="G331" s="22">
        <v>6.25</v>
      </c>
      <c r="H331" s="18">
        <v>61.875</v>
      </c>
      <c r="I331" s="18">
        <v>9.9</v>
      </c>
      <c r="J331" s="18">
        <v>9.9</v>
      </c>
      <c r="K331" s="18">
        <v>9.9</v>
      </c>
      <c r="L331" s="22">
        <v>1</v>
      </c>
    </row>
    <row r="332" spans="1:12">
      <c r="A332">
        <v>1</v>
      </c>
      <c r="B332" s="16" t="s">
        <v>37</v>
      </c>
      <c r="C332" s="9">
        <v>46023</v>
      </c>
      <c r="D332">
        <v>18</v>
      </c>
      <c r="E332" s="16" t="s">
        <v>104</v>
      </c>
      <c r="F332" s="16" t="s">
        <v>103</v>
      </c>
      <c r="G332" s="22">
        <v>6.25</v>
      </c>
      <c r="H332" s="18">
        <v>61.5625</v>
      </c>
      <c r="I332" s="18">
        <v>9.85</v>
      </c>
      <c r="J332" s="18">
        <v>9.85</v>
      </c>
      <c r="K332" s="18">
        <v>9.85</v>
      </c>
      <c r="L332" s="22">
        <v>1</v>
      </c>
    </row>
    <row r="333" spans="1:12">
      <c r="A333">
        <v>1</v>
      </c>
      <c r="B333" s="16" t="s">
        <v>37</v>
      </c>
      <c r="C333" s="9">
        <v>46054</v>
      </c>
      <c r="D333">
        <v>18</v>
      </c>
      <c r="E333" s="16" t="s">
        <v>104</v>
      </c>
      <c r="F333" s="16" t="s">
        <v>103</v>
      </c>
      <c r="G333" s="22">
        <v>6.25</v>
      </c>
      <c r="H333" s="18">
        <v>62.4375</v>
      </c>
      <c r="I333" s="18">
        <v>9.99</v>
      </c>
      <c r="J333" s="18">
        <v>9.99</v>
      </c>
      <c r="K333" s="18">
        <v>9.99</v>
      </c>
      <c r="L333" s="22">
        <v>1</v>
      </c>
    </row>
    <row r="334" spans="1:12">
      <c r="A334">
        <v>1</v>
      </c>
      <c r="B334" s="16" t="s">
        <v>37</v>
      </c>
      <c r="C334" s="9">
        <v>46082</v>
      </c>
      <c r="D334">
        <v>18</v>
      </c>
      <c r="E334" s="16" t="s">
        <v>104</v>
      </c>
      <c r="F334" s="16" t="s">
        <v>103</v>
      </c>
      <c r="G334" s="22">
        <v>12.5</v>
      </c>
      <c r="H334" s="18">
        <v>122.6875</v>
      </c>
      <c r="I334" s="18">
        <v>9.8149999999999995</v>
      </c>
      <c r="J334" s="18">
        <v>9.82</v>
      </c>
      <c r="K334" s="18">
        <v>9.81</v>
      </c>
      <c r="L334" s="22">
        <v>2</v>
      </c>
    </row>
    <row r="335" spans="1:12">
      <c r="A335">
        <v>1</v>
      </c>
      <c r="B335" s="16" t="s">
        <v>37</v>
      </c>
      <c r="C335" s="9">
        <v>46113</v>
      </c>
      <c r="D335">
        <v>18</v>
      </c>
      <c r="E335" s="16" t="s">
        <v>104</v>
      </c>
      <c r="F335" s="16" t="s">
        <v>103</v>
      </c>
      <c r="G335" s="22">
        <v>12.5</v>
      </c>
      <c r="H335" s="18">
        <v>124.375</v>
      </c>
      <c r="I335" s="18">
        <v>9.9499999999999993</v>
      </c>
      <c r="J335" s="18">
        <v>9.98</v>
      </c>
      <c r="K335" s="18">
        <v>9.92</v>
      </c>
      <c r="L335" s="22">
        <v>2</v>
      </c>
    </row>
    <row r="336" spans="1:12">
      <c r="A336">
        <v>1</v>
      </c>
      <c r="B336" s="16" t="s">
        <v>37</v>
      </c>
      <c r="C336" s="9">
        <v>46143</v>
      </c>
      <c r="D336">
        <v>18</v>
      </c>
      <c r="E336" s="16" t="s">
        <v>104</v>
      </c>
      <c r="F336" s="16" t="s">
        <v>103</v>
      </c>
      <c r="G336" s="22">
        <v>6.25</v>
      </c>
      <c r="H336" s="18">
        <v>62.375</v>
      </c>
      <c r="I336" s="18">
        <v>9.98</v>
      </c>
      <c r="J336" s="18">
        <v>9.98</v>
      </c>
      <c r="K336" s="18">
        <v>9.98</v>
      </c>
      <c r="L336" s="22">
        <v>1</v>
      </c>
    </row>
    <row r="337" spans="1:12">
      <c r="A337">
        <v>1</v>
      </c>
      <c r="B337" s="16" t="s">
        <v>37</v>
      </c>
      <c r="C337" s="9">
        <v>46174</v>
      </c>
      <c r="D337">
        <v>18</v>
      </c>
      <c r="E337" s="16" t="s">
        <v>104</v>
      </c>
      <c r="F337" s="16" t="s">
        <v>103</v>
      </c>
      <c r="G337" s="22">
        <v>6.25</v>
      </c>
      <c r="H337" s="18">
        <v>63.0625</v>
      </c>
      <c r="I337" s="18">
        <v>10.09</v>
      </c>
      <c r="J337" s="18">
        <v>10.09</v>
      </c>
      <c r="K337" s="18">
        <v>10.09</v>
      </c>
      <c r="L337" s="22">
        <v>1</v>
      </c>
    </row>
    <row r="338" spans="1:12">
      <c r="A338">
        <v>1</v>
      </c>
      <c r="B338" s="16" t="s">
        <v>37</v>
      </c>
      <c r="C338" s="9">
        <v>46204</v>
      </c>
      <c r="D338">
        <v>18</v>
      </c>
      <c r="E338" s="16" t="s">
        <v>104</v>
      </c>
      <c r="F338" s="16" t="s">
        <v>103</v>
      </c>
      <c r="G338" s="22">
        <v>6.25</v>
      </c>
      <c r="H338" s="18">
        <v>64.75</v>
      </c>
      <c r="I338" s="18">
        <v>10.36</v>
      </c>
      <c r="J338" s="18">
        <v>10.36</v>
      </c>
      <c r="K338" s="18">
        <v>10.36</v>
      </c>
      <c r="L338" s="22">
        <v>1</v>
      </c>
    </row>
    <row r="339" spans="1:12">
      <c r="A339">
        <v>1</v>
      </c>
      <c r="B339" s="16" t="s">
        <v>37</v>
      </c>
      <c r="C339" s="9">
        <v>46235</v>
      </c>
      <c r="D339">
        <v>18</v>
      </c>
      <c r="E339" s="16" t="s">
        <v>104</v>
      </c>
      <c r="F339" s="16" t="s">
        <v>103</v>
      </c>
      <c r="G339" s="22">
        <v>6.25</v>
      </c>
      <c r="H339" s="18">
        <v>63.0625</v>
      </c>
      <c r="I339" s="18">
        <v>10.09</v>
      </c>
      <c r="J339" s="18">
        <v>10.09</v>
      </c>
      <c r="K339" s="18">
        <v>10.09</v>
      </c>
      <c r="L339" s="22">
        <v>1</v>
      </c>
    </row>
    <row r="340" spans="1:12">
      <c r="A340">
        <v>1</v>
      </c>
      <c r="B340" s="16" t="s">
        <v>37</v>
      </c>
      <c r="C340" s="9">
        <v>46266</v>
      </c>
      <c r="D340">
        <v>18</v>
      </c>
      <c r="E340" s="16" t="s">
        <v>104</v>
      </c>
      <c r="F340" s="16" t="s">
        <v>103</v>
      </c>
      <c r="G340" s="22">
        <v>6.25</v>
      </c>
      <c r="H340" s="18">
        <v>63.375</v>
      </c>
      <c r="I340" s="18">
        <v>10.14</v>
      </c>
      <c r="J340" s="18">
        <v>10.14</v>
      </c>
      <c r="K340" s="18">
        <v>10.14</v>
      </c>
      <c r="L340" s="22">
        <v>1</v>
      </c>
    </row>
    <row r="341" spans="1:12">
      <c r="A341">
        <v>1</v>
      </c>
      <c r="B341" s="16" t="s">
        <v>37</v>
      </c>
      <c r="C341" s="9">
        <v>45689</v>
      </c>
      <c r="D341">
        <v>19</v>
      </c>
      <c r="E341" s="16" t="s">
        <v>105</v>
      </c>
      <c r="F341" s="16" t="s">
        <v>106</v>
      </c>
      <c r="G341" s="22">
        <v>48</v>
      </c>
      <c r="H341" s="18">
        <v>43.52</v>
      </c>
      <c r="I341" s="18">
        <v>0.90666666699999998</v>
      </c>
      <c r="J341" s="18">
        <v>0.91</v>
      </c>
      <c r="K341" s="18">
        <v>0.9</v>
      </c>
      <c r="L341" s="22">
        <v>2</v>
      </c>
    </row>
    <row r="342" spans="1:12">
      <c r="A342">
        <v>1</v>
      </c>
      <c r="B342" s="16" t="s">
        <v>37</v>
      </c>
      <c r="C342" s="9">
        <v>45717</v>
      </c>
      <c r="D342">
        <v>19</v>
      </c>
      <c r="E342" s="16" t="s">
        <v>105</v>
      </c>
      <c r="F342" s="16" t="s">
        <v>106</v>
      </c>
      <c r="G342" s="22">
        <v>64</v>
      </c>
      <c r="H342" s="18">
        <v>58.56</v>
      </c>
      <c r="I342" s="18">
        <v>0.91500000000000004</v>
      </c>
      <c r="J342" s="18">
        <v>0.92</v>
      </c>
      <c r="K342" s="18">
        <v>0.91</v>
      </c>
      <c r="L342" s="22">
        <v>2</v>
      </c>
    </row>
    <row r="343" spans="1:12">
      <c r="A343">
        <v>1</v>
      </c>
      <c r="B343" s="16" t="s">
        <v>37</v>
      </c>
      <c r="C343" s="9">
        <v>45748</v>
      </c>
      <c r="D343">
        <v>19</v>
      </c>
      <c r="E343" s="16" t="s">
        <v>105</v>
      </c>
      <c r="F343" s="16" t="s">
        <v>106</v>
      </c>
      <c r="G343" s="22">
        <v>80</v>
      </c>
      <c r="H343" s="18">
        <v>73.599999999999994</v>
      </c>
      <c r="I343" s="18">
        <v>0.92</v>
      </c>
      <c r="J343" s="18">
        <v>0.93</v>
      </c>
      <c r="K343" s="18">
        <v>0.91</v>
      </c>
      <c r="L343" s="22">
        <v>3</v>
      </c>
    </row>
    <row r="344" spans="1:12">
      <c r="A344">
        <v>1</v>
      </c>
      <c r="B344" s="16" t="s">
        <v>37</v>
      </c>
      <c r="C344" s="9">
        <v>45778</v>
      </c>
      <c r="D344">
        <v>19</v>
      </c>
      <c r="E344" s="16" t="s">
        <v>105</v>
      </c>
      <c r="F344" s="16" t="s">
        <v>106</v>
      </c>
      <c r="G344" s="22">
        <v>64</v>
      </c>
      <c r="H344" s="18">
        <v>58.56</v>
      </c>
      <c r="I344" s="18">
        <v>0.91500000000000004</v>
      </c>
      <c r="J344" s="18">
        <v>0.92</v>
      </c>
      <c r="K344" s="18">
        <v>0.91</v>
      </c>
      <c r="L344" s="22">
        <v>2</v>
      </c>
    </row>
    <row r="345" spans="1:12">
      <c r="A345">
        <v>1</v>
      </c>
      <c r="B345" s="16" t="s">
        <v>37</v>
      </c>
      <c r="C345" s="9">
        <v>45809</v>
      </c>
      <c r="D345">
        <v>19</v>
      </c>
      <c r="E345" s="16" t="s">
        <v>105</v>
      </c>
      <c r="F345" s="16" t="s">
        <v>106</v>
      </c>
      <c r="G345" s="22">
        <v>48</v>
      </c>
      <c r="H345" s="18">
        <v>45.44</v>
      </c>
      <c r="I345" s="18">
        <v>0.94666666700000002</v>
      </c>
      <c r="J345" s="18">
        <v>0.97</v>
      </c>
      <c r="K345" s="18">
        <v>0.9</v>
      </c>
      <c r="L345" s="22">
        <v>2</v>
      </c>
    </row>
    <row r="346" spans="1:12">
      <c r="A346">
        <v>1</v>
      </c>
      <c r="B346" s="16" t="s">
        <v>37</v>
      </c>
      <c r="C346" s="9">
        <v>45839</v>
      </c>
      <c r="D346">
        <v>19</v>
      </c>
      <c r="E346" s="16" t="s">
        <v>105</v>
      </c>
      <c r="F346" s="16" t="s">
        <v>106</v>
      </c>
      <c r="G346" s="22">
        <v>48</v>
      </c>
      <c r="H346" s="18">
        <v>44.8</v>
      </c>
      <c r="I346" s="18">
        <v>0.93333333299999999</v>
      </c>
      <c r="J346" s="18">
        <v>0.94</v>
      </c>
      <c r="K346" s="18">
        <v>0.92</v>
      </c>
      <c r="L346" s="22">
        <v>2</v>
      </c>
    </row>
    <row r="347" spans="1:12">
      <c r="A347">
        <v>1</v>
      </c>
      <c r="B347" s="16" t="s">
        <v>37</v>
      </c>
      <c r="C347" s="9">
        <v>45870</v>
      </c>
      <c r="D347">
        <v>19</v>
      </c>
      <c r="E347" s="16" t="s">
        <v>105</v>
      </c>
      <c r="F347" s="16" t="s">
        <v>106</v>
      </c>
      <c r="G347" s="22">
        <v>48</v>
      </c>
      <c r="H347" s="18">
        <v>43.84</v>
      </c>
      <c r="I347" s="18">
        <v>0.91333333299999997</v>
      </c>
      <c r="J347" s="18">
        <v>0.94</v>
      </c>
      <c r="K347" s="18">
        <v>0.9</v>
      </c>
      <c r="L347" s="22">
        <v>2</v>
      </c>
    </row>
    <row r="348" spans="1:12">
      <c r="A348">
        <v>1</v>
      </c>
      <c r="B348" s="16" t="s">
        <v>37</v>
      </c>
      <c r="C348" s="9">
        <v>45901</v>
      </c>
      <c r="D348">
        <v>19</v>
      </c>
      <c r="E348" s="16" t="s">
        <v>105</v>
      </c>
      <c r="F348" s="16" t="s">
        <v>106</v>
      </c>
      <c r="G348" s="22">
        <v>96</v>
      </c>
      <c r="H348" s="18">
        <v>89.28</v>
      </c>
      <c r="I348" s="18">
        <v>0.93</v>
      </c>
      <c r="J348" s="18">
        <v>0.95</v>
      </c>
      <c r="K348" s="18">
        <v>0.91</v>
      </c>
      <c r="L348" s="22">
        <v>3</v>
      </c>
    </row>
    <row r="349" spans="1:12">
      <c r="A349">
        <v>1</v>
      </c>
      <c r="B349" s="16" t="s">
        <v>37</v>
      </c>
      <c r="C349" s="9">
        <v>45931</v>
      </c>
      <c r="D349">
        <v>19</v>
      </c>
      <c r="E349" s="16" t="s">
        <v>105</v>
      </c>
      <c r="F349" s="16" t="s">
        <v>106</v>
      </c>
      <c r="G349" s="22">
        <v>64</v>
      </c>
      <c r="H349" s="18">
        <v>60.16</v>
      </c>
      <c r="I349" s="18">
        <v>0.94</v>
      </c>
      <c r="J349" s="18">
        <v>0.95</v>
      </c>
      <c r="K349" s="18">
        <v>0.93</v>
      </c>
      <c r="L349" s="22">
        <v>2</v>
      </c>
    </row>
    <row r="350" spans="1:12">
      <c r="A350">
        <v>1</v>
      </c>
      <c r="B350" s="16" t="s">
        <v>37</v>
      </c>
      <c r="C350" s="9">
        <v>45962</v>
      </c>
      <c r="D350">
        <v>19</v>
      </c>
      <c r="E350" s="16" t="s">
        <v>105</v>
      </c>
      <c r="F350" s="16" t="s">
        <v>106</v>
      </c>
      <c r="G350" s="22">
        <v>64</v>
      </c>
      <c r="H350" s="18">
        <v>59.84</v>
      </c>
      <c r="I350" s="18">
        <v>0.93500000000000005</v>
      </c>
      <c r="J350" s="18">
        <v>0.95</v>
      </c>
      <c r="K350" s="18">
        <v>0.92</v>
      </c>
      <c r="L350" s="22">
        <v>2</v>
      </c>
    </row>
    <row r="351" spans="1:12">
      <c r="A351">
        <v>1</v>
      </c>
      <c r="B351" s="16" t="s">
        <v>37</v>
      </c>
      <c r="C351" s="9">
        <v>45992</v>
      </c>
      <c r="D351">
        <v>19</v>
      </c>
      <c r="E351" s="16" t="s">
        <v>105</v>
      </c>
      <c r="F351" s="16" t="s">
        <v>106</v>
      </c>
      <c r="G351" s="22">
        <v>80</v>
      </c>
      <c r="H351" s="18">
        <v>74.72</v>
      </c>
      <c r="I351" s="18">
        <v>0.93400000000000005</v>
      </c>
      <c r="J351" s="18">
        <v>0.94</v>
      </c>
      <c r="K351" s="18">
        <v>0.93</v>
      </c>
      <c r="L351" s="22">
        <v>2</v>
      </c>
    </row>
    <row r="352" spans="1:12">
      <c r="A352">
        <v>1</v>
      </c>
      <c r="B352" s="16" t="s">
        <v>37</v>
      </c>
      <c r="C352" s="9">
        <v>46023</v>
      </c>
      <c r="D352">
        <v>19</v>
      </c>
      <c r="E352" s="16" t="s">
        <v>105</v>
      </c>
      <c r="F352" s="16" t="s">
        <v>106</v>
      </c>
      <c r="G352" s="22">
        <v>64</v>
      </c>
      <c r="H352" s="18">
        <v>59.84</v>
      </c>
      <c r="I352" s="18">
        <v>0.93500000000000005</v>
      </c>
      <c r="J352" s="18">
        <v>0.94</v>
      </c>
      <c r="K352" s="18">
        <v>0.93</v>
      </c>
      <c r="L352" s="22">
        <v>2</v>
      </c>
    </row>
    <row r="353" spans="1:12">
      <c r="A353">
        <v>1</v>
      </c>
      <c r="B353" s="16" t="s">
        <v>37</v>
      </c>
      <c r="C353" s="9">
        <v>46054</v>
      </c>
      <c r="D353">
        <v>19</v>
      </c>
      <c r="E353" s="16" t="s">
        <v>105</v>
      </c>
      <c r="F353" s="16" t="s">
        <v>106</v>
      </c>
      <c r="G353" s="22">
        <v>64</v>
      </c>
      <c r="H353" s="18">
        <v>60.8</v>
      </c>
      <c r="I353" s="18">
        <v>0.95</v>
      </c>
      <c r="J353" s="18">
        <v>0.96</v>
      </c>
      <c r="K353" s="18">
        <v>0.94</v>
      </c>
      <c r="L353" s="22">
        <v>2</v>
      </c>
    </row>
    <row r="354" spans="1:12">
      <c r="A354">
        <v>1</v>
      </c>
      <c r="B354" s="16" t="s">
        <v>37</v>
      </c>
      <c r="C354" s="9">
        <v>46082</v>
      </c>
      <c r="D354">
        <v>19</v>
      </c>
      <c r="E354" s="16" t="s">
        <v>105</v>
      </c>
      <c r="F354" s="16" t="s">
        <v>106</v>
      </c>
      <c r="G354" s="22">
        <v>96</v>
      </c>
      <c r="H354" s="18">
        <v>92.48</v>
      </c>
      <c r="I354" s="18">
        <v>0.96333333300000001</v>
      </c>
      <c r="J354" s="18">
        <v>0.97</v>
      </c>
      <c r="K354" s="18">
        <v>0.96</v>
      </c>
      <c r="L354" s="22">
        <v>3</v>
      </c>
    </row>
    <row r="355" spans="1:12">
      <c r="A355">
        <v>1</v>
      </c>
      <c r="B355" s="16" t="s">
        <v>37</v>
      </c>
      <c r="C355" s="9">
        <v>46113</v>
      </c>
      <c r="D355">
        <v>19</v>
      </c>
      <c r="E355" s="16" t="s">
        <v>105</v>
      </c>
      <c r="F355" s="16" t="s">
        <v>106</v>
      </c>
      <c r="G355" s="22">
        <v>64</v>
      </c>
      <c r="H355" s="18">
        <v>61.76</v>
      </c>
      <c r="I355" s="18">
        <v>0.96499999999999997</v>
      </c>
      <c r="J355" s="18">
        <v>0.97</v>
      </c>
      <c r="K355" s="18">
        <v>0.96</v>
      </c>
      <c r="L355" s="22">
        <v>2</v>
      </c>
    </row>
    <row r="356" spans="1:12">
      <c r="A356">
        <v>1</v>
      </c>
      <c r="B356" s="16" t="s">
        <v>37</v>
      </c>
      <c r="C356" s="9">
        <v>46143</v>
      </c>
      <c r="D356">
        <v>19</v>
      </c>
      <c r="E356" s="16" t="s">
        <v>105</v>
      </c>
      <c r="F356" s="16" t="s">
        <v>106</v>
      </c>
      <c r="G356" s="22">
        <v>64</v>
      </c>
      <c r="H356" s="18">
        <v>61.12</v>
      </c>
      <c r="I356" s="18">
        <v>0.95499999999999996</v>
      </c>
      <c r="J356" s="18">
        <v>0.96</v>
      </c>
      <c r="K356" s="18">
        <v>0.95</v>
      </c>
      <c r="L356" s="22">
        <v>2</v>
      </c>
    </row>
    <row r="357" spans="1:12">
      <c r="A357">
        <v>1</v>
      </c>
      <c r="B357" s="16" t="s">
        <v>37</v>
      </c>
      <c r="C357" s="9">
        <v>46174</v>
      </c>
      <c r="D357">
        <v>19</v>
      </c>
      <c r="E357" s="16" t="s">
        <v>105</v>
      </c>
      <c r="F357" s="16" t="s">
        <v>106</v>
      </c>
      <c r="G357" s="22">
        <v>64</v>
      </c>
      <c r="H357" s="18">
        <v>61.12</v>
      </c>
      <c r="I357" s="18">
        <v>0.95499999999999996</v>
      </c>
      <c r="J357" s="18">
        <v>0.96</v>
      </c>
      <c r="K357" s="18">
        <v>0.95</v>
      </c>
      <c r="L357" s="22">
        <v>2</v>
      </c>
    </row>
    <row r="358" spans="1:12">
      <c r="A358">
        <v>1</v>
      </c>
      <c r="B358" s="16" t="s">
        <v>37</v>
      </c>
      <c r="C358" s="9">
        <v>46204</v>
      </c>
      <c r="D358">
        <v>19</v>
      </c>
      <c r="E358" s="16" t="s">
        <v>105</v>
      </c>
      <c r="F358" s="16" t="s">
        <v>106</v>
      </c>
      <c r="G358" s="22">
        <v>64</v>
      </c>
      <c r="H358" s="18">
        <v>61.76</v>
      </c>
      <c r="I358" s="18">
        <v>0.96499999999999997</v>
      </c>
      <c r="J358" s="18">
        <v>0.97</v>
      </c>
      <c r="K358" s="18">
        <v>0.96</v>
      </c>
      <c r="L358" s="22">
        <v>2</v>
      </c>
    </row>
    <row r="359" spans="1:12">
      <c r="A359">
        <v>1</v>
      </c>
      <c r="B359" s="16" t="s">
        <v>37</v>
      </c>
      <c r="C359" s="9">
        <v>46235</v>
      </c>
      <c r="D359">
        <v>19</v>
      </c>
      <c r="E359" s="16" t="s">
        <v>105</v>
      </c>
      <c r="F359" s="16" t="s">
        <v>106</v>
      </c>
      <c r="G359" s="22">
        <v>64</v>
      </c>
      <c r="H359" s="18">
        <v>60.48</v>
      </c>
      <c r="I359" s="18">
        <v>0.94499999999999995</v>
      </c>
      <c r="J359" s="18">
        <v>0.96</v>
      </c>
      <c r="K359" s="18">
        <v>0.93</v>
      </c>
      <c r="L359" s="22">
        <v>2</v>
      </c>
    </row>
    <row r="360" spans="1:12">
      <c r="A360">
        <v>1</v>
      </c>
      <c r="B360" s="16" t="s">
        <v>37</v>
      </c>
      <c r="C360" s="9">
        <v>46266</v>
      </c>
      <c r="D360">
        <v>19</v>
      </c>
      <c r="E360" s="16" t="s">
        <v>105</v>
      </c>
      <c r="F360" s="16" t="s">
        <v>106</v>
      </c>
      <c r="G360" s="22">
        <v>80</v>
      </c>
      <c r="H360" s="18">
        <v>78.239999999999995</v>
      </c>
      <c r="I360" s="18">
        <v>0.97799999999999998</v>
      </c>
      <c r="J360" s="18">
        <v>1</v>
      </c>
      <c r="K360" s="18">
        <v>0.97</v>
      </c>
      <c r="L360" s="22">
        <v>3</v>
      </c>
    </row>
    <row r="361" spans="1:12">
      <c r="A361">
        <v>1</v>
      </c>
      <c r="B361" s="16" t="s">
        <v>37</v>
      </c>
      <c r="C361" s="9">
        <v>45717</v>
      </c>
      <c r="D361">
        <v>20</v>
      </c>
      <c r="E361" s="16" t="s">
        <v>107</v>
      </c>
      <c r="F361" s="16" t="s">
        <v>108</v>
      </c>
      <c r="G361" s="22">
        <v>6.25</v>
      </c>
      <c r="H361" s="18">
        <v>67.25</v>
      </c>
      <c r="I361" s="18">
        <v>10.76</v>
      </c>
      <c r="J361" s="18">
        <v>10.76</v>
      </c>
      <c r="K361" s="18">
        <v>10.76</v>
      </c>
      <c r="L361" s="22">
        <v>1</v>
      </c>
    </row>
    <row r="362" spans="1:12">
      <c r="A362">
        <v>1</v>
      </c>
      <c r="B362" s="16" t="s">
        <v>37</v>
      </c>
      <c r="C362" s="9">
        <v>45778</v>
      </c>
      <c r="D362">
        <v>20</v>
      </c>
      <c r="E362" s="16" t="s">
        <v>107</v>
      </c>
      <c r="F362" s="16" t="s">
        <v>108</v>
      </c>
      <c r="G362" s="22">
        <v>6.25</v>
      </c>
      <c r="H362" s="18">
        <v>65.125</v>
      </c>
      <c r="I362" s="18">
        <v>10.42</v>
      </c>
      <c r="J362" s="18">
        <v>10.42</v>
      </c>
      <c r="K362" s="18">
        <v>10.42</v>
      </c>
      <c r="L362" s="22">
        <v>1</v>
      </c>
    </row>
    <row r="363" spans="1:12">
      <c r="A363">
        <v>1</v>
      </c>
      <c r="B363" s="16" t="s">
        <v>37</v>
      </c>
      <c r="C363" s="9">
        <v>45870</v>
      </c>
      <c r="D363">
        <v>20</v>
      </c>
      <c r="E363" s="16" t="s">
        <v>107</v>
      </c>
      <c r="F363" s="16" t="s">
        <v>108</v>
      </c>
      <c r="G363" s="22">
        <v>6.25</v>
      </c>
      <c r="H363" s="18">
        <v>64.375</v>
      </c>
      <c r="I363" s="18">
        <v>10.3</v>
      </c>
      <c r="J363" s="18">
        <v>10.3</v>
      </c>
      <c r="K363" s="18">
        <v>10.3</v>
      </c>
      <c r="L363" s="22">
        <v>1</v>
      </c>
    </row>
    <row r="364" spans="1:12">
      <c r="A364">
        <v>1</v>
      </c>
      <c r="B364" s="16" t="s">
        <v>37</v>
      </c>
      <c r="C364" s="9">
        <v>45962</v>
      </c>
      <c r="D364">
        <v>20</v>
      </c>
      <c r="E364" s="16" t="s">
        <v>107</v>
      </c>
      <c r="F364" s="16" t="s">
        <v>108</v>
      </c>
      <c r="G364" s="22">
        <v>6.25</v>
      </c>
      <c r="H364" s="18">
        <v>75.25</v>
      </c>
      <c r="I364" s="18">
        <v>12.04</v>
      </c>
      <c r="J364" s="18">
        <v>12.04</v>
      </c>
      <c r="K364" s="18">
        <v>12.04</v>
      </c>
      <c r="L364" s="22">
        <v>1</v>
      </c>
    </row>
    <row r="365" spans="1:12">
      <c r="A365">
        <v>1</v>
      </c>
      <c r="B365" s="16" t="s">
        <v>37</v>
      </c>
      <c r="C365" s="9">
        <v>46023</v>
      </c>
      <c r="D365">
        <v>20</v>
      </c>
      <c r="E365" s="16" t="s">
        <v>107</v>
      </c>
      <c r="F365" s="16" t="s">
        <v>108</v>
      </c>
      <c r="G365" s="22">
        <v>6.25</v>
      </c>
      <c r="H365" s="18">
        <v>67.125</v>
      </c>
      <c r="I365" s="18">
        <v>10.74</v>
      </c>
      <c r="J365" s="18">
        <v>10.74</v>
      </c>
      <c r="K365" s="18">
        <v>10.74</v>
      </c>
      <c r="L365" s="22">
        <v>1</v>
      </c>
    </row>
    <row r="366" spans="1:12">
      <c r="A366">
        <v>1</v>
      </c>
      <c r="B366" s="16" t="s">
        <v>37</v>
      </c>
      <c r="C366" s="9">
        <v>46082</v>
      </c>
      <c r="D366">
        <v>20</v>
      </c>
      <c r="E366" s="16" t="s">
        <v>107</v>
      </c>
      <c r="F366" s="16" t="s">
        <v>108</v>
      </c>
      <c r="G366" s="22">
        <v>6.25</v>
      </c>
      <c r="H366" s="18">
        <v>67.5</v>
      </c>
      <c r="I366" s="18">
        <v>10.8</v>
      </c>
      <c r="J366" s="18">
        <v>10.8</v>
      </c>
      <c r="K366" s="18">
        <v>10.8</v>
      </c>
      <c r="L366" s="22">
        <v>1</v>
      </c>
    </row>
    <row r="367" spans="1:12">
      <c r="A367">
        <v>1</v>
      </c>
      <c r="B367" s="16" t="s">
        <v>37</v>
      </c>
      <c r="C367" s="9">
        <v>46143</v>
      </c>
      <c r="D367">
        <v>20</v>
      </c>
      <c r="E367" s="16" t="s">
        <v>107</v>
      </c>
      <c r="F367" s="16" t="s">
        <v>108</v>
      </c>
      <c r="G367" s="22">
        <v>6.25</v>
      </c>
      <c r="H367" s="18">
        <v>65.8125</v>
      </c>
      <c r="I367" s="18">
        <v>10.53</v>
      </c>
      <c r="J367" s="18">
        <v>10.53</v>
      </c>
      <c r="K367" s="18">
        <v>10.53</v>
      </c>
      <c r="L367" s="22">
        <v>1</v>
      </c>
    </row>
    <row r="368" spans="1:12">
      <c r="A368">
        <v>1</v>
      </c>
      <c r="B368" s="16" t="s">
        <v>37</v>
      </c>
      <c r="C368" s="9">
        <v>46235</v>
      </c>
      <c r="D368">
        <v>20</v>
      </c>
      <c r="E368" s="16" t="s">
        <v>107</v>
      </c>
      <c r="F368" s="16" t="s">
        <v>108</v>
      </c>
      <c r="G368" s="22">
        <v>6.25</v>
      </c>
      <c r="H368" s="18">
        <v>64.5</v>
      </c>
      <c r="I368" s="18">
        <v>10.32</v>
      </c>
      <c r="J368" s="18">
        <v>10.32</v>
      </c>
      <c r="K368" s="18">
        <v>10.32</v>
      </c>
      <c r="L368" s="22">
        <v>1</v>
      </c>
    </row>
    <row r="369" spans="1:12">
      <c r="A369">
        <v>1</v>
      </c>
      <c r="B369" s="16" t="s">
        <v>37</v>
      </c>
      <c r="C369" s="9">
        <v>45689</v>
      </c>
      <c r="D369">
        <v>21</v>
      </c>
      <c r="E369" s="16" t="s">
        <v>109</v>
      </c>
      <c r="F369" s="16" t="s">
        <v>83</v>
      </c>
      <c r="G369" s="22">
        <v>10</v>
      </c>
      <c r="H369" s="18">
        <v>44</v>
      </c>
      <c r="I369" s="18">
        <v>4.4000000000000004</v>
      </c>
      <c r="J369" s="18">
        <v>4.41</v>
      </c>
      <c r="K369" s="18">
        <v>4.3899999999999997</v>
      </c>
      <c r="L369" s="22">
        <v>2</v>
      </c>
    </row>
    <row r="370" spans="1:12">
      <c r="A370">
        <v>1</v>
      </c>
      <c r="B370" s="16" t="s">
        <v>37</v>
      </c>
      <c r="C370" s="9">
        <v>45717</v>
      </c>
      <c r="D370">
        <v>21</v>
      </c>
      <c r="E370" s="16" t="s">
        <v>109</v>
      </c>
      <c r="F370" s="16" t="s">
        <v>83</v>
      </c>
      <c r="G370" s="22">
        <v>10</v>
      </c>
      <c r="H370" s="18">
        <v>44.65</v>
      </c>
      <c r="I370" s="18">
        <v>4.4649999999999999</v>
      </c>
      <c r="J370" s="18">
        <v>4.49</v>
      </c>
      <c r="K370" s="18">
        <v>4.4400000000000004</v>
      </c>
      <c r="L370" s="22">
        <v>2</v>
      </c>
    </row>
    <row r="371" spans="1:12">
      <c r="A371">
        <v>1</v>
      </c>
      <c r="B371" s="16" t="s">
        <v>37</v>
      </c>
      <c r="C371" s="9">
        <v>45748</v>
      </c>
      <c r="D371">
        <v>21</v>
      </c>
      <c r="E371" s="16" t="s">
        <v>109</v>
      </c>
      <c r="F371" s="16" t="s">
        <v>83</v>
      </c>
      <c r="G371" s="22">
        <v>15</v>
      </c>
      <c r="H371" s="18">
        <v>67.25</v>
      </c>
      <c r="I371" s="18">
        <v>4.483333333</v>
      </c>
      <c r="J371" s="18">
        <v>4.55</v>
      </c>
      <c r="K371" s="18">
        <v>4.4000000000000004</v>
      </c>
      <c r="L371" s="22">
        <v>3</v>
      </c>
    </row>
    <row r="372" spans="1:12">
      <c r="A372">
        <v>1</v>
      </c>
      <c r="B372" s="16" t="s">
        <v>37</v>
      </c>
      <c r="C372" s="9">
        <v>45778</v>
      </c>
      <c r="D372">
        <v>21</v>
      </c>
      <c r="E372" s="16" t="s">
        <v>109</v>
      </c>
      <c r="F372" s="16" t="s">
        <v>83</v>
      </c>
      <c r="G372" s="22">
        <v>10</v>
      </c>
      <c r="H372" s="18">
        <v>45</v>
      </c>
      <c r="I372" s="18">
        <v>4.5</v>
      </c>
      <c r="J372" s="18">
        <v>4.57</v>
      </c>
      <c r="K372" s="18">
        <v>4.43</v>
      </c>
      <c r="L372" s="22">
        <v>2</v>
      </c>
    </row>
    <row r="373" spans="1:12">
      <c r="A373">
        <v>1</v>
      </c>
      <c r="B373" s="16" t="s">
        <v>37</v>
      </c>
      <c r="C373" s="9">
        <v>45809</v>
      </c>
      <c r="D373">
        <v>21</v>
      </c>
      <c r="E373" s="16" t="s">
        <v>109</v>
      </c>
      <c r="F373" s="16" t="s">
        <v>83</v>
      </c>
      <c r="G373" s="22">
        <v>15</v>
      </c>
      <c r="H373" s="18">
        <v>67.3</v>
      </c>
      <c r="I373" s="18">
        <v>4.4866666669999997</v>
      </c>
      <c r="J373" s="18">
        <v>4.55</v>
      </c>
      <c r="K373" s="18">
        <v>4.45</v>
      </c>
      <c r="L373" s="22">
        <v>3</v>
      </c>
    </row>
    <row r="374" spans="1:12">
      <c r="A374">
        <v>1</v>
      </c>
      <c r="B374" s="16" t="s">
        <v>37</v>
      </c>
      <c r="C374" s="9">
        <v>45839</v>
      </c>
      <c r="D374">
        <v>21</v>
      </c>
      <c r="E374" s="16" t="s">
        <v>109</v>
      </c>
      <c r="F374" s="16" t="s">
        <v>83</v>
      </c>
      <c r="G374" s="22">
        <v>10</v>
      </c>
      <c r="H374" s="18">
        <v>44.5</v>
      </c>
      <c r="I374" s="18">
        <v>4.45</v>
      </c>
      <c r="J374" s="18">
        <v>4.46</v>
      </c>
      <c r="K374" s="18">
        <v>4.4400000000000004</v>
      </c>
      <c r="L374" s="22">
        <v>2</v>
      </c>
    </row>
    <row r="375" spans="1:12">
      <c r="A375">
        <v>1</v>
      </c>
      <c r="B375" s="16" t="s">
        <v>37</v>
      </c>
      <c r="C375" s="9">
        <v>45870</v>
      </c>
      <c r="D375">
        <v>21</v>
      </c>
      <c r="E375" s="16" t="s">
        <v>109</v>
      </c>
      <c r="F375" s="16" t="s">
        <v>83</v>
      </c>
      <c r="G375" s="22">
        <v>10</v>
      </c>
      <c r="H375" s="18">
        <v>45.4</v>
      </c>
      <c r="I375" s="18">
        <v>4.54</v>
      </c>
      <c r="J375" s="18">
        <v>4.55</v>
      </c>
      <c r="K375" s="18">
        <v>4.53</v>
      </c>
      <c r="L375" s="22">
        <v>2</v>
      </c>
    </row>
    <row r="376" spans="1:12">
      <c r="A376">
        <v>1</v>
      </c>
      <c r="B376" s="16" t="s">
        <v>37</v>
      </c>
      <c r="C376" s="9">
        <v>45901</v>
      </c>
      <c r="D376">
        <v>21</v>
      </c>
      <c r="E376" s="16" t="s">
        <v>109</v>
      </c>
      <c r="F376" s="16" t="s">
        <v>83</v>
      </c>
      <c r="G376" s="22">
        <v>10</v>
      </c>
      <c r="H376" s="18">
        <v>44.9</v>
      </c>
      <c r="I376" s="18">
        <v>4.49</v>
      </c>
      <c r="J376" s="18">
        <v>4.5599999999999996</v>
      </c>
      <c r="K376" s="18">
        <v>4.42</v>
      </c>
      <c r="L376" s="22">
        <v>2</v>
      </c>
    </row>
    <row r="377" spans="1:12">
      <c r="A377">
        <v>1</v>
      </c>
      <c r="B377" s="16" t="s">
        <v>37</v>
      </c>
      <c r="C377" s="9">
        <v>45931</v>
      </c>
      <c r="D377">
        <v>21</v>
      </c>
      <c r="E377" s="16" t="s">
        <v>109</v>
      </c>
      <c r="F377" s="16" t="s">
        <v>83</v>
      </c>
      <c r="G377" s="22">
        <v>15</v>
      </c>
      <c r="H377" s="18">
        <v>75.599999999999994</v>
      </c>
      <c r="I377" s="18">
        <v>5.04</v>
      </c>
      <c r="J377" s="18">
        <v>5.0599999999999996</v>
      </c>
      <c r="K377" s="18">
        <v>5.01</v>
      </c>
      <c r="L377" s="22">
        <v>3</v>
      </c>
    </row>
    <row r="378" spans="1:12">
      <c r="A378">
        <v>1</v>
      </c>
      <c r="B378" s="16" t="s">
        <v>37</v>
      </c>
      <c r="C378" s="9">
        <v>45962</v>
      </c>
      <c r="D378">
        <v>21</v>
      </c>
      <c r="E378" s="16" t="s">
        <v>109</v>
      </c>
      <c r="F378" s="16" t="s">
        <v>83</v>
      </c>
      <c r="G378" s="22">
        <v>15</v>
      </c>
      <c r="H378" s="18">
        <v>75.400000000000006</v>
      </c>
      <c r="I378" s="18">
        <v>5.0266666669999998</v>
      </c>
      <c r="J378" s="18">
        <v>5.17</v>
      </c>
      <c r="K378" s="18">
        <v>4.93</v>
      </c>
      <c r="L378" s="22">
        <v>3</v>
      </c>
    </row>
    <row r="379" spans="1:12">
      <c r="A379">
        <v>1</v>
      </c>
      <c r="B379" s="16" t="s">
        <v>37</v>
      </c>
      <c r="C379" s="9">
        <v>45992</v>
      </c>
      <c r="D379">
        <v>21</v>
      </c>
      <c r="E379" s="16" t="s">
        <v>109</v>
      </c>
      <c r="F379" s="16" t="s">
        <v>83</v>
      </c>
      <c r="G379" s="22">
        <v>15</v>
      </c>
      <c r="H379" s="18">
        <v>76</v>
      </c>
      <c r="I379" s="18">
        <v>5.0666666669999998</v>
      </c>
      <c r="J379" s="18">
        <v>5.08</v>
      </c>
      <c r="K379" s="18">
        <v>5.05</v>
      </c>
      <c r="L379" s="22">
        <v>3</v>
      </c>
    </row>
    <row r="380" spans="1:12">
      <c r="A380">
        <v>1</v>
      </c>
      <c r="B380" s="16" t="s">
        <v>37</v>
      </c>
      <c r="C380" s="9">
        <v>46023</v>
      </c>
      <c r="D380">
        <v>21</v>
      </c>
      <c r="E380" s="16" t="s">
        <v>109</v>
      </c>
      <c r="F380" s="16" t="s">
        <v>83</v>
      </c>
      <c r="G380" s="22">
        <v>15</v>
      </c>
      <c r="H380" s="18">
        <v>67.349999999999994</v>
      </c>
      <c r="I380" s="18">
        <v>4.49</v>
      </c>
      <c r="J380" s="18">
        <v>4.54</v>
      </c>
      <c r="K380" s="18">
        <v>4.3899999999999997</v>
      </c>
      <c r="L380" s="22">
        <v>3</v>
      </c>
    </row>
    <row r="381" spans="1:12">
      <c r="A381">
        <v>1</v>
      </c>
      <c r="B381" s="16" t="s">
        <v>37</v>
      </c>
      <c r="C381" s="9">
        <v>46054</v>
      </c>
      <c r="D381">
        <v>21</v>
      </c>
      <c r="E381" s="16" t="s">
        <v>109</v>
      </c>
      <c r="F381" s="16" t="s">
        <v>83</v>
      </c>
      <c r="G381" s="22">
        <v>15</v>
      </c>
      <c r="H381" s="18">
        <v>68.400000000000006</v>
      </c>
      <c r="I381" s="18">
        <v>4.5599999999999996</v>
      </c>
      <c r="J381" s="18">
        <v>4.5999999999999996</v>
      </c>
      <c r="K381" s="18">
        <v>4.54</v>
      </c>
      <c r="L381" s="22">
        <v>3</v>
      </c>
    </row>
    <row r="382" spans="1:12">
      <c r="A382">
        <v>1</v>
      </c>
      <c r="B382" s="16" t="s">
        <v>37</v>
      </c>
      <c r="C382" s="9">
        <v>46082</v>
      </c>
      <c r="D382">
        <v>21</v>
      </c>
      <c r="E382" s="16" t="s">
        <v>109</v>
      </c>
      <c r="F382" s="16" t="s">
        <v>83</v>
      </c>
      <c r="G382" s="22">
        <v>10</v>
      </c>
      <c r="H382" s="18">
        <v>45.35</v>
      </c>
      <c r="I382" s="18">
        <v>4.5350000000000001</v>
      </c>
      <c r="J382" s="18">
        <v>4.57</v>
      </c>
      <c r="K382" s="18">
        <v>4.5</v>
      </c>
      <c r="L382" s="22">
        <v>2</v>
      </c>
    </row>
    <row r="383" spans="1:12">
      <c r="A383">
        <v>1</v>
      </c>
      <c r="B383" s="16" t="s">
        <v>37</v>
      </c>
      <c r="C383" s="9">
        <v>46113</v>
      </c>
      <c r="D383">
        <v>21</v>
      </c>
      <c r="E383" s="16" t="s">
        <v>109</v>
      </c>
      <c r="F383" s="16" t="s">
        <v>83</v>
      </c>
      <c r="G383" s="22">
        <v>15</v>
      </c>
      <c r="H383" s="18">
        <v>67.650000000000006</v>
      </c>
      <c r="I383" s="18">
        <v>4.51</v>
      </c>
      <c r="J383" s="18">
        <v>4.54</v>
      </c>
      <c r="K383" s="18">
        <v>4.47</v>
      </c>
      <c r="L383" s="22">
        <v>3</v>
      </c>
    </row>
    <row r="384" spans="1:12">
      <c r="A384">
        <v>1</v>
      </c>
      <c r="B384" s="16" t="s">
        <v>37</v>
      </c>
      <c r="C384" s="9">
        <v>46143</v>
      </c>
      <c r="D384">
        <v>21</v>
      </c>
      <c r="E384" s="16" t="s">
        <v>109</v>
      </c>
      <c r="F384" s="16" t="s">
        <v>83</v>
      </c>
      <c r="G384" s="22">
        <v>15</v>
      </c>
      <c r="H384" s="18">
        <v>68.150000000000006</v>
      </c>
      <c r="I384" s="18">
        <v>4.5433333329999996</v>
      </c>
      <c r="J384" s="18">
        <v>4.63</v>
      </c>
      <c r="K384" s="18">
        <v>4.49</v>
      </c>
      <c r="L384" s="22">
        <v>3</v>
      </c>
    </row>
    <row r="385" spans="1:12">
      <c r="A385">
        <v>1</v>
      </c>
      <c r="B385" s="16" t="s">
        <v>37</v>
      </c>
      <c r="C385" s="9">
        <v>46174</v>
      </c>
      <c r="D385">
        <v>21</v>
      </c>
      <c r="E385" s="16" t="s">
        <v>109</v>
      </c>
      <c r="F385" s="16" t="s">
        <v>83</v>
      </c>
      <c r="G385" s="22">
        <v>10</v>
      </c>
      <c r="H385" s="18">
        <v>45.5</v>
      </c>
      <c r="I385" s="18">
        <v>4.55</v>
      </c>
      <c r="J385" s="18">
        <v>4.62</v>
      </c>
      <c r="K385" s="18">
        <v>4.4800000000000004</v>
      </c>
      <c r="L385" s="22">
        <v>2</v>
      </c>
    </row>
    <row r="386" spans="1:12">
      <c r="A386">
        <v>1</v>
      </c>
      <c r="B386" s="16" t="s">
        <v>37</v>
      </c>
      <c r="C386" s="9">
        <v>46204</v>
      </c>
      <c r="D386">
        <v>21</v>
      </c>
      <c r="E386" s="16" t="s">
        <v>109</v>
      </c>
      <c r="F386" s="16" t="s">
        <v>83</v>
      </c>
      <c r="G386" s="22">
        <v>15</v>
      </c>
      <c r="H386" s="18">
        <v>68.95</v>
      </c>
      <c r="I386" s="18">
        <v>4.596666667</v>
      </c>
      <c r="J386" s="18">
        <v>4.76</v>
      </c>
      <c r="K386" s="18">
        <v>4.46</v>
      </c>
      <c r="L386" s="22">
        <v>3</v>
      </c>
    </row>
    <row r="387" spans="1:12">
      <c r="A387">
        <v>1</v>
      </c>
      <c r="B387" s="16" t="s">
        <v>37</v>
      </c>
      <c r="C387" s="9">
        <v>46235</v>
      </c>
      <c r="D387">
        <v>21</v>
      </c>
      <c r="E387" s="16" t="s">
        <v>109</v>
      </c>
      <c r="F387" s="16" t="s">
        <v>83</v>
      </c>
      <c r="G387" s="22">
        <v>10</v>
      </c>
      <c r="H387" s="18">
        <v>44.85</v>
      </c>
      <c r="I387" s="18">
        <v>4.4850000000000003</v>
      </c>
      <c r="J387" s="18">
        <v>4.49</v>
      </c>
      <c r="K387" s="18">
        <v>4.4800000000000004</v>
      </c>
      <c r="L387" s="22">
        <v>2</v>
      </c>
    </row>
    <row r="388" spans="1:12">
      <c r="A388">
        <v>1</v>
      </c>
      <c r="B388" s="16" t="s">
        <v>37</v>
      </c>
      <c r="C388" s="9">
        <v>46266</v>
      </c>
      <c r="D388">
        <v>21</v>
      </c>
      <c r="E388" s="16" t="s">
        <v>109</v>
      </c>
      <c r="F388" s="16" t="s">
        <v>83</v>
      </c>
      <c r="G388" s="22">
        <v>15</v>
      </c>
      <c r="H388" s="18">
        <v>67.099999999999994</v>
      </c>
      <c r="I388" s="18">
        <v>4.4733333330000002</v>
      </c>
      <c r="J388" s="18">
        <v>4.55</v>
      </c>
      <c r="K388" s="18">
        <v>4.38</v>
      </c>
      <c r="L388" s="22">
        <v>3</v>
      </c>
    </row>
    <row r="389" spans="1:12">
      <c r="A389">
        <v>1</v>
      </c>
      <c r="B389" s="16" t="s">
        <v>37</v>
      </c>
      <c r="C389" s="9">
        <v>45689</v>
      </c>
      <c r="D389">
        <v>22</v>
      </c>
      <c r="E389" s="16" t="s">
        <v>110</v>
      </c>
      <c r="F389" s="16" t="s">
        <v>90</v>
      </c>
      <c r="G389" s="22">
        <v>65</v>
      </c>
      <c r="H389" s="18">
        <v>257.32499999999999</v>
      </c>
      <c r="I389" s="18">
        <v>3.9588461540000002</v>
      </c>
      <c r="J389" s="18">
        <v>3.98</v>
      </c>
      <c r="K389" s="18">
        <v>3.93</v>
      </c>
      <c r="L389" s="22">
        <v>2</v>
      </c>
    </row>
    <row r="390" spans="1:12">
      <c r="A390">
        <v>1</v>
      </c>
      <c r="B390" s="16" t="s">
        <v>37</v>
      </c>
      <c r="C390" s="9">
        <v>45717</v>
      </c>
      <c r="D390">
        <v>22</v>
      </c>
      <c r="E390" s="16" t="s">
        <v>110</v>
      </c>
      <c r="F390" s="16" t="s">
        <v>90</v>
      </c>
      <c r="G390" s="22">
        <v>67.5</v>
      </c>
      <c r="H390" s="18">
        <v>267.35000000000002</v>
      </c>
      <c r="I390" s="18">
        <v>3.960740741</v>
      </c>
      <c r="J390" s="18">
        <v>3.98</v>
      </c>
      <c r="K390" s="18">
        <v>3.94</v>
      </c>
      <c r="L390" s="22">
        <v>2</v>
      </c>
    </row>
    <row r="391" spans="1:12">
      <c r="A391">
        <v>1</v>
      </c>
      <c r="B391" s="16" t="s">
        <v>37</v>
      </c>
      <c r="C391" s="9">
        <v>45748</v>
      </c>
      <c r="D391">
        <v>22</v>
      </c>
      <c r="E391" s="16" t="s">
        <v>110</v>
      </c>
      <c r="F391" s="16" t="s">
        <v>90</v>
      </c>
      <c r="G391" s="22">
        <v>60</v>
      </c>
      <c r="H391" s="18">
        <v>242.3</v>
      </c>
      <c r="I391" s="18">
        <v>4.0383333329999997</v>
      </c>
      <c r="J391" s="18">
        <v>4.0599999999999996</v>
      </c>
      <c r="K391" s="18">
        <v>4.0199999999999996</v>
      </c>
      <c r="L391" s="22">
        <v>2</v>
      </c>
    </row>
    <row r="392" spans="1:12">
      <c r="A392">
        <v>1</v>
      </c>
      <c r="B392" s="16" t="s">
        <v>37</v>
      </c>
      <c r="C392" s="9">
        <v>45778</v>
      </c>
      <c r="D392">
        <v>22</v>
      </c>
      <c r="E392" s="16" t="s">
        <v>110</v>
      </c>
      <c r="F392" s="16" t="s">
        <v>90</v>
      </c>
      <c r="G392" s="22">
        <v>55</v>
      </c>
      <c r="H392" s="18">
        <v>220.55</v>
      </c>
      <c r="I392" s="18">
        <v>4.01</v>
      </c>
      <c r="J392" s="18">
        <v>4.0199999999999996</v>
      </c>
      <c r="K392" s="18">
        <v>4</v>
      </c>
      <c r="L392" s="22">
        <v>2</v>
      </c>
    </row>
    <row r="393" spans="1:12">
      <c r="A393">
        <v>1</v>
      </c>
      <c r="B393" s="16" t="s">
        <v>37</v>
      </c>
      <c r="C393" s="9">
        <v>45809</v>
      </c>
      <c r="D393">
        <v>22</v>
      </c>
      <c r="E393" s="16" t="s">
        <v>110</v>
      </c>
      <c r="F393" s="16" t="s">
        <v>90</v>
      </c>
      <c r="G393" s="22">
        <v>57.5</v>
      </c>
      <c r="H393" s="18">
        <v>233.125</v>
      </c>
      <c r="I393" s="18">
        <v>4.0543478259999999</v>
      </c>
      <c r="J393" s="18">
        <v>4.07</v>
      </c>
      <c r="K393" s="18">
        <v>4.04</v>
      </c>
      <c r="L393" s="22">
        <v>2</v>
      </c>
    </row>
    <row r="394" spans="1:12">
      <c r="A394">
        <v>1</v>
      </c>
      <c r="B394" s="16" t="s">
        <v>37</v>
      </c>
      <c r="C394" s="9">
        <v>45839</v>
      </c>
      <c r="D394">
        <v>22</v>
      </c>
      <c r="E394" s="16" t="s">
        <v>110</v>
      </c>
      <c r="F394" s="16" t="s">
        <v>90</v>
      </c>
      <c r="G394" s="22">
        <v>70</v>
      </c>
      <c r="H394" s="18">
        <v>282.77499999999998</v>
      </c>
      <c r="I394" s="18">
        <v>4.0396428569999996</v>
      </c>
      <c r="J394" s="18">
        <v>4.1399999999999997</v>
      </c>
      <c r="K394" s="18">
        <v>3.97</v>
      </c>
      <c r="L394" s="22">
        <v>3</v>
      </c>
    </row>
    <row r="395" spans="1:12">
      <c r="A395">
        <v>1</v>
      </c>
      <c r="B395" s="16" t="s">
        <v>37</v>
      </c>
      <c r="C395" s="9">
        <v>45870</v>
      </c>
      <c r="D395">
        <v>22</v>
      </c>
      <c r="E395" s="16" t="s">
        <v>110</v>
      </c>
      <c r="F395" s="16" t="s">
        <v>90</v>
      </c>
      <c r="G395" s="22">
        <v>42.5</v>
      </c>
      <c r="H395" s="18">
        <v>171.82499999999999</v>
      </c>
      <c r="I395" s="18">
        <v>4.0429411760000002</v>
      </c>
      <c r="J395" s="18">
        <v>4.08</v>
      </c>
      <c r="K395" s="18">
        <v>4.01</v>
      </c>
      <c r="L395" s="22">
        <v>2</v>
      </c>
    </row>
    <row r="396" spans="1:12">
      <c r="A396">
        <v>1</v>
      </c>
      <c r="B396" s="16" t="s">
        <v>37</v>
      </c>
      <c r="C396" s="9">
        <v>45901</v>
      </c>
      <c r="D396">
        <v>22</v>
      </c>
      <c r="E396" s="16" t="s">
        <v>110</v>
      </c>
      <c r="F396" s="16" t="s">
        <v>90</v>
      </c>
      <c r="G396" s="22">
        <v>67.5</v>
      </c>
      <c r="H396" s="18">
        <v>272.92500000000001</v>
      </c>
      <c r="I396" s="18">
        <v>4.0433333329999996</v>
      </c>
      <c r="J396" s="18">
        <v>4.09</v>
      </c>
      <c r="K396" s="18">
        <v>4</v>
      </c>
      <c r="L396" s="22">
        <v>2</v>
      </c>
    </row>
    <row r="397" spans="1:12">
      <c r="A397">
        <v>1</v>
      </c>
      <c r="B397" s="16" t="s">
        <v>37</v>
      </c>
      <c r="C397" s="9">
        <v>45931</v>
      </c>
      <c r="D397">
        <v>22</v>
      </c>
      <c r="E397" s="16" t="s">
        <v>110</v>
      </c>
      <c r="F397" s="16" t="s">
        <v>90</v>
      </c>
      <c r="G397" s="22">
        <v>72.5</v>
      </c>
      <c r="H397" s="18">
        <v>287.57499999999999</v>
      </c>
      <c r="I397" s="18">
        <v>3.9665517239999999</v>
      </c>
      <c r="J397" s="18">
        <v>3.99</v>
      </c>
      <c r="K397" s="18">
        <v>3.95</v>
      </c>
      <c r="L397" s="22">
        <v>2</v>
      </c>
    </row>
    <row r="398" spans="1:12">
      <c r="A398">
        <v>1</v>
      </c>
      <c r="B398" s="16" t="s">
        <v>37</v>
      </c>
      <c r="C398" s="9">
        <v>45962</v>
      </c>
      <c r="D398">
        <v>22</v>
      </c>
      <c r="E398" s="16" t="s">
        <v>110</v>
      </c>
      <c r="F398" s="16" t="s">
        <v>90</v>
      </c>
      <c r="G398" s="22">
        <v>75</v>
      </c>
      <c r="H398" s="18">
        <v>298.3</v>
      </c>
      <c r="I398" s="18">
        <v>3.9773333329999998</v>
      </c>
      <c r="J398" s="18">
        <v>4.01</v>
      </c>
      <c r="K398" s="18">
        <v>3.94</v>
      </c>
      <c r="L398" s="22">
        <v>2</v>
      </c>
    </row>
    <row r="399" spans="1:12">
      <c r="A399">
        <v>1</v>
      </c>
      <c r="B399" s="16" t="s">
        <v>37</v>
      </c>
      <c r="C399" s="9">
        <v>45992</v>
      </c>
      <c r="D399">
        <v>22</v>
      </c>
      <c r="E399" s="16" t="s">
        <v>110</v>
      </c>
      <c r="F399" s="16" t="s">
        <v>90</v>
      </c>
      <c r="G399" s="22">
        <v>122.5</v>
      </c>
      <c r="H399" s="18">
        <v>486.32499999999999</v>
      </c>
      <c r="I399" s="18">
        <v>3.97</v>
      </c>
      <c r="J399" s="18">
        <v>4.0199999999999996</v>
      </c>
      <c r="K399" s="18">
        <v>3.95</v>
      </c>
      <c r="L399" s="22">
        <v>3</v>
      </c>
    </row>
    <row r="400" spans="1:12">
      <c r="A400">
        <v>1</v>
      </c>
      <c r="B400" s="16" t="s">
        <v>37</v>
      </c>
      <c r="C400" s="9">
        <v>46023</v>
      </c>
      <c r="D400">
        <v>22</v>
      </c>
      <c r="E400" s="16" t="s">
        <v>110</v>
      </c>
      <c r="F400" s="16" t="s">
        <v>90</v>
      </c>
      <c r="G400" s="22">
        <v>77.5</v>
      </c>
      <c r="H400" s="18">
        <v>305.39999999999998</v>
      </c>
      <c r="I400" s="18">
        <v>3.940645161</v>
      </c>
      <c r="J400" s="18">
        <v>3.96</v>
      </c>
      <c r="K400" s="18">
        <v>3.92</v>
      </c>
      <c r="L400" s="22">
        <v>2</v>
      </c>
    </row>
    <row r="401" spans="1:12">
      <c r="A401">
        <v>1</v>
      </c>
      <c r="B401" s="16" t="s">
        <v>37</v>
      </c>
      <c r="C401" s="9">
        <v>46054</v>
      </c>
      <c r="D401">
        <v>22</v>
      </c>
      <c r="E401" s="16" t="s">
        <v>110</v>
      </c>
      <c r="F401" s="16" t="s">
        <v>90</v>
      </c>
      <c r="G401" s="22">
        <v>67.5</v>
      </c>
      <c r="H401" s="18">
        <v>266.42500000000001</v>
      </c>
      <c r="I401" s="18">
        <v>3.9470370369999999</v>
      </c>
      <c r="J401" s="18">
        <v>4.03</v>
      </c>
      <c r="K401" s="18">
        <v>3.87</v>
      </c>
      <c r="L401" s="22">
        <v>2</v>
      </c>
    </row>
    <row r="402" spans="1:12">
      <c r="A402">
        <v>1</v>
      </c>
      <c r="B402" s="16" t="s">
        <v>37</v>
      </c>
      <c r="C402" s="9">
        <v>46082</v>
      </c>
      <c r="D402">
        <v>22</v>
      </c>
      <c r="E402" s="16" t="s">
        <v>110</v>
      </c>
      <c r="F402" s="16" t="s">
        <v>90</v>
      </c>
      <c r="G402" s="22">
        <v>70</v>
      </c>
      <c r="H402" s="18">
        <v>278.60000000000002</v>
      </c>
      <c r="I402" s="18">
        <v>3.98</v>
      </c>
      <c r="J402" s="18">
        <v>4.03</v>
      </c>
      <c r="K402" s="18">
        <v>3.93</v>
      </c>
      <c r="L402" s="22">
        <v>2</v>
      </c>
    </row>
    <row r="403" spans="1:12">
      <c r="A403">
        <v>1</v>
      </c>
      <c r="B403" s="16" t="s">
        <v>37</v>
      </c>
      <c r="C403" s="9">
        <v>46113</v>
      </c>
      <c r="D403">
        <v>22</v>
      </c>
      <c r="E403" s="16" t="s">
        <v>110</v>
      </c>
      <c r="F403" s="16" t="s">
        <v>90</v>
      </c>
      <c r="G403" s="22">
        <v>77.5</v>
      </c>
      <c r="H403" s="18">
        <v>306.625</v>
      </c>
      <c r="I403" s="18">
        <v>3.956451613</v>
      </c>
      <c r="J403" s="18">
        <v>3.99</v>
      </c>
      <c r="K403" s="18">
        <v>3.91</v>
      </c>
      <c r="L403" s="22">
        <v>2</v>
      </c>
    </row>
    <row r="404" spans="1:12">
      <c r="A404">
        <v>1</v>
      </c>
      <c r="B404" s="16" t="s">
        <v>37</v>
      </c>
      <c r="C404" s="9">
        <v>46143</v>
      </c>
      <c r="D404">
        <v>22</v>
      </c>
      <c r="E404" s="16" t="s">
        <v>110</v>
      </c>
      <c r="F404" s="16" t="s">
        <v>90</v>
      </c>
      <c r="G404" s="22">
        <v>65</v>
      </c>
      <c r="H404" s="18">
        <v>256.55</v>
      </c>
      <c r="I404" s="18">
        <v>3.9469230770000001</v>
      </c>
      <c r="J404" s="18">
        <v>3.97</v>
      </c>
      <c r="K404" s="18">
        <v>3.93</v>
      </c>
      <c r="L404" s="22">
        <v>2</v>
      </c>
    </row>
    <row r="405" spans="1:12">
      <c r="A405">
        <v>1</v>
      </c>
      <c r="B405" s="16" t="s">
        <v>37</v>
      </c>
      <c r="C405" s="9">
        <v>46174</v>
      </c>
      <c r="D405">
        <v>22</v>
      </c>
      <c r="E405" s="16" t="s">
        <v>110</v>
      </c>
      <c r="F405" s="16" t="s">
        <v>90</v>
      </c>
      <c r="G405" s="22">
        <v>85</v>
      </c>
      <c r="H405" s="18">
        <v>334.375</v>
      </c>
      <c r="I405" s="18">
        <v>3.9338235290000001</v>
      </c>
      <c r="J405" s="18">
        <v>4.0199999999999996</v>
      </c>
      <c r="K405" s="18">
        <v>3.86</v>
      </c>
      <c r="L405" s="22">
        <v>3</v>
      </c>
    </row>
    <row r="406" spans="1:12">
      <c r="A406">
        <v>1</v>
      </c>
      <c r="B406" s="16" t="s">
        <v>37</v>
      </c>
      <c r="C406" s="9">
        <v>46204</v>
      </c>
      <c r="D406">
        <v>22</v>
      </c>
      <c r="E406" s="16" t="s">
        <v>110</v>
      </c>
      <c r="F406" s="16" t="s">
        <v>90</v>
      </c>
      <c r="G406" s="22">
        <v>50</v>
      </c>
      <c r="H406" s="18">
        <v>199.25</v>
      </c>
      <c r="I406" s="18">
        <v>3.9849999999999999</v>
      </c>
      <c r="J406" s="18">
        <v>4.01</v>
      </c>
      <c r="K406" s="18">
        <v>3.96</v>
      </c>
      <c r="L406" s="22">
        <v>2</v>
      </c>
    </row>
    <row r="407" spans="1:12">
      <c r="A407">
        <v>1</v>
      </c>
      <c r="B407" s="16" t="s">
        <v>37</v>
      </c>
      <c r="C407" s="9">
        <v>46235</v>
      </c>
      <c r="D407">
        <v>22</v>
      </c>
      <c r="E407" s="16" t="s">
        <v>110</v>
      </c>
      <c r="F407" s="16" t="s">
        <v>90</v>
      </c>
      <c r="G407" s="22">
        <v>65</v>
      </c>
      <c r="H407" s="18">
        <v>255.9</v>
      </c>
      <c r="I407" s="18">
        <v>3.9369230769999999</v>
      </c>
      <c r="J407" s="18">
        <v>3.96</v>
      </c>
      <c r="K407" s="18">
        <v>3.91</v>
      </c>
      <c r="L407" s="22">
        <v>2</v>
      </c>
    </row>
    <row r="408" spans="1:12">
      <c r="A408">
        <v>1</v>
      </c>
      <c r="B408" s="16" t="s">
        <v>37</v>
      </c>
      <c r="C408" s="9">
        <v>46266</v>
      </c>
      <c r="D408">
        <v>22</v>
      </c>
      <c r="E408" s="16" t="s">
        <v>110</v>
      </c>
      <c r="F408" s="16" t="s">
        <v>90</v>
      </c>
      <c r="G408" s="22">
        <v>67.5</v>
      </c>
      <c r="H408" s="18">
        <v>269.77499999999998</v>
      </c>
      <c r="I408" s="18">
        <v>3.996666667</v>
      </c>
      <c r="J408" s="18">
        <v>4.03</v>
      </c>
      <c r="K408" s="18">
        <v>3.97</v>
      </c>
      <c r="L408" s="22">
        <v>2</v>
      </c>
    </row>
    <row r="409" spans="1:12">
      <c r="A409">
        <v>1</v>
      </c>
      <c r="B409" s="16" t="s">
        <v>37</v>
      </c>
      <c r="C409" s="9">
        <v>45689</v>
      </c>
      <c r="D409">
        <v>23</v>
      </c>
      <c r="E409" s="16" t="s">
        <v>111</v>
      </c>
      <c r="F409" s="16" t="s">
        <v>92</v>
      </c>
      <c r="G409" s="22">
        <v>58</v>
      </c>
      <c r="H409" s="18">
        <v>281.39999999999998</v>
      </c>
      <c r="I409" s="18">
        <v>4.8517241379999998</v>
      </c>
      <c r="J409" s="18">
        <v>4.9400000000000004</v>
      </c>
      <c r="K409" s="18">
        <v>4.8</v>
      </c>
      <c r="L409" s="22">
        <v>8</v>
      </c>
    </row>
    <row r="410" spans="1:12">
      <c r="A410">
        <v>1</v>
      </c>
      <c r="B410" s="16" t="s">
        <v>37</v>
      </c>
      <c r="C410" s="9">
        <v>45717</v>
      </c>
      <c r="D410">
        <v>23</v>
      </c>
      <c r="E410" s="16" t="s">
        <v>111</v>
      </c>
      <c r="F410" s="16" t="s">
        <v>92</v>
      </c>
      <c r="G410" s="22">
        <v>62</v>
      </c>
      <c r="H410" s="18">
        <v>278.86</v>
      </c>
      <c r="I410" s="18">
        <v>4.4977419349999996</v>
      </c>
      <c r="J410" s="18">
        <v>4.58</v>
      </c>
      <c r="K410" s="18">
        <v>4.43</v>
      </c>
      <c r="L410" s="22">
        <v>9</v>
      </c>
    </row>
    <row r="411" spans="1:12">
      <c r="A411">
        <v>1</v>
      </c>
      <c r="B411" s="16" t="s">
        <v>37</v>
      </c>
      <c r="C411" s="9">
        <v>45748</v>
      </c>
      <c r="D411">
        <v>23</v>
      </c>
      <c r="E411" s="16" t="s">
        <v>111</v>
      </c>
      <c r="F411" s="16" t="s">
        <v>92</v>
      </c>
      <c r="G411" s="22">
        <v>60</v>
      </c>
      <c r="H411" s="18">
        <v>239.54</v>
      </c>
      <c r="I411" s="18">
        <v>3.9923333329999999</v>
      </c>
      <c r="J411" s="18">
        <v>4.09</v>
      </c>
      <c r="K411" s="18">
        <v>3.94</v>
      </c>
      <c r="L411" s="22">
        <v>8</v>
      </c>
    </row>
    <row r="412" spans="1:12">
      <c r="A412">
        <v>1</v>
      </c>
      <c r="B412" s="16" t="s">
        <v>37</v>
      </c>
      <c r="C412" s="9">
        <v>45778</v>
      </c>
      <c r="D412">
        <v>23</v>
      </c>
      <c r="E412" s="16" t="s">
        <v>111</v>
      </c>
      <c r="F412" s="16" t="s">
        <v>92</v>
      </c>
      <c r="G412" s="22">
        <v>92</v>
      </c>
      <c r="H412" s="18">
        <v>323.68</v>
      </c>
      <c r="I412" s="18">
        <v>3.5182608700000002</v>
      </c>
      <c r="J412" s="18">
        <v>3.58</v>
      </c>
      <c r="K412" s="18">
        <v>3.48</v>
      </c>
      <c r="L412" s="22">
        <v>9</v>
      </c>
    </row>
    <row r="413" spans="1:12">
      <c r="A413">
        <v>1</v>
      </c>
      <c r="B413" s="16" t="s">
        <v>37</v>
      </c>
      <c r="C413" s="9">
        <v>45809</v>
      </c>
      <c r="D413">
        <v>23</v>
      </c>
      <c r="E413" s="16" t="s">
        <v>111</v>
      </c>
      <c r="F413" s="16" t="s">
        <v>92</v>
      </c>
      <c r="G413" s="22">
        <v>76</v>
      </c>
      <c r="H413" s="18">
        <v>238.82</v>
      </c>
      <c r="I413" s="18">
        <v>3.142368421</v>
      </c>
      <c r="J413" s="18">
        <v>3.19</v>
      </c>
      <c r="K413" s="18">
        <v>3.09</v>
      </c>
      <c r="L413" s="22">
        <v>9</v>
      </c>
    </row>
    <row r="414" spans="1:12">
      <c r="A414">
        <v>1</v>
      </c>
      <c r="B414" s="16" t="s">
        <v>37</v>
      </c>
      <c r="C414" s="9">
        <v>45839</v>
      </c>
      <c r="D414">
        <v>23</v>
      </c>
      <c r="E414" s="16" t="s">
        <v>111</v>
      </c>
      <c r="F414" s="16" t="s">
        <v>92</v>
      </c>
      <c r="G414" s="22">
        <v>78</v>
      </c>
      <c r="H414" s="18">
        <v>237.54</v>
      </c>
      <c r="I414" s="18">
        <v>3.0453846150000001</v>
      </c>
      <c r="J414" s="18">
        <v>3.08</v>
      </c>
      <c r="K414" s="18">
        <v>3.01</v>
      </c>
      <c r="L414" s="22">
        <v>9</v>
      </c>
    </row>
    <row r="415" spans="1:12">
      <c r="A415">
        <v>1</v>
      </c>
      <c r="B415" s="16" t="s">
        <v>37</v>
      </c>
      <c r="C415" s="9">
        <v>45870</v>
      </c>
      <c r="D415">
        <v>23</v>
      </c>
      <c r="E415" s="16" t="s">
        <v>111</v>
      </c>
      <c r="F415" s="16" t="s">
        <v>92</v>
      </c>
      <c r="G415" s="22">
        <v>52</v>
      </c>
      <c r="H415" s="18">
        <v>168</v>
      </c>
      <c r="I415" s="18">
        <v>3.230769231</v>
      </c>
      <c r="J415" s="18">
        <v>3.3</v>
      </c>
      <c r="K415" s="18">
        <v>3.19</v>
      </c>
      <c r="L415" s="22">
        <v>8</v>
      </c>
    </row>
    <row r="416" spans="1:12">
      <c r="A416">
        <v>1</v>
      </c>
      <c r="B416" s="16" t="s">
        <v>37</v>
      </c>
      <c r="C416" s="9">
        <v>45901</v>
      </c>
      <c r="D416">
        <v>23</v>
      </c>
      <c r="E416" s="16" t="s">
        <v>111</v>
      </c>
      <c r="F416" s="16" t="s">
        <v>92</v>
      </c>
      <c r="G416" s="22">
        <v>80</v>
      </c>
      <c r="H416" s="18">
        <v>290.44</v>
      </c>
      <c r="I416" s="18">
        <v>3.6305000000000001</v>
      </c>
      <c r="J416" s="18">
        <v>3.69</v>
      </c>
      <c r="K416" s="18">
        <v>3.58</v>
      </c>
      <c r="L416" s="22">
        <v>9</v>
      </c>
    </row>
    <row r="417" spans="1:12">
      <c r="A417">
        <v>1</v>
      </c>
      <c r="B417" s="16" t="s">
        <v>37</v>
      </c>
      <c r="C417" s="9">
        <v>45931</v>
      </c>
      <c r="D417">
        <v>23</v>
      </c>
      <c r="E417" s="16" t="s">
        <v>111</v>
      </c>
      <c r="F417" s="16" t="s">
        <v>92</v>
      </c>
      <c r="G417" s="22">
        <v>90</v>
      </c>
      <c r="H417" s="18">
        <v>366.44</v>
      </c>
      <c r="I417" s="18">
        <v>4.0715555559999999</v>
      </c>
      <c r="J417" s="18">
        <v>4.13</v>
      </c>
      <c r="K417" s="18">
        <v>3.99</v>
      </c>
      <c r="L417" s="22">
        <v>9</v>
      </c>
    </row>
    <row r="418" spans="1:12">
      <c r="A418">
        <v>1</v>
      </c>
      <c r="B418" s="16" t="s">
        <v>37</v>
      </c>
      <c r="C418" s="9">
        <v>45962</v>
      </c>
      <c r="D418">
        <v>23</v>
      </c>
      <c r="E418" s="16" t="s">
        <v>111</v>
      </c>
      <c r="F418" s="16" t="s">
        <v>92</v>
      </c>
      <c r="G418" s="22">
        <v>74</v>
      </c>
      <c r="H418" s="18">
        <v>340.02</v>
      </c>
      <c r="I418" s="18">
        <v>4.5948648649999999</v>
      </c>
      <c r="J418" s="18">
        <v>4.66</v>
      </c>
      <c r="K418" s="18">
        <v>4.51</v>
      </c>
      <c r="L418" s="22">
        <v>8</v>
      </c>
    </row>
    <row r="419" spans="1:12">
      <c r="A419">
        <v>1</v>
      </c>
      <c r="B419" s="16" t="s">
        <v>37</v>
      </c>
      <c r="C419" s="9">
        <v>45992</v>
      </c>
      <c r="D419">
        <v>23</v>
      </c>
      <c r="E419" s="16" t="s">
        <v>111</v>
      </c>
      <c r="F419" s="16" t="s">
        <v>92</v>
      </c>
      <c r="G419" s="22">
        <v>102</v>
      </c>
      <c r="H419" s="18">
        <v>511.68</v>
      </c>
      <c r="I419" s="18">
        <v>5.0164705879999998</v>
      </c>
      <c r="J419" s="18">
        <v>5.1100000000000003</v>
      </c>
      <c r="K419" s="18">
        <v>4.92</v>
      </c>
      <c r="L419" s="22">
        <v>9</v>
      </c>
    </row>
    <row r="420" spans="1:12">
      <c r="A420">
        <v>1</v>
      </c>
      <c r="B420" s="16" t="s">
        <v>37</v>
      </c>
      <c r="C420" s="9">
        <v>46023</v>
      </c>
      <c r="D420">
        <v>23</v>
      </c>
      <c r="E420" s="16" t="s">
        <v>111</v>
      </c>
      <c r="F420" s="16" t="s">
        <v>92</v>
      </c>
      <c r="G420" s="22">
        <v>86</v>
      </c>
      <c r="H420" s="18">
        <v>438.22</v>
      </c>
      <c r="I420" s="18">
        <v>5.095581395</v>
      </c>
      <c r="J420" s="18">
        <v>5.23</v>
      </c>
      <c r="K420" s="18">
        <v>4.9800000000000004</v>
      </c>
      <c r="L420" s="22">
        <v>9</v>
      </c>
    </row>
    <row r="421" spans="1:12">
      <c r="A421">
        <v>1</v>
      </c>
      <c r="B421" s="16" t="s">
        <v>37</v>
      </c>
      <c r="C421" s="9">
        <v>46054</v>
      </c>
      <c r="D421">
        <v>23</v>
      </c>
      <c r="E421" s="16" t="s">
        <v>111</v>
      </c>
      <c r="F421" s="16" t="s">
        <v>92</v>
      </c>
      <c r="G421" s="22">
        <v>82</v>
      </c>
      <c r="H421" s="18">
        <v>404.28</v>
      </c>
      <c r="I421" s="18">
        <v>4.930243902</v>
      </c>
      <c r="J421" s="18">
        <v>5.01</v>
      </c>
      <c r="K421" s="18">
        <v>4.87</v>
      </c>
      <c r="L421" s="22">
        <v>8</v>
      </c>
    </row>
    <row r="422" spans="1:12">
      <c r="A422">
        <v>1</v>
      </c>
      <c r="B422" s="16" t="s">
        <v>37</v>
      </c>
      <c r="C422" s="9">
        <v>46082</v>
      </c>
      <c r="D422">
        <v>23</v>
      </c>
      <c r="E422" s="16" t="s">
        <v>111</v>
      </c>
      <c r="F422" s="16" t="s">
        <v>92</v>
      </c>
      <c r="G422" s="22">
        <v>80</v>
      </c>
      <c r="H422" s="18">
        <v>366.38</v>
      </c>
      <c r="I422" s="18">
        <v>4.5797499999999998</v>
      </c>
      <c r="J422" s="18">
        <v>4.66</v>
      </c>
      <c r="K422" s="18">
        <v>4.51</v>
      </c>
      <c r="L422" s="22">
        <v>9</v>
      </c>
    </row>
    <row r="423" spans="1:12">
      <c r="A423">
        <v>1</v>
      </c>
      <c r="B423" s="16" t="s">
        <v>37</v>
      </c>
      <c r="C423" s="9">
        <v>46113</v>
      </c>
      <c r="D423">
        <v>23</v>
      </c>
      <c r="E423" s="16" t="s">
        <v>111</v>
      </c>
      <c r="F423" s="16" t="s">
        <v>92</v>
      </c>
      <c r="G423" s="22">
        <v>108</v>
      </c>
      <c r="H423" s="18">
        <v>438.72</v>
      </c>
      <c r="I423" s="18">
        <v>4.0622222219999999</v>
      </c>
      <c r="J423" s="18">
        <v>4.1399999999999997</v>
      </c>
      <c r="K423" s="18">
        <v>3.96</v>
      </c>
      <c r="L423" s="22">
        <v>9</v>
      </c>
    </row>
    <row r="424" spans="1:12">
      <c r="A424">
        <v>1</v>
      </c>
      <c r="B424" s="16" t="s">
        <v>37</v>
      </c>
      <c r="C424" s="9">
        <v>46143</v>
      </c>
      <c r="D424">
        <v>23</v>
      </c>
      <c r="E424" s="16" t="s">
        <v>111</v>
      </c>
      <c r="F424" s="16" t="s">
        <v>92</v>
      </c>
      <c r="G424" s="22">
        <v>90</v>
      </c>
      <c r="H424" s="18">
        <v>318.5</v>
      </c>
      <c r="I424" s="18">
        <v>3.5388888889999999</v>
      </c>
      <c r="J424" s="18">
        <v>3.59</v>
      </c>
      <c r="K424" s="18">
        <v>3.48</v>
      </c>
      <c r="L424" s="22">
        <v>8</v>
      </c>
    </row>
    <row r="425" spans="1:12">
      <c r="A425">
        <v>1</v>
      </c>
      <c r="B425" s="16" t="s">
        <v>37</v>
      </c>
      <c r="C425" s="9">
        <v>46174</v>
      </c>
      <c r="D425">
        <v>23</v>
      </c>
      <c r="E425" s="16" t="s">
        <v>111</v>
      </c>
      <c r="F425" s="16" t="s">
        <v>92</v>
      </c>
      <c r="G425" s="22">
        <v>90</v>
      </c>
      <c r="H425" s="18">
        <v>283.77999999999997</v>
      </c>
      <c r="I425" s="18">
        <v>3.1531111109999999</v>
      </c>
      <c r="J425" s="18">
        <v>3.24</v>
      </c>
      <c r="K425" s="18">
        <v>3.08</v>
      </c>
      <c r="L425" s="22">
        <v>9</v>
      </c>
    </row>
    <row r="426" spans="1:12">
      <c r="A426">
        <v>1</v>
      </c>
      <c r="B426" s="16" t="s">
        <v>37</v>
      </c>
      <c r="C426" s="9">
        <v>46204</v>
      </c>
      <c r="D426">
        <v>23</v>
      </c>
      <c r="E426" s="16" t="s">
        <v>111</v>
      </c>
      <c r="F426" s="16" t="s">
        <v>92</v>
      </c>
      <c r="G426" s="22">
        <v>98</v>
      </c>
      <c r="H426" s="18">
        <v>297.92</v>
      </c>
      <c r="I426" s="18">
        <v>3.04</v>
      </c>
      <c r="J426" s="18">
        <v>3.08</v>
      </c>
      <c r="K426" s="18">
        <v>2.99</v>
      </c>
      <c r="L426" s="22">
        <v>9</v>
      </c>
    </row>
    <row r="427" spans="1:12">
      <c r="A427">
        <v>1</v>
      </c>
      <c r="B427" s="16" t="s">
        <v>37</v>
      </c>
      <c r="C427" s="9">
        <v>46235</v>
      </c>
      <c r="D427">
        <v>23</v>
      </c>
      <c r="E427" s="16" t="s">
        <v>111</v>
      </c>
      <c r="F427" s="16" t="s">
        <v>92</v>
      </c>
      <c r="G427" s="22">
        <v>96</v>
      </c>
      <c r="H427" s="18">
        <v>306.5</v>
      </c>
      <c r="I427" s="18">
        <v>3.1927083330000001</v>
      </c>
      <c r="J427" s="18">
        <v>3.22</v>
      </c>
      <c r="K427" s="18">
        <v>3.15</v>
      </c>
      <c r="L427" s="22">
        <v>9</v>
      </c>
    </row>
    <row r="428" spans="1:12">
      <c r="A428">
        <v>1</v>
      </c>
      <c r="B428" s="16" t="s">
        <v>37</v>
      </c>
      <c r="C428" s="9">
        <v>46266</v>
      </c>
      <c r="D428">
        <v>23</v>
      </c>
      <c r="E428" s="16" t="s">
        <v>111</v>
      </c>
      <c r="F428" s="16" t="s">
        <v>92</v>
      </c>
      <c r="G428" s="22">
        <v>104</v>
      </c>
      <c r="H428" s="18">
        <v>368.22</v>
      </c>
      <c r="I428" s="18">
        <v>3.5405769230000002</v>
      </c>
      <c r="J428" s="18">
        <v>3.61</v>
      </c>
      <c r="K428" s="18">
        <v>3.5</v>
      </c>
      <c r="L428" s="22">
        <v>8</v>
      </c>
    </row>
    <row r="429" spans="1:12">
      <c r="A429">
        <v>1</v>
      </c>
      <c r="B429" s="16" t="s">
        <v>37</v>
      </c>
      <c r="C429" s="9">
        <v>45689</v>
      </c>
      <c r="D429">
        <v>24</v>
      </c>
      <c r="E429" s="16" t="s">
        <v>112</v>
      </c>
      <c r="F429" s="16" t="s">
        <v>83</v>
      </c>
      <c r="G429" s="22">
        <v>31.5</v>
      </c>
      <c r="H429" s="18">
        <v>281.745</v>
      </c>
      <c r="I429" s="18">
        <v>8.9442857139999994</v>
      </c>
      <c r="J429" s="18">
        <v>9.08</v>
      </c>
      <c r="K429" s="18">
        <v>8.68</v>
      </c>
      <c r="L429" s="22">
        <v>12</v>
      </c>
    </row>
    <row r="430" spans="1:12">
      <c r="A430">
        <v>1</v>
      </c>
      <c r="B430" s="16" t="s">
        <v>37</v>
      </c>
      <c r="C430" s="9">
        <v>45717</v>
      </c>
      <c r="D430">
        <v>24</v>
      </c>
      <c r="E430" s="16" t="s">
        <v>112</v>
      </c>
      <c r="F430" s="16" t="s">
        <v>83</v>
      </c>
      <c r="G430" s="22">
        <v>31.5</v>
      </c>
      <c r="H430" s="18">
        <v>281.51</v>
      </c>
      <c r="I430" s="18">
        <v>8.9368253969999998</v>
      </c>
      <c r="J430" s="18">
        <v>9.14</v>
      </c>
      <c r="K430" s="18">
        <v>8.84</v>
      </c>
      <c r="L430" s="22">
        <v>13</v>
      </c>
    </row>
    <row r="431" spans="1:12">
      <c r="A431">
        <v>1</v>
      </c>
      <c r="B431" s="16" t="s">
        <v>37</v>
      </c>
      <c r="C431" s="9">
        <v>45748</v>
      </c>
      <c r="D431">
        <v>24</v>
      </c>
      <c r="E431" s="16" t="s">
        <v>112</v>
      </c>
      <c r="F431" s="16" t="s">
        <v>83</v>
      </c>
      <c r="G431" s="22">
        <v>33</v>
      </c>
      <c r="H431" s="18">
        <v>299.11500000000001</v>
      </c>
      <c r="I431" s="18">
        <v>9.0640909090000008</v>
      </c>
      <c r="J431" s="18">
        <v>9.32</v>
      </c>
      <c r="K431" s="18">
        <v>8.94</v>
      </c>
      <c r="L431" s="22">
        <v>13</v>
      </c>
    </row>
    <row r="432" spans="1:12">
      <c r="A432">
        <v>1</v>
      </c>
      <c r="B432" s="16" t="s">
        <v>37</v>
      </c>
      <c r="C432" s="9">
        <v>45778</v>
      </c>
      <c r="D432">
        <v>24</v>
      </c>
      <c r="E432" s="16" t="s">
        <v>112</v>
      </c>
      <c r="F432" s="16" t="s">
        <v>83</v>
      </c>
      <c r="G432" s="22">
        <v>39</v>
      </c>
      <c r="H432" s="18">
        <v>353.9</v>
      </c>
      <c r="I432" s="18">
        <v>9.0743589740000008</v>
      </c>
      <c r="J432" s="18">
        <v>9.16</v>
      </c>
      <c r="K432" s="18">
        <v>8.9</v>
      </c>
      <c r="L432" s="22">
        <v>13</v>
      </c>
    </row>
    <row r="433" spans="1:12">
      <c r="A433">
        <v>1</v>
      </c>
      <c r="B433" s="16" t="s">
        <v>37</v>
      </c>
      <c r="C433" s="9">
        <v>45809</v>
      </c>
      <c r="D433">
        <v>24</v>
      </c>
      <c r="E433" s="16" t="s">
        <v>112</v>
      </c>
      <c r="F433" s="16" t="s">
        <v>83</v>
      </c>
      <c r="G433" s="22">
        <v>33</v>
      </c>
      <c r="H433" s="18">
        <v>299.21499999999997</v>
      </c>
      <c r="I433" s="18">
        <v>9.067121212</v>
      </c>
      <c r="J433" s="18">
        <v>9.24</v>
      </c>
      <c r="K433" s="18">
        <v>8.89</v>
      </c>
      <c r="L433" s="22">
        <v>13</v>
      </c>
    </row>
    <row r="434" spans="1:12">
      <c r="A434">
        <v>1</v>
      </c>
      <c r="B434" s="16" t="s">
        <v>37</v>
      </c>
      <c r="C434" s="9">
        <v>45839</v>
      </c>
      <c r="D434">
        <v>24</v>
      </c>
      <c r="E434" s="16" t="s">
        <v>112</v>
      </c>
      <c r="F434" s="16" t="s">
        <v>83</v>
      </c>
      <c r="G434" s="22">
        <v>28</v>
      </c>
      <c r="H434" s="18">
        <v>254.71</v>
      </c>
      <c r="I434" s="18">
        <v>9.0967857139999992</v>
      </c>
      <c r="J434" s="18">
        <v>9.31</v>
      </c>
      <c r="K434" s="18">
        <v>8.84</v>
      </c>
      <c r="L434" s="22">
        <v>13</v>
      </c>
    </row>
    <row r="435" spans="1:12">
      <c r="A435">
        <v>1</v>
      </c>
      <c r="B435" s="16" t="s">
        <v>37</v>
      </c>
      <c r="C435" s="9">
        <v>45870</v>
      </c>
      <c r="D435">
        <v>24</v>
      </c>
      <c r="E435" s="16" t="s">
        <v>112</v>
      </c>
      <c r="F435" s="16" t="s">
        <v>83</v>
      </c>
      <c r="G435" s="22">
        <v>27</v>
      </c>
      <c r="H435" s="18">
        <v>247.55500000000001</v>
      </c>
      <c r="I435" s="18">
        <v>9.1687037040000003</v>
      </c>
      <c r="J435" s="18">
        <v>9.3699999999999992</v>
      </c>
      <c r="K435" s="18">
        <v>9</v>
      </c>
      <c r="L435" s="22">
        <v>13</v>
      </c>
    </row>
    <row r="436" spans="1:12">
      <c r="A436">
        <v>1</v>
      </c>
      <c r="B436" s="16" t="s">
        <v>37</v>
      </c>
      <c r="C436" s="9">
        <v>45901</v>
      </c>
      <c r="D436">
        <v>24</v>
      </c>
      <c r="E436" s="16" t="s">
        <v>112</v>
      </c>
      <c r="F436" s="16" t="s">
        <v>83</v>
      </c>
      <c r="G436" s="22">
        <v>34.5</v>
      </c>
      <c r="H436" s="18">
        <v>315.435</v>
      </c>
      <c r="I436" s="18">
        <v>9.1430434779999992</v>
      </c>
      <c r="J436" s="18">
        <v>9.36</v>
      </c>
      <c r="K436" s="18">
        <v>8.9700000000000006</v>
      </c>
      <c r="L436" s="22">
        <v>13</v>
      </c>
    </row>
    <row r="437" spans="1:12">
      <c r="A437">
        <v>1</v>
      </c>
      <c r="B437" s="16" t="s">
        <v>37</v>
      </c>
      <c r="C437" s="9">
        <v>45931</v>
      </c>
      <c r="D437">
        <v>24</v>
      </c>
      <c r="E437" s="16" t="s">
        <v>112</v>
      </c>
      <c r="F437" s="16" t="s">
        <v>83</v>
      </c>
      <c r="G437" s="22">
        <v>39.5</v>
      </c>
      <c r="H437" s="18">
        <v>367.09500000000003</v>
      </c>
      <c r="I437" s="18">
        <v>9.2935443039999992</v>
      </c>
      <c r="J437" s="18">
        <v>9.76</v>
      </c>
      <c r="K437" s="18">
        <v>9.09</v>
      </c>
      <c r="L437" s="22">
        <v>14</v>
      </c>
    </row>
    <row r="438" spans="1:12">
      <c r="A438">
        <v>1</v>
      </c>
      <c r="B438" s="16" t="s">
        <v>37</v>
      </c>
      <c r="C438" s="9">
        <v>45962</v>
      </c>
      <c r="D438">
        <v>24</v>
      </c>
      <c r="E438" s="16" t="s">
        <v>112</v>
      </c>
      <c r="F438" s="16" t="s">
        <v>83</v>
      </c>
      <c r="G438" s="22">
        <v>34.5</v>
      </c>
      <c r="H438" s="18">
        <v>320.91000000000003</v>
      </c>
      <c r="I438" s="18">
        <v>9.3017391299999996</v>
      </c>
      <c r="J438" s="18">
        <v>9.57</v>
      </c>
      <c r="K438" s="18">
        <v>9.14</v>
      </c>
      <c r="L438" s="22">
        <v>12</v>
      </c>
    </row>
    <row r="439" spans="1:12">
      <c r="A439">
        <v>1</v>
      </c>
      <c r="B439" s="16" t="s">
        <v>37</v>
      </c>
      <c r="C439" s="9">
        <v>45992</v>
      </c>
      <c r="D439">
        <v>24</v>
      </c>
      <c r="E439" s="16" t="s">
        <v>112</v>
      </c>
      <c r="F439" s="16" t="s">
        <v>83</v>
      </c>
      <c r="G439" s="22">
        <v>50.5</v>
      </c>
      <c r="H439" s="18">
        <v>472.2</v>
      </c>
      <c r="I439" s="18">
        <v>9.3504950499999993</v>
      </c>
      <c r="J439" s="18">
        <v>9.65</v>
      </c>
      <c r="K439" s="18">
        <v>9.16</v>
      </c>
      <c r="L439" s="22">
        <v>14</v>
      </c>
    </row>
    <row r="440" spans="1:12">
      <c r="A440">
        <v>1</v>
      </c>
      <c r="B440" s="16" t="s">
        <v>37</v>
      </c>
      <c r="C440" s="9">
        <v>46023</v>
      </c>
      <c r="D440">
        <v>24</v>
      </c>
      <c r="E440" s="16" t="s">
        <v>112</v>
      </c>
      <c r="F440" s="16" t="s">
        <v>83</v>
      </c>
      <c r="G440" s="22">
        <v>37</v>
      </c>
      <c r="H440" s="18">
        <v>343.61500000000001</v>
      </c>
      <c r="I440" s="18">
        <v>9.2868918919999999</v>
      </c>
      <c r="J440" s="18">
        <v>9.5399999999999991</v>
      </c>
      <c r="K440" s="18">
        <v>9.11</v>
      </c>
      <c r="L440" s="22">
        <v>13</v>
      </c>
    </row>
    <row r="441" spans="1:12">
      <c r="A441">
        <v>1</v>
      </c>
      <c r="B441" s="16" t="s">
        <v>37</v>
      </c>
      <c r="C441" s="9">
        <v>46054</v>
      </c>
      <c r="D441">
        <v>24</v>
      </c>
      <c r="E441" s="16" t="s">
        <v>112</v>
      </c>
      <c r="F441" s="16" t="s">
        <v>83</v>
      </c>
      <c r="G441" s="22">
        <v>29.5</v>
      </c>
      <c r="H441" s="18">
        <v>273.15499999999997</v>
      </c>
      <c r="I441" s="18">
        <v>9.2594915249999996</v>
      </c>
      <c r="J441" s="18">
        <v>9.41</v>
      </c>
      <c r="K441" s="18">
        <v>9</v>
      </c>
      <c r="L441" s="22">
        <v>12</v>
      </c>
    </row>
    <row r="442" spans="1:12">
      <c r="A442">
        <v>1</v>
      </c>
      <c r="B442" s="16" t="s">
        <v>37</v>
      </c>
      <c r="C442" s="9">
        <v>46082</v>
      </c>
      <c r="D442">
        <v>24</v>
      </c>
      <c r="E442" s="16" t="s">
        <v>112</v>
      </c>
      <c r="F442" s="16" t="s">
        <v>83</v>
      </c>
      <c r="G442" s="22">
        <v>38.5</v>
      </c>
      <c r="H442" s="18">
        <v>356.55500000000001</v>
      </c>
      <c r="I442" s="18">
        <v>9.2611688310000009</v>
      </c>
      <c r="J442" s="18">
        <v>9.48</v>
      </c>
      <c r="K442" s="18">
        <v>9.02</v>
      </c>
      <c r="L442" s="22">
        <v>13</v>
      </c>
    </row>
    <row r="443" spans="1:12">
      <c r="A443">
        <v>1</v>
      </c>
      <c r="B443" s="16" t="s">
        <v>37</v>
      </c>
      <c r="C443" s="9">
        <v>46113</v>
      </c>
      <c r="D443">
        <v>24</v>
      </c>
      <c r="E443" s="16" t="s">
        <v>112</v>
      </c>
      <c r="F443" s="16" t="s">
        <v>83</v>
      </c>
      <c r="G443" s="22">
        <v>33.5</v>
      </c>
      <c r="H443" s="18">
        <v>313.89999999999998</v>
      </c>
      <c r="I443" s="18">
        <v>9.3701492539999993</v>
      </c>
      <c r="J443" s="18">
        <v>9.58</v>
      </c>
      <c r="K443" s="18">
        <v>9.16</v>
      </c>
      <c r="L443" s="22">
        <v>13</v>
      </c>
    </row>
    <row r="444" spans="1:12">
      <c r="A444">
        <v>1</v>
      </c>
      <c r="B444" s="16" t="s">
        <v>37</v>
      </c>
      <c r="C444" s="9">
        <v>46143</v>
      </c>
      <c r="D444">
        <v>24</v>
      </c>
      <c r="E444" s="16" t="s">
        <v>112</v>
      </c>
      <c r="F444" s="16" t="s">
        <v>83</v>
      </c>
      <c r="G444" s="22">
        <v>33.5</v>
      </c>
      <c r="H444" s="18">
        <v>314.73500000000001</v>
      </c>
      <c r="I444" s="18">
        <v>9.3950746269999996</v>
      </c>
      <c r="J444" s="18">
        <v>9.48</v>
      </c>
      <c r="K444" s="18">
        <v>9.2100000000000009</v>
      </c>
      <c r="L444" s="22">
        <v>13</v>
      </c>
    </row>
    <row r="445" spans="1:12">
      <c r="A445">
        <v>1</v>
      </c>
      <c r="B445" s="16" t="s">
        <v>37</v>
      </c>
      <c r="C445" s="9">
        <v>46174</v>
      </c>
      <c r="D445">
        <v>24</v>
      </c>
      <c r="E445" s="16" t="s">
        <v>112</v>
      </c>
      <c r="F445" s="16" t="s">
        <v>83</v>
      </c>
      <c r="G445" s="22">
        <v>26.5</v>
      </c>
      <c r="H445" s="18">
        <v>250.43</v>
      </c>
      <c r="I445" s="18">
        <v>9.450188679</v>
      </c>
      <c r="J445" s="18">
        <v>9.61</v>
      </c>
      <c r="K445" s="18">
        <v>9.1999999999999993</v>
      </c>
      <c r="L445" s="22">
        <v>13</v>
      </c>
    </row>
    <row r="446" spans="1:12">
      <c r="A446">
        <v>1</v>
      </c>
      <c r="B446" s="16" t="s">
        <v>37</v>
      </c>
      <c r="C446" s="9">
        <v>46204</v>
      </c>
      <c r="D446">
        <v>24</v>
      </c>
      <c r="E446" s="16" t="s">
        <v>112</v>
      </c>
      <c r="F446" s="16" t="s">
        <v>83</v>
      </c>
      <c r="G446" s="22">
        <v>39.5</v>
      </c>
      <c r="H446" s="18">
        <v>372.2</v>
      </c>
      <c r="I446" s="18">
        <v>9.4227848099999996</v>
      </c>
      <c r="J446" s="18">
        <v>9.65</v>
      </c>
      <c r="K446" s="18">
        <v>9.23</v>
      </c>
      <c r="L446" s="22">
        <v>14</v>
      </c>
    </row>
    <row r="447" spans="1:12">
      <c r="A447">
        <v>1</v>
      </c>
      <c r="B447" s="16" t="s">
        <v>37</v>
      </c>
      <c r="C447" s="9">
        <v>46235</v>
      </c>
      <c r="D447">
        <v>24</v>
      </c>
      <c r="E447" s="16" t="s">
        <v>112</v>
      </c>
      <c r="F447" s="16" t="s">
        <v>83</v>
      </c>
      <c r="G447" s="22">
        <v>26.5</v>
      </c>
      <c r="H447" s="18">
        <v>251.29499999999999</v>
      </c>
      <c r="I447" s="18">
        <v>9.4828301889999995</v>
      </c>
      <c r="J447" s="18">
        <v>9.7100000000000009</v>
      </c>
      <c r="K447" s="18">
        <v>9.1999999999999993</v>
      </c>
      <c r="L447" s="22">
        <v>13</v>
      </c>
    </row>
    <row r="448" spans="1:12">
      <c r="A448">
        <v>1</v>
      </c>
      <c r="B448" s="16" t="s">
        <v>37</v>
      </c>
      <c r="C448" s="9">
        <v>46266</v>
      </c>
      <c r="D448">
        <v>24</v>
      </c>
      <c r="E448" s="16" t="s">
        <v>112</v>
      </c>
      <c r="F448" s="16" t="s">
        <v>83</v>
      </c>
      <c r="G448" s="22">
        <v>34</v>
      </c>
      <c r="H448" s="18">
        <v>323.73500000000001</v>
      </c>
      <c r="I448" s="18">
        <v>9.5216176469999994</v>
      </c>
      <c r="J448" s="18">
        <v>9.67</v>
      </c>
      <c r="K448" s="18">
        <v>9.34</v>
      </c>
      <c r="L448" s="22">
        <v>13</v>
      </c>
    </row>
    <row r="449" spans="1:12">
      <c r="A449">
        <v>1</v>
      </c>
      <c r="B449" s="16" t="s">
        <v>37</v>
      </c>
      <c r="C449" s="9">
        <v>45689</v>
      </c>
      <c r="D449">
        <v>25</v>
      </c>
      <c r="E449" s="16" t="s">
        <v>113</v>
      </c>
      <c r="F449" s="16" t="s">
        <v>114</v>
      </c>
      <c r="G449" s="22">
        <v>700</v>
      </c>
      <c r="H449" s="18">
        <v>176</v>
      </c>
      <c r="I449" s="18">
        <v>0.25142857099999999</v>
      </c>
      <c r="J449" s="18">
        <v>0.26</v>
      </c>
      <c r="K449" s="18">
        <v>0.24</v>
      </c>
      <c r="L449" s="22">
        <v>4</v>
      </c>
    </row>
    <row r="450" spans="1:12">
      <c r="A450">
        <v>1</v>
      </c>
      <c r="B450" s="16" t="s">
        <v>37</v>
      </c>
      <c r="C450" s="9">
        <v>45717</v>
      </c>
      <c r="D450">
        <v>25</v>
      </c>
      <c r="E450" s="16" t="s">
        <v>113</v>
      </c>
      <c r="F450" s="16" t="s">
        <v>114</v>
      </c>
      <c r="G450" s="22">
        <v>700</v>
      </c>
      <c r="H450" s="18">
        <v>175</v>
      </c>
      <c r="I450" s="18">
        <v>0.25</v>
      </c>
      <c r="J450" s="18">
        <v>0.25</v>
      </c>
      <c r="K450" s="18">
        <v>0.25</v>
      </c>
      <c r="L450" s="22">
        <v>5</v>
      </c>
    </row>
    <row r="451" spans="1:12">
      <c r="A451">
        <v>1</v>
      </c>
      <c r="B451" s="16" t="s">
        <v>37</v>
      </c>
      <c r="C451" s="9">
        <v>45748</v>
      </c>
      <c r="D451">
        <v>25</v>
      </c>
      <c r="E451" s="16" t="s">
        <v>113</v>
      </c>
      <c r="F451" s="16" t="s">
        <v>114</v>
      </c>
      <c r="G451" s="22">
        <v>800</v>
      </c>
      <c r="H451" s="18">
        <v>199</v>
      </c>
      <c r="I451" s="18">
        <v>0.24875</v>
      </c>
      <c r="J451" s="18">
        <v>0.26</v>
      </c>
      <c r="K451" s="18">
        <v>0.24</v>
      </c>
      <c r="L451" s="22">
        <v>5</v>
      </c>
    </row>
    <row r="452" spans="1:12">
      <c r="A452">
        <v>1</v>
      </c>
      <c r="B452" s="16" t="s">
        <v>37</v>
      </c>
      <c r="C452" s="9">
        <v>45778</v>
      </c>
      <c r="D452">
        <v>25</v>
      </c>
      <c r="E452" s="16" t="s">
        <v>113</v>
      </c>
      <c r="F452" s="16" t="s">
        <v>114</v>
      </c>
      <c r="G452" s="22">
        <v>900</v>
      </c>
      <c r="H452" s="18">
        <v>229</v>
      </c>
      <c r="I452" s="18">
        <v>0.25444444399999999</v>
      </c>
      <c r="J452" s="18">
        <v>0.26</v>
      </c>
      <c r="K452" s="18">
        <v>0.25</v>
      </c>
      <c r="L452" s="22">
        <v>6</v>
      </c>
    </row>
    <row r="453" spans="1:12">
      <c r="A453">
        <v>1</v>
      </c>
      <c r="B453" s="16" t="s">
        <v>37</v>
      </c>
      <c r="C453" s="9">
        <v>45809</v>
      </c>
      <c r="D453">
        <v>25</v>
      </c>
      <c r="E453" s="16" t="s">
        <v>113</v>
      </c>
      <c r="F453" s="16" t="s">
        <v>114</v>
      </c>
      <c r="G453" s="22">
        <v>700</v>
      </c>
      <c r="H453" s="18">
        <v>175</v>
      </c>
      <c r="I453" s="18">
        <v>0.25</v>
      </c>
      <c r="J453" s="18">
        <v>0.25</v>
      </c>
      <c r="K453" s="18">
        <v>0.25</v>
      </c>
      <c r="L453" s="22">
        <v>6</v>
      </c>
    </row>
    <row r="454" spans="1:12">
      <c r="A454">
        <v>1</v>
      </c>
      <c r="B454" s="16" t="s">
        <v>37</v>
      </c>
      <c r="C454" s="9">
        <v>45839</v>
      </c>
      <c r="D454">
        <v>25</v>
      </c>
      <c r="E454" s="16" t="s">
        <v>113</v>
      </c>
      <c r="F454" s="16" t="s">
        <v>114</v>
      </c>
      <c r="G454" s="22">
        <v>800</v>
      </c>
      <c r="H454" s="18">
        <v>201</v>
      </c>
      <c r="I454" s="18">
        <v>0.25124999999999997</v>
      </c>
      <c r="J454" s="18">
        <v>0.26</v>
      </c>
      <c r="K454" s="18">
        <v>0.25</v>
      </c>
      <c r="L454" s="22">
        <v>7</v>
      </c>
    </row>
    <row r="455" spans="1:12">
      <c r="A455">
        <v>1</v>
      </c>
      <c r="B455" s="16" t="s">
        <v>37</v>
      </c>
      <c r="C455" s="9">
        <v>45870</v>
      </c>
      <c r="D455">
        <v>25</v>
      </c>
      <c r="E455" s="16" t="s">
        <v>113</v>
      </c>
      <c r="F455" s="16" t="s">
        <v>114</v>
      </c>
      <c r="G455" s="22">
        <v>500</v>
      </c>
      <c r="H455" s="18">
        <v>129</v>
      </c>
      <c r="I455" s="18">
        <v>0.25800000000000001</v>
      </c>
      <c r="J455" s="18">
        <v>0.27</v>
      </c>
      <c r="K455" s="18">
        <v>0.25</v>
      </c>
      <c r="L455" s="22">
        <v>5</v>
      </c>
    </row>
    <row r="456" spans="1:12">
      <c r="A456">
        <v>1</v>
      </c>
      <c r="B456" s="16" t="s">
        <v>37</v>
      </c>
      <c r="C456" s="9">
        <v>45901</v>
      </c>
      <c r="D456">
        <v>25</v>
      </c>
      <c r="E456" s="16" t="s">
        <v>113</v>
      </c>
      <c r="F456" s="16" t="s">
        <v>114</v>
      </c>
      <c r="G456" s="22">
        <v>800</v>
      </c>
      <c r="H456" s="18">
        <v>204</v>
      </c>
      <c r="I456" s="18">
        <v>0.255</v>
      </c>
      <c r="J456" s="18">
        <v>0.26</v>
      </c>
      <c r="K456" s="18">
        <v>0.25</v>
      </c>
      <c r="L456" s="22">
        <v>7</v>
      </c>
    </row>
    <row r="457" spans="1:12">
      <c r="A457">
        <v>1</v>
      </c>
      <c r="B457" s="16" t="s">
        <v>37</v>
      </c>
      <c r="C457" s="9">
        <v>45931</v>
      </c>
      <c r="D457">
        <v>25</v>
      </c>
      <c r="E457" s="16" t="s">
        <v>113</v>
      </c>
      <c r="F457" s="16" t="s">
        <v>114</v>
      </c>
      <c r="G457" s="22">
        <v>900</v>
      </c>
      <c r="H457" s="18">
        <v>227</v>
      </c>
      <c r="I457" s="18">
        <v>0.252222222</v>
      </c>
      <c r="J457" s="18">
        <v>0.26</v>
      </c>
      <c r="K457" s="18">
        <v>0.25</v>
      </c>
      <c r="L457" s="22">
        <v>8</v>
      </c>
    </row>
    <row r="458" spans="1:12">
      <c r="A458">
        <v>1</v>
      </c>
      <c r="B458" s="16" t="s">
        <v>37</v>
      </c>
      <c r="C458" s="9">
        <v>45962</v>
      </c>
      <c r="D458">
        <v>25</v>
      </c>
      <c r="E458" s="16" t="s">
        <v>113</v>
      </c>
      <c r="F458" s="16" t="s">
        <v>114</v>
      </c>
      <c r="G458" s="22">
        <v>800</v>
      </c>
      <c r="H458" s="18">
        <v>203</v>
      </c>
      <c r="I458" s="18">
        <v>0.25374999999999998</v>
      </c>
      <c r="J458" s="18">
        <v>0.26</v>
      </c>
      <c r="K458" s="18">
        <v>0.25</v>
      </c>
      <c r="L458" s="22">
        <v>7</v>
      </c>
    </row>
    <row r="459" spans="1:12">
      <c r="A459">
        <v>1</v>
      </c>
      <c r="B459" s="16" t="s">
        <v>37</v>
      </c>
      <c r="C459" s="9">
        <v>45992</v>
      </c>
      <c r="D459">
        <v>25</v>
      </c>
      <c r="E459" s="16" t="s">
        <v>113</v>
      </c>
      <c r="F459" s="16" t="s">
        <v>114</v>
      </c>
      <c r="G459" s="22">
        <v>1200</v>
      </c>
      <c r="H459" s="18">
        <v>310</v>
      </c>
      <c r="I459" s="18">
        <v>0.258333333</v>
      </c>
      <c r="J459" s="18">
        <v>0.26</v>
      </c>
      <c r="K459" s="18">
        <v>0.25</v>
      </c>
      <c r="L459" s="22">
        <v>8</v>
      </c>
    </row>
    <row r="460" spans="1:12">
      <c r="A460">
        <v>1</v>
      </c>
      <c r="B460" s="16" t="s">
        <v>37</v>
      </c>
      <c r="C460" s="9">
        <v>46023</v>
      </c>
      <c r="D460">
        <v>25</v>
      </c>
      <c r="E460" s="16" t="s">
        <v>113</v>
      </c>
      <c r="F460" s="16" t="s">
        <v>114</v>
      </c>
      <c r="G460" s="22">
        <v>800</v>
      </c>
      <c r="H460" s="18">
        <v>202</v>
      </c>
      <c r="I460" s="18">
        <v>0.2525</v>
      </c>
      <c r="J460" s="18">
        <v>0.26</v>
      </c>
      <c r="K460" s="18">
        <v>0.25</v>
      </c>
      <c r="L460" s="22">
        <v>6</v>
      </c>
    </row>
    <row r="461" spans="1:12">
      <c r="A461">
        <v>1</v>
      </c>
      <c r="B461" s="16" t="s">
        <v>37</v>
      </c>
      <c r="C461" s="9">
        <v>46054</v>
      </c>
      <c r="D461">
        <v>25</v>
      </c>
      <c r="E461" s="16" t="s">
        <v>113</v>
      </c>
      <c r="F461" s="16" t="s">
        <v>114</v>
      </c>
      <c r="G461" s="22">
        <v>700</v>
      </c>
      <c r="H461" s="18">
        <v>178</v>
      </c>
      <c r="I461" s="18">
        <v>0.254285714</v>
      </c>
      <c r="J461" s="18">
        <v>0.26</v>
      </c>
      <c r="K461" s="18">
        <v>0.25</v>
      </c>
      <c r="L461" s="22">
        <v>6</v>
      </c>
    </row>
    <row r="462" spans="1:12">
      <c r="A462">
        <v>1</v>
      </c>
      <c r="B462" s="16" t="s">
        <v>37</v>
      </c>
      <c r="C462" s="9">
        <v>46082</v>
      </c>
      <c r="D462">
        <v>25</v>
      </c>
      <c r="E462" s="16" t="s">
        <v>113</v>
      </c>
      <c r="F462" s="16" t="s">
        <v>114</v>
      </c>
      <c r="G462" s="22">
        <v>900</v>
      </c>
      <c r="H462" s="18">
        <v>235</v>
      </c>
      <c r="I462" s="18">
        <v>0.26111111100000001</v>
      </c>
      <c r="J462" s="18">
        <v>0.27</v>
      </c>
      <c r="K462" s="18">
        <v>0.25</v>
      </c>
      <c r="L462" s="22">
        <v>6</v>
      </c>
    </row>
    <row r="463" spans="1:12">
      <c r="A463">
        <v>1</v>
      </c>
      <c r="B463" s="16" t="s">
        <v>37</v>
      </c>
      <c r="C463" s="9">
        <v>46113</v>
      </c>
      <c r="D463">
        <v>25</v>
      </c>
      <c r="E463" s="16" t="s">
        <v>113</v>
      </c>
      <c r="F463" s="16" t="s">
        <v>114</v>
      </c>
      <c r="G463" s="22">
        <v>800</v>
      </c>
      <c r="H463" s="18">
        <v>205</v>
      </c>
      <c r="I463" s="18">
        <v>0.25624999999999998</v>
      </c>
      <c r="J463" s="18">
        <v>0.27</v>
      </c>
      <c r="K463" s="18">
        <v>0.25</v>
      </c>
      <c r="L463" s="22">
        <v>7</v>
      </c>
    </row>
    <row r="464" spans="1:12">
      <c r="A464">
        <v>1</v>
      </c>
      <c r="B464" s="16" t="s">
        <v>37</v>
      </c>
      <c r="C464" s="9">
        <v>46143</v>
      </c>
      <c r="D464">
        <v>25</v>
      </c>
      <c r="E464" s="16" t="s">
        <v>113</v>
      </c>
      <c r="F464" s="16" t="s">
        <v>114</v>
      </c>
      <c r="G464" s="22">
        <v>700</v>
      </c>
      <c r="H464" s="18">
        <v>181</v>
      </c>
      <c r="I464" s="18">
        <v>0.25857142900000002</v>
      </c>
      <c r="J464" s="18">
        <v>0.28000000000000003</v>
      </c>
      <c r="K464" s="18">
        <v>0.25</v>
      </c>
      <c r="L464" s="22">
        <v>7</v>
      </c>
    </row>
    <row r="465" spans="1:12">
      <c r="A465">
        <v>1</v>
      </c>
      <c r="B465" s="16" t="s">
        <v>37</v>
      </c>
      <c r="C465" s="9">
        <v>46174</v>
      </c>
      <c r="D465">
        <v>25</v>
      </c>
      <c r="E465" s="16" t="s">
        <v>113</v>
      </c>
      <c r="F465" s="16" t="s">
        <v>114</v>
      </c>
      <c r="G465" s="22">
        <v>600</v>
      </c>
      <c r="H465" s="18">
        <v>156</v>
      </c>
      <c r="I465" s="18">
        <v>0.26</v>
      </c>
      <c r="J465" s="18">
        <v>0.27</v>
      </c>
      <c r="K465" s="18">
        <v>0.25</v>
      </c>
      <c r="L465" s="22">
        <v>6</v>
      </c>
    </row>
    <row r="466" spans="1:12">
      <c r="A466">
        <v>1</v>
      </c>
      <c r="B466" s="16" t="s">
        <v>37</v>
      </c>
      <c r="C466" s="9">
        <v>46204</v>
      </c>
      <c r="D466">
        <v>25</v>
      </c>
      <c r="E466" s="16" t="s">
        <v>113</v>
      </c>
      <c r="F466" s="16" t="s">
        <v>114</v>
      </c>
      <c r="G466" s="22">
        <v>900</v>
      </c>
      <c r="H466" s="18">
        <v>233</v>
      </c>
      <c r="I466" s="18">
        <v>0.25888888900000001</v>
      </c>
      <c r="J466" s="18">
        <v>0.26</v>
      </c>
      <c r="K466" s="18">
        <v>0.25</v>
      </c>
      <c r="L466" s="22">
        <v>8</v>
      </c>
    </row>
    <row r="467" spans="1:12">
      <c r="A467">
        <v>1</v>
      </c>
      <c r="B467" s="16" t="s">
        <v>37</v>
      </c>
      <c r="C467" s="9">
        <v>46235</v>
      </c>
      <c r="D467">
        <v>25</v>
      </c>
      <c r="E467" s="16" t="s">
        <v>113</v>
      </c>
      <c r="F467" s="16" t="s">
        <v>114</v>
      </c>
      <c r="G467" s="22">
        <v>600</v>
      </c>
      <c r="H467" s="18">
        <v>156</v>
      </c>
      <c r="I467" s="18">
        <v>0.26</v>
      </c>
      <c r="J467" s="18">
        <v>0.26</v>
      </c>
      <c r="K467" s="18">
        <v>0.26</v>
      </c>
      <c r="L467" s="22">
        <v>6</v>
      </c>
    </row>
    <row r="468" spans="1:12">
      <c r="A468">
        <v>1</v>
      </c>
      <c r="B468" s="16" t="s">
        <v>37</v>
      </c>
      <c r="C468" s="9">
        <v>46266</v>
      </c>
      <c r="D468">
        <v>25</v>
      </c>
      <c r="E468" s="16" t="s">
        <v>113</v>
      </c>
      <c r="F468" s="16" t="s">
        <v>114</v>
      </c>
      <c r="G468" s="22">
        <v>700</v>
      </c>
      <c r="H468" s="18">
        <v>184</v>
      </c>
      <c r="I468" s="18">
        <v>0.26285714300000002</v>
      </c>
      <c r="J468" s="18">
        <v>0.27</v>
      </c>
      <c r="K468" s="18">
        <v>0.26</v>
      </c>
      <c r="L468" s="22">
        <v>4</v>
      </c>
    </row>
    <row r="469" spans="1:12">
      <c r="A469">
        <v>1</v>
      </c>
      <c r="B469" s="16" t="s">
        <v>37</v>
      </c>
      <c r="C469" s="9">
        <v>45689</v>
      </c>
      <c r="D469">
        <v>26</v>
      </c>
      <c r="E469" s="16" t="s">
        <v>115</v>
      </c>
      <c r="F469" s="16" t="s">
        <v>90</v>
      </c>
      <c r="G469" s="22">
        <v>2.5</v>
      </c>
      <c r="H469" s="18">
        <v>17.350000000000001</v>
      </c>
      <c r="I469" s="18">
        <v>6.94</v>
      </c>
      <c r="J469" s="18">
        <v>6.94</v>
      </c>
      <c r="K469" s="18">
        <v>6.94</v>
      </c>
      <c r="L469" s="22">
        <v>1</v>
      </c>
    </row>
    <row r="470" spans="1:12">
      <c r="A470">
        <v>1</v>
      </c>
      <c r="B470" s="16" t="s">
        <v>37</v>
      </c>
      <c r="C470" s="9">
        <v>45717</v>
      </c>
      <c r="D470">
        <v>26</v>
      </c>
      <c r="E470" s="16" t="s">
        <v>115</v>
      </c>
      <c r="F470" s="16" t="s">
        <v>90</v>
      </c>
      <c r="G470" s="22">
        <v>5</v>
      </c>
      <c r="H470" s="18">
        <v>34.15</v>
      </c>
      <c r="I470" s="18">
        <v>6.83</v>
      </c>
      <c r="J470" s="18">
        <v>6.83</v>
      </c>
      <c r="K470" s="18">
        <v>6.83</v>
      </c>
      <c r="L470" s="22">
        <v>2</v>
      </c>
    </row>
    <row r="471" spans="1:12">
      <c r="A471">
        <v>1</v>
      </c>
      <c r="B471" s="16" t="s">
        <v>37</v>
      </c>
      <c r="C471" s="9">
        <v>45748</v>
      </c>
      <c r="D471">
        <v>26</v>
      </c>
      <c r="E471" s="16" t="s">
        <v>115</v>
      </c>
      <c r="F471" s="16" t="s">
        <v>90</v>
      </c>
      <c r="G471" s="22">
        <v>7.5</v>
      </c>
      <c r="H471" s="18">
        <v>51.825000000000003</v>
      </c>
      <c r="I471" s="18">
        <v>6.91</v>
      </c>
      <c r="J471" s="18">
        <v>6.97</v>
      </c>
      <c r="K471" s="18">
        <v>6.81</v>
      </c>
      <c r="L471" s="22">
        <v>3</v>
      </c>
    </row>
    <row r="472" spans="1:12">
      <c r="A472">
        <v>1</v>
      </c>
      <c r="B472" s="16" t="s">
        <v>37</v>
      </c>
      <c r="C472" s="9">
        <v>45778</v>
      </c>
      <c r="D472">
        <v>26</v>
      </c>
      <c r="E472" s="16" t="s">
        <v>115</v>
      </c>
      <c r="F472" s="16" t="s">
        <v>90</v>
      </c>
      <c r="G472" s="22">
        <v>5</v>
      </c>
      <c r="H472" s="18">
        <v>34.174999999999997</v>
      </c>
      <c r="I472" s="18">
        <v>6.835</v>
      </c>
      <c r="J472" s="18">
        <v>6.91</v>
      </c>
      <c r="K472" s="18">
        <v>6.76</v>
      </c>
      <c r="L472" s="22">
        <v>2</v>
      </c>
    </row>
    <row r="473" spans="1:12">
      <c r="A473">
        <v>1</v>
      </c>
      <c r="B473" s="16" t="s">
        <v>37</v>
      </c>
      <c r="C473" s="9">
        <v>45809</v>
      </c>
      <c r="D473">
        <v>26</v>
      </c>
      <c r="E473" s="16" t="s">
        <v>115</v>
      </c>
      <c r="F473" s="16" t="s">
        <v>90</v>
      </c>
      <c r="G473" s="22">
        <v>2.5</v>
      </c>
      <c r="H473" s="18">
        <v>17.125</v>
      </c>
      <c r="I473" s="18">
        <v>6.85</v>
      </c>
      <c r="J473" s="18">
        <v>6.85</v>
      </c>
      <c r="K473" s="18">
        <v>6.85</v>
      </c>
      <c r="L473" s="22">
        <v>1</v>
      </c>
    </row>
    <row r="474" spans="1:12">
      <c r="A474">
        <v>1</v>
      </c>
      <c r="B474" s="16" t="s">
        <v>37</v>
      </c>
      <c r="C474" s="9">
        <v>45839</v>
      </c>
      <c r="D474">
        <v>26</v>
      </c>
      <c r="E474" s="16" t="s">
        <v>115</v>
      </c>
      <c r="F474" s="16" t="s">
        <v>90</v>
      </c>
      <c r="G474" s="22">
        <v>5</v>
      </c>
      <c r="H474" s="18">
        <v>34.725000000000001</v>
      </c>
      <c r="I474" s="18">
        <v>6.9450000000000003</v>
      </c>
      <c r="J474" s="18">
        <v>6.99</v>
      </c>
      <c r="K474" s="18">
        <v>6.9</v>
      </c>
      <c r="L474" s="22">
        <v>2</v>
      </c>
    </row>
    <row r="475" spans="1:12">
      <c r="A475">
        <v>1</v>
      </c>
      <c r="B475" s="16" t="s">
        <v>37</v>
      </c>
      <c r="C475" s="9">
        <v>45870</v>
      </c>
      <c r="D475">
        <v>26</v>
      </c>
      <c r="E475" s="16" t="s">
        <v>115</v>
      </c>
      <c r="F475" s="16" t="s">
        <v>90</v>
      </c>
      <c r="G475" s="22">
        <v>2.5</v>
      </c>
      <c r="H475" s="18">
        <v>16.824999999999999</v>
      </c>
      <c r="I475" s="18">
        <v>6.73</v>
      </c>
      <c r="J475" s="18">
        <v>6.73</v>
      </c>
      <c r="K475" s="18">
        <v>6.73</v>
      </c>
      <c r="L475" s="22">
        <v>1</v>
      </c>
    </row>
    <row r="476" spans="1:12">
      <c r="A476">
        <v>1</v>
      </c>
      <c r="B476" s="16" t="s">
        <v>37</v>
      </c>
      <c r="C476" s="9">
        <v>45901</v>
      </c>
      <c r="D476">
        <v>26</v>
      </c>
      <c r="E476" s="16" t="s">
        <v>115</v>
      </c>
      <c r="F476" s="16" t="s">
        <v>90</v>
      </c>
      <c r="G476" s="22">
        <v>7.5</v>
      </c>
      <c r="H476" s="18">
        <v>51.2</v>
      </c>
      <c r="I476" s="18">
        <v>6.8266666669999996</v>
      </c>
      <c r="J476" s="18">
        <v>6.84</v>
      </c>
      <c r="K476" s="18">
        <v>6.8</v>
      </c>
      <c r="L476" s="22">
        <v>3</v>
      </c>
    </row>
    <row r="477" spans="1:12">
      <c r="A477">
        <v>1</v>
      </c>
      <c r="B477" s="16" t="s">
        <v>37</v>
      </c>
      <c r="C477" s="9">
        <v>45931</v>
      </c>
      <c r="D477">
        <v>26</v>
      </c>
      <c r="E477" s="16" t="s">
        <v>115</v>
      </c>
      <c r="F477" s="16" t="s">
        <v>90</v>
      </c>
      <c r="G477" s="22">
        <v>5</v>
      </c>
      <c r="H477" s="18">
        <v>35.174999999999997</v>
      </c>
      <c r="I477" s="18">
        <v>7.0350000000000001</v>
      </c>
      <c r="J477" s="18">
        <v>7.12</v>
      </c>
      <c r="K477" s="18">
        <v>6.95</v>
      </c>
      <c r="L477" s="22">
        <v>2</v>
      </c>
    </row>
    <row r="478" spans="1:12">
      <c r="A478">
        <v>1</v>
      </c>
      <c r="B478" s="16" t="s">
        <v>37</v>
      </c>
      <c r="C478" s="9">
        <v>45962</v>
      </c>
      <c r="D478">
        <v>26</v>
      </c>
      <c r="E478" s="16" t="s">
        <v>115</v>
      </c>
      <c r="F478" s="16" t="s">
        <v>90</v>
      </c>
      <c r="G478" s="22">
        <v>5</v>
      </c>
      <c r="H478" s="18">
        <v>34.825000000000003</v>
      </c>
      <c r="I478" s="18">
        <v>6.9649999999999999</v>
      </c>
      <c r="J478" s="18">
        <v>6.98</v>
      </c>
      <c r="K478" s="18">
        <v>6.95</v>
      </c>
      <c r="L478" s="22">
        <v>2</v>
      </c>
    </row>
    <row r="479" spans="1:12">
      <c r="A479">
        <v>1</v>
      </c>
      <c r="B479" s="16" t="s">
        <v>37</v>
      </c>
      <c r="C479" s="9">
        <v>45992</v>
      </c>
      <c r="D479">
        <v>26</v>
      </c>
      <c r="E479" s="16" t="s">
        <v>115</v>
      </c>
      <c r="F479" s="16" t="s">
        <v>90</v>
      </c>
      <c r="G479" s="22">
        <v>5</v>
      </c>
      <c r="H479" s="18">
        <v>34.9</v>
      </c>
      <c r="I479" s="18">
        <v>6.98</v>
      </c>
      <c r="J479" s="18">
        <v>6.99</v>
      </c>
      <c r="K479" s="18">
        <v>6.97</v>
      </c>
      <c r="L479" s="22">
        <v>2</v>
      </c>
    </row>
    <row r="480" spans="1:12">
      <c r="A480">
        <v>1</v>
      </c>
      <c r="B480" s="16" t="s">
        <v>37</v>
      </c>
      <c r="C480" s="9">
        <v>46023</v>
      </c>
      <c r="D480">
        <v>26</v>
      </c>
      <c r="E480" s="16" t="s">
        <v>115</v>
      </c>
      <c r="F480" s="16" t="s">
        <v>90</v>
      </c>
      <c r="G480" s="22">
        <v>5</v>
      </c>
      <c r="H480" s="18">
        <v>34.325000000000003</v>
      </c>
      <c r="I480" s="18">
        <v>6.8650000000000002</v>
      </c>
      <c r="J480" s="18">
        <v>7.02</v>
      </c>
      <c r="K480" s="18">
        <v>6.71</v>
      </c>
      <c r="L480" s="22">
        <v>2</v>
      </c>
    </row>
    <row r="481" spans="1:12">
      <c r="A481">
        <v>1</v>
      </c>
      <c r="B481" s="16" t="s">
        <v>37</v>
      </c>
      <c r="C481" s="9">
        <v>46054</v>
      </c>
      <c r="D481">
        <v>26</v>
      </c>
      <c r="E481" s="16" t="s">
        <v>115</v>
      </c>
      <c r="F481" s="16" t="s">
        <v>90</v>
      </c>
      <c r="G481" s="22">
        <v>5</v>
      </c>
      <c r="H481" s="18">
        <v>34.875</v>
      </c>
      <c r="I481" s="18">
        <v>6.9749999999999996</v>
      </c>
      <c r="J481" s="18">
        <v>7.05</v>
      </c>
      <c r="K481" s="18">
        <v>6.9</v>
      </c>
      <c r="L481" s="22">
        <v>2</v>
      </c>
    </row>
    <row r="482" spans="1:12">
      <c r="A482">
        <v>1</v>
      </c>
      <c r="B482" s="16" t="s">
        <v>37</v>
      </c>
      <c r="C482" s="9">
        <v>46082</v>
      </c>
      <c r="D482">
        <v>26</v>
      </c>
      <c r="E482" s="16" t="s">
        <v>115</v>
      </c>
      <c r="F482" s="16" t="s">
        <v>90</v>
      </c>
      <c r="G482" s="22">
        <v>7.5</v>
      </c>
      <c r="H482" s="18">
        <v>51.5</v>
      </c>
      <c r="I482" s="18">
        <v>6.8666666669999996</v>
      </c>
      <c r="J482" s="18">
        <v>6.93</v>
      </c>
      <c r="K482" s="18">
        <v>6.79</v>
      </c>
      <c r="L482" s="22">
        <v>3</v>
      </c>
    </row>
    <row r="483" spans="1:12">
      <c r="A483">
        <v>1</v>
      </c>
      <c r="B483" s="16" t="s">
        <v>37</v>
      </c>
      <c r="C483" s="9">
        <v>46113</v>
      </c>
      <c r="D483">
        <v>26</v>
      </c>
      <c r="E483" s="16" t="s">
        <v>115</v>
      </c>
      <c r="F483" s="16" t="s">
        <v>90</v>
      </c>
      <c r="G483" s="22">
        <v>5</v>
      </c>
      <c r="H483" s="18">
        <v>35.024999999999999</v>
      </c>
      <c r="I483" s="18">
        <v>7.0049999999999999</v>
      </c>
      <c r="J483" s="18">
        <v>7.07</v>
      </c>
      <c r="K483" s="18">
        <v>6.94</v>
      </c>
      <c r="L483" s="22">
        <v>2</v>
      </c>
    </row>
    <row r="484" spans="1:12">
      <c r="A484">
        <v>1</v>
      </c>
      <c r="B484" s="16" t="s">
        <v>37</v>
      </c>
      <c r="C484" s="9">
        <v>46143</v>
      </c>
      <c r="D484">
        <v>26</v>
      </c>
      <c r="E484" s="16" t="s">
        <v>115</v>
      </c>
      <c r="F484" s="16" t="s">
        <v>90</v>
      </c>
      <c r="G484" s="22">
        <v>2.5</v>
      </c>
      <c r="H484" s="18">
        <v>17.55</v>
      </c>
      <c r="I484" s="18">
        <v>7.02</v>
      </c>
      <c r="J484" s="18">
        <v>7.02</v>
      </c>
      <c r="K484" s="18">
        <v>7.02</v>
      </c>
      <c r="L484" s="22">
        <v>1</v>
      </c>
    </row>
    <row r="485" spans="1:12">
      <c r="A485">
        <v>1</v>
      </c>
      <c r="B485" s="16" t="s">
        <v>37</v>
      </c>
      <c r="C485" s="9">
        <v>46174</v>
      </c>
      <c r="D485">
        <v>26</v>
      </c>
      <c r="E485" s="16" t="s">
        <v>115</v>
      </c>
      <c r="F485" s="16" t="s">
        <v>90</v>
      </c>
      <c r="G485" s="22">
        <v>5</v>
      </c>
      <c r="H485" s="18">
        <v>35.35</v>
      </c>
      <c r="I485" s="18">
        <v>7.07</v>
      </c>
      <c r="J485" s="18">
        <v>7.13</v>
      </c>
      <c r="K485" s="18">
        <v>7.01</v>
      </c>
      <c r="L485" s="22">
        <v>2</v>
      </c>
    </row>
    <row r="486" spans="1:12">
      <c r="A486">
        <v>1</v>
      </c>
      <c r="B486" s="16" t="s">
        <v>37</v>
      </c>
      <c r="C486" s="9">
        <v>46204</v>
      </c>
      <c r="D486">
        <v>26</v>
      </c>
      <c r="E486" s="16" t="s">
        <v>115</v>
      </c>
      <c r="F486" s="16" t="s">
        <v>90</v>
      </c>
      <c r="G486" s="22">
        <v>5</v>
      </c>
      <c r="H486" s="18">
        <v>34.450000000000003</v>
      </c>
      <c r="I486" s="18">
        <v>6.89</v>
      </c>
      <c r="J486" s="18">
        <v>6.96</v>
      </c>
      <c r="K486" s="18">
        <v>6.82</v>
      </c>
      <c r="L486" s="22">
        <v>2</v>
      </c>
    </row>
    <row r="487" spans="1:12">
      <c r="A487">
        <v>1</v>
      </c>
      <c r="B487" s="16" t="s">
        <v>37</v>
      </c>
      <c r="C487" s="9">
        <v>46235</v>
      </c>
      <c r="D487">
        <v>26</v>
      </c>
      <c r="E487" s="16" t="s">
        <v>115</v>
      </c>
      <c r="F487" s="16" t="s">
        <v>90</v>
      </c>
      <c r="G487" s="22">
        <v>2.5</v>
      </c>
      <c r="H487" s="18">
        <v>17.125</v>
      </c>
      <c r="I487" s="18">
        <v>6.85</v>
      </c>
      <c r="J487" s="18">
        <v>6.85</v>
      </c>
      <c r="K487" s="18">
        <v>6.85</v>
      </c>
      <c r="L487" s="22">
        <v>1</v>
      </c>
    </row>
    <row r="488" spans="1:12">
      <c r="A488">
        <v>1</v>
      </c>
      <c r="B488" s="16" t="s">
        <v>37</v>
      </c>
      <c r="C488" s="9">
        <v>46266</v>
      </c>
      <c r="D488">
        <v>26</v>
      </c>
      <c r="E488" s="16" t="s">
        <v>115</v>
      </c>
      <c r="F488" s="16" t="s">
        <v>90</v>
      </c>
      <c r="G488" s="22">
        <v>5</v>
      </c>
      <c r="H488" s="18">
        <v>34.450000000000003</v>
      </c>
      <c r="I488" s="18">
        <v>6.89</v>
      </c>
      <c r="J488" s="18">
        <v>6.9</v>
      </c>
      <c r="K488" s="18">
        <v>6.88</v>
      </c>
      <c r="L488" s="22">
        <v>2</v>
      </c>
    </row>
    <row r="489" spans="1:12">
      <c r="A489">
        <v>1</v>
      </c>
      <c r="B489" s="16" t="s">
        <v>37</v>
      </c>
      <c r="C489" s="9">
        <v>45689</v>
      </c>
      <c r="D489">
        <v>27</v>
      </c>
      <c r="E489" s="16" t="s">
        <v>116</v>
      </c>
      <c r="F489" s="16" t="s">
        <v>90</v>
      </c>
      <c r="G489" s="22">
        <v>25</v>
      </c>
      <c r="H489" s="18">
        <v>20.5</v>
      </c>
      <c r="I489" s="18">
        <v>0.82</v>
      </c>
      <c r="J489" s="18">
        <v>0.82</v>
      </c>
      <c r="K489" s="18">
        <v>0.82</v>
      </c>
      <c r="L489" s="22">
        <v>2</v>
      </c>
    </row>
    <row r="490" spans="1:12">
      <c r="A490">
        <v>1</v>
      </c>
      <c r="B490" s="16" t="s">
        <v>37</v>
      </c>
      <c r="C490" s="9">
        <v>45717</v>
      </c>
      <c r="D490">
        <v>27</v>
      </c>
      <c r="E490" s="16" t="s">
        <v>116</v>
      </c>
      <c r="F490" s="16" t="s">
        <v>90</v>
      </c>
      <c r="G490" s="22">
        <v>25</v>
      </c>
      <c r="H490" s="18">
        <v>20.625</v>
      </c>
      <c r="I490" s="18">
        <v>0.82499999999999996</v>
      </c>
      <c r="J490" s="18">
        <v>0.83</v>
      </c>
      <c r="K490" s="18">
        <v>0.82</v>
      </c>
      <c r="L490" s="22">
        <v>2</v>
      </c>
    </row>
    <row r="491" spans="1:12">
      <c r="A491">
        <v>1</v>
      </c>
      <c r="B491" s="16" t="s">
        <v>37</v>
      </c>
      <c r="C491" s="9">
        <v>45748</v>
      </c>
      <c r="D491">
        <v>27</v>
      </c>
      <c r="E491" s="16" t="s">
        <v>116</v>
      </c>
      <c r="F491" s="16" t="s">
        <v>90</v>
      </c>
      <c r="G491" s="22">
        <v>25</v>
      </c>
      <c r="H491" s="18">
        <v>20.25</v>
      </c>
      <c r="I491" s="18">
        <v>0.81</v>
      </c>
      <c r="J491" s="18">
        <v>0.81</v>
      </c>
      <c r="K491" s="18">
        <v>0.81</v>
      </c>
      <c r="L491" s="22">
        <v>2</v>
      </c>
    </row>
    <row r="492" spans="1:12">
      <c r="A492">
        <v>1</v>
      </c>
      <c r="B492" s="16" t="s">
        <v>37</v>
      </c>
      <c r="C492" s="9">
        <v>45778</v>
      </c>
      <c r="D492">
        <v>27</v>
      </c>
      <c r="E492" s="16" t="s">
        <v>116</v>
      </c>
      <c r="F492" s="16" t="s">
        <v>90</v>
      </c>
      <c r="G492" s="22">
        <v>25</v>
      </c>
      <c r="H492" s="18">
        <v>20.5</v>
      </c>
      <c r="I492" s="18">
        <v>0.82</v>
      </c>
      <c r="J492" s="18">
        <v>0.83</v>
      </c>
      <c r="K492" s="18">
        <v>0.81</v>
      </c>
      <c r="L492" s="22">
        <v>2</v>
      </c>
    </row>
    <row r="493" spans="1:12">
      <c r="A493">
        <v>1</v>
      </c>
      <c r="B493" s="16" t="s">
        <v>37</v>
      </c>
      <c r="C493" s="9">
        <v>45809</v>
      </c>
      <c r="D493">
        <v>27</v>
      </c>
      <c r="E493" s="16" t="s">
        <v>116</v>
      </c>
      <c r="F493" s="16" t="s">
        <v>90</v>
      </c>
      <c r="G493" s="22">
        <v>25</v>
      </c>
      <c r="H493" s="18">
        <v>20.25</v>
      </c>
      <c r="I493" s="18">
        <v>0.81</v>
      </c>
      <c r="J493" s="18">
        <v>0.82</v>
      </c>
      <c r="K493" s="18">
        <v>0.8</v>
      </c>
      <c r="L493" s="22">
        <v>2</v>
      </c>
    </row>
    <row r="494" spans="1:12">
      <c r="A494">
        <v>1</v>
      </c>
      <c r="B494" s="16" t="s">
        <v>37</v>
      </c>
      <c r="C494" s="9">
        <v>45839</v>
      </c>
      <c r="D494">
        <v>27</v>
      </c>
      <c r="E494" s="16" t="s">
        <v>116</v>
      </c>
      <c r="F494" s="16" t="s">
        <v>90</v>
      </c>
      <c r="G494" s="22">
        <v>12.5</v>
      </c>
      <c r="H494" s="18">
        <v>10.25</v>
      </c>
      <c r="I494" s="18">
        <v>0.82</v>
      </c>
      <c r="J494" s="18">
        <v>0.82</v>
      </c>
      <c r="K494" s="18">
        <v>0.82</v>
      </c>
      <c r="L494" s="22">
        <v>1</v>
      </c>
    </row>
    <row r="495" spans="1:12">
      <c r="A495">
        <v>1</v>
      </c>
      <c r="B495" s="16" t="s">
        <v>37</v>
      </c>
      <c r="C495" s="9">
        <v>45870</v>
      </c>
      <c r="D495">
        <v>27</v>
      </c>
      <c r="E495" s="16" t="s">
        <v>116</v>
      </c>
      <c r="F495" s="16" t="s">
        <v>90</v>
      </c>
      <c r="G495" s="22">
        <v>25</v>
      </c>
      <c r="H495" s="18">
        <v>20.125</v>
      </c>
      <c r="I495" s="18">
        <v>0.80500000000000005</v>
      </c>
      <c r="J495" s="18">
        <v>0.81</v>
      </c>
      <c r="K495" s="18">
        <v>0.8</v>
      </c>
      <c r="L495" s="22">
        <v>2</v>
      </c>
    </row>
    <row r="496" spans="1:12">
      <c r="A496">
        <v>1</v>
      </c>
      <c r="B496" s="16" t="s">
        <v>37</v>
      </c>
      <c r="C496" s="9">
        <v>45901</v>
      </c>
      <c r="D496">
        <v>27</v>
      </c>
      <c r="E496" s="16" t="s">
        <v>116</v>
      </c>
      <c r="F496" s="16" t="s">
        <v>90</v>
      </c>
      <c r="G496" s="22">
        <v>37.5</v>
      </c>
      <c r="H496" s="18">
        <v>30.625</v>
      </c>
      <c r="I496" s="18">
        <v>0.81666666700000001</v>
      </c>
      <c r="J496" s="18">
        <v>0.83</v>
      </c>
      <c r="K496" s="18">
        <v>0.81</v>
      </c>
      <c r="L496" s="22">
        <v>3</v>
      </c>
    </row>
    <row r="497" spans="1:12">
      <c r="A497">
        <v>1</v>
      </c>
      <c r="B497" s="16" t="s">
        <v>37</v>
      </c>
      <c r="C497" s="9">
        <v>45931</v>
      </c>
      <c r="D497">
        <v>27</v>
      </c>
      <c r="E497" s="16" t="s">
        <v>116</v>
      </c>
      <c r="F497" s="16" t="s">
        <v>90</v>
      </c>
      <c r="G497" s="22">
        <v>25</v>
      </c>
      <c r="H497" s="18">
        <v>20.125</v>
      </c>
      <c r="I497" s="18">
        <v>0.80500000000000005</v>
      </c>
      <c r="J497" s="18">
        <v>0.81</v>
      </c>
      <c r="K497" s="18">
        <v>0.8</v>
      </c>
      <c r="L497" s="22">
        <v>2</v>
      </c>
    </row>
    <row r="498" spans="1:12">
      <c r="A498">
        <v>1</v>
      </c>
      <c r="B498" s="16" t="s">
        <v>37</v>
      </c>
      <c r="C498" s="9">
        <v>45962</v>
      </c>
      <c r="D498">
        <v>27</v>
      </c>
      <c r="E498" s="16" t="s">
        <v>116</v>
      </c>
      <c r="F498" s="16" t="s">
        <v>90</v>
      </c>
      <c r="G498" s="22">
        <v>25</v>
      </c>
      <c r="H498" s="18">
        <v>19.875</v>
      </c>
      <c r="I498" s="18">
        <v>0.79500000000000004</v>
      </c>
      <c r="J498" s="18">
        <v>0.8</v>
      </c>
      <c r="K498" s="18">
        <v>0.79</v>
      </c>
      <c r="L498" s="22">
        <v>2</v>
      </c>
    </row>
    <row r="499" spans="1:12">
      <c r="A499">
        <v>1</v>
      </c>
      <c r="B499" s="16" t="s">
        <v>37</v>
      </c>
      <c r="C499" s="9">
        <v>45992</v>
      </c>
      <c r="D499">
        <v>27</v>
      </c>
      <c r="E499" s="16" t="s">
        <v>116</v>
      </c>
      <c r="F499" s="16" t="s">
        <v>90</v>
      </c>
      <c r="G499" s="22">
        <v>25</v>
      </c>
      <c r="H499" s="18">
        <v>20.375</v>
      </c>
      <c r="I499" s="18">
        <v>0.81499999999999995</v>
      </c>
      <c r="J499" s="18">
        <v>0.83</v>
      </c>
      <c r="K499" s="18">
        <v>0.8</v>
      </c>
      <c r="L499" s="22">
        <v>2</v>
      </c>
    </row>
    <row r="500" spans="1:12">
      <c r="A500">
        <v>1</v>
      </c>
      <c r="B500" s="16" t="s">
        <v>37</v>
      </c>
      <c r="C500" s="9">
        <v>46023</v>
      </c>
      <c r="D500">
        <v>27</v>
      </c>
      <c r="E500" s="16" t="s">
        <v>116</v>
      </c>
      <c r="F500" s="16" t="s">
        <v>90</v>
      </c>
      <c r="G500" s="22">
        <v>25</v>
      </c>
      <c r="H500" s="18">
        <v>20</v>
      </c>
      <c r="I500" s="18">
        <v>0.8</v>
      </c>
      <c r="J500" s="18">
        <v>0.81</v>
      </c>
      <c r="K500" s="18">
        <v>0.79</v>
      </c>
      <c r="L500" s="22">
        <v>2</v>
      </c>
    </row>
    <row r="501" spans="1:12">
      <c r="A501">
        <v>1</v>
      </c>
      <c r="B501" s="16" t="s">
        <v>37</v>
      </c>
      <c r="C501" s="9">
        <v>46054</v>
      </c>
      <c r="D501">
        <v>27</v>
      </c>
      <c r="E501" s="16" t="s">
        <v>116</v>
      </c>
      <c r="F501" s="16" t="s">
        <v>90</v>
      </c>
      <c r="G501" s="22">
        <v>12.5</v>
      </c>
      <c r="H501" s="18">
        <v>10.25</v>
      </c>
      <c r="I501" s="18">
        <v>0.82</v>
      </c>
      <c r="J501" s="18">
        <v>0.82</v>
      </c>
      <c r="K501" s="18">
        <v>0.82</v>
      </c>
      <c r="L501" s="22">
        <v>1</v>
      </c>
    </row>
    <row r="502" spans="1:12">
      <c r="A502">
        <v>1</v>
      </c>
      <c r="B502" s="16" t="s">
        <v>37</v>
      </c>
      <c r="C502" s="9">
        <v>46082</v>
      </c>
      <c r="D502">
        <v>27</v>
      </c>
      <c r="E502" s="16" t="s">
        <v>116</v>
      </c>
      <c r="F502" s="16" t="s">
        <v>90</v>
      </c>
      <c r="G502" s="22">
        <v>37.5</v>
      </c>
      <c r="H502" s="18">
        <v>30.125</v>
      </c>
      <c r="I502" s="18">
        <v>0.80333333299999998</v>
      </c>
      <c r="J502" s="18">
        <v>0.81</v>
      </c>
      <c r="K502" s="18">
        <v>0.8</v>
      </c>
      <c r="L502" s="22">
        <v>3</v>
      </c>
    </row>
    <row r="503" spans="1:12">
      <c r="A503">
        <v>1</v>
      </c>
      <c r="B503" s="16" t="s">
        <v>37</v>
      </c>
      <c r="C503" s="9">
        <v>46113</v>
      </c>
      <c r="D503">
        <v>27</v>
      </c>
      <c r="E503" s="16" t="s">
        <v>116</v>
      </c>
      <c r="F503" s="16" t="s">
        <v>90</v>
      </c>
      <c r="G503" s="22">
        <v>25</v>
      </c>
      <c r="H503" s="18">
        <v>20.375</v>
      </c>
      <c r="I503" s="18">
        <v>0.81499999999999995</v>
      </c>
      <c r="J503" s="18">
        <v>0.82</v>
      </c>
      <c r="K503" s="18">
        <v>0.81</v>
      </c>
      <c r="L503" s="22">
        <v>2</v>
      </c>
    </row>
    <row r="504" spans="1:12">
      <c r="A504">
        <v>1</v>
      </c>
      <c r="B504" s="16" t="s">
        <v>37</v>
      </c>
      <c r="C504" s="9">
        <v>46143</v>
      </c>
      <c r="D504">
        <v>27</v>
      </c>
      <c r="E504" s="16" t="s">
        <v>116</v>
      </c>
      <c r="F504" s="16" t="s">
        <v>90</v>
      </c>
      <c r="G504" s="22">
        <v>25</v>
      </c>
      <c r="H504" s="18">
        <v>19.625</v>
      </c>
      <c r="I504" s="18">
        <v>0.78500000000000003</v>
      </c>
      <c r="J504" s="18">
        <v>0.79</v>
      </c>
      <c r="K504" s="18">
        <v>0.78</v>
      </c>
      <c r="L504" s="22">
        <v>2</v>
      </c>
    </row>
    <row r="505" spans="1:12">
      <c r="A505">
        <v>1</v>
      </c>
      <c r="B505" s="16" t="s">
        <v>37</v>
      </c>
      <c r="C505" s="9">
        <v>46174</v>
      </c>
      <c r="D505">
        <v>27</v>
      </c>
      <c r="E505" s="16" t="s">
        <v>116</v>
      </c>
      <c r="F505" s="16" t="s">
        <v>90</v>
      </c>
      <c r="G505" s="22">
        <v>25</v>
      </c>
      <c r="H505" s="18">
        <v>19.875</v>
      </c>
      <c r="I505" s="18">
        <v>0.79500000000000004</v>
      </c>
      <c r="J505" s="18">
        <v>0.8</v>
      </c>
      <c r="K505" s="18">
        <v>0.79</v>
      </c>
      <c r="L505" s="22">
        <v>2</v>
      </c>
    </row>
    <row r="506" spans="1:12">
      <c r="A506">
        <v>1</v>
      </c>
      <c r="B506" s="16" t="s">
        <v>37</v>
      </c>
      <c r="C506" s="9">
        <v>46204</v>
      </c>
      <c r="D506">
        <v>27</v>
      </c>
      <c r="E506" s="16" t="s">
        <v>116</v>
      </c>
      <c r="F506" s="16" t="s">
        <v>90</v>
      </c>
      <c r="G506" s="22">
        <v>25</v>
      </c>
      <c r="H506" s="18">
        <v>19.75</v>
      </c>
      <c r="I506" s="18">
        <v>0.79</v>
      </c>
      <c r="J506" s="18">
        <v>0.79</v>
      </c>
      <c r="K506" s="18">
        <v>0.79</v>
      </c>
      <c r="L506" s="22">
        <v>2</v>
      </c>
    </row>
    <row r="507" spans="1:12">
      <c r="A507">
        <v>1</v>
      </c>
      <c r="B507" s="16" t="s">
        <v>37</v>
      </c>
      <c r="C507" s="9">
        <v>46235</v>
      </c>
      <c r="D507">
        <v>27</v>
      </c>
      <c r="E507" s="16" t="s">
        <v>116</v>
      </c>
      <c r="F507" s="16" t="s">
        <v>90</v>
      </c>
      <c r="G507" s="22">
        <v>25</v>
      </c>
      <c r="H507" s="18">
        <v>19.75</v>
      </c>
      <c r="I507" s="18">
        <v>0.79</v>
      </c>
      <c r="J507" s="18">
        <v>0.8</v>
      </c>
      <c r="K507" s="18">
        <v>0.78</v>
      </c>
      <c r="L507" s="22">
        <v>2</v>
      </c>
    </row>
    <row r="508" spans="1:12">
      <c r="A508">
        <v>1</v>
      </c>
      <c r="B508" s="16" t="s">
        <v>37</v>
      </c>
      <c r="C508" s="9">
        <v>46266</v>
      </c>
      <c r="D508">
        <v>27</v>
      </c>
      <c r="E508" s="16" t="s">
        <v>116</v>
      </c>
      <c r="F508" s="16" t="s">
        <v>90</v>
      </c>
      <c r="G508" s="22">
        <v>25</v>
      </c>
      <c r="H508" s="18">
        <v>20</v>
      </c>
      <c r="I508" s="18">
        <v>0.8</v>
      </c>
      <c r="J508" s="18">
        <v>0.81</v>
      </c>
      <c r="K508" s="18">
        <v>0.79</v>
      </c>
      <c r="L508" s="22">
        <v>2</v>
      </c>
    </row>
    <row r="509" spans="1:12">
      <c r="A509">
        <v>1</v>
      </c>
      <c r="B509" s="16" t="s">
        <v>37</v>
      </c>
      <c r="C509" s="9">
        <v>45689</v>
      </c>
      <c r="D509">
        <v>28</v>
      </c>
      <c r="E509" s="16" t="s">
        <v>117</v>
      </c>
      <c r="F509" s="16" t="s">
        <v>92</v>
      </c>
      <c r="G509" s="22">
        <v>33.5</v>
      </c>
      <c r="H509" s="18">
        <v>43.77</v>
      </c>
      <c r="I509" s="18">
        <v>1.3065671640000001</v>
      </c>
      <c r="J509" s="18">
        <v>1.33</v>
      </c>
      <c r="K509" s="18">
        <v>1.29</v>
      </c>
      <c r="L509" s="22">
        <v>8</v>
      </c>
    </row>
    <row r="510" spans="1:12">
      <c r="A510">
        <v>1</v>
      </c>
      <c r="B510" s="16" t="s">
        <v>37</v>
      </c>
      <c r="C510" s="9">
        <v>45717</v>
      </c>
      <c r="D510">
        <v>28</v>
      </c>
      <c r="E510" s="16" t="s">
        <v>117</v>
      </c>
      <c r="F510" s="16" t="s">
        <v>92</v>
      </c>
      <c r="G510" s="22">
        <v>40</v>
      </c>
      <c r="H510" s="18">
        <v>50.884999999999998</v>
      </c>
      <c r="I510" s="18">
        <v>1.272125</v>
      </c>
      <c r="J510" s="18">
        <v>1.3</v>
      </c>
      <c r="K510" s="18">
        <v>1.25</v>
      </c>
      <c r="L510" s="22">
        <v>9</v>
      </c>
    </row>
    <row r="511" spans="1:12">
      <c r="A511">
        <v>1</v>
      </c>
      <c r="B511" s="16" t="s">
        <v>37</v>
      </c>
      <c r="C511" s="9">
        <v>45748</v>
      </c>
      <c r="D511">
        <v>28</v>
      </c>
      <c r="E511" s="16" t="s">
        <v>117</v>
      </c>
      <c r="F511" s="16" t="s">
        <v>92</v>
      </c>
      <c r="G511" s="22">
        <v>38</v>
      </c>
      <c r="H511" s="18">
        <v>45.954999999999998</v>
      </c>
      <c r="I511" s="18">
        <v>1.2093421049999999</v>
      </c>
      <c r="J511" s="18">
        <v>1.24</v>
      </c>
      <c r="K511" s="18">
        <v>1.18</v>
      </c>
      <c r="L511" s="22">
        <v>8</v>
      </c>
    </row>
    <row r="512" spans="1:12">
      <c r="A512">
        <v>1</v>
      </c>
      <c r="B512" s="16" t="s">
        <v>37</v>
      </c>
      <c r="C512" s="9">
        <v>45778</v>
      </c>
      <c r="D512">
        <v>28</v>
      </c>
      <c r="E512" s="16" t="s">
        <v>117</v>
      </c>
      <c r="F512" s="16" t="s">
        <v>92</v>
      </c>
      <c r="G512" s="22">
        <v>43.5</v>
      </c>
      <c r="H512" s="18">
        <v>50.05</v>
      </c>
      <c r="I512" s="18">
        <v>1.1505747129999999</v>
      </c>
      <c r="J512" s="18">
        <v>1.17</v>
      </c>
      <c r="K512" s="18">
        <v>1.1100000000000001</v>
      </c>
      <c r="L512" s="22">
        <v>9</v>
      </c>
    </row>
    <row r="513" spans="1:12">
      <c r="A513">
        <v>1</v>
      </c>
      <c r="B513" s="16" t="s">
        <v>37</v>
      </c>
      <c r="C513" s="9">
        <v>45809</v>
      </c>
      <c r="D513">
        <v>28</v>
      </c>
      <c r="E513" s="16" t="s">
        <v>117</v>
      </c>
      <c r="F513" s="16" t="s">
        <v>92</v>
      </c>
      <c r="G513" s="22">
        <v>38.5</v>
      </c>
      <c r="H513" s="18">
        <v>43.11</v>
      </c>
      <c r="I513" s="18">
        <v>1.1197402599999999</v>
      </c>
      <c r="J513" s="18">
        <v>1.1399999999999999</v>
      </c>
      <c r="K513" s="18">
        <v>1.0900000000000001</v>
      </c>
      <c r="L513" s="22">
        <v>9</v>
      </c>
    </row>
    <row r="514" spans="1:12">
      <c r="A514">
        <v>1</v>
      </c>
      <c r="B514" s="16" t="s">
        <v>37</v>
      </c>
      <c r="C514" s="9">
        <v>45839</v>
      </c>
      <c r="D514">
        <v>28</v>
      </c>
      <c r="E514" s="16" t="s">
        <v>117</v>
      </c>
      <c r="F514" s="16" t="s">
        <v>92</v>
      </c>
      <c r="G514" s="22">
        <v>34</v>
      </c>
      <c r="H514" s="18">
        <v>37.82</v>
      </c>
      <c r="I514" s="18">
        <v>1.1123529409999999</v>
      </c>
      <c r="J514" s="18">
        <v>1.1399999999999999</v>
      </c>
      <c r="K514" s="18">
        <v>1.08</v>
      </c>
      <c r="L514" s="22">
        <v>9</v>
      </c>
    </row>
    <row r="515" spans="1:12">
      <c r="A515">
        <v>1</v>
      </c>
      <c r="B515" s="16" t="s">
        <v>37</v>
      </c>
      <c r="C515" s="9">
        <v>45870</v>
      </c>
      <c r="D515">
        <v>28</v>
      </c>
      <c r="E515" s="16" t="s">
        <v>117</v>
      </c>
      <c r="F515" s="16" t="s">
        <v>92</v>
      </c>
      <c r="G515" s="22">
        <v>25.5</v>
      </c>
      <c r="H515" s="18">
        <v>29.094999999999999</v>
      </c>
      <c r="I515" s="18">
        <v>1.1409803919999999</v>
      </c>
      <c r="J515" s="18">
        <v>1.22</v>
      </c>
      <c r="K515" s="18">
        <v>1.1100000000000001</v>
      </c>
      <c r="L515" s="22">
        <v>8</v>
      </c>
    </row>
    <row r="516" spans="1:12">
      <c r="A516">
        <v>1</v>
      </c>
      <c r="B516" s="16" t="s">
        <v>37</v>
      </c>
      <c r="C516" s="9">
        <v>45901</v>
      </c>
      <c r="D516">
        <v>28</v>
      </c>
      <c r="E516" s="16" t="s">
        <v>117</v>
      </c>
      <c r="F516" s="16" t="s">
        <v>92</v>
      </c>
      <c r="G516" s="22">
        <v>40</v>
      </c>
      <c r="H516" s="18">
        <v>47.854999999999997</v>
      </c>
      <c r="I516" s="18">
        <v>1.196375</v>
      </c>
      <c r="J516" s="18">
        <v>1.24</v>
      </c>
      <c r="K516" s="18">
        <v>1.1599999999999999</v>
      </c>
      <c r="L516" s="22">
        <v>9</v>
      </c>
    </row>
    <row r="517" spans="1:12">
      <c r="A517">
        <v>1</v>
      </c>
      <c r="B517" s="16" t="s">
        <v>37</v>
      </c>
      <c r="C517" s="9">
        <v>45931</v>
      </c>
      <c r="D517">
        <v>28</v>
      </c>
      <c r="E517" s="16" t="s">
        <v>117</v>
      </c>
      <c r="F517" s="16" t="s">
        <v>92</v>
      </c>
      <c r="G517" s="22">
        <v>49</v>
      </c>
      <c r="H517" s="18">
        <v>60.96</v>
      </c>
      <c r="I517" s="18">
        <v>1.244081633</v>
      </c>
      <c r="J517" s="18">
        <v>1.27</v>
      </c>
      <c r="K517" s="18">
        <v>1.21</v>
      </c>
      <c r="L517" s="22">
        <v>9</v>
      </c>
    </row>
    <row r="518" spans="1:12">
      <c r="A518">
        <v>1</v>
      </c>
      <c r="B518" s="16" t="s">
        <v>37</v>
      </c>
      <c r="C518" s="9">
        <v>45962</v>
      </c>
      <c r="D518">
        <v>28</v>
      </c>
      <c r="E518" s="16" t="s">
        <v>117</v>
      </c>
      <c r="F518" s="16" t="s">
        <v>92</v>
      </c>
      <c r="G518" s="22">
        <v>49.5</v>
      </c>
      <c r="H518" s="18">
        <v>64.174999999999997</v>
      </c>
      <c r="I518" s="18">
        <v>1.296464646</v>
      </c>
      <c r="J518" s="18">
        <v>1.32</v>
      </c>
      <c r="K518" s="18">
        <v>1.28</v>
      </c>
      <c r="L518" s="22">
        <v>8</v>
      </c>
    </row>
    <row r="519" spans="1:12">
      <c r="A519">
        <v>1</v>
      </c>
      <c r="B519" s="16" t="s">
        <v>37</v>
      </c>
      <c r="C519" s="9">
        <v>45992</v>
      </c>
      <c r="D519">
        <v>28</v>
      </c>
      <c r="E519" s="16" t="s">
        <v>117</v>
      </c>
      <c r="F519" s="16" t="s">
        <v>92</v>
      </c>
      <c r="G519" s="22">
        <v>60.5</v>
      </c>
      <c r="H519" s="18">
        <v>81.385000000000005</v>
      </c>
      <c r="I519" s="18">
        <v>1.3452066119999999</v>
      </c>
      <c r="J519" s="18">
        <v>1.37</v>
      </c>
      <c r="K519" s="18">
        <v>1.33</v>
      </c>
      <c r="L519" s="22">
        <v>9</v>
      </c>
    </row>
    <row r="520" spans="1:12">
      <c r="A520">
        <v>1</v>
      </c>
      <c r="B520" s="16" t="s">
        <v>37</v>
      </c>
      <c r="C520" s="9">
        <v>46023</v>
      </c>
      <c r="D520">
        <v>28</v>
      </c>
      <c r="E520" s="16" t="s">
        <v>117</v>
      </c>
      <c r="F520" s="16" t="s">
        <v>92</v>
      </c>
      <c r="G520" s="22">
        <v>49.5</v>
      </c>
      <c r="H520" s="18">
        <v>66.599999999999994</v>
      </c>
      <c r="I520" s="18">
        <v>1.3454545449999999</v>
      </c>
      <c r="J520" s="18">
        <v>1.37</v>
      </c>
      <c r="K520" s="18">
        <v>1.33</v>
      </c>
      <c r="L520" s="22">
        <v>9</v>
      </c>
    </row>
    <row r="521" spans="1:12">
      <c r="A521">
        <v>1</v>
      </c>
      <c r="B521" s="16" t="s">
        <v>37</v>
      </c>
      <c r="C521" s="9">
        <v>46054</v>
      </c>
      <c r="D521">
        <v>28</v>
      </c>
      <c r="E521" s="16" t="s">
        <v>117</v>
      </c>
      <c r="F521" s="16" t="s">
        <v>92</v>
      </c>
      <c r="G521" s="22">
        <v>39</v>
      </c>
      <c r="H521" s="18">
        <v>52.034999999999997</v>
      </c>
      <c r="I521" s="18">
        <v>1.3342307689999999</v>
      </c>
      <c r="J521" s="18">
        <v>1.35</v>
      </c>
      <c r="K521" s="18">
        <v>1.32</v>
      </c>
      <c r="L521" s="22">
        <v>8</v>
      </c>
    </row>
    <row r="522" spans="1:12">
      <c r="A522">
        <v>1</v>
      </c>
      <c r="B522" s="16" t="s">
        <v>37</v>
      </c>
      <c r="C522" s="9">
        <v>46082</v>
      </c>
      <c r="D522">
        <v>28</v>
      </c>
      <c r="E522" s="16" t="s">
        <v>117</v>
      </c>
      <c r="F522" s="16" t="s">
        <v>92</v>
      </c>
      <c r="G522" s="22">
        <v>43.5</v>
      </c>
      <c r="H522" s="18">
        <v>56.484999999999999</v>
      </c>
      <c r="I522" s="18">
        <v>1.2985057470000001</v>
      </c>
      <c r="J522" s="18">
        <v>1.39</v>
      </c>
      <c r="K522" s="18">
        <v>1.27</v>
      </c>
      <c r="L522" s="22">
        <v>9</v>
      </c>
    </row>
    <row r="523" spans="1:12">
      <c r="A523">
        <v>1</v>
      </c>
      <c r="B523" s="16" t="s">
        <v>37</v>
      </c>
      <c r="C523" s="9">
        <v>46113</v>
      </c>
      <c r="D523">
        <v>28</v>
      </c>
      <c r="E523" s="16" t="s">
        <v>117</v>
      </c>
      <c r="F523" s="16" t="s">
        <v>92</v>
      </c>
      <c r="G523" s="22">
        <v>42.5</v>
      </c>
      <c r="H523" s="18">
        <v>53.155000000000001</v>
      </c>
      <c r="I523" s="18">
        <v>1.2507058820000001</v>
      </c>
      <c r="J523" s="18">
        <v>1.27</v>
      </c>
      <c r="K523" s="18">
        <v>1.23</v>
      </c>
      <c r="L523" s="22">
        <v>9</v>
      </c>
    </row>
    <row r="524" spans="1:12">
      <c r="A524">
        <v>1</v>
      </c>
      <c r="B524" s="16" t="s">
        <v>37</v>
      </c>
      <c r="C524" s="9">
        <v>46143</v>
      </c>
      <c r="D524">
        <v>28</v>
      </c>
      <c r="E524" s="16" t="s">
        <v>117</v>
      </c>
      <c r="F524" s="16" t="s">
        <v>92</v>
      </c>
      <c r="G524" s="22">
        <v>44</v>
      </c>
      <c r="H524" s="18">
        <v>53.155000000000001</v>
      </c>
      <c r="I524" s="18">
        <v>1.2080681820000001</v>
      </c>
      <c r="J524" s="18">
        <v>1.22</v>
      </c>
      <c r="K524" s="18">
        <v>1.2</v>
      </c>
      <c r="L524" s="22">
        <v>8</v>
      </c>
    </row>
    <row r="525" spans="1:12">
      <c r="A525">
        <v>1</v>
      </c>
      <c r="B525" s="16" t="s">
        <v>37</v>
      </c>
      <c r="C525" s="9">
        <v>46174</v>
      </c>
      <c r="D525">
        <v>28</v>
      </c>
      <c r="E525" s="16" t="s">
        <v>117</v>
      </c>
      <c r="F525" s="16" t="s">
        <v>92</v>
      </c>
      <c r="G525" s="22">
        <v>40.5</v>
      </c>
      <c r="H525" s="18">
        <v>47.76</v>
      </c>
      <c r="I525" s="18">
        <v>1.1792592589999999</v>
      </c>
      <c r="J525" s="18">
        <v>1.19</v>
      </c>
      <c r="K525" s="18">
        <v>1.1599999999999999</v>
      </c>
      <c r="L525" s="22">
        <v>9</v>
      </c>
    </row>
    <row r="526" spans="1:12">
      <c r="A526">
        <v>1</v>
      </c>
      <c r="B526" s="16" t="s">
        <v>37</v>
      </c>
      <c r="C526" s="9">
        <v>46204</v>
      </c>
      <c r="D526">
        <v>28</v>
      </c>
      <c r="E526" s="16" t="s">
        <v>117</v>
      </c>
      <c r="F526" s="16" t="s">
        <v>92</v>
      </c>
      <c r="G526" s="22">
        <v>41</v>
      </c>
      <c r="H526" s="18">
        <v>47.81</v>
      </c>
      <c r="I526" s="18">
        <v>1.1660975609999999</v>
      </c>
      <c r="J526" s="18">
        <v>1.18</v>
      </c>
      <c r="K526" s="18">
        <v>1.1399999999999999</v>
      </c>
      <c r="L526" s="22">
        <v>9</v>
      </c>
    </row>
    <row r="527" spans="1:12">
      <c r="A527">
        <v>1</v>
      </c>
      <c r="B527" s="16" t="s">
        <v>37</v>
      </c>
      <c r="C527" s="9">
        <v>46235</v>
      </c>
      <c r="D527">
        <v>28</v>
      </c>
      <c r="E527" s="16" t="s">
        <v>117</v>
      </c>
      <c r="F527" s="16" t="s">
        <v>92</v>
      </c>
      <c r="G527" s="22">
        <v>39</v>
      </c>
      <c r="H527" s="18">
        <v>46.64</v>
      </c>
      <c r="I527" s="18">
        <v>1.1958974360000001</v>
      </c>
      <c r="J527" s="18">
        <v>1.27</v>
      </c>
      <c r="K527" s="18">
        <v>1.1599999999999999</v>
      </c>
      <c r="L527" s="22">
        <v>9</v>
      </c>
    </row>
    <row r="528" spans="1:12">
      <c r="A528">
        <v>1</v>
      </c>
      <c r="B528" s="16" t="s">
        <v>37</v>
      </c>
      <c r="C528" s="9">
        <v>46266</v>
      </c>
      <c r="D528">
        <v>28</v>
      </c>
      <c r="E528" s="16" t="s">
        <v>117</v>
      </c>
      <c r="F528" s="16" t="s">
        <v>92</v>
      </c>
      <c r="G528" s="22">
        <v>42</v>
      </c>
      <c r="H528" s="18">
        <v>51.204999999999998</v>
      </c>
      <c r="I528" s="18">
        <v>1.2191666670000001</v>
      </c>
      <c r="J528" s="18">
        <v>1.23</v>
      </c>
      <c r="K528" s="18">
        <v>1.21</v>
      </c>
      <c r="L528" s="22">
        <v>8</v>
      </c>
    </row>
    <row r="529" spans="1:12">
      <c r="A529">
        <v>1</v>
      </c>
      <c r="B529" s="16" t="s">
        <v>37</v>
      </c>
      <c r="C529" s="9">
        <v>45689</v>
      </c>
      <c r="D529">
        <v>29</v>
      </c>
      <c r="E529" s="16" t="s">
        <v>118</v>
      </c>
      <c r="F529" s="16" t="s">
        <v>87</v>
      </c>
      <c r="G529" s="22">
        <v>74.25</v>
      </c>
      <c r="H529" s="18">
        <v>1053.7974999999999</v>
      </c>
      <c r="I529" s="18">
        <v>14.192558923</v>
      </c>
      <c r="J529" s="18">
        <v>14.47</v>
      </c>
      <c r="K529" s="18">
        <v>14.03</v>
      </c>
      <c r="L529" s="22">
        <v>8</v>
      </c>
    </row>
    <row r="530" spans="1:12">
      <c r="A530">
        <v>1</v>
      </c>
      <c r="B530" s="16" t="s">
        <v>37</v>
      </c>
      <c r="C530" s="9">
        <v>45717</v>
      </c>
      <c r="D530">
        <v>29</v>
      </c>
      <c r="E530" s="16" t="s">
        <v>118</v>
      </c>
      <c r="F530" s="16" t="s">
        <v>87</v>
      </c>
      <c r="G530" s="22">
        <v>70.75</v>
      </c>
      <c r="H530" s="18">
        <v>999.49249999999995</v>
      </c>
      <c r="I530" s="18">
        <v>14.127102473000001</v>
      </c>
      <c r="J530" s="18">
        <v>14.55</v>
      </c>
      <c r="K530" s="18">
        <v>13.86</v>
      </c>
      <c r="L530" s="22">
        <v>9</v>
      </c>
    </row>
    <row r="531" spans="1:12">
      <c r="A531">
        <v>1</v>
      </c>
      <c r="B531" s="16" t="s">
        <v>37</v>
      </c>
      <c r="C531" s="9">
        <v>45748</v>
      </c>
      <c r="D531">
        <v>29</v>
      </c>
      <c r="E531" s="16" t="s">
        <v>118</v>
      </c>
      <c r="F531" s="16" t="s">
        <v>87</v>
      </c>
      <c r="G531" s="22">
        <v>94.75</v>
      </c>
      <c r="H531" s="18">
        <v>1341.6624999999999</v>
      </c>
      <c r="I531" s="18">
        <v>14.160026385</v>
      </c>
      <c r="J531" s="18">
        <v>14.38</v>
      </c>
      <c r="K531" s="18">
        <v>14.01</v>
      </c>
      <c r="L531" s="22">
        <v>8</v>
      </c>
    </row>
    <row r="532" spans="1:12">
      <c r="A532">
        <v>1</v>
      </c>
      <c r="B532" s="16" t="s">
        <v>37</v>
      </c>
      <c r="C532" s="9">
        <v>45778</v>
      </c>
      <c r="D532">
        <v>29</v>
      </c>
      <c r="E532" s="16" t="s">
        <v>118</v>
      </c>
      <c r="F532" s="16" t="s">
        <v>87</v>
      </c>
      <c r="G532" s="22">
        <v>94.75</v>
      </c>
      <c r="H532" s="18">
        <v>1368.855</v>
      </c>
      <c r="I532" s="18">
        <v>14.44701847</v>
      </c>
      <c r="J532" s="18">
        <v>14.67</v>
      </c>
      <c r="K532" s="18">
        <v>14.2</v>
      </c>
      <c r="L532" s="22">
        <v>9</v>
      </c>
    </row>
    <row r="533" spans="1:12">
      <c r="A533">
        <v>1</v>
      </c>
      <c r="B533" s="16" t="s">
        <v>37</v>
      </c>
      <c r="C533" s="9">
        <v>45809</v>
      </c>
      <c r="D533">
        <v>29</v>
      </c>
      <c r="E533" s="16" t="s">
        <v>118</v>
      </c>
      <c r="F533" s="16" t="s">
        <v>87</v>
      </c>
      <c r="G533" s="22">
        <v>70.75</v>
      </c>
      <c r="H533" s="18">
        <v>1010.3875</v>
      </c>
      <c r="I533" s="18">
        <v>14.281095406</v>
      </c>
      <c r="J533" s="18">
        <v>14.39</v>
      </c>
      <c r="K533" s="18">
        <v>14.12</v>
      </c>
      <c r="L533" s="22">
        <v>9</v>
      </c>
    </row>
    <row r="534" spans="1:12">
      <c r="A534">
        <v>1</v>
      </c>
      <c r="B534" s="16" t="s">
        <v>37</v>
      </c>
      <c r="C534" s="9">
        <v>45839</v>
      </c>
      <c r="D534">
        <v>29</v>
      </c>
      <c r="E534" s="16" t="s">
        <v>118</v>
      </c>
      <c r="F534" s="16" t="s">
        <v>87</v>
      </c>
      <c r="G534" s="22">
        <v>61.5</v>
      </c>
      <c r="H534" s="18">
        <v>880.28</v>
      </c>
      <c r="I534" s="18">
        <v>14.313495935000001</v>
      </c>
      <c r="J534" s="18">
        <v>14.64</v>
      </c>
      <c r="K534" s="18">
        <v>13.76</v>
      </c>
      <c r="L534" s="22">
        <v>9</v>
      </c>
    </row>
    <row r="535" spans="1:12">
      <c r="A535">
        <v>1</v>
      </c>
      <c r="B535" s="16" t="s">
        <v>37</v>
      </c>
      <c r="C535" s="9">
        <v>45870</v>
      </c>
      <c r="D535">
        <v>29</v>
      </c>
      <c r="E535" s="16" t="s">
        <v>118</v>
      </c>
      <c r="F535" s="16" t="s">
        <v>87</v>
      </c>
      <c r="G535" s="22">
        <v>60.5</v>
      </c>
      <c r="H535" s="18">
        <v>887.81</v>
      </c>
      <c r="I535" s="18">
        <v>14.674545455000001</v>
      </c>
      <c r="J535" s="18">
        <v>15.05</v>
      </c>
      <c r="K535" s="18">
        <v>14.37</v>
      </c>
      <c r="L535" s="22">
        <v>8</v>
      </c>
    </row>
    <row r="536" spans="1:12">
      <c r="A536">
        <v>1</v>
      </c>
      <c r="B536" s="16" t="s">
        <v>37</v>
      </c>
      <c r="C536" s="9">
        <v>45901</v>
      </c>
      <c r="D536">
        <v>29</v>
      </c>
      <c r="E536" s="16" t="s">
        <v>118</v>
      </c>
      <c r="F536" s="16" t="s">
        <v>87</v>
      </c>
      <c r="G536" s="22">
        <v>90</v>
      </c>
      <c r="H536" s="18">
        <v>1304.6824999999999</v>
      </c>
      <c r="I536" s="18">
        <v>14.496472222</v>
      </c>
      <c r="J536" s="18">
        <v>14.74</v>
      </c>
      <c r="K536" s="18">
        <v>14.33</v>
      </c>
      <c r="L536" s="22">
        <v>9</v>
      </c>
    </row>
    <row r="537" spans="1:12">
      <c r="A537">
        <v>1</v>
      </c>
      <c r="B537" s="16" t="s">
        <v>37</v>
      </c>
      <c r="C537" s="9">
        <v>45931</v>
      </c>
      <c r="D537">
        <v>29</v>
      </c>
      <c r="E537" s="16" t="s">
        <v>118</v>
      </c>
      <c r="F537" s="16" t="s">
        <v>87</v>
      </c>
      <c r="G537" s="22">
        <v>116</v>
      </c>
      <c r="H537" s="18">
        <v>1705.835</v>
      </c>
      <c r="I537" s="18">
        <v>14.705474138</v>
      </c>
      <c r="J537" s="18">
        <v>15.08</v>
      </c>
      <c r="K537" s="18">
        <v>14.4</v>
      </c>
      <c r="L537" s="22">
        <v>9</v>
      </c>
    </row>
    <row r="538" spans="1:12">
      <c r="A538">
        <v>1</v>
      </c>
      <c r="B538" s="16" t="s">
        <v>37</v>
      </c>
      <c r="C538" s="9">
        <v>45962</v>
      </c>
      <c r="D538">
        <v>29</v>
      </c>
      <c r="E538" s="16" t="s">
        <v>118</v>
      </c>
      <c r="F538" s="16" t="s">
        <v>87</v>
      </c>
      <c r="G538" s="22">
        <v>92</v>
      </c>
      <c r="H538" s="18">
        <v>1354.63</v>
      </c>
      <c r="I538" s="18">
        <v>14.724239130000001</v>
      </c>
      <c r="J538" s="18">
        <v>14.93</v>
      </c>
      <c r="K538" s="18">
        <v>14.52</v>
      </c>
      <c r="L538" s="22">
        <v>8</v>
      </c>
    </row>
    <row r="539" spans="1:12">
      <c r="A539">
        <v>1</v>
      </c>
      <c r="B539" s="16" t="s">
        <v>37</v>
      </c>
      <c r="C539" s="9">
        <v>45992</v>
      </c>
      <c r="D539">
        <v>29</v>
      </c>
      <c r="E539" s="16" t="s">
        <v>118</v>
      </c>
      <c r="F539" s="16" t="s">
        <v>87</v>
      </c>
      <c r="G539" s="22">
        <v>126.75</v>
      </c>
      <c r="H539" s="18">
        <v>1870.0250000000001</v>
      </c>
      <c r="I539" s="18">
        <v>14.753648914999999</v>
      </c>
      <c r="J539" s="18">
        <v>15</v>
      </c>
      <c r="K539" s="18">
        <v>14.4</v>
      </c>
      <c r="L539" s="22">
        <v>9</v>
      </c>
    </row>
    <row r="540" spans="1:12">
      <c r="A540">
        <v>1</v>
      </c>
      <c r="B540" s="16" t="s">
        <v>37</v>
      </c>
      <c r="C540" s="9">
        <v>46023</v>
      </c>
      <c r="D540">
        <v>29</v>
      </c>
      <c r="E540" s="16" t="s">
        <v>118</v>
      </c>
      <c r="F540" s="16" t="s">
        <v>87</v>
      </c>
      <c r="G540" s="22">
        <v>108.75</v>
      </c>
      <c r="H540" s="18">
        <v>1617.48</v>
      </c>
      <c r="I540" s="18">
        <v>14.873379310000001</v>
      </c>
      <c r="J540" s="18">
        <v>15.19</v>
      </c>
      <c r="K540" s="18">
        <v>14.52</v>
      </c>
      <c r="L540" s="22">
        <v>9</v>
      </c>
    </row>
    <row r="541" spans="1:12">
      <c r="A541">
        <v>1</v>
      </c>
      <c r="B541" s="16" t="s">
        <v>37</v>
      </c>
      <c r="C541" s="9">
        <v>46054</v>
      </c>
      <c r="D541">
        <v>29</v>
      </c>
      <c r="E541" s="16" t="s">
        <v>118</v>
      </c>
      <c r="F541" s="16" t="s">
        <v>87</v>
      </c>
      <c r="G541" s="22">
        <v>85.75</v>
      </c>
      <c r="H541" s="18">
        <v>1287.425</v>
      </c>
      <c r="I541" s="18">
        <v>15.013702624</v>
      </c>
      <c r="J541" s="18">
        <v>15.43</v>
      </c>
      <c r="K541" s="18">
        <v>14.81</v>
      </c>
      <c r="L541" s="22">
        <v>8</v>
      </c>
    </row>
    <row r="542" spans="1:12">
      <c r="A542">
        <v>1</v>
      </c>
      <c r="B542" s="16" t="s">
        <v>37</v>
      </c>
      <c r="C542" s="9">
        <v>46082</v>
      </c>
      <c r="D542">
        <v>29</v>
      </c>
      <c r="E542" s="16" t="s">
        <v>118</v>
      </c>
      <c r="F542" s="16" t="s">
        <v>87</v>
      </c>
      <c r="G542" s="22">
        <v>79.25</v>
      </c>
      <c r="H542" s="18">
        <v>1190.7125000000001</v>
      </c>
      <c r="I542" s="18">
        <v>15.024763407</v>
      </c>
      <c r="J542" s="18">
        <v>15.42</v>
      </c>
      <c r="K542" s="18">
        <v>14.73</v>
      </c>
      <c r="L542" s="22">
        <v>9</v>
      </c>
    </row>
    <row r="543" spans="1:12">
      <c r="A543">
        <v>1</v>
      </c>
      <c r="B543" s="16" t="s">
        <v>37</v>
      </c>
      <c r="C543" s="9">
        <v>46113</v>
      </c>
      <c r="D543">
        <v>29</v>
      </c>
      <c r="E543" s="16" t="s">
        <v>118</v>
      </c>
      <c r="F543" s="16" t="s">
        <v>87</v>
      </c>
      <c r="G543" s="22">
        <v>114.5</v>
      </c>
      <c r="H543" s="18">
        <v>1742.5675000000001</v>
      </c>
      <c r="I543" s="18">
        <v>15.218930131</v>
      </c>
      <c r="J543" s="18">
        <v>15.46</v>
      </c>
      <c r="K543" s="18">
        <v>14.89</v>
      </c>
      <c r="L543" s="22">
        <v>9</v>
      </c>
    </row>
    <row r="544" spans="1:12">
      <c r="A544">
        <v>1</v>
      </c>
      <c r="B544" s="16" t="s">
        <v>37</v>
      </c>
      <c r="C544" s="9">
        <v>46143</v>
      </c>
      <c r="D544">
        <v>29</v>
      </c>
      <c r="E544" s="16" t="s">
        <v>118</v>
      </c>
      <c r="F544" s="16" t="s">
        <v>87</v>
      </c>
      <c r="G544" s="22">
        <v>88.75</v>
      </c>
      <c r="H544" s="18">
        <v>1340.895</v>
      </c>
      <c r="I544" s="18">
        <v>15.108676056</v>
      </c>
      <c r="J544" s="18">
        <v>15.52</v>
      </c>
      <c r="K544" s="18">
        <v>14.91</v>
      </c>
      <c r="L544" s="22">
        <v>8</v>
      </c>
    </row>
    <row r="545" spans="1:12">
      <c r="A545">
        <v>1</v>
      </c>
      <c r="B545" s="16" t="s">
        <v>37</v>
      </c>
      <c r="C545" s="9">
        <v>46174</v>
      </c>
      <c r="D545">
        <v>29</v>
      </c>
      <c r="E545" s="16" t="s">
        <v>118</v>
      </c>
      <c r="F545" s="16" t="s">
        <v>87</v>
      </c>
      <c r="G545" s="22">
        <v>55</v>
      </c>
      <c r="H545" s="18">
        <v>849.77499999999998</v>
      </c>
      <c r="I545" s="18">
        <v>15.450454544999999</v>
      </c>
      <c r="J545" s="18">
        <v>16.07</v>
      </c>
      <c r="K545" s="18">
        <v>14.81</v>
      </c>
      <c r="L545" s="22">
        <v>9</v>
      </c>
    </row>
    <row r="546" spans="1:12">
      <c r="A546">
        <v>1</v>
      </c>
      <c r="B546" s="16" t="s">
        <v>37</v>
      </c>
      <c r="C546" s="9">
        <v>46204</v>
      </c>
      <c r="D546">
        <v>29</v>
      </c>
      <c r="E546" s="16" t="s">
        <v>118</v>
      </c>
      <c r="F546" s="16" t="s">
        <v>87</v>
      </c>
      <c r="G546" s="22">
        <v>67.5</v>
      </c>
      <c r="H546" s="18">
        <v>1016.385</v>
      </c>
      <c r="I546" s="18">
        <v>15.057555556000001</v>
      </c>
      <c r="J546" s="18">
        <v>15.42</v>
      </c>
      <c r="K546" s="18">
        <v>14.9</v>
      </c>
      <c r="L546" s="22">
        <v>9</v>
      </c>
    </row>
    <row r="547" spans="1:12">
      <c r="A547">
        <v>1</v>
      </c>
      <c r="B547" s="16" t="s">
        <v>37</v>
      </c>
      <c r="C547" s="9">
        <v>46235</v>
      </c>
      <c r="D547">
        <v>29</v>
      </c>
      <c r="E547" s="16" t="s">
        <v>118</v>
      </c>
      <c r="F547" s="16" t="s">
        <v>87</v>
      </c>
      <c r="G547" s="22">
        <v>60.5</v>
      </c>
      <c r="H547" s="18">
        <v>916.83749999999998</v>
      </c>
      <c r="I547" s="18">
        <v>15.154338843</v>
      </c>
      <c r="J547" s="18">
        <v>15.33</v>
      </c>
      <c r="K547" s="18">
        <v>14.8</v>
      </c>
      <c r="L547" s="22">
        <v>9</v>
      </c>
    </row>
    <row r="548" spans="1:12">
      <c r="A548">
        <v>1</v>
      </c>
      <c r="B548" s="16" t="s">
        <v>37</v>
      </c>
      <c r="C548" s="9">
        <v>46266</v>
      </c>
      <c r="D548">
        <v>29</v>
      </c>
      <c r="E548" s="16" t="s">
        <v>118</v>
      </c>
      <c r="F548" s="16" t="s">
        <v>87</v>
      </c>
      <c r="G548" s="22">
        <v>77.5</v>
      </c>
      <c r="H548" s="18">
        <v>1168.19</v>
      </c>
      <c r="I548" s="18">
        <v>15.073419355</v>
      </c>
      <c r="J548" s="18">
        <v>15.26</v>
      </c>
      <c r="K548" s="18">
        <v>14.65</v>
      </c>
      <c r="L548" s="22">
        <v>8</v>
      </c>
    </row>
    <row r="549" spans="1:12">
      <c r="A549">
        <v>1</v>
      </c>
      <c r="B549" s="16" t="s">
        <v>37</v>
      </c>
      <c r="C549" s="9">
        <v>45689</v>
      </c>
      <c r="D549">
        <v>30</v>
      </c>
      <c r="E549" s="16" t="s">
        <v>119</v>
      </c>
      <c r="F549" s="16" t="s">
        <v>92</v>
      </c>
      <c r="G549" s="22">
        <v>8.75</v>
      </c>
      <c r="H549" s="18">
        <v>6.1375000000000002</v>
      </c>
      <c r="I549" s="18">
        <v>0.701428571</v>
      </c>
      <c r="J549" s="18">
        <v>0.71</v>
      </c>
      <c r="K549" s="18">
        <v>0.69</v>
      </c>
      <c r="L549" s="22">
        <v>6</v>
      </c>
    </row>
    <row r="550" spans="1:12">
      <c r="A550">
        <v>1</v>
      </c>
      <c r="B550" s="16" t="s">
        <v>37</v>
      </c>
      <c r="C550" s="9">
        <v>45717</v>
      </c>
      <c r="D550">
        <v>30</v>
      </c>
      <c r="E550" s="16" t="s">
        <v>119</v>
      </c>
      <c r="F550" s="16" t="s">
        <v>92</v>
      </c>
      <c r="G550" s="22">
        <v>7.5</v>
      </c>
      <c r="H550" s="18">
        <v>5.1749999999999998</v>
      </c>
      <c r="I550" s="18">
        <v>0.69</v>
      </c>
      <c r="J550" s="18">
        <v>0.7</v>
      </c>
      <c r="K550" s="18">
        <v>0.68</v>
      </c>
      <c r="L550" s="22">
        <v>6</v>
      </c>
    </row>
    <row r="551" spans="1:12">
      <c r="A551">
        <v>1</v>
      </c>
      <c r="B551" s="16" t="s">
        <v>37</v>
      </c>
      <c r="C551" s="9">
        <v>45748</v>
      </c>
      <c r="D551">
        <v>30</v>
      </c>
      <c r="E551" s="16" t="s">
        <v>119</v>
      </c>
      <c r="F551" s="16" t="s">
        <v>92</v>
      </c>
      <c r="G551" s="22">
        <v>10</v>
      </c>
      <c r="H551" s="18">
        <v>6.6124999999999998</v>
      </c>
      <c r="I551" s="18">
        <v>0.66125</v>
      </c>
      <c r="J551" s="18">
        <v>0.68</v>
      </c>
      <c r="K551" s="18">
        <v>0.65</v>
      </c>
      <c r="L551" s="22">
        <v>8</v>
      </c>
    </row>
    <row r="552" spans="1:12">
      <c r="A552">
        <v>1</v>
      </c>
      <c r="B552" s="16" t="s">
        <v>37</v>
      </c>
      <c r="C552" s="9">
        <v>45778</v>
      </c>
      <c r="D552">
        <v>30</v>
      </c>
      <c r="E552" s="16" t="s">
        <v>119</v>
      </c>
      <c r="F552" s="16" t="s">
        <v>92</v>
      </c>
      <c r="G552" s="22">
        <v>10</v>
      </c>
      <c r="H552" s="18">
        <v>6.4375</v>
      </c>
      <c r="I552" s="18">
        <v>0.64375000000000004</v>
      </c>
      <c r="J552" s="18">
        <v>0.66</v>
      </c>
      <c r="K552" s="18">
        <v>0.63</v>
      </c>
      <c r="L552" s="22">
        <v>7</v>
      </c>
    </row>
    <row r="553" spans="1:12">
      <c r="A553">
        <v>1</v>
      </c>
      <c r="B553" s="16" t="s">
        <v>37</v>
      </c>
      <c r="C553" s="9">
        <v>45809</v>
      </c>
      <c r="D553">
        <v>30</v>
      </c>
      <c r="E553" s="16" t="s">
        <v>119</v>
      </c>
      <c r="F553" s="16" t="s">
        <v>92</v>
      </c>
      <c r="G553" s="22">
        <v>8.75</v>
      </c>
      <c r="H553" s="18">
        <v>5.5625</v>
      </c>
      <c r="I553" s="18">
        <v>0.63571428600000002</v>
      </c>
      <c r="J553" s="18">
        <v>0.67</v>
      </c>
      <c r="K553" s="18">
        <v>0.62</v>
      </c>
      <c r="L553" s="22">
        <v>7</v>
      </c>
    </row>
    <row r="554" spans="1:12">
      <c r="A554">
        <v>1</v>
      </c>
      <c r="B554" s="16" t="s">
        <v>37</v>
      </c>
      <c r="C554" s="9">
        <v>45839</v>
      </c>
      <c r="D554">
        <v>30</v>
      </c>
      <c r="E554" s="16" t="s">
        <v>119</v>
      </c>
      <c r="F554" s="16" t="s">
        <v>92</v>
      </c>
      <c r="G554" s="22">
        <v>6.25</v>
      </c>
      <c r="H554" s="18">
        <v>3.9249999999999998</v>
      </c>
      <c r="I554" s="18">
        <v>0.628</v>
      </c>
      <c r="J554" s="18">
        <v>0.64</v>
      </c>
      <c r="K554" s="18">
        <v>0.61</v>
      </c>
      <c r="L554" s="22">
        <v>5</v>
      </c>
    </row>
    <row r="555" spans="1:12">
      <c r="A555">
        <v>1</v>
      </c>
      <c r="B555" s="16" t="s">
        <v>37</v>
      </c>
      <c r="C555" s="9">
        <v>45870</v>
      </c>
      <c r="D555">
        <v>30</v>
      </c>
      <c r="E555" s="16" t="s">
        <v>119</v>
      </c>
      <c r="F555" s="16" t="s">
        <v>92</v>
      </c>
      <c r="G555" s="22">
        <v>7.5</v>
      </c>
      <c r="H555" s="18">
        <v>4.6749999999999998</v>
      </c>
      <c r="I555" s="18">
        <v>0.62333333300000004</v>
      </c>
      <c r="J555" s="18">
        <v>0.63</v>
      </c>
      <c r="K555" s="18">
        <v>0.6</v>
      </c>
      <c r="L555" s="22">
        <v>6</v>
      </c>
    </row>
    <row r="556" spans="1:12">
      <c r="A556">
        <v>1</v>
      </c>
      <c r="B556" s="16" t="s">
        <v>37</v>
      </c>
      <c r="C556" s="9">
        <v>45901</v>
      </c>
      <c r="D556">
        <v>30</v>
      </c>
      <c r="E556" s="16" t="s">
        <v>119</v>
      </c>
      <c r="F556" s="16" t="s">
        <v>92</v>
      </c>
      <c r="G556" s="22">
        <v>10</v>
      </c>
      <c r="H556" s="18">
        <v>6.5625</v>
      </c>
      <c r="I556" s="18">
        <v>0.65625</v>
      </c>
      <c r="J556" s="18">
        <v>0.67</v>
      </c>
      <c r="K556" s="18">
        <v>0.64</v>
      </c>
      <c r="L556" s="22">
        <v>8</v>
      </c>
    </row>
    <row r="557" spans="1:12">
      <c r="A557">
        <v>1</v>
      </c>
      <c r="B557" s="16" t="s">
        <v>37</v>
      </c>
      <c r="C557" s="9">
        <v>45931</v>
      </c>
      <c r="D557">
        <v>30</v>
      </c>
      <c r="E557" s="16" t="s">
        <v>119</v>
      </c>
      <c r="F557" s="16" t="s">
        <v>92</v>
      </c>
      <c r="G557" s="22">
        <v>11.25</v>
      </c>
      <c r="H557" s="18">
        <v>7.6624999999999996</v>
      </c>
      <c r="I557" s="18">
        <v>0.68111111099999999</v>
      </c>
      <c r="J557" s="18">
        <v>0.69</v>
      </c>
      <c r="K557" s="18">
        <v>0.67</v>
      </c>
      <c r="L557" s="22">
        <v>8</v>
      </c>
    </row>
    <row r="558" spans="1:12">
      <c r="A558">
        <v>1</v>
      </c>
      <c r="B558" s="16" t="s">
        <v>37</v>
      </c>
      <c r="C558" s="9">
        <v>45962</v>
      </c>
      <c r="D558">
        <v>30</v>
      </c>
      <c r="E558" s="16" t="s">
        <v>119</v>
      </c>
      <c r="F558" s="16" t="s">
        <v>92</v>
      </c>
      <c r="G558" s="22">
        <v>10</v>
      </c>
      <c r="H558" s="18">
        <v>7.1624999999999996</v>
      </c>
      <c r="I558" s="18">
        <v>0.71625000000000005</v>
      </c>
      <c r="J558" s="18">
        <v>0.73</v>
      </c>
      <c r="K558" s="18">
        <v>0.7</v>
      </c>
      <c r="L558" s="22">
        <v>7</v>
      </c>
    </row>
    <row r="559" spans="1:12">
      <c r="A559">
        <v>1</v>
      </c>
      <c r="B559" s="16" t="s">
        <v>37</v>
      </c>
      <c r="C559" s="9">
        <v>45992</v>
      </c>
      <c r="D559">
        <v>30</v>
      </c>
      <c r="E559" s="16" t="s">
        <v>119</v>
      </c>
      <c r="F559" s="16" t="s">
        <v>92</v>
      </c>
      <c r="G559" s="22">
        <v>13.75</v>
      </c>
      <c r="H559" s="18">
        <v>10.012499999999999</v>
      </c>
      <c r="I559" s="18">
        <v>0.72818181800000004</v>
      </c>
      <c r="J559" s="18">
        <v>0.74</v>
      </c>
      <c r="K559" s="18">
        <v>0.71</v>
      </c>
      <c r="L559" s="22">
        <v>9</v>
      </c>
    </row>
    <row r="560" spans="1:12">
      <c r="A560">
        <v>1</v>
      </c>
      <c r="B560" s="16" t="s">
        <v>37</v>
      </c>
      <c r="C560" s="9">
        <v>46023</v>
      </c>
      <c r="D560">
        <v>30</v>
      </c>
      <c r="E560" s="16" t="s">
        <v>119</v>
      </c>
      <c r="F560" s="16" t="s">
        <v>92</v>
      </c>
      <c r="G560" s="22">
        <v>11.25</v>
      </c>
      <c r="H560" s="18">
        <v>8.25</v>
      </c>
      <c r="I560" s="18">
        <v>0.73333333300000003</v>
      </c>
      <c r="J560" s="18">
        <v>0.75</v>
      </c>
      <c r="K560" s="18">
        <v>0.72</v>
      </c>
      <c r="L560" s="22">
        <v>9</v>
      </c>
    </row>
    <row r="561" spans="1:12">
      <c r="A561">
        <v>1</v>
      </c>
      <c r="B561" s="16" t="s">
        <v>37</v>
      </c>
      <c r="C561" s="9">
        <v>46054</v>
      </c>
      <c r="D561">
        <v>30</v>
      </c>
      <c r="E561" s="16" t="s">
        <v>119</v>
      </c>
      <c r="F561" s="16" t="s">
        <v>92</v>
      </c>
      <c r="G561" s="22">
        <v>8.75</v>
      </c>
      <c r="H561" s="18">
        <v>6.375</v>
      </c>
      <c r="I561" s="18">
        <v>0.72857142900000005</v>
      </c>
      <c r="J561" s="18">
        <v>0.75</v>
      </c>
      <c r="K561" s="18">
        <v>0.72</v>
      </c>
      <c r="L561" s="22">
        <v>6</v>
      </c>
    </row>
    <row r="562" spans="1:12">
      <c r="A562">
        <v>1</v>
      </c>
      <c r="B562" s="16" t="s">
        <v>37</v>
      </c>
      <c r="C562" s="9">
        <v>46082</v>
      </c>
      <c r="D562">
        <v>30</v>
      </c>
      <c r="E562" s="16" t="s">
        <v>119</v>
      </c>
      <c r="F562" s="16" t="s">
        <v>92</v>
      </c>
      <c r="G562" s="22">
        <v>8.75</v>
      </c>
      <c r="H562" s="18">
        <v>6.1749999999999998</v>
      </c>
      <c r="I562" s="18">
        <v>0.70571428599999997</v>
      </c>
      <c r="J562" s="18">
        <v>0.71</v>
      </c>
      <c r="K562" s="18">
        <v>0.7</v>
      </c>
      <c r="L562" s="22">
        <v>7</v>
      </c>
    </row>
    <row r="563" spans="1:12">
      <c r="A563">
        <v>1</v>
      </c>
      <c r="B563" s="16" t="s">
        <v>37</v>
      </c>
      <c r="C563" s="9">
        <v>46113</v>
      </c>
      <c r="D563">
        <v>30</v>
      </c>
      <c r="E563" s="16" t="s">
        <v>119</v>
      </c>
      <c r="F563" s="16" t="s">
        <v>92</v>
      </c>
      <c r="G563" s="22">
        <v>12.5</v>
      </c>
      <c r="H563" s="18">
        <v>8.4499999999999993</v>
      </c>
      <c r="I563" s="18">
        <v>0.67600000000000005</v>
      </c>
      <c r="J563" s="18">
        <v>0.69</v>
      </c>
      <c r="K563" s="18">
        <v>0.67</v>
      </c>
      <c r="L563" s="22">
        <v>9</v>
      </c>
    </row>
    <row r="564" spans="1:12">
      <c r="A564">
        <v>1</v>
      </c>
      <c r="B564" s="16" t="s">
        <v>37</v>
      </c>
      <c r="C564" s="9">
        <v>46143</v>
      </c>
      <c r="D564">
        <v>30</v>
      </c>
      <c r="E564" s="16" t="s">
        <v>119</v>
      </c>
      <c r="F564" s="16" t="s">
        <v>92</v>
      </c>
      <c r="G564" s="22">
        <v>10</v>
      </c>
      <c r="H564" s="18">
        <v>6.6375000000000002</v>
      </c>
      <c r="I564" s="18">
        <v>0.66374999999999995</v>
      </c>
      <c r="J564" s="18">
        <v>0.69</v>
      </c>
      <c r="K564" s="18">
        <v>0.66</v>
      </c>
      <c r="L564" s="22">
        <v>7</v>
      </c>
    </row>
    <row r="565" spans="1:12">
      <c r="A565">
        <v>1</v>
      </c>
      <c r="B565" s="16" t="s">
        <v>37</v>
      </c>
      <c r="C565" s="9">
        <v>46174</v>
      </c>
      <c r="D565">
        <v>30</v>
      </c>
      <c r="E565" s="16" t="s">
        <v>119</v>
      </c>
      <c r="F565" s="16" t="s">
        <v>92</v>
      </c>
      <c r="G565" s="22">
        <v>6.25</v>
      </c>
      <c r="H565" s="18">
        <v>4</v>
      </c>
      <c r="I565" s="18">
        <v>0.64</v>
      </c>
      <c r="J565" s="18">
        <v>0.65</v>
      </c>
      <c r="K565" s="18">
        <v>0.63</v>
      </c>
      <c r="L565" s="22">
        <v>5</v>
      </c>
    </row>
    <row r="566" spans="1:12">
      <c r="A566">
        <v>1</v>
      </c>
      <c r="B566" s="16" t="s">
        <v>37</v>
      </c>
      <c r="C566" s="9">
        <v>46204</v>
      </c>
      <c r="D566">
        <v>30</v>
      </c>
      <c r="E566" s="16" t="s">
        <v>119</v>
      </c>
      <c r="F566" s="16" t="s">
        <v>92</v>
      </c>
      <c r="G566" s="22">
        <v>7.5</v>
      </c>
      <c r="H566" s="18">
        <v>4.6875</v>
      </c>
      <c r="I566" s="18">
        <v>0.625</v>
      </c>
      <c r="J566" s="18">
        <v>0.64</v>
      </c>
      <c r="K566" s="18">
        <v>0.61</v>
      </c>
      <c r="L566" s="22">
        <v>6</v>
      </c>
    </row>
    <row r="567" spans="1:12">
      <c r="A567">
        <v>1</v>
      </c>
      <c r="B567" s="16" t="s">
        <v>37</v>
      </c>
      <c r="C567" s="9">
        <v>46235</v>
      </c>
      <c r="D567">
        <v>30</v>
      </c>
      <c r="E567" s="16" t="s">
        <v>119</v>
      </c>
      <c r="F567" s="16" t="s">
        <v>92</v>
      </c>
      <c r="G567" s="22">
        <v>7.5</v>
      </c>
      <c r="H567" s="18">
        <v>4.625</v>
      </c>
      <c r="I567" s="18">
        <v>0.61666666699999995</v>
      </c>
      <c r="J567" s="18">
        <v>0.63</v>
      </c>
      <c r="K567" s="18">
        <v>0.6</v>
      </c>
      <c r="L567" s="22">
        <v>5</v>
      </c>
    </row>
    <row r="568" spans="1:12">
      <c r="A568">
        <v>1</v>
      </c>
      <c r="B568" s="16" t="s">
        <v>37</v>
      </c>
      <c r="C568" s="9">
        <v>46266</v>
      </c>
      <c r="D568">
        <v>30</v>
      </c>
      <c r="E568" s="16" t="s">
        <v>119</v>
      </c>
      <c r="F568" s="16" t="s">
        <v>92</v>
      </c>
      <c r="G568" s="22">
        <v>8.75</v>
      </c>
      <c r="H568" s="18">
        <v>5.5875000000000004</v>
      </c>
      <c r="I568" s="18">
        <v>0.63857142899999997</v>
      </c>
      <c r="J568" s="18">
        <v>0.65</v>
      </c>
      <c r="K568" s="18">
        <v>0.63</v>
      </c>
      <c r="L568" s="22">
        <v>6</v>
      </c>
    </row>
    <row r="569" spans="1:12">
      <c r="A569">
        <v>1</v>
      </c>
      <c r="B569" s="16" t="s">
        <v>37</v>
      </c>
      <c r="C569" s="9">
        <v>45689</v>
      </c>
      <c r="D569">
        <v>31</v>
      </c>
      <c r="E569" s="16" t="s">
        <v>120</v>
      </c>
      <c r="F569" s="16" t="s">
        <v>92</v>
      </c>
      <c r="G569" s="22">
        <v>10.5</v>
      </c>
      <c r="H569" s="18">
        <v>11.1075</v>
      </c>
      <c r="I569" s="18">
        <v>1.0578571430000001</v>
      </c>
      <c r="J569" s="18">
        <v>1.08</v>
      </c>
      <c r="K569" s="18">
        <v>1.03</v>
      </c>
      <c r="L569" s="22">
        <v>8</v>
      </c>
    </row>
    <row r="570" spans="1:12">
      <c r="A570">
        <v>1</v>
      </c>
      <c r="B570" s="16" t="s">
        <v>37</v>
      </c>
      <c r="C570" s="9">
        <v>45717</v>
      </c>
      <c r="D570">
        <v>31</v>
      </c>
      <c r="E570" s="16" t="s">
        <v>120</v>
      </c>
      <c r="F570" s="16" t="s">
        <v>92</v>
      </c>
      <c r="G570" s="22">
        <v>10.5</v>
      </c>
      <c r="H570" s="18">
        <v>10.702500000000001</v>
      </c>
      <c r="I570" s="18">
        <v>1.019285714</v>
      </c>
      <c r="J570" s="18">
        <v>1.03</v>
      </c>
      <c r="K570" s="18">
        <v>1</v>
      </c>
      <c r="L570" s="22">
        <v>9</v>
      </c>
    </row>
    <row r="571" spans="1:12">
      <c r="A571">
        <v>1</v>
      </c>
      <c r="B571" s="16" t="s">
        <v>37</v>
      </c>
      <c r="C571" s="9">
        <v>45748</v>
      </c>
      <c r="D571">
        <v>31</v>
      </c>
      <c r="E571" s="16" t="s">
        <v>120</v>
      </c>
      <c r="F571" s="16" t="s">
        <v>92</v>
      </c>
      <c r="G571" s="22">
        <v>12.75</v>
      </c>
      <c r="H571" s="18">
        <v>12.487500000000001</v>
      </c>
      <c r="I571" s="18">
        <v>0.97941176500000005</v>
      </c>
      <c r="J571" s="18">
        <v>1.01</v>
      </c>
      <c r="K571" s="18">
        <v>0.96</v>
      </c>
      <c r="L571" s="22">
        <v>8</v>
      </c>
    </row>
    <row r="572" spans="1:12">
      <c r="A572">
        <v>1</v>
      </c>
      <c r="B572" s="16" t="s">
        <v>37</v>
      </c>
      <c r="C572" s="9">
        <v>45778</v>
      </c>
      <c r="D572">
        <v>31</v>
      </c>
      <c r="E572" s="16" t="s">
        <v>120</v>
      </c>
      <c r="F572" s="16" t="s">
        <v>92</v>
      </c>
      <c r="G572" s="22">
        <v>15.75</v>
      </c>
      <c r="H572" s="18">
        <v>14.6625</v>
      </c>
      <c r="I572" s="18">
        <v>0.930952381</v>
      </c>
      <c r="J572" s="18">
        <v>0.95</v>
      </c>
      <c r="K572" s="18">
        <v>0.91</v>
      </c>
      <c r="L572" s="22">
        <v>9</v>
      </c>
    </row>
    <row r="573" spans="1:12">
      <c r="A573">
        <v>1</v>
      </c>
      <c r="B573" s="16" t="s">
        <v>37</v>
      </c>
      <c r="C573" s="9">
        <v>45809</v>
      </c>
      <c r="D573">
        <v>31</v>
      </c>
      <c r="E573" s="16" t="s">
        <v>120</v>
      </c>
      <c r="F573" s="16" t="s">
        <v>92</v>
      </c>
      <c r="G573" s="22">
        <v>12.75</v>
      </c>
      <c r="H573" s="18">
        <v>11.557499999999999</v>
      </c>
      <c r="I573" s="18">
        <v>0.90647058800000002</v>
      </c>
      <c r="J573" s="18">
        <v>0.93</v>
      </c>
      <c r="K573" s="18">
        <v>0.89</v>
      </c>
      <c r="L573" s="22">
        <v>9</v>
      </c>
    </row>
    <row r="574" spans="1:12">
      <c r="A574">
        <v>1</v>
      </c>
      <c r="B574" s="16" t="s">
        <v>37</v>
      </c>
      <c r="C574" s="9">
        <v>45839</v>
      </c>
      <c r="D574">
        <v>31</v>
      </c>
      <c r="E574" s="16" t="s">
        <v>120</v>
      </c>
      <c r="F574" s="16" t="s">
        <v>92</v>
      </c>
      <c r="G574" s="22">
        <v>13.5</v>
      </c>
      <c r="H574" s="18">
        <v>12.03</v>
      </c>
      <c r="I574" s="18">
        <v>0.89111111099999996</v>
      </c>
      <c r="J574" s="18">
        <v>0.9</v>
      </c>
      <c r="K574" s="18">
        <v>0.88</v>
      </c>
      <c r="L574" s="22">
        <v>9</v>
      </c>
    </row>
    <row r="575" spans="1:12">
      <c r="A575">
        <v>1</v>
      </c>
      <c r="B575" s="16" t="s">
        <v>37</v>
      </c>
      <c r="C575" s="9">
        <v>45870</v>
      </c>
      <c r="D575">
        <v>31</v>
      </c>
      <c r="E575" s="16" t="s">
        <v>120</v>
      </c>
      <c r="F575" s="16" t="s">
        <v>92</v>
      </c>
      <c r="G575" s="22">
        <v>11.25</v>
      </c>
      <c r="H575" s="18">
        <v>10.102499999999999</v>
      </c>
      <c r="I575" s="18">
        <v>0.89800000000000002</v>
      </c>
      <c r="J575" s="18">
        <v>0.92</v>
      </c>
      <c r="K575" s="18">
        <v>0.89</v>
      </c>
      <c r="L575" s="22">
        <v>8</v>
      </c>
    </row>
    <row r="576" spans="1:12">
      <c r="A576">
        <v>1</v>
      </c>
      <c r="B576" s="16" t="s">
        <v>37</v>
      </c>
      <c r="C576" s="9">
        <v>45901</v>
      </c>
      <c r="D576">
        <v>31</v>
      </c>
      <c r="E576" s="16" t="s">
        <v>120</v>
      </c>
      <c r="F576" s="16" t="s">
        <v>92</v>
      </c>
      <c r="G576" s="22">
        <v>15</v>
      </c>
      <c r="H576" s="18">
        <v>14.13</v>
      </c>
      <c r="I576" s="18">
        <v>0.94199999999999995</v>
      </c>
      <c r="J576" s="18">
        <v>0.98</v>
      </c>
      <c r="K576" s="18">
        <v>0.91</v>
      </c>
      <c r="L576" s="22">
        <v>9</v>
      </c>
    </row>
    <row r="577" spans="1:12">
      <c r="A577">
        <v>1</v>
      </c>
      <c r="B577" s="16" t="s">
        <v>37</v>
      </c>
      <c r="C577" s="9">
        <v>45931</v>
      </c>
      <c r="D577">
        <v>31</v>
      </c>
      <c r="E577" s="16" t="s">
        <v>120</v>
      </c>
      <c r="F577" s="16" t="s">
        <v>92</v>
      </c>
      <c r="G577" s="22">
        <v>16.5</v>
      </c>
      <c r="H577" s="18">
        <v>16.0425</v>
      </c>
      <c r="I577" s="18">
        <v>0.972272727</v>
      </c>
      <c r="J577" s="18">
        <v>1.01</v>
      </c>
      <c r="K577" s="18">
        <v>0.95</v>
      </c>
      <c r="L577" s="22">
        <v>9</v>
      </c>
    </row>
    <row r="578" spans="1:12">
      <c r="A578">
        <v>1</v>
      </c>
      <c r="B578" s="16" t="s">
        <v>37</v>
      </c>
      <c r="C578" s="9">
        <v>45962</v>
      </c>
      <c r="D578">
        <v>31</v>
      </c>
      <c r="E578" s="16" t="s">
        <v>120</v>
      </c>
      <c r="F578" s="16" t="s">
        <v>92</v>
      </c>
      <c r="G578" s="22">
        <v>12.75</v>
      </c>
      <c r="H578" s="18">
        <v>12.765000000000001</v>
      </c>
      <c r="I578" s="18">
        <v>1.001176471</v>
      </c>
      <c r="J578" s="18">
        <v>1.03</v>
      </c>
      <c r="K578" s="18">
        <v>0.98</v>
      </c>
      <c r="L578" s="22">
        <v>8</v>
      </c>
    </row>
    <row r="579" spans="1:12">
      <c r="A579">
        <v>1</v>
      </c>
      <c r="B579" s="16" t="s">
        <v>37</v>
      </c>
      <c r="C579" s="9">
        <v>45992</v>
      </c>
      <c r="D579">
        <v>31</v>
      </c>
      <c r="E579" s="16" t="s">
        <v>120</v>
      </c>
      <c r="F579" s="16" t="s">
        <v>92</v>
      </c>
      <c r="G579" s="22">
        <v>15.75</v>
      </c>
      <c r="H579" s="18">
        <v>16.3125</v>
      </c>
      <c r="I579" s="18">
        <v>1.0357142859999999</v>
      </c>
      <c r="J579" s="18">
        <v>1.05</v>
      </c>
      <c r="K579" s="18">
        <v>1.02</v>
      </c>
      <c r="L579" s="22">
        <v>9</v>
      </c>
    </row>
    <row r="580" spans="1:12">
      <c r="A580">
        <v>1</v>
      </c>
      <c r="B580" s="16" t="s">
        <v>37</v>
      </c>
      <c r="C580" s="9">
        <v>46023</v>
      </c>
      <c r="D580">
        <v>31</v>
      </c>
      <c r="E580" s="16" t="s">
        <v>120</v>
      </c>
      <c r="F580" s="16" t="s">
        <v>92</v>
      </c>
      <c r="G580" s="22">
        <v>12.75</v>
      </c>
      <c r="H580" s="18">
        <v>13.342499999999999</v>
      </c>
      <c r="I580" s="18">
        <v>1.046470588</v>
      </c>
      <c r="J580" s="18">
        <v>1.06</v>
      </c>
      <c r="K580" s="18">
        <v>1.03</v>
      </c>
      <c r="L580" s="22">
        <v>9</v>
      </c>
    </row>
    <row r="581" spans="1:12">
      <c r="A581">
        <v>1</v>
      </c>
      <c r="B581" s="16" t="s">
        <v>37</v>
      </c>
      <c r="C581" s="9">
        <v>46054</v>
      </c>
      <c r="D581">
        <v>31</v>
      </c>
      <c r="E581" s="16" t="s">
        <v>120</v>
      </c>
      <c r="F581" s="16" t="s">
        <v>92</v>
      </c>
      <c r="G581" s="22">
        <v>10.5</v>
      </c>
      <c r="H581" s="18">
        <v>10.815</v>
      </c>
      <c r="I581" s="18">
        <v>1.03</v>
      </c>
      <c r="J581" s="18">
        <v>1.05</v>
      </c>
      <c r="K581" s="18">
        <v>1.01</v>
      </c>
      <c r="L581" s="22">
        <v>8</v>
      </c>
    </row>
    <row r="582" spans="1:12">
      <c r="A582">
        <v>1</v>
      </c>
      <c r="B582" s="16" t="s">
        <v>37</v>
      </c>
      <c r="C582" s="9">
        <v>46082</v>
      </c>
      <c r="D582">
        <v>31</v>
      </c>
      <c r="E582" s="16" t="s">
        <v>120</v>
      </c>
      <c r="F582" s="16" t="s">
        <v>92</v>
      </c>
      <c r="G582" s="22">
        <v>11.25</v>
      </c>
      <c r="H582" s="18">
        <v>11.445</v>
      </c>
      <c r="I582" s="18">
        <v>1.0173333330000001</v>
      </c>
      <c r="J582" s="18">
        <v>1.07</v>
      </c>
      <c r="K582" s="18">
        <v>0.98</v>
      </c>
      <c r="L582" s="22">
        <v>9</v>
      </c>
    </row>
    <row r="583" spans="1:12">
      <c r="A583">
        <v>1</v>
      </c>
      <c r="B583" s="16" t="s">
        <v>37</v>
      </c>
      <c r="C583" s="9">
        <v>46113</v>
      </c>
      <c r="D583">
        <v>31</v>
      </c>
      <c r="E583" s="16" t="s">
        <v>120</v>
      </c>
      <c r="F583" s="16" t="s">
        <v>92</v>
      </c>
      <c r="G583" s="22">
        <v>17.25</v>
      </c>
      <c r="H583" s="18">
        <v>16.829999999999998</v>
      </c>
      <c r="I583" s="18">
        <v>0.97565217400000004</v>
      </c>
      <c r="J583" s="18">
        <v>0.99</v>
      </c>
      <c r="K583" s="18">
        <v>0.96</v>
      </c>
      <c r="L583" s="22">
        <v>9</v>
      </c>
    </row>
    <row r="584" spans="1:12">
      <c r="A584">
        <v>1</v>
      </c>
      <c r="B584" s="16" t="s">
        <v>37</v>
      </c>
      <c r="C584" s="9">
        <v>46143</v>
      </c>
      <c r="D584">
        <v>31</v>
      </c>
      <c r="E584" s="16" t="s">
        <v>120</v>
      </c>
      <c r="F584" s="16" t="s">
        <v>92</v>
      </c>
      <c r="G584" s="22">
        <v>13.5</v>
      </c>
      <c r="H584" s="18">
        <v>12.645</v>
      </c>
      <c r="I584" s="18">
        <v>0.93666666700000001</v>
      </c>
      <c r="J584" s="18">
        <v>0.95</v>
      </c>
      <c r="K584" s="18">
        <v>0.93</v>
      </c>
      <c r="L584" s="22">
        <v>8</v>
      </c>
    </row>
    <row r="585" spans="1:12">
      <c r="A585">
        <v>1</v>
      </c>
      <c r="B585" s="16" t="s">
        <v>37</v>
      </c>
      <c r="C585" s="9">
        <v>46174</v>
      </c>
      <c r="D585">
        <v>31</v>
      </c>
      <c r="E585" s="16" t="s">
        <v>120</v>
      </c>
      <c r="F585" s="16" t="s">
        <v>92</v>
      </c>
      <c r="G585" s="22">
        <v>12</v>
      </c>
      <c r="H585" s="18">
        <v>10.904999999999999</v>
      </c>
      <c r="I585" s="18">
        <v>0.90874999999999995</v>
      </c>
      <c r="J585" s="18">
        <v>0.93</v>
      </c>
      <c r="K585" s="18">
        <v>0.89</v>
      </c>
      <c r="L585" s="22">
        <v>9</v>
      </c>
    </row>
    <row r="586" spans="1:12">
      <c r="A586">
        <v>1</v>
      </c>
      <c r="B586" s="16" t="s">
        <v>37</v>
      </c>
      <c r="C586" s="9">
        <v>46204</v>
      </c>
      <c r="D586">
        <v>31</v>
      </c>
      <c r="E586" s="16" t="s">
        <v>120</v>
      </c>
      <c r="F586" s="16" t="s">
        <v>92</v>
      </c>
      <c r="G586" s="22">
        <v>15</v>
      </c>
      <c r="H586" s="18">
        <v>13.785</v>
      </c>
      <c r="I586" s="18">
        <v>0.91900000000000004</v>
      </c>
      <c r="J586" s="18">
        <v>0.94</v>
      </c>
      <c r="K586" s="18">
        <v>0.89</v>
      </c>
      <c r="L586" s="22">
        <v>9</v>
      </c>
    </row>
    <row r="587" spans="1:12">
      <c r="A587">
        <v>1</v>
      </c>
      <c r="B587" s="16" t="s">
        <v>37</v>
      </c>
      <c r="C587" s="9">
        <v>46235</v>
      </c>
      <c r="D587">
        <v>31</v>
      </c>
      <c r="E587" s="16" t="s">
        <v>120</v>
      </c>
      <c r="F587" s="16" t="s">
        <v>92</v>
      </c>
      <c r="G587" s="22">
        <v>13.5</v>
      </c>
      <c r="H587" s="18">
        <v>12.66</v>
      </c>
      <c r="I587" s="18">
        <v>0.93777777799999995</v>
      </c>
      <c r="J587" s="18">
        <v>0.95</v>
      </c>
      <c r="K587" s="18">
        <v>0.93</v>
      </c>
      <c r="L587" s="22">
        <v>9</v>
      </c>
    </row>
    <row r="588" spans="1:12">
      <c r="A588">
        <v>1</v>
      </c>
      <c r="B588" s="16" t="s">
        <v>37</v>
      </c>
      <c r="C588" s="9">
        <v>46266</v>
      </c>
      <c r="D588">
        <v>31</v>
      </c>
      <c r="E588" s="16" t="s">
        <v>120</v>
      </c>
      <c r="F588" s="16" t="s">
        <v>92</v>
      </c>
      <c r="G588" s="22">
        <v>14.25</v>
      </c>
      <c r="H588" s="18">
        <v>13.7475</v>
      </c>
      <c r="I588" s="18">
        <v>0.96473684199999998</v>
      </c>
      <c r="J588" s="18">
        <v>0.99</v>
      </c>
      <c r="K588" s="18">
        <v>0.96</v>
      </c>
      <c r="L588" s="22">
        <v>8</v>
      </c>
    </row>
    <row r="589" spans="1:12">
      <c r="A589">
        <v>1</v>
      </c>
      <c r="B589" s="16" t="s">
        <v>37</v>
      </c>
      <c r="C589" s="9">
        <v>45689</v>
      </c>
      <c r="D589">
        <v>32</v>
      </c>
      <c r="E589" s="16" t="s">
        <v>121</v>
      </c>
      <c r="F589" s="16" t="s">
        <v>92</v>
      </c>
      <c r="G589" s="22">
        <v>22.5</v>
      </c>
      <c r="H589" s="18">
        <v>12.205</v>
      </c>
      <c r="I589" s="18">
        <v>0.54244444400000003</v>
      </c>
      <c r="J589" s="18">
        <v>0.56000000000000005</v>
      </c>
      <c r="K589" s="18">
        <v>0.53</v>
      </c>
      <c r="L589" s="22">
        <v>8</v>
      </c>
    </row>
    <row r="590" spans="1:12">
      <c r="A590">
        <v>1</v>
      </c>
      <c r="B590" s="16" t="s">
        <v>37</v>
      </c>
      <c r="C590" s="9">
        <v>45717</v>
      </c>
      <c r="D590">
        <v>32</v>
      </c>
      <c r="E590" s="16" t="s">
        <v>121</v>
      </c>
      <c r="F590" s="16" t="s">
        <v>92</v>
      </c>
      <c r="G590" s="22">
        <v>25</v>
      </c>
      <c r="H590" s="18">
        <v>13.07</v>
      </c>
      <c r="I590" s="18">
        <v>0.52280000000000004</v>
      </c>
      <c r="J590" s="18">
        <v>0.53</v>
      </c>
      <c r="K590" s="18">
        <v>0.51</v>
      </c>
      <c r="L590" s="22">
        <v>9</v>
      </c>
    </row>
    <row r="591" spans="1:12">
      <c r="A591">
        <v>1</v>
      </c>
      <c r="B591" s="16" t="s">
        <v>37</v>
      </c>
      <c r="C591" s="9">
        <v>45748</v>
      </c>
      <c r="D591">
        <v>32</v>
      </c>
      <c r="E591" s="16" t="s">
        <v>121</v>
      </c>
      <c r="F591" s="16" t="s">
        <v>92</v>
      </c>
      <c r="G591" s="22">
        <v>29.5</v>
      </c>
      <c r="H591" s="18">
        <v>14.545</v>
      </c>
      <c r="I591" s="18">
        <v>0.49305084700000001</v>
      </c>
      <c r="J591" s="18">
        <v>0.51</v>
      </c>
      <c r="K591" s="18">
        <v>0.48</v>
      </c>
      <c r="L591" s="22">
        <v>8</v>
      </c>
    </row>
    <row r="592" spans="1:12">
      <c r="A592">
        <v>1</v>
      </c>
      <c r="B592" s="16" t="s">
        <v>37</v>
      </c>
      <c r="C592" s="9">
        <v>45778</v>
      </c>
      <c r="D592">
        <v>32</v>
      </c>
      <c r="E592" s="16" t="s">
        <v>121</v>
      </c>
      <c r="F592" s="16" t="s">
        <v>92</v>
      </c>
      <c r="G592" s="22">
        <v>36.5</v>
      </c>
      <c r="H592" s="18">
        <v>17.09</v>
      </c>
      <c r="I592" s="18">
        <v>0.46821917800000001</v>
      </c>
      <c r="J592" s="18">
        <v>0.48</v>
      </c>
      <c r="K592" s="18">
        <v>0.46</v>
      </c>
      <c r="L592" s="22">
        <v>9</v>
      </c>
    </row>
    <row r="593" spans="1:12">
      <c r="A593">
        <v>1</v>
      </c>
      <c r="B593" s="16" t="s">
        <v>37</v>
      </c>
      <c r="C593" s="9">
        <v>45809</v>
      </c>
      <c r="D593">
        <v>32</v>
      </c>
      <c r="E593" s="16" t="s">
        <v>121</v>
      </c>
      <c r="F593" s="16" t="s">
        <v>92</v>
      </c>
      <c r="G593" s="22">
        <v>34</v>
      </c>
      <c r="H593" s="18">
        <v>15.345000000000001</v>
      </c>
      <c r="I593" s="18">
        <v>0.451323529</v>
      </c>
      <c r="J593" s="18">
        <v>0.46</v>
      </c>
      <c r="K593" s="18">
        <v>0.45</v>
      </c>
      <c r="L593" s="22">
        <v>9</v>
      </c>
    </row>
    <row r="594" spans="1:12">
      <c r="A594">
        <v>1</v>
      </c>
      <c r="B594" s="16" t="s">
        <v>37</v>
      </c>
      <c r="C594" s="9">
        <v>45839</v>
      </c>
      <c r="D594">
        <v>32</v>
      </c>
      <c r="E594" s="16" t="s">
        <v>121</v>
      </c>
      <c r="F594" s="16" t="s">
        <v>92</v>
      </c>
      <c r="G594" s="22">
        <v>34.5</v>
      </c>
      <c r="H594" s="18">
        <v>15.305</v>
      </c>
      <c r="I594" s="18">
        <v>0.443623188</v>
      </c>
      <c r="J594" s="18">
        <v>0.46</v>
      </c>
      <c r="K594" s="18">
        <v>0.43</v>
      </c>
      <c r="L594" s="22">
        <v>9</v>
      </c>
    </row>
    <row r="595" spans="1:12">
      <c r="A595">
        <v>1</v>
      </c>
      <c r="B595" s="16" t="s">
        <v>37</v>
      </c>
      <c r="C595" s="9">
        <v>45870</v>
      </c>
      <c r="D595">
        <v>32</v>
      </c>
      <c r="E595" s="16" t="s">
        <v>121</v>
      </c>
      <c r="F595" s="16" t="s">
        <v>92</v>
      </c>
      <c r="G595" s="22">
        <v>26.5</v>
      </c>
      <c r="H595" s="18">
        <v>11.685</v>
      </c>
      <c r="I595" s="18">
        <v>0.44094339599999999</v>
      </c>
      <c r="J595" s="18">
        <v>0.45</v>
      </c>
      <c r="K595" s="18">
        <v>0.43</v>
      </c>
      <c r="L595" s="22">
        <v>8</v>
      </c>
    </row>
    <row r="596" spans="1:12">
      <c r="A596">
        <v>1</v>
      </c>
      <c r="B596" s="16" t="s">
        <v>37</v>
      </c>
      <c r="C596" s="9">
        <v>45901</v>
      </c>
      <c r="D596">
        <v>32</v>
      </c>
      <c r="E596" s="16" t="s">
        <v>121</v>
      </c>
      <c r="F596" s="16" t="s">
        <v>92</v>
      </c>
      <c r="G596" s="22">
        <v>37</v>
      </c>
      <c r="H596" s="18">
        <v>17.04</v>
      </c>
      <c r="I596" s="18">
        <v>0.46054054100000003</v>
      </c>
      <c r="J596" s="18">
        <v>0.47</v>
      </c>
      <c r="K596" s="18">
        <v>0.46</v>
      </c>
      <c r="L596" s="22">
        <v>9</v>
      </c>
    </row>
    <row r="597" spans="1:12">
      <c r="A597">
        <v>1</v>
      </c>
      <c r="B597" s="16" t="s">
        <v>37</v>
      </c>
      <c r="C597" s="9">
        <v>45931</v>
      </c>
      <c r="D597">
        <v>32</v>
      </c>
      <c r="E597" s="16" t="s">
        <v>121</v>
      </c>
      <c r="F597" s="16" t="s">
        <v>92</v>
      </c>
      <c r="G597" s="22">
        <v>38.5</v>
      </c>
      <c r="H597" s="18">
        <v>18.824999999999999</v>
      </c>
      <c r="I597" s="18">
        <v>0.48896103899999999</v>
      </c>
      <c r="J597" s="18">
        <v>0.52</v>
      </c>
      <c r="K597" s="18">
        <v>0.48</v>
      </c>
      <c r="L597" s="22">
        <v>9</v>
      </c>
    </row>
    <row r="598" spans="1:12">
      <c r="A598">
        <v>1</v>
      </c>
      <c r="B598" s="16" t="s">
        <v>37</v>
      </c>
      <c r="C598" s="9">
        <v>45962</v>
      </c>
      <c r="D598">
        <v>32</v>
      </c>
      <c r="E598" s="16" t="s">
        <v>121</v>
      </c>
      <c r="F598" s="16" t="s">
        <v>92</v>
      </c>
      <c r="G598" s="22">
        <v>30.5</v>
      </c>
      <c r="H598" s="18">
        <v>15.465</v>
      </c>
      <c r="I598" s="18">
        <v>0.50704917999999999</v>
      </c>
      <c r="J598" s="18">
        <v>0.52</v>
      </c>
      <c r="K598" s="18">
        <v>0.5</v>
      </c>
      <c r="L598" s="22">
        <v>8</v>
      </c>
    </row>
    <row r="599" spans="1:12">
      <c r="A599">
        <v>1</v>
      </c>
      <c r="B599" s="16" t="s">
        <v>37</v>
      </c>
      <c r="C599" s="9">
        <v>45992</v>
      </c>
      <c r="D599">
        <v>32</v>
      </c>
      <c r="E599" s="16" t="s">
        <v>121</v>
      </c>
      <c r="F599" s="16" t="s">
        <v>92</v>
      </c>
      <c r="G599" s="22">
        <v>32.5</v>
      </c>
      <c r="H599" s="18">
        <v>17.295000000000002</v>
      </c>
      <c r="I599" s="18">
        <v>0.53215384600000004</v>
      </c>
      <c r="J599" s="18">
        <v>0.54</v>
      </c>
      <c r="K599" s="18">
        <v>0.52</v>
      </c>
      <c r="L599" s="22">
        <v>9</v>
      </c>
    </row>
    <row r="600" spans="1:12">
      <c r="A600">
        <v>1</v>
      </c>
      <c r="B600" s="16" t="s">
        <v>37</v>
      </c>
      <c r="C600" s="9">
        <v>46023</v>
      </c>
      <c r="D600">
        <v>32</v>
      </c>
      <c r="E600" s="16" t="s">
        <v>121</v>
      </c>
      <c r="F600" s="16" t="s">
        <v>92</v>
      </c>
      <c r="G600" s="22">
        <v>24</v>
      </c>
      <c r="H600" s="18">
        <v>13.074999999999999</v>
      </c>
      <c r="I600" s="18">
        <v>0.54479166700000003</v>
      </c>
      <c r="J600" s="18">
        <v>0.56000000000000005</v>
      </c>
      <c r="K600" s="18">
        <v>0.54</v>
      </c>
      <c r="L600" s="22">
        <v>9</v>
      </c>
    </row>
    <row r="601" spans="1:12">
      <c r="A601">
        <v>1</v>
      </c>
      <c r="B601" s="16" t="s">
        <v>37</v>
      </c>
      <c r="C601" s="9">
        <v>46054</v>
      </c>
      <c r="D601">
        <v>32</v>
      </c>
      <c r="E601" s="16" t="s">
        <v>121</v>
      </c>
      <c r="F601" s="16" t="s">
        <v>92</v>
      </c>
      <c r="G601" s="22">
        <v>24</v>
      </c>
      <c r="H601" s="18">
        <v>12.734999999999999</v>
      </c>
      <c r="I601" s="18">
        <v>0.53062500000000001</v>
      </c>
      <c r="J601" s="18">
        <v>0.54</v>
      </c>
      <c r="K601" s="18">
        <v>0.52</v>
      </c>
      <c r="L601" s="22">
        <v>8</v>
      </c>
    </row>
    <row r="602" spans="1:12">
      <c r="A602">
        <v>1</v>
      </c>
      <c r="B602" s="16" t="s">
        <v>37</v>
      </c>
      <c r="C602" s="9">
        <v>46082</v>
      </c>
      <c r="D602">
        <v>32</v>
      </c>
      <c r="E602" s="16" t="s">
        <v>121</v>
      </c>
      <c r="F602" s="16" t="s">
        <v>92</v>
      </c>
      <c r="G602" s="22">
        <v>24</v>
      </c>
      <c r="H602" s="18">
        <v>12.37</v>
      </c>
      <c r="I602" s="18">
        <v>0.515416667</v>
      </c>
      <c r="J602" s="18">
        <v>0.53</v>
      </c>
      <c r="K602" s="18">
        <v>0.51</v>
      </c>
      <c r="L602" s="22">
        <v>9</v>
      </c>
    </row>
    <row r="603" spans="1:12">
      <c r="A603">
        <v>1</v>
      </c>
      <c r="B603" s="16" t="s">
        <v>37</v>
      </c>
      <c r="C603" s="9">
        <v>46113</v>
      </c>
      <c r="D603">
        <v>32</v>
      </c>
      <c r="E603" s="16" t="s">
        <v>121</v>
      </c>
      <c r="F603" s="16" t="s">
        <v>92</v>
      </c>
      <c r="G603" s="22">
        <v>39</v>
      </c>
      <c r="H603" s="18">
        <v>19.335000000000001</v>
      </c>
      <c r="I603" s="18">
        <v>0.49576923099999998</v>
      </c>
      <c r="J603" s="18">
        <v>0.5</v>
      </c>
      <c r="K603" s="18">
        <v>0.49</v>
      </c>
      <c r="L603" s="22">
        <v>9</v>
      </c>
    </row>
    <row r="604" spans="1:12">
      <c r="A604">
        <v>1</v>
      </c>
      <c r="B604" s="16" t="s">
        <v>37</v>
      </c>
      <c r="C604" s="9">
        <v>46143</v>
      </c>
      <c r="D604">
        <v>32</v>
      </c>
      <c r="E604" s="16" t="s">
        <v>121</v>
      </c>
      <c r="F604" s="16" t="s">
        <v>92</v>
      </c>
      <c r="G604" s="22">
        <v>31.5</v>
      </c>
      <c r="H604" s="18">
        <v>14.935</v>
      </c>
      <c r="I604" s="18">
        <v>0.47412698399999997</v>
      </c>
      <c r="J604" s="18">
        <v>0.48</v>
      </c>
      <c r="K604" s="18">
        <v>0.46</v>
      </c>
      <c r="L604" s="22">
        <v>8</v>
      </c>
    </row>
    <row r="605" spans="1:12">
      <c r="A605">
        <v>1</v>
      </c>
      <c r="B605" s="16" t="s">
        <v>37</v>
      </c>
      <c r="C605" s="9">
        <v>46174</v>
      </c>
      <c r="D605">
        <v>32</v>
      </c>
      <c r="E605" s="16" t="s">
        <v>121</v>
      </c>
      <c r="F605" s="16" t="s">
        <v>92</v>
      </c>
      <c r="G605" s="22">
        <v>29.5</v>
      </c>
      <c r="H605" s="18">
        <v>13.33</v>
      </c>
      <c r="I605" s="18">
        <v>0.45186440700000002</v>
      </c>
      <c r="J605" s="18">
        <v>0.46</v>
      </c>
      <c r="K605" s="18">
        <v>0.44</v>
      </c>
      <c r="L605" s="22">
        <v>9</v>
      </c>
    </row>
    <row r="606" spans="1:12">
      <c r="A606">
        <v>1</v>
      </c>
      <c r="B606" s="16" t="s">
        <v>37</v>
      </c>
      <c r="C606" s="9">
        <v>46204</v>
      </c>
      <c r="D606">
        <v>32</v>
      </c>
      <c r="E606" s="16" t="s">
        <v>121</v>
      </c>
      <c r="F606" s="16" t="s">
        <v>92</v>
      </c>
      <c r="G606" s="22">
        <v>39</v>
      </c>
      <c r="H606" s="18">
        <v>17.524999999999999</v>
      </c>
      <c r="I606" s="18">
        <v>0.44935897400000002</v>
      </c>
      <c r="J606" s="18">
        <v>0.46</v>
      </c>
      <c r="K606" s="18">
        <v>0.44</v>
      </c>
      <c r="L606" s="22">
        <v>9</v>
      </c>
    </row>
    <row r="607" spans="1:12">
      <c r="A607">
        <v>1</v>
      </c>
      <c r="B607" s="16" t="s">
        <v>37</v>
      </c>
      <c r="C607" s="9">
        <v>46235</v>
      </c>
      <c r="D607">
        <v>32</v>
      </c>
      <c r="E607" s="16" t="s">
        <v>121</v>
      </c>
      <c r="F607" s="16" t="s">
        <v>92</v>
      </c>
      <c r="G607" s="22">
        <v>33</v>
      </c>
      <c r="H607" s="18">
        <v>15.065</v>
      </c>
      <c r="I607" s="18">
        <v>0.45651515199999998</v>
      </c>
      <c r="J607" s="18">
        <v>0.46</v>
      </c>
      <c r="K607" s="18">
        <v>0.45</v>
      </c>
      <c r="L607" s="22">
        <v>9</v>
      </c>
    </row>
    <row r="608" spans="1:12">
      <c r="A608">
        <v>1</v>
      </c>
      <c r="B608" s="16" t="s">
        <v>37</v>
      </c>
      <c r="C608" s="9">
        <v>46266</v>
      </c>
      <c r="D608">
        <v>32</v>
      </c>
      <c r="E608" s="16" t="s">
        <v>121</v>
      </c>
      <c r="F608" s="16" t="s">
        <v>92</v>
      </c>
      <c r="G608" s="22">
        <v>34</v>
      </c>
      <c r="H608" s="18">
        <v>16.2</v>
      </c>
      <c r="I608" s="18">
        <v>0.47647058799999997</v>
      </c>
      <c r="J608" s="18">
        <v>0.48</v>
      </c>
      <c r="K608" s="18">
        <v>0.47</v>
      </c>
      <c r="L608" s="22">
        <v>8</v>
      </c>
    </row>
    <row r="609" spans="1:12">
      <c r="A609">
        <v>1</v>
      </c>
      <c r="B609" s="16" t="s">
        <v>37</v>
      </c>
      <c r="C609" s="9">
        <v>45689</v>
      </c>
      <c r="D609">
        <v>33</v>
      </c>
      <c r="E609" s="16" t="s">
        <v>122</v>
      </c>
      <c r="F609" s="16" t="s">
        <v>92</v>
      </c>
      <c r="G609" s="22">
        <v>112</v>
      </c>
      <c r="H609" s="18">
        <v>89.14</v>
      </c>
      <c r="I609" s="18">
        <v>0.79589285700000001</v>
      </c>
      <c r="J609" s="18">
        <v>0.81</v>
      </c>
      <c r="K609" s="18">
        <v>0.78</v>
      </c>
      <c r="L609" s="22">
        <v>8</v>
      </c>
    </row>
    <row r="610" spans="1:12">
      <c r="A610">
        <v>1</v>
      </c>
      <c r="B610" s="16" t="s">
        <v>37</v>
      </c>
      <c r="C610" s="9">
        <v>45717</v>
      </c>
      <c r="D610">
        <v>33</v>
      </c>
      <c r="E610" s="16" t="s">
        <v>122</v>
      </c>
      <c r="F610" s="16" t="s">
        <v>92</v>
      </c>
      <c r="G610" s="22">
        <v>140</v>
      </c>
      <c r="H610" s="18">
        <v>108.46</v>
      </c>
      <c r="I610" s="18">
        <v>0.77471428600000003</v>
      </c>
      <c r="J610" s="18">
        <v>0.78</v>
      </c>
      <c r="K610" s="18">
        <v>0.76</v>
      </c>
      <c r="L610" s="22">
        <v>9</v>
      </c>
    </row>
    <row r="611" spans="1:12">
      <c r="A611">
        <v>1</v>
      </c>
      <c r="B611" s="16" t="s">
        <v>37</v>
      </c>
      <c r="C611" s="9">
        <v>45748</v>
      </c>
      <c r="D611">
        <v>33</v>
      </c>
      <c r="E611" s="16" t="s">
        <v>122</v>
      </c>
      <c r="F611" s="16" t="s">
        <v>92</v>
      </c>
      <c r="G611" s="22">
        <v>148</v>
      </c>
      <c r="H611" s="18">
        <v>110.36</v>
      </c>
      <c r="I611" s="18">
        <v>0.74567567599999995</v>
      </c>
      <c r="J611" s="18">
        <v>0.76</v>
      </c>
      <c r="K611" s="18">
        <v>0.73</v>
      </c>
      <c r="L611" s="22">
        <v>8</v>
      </c>
    </row>
    <row r="612" spans="1:12">
      <c r="A612">
        <v>1</v>
      </c>
      <c r="B612" s="16" t="s">
        <v>37</v>
      </c>
      <c r="C612" s="9">
        <v>45778</v>
      </c>
      <c r="D612">
        <v>33</v>
      </c>
      <c r="E612" s="16" t="s">
        <v>122</v>
      </c>
      <c r="F612" s="16" t="s">
        <v>92</v>
      </c>
      <c r="G612" s="22">
        <v>188</v>
      </c>
      <c r="H612" s="18">
        <v>135.13999999999999</v>
      </c>
      <c r="I612" s="18">
        <v>0.718829787</v>
      </c>
      <c r="J612" s="18">
        <v>0.75</v>
      </c>
      <c r="K612" s="18">
        <v>0.71</v>
      </c>
      <c r="L612" s="22">
        <v>9</v>
      </c>
    </row>
    <row r="613" spans="1:12">
      <c r="A613">
        <v>1</v>
      </c>
      <c r="B613" s="16" t="s">
        <v>37</v>
      </c>
      <c r="C613" s="9">
        <v>45809</v>
      </c>
      <c r="D613">
        <v>33</v>
      </c>
      <c r="E613" s="16" t="s">
        <v>122</v>
      </c>
      <c r="F613" s="16" t="s">
        <v>92</v>
      </c>
      <c r="G613" s="22">
        <v>182</v>
      </c>
      <c r="H613" s="18">
        <v>126.42</v>
      </c>
      <c r="I613" s="18">
        <v>0.69461538499999997</v>
      </c>
      <c r="J613" s="18">
        <v>0.7</v>
      </c>
      <c r="K613" s="18">
        <v>0.69</v>
      </c>
      <c r="L613" s="22">
        <v>9</v>
      </c>
    </row>
    <row r="614" spans="1:12">
      <c r="A614">
        <v>1</v>
      </c>
      <c r="B614" s="16" t="s">
        <v>37</v>
      </c>
      <c r="C614" s="9">
        <v>45839</v>
      </c>
      <c r="D614">
        <v>33</v>
      </c>
      <c r="E614" s="16" t="s">
        <v>122</v>
      </c>
      <c r="F614" s="16" t="s">
        <v>92</v>
      </c>
      <c r="G614" s="22">
        <v>176</v>
      </c>
      <c r="H614" s="18">
        <v>122.24</v>
      </c>
      <c r="I614" s="18">
        <v>0.69454545499999998</v>
      </c>
      <c r="J614" s="18">
        <v>0.71</v>
      </c>
      <c r="K614" s="18">
        <v>0.67</v>
      </c>
      <c r="L614" s="22">
        <v>9</v>
      </c>
    </row>
    <row r="615" spans="1:12">
      <c r="A615">
        <v>1</v>
      </c>
      <c r="B615" s="16" t="s">
        <v>37</v>
      </c>
      <c r="C615" s="9">
        <v>45870</v>
      </c>
      <c r="D615">
        <v>33</v>
      </c>
      <c r="E615" s="16" t="s">
        <v>122</v>
      </c>
      <c r="F615" s="16" t="s">
        <v>92</v>
      </c>
      <c r="G615" s="22">
        <v>132</v>
      </c>
      <c r="H615" s="18">
        <v>91.86</v>
      </c>
      <c r="I615" s="18">
        <v>0.69590909099999998</v>
      </c>
      <c r="J615" s="18">
        <v>0.7</v>
      </c>
      <c r="K615" s="18">
        <v>0.69</v>
      </c>
      <c r="L615" s="22">
        <v>8</v>
      </c>
    </row>
    <row r="616" spans="1:12">
      <c r="A616">
        <v>1</v>
      </c>
      <c r="B616" s="16" t="s">
        <v>37</v>
      </c>
      <c r="C616" s="9">
        <v>45901</v>
      </c>
      <c r="D616">
        <v>33</v>
      </c>
      <c r="E616" s="16" t="s">
        <v>122</v>
      </c>
      <c r="F616" s="16" t="s">
        <v>92</v>
      </c>
      <c r="G616" s="22">
        <v>186</v>
      </c>
      <c r="H616" s="18">
        <v>135.08000000000001</v>
      </c>
      <c r="I616" s="18">
        <v>0.72623655899999995</v>
      </c>
      <c r="J616" s="18">
        <v>0.74</v>
      </c>
      <c r="K616" s="18">
        <v>0.72</v>
      </c>
      <c r="L616" s="22">
        <v>9</v>
      </c>
    </row>
    <row r="617" spans="1:12">
      <c r="A617">
        <v>1</v>
      </c>
      <c r="B617" s="16" t="s">
        <v>37</v>
      </c>
      <c r="C617" s="9">
        <v>45931</v>
      </c>
      <c r="D617">
        <v>33</v>
      </c>
      <c r="E617" s="16" t="s">
        <v>122</v>
      </c>
      <c r="F617" s="16" t="s">
        <v>92</v>
      </c>
      <c r="G617" s="22">
        <v>196</v>
      </c>
      <c r="H617" s="18">
        <v>148.82</v>
      </c>
      <c r="I617" s="18">
        <v>0.759285714</v>
      </c>
      <c r="J617" s="18">
        <v>0.77</v>
      </c>
      <c r="K617" s="18">
        <v>0.75</v>
      </c>
      <c r="L617" s="22">
        <v>9</v>
      </c>
    </row>
    <row r="618" spans="1:12">
      <c r="A618">
        <v>1</v>
      </c>
      <c r="B618" s="16" t="s">
        <v>37</v>
      </c>
      <c r="C618" s="9">
        <v>45962</v>
      </c>
      <c r="D618">
        <v>33</v>
      </c>
      <c r="E618" s="16" t="s">
        <v>122</v>
      </c>
      <c r="F618" s="16" t="s">
        <v>92</v>
      </c>
      <c r="G618" s="22">
        <v>168</v>
      </c>
      <c r="H618" s="18">
        <v>132.66</v>
      </c>
      <c r="I618" s="18">
        <v>0.78964285700000003</v>
      </c>
      <c r="J618" s="18">
        <v>0.81</v>
      </c>
      <c r="K618" s="18">
        <v>0.77</v>
      </c>
      <c r="L618" s="22">
        <v>8</v>
      </c>
    </row>
    <row r="619" spans="1:12">
      <c r="A619">
        <v>1</v>
      </c>
      <c r="B619" s="16" t="s">
        <v>37</v>
      </c>
      <c r="C619" s="9">
        <v>45992</v>
      </c>
      <c r="D619">
        <v>33</v>
      </c>
      <c r="E619" s="16" t="s">
        <v>122</v>
      </c>
      <c r="F619" s="16" t="s">
        <v>92</v>
      </c>
      <c r="G619" s="22">
        <v>180</v>
      </c>
      <c r="H619" s="18">
        <v>146.56</v>
      </c>
      <c r="I619" s="18">
        <v>0.81422222200000005</v>
      </c>
      <c r="J619" s="18">
        <v>0.83</v>
      </c>
      <c r="K619" s="18">
        <v>0.81</v>
      </c>
      <c r="L619" s="22">
        <v>9</v>
      </c>
    </row>
    <row r="620" spans="1:12">
      <c r="A620">
        <v>1</v>
      </c>
      <c r="B620" s="16" t="s">
        <v>37</v>
      </c>
      <c r="C620" s="9">
        <v>46023</v>
      </c>
      <c r="D620">
        <v>33</v>
      </c>
      <c r="E620" s="16" t="s">
        <v>122</v>
      </c>
      <c r="F620" s="16" t="s">
        <v>92</v>
      </c>
      <c r="G620" s="22">
        <v>138</v>
      </c>
      <c r="H620" s="18">
        <v>113.7</v>
      </c>
      <c r="I620" s="18">
        <v>0.82391304300000001</v>
      </c>
      <c r="J620" s="18">
        <v>0.84</v>
      </c>
      <c r="K620" s="18">
        <v>0.8</v>
      </c>
      <c r="L620" s="22">
        <v>9</v>
      </c>
    </row>
    <row r="621" spans="1:12">
      <c r="A621">
        <v>1</v>
      </c>
      <c r="B621" s="16" t="s">
        <v>37</v>
      </c>
      <c r="C621" s="9">
        <v>46054</v>
      </c>
      <c r="D621">
        <v>33</v>
      </c>
      <c r="E621" s="16" t="s">
        <v>122</v>
      </c>
      <c r="F621" s="16" t="s">
        <v>92</v>
      </c>
      <c r="G621" s="22">
        <v>126</v>
      </c>
      <c r="H621" s="18">
        <v>101.58</v>
      </c>
      <c r="I621" s="18">
        <v>0.80619047600000004</v>
      </c>
      <c r="J621" s="18">
        <v>0.82</v>
      </c>
      <c r="K621" s="18">
        <v>0.79</v>
      </c>
      <c r="L621" s="22">
        <v>8</v>
      </c>
    </row>
    <row r="622" spans="1:12">
      <c r="A622">
        <v>1</v>
      </c>
      <c r="B622" s="16" t="s">
        <v>37</v>
      </c>
      <c r="C622" s="9">
        <v>46082</v>
      </c>
      <c r="D622">
        <v>33</v>
      </c>
      <c r="E622" s="16" t="s">
        <v>122</v>
      </c>
      <c r="F622" s="16" t="s">
        <v>92</v>
      </c>
      <c r="G622" s="22">
        <v>140</v>
      </c>
      <c r="H622" s="18">
        <v>111.04</v>
      </c>
      <c r="I622" s="18">
        <v>0.79314285699999998</v>
      </c>
      <c r="J622" s="18">
        <v>0.8</v>
      </c>
      <c r="K622" s="18">
        <v>0.79</v>
      </c>
      <c r="L622" s="22">
        <v>9</v>
      </c>
    </row>
    <row r="623" spans="1:12">
      <c r="A623">
        <v>1</v>
      </c>
      <c r="B623" s="16" t="s">
        <v>37</v>
      </c>
      <c r="C623" s="9">
        <v>46113</v>
      </c>
      <c r="D623">
        <v>33</v>
      </c>
      <c r="E623" s="16" t="s">
        <v>122</v>
      </c>
      <c r="F623" s="16" t="s">
        <v>92</v>
      </c>
      <c r="G623" s="22">
        <v>178</v>
      </c>
      <c r="H623" s="18">
        <v>136.74</v>
      </c>
      <c r="I623" s="18">
        <v>0.76820224699999995</v>
      </c>
      <c r="J623" s="18">
        <v>0.78</v>
      </c>
      <c r="K623" s="18">
        <v>0.76</v>
      </c>
      <c r="L623" s="22">
        <v>9</v>
      </c>
    </row>
    <row r="624" spans="1:12">
      <c r="A624">
        <v>1</v>
      </c>
      <c r="B624" s="16" t="s">
        <v>37</v>
      </c>
      <c r="C624" s="9">
        <v>46143</v>
      </c>
      <c r="D624">
        <v>33</v>
      </c>
      <c r="E624" s="16" t="s">
        <v>122</v>
      </c>
      <c r="F624" s="16" t="s">
        <v>92</v>
      </c>
      <c r="G624" s="22">
        <v>170</v>
      </c>
      <c r="H624" s="18">
        <v>125.62</v>
      </c>
      <c r="I624" s="18">
        <v>0.73894117599999998</v>
      </c>
      <c r="J624" s="18">
        <v>0.75</v>
      </c>
      <c r="K624" s="18">
        <v>0.73</v>
      </c>
      <c r="L624" s="22">
        <v>8</v>
      </c>
    </row>
    <row r="625" spans="1:12">
      <c r="A625">
        <v>1</v>
      </c>
      <c r="B625" s="16" t="s">
        <v>37</v>
      </c>
      <c r="C625" s="9">
        <v>46174</v>
      </c>
      <c r="D625">
        <v>33</v>
      </c>
      <c r="E625" s="16" t="s">
        <v>122</v>
      </c>
      <c r="F625" s="16" t="s">
        <v>92</v>
      </c>
      <c r="G625" s="22">
        <v>166</v>
      </c>
      <c r="H625" s="18">
        <v>118.96</v>
      </c>
      <c r="I625" s="18">
        <v>0.716626506</v>
      </c>
      <c r="J625" s="18">
        <v>0.77</v>
      </c>
      <c r="K625" s="18">
        <v>0.7</v>
      </c>
      <c r="L625" s="22">
        <v>9</v>
      </c>
    </row>
    <row r="626" spans="1:12">
      <c r="A626">
        <v>1</v>
      </c>
      <c r="B626" s="16" t="s">
        <v>37</v>
      </c>
      <c r="C626" s="9">
        <v>46204</v>
      </c>
      <c r="D626">
        <v>33</v>
      </c>
      <c r="E626" s="16" t="s">
        <v>122</v>
      </c>
      <c r="F626" s="16" t="s">
        <v>92</v>
      </c>
      <c r="G626" s="22">
        <v>198</v>
      </c>
      <c r="H626" s="18">
        <v>139.69999999999999</v>
      </c>
      <c r="I626" s="18">
        <v>0.70555555599999997</v>
      </c>
      <c r="J626" s="18">
        <v>0.73</v>
      </c>
      <c r="K626" s="18">
        <v>0.69</v>
      </c>
      <c r="L626" s="22">
        <v>9</v>
      </c>
    </row>
    <row r="627" spans="1:12">
      <c r="A627">
        <v>1</v>
      </c>
      <c r="B627" s="16" t="s">
        <v>37</v>
      </c>
      <c r="C627" s="9">
        <v>46235</v>
      </c>
      <c r="D627">
        <v>33</v>
      </c>
      <c r="E627" s="16" t="s">
        <v>122</v>
      </c>
      <c r="F627" s="16" t="s">
        <v>92</v>
      </c>
      <c r="G627" s="22">
        <v>176</v>
      </c>
      <c r="H627" s="18">
        <v>126.82</v>
      </c>
      <c r="I627" s="18">
        <v>0.72056818199999995</v>
      </c>
      <c r="J627" s="18">
        <v>0.74</v>
      </c>
      <c r="K627" s="18">
        <v>0.7</v>
      </c>
      <c r="L627" s="22">
        <v>9</v>
      </c>
    </row>
    <row r="628" spans="1:12">
      <c r="A628">
        <v>1</v>
      </c>
      <c r="B628" s="16" t="s">
        <v>37</v>
      </c>
      <c r="C628" s="9">
        <v>46266</v>
      </c>
      <c r="D628">
        <v>33</v>
      </c>
      <c r="E628" s="16" t="s">
        <v>122</v>
      </c>
      <c r="F628" s="16" t="s">
        <v>92</v>
      </c>
      <c r="G628" s="22">
        <v>176</v>
      </c>
      <c r="H628" s="18">
        <v>130.5</v>
      </c>
      <c r="I628" s="18">
        <v>0.74147727299999999</v>
      </c>
      <c r="J628" s="18">
        <v>0.75</v>
      </c>
      <c r="K628" s="18">
        <v>0.72</v>
      </c>
      <c r="L628" s="22">
        <v>8</v>
      </c>
    </row>
    <row r="629" spans="1:12">
      <c r="A629">
        <v>1</v>
      </c>
      <c r="B629" s="16" t="s">
        <v>37</v>
      </c>
      <c r="C629" s="9">
        <v>45689</v>
      </c>
      <c r="D629">
        <v>34</v>
      </c>
      <c r="E629" s="16" t="s">
        <v>123</v>
      </c>
      <c r="F629" s="16" t="s">
        <v>114</v>
      </c>
      <c r="G629" s="22">
        <v>15</v>
      </c>
      <c r="H629" s="18">
        <v>53.917499999999997</v>
      </c>
      <c r="I629" s="18">
        <v>3.5945</v>
      </c>
      <c r="J629" s="18">
        <v>3.68</v>
      </c>
      <c r="K629" s="18">
        <v>3.54</v>
      </c>
      <c r="L629" s="22">
        <v>8</v>
      </c>
    </row>
    <row r="630" spans="1:12">
      <c r="A630">
        <v>1</v>
      </c>
      <c r="B630" s="16" t="s">
        <v>37</v>
      </c>
      <c r="C630" s="9">
        <v>45717</v>
      </c>
      <c r="D630">
        <v>34</v>
      </c>
      <c r="E630" s="16" t="s">
        <v>123</v>
      </c>
      <c r="F630" s="16" t="s">
        <v>114</v>
      </c>
      <c r="G630" s="22">
        <v>15.75</v>
      </c>
      <c r="H630" s="18">
        <v>57.09</v>
      </c>
      <c r="I630" s="18">
        <v>3.6247619050000002</v>
      </c>
      <c r="J630" s="18">
        <v>3.69</v>
      </c>
      <c r="K630" s="18">
        <v>3.54</v>
      </c>
      <c r="L630" s="22">
        <v>8</v>
      </c>
    </row>
    <row r="631" spans="1:12">
      <c r="A631">
        <v>1</v>
      </c>
      <c r="B631" s="16" t="s">
        <v>37</v>
      </c>
      <c r="C631" s="9">
        <v>45748</v>
      </c>
      <c r="D631">
        <v>34</v>
      </c>
      <c r="E631" s="16" t="s">
        <v>123</v>
      </c>
      <c r="F631" s="16" t="s">
        <v>114</v>
      </c>
      <c r="G631" s="22">
        <v>20.25</v>
      </c>
      <c r="H631" s="18">
        <v>74.377499999999998</v>
      </c>
      <c r="I631" s="18">
        <v>3.6729629629999998</v>
      </c>
      <c r="J631" s="18">
        <v>3.78</v>
      </c>
      <c r="K631" s="18">
        <v>3.57</v>
      </c>
      <c r="L631" s="22">
        <v>9</v>
      </c>
    </row>
    <row r="632" spans="1:12">
      <c r="A632">
        <v>1</v>
      </c>
      <c r="B632" s="16" t="s">
        <v>37</v>
      </c>
      <c r="C632" s="9">
        <v>45778</v>
      </c>
      <c r="D632">
        <v>34</v>
      </c>
      <c r="E632" s="16" t="s">
        <v>123</v>
      </c>
      <c r="F632" s="16" t="s">
        <v>114</v>
      </c>
      <c r="G632" s="22">
        <v>19.5</v>
      </c>
      <c r="H632" s="18">
        <v>72.682500000000005</v>
      </c>
      <c r="I632" s="18">
        <v>3.7273076920000001</v>
      </c>
      <c r="J632" s="18">
        <v>3.78</v>
      </c>
      <c r="K632" s="18">
        <v>3.66</v>
      </c>
      <c r="L632" s="22">
        <v>9</v>
      </c>
    </row>
    <row r="633" spans="1:12">
      <c r="A633">
        <v>1</v>
      </c>
      <c r="B633" s="16" t="s">
        <v>37</v>
      </c>
      <c r="C633" s="9">
        <v>45809</v>
      </c>
      <c r="D633">
        <v>34</v>
      </c>
      <c r="E633" s="16" t="s">
        <v>123</v>
      </c>
      <c r="F633" s="16" t="s">
        <v>114</v>
      </c>
      <c r="G633" s="22">
        <v>17.25</v>
      </c>
      <c r="H633" s="18">
        <v>63.84</v>
      </c>
      <c r="I633" s="18">
        <v>3.7008695650000001</v>
      </c>
      <c r="J633" s="18">
        <v>3.77</v>
      </c>
      <c r="K633" s="18">
        <v>3.65</v>
      </c>
      <c r="L633" s="22">
        <v>8</v>
      </c>
    </row>
    <row r="634" spans="1:12">
      <c r="A634">
        <v>1</v>
      </c>
      <c r="B634" s="16" t="s">
        <v>37</v>
      </c>
      <c r="C634" s="9">
        <v>45839</v>
      </c>
      <c r="D634">
        <v>34</v>
      </c>
      <c r="E634" s="16" t="s">
        <v>123</v>
      </c>
      <c r="F634" s="16" t="s">
        <v>114</v>
      </c>
      <c r="G634" s="22">
        <v>21</v>
      </c>
      <c r="H634" s="18">
        <v>79.260000000000005</v>
      </c>
      <c r="I634" s="18">
        <v>3.7742857139999999</v>
      </c>
      <c r="J634" s="18">
        <v>4.04</v>
      </c>
      <c r="K634" s="18">
        <v>3.65</v>
      </c>
      <c r="L634" s="22">
        <v>10</v>
      </c>
    </row>
    <row r="635" spans="1:12">
      <c r="A635">
        <v>1</v>
      </c>
      <c r="B635" s="16" t="s">
        <v>37</v>
      </c>
      <c r="C635" s="9">
        <v>45870</v>
      </c>
      <c r="D635">
        <v>34</v>
      </c>
      <c r="E635" s="16" t="s">
        <v>123</v>
      </c>
      <c r="F635" s="16" t="s">
        <v>114</v>
      </c>
      <c r="G635" s="22">
        <v>17.25</v>
      </c>
      <c r="H635" s="18">
        <v>66.292500000000004</v>
      </c>
      <c r="I635" s="18">
        <v>3.8430434779999998</v>
      </c>
      <c r="J635" s="18">
        <v>3.92</v>
      </c>
      <c r="K635" s="18">
        <v>3.78</v>
      </c>
      <c r="L635" s="22">
        <v>8</v>
      </c>
    </row>
    <row r="636" spans="1:12">
      <c r="A636">
        <v>1</v>
      </c>
      <c r="B636" s="16" t="s">
        <v>37</v>
      </c>
      <c r="C636" s="9">
        <v>45901</v>
      </c>
      <c r="D636">
        <v>34</v>
      </c>
      <c r="E636" s="16" t="s">
        <v>123</v>
      </c>
      <c r="F636" s="16" t="s">
        <v>114</v>
      </c>
      <c r="G636" s="22">
        <v>21</v>
      </c>
      <c r="H636" s="18">
        <v>80.489999999999995</v>
      </c>
      <c r="I636" s="18">
        <v>3.832857143</v>
      </c>
      <c r="J636" s="18">
        <v>3.93</v>
      </c>
      <c r="K636" s="18">
        <v>3.71</v>
      </c>
      <c r="L636" s="22">
        <v>9</v>
      </c>
    </row>
    <row r="637" spans="1:12">
      <c r="A637">
        <v>1</v>
      </c>
      <c r="B637" s="16" t="s">
        <v>37</v>
      </c>
      <c r="C637" s="9">
        <v>45931</v>
      </c>
      <c r="D637">
        <v>34</v>
      </c>
      <c r="E637" s="16" t="s">
        <v>123</v>
      </c>
      <c r="F637" s="16" t="s">
        <v>114</v>
      </c>
      <c r="G637" s="22">
        <v>21.75</v>
      </c>
      <c r="H637" s="18">
        <v>83.82</v>
      </c>
      <c r="I637" s="18">
        <v>3.8537931030000001</v>
      </c>
      <c r="J637" s="18">
        <v>3.95</v>
      </c>
      <c r="K637" s="18">
        <v>3.74</v>
      </c>
      <c r="L637" s="22">
        <v>9</v>
      </c>
    </row>
    <row r="638" spans="1:12">
      <c r="A638">
        <v>1</v>
      </c>
      <c r="B638" s="16" t="s">
        <v>37</v>
      </c>
      <c r="C638" s="9">
        <v>45962</v>
      </c>
      <c r="D638">
        <v>34</v>
      </c>
      <c r="E638" s="16" t="s">
        <v>123</v>
      </c>
      <c r="F638" s="16" t="s">
        <v>114</v>
      </c>
      <c r="G638" s="22">
        <v>16.5</v>
      </c>
      <c r="H638" s="18">
        <v>64.102500000000006</v>
      </c>
      <c r="I638" s="18">
        <v>3.8849999999999998</v>
      </c>
      <c r="J638" s="18">
        <v>3.96</v>
      </c>
      <c r="K638" s="18">
        <v>3.8</v>
      </c>
      <c r="L638" s="22">
        <v>8</v>
      </c>
    </row>
    <row r="639" spans="1:12">
      <c r="A639">
        <v>1</v>
      </c>
      <c r="B639" s="16" t="s">
        <v>37</v>
      </c>
      <c r="C639" s="9">
        <v>45992</v>
      </c>
      <c r="D639">
        <v>34</v>
      </c>
      <c r="E639" s="16" t="s">
        <v>123</v>
      </c>
      <c r="F639" s="16" t="s">
        <v>114</v>
      </c>
      <c r="G639" s="22">
        <v>12</v>
      </c>
      <c r="H639" s="18">
        <v>46.95</v>
      </c>
      <c r="I639" s="18">
        <v>3.9125000000000001</v>
      </c>
      <c r="J639" s="18">
        <v>3.97</v>
      </c>
      <c r="K639" s="18">
        <v>3.83</v>
      </c>
      <c r="L639" s="22">
        <v>7</v>
      </c>
    </row>
    <row r="640" spans="1:12">
      <c r="A640">
        <v>1</v>
      </c>
      <c r="B640" s="16" t="s">
        <v>37</v>
      </c>
      <c r="C640" s="9">
        <v>45717</v>
      </c>
      <c r="D640">
        <v>35</v>
      </c>
      <c r="E640" s="16" t="s">
        <v>124</v>
      </c>
      <c r="F640" s="16" t="s">
        <v>90</v>
      </c>
      <c r="G640" s="22">
        <v>1</v>
      </c>
      <c r="H640" s="18">
        <v>7.3</v>
      </c>
      <c r="I640" s="18">
        <v>7.3</v>
      </c>
      <c r="J640" s="18">
        <v>7.3</v>
      </c>
      <c r="K640" s="18">
        <v>7.3</v>
      </c>
      <c r="L640" s="22">
        <v>1</v>
      </c>
    </row>
    <row r="641" spans="1:12">
      <c r="A641">
        <v>1</v>
      </c>
      <c r="B641" s="16" t="s">
        <v>37</v>
      </c>
      <c r="C641" s="9">
        <v>45748</v>
      </c>
      <c r="D641">
        <v>35</v>
      </c>
      <c r="E641" s="16" t="s">
        <v>124</v>
      </c>
      <c r="F641" s="16" t="s">
        <v>90</v>
      </c>
      <c r="G641" s="22">
        <v>1</v>
      </c>
      <c r="H641" s="18">
        <v>7.33</v>
      </c>
      <c r="I641" s="18">
        <v>7.33</v>
      </c>
      <c r="J641" s="18">
        <v>7.33</v>
      </c>
      <c r="K641" s="18">
        <v>7.33</v>
      </c>
      <c r="L641" s="22">
        <v>1</v>
      </c>
    </row>
    <row r="642" spans="1:12">
      <c r="A642">
        <v>1</v>
      </c>
      <c r="B642" s="16" t="s">
        <v>37</v>
      </c>
      <c r="C642" s="9">
        <v>45778</v>
      </c>
      <c r="D642">
        <v>35</v>
      </c>
      <c r="E642" s="16" t="s">
        <v>124</v>
      </c>
      <c r="F642" s="16" t="s">
        <v>90</v>
      </c>
      <c r="G642" s="22">
        <v>1</v>
      </c>
      <c r="H642" s="18">
        <v>7.23</v>
      </c>
      <c r="I642" s="18">
        <v>7.23</v>
      </c>
      <c r="J642" s="18">
        <v>7.23</v>
      </c>
      <c r="K642" s="18">
        <v>7.23</v>
      </c>
      <c r="L642" s="22">
        <v>1</v>
      </c>
    </row>
    <row r="643" spans="1:12">
      <c r="A643">
        <v>1</v>
      </c>
      <c r="B643" s="16" t="s">
        <v>37</v>
      </c>
      <c r="C643" s="9">
        <v>45809</v>
      </c>
      <c r="D643">
        <v>35</v>
      </c>
      <c r="E643" s="16" t="s">
        <v>124</v>
      </c>
      <c r="F643" s="16" t="s">
        <v>90</v>
      </c>
      <c r="G643" s="22">
        <v>1</v>
      </c>
      <c r="H643" s="18">
        <v>7.31</v>
      </c>
      <c r="I643" s="18">
        <v>7.31</v>
      </c>
      <c r="J643" s="18">
        <v>7.31</v>
      </c>
      <c r="K643" s="18">
        <v>7.31</v>
      </c>
      <c r="L643" s="22">
        <v>1</v>
      </c>
    </row>
    <row r="644" spans="1:12">
      <c r="A644">
        <v>1</v>
      </c>
      <c r="B644" s="16" t="s">
        <v>37</v>
      </c>
      <c r="C644" s="9">
        <v>45839</v>
      </c>
      <c r="D644">
        <v>35</v>
      </c>
      <c r="E644" s="16" t="s">
        <v>124</v>
      </c>
      <c r="F644" s="16" t="s">
        <v>90</v>
      </c>
      <c r="G644" s="22">
        <v>1</v>
      </c>
      <c r="H644" s="18">
        <v>7.69</v>
      </c>
      <c r="I644" s="18">
        <v>7.69</v>
      </c>
      <c r="J644" s="18">
        <v>7.69</v>
      </c>
      <c r="K644" s="18">
        <v>7.69</v>
      </c>
      <c r="L644" s="22">
        <v>1</v>
      </c>
    </row>
    <row r="645" spans="1:12">
      <c r="A645">
        <v>1</v>
      </c>
      <c r="B645" s="16" t="s">
        <v>37</v>
      </c>
      <c r="C645" s="9">
        <v>45870</v>
      </c>
      <c r="D645">
        <v>35</v>
      </c>
      <c r="E645" s="16" t="s">
        <v>124</v>
      </c>
      <c r="F645" s="16" t="s">
        <v>90</v>
      </c>
      <c r="G645" s="22">
        <v>1</v>
      </c>
      <c r="H645" s="18">
        <v>7.38</v>
      </c>
      <c r="I645" s="18">
        <v>7.38</v>
      </c>
      <c r="J645" s="18">
        <v>7.38</v>
      </c>
      <c r="K645" s="18">
        <v>7.38</v>
      </c>
      <c r="L645" s="22">
        <v>1</v>
      </c>
    </row>
    <row r="646" spans="1:12">
      <c r="A646">
        <v>1</v>
      </c>
      <c r="B646" s="16" t="s">
        <v>37</v>
      </c>
      <c r="C646" s="9">
        <v>45901</v>
      </c>
      <c r="D646">
        <v>35</v>
      </c>
      <c r="E646" s="16" t="s">
        <v>124</v>
      </c>
      <c r="F646" s="16" t="s">
        <v>90</v>
      </c>
      <c r="G646" s="22">
        <v>1</v>
      </c>
      <c r="H646" s="18">
        <v>7.48</v>
      </c>
      <c r="I646" s="18">
        <v>7.48</v>
      </c>
      <c r="J646" s="18">
        <v>7.48</v>
      </c>
      <c r="K646" s="18">
        <v>7.48</v>
      </c>
      <c r="L646" s="22">
        <v>1</v>
      </c>
    </row>
    <row r="647" spans="1:12">
      <c r="A647">
        <v>1</v>
      </c>
      <c r="B647" s="16" t="s">
        <v>37</v>
      </c>
      <c r="C647" s="9">
        <v>45931</v>
      </c>
      <c r="D647">
        <v>35</v>
      </c>
      <c r="E647" s="16" t="s">
        <v>124</v>
      </c>
      <c r="F647" s="16" t="s">
        <v>90</v>
      </c>
      <c r="G647" s="22">
        <v>1</v>
      </c>
      <c r="H647" s="18">
        <v>7.56</v>
      </c>
      <c r="I647" s="18">
        <v>7.56</v>
      </c>
      <c r="J647" s="18">
        <v>7.56</v>
      </c>
      <c r="K647" s="18">
        <v>7.56</v>
      </c>
      <c r="L647" s="22">
        <v>1</v>
      </c>
    </row>
    <row r="648" spans="1:12">
      <c r="A648">
        <v>1</v>
      </c>
      <c r="B648" s="16" t="s">
        <v>37</v>
      </c>
      <c r="C648" s="9">
        <v>45962</v>
      </c>
      <c r="D648">
        <v>35</v>
      </c>
      <c r="E648" s="16" t="s">
        <v>124</v>
      </c>
      <c r="F648" s="16" t="s">
        <v>90</v>
      </c>
      <c r="G648" s="22">
        <v>1</v>
      </c>
      <c r="H648" s="18">
        <v>7.49</v>
      </c>
      <c r="I648" s="18">
        <v>7.49</v>
      </c>
      <c r="J648" s="18">
        <v>7.49</v>
      </c>
      <c r="K648" s="18">
        <v>7.49</v>
      </c>
      <c r="L648" s="22">
        <v>1</v>
      </c>
    </row>
    <row r="649" spans="1:12">
      <c r="A649">
        <v>1</v>
      </c>
      <c r="B649" s="16" t="s">
        <v>37</v>
      </c>
      <c r="C649" s="9">
        <v>45689</v>
      </c>
      <c r="D649">
        <v>36</v>
      </c>
      <c r="E649" s="16" t="s">
        <v>125</v>
      </c>
      <c r="F649" s="16" t="s">
        <v>98</v>
      </c>
      <c r="G649" s="22">
        <v>40</v>
      </c>
      <c r="H649" s="18">
        <v>93.2</v>
      </c>
      <c r="I649" s="18">
        <v>2.33</v>
      </c>
      <c r="J649" s="18">
        <v>2.37</v>
      </c>
      <c r="K649" s="18">
        <v>2.29</v>
      </c>
      <c r="L649" s="22">
        <v>2</v>
      </c>
    </row>
    <row r="650" spans="1:12">
      <c r="A650">
        <v>1</v>
      </c>
      <c r="B650" s="16" t="s">
        <v>37</v>
      </c>
      <c r="C650" s="9">
        <v>45717</v>
      </c>
      <c r="D650">
        <v>36</v>
      </c>
      <c r="E650" s="16" t="s">
        <v>125</v>
      </c>
      <c r="F650" s="16" t="s">
        <v>98</v>
      </c>
      <c r="G650" s="22">
        <v>40</v>
      </c>
      <c r="H650" s="18">
        <v>92</v>
      </c>
      <c r="I650" s="18">
        <v>2.2999999999999998</v>
      </c>
      <c r="J650" s="18">
        <v>2.31</v>
      </c>
      <c r="K650" s="18">
        <v>2.29</v>
      </c>
      <c r="L650" s="22">
        <v>2</v>
      </c>
    </row>
    <row r="651" spans="1:12">
      <c r="A651">
        <v>1</v>
      </c>
      <c r="B651" s="16" t="s">
        <v>37</v>
      </c>
      <c r="C651" s="9">
        <v>45748</v>
      </c>
      <c r="D651">
        <v>36</v>
      </c>
      <c r="E651" s="16" t="s">
        <v>125</v>
      </c>
      <c r="F651" s="16" t="s">
        <v>98</v>
      </c>
      <c r="G651" s="22">
        <v>40</v>
      </c>
      <c r="H651" s="18">
        <v>91.4</v>
      </c>
      <c r="I651" s="18">
        <v>2.2850000000000001</v>
      </c>
      <c r="J651" s="18">
        <v>2.31</v>
      </c>
      <c r="K651" s="18">
        <v>2.2599999999999998</v>
      </c>
      <c r="L651" s="22">
        <v>2</v>
      </c>
    </row>
    <row r="652" spans="1:12">
      <c r="A652">
        <v>1</v>
      </c>
      <c r="B652" s="16" t="s">
        <v>37</v>
      </c>
      <c r="C652" s="9">
        <v>45778</v>
      </c>
      <c r="D652">
        <v>36</v>
      </c>
      <c r="E652" s="16" t="s">
        <v>125</v>
      </c>
      <c r="F652" s="16" t="s">
        <v>98</v>
      </c>
      <c r="G652" s="22">
        <v>40</v>
      </c>
      <c r="H652" s="18">
        <v>91.6</v>
      </c>
      <c r="I652" s="18">
        <v>2.29</v>
      </c>
      <c r="J652" s="18">
        <v>2.2999999999999998</v>
      </c>
      <c r="K652" s="18">
        <v>2.2799999999999998</v>
      </c>
      <c r="L652" s="22">
        <v>2</v>
      </c>
    </row>
    <row r="653" spans="1:12">
      <c r="A653">
        <v>1</v>
      </c>
      <c r="B653" s="16" t="s">
        <v>37</v>
      </c>
      <c r="C653" s="9">
        <v>45809</v>
      </c>
      <c r="D653">
        <v>36</v>
      </c>
      <c r="E653" s="16" t="s">
        <v>125</v>
      </c>
      <c r="F653" s="16" t="s">
        <v>98</v>
      </c>
      <c r="G653" s="22">
        <v>40</v>
      </c>
      <c r="H653" s="18">
        <v>92.6</v>
      </c>
      <c r="I653" s="18">
        <v>2.3149999999999999</v>
      </c>
      <c r="J653" s="18">
        <v>2.35</v>
      </c>
      <c r="K653" s="18">
        <v>2.2799999999999998</v>
      </c>
      <c r="L653" s="22">
        <v>2</v>
      </c>
    </row>
    <row r="654" spans="1:12">
      <c r="A654">
        <v>1</v>
      </c>
      <c r="B654" s="16" t="s">
        <v>37</v>
      </c>
      <c r="C654" s="9">
        <v>45839</v>
      </c>
      <c r="D654">
        <v>36</v>
      </c>
      <c r="E654" s="16" t="s">
        <v>125</v>
      </c>
      <c r="F654" s="16" t="s">
        <v>98</v>
      </c>
      <c r="G654" s="22">
        <v>40</v>
      </c>
      <c r="H654" s="18">
        <v>94</v>
      </c>
      <c r="I654" s="18">
        <v>2.35</v>
      </c>
      <c r="J654" s="18">
        <v>2.37</v>
      </c>
      <c r="K654" s="18">
        <v>2.33</v>
      </c>
      <c r="L654" s="22">
        <v>2</v>
      </c>
    </row>
    <row r="655" spans="1:12">
      <c r="A655">
        <v>1</v>
      </c>
      <c r="B655" s="16" t="s">
        <v>37</v>
      </c>
      <c r="C655" s="9">
        <v>45870</v>
      </c>
      <c r="D655">
        <v>36</v>
      </c>
      <c r="E655" s="16" t="s">
        <v>125</v>
      </c>
      <c r="F655" s="16" t="s">
        <v>98</v>
      </c>
      <c r="G655" s="22">
        <v>20</v>
      </c>
      <c r="H655" s="18">
        <v>47.2</v>
      </c>
      <c r="I655" s="18">
        <v>2.36</v>
      </c>
      <c r="J655" s="18">
        <v>2.36</v>
      </c>
      <c r="K655" s="18">
        <v>2.36</v>
      </c>
      <c r="L655" s="22">
        <v>1</v>
      </c>
    </row>
    <row r="656" spans="1:12">
      <c r="A656">
        <v>1</v>
      </c>
      <c r="B656" s="16" t="s">
        <v>37</v>
      </c>
      <c r="C656" s="9">
        <v>45901</v>
      </c>
      <c r="D656">
        <v>36</v>
      </c>
      <c r="E656" s="16" t="s">
        <v>125</v>
      </c>
      <c r="F656" s="16" t="s">
        <v>98</v>
      </c>
      <c r="G656" s="22">
        <v>60</v>
      </c>
      <c r="H656" s="18">
        <v>137.80000000000001</v>
      </c>
      <c r="I656" s="18">
        <v>2.2966666670000002</v>
      </c>
      <c r="J656" s="18">
        <v>2.2999999999999998</v>
      </c>
      <c r="K656" s="18">
        <v>2.29</v>
      </c>
      <c r="L656" s="22">
        <v>2</v>
      </c>
    </row>
    <row r="657" spans="1:12">
      <c r="A657">
        <v>1</v>
      </c>
      <c r="B657" s="16" t="s">
        <v>37</v>
      </c>
      <c r="C657" s="9">
        <v>45931</v>
      </c>
      <c r="D657">
        <v>36</v>
      </c>
      <c r="E657" s="16" t="s">
        <v>125</v>
      </c>
      <c r="F657" s="16" t="s">
        <v>98</v>
      </c>
      <c r="G657" s="22">
        <v>40</v>
      </c>
      <c r="H657" s="18">
        <v>93.8</v>
      </c>
      <c r="I657" s="18">
        <v>2.3450000000000002</v>
      </c>
      <c r="J657" s="18">
        <v>2.36</v>
      </c>
      <c r="K657" s="18">
        <v>2.33</v>
      </c>
      <c r="L657" s="22">
        <v>2</v>
      </c>
    </row>
    <row r="658" spans="1:12">
      <c r="A658">
        <v>1</v>
      </c>
      <c r="B658" s="16" t="s">
        <v>37</v>
      </c>
      <c r="C658" s="9">
        <v>45962</v>
      </c>
      <c r="D658">
        <v>36</v>
      </c>
      <c r="E658" s="16" t="s">
        <v>125</v>
      </c>
      <c r="F658" s="16" t="s">
        <v>98</v>
      </c>
      <c r="G658" s="22">
        <v>40</v>
      </c>
      <c r="H658" s="18">
        <v>94</v>
      </c>
      <c r="I658" s="18">
        <v>2.35</v>
      </c>
      <c r="J658" s="18">
        <v>2.36</v>
      </c>
      <c r="K658" s="18">
        <v>2.34</v>
      </c>
      <c r="L658" s="22">
        <v>2</v>
      </c>
    </row>
    <row r="659" spans="1:12">
      <c r="A659">
        <v>1</v>
      </c>
      <c r="B659" s="16" t="s">
        <v>37</v>
      </c>
      <c r="C659" s="9">
        <v>45992</v>
      </c>
      <c r="D659">
        <v>36</v>
      </c>
      <c r="E659" s="16" t="s">
        <v>125</v>
      </c>
      <c r="F659" s="16" t="s">
        <v>98</v>
      </c>
      <c r="G659" s="22">
        <v>100</v>
      </c>
      <c r="H659" s="18">
        <v>235.8</v>
      </c>
      <c r="I659" s="18">
        <v>2.3580000000000001</v>
      </c>
      <c r="J659" s="18">
        <v>2.4</v>
      </c>
      <c r="K659" s="18">
        <v>2.3199999999999998</v>
      </c>
      <c r="L659" s="22">
        <v>3</v>
      </c>
    </row>
    <row r="660" spans="1:12">
      <c r="A660">
        <v>1</v>
      </c>
      <c r="B660" s="16" t="s">
        <v>37</v>
      </c>
      <c r="C660" s="9">
        <v>46023</v>
      </c>
      <c r="D660">
        <v>36</v>
      </c>
      <c r="E660" s="16" t="s">
        <v>125</v>
      </c>
      <c r="F660" s="16" t="s">
        <v>98</v>
      </c>
      <c r="G660" s="22">
        <v>40</v>
      </c>
      <c r="H660" s="18">
        <v>96</v>
      </c>
      <c r="I660" s="18">
        <v>2.4</v>
      </c>
      <c r="J660" s="18">
        <v>2.42</v>
      </c>
      <c r="K660" s="18">
        <v>2.38</v>
      </c>
      <c r="L660" s="22">
        <v>2</v>
      </c>
    </row>
    <row r="661" spans="1:12">
      <c r="A661">
        <v>1</v>
      </c>
      <c r="B661" s="16" t="s">
        <v>37</v>
      </c>
      <c r="C661" s="9">
        <v>46054</v>
      </c>
      <c r="D661">
        <v>36</v>
      </c>
      <c r="E661" s="16" t="s">
        <v>125</v>
      </c>
      <c r="F661" s="16" t="s">
        <v>98</v>
      </c>
      <c r="G661" s="22">
        <v>60</v>
      </c>
      <c r="H661" s="18">
        <v>143.80000000000001</v>
      </c>
      <c r="I661" s="18">
        <v>2.3966666669999999</v>
      </c>
      <c r="J661" s="18">
        <v>2.41</v>
      </c>
      <c r="K661" s="18">
        <v>2.39</v>
      </c>
      <c r="L661" s="22">
        <v>2</v>
      </c>
    </row>
    <row r="662" spans="1:12">
      <c r="A662">
        <v>1</v>
      </c>
      <c r="B662" s="16" t="s">
        <v>37</v>
      </c>
      <c r="C662" s="9">
        <v>46082</v>
      </c>
      <c r="D662">
        <v>36</v>
      </c>
      <c r="E662" s="16" t="s">
        <v>125</v>
      </c>
      <c r="F662" s="16" t="s">
        <v>98</v>
      </c>
      <c r="G662" s="22">
        <v>40</v>
      </c>
      <c r="H662" s="18">
        <v>96</v>
      </c>
      <c r="I662" s="18">
        <v>2.4</v>
      </c>
      <c r="J662" s="18">
        <v>2.41</v>
      </c>
      <c r="K662" s="18">
        <v>2.39</v>
      </c>
      <c r="L662" s="22">
        <v>2</v>
      </c>
    </row>
    <row r="663" spans="1:12">
      <c r="A663">
        <v>1</v>
      </c>
      <c r="B663" s="16" t="s">
        <v>37</v>
      </c>
      <c r="C663" s="9">
        <v>46113</v>
      </c>
      <c r="D663">
        <v>36</v>
      </c>
      <c r="E663" s="16" t="s">
        <v>125</v>
      </c>
      <c r="F663" s="16" t="s">
        <v>98</v>
      </c>
      <c r="G663" s="22">
        <v>40</v>
      </c>
      <c r="H663" s="18">
        <v>97.2</v>
      </c>
      <c r="I663" s="18">
        <v>2.4300000000000002</v>
      </c>
      <c r="J663" s="18">
        <v>2.4300000000000002</v>
      </c>
      <c r="K663" s="18">
        <v>2.4300000000000002</v>
      </c>
      <c r="L663" s="22">
        <v>2</v>
      </c>
    </row>
    <row r="664" spans="1:12">
      <c r="A664">
        <v>1</v>
      </c>
      <c r="B664" s="16" t="s">
        <v>37</v>
      </c>
      <c r="C664" s="9">
        <v>46143</v>
      </c>
      <c r="D664">
        <v>36</v>
      </c>
      <c r="E664" s="16" t="s">
        <v>125</v>
      </c>
      <c r="F664" s="16" t="s">
        <v>98</v>
      </c>
      <c r="G664" s="22">
        <v>40</v>
      </c>
      <c r="H664" s="18">
        <v>98.6</v>
      </c>
      <c r="I664" s="18">
        <v>2.4649999999999999</v>
      </c>
      <c r="J664" s="18">
        <v>2.48</v>
      </c>
      <c r="K664" s="18">
        <v>2.4500000000000002</v>
      </c>
      <c r="L664" s="22">
        <v>2</v>
      </c>
    </row>
    <row r="665" spans="1:12">
      <c r="A665">
        <v>1</v>
      </c>
      <c r="B665" s="16" t="s">
        <v>37</v>
      </c>
      <c r="C665" s="9">
        <v>46174</v>
      </c>
      <c r="D665">
        <v>36</v>
      </c>
      <c r="E665" s="16" t="s">
        <v>125</v>
      </c>
      <c r="F665" s="16" t="s">
        <v>98</v>
      </c>
      <c r="G665" s="22">
        <v>40</v>
      </c>
      <c r="H665" s="18">
        <v>96.8</v>
      </c>
      <c r="I665" s="18">
        <v>2.42</v>
      </c>
      <c r="J665" s="18">
        <v>2.4300000000000002</v>
      </c>
      <c r="K665" s="18">
        <v>2.41</v>
      </c>
      <c r="L665" s="22">
        <v>2</v>
      </c>
    </row>
    <row r="666" spans="1:12">
      <c r="A666">
        <v>1</v>
      </c>
      <c r="B666" s="16" t="s">
        <v>37</v>
      </c>
      <c r="C666" s="9">
        <v>46204</v>
      </c>
      <c r="D666">
        <v>36</v>
      </c>
      <c r="E666" s="16" t="s">
        <v>125</v>
      </c>
      <c r="F666" s="16" t="s">
        <v>98</v>
      </c>
      <c r="G666" s="22">
        <v>40</v>
      </c>
      <c r="H666" s="18">
        <v>99.4</v>
      </c>
      <c r="I666" s="18">
        <v>2.4849999999999999</v>
      </c>
      <c r="J666" s="18">
        <v>2.5</v>
      </c>
      <c r="K666" s="18">
        <v>2.4700000000000002</v>
      </c>
      <c r="L666" s="22">
        <v>2</v>
      </c>
    </row>
    <row r="667" spans="1:12">
      <c r="A667">
        <v>1</v>
      </c>
      <c r="B667" s="16" t="s">
        <v>37</v>
      </c>
      <c r="C667" s="9">
        <v>46235</v>
      </c>
      <c r="D667">
        <v>36</v>
      </c>
      <c r="E667" s="16" t="s">
        <v>125</v>
      </c>
      <c r="F667" s="16" t="s">
        <v>98</v>
      </c>
      <c r="G667" s="22">
        <v>40</v>
      </c>
      <c r="H667" s="18">
        <v>99.8</v>
      </c>
      <c r="I667" s="18">
        <v>2.4950000000000001</v>
      </c>
      <c r="J667" s="18">
        <v>2.5</v>
      </c>
      <c r="K667" s="18">
        <v>2.4900000000000002</v>
      </c>
      <c r="L667" s="22">
        <v>2</v>
      </c>
    </row>
    <row r="668" spans="1:12">
      <c r="A668">
        <v>1</v>
      </c>
      <c r="B668" s="16" t="s">
        <v>37</v>
      </c>
      <c r="C668" s="9">
        <v>46266</v>
      </c>
      <c r="D668">
        <v>36</v>
      </c>
      <c r="E668" s="16" t="s">
        <v>125</v>
      </c>
      <c r="F668" s="16" t="s">
        <v>98</v>
      </c>
      <c r="G668" s="22">
        <v>40</v>
      </c>
      <c r="H668" s="18">
        <v>100.8</v>
      </c>
      <c r="I668" s="18">
        <v>2.52</v>
      </c>
      <c r="J668" s="18">
        <v>2.5499999999999998</v>
      </c>
      <c r="K668" s="18">
        <v>2.4900000000000002</v>
      </c>
      <c r="L668" s="22">
        <v>2</v>
      </c>
    </row>
    <row r="669" spans="1:12">
      <c r="A669">
        <v>1</v>
      </c>
      <c r="B669" s="16" t="s">
        <v>37</v>
      </c>
      <c r="C669" s="9">
        <v>45689</v>
      </c>
      <c r="D669">
        <v>37</v>
      </c>
      <c r="E669" s="16" t="s">
        <v>126</v>
      </c>
      <c r="F669" s="16" t="s">
        <v>90</v>
      </c>
      <c r="G669" s="22">
        <v>64</v>
      </c>
      <c r="H669" s="18">
        <v>88</v>
      </c>
      <c r="I669" s="18">
        <v>1.375</v>
      </c>
      <c r="J669" s="18">
        <v>1.38</v>
      </c>
      <c r="K669" s="18">
        <v>1.37</v>
      </c>
      <c r="L669" s="22">
        <v>2</v>
      </c>
    </row>
    <row r="670" spans="1:12">
      <c r="A670">
        <v>1</v>
      </c>
      <c r="B670" s="16" t="s">
        <v>37</v>
      </c>
      <c r="C670" s="9">
        <v>45717</v>
      </c>
      <c r="D670">
        <v>37</v>
      </c>
      <c r="E670" s="16" t="s">
        <v>126</v>
      </c>
      <c r="F670" s="16" t="s">
        <v>90</v>
      </c>
      <c r="G670" s="22">
        <v>64</v>
      </c>
      <c r="H670" s="18">
        <v>88</v>
      </c>
      <c r="I670" s="18">
        <v>1.375</v>
      </c>
      <c r="J670" s="18">
        <v>1.38</v>
      </c>
      <c r="K670" s="18">
        <v>1.37</v>
      </c>
      <c r="L670" s="22">
        <v>2</v>
      </c>
    </row>
    <row r="671" spans="1:12">
      <c r="A671">
        <v>1</v>
      </c>
      <c r="B671" s="16" t="s">
        <v>37</v>
      </c>
      <c r="C671" s="9">
        <v>45748</v>
      </c>
      <c r="D671">
        <v>37</v>
      </c>
      <c r="E671" s="16" t="s">
        <v>126</v>
      </c>
      <c r="F671" s="16" t="s">
        <v>90</v>
      </c>
      <c r="G671" s="22">
        <v>64</v>
      </c>
      <c r="H671" s="18">
        <v>88.32</v>
      </c>
      <c r="I671" s="18">
        <v>1.38</v>
      </c>
      <c r="J671" s="18">
        <v>1.39</v>
      </c>
      <c r="K671" s="18">
        <v>1.37</v>
      </c>
      <c r="L671" s="22">
        <v>2</v>
      </c>
    </row>
    <row r="672" spans="1:12">
      <c r="A672">
        <v>1</v>
      </c>
      <c r="B672" s="16" t="s">
        <v>37</v>
      </c>
      <c r="C672" s="9">
        <v>45778</v>
      </c>
      <c r="D672">
        <v>37</v>
      </c>
      <c r="E672" s="16" t="s">
        <v>126</v>
      </c>
      <c r="F672" s="16" t="s">
        <v>90</v>
      </c>
      <c r="G672" s="22">
        <v>96</v>
      </c>
      <c r="H672" s="18">
        <v>132.80000000000001</v>
      </c>
      <c r="I672" s="18">
        <v>1.3833333329999999</v>
      </c>
      <c r="J672" s="18">
        <v>1.39</v>
      </c>
      <c r="K672" s="18">
        <v>1.38</v>
      </c>
      <c r="L672" s="22">
        <v>2</v>
      </c>
    </row>
    <row r="673" spans="1:12">
      <c r="A673">
        <v>1</v>
      </c>
      <c r="B673" s="16" t="s">
        <v>37</v>
      </c>
      <c r="C673" s="9">
        <v>45809</v>
      </c>
      <c r="D673">
        <v>37</v>
      </c>
      <c r="E673" s="16" t="s">
        <v>126</v>
      </c>
      <c r="F673" s="16" t="s">
        <v>90</v>
      </c>
      <c r="G673" s="22">
        <v>96</v>
      </c>
      <c r="H673" s="18">
        <v>133.44</v>
      </c>
      <c r="I673" s="18">
        <v>1.39</v>
      </c>
      <c r="J673" s="18">
        <v>1.41</v>
      </c>
      <c r="K673" s="18">
        <v>1.38</v>
      </c>
      <c r="L673" s="22">
        <v>2</v>
      </c>
    </row>
    <row r="674" spans="1:12">
      <c r="A674">
        <v>1</v>
      </c>
      <c r="B674" s="16" t="s">
        <v>37</v>
      </c>
      <c r="C674" s="9">
        <v>45839</v>
      </c>
      <c r="D674">
        <v>37</v>
      </c>
      <c r="E674" s="16" t="s">
        <v>126</v>
      </c>
      <c r="F674" s="16" t="s">
        <v>90</v>
      </c>
      <c r="G674" s="22">
        <v>128</v>
      </c>
      <c r="H674" s="18">
        <v>177.92</v>
      </c>
      <c r="I674" s="18">
        <v>1.39</v>
      </c>
      <c r="J674" s="18">
        <v>1.42</v>
      </c>
      <c r="K674" s="18">
        <v>1.37</v>
      </c>
      <c r="L674" s="22">
        <v>3</v>
      </c>
    </row>
    <row r="675" spans="1:12">
      <c r="A675">
        <v>1</v>
      </c>
      <c r="B675" s="16" t="s">
        <v>37</v>
      </c>
      <c r="C675" s="9">
        <v>45870</v>
      </c>
      <c r="D675">
        <v>37</v>
      </c>
      <c r="E675" s="16" t="s">
        <v>126</v>
      </c>
      <c r="F675" s="16" t="s">
        <v>90</v>
      </c>
      <c r="G675" s="22">
        <v>64</v>
      </c>
      <c r="H675" s="18">
        <v>89.92</v>
      </c>
      <c r="I675" s="18">
        <v>1.405</v>
      </c>
      <c r="J675" s="18">
        <v>1.41</v>
      </c>
      <c r="K675" s="18">
        <v>1.4</v>
      </c>
      <c r="L675" s="22">
        <v>2</v>
      </c>
    </row>
    <row r="676" spans="1:12">
      <c r="A676">
        <v>1</v>
      </c>
      <c r="B676" s="16" t="s">
        <v>37</v>
      </c>
      <c r="C676" s="9">
        <v>45901</v>
      </c>
      <c r="D676">
        <v>37</v>
      </c>
      <c r="E676" s="16" t="s">
        <v>126</v>
      </c>
      <c r="F676" s="16" t="s">
        <v>90</v>
      </c>
      <c r="G676" s="22">
        <v>96</v>
      </c>
      <c r="H676" s="18">
        <v>136.63999999999999</v>
      </c>
      <c r="I676" s="18">
        <v>1.423333333</v>
      </c>
      <c r="J676" s="18">
        <v>1.43</v>
      </c>
      <c r="K676" s="18">
        <v>1.41</v>
      </c>
      <c r="L676" s="22">
        <v>2</v>
      </c>
    </row>
    <row r="677" spans="1:12">
      <c r="A677">
        <v>1</v>
      </c>
      <c r="B677" s="16" t="s">
        <v>37</v>
      </c>
      <c r="C677" s="9">
        <v>45931</v>
      </c>
      <c r="D677">
        <v>37</v>
      </c>
      <c r="E677" s="16" t="s">
        <v>126</v>
      </c>
      <c r="F677" s="16" t="s">
        <v>90</v>
      </c>
      <c r="G677" s="22">
        <v>64</v>
      </c>
      <c r="H677" s="18">
        <v>88.64</v>
      </c>
      <c r="I677" s="18">
        <v>1.385</v>
      </c>
      <c r="J677" s="18">
        <v>1.4</v>
      </c>
      <c r="K677" s="18">
        <v>1.37</v>
      </c>
      <c r="L677" s="22">
        <v>2</v>
      </c>
    </row>
    <row r="678" spans="1:12">
      <c r="A678">
        <v>1</v>
      </c>
      <c r="B678" s="16" t="s">
        <v>37</v>
      </c>
      <c r="C678" s="9">
        <v>45962</v>
      </c>
      <c r="D678">
        <v>37</v>
      </c>
      <c r="E678" s="16" t="s">
        <v>126</v>
      </c>
      <c r="F678" s="16" t="s">
        <v>90</v>
      </c>
      <c r="G678" s="22">
        <v>96</v>
      </c>
      <c r="H678" s="18">
        <v>141.12</v>
      </c>
      <c r="I678" s="18">
        <v>1.47</v>
      </c>
      <c r="J678" s="18">
        <v>1.49</v>
      </c>
      <c r="K678" s="18">
        <v>1.43</v>
      </c>
      <c r="L678" s="22">
        <v>2</v>
      </c>
    </row>
    <row r="679" spans="1:12">
      <c r="A679">
        <v>1</v>
      </c>
      <c r="B679" s="16" t="s">
        <v>37</v>
      </c>
      <c r="C679" s="9">
        <v>45992</v>
      </c>
      <c r="D679">
        <v>37</v>
      </c>
      <c r="E679" s="16" t="s">
        <v>126</v>
      </c>
      <c r="F679" s="16" t="s">
        <v>90</v>
      </c>
      <c r="G679" s="22">
        <v>96</v>
      </c>
      <c r="H679" s="18">
        <v>133.12</v>
      </c>
      <c r="I679" s="18">
        <v>1.3866666670000001</v>
      </c>
      <c r="J679" s="18">
        <v>1.39</v>
      </c>
      <c r="K679" s="18">
        <v>1.38</v>
      </c>
      <c r="L679" s="22">
        <v>3</v>
      </c>
    </row>
    <row r="680" spans="1:12">
      <c r="A680">
        <v>1</v>
      </c>
      <c r="B680" s="16" t="s">
        <v>37</v>
      </c>
      <c r="C680" s="9">
        <v>46023</v>
      </c>
      <c r="D680">
        <v>37</v>
      </c>
      <c r="E680" s="16" t="s">
        <v>126</v>
      </c>
      <c r="F680" s="16" t="s">
        <v>90</v>
      </c>
      <c r="G680" s="22">
        <v>64</v>
      </c>
      <c r="H680" s="18">
        <v>90.56</v>
      </c>
      <c r="I680" s="18">
        <v>1.415</v>
      </c>
      <c r="J680" s="18">
        <v>1.44</v>
      </c>
      <c r="K680" s="18">
        <v>1.39</v>
      </c>
      <c r="L680" s="22">
        <v>2</v>
      </c>
    </row>
    <row r="681" spans="1:12">
      <c r="A681">
        <v>1</v>
      </c>
      <c r="B681" s="16" t="s">
        <v>37</v>
      </c>
      <c r="C681" s="9">
        <v>46054</v>
      </c>
      <c r="D681">
        <v>37</v>
      </c>
      <c r="E681" s="16" t="s">
        <v>126</v>
      </c>
      <c r="F681" s="16" t="s">
        <v>90</v>
      </c>
      <c r="G681" s="22">
        <v>96</v>
      </c>
      <c r="H681" s="18">
        <v>137.6</v>
      </c>
      <c r="I681" s="18">
        <v>1.433333333</v>
      </c>
      <c r="J681" s="18">
        <v>1.44</v>
      </c>
      <c r="K681" s="18">
        <v>1.43</v>
      </c>
      <c r="L681" s="22">
        <v>2</v>
      </c>
    </row>
    <row r="682" spans="1:12">
      <c r="A682">
        <v>1</v>
      </c>
      <c r="B682" s="16" t="s">
        <v>37</v>
      </c>
      <c r="C682" s="9">
        <v>46082</v>
      </c>
      <c r="D682">
        <v>37</v>
      </c>
      <c r="E682" s="16" t="s">
        <v>126</v>
      </c>
      <c r="F682" s="16" t="s">
        <v>90</v>
      </c>
      <c r="G682" s="22">
        <v>64</v>
      </c>
      <c r="H682" s="18">
        <v>90.88</v>
      </c>
      <c r="I682" s="18">
        <v>1.42</v>
      </c>
      <c r="J682" s="18">
        <v>1.44</v>
      </c>
      <c r="K682" s="18">
        <v>1.4</v>
      </c>
      <c r="L682" s="22">
        <v>2</v>
      </c>
    </row>
    <row r="683" spans="1:12">
      <c r="A683">
        <v>1</v>
      </c>
      <c r="B683" s="16" t="s">
        <v>37</v>
      </c>
      <c r="C683" s="9">
        <v>46113</v>
      </c>
      <c r="D683">
        <v>37</v>
      </c>
      <c r="E683" s="16" t="s">
        <v>126</v>
      </c>
      <c r="F683" s="16" t="s">
        <v>90</v>
      </c>
      <c r="G683" s="22">
        <v>96</v>
      </c>
      <c r="H683" s="18">
        <v>136.96</v>
      </c>
      <c r="I683" s="18">
        <v>1.4266666670000001</v>
      </c>
      <c r="J683" s="18">
        <v>1.44</v>
      </c>
      <c r="K683" s="18">
        <v>1.42</v>
      </c>
      <c r="L683" s="22">
        <v>2</v>
      </c>
    </row>
    <row r="684" spans="1:12">
      <c r="A684">
        <v>1</v>
      </c>
      <c r="B684" s="16" t="s">
        <v>37</v>
      </c>
      <c r="C684" s="9">
        <v>46143</v>
      </c>
      <c r="D684">
        <v>37</v>
      </c>
      <c r="E684" s="16" t="s">
        <v>126</v>
      </c>
      <c r="F684" s="16" t="s">
        <v>90</v>
      </c>
      <c r="G684" s="22">
        <v>96</v>
      </c>
      <c r="H684" s="18">
        <v>137.28</v>
      </c>
      <c r="I684" s="18">
        <v>1.43</v>
      </c>
      <c r="J684" s="18">
        <v>1.45</v>
      </c>
      <c r="K684" s="18">
        <v>1.39</v>
      </c>
      <c r="L684" s="22">
        <v>2</v>
      </c>
    </row>
    <row r="685" spans="1:12">
      <c r="A685">
        <v>1</v>
      </c>
      <c r="B685" s="16" t="s">
        <v>37</v>
      </c>
      <c r="C685" s="9">
        <v>46174</v>
      </c>
      <c r="D685">
        <v>37</v>
      </c>
      <c r="E685" s="16" t="s">
        <v>126</v>
      </c>
      <c r="F685" s="16" t="s">
        <v>90</v>
      </c>
      <c r="G685" s="22">
        <v>96</v>
      </c>
      <c r="H685" s="18">
        <v>138.56</v>
      </c>
      <c r="I685" s="18">
        <v>1.443333333</v>
      </c>
      <c r="J685" s="18">
        <v>1.45</v>
      </c>
      <c r="K685" s="18">
        <v>1.44</v>
      </c>
      <c r="L685" s="22">
        <v>2</v>
      </c>
    </row>
    <row r="686" spans="1:12">
      <c r="A686">
        <v>1</v>
      </c>
      <c r="B686" s="16" t="s">
        <v>37</v>
      </c>
      <c r="C686" s="9">
        <v>46204</v>
      </c>
      <c r="D686">
        <v>37</v>
      </c>
      <c r="E686" s="16" t="s">
        <v>126</v>
      </c>
      <c r="F686" s="16" t="s">
        <v>90</v>
      </c>
      <c r="G686" s="22">
        <v>128</v>
      </c>
      <c r="H686" s="18">
        <v>180.8</v>
      </c>
      <c r="I686" s="18">
        <v>1.4125000000000001</v>
      </c>
      <c r="J686" s="18">
        <v>1.45</v>
      </c>
      <c r="K686" s="18">
        <v>1.39</v>
      </c>
      <c r="L686" s="22">
        <v>3</v>
      </c>
    </row>
    <row r="687" spans="1:12">
      <c r="A687">
        <v>1</v>
      </c>
      <c r="B687" s="16" t="s">
        <v>37</v>
      </c>
      <c r="C687" s="9">
        <v>46235</v>
      </c>
      <c r="D687">
        <v>37</v>
      </c>
      <c r="E687" s="16" t="s">
        <v>126</v>
      </c>
      <c r="F687" s="16" t="s">
        <v>90</v>
      </c>
      <c r="G687" s="22">
        <v>64</v>
      </c>
      <c r="H687" s="18">
        <v>91.2</v>
      </c>
      <c r="I687" s="18">
        <v>1.425</v>
      </c>
      <c r="J687" s="18">
        <v>1.43</v>
      </c>
      <c r="K687" s="18">
        <v>1.42</v>
      </c>
      <c r="L687" s="22">
        <v>2</v>
      </c>
    </row>
    <row r="688" spans="1:12">
      <c r="A688">
        <v>1</v>
      </c>
      <c r="B688" s="16" t="s">
        <v>37</v>
      </c>
      <c r="C688" s="9">
        <v>46266</v>
      </c>
      <c r="D688">
        <v>37</v>
      </c>
      <c r="E688" s="16" t="s">
        <v>126</v>
      </c>
      <c r="F688" s="16" t="s">
        <v>90</v>
      </c>
      <c r="G688" s="22">
        <v>96</v>
      </c>
      <c r="H688" s="18">
        <v>139.84</v>
      </c>
      <c r="I688" s="18">
        <v>1.4566666669999999</v>
      </c>
      <c r="J688" s="18">
        <v>1.49</v>
      </c>
      <c r="K688" s="18">
        <v>1.44</v>
      </c>
      <c r="L688" s="22">
        <v>2</v>
      </c>
    </row>
    <row r="689" spans="1:12">
      <c r="A689">
        <v>1</v>
      </c>
      <c r="B689" s="16" t="s">
        <v>37</v>
      </c>
      <c r="C689" s="9">
        <v>45689</v>
      </c>
      <c r="D689">
        <v>38</v>
      </c>
      <c r="E689" s="16" t="s">
        <v>127</v>
      </c>
      <c r="F689" s="16" t="s">
        <v>83</v>
      </c>
      <c r="G689" s="22">
        <v>24.5</v>
      </c>
      <c r="H689" s="18">
        <v>325.45</v>
      </c>
      <c r="I689" s="18">
        <v>13.283673469</v>
      </c>
      <c r="J689" s="18">
        <v>13.46</v>
      </c>
      <c r="K689" s="18">
        <v>13.1</v>
      </c>
      <c r="L689" s="22">
        <v>8</v>
      </c>
    </row>
    <row r="690" spans="1:12">
      <c r="A690">
        <v>1</v>
      </c>
      <c r="B690" s="16" t="s">
        <v>37</v>
      </c>
      <c r="C690" s="9">
        <v>45717</v>
      </c>
      <c r="D690">
        <v>38</v>
      </c>
      <c r="E690" s="16" t="s">
        <v>127</v>
      </c>
      <c r="F690" s="16" t="s">
        <v>83</v>
      </c>
      <c r="G690" s="22">
        <v>26.5</v>
      </c>
      <c r="H690" s="18">
        <v>352.7</v>
      </c>
      <c r="I690" s="18">
        <v>13.309433962</v>
      </c>
      <c r="J690" s="18">
        <v>13.49</v>
      </c>
      <c r="K690" s="18">
        <v>13.08</v>
      </c>
      <c r="L690" s="22">
        <v>9</v>
      </c>
    </row>
    <row r="691" spans="1:12">
      <c r="A691">
        <v>1</v>
      </c>
      <c r="B691" s="16" t="s">
        <v>37</v>
      </c>
      <c r="C691" s="9">
        <v>45748</v>
      </c>
      <c r="D691">
        <v>38</v>
      </c>
      <c r="E691" s="16" t="s">
        <v>127</v>
      </c>
      <c r="F691" s="16" t="s">
        <v>83</v>
      </c>
      <c r="G691" s="22">
        <v>21</v>
      </c>
      <c r="H691" s="18">
        <v>280.60000000000002</v>
      </c>
      <c r="I691" s="18">
        <v>13.361904762</v>
      </c>
      <c r="J691" s="18">
        <v>13.84</v>
      </c>
      <c r="K691" s="18">
        <v>12.79</v>
      </c>
      <c r="L691" s="22">
        <v>8</v>
      </c>
    </row>
    <row r="692" spans="1:12">
      <c r="A692">
        <v>1</v>
      </c>
      <c r="B692" s="16" t="s">
        <v>37</v>
      </c>
      <c r="C692" s="9">
        <v>45778</v>
      </c>
      <c r="D692">
        <v>38</v>
      </c>
      <c r="E692" s="16" t="s">
        <v>127</v>
      </c>
      <c r="F692" s="16" t="s">
        <v>83</v>
      </c>
      <c r="G692" s="22">
        <v>23.5</v>
      </c>
      <c r="H692" s="18">
        <v>321.83499999999998</v>
      </c>
      <c r="I692" s="18">
        <v>13.695106383000001</v>
      </c>
      <c r="J692" s="18">
        <v>13.87</v>
      </c>
      <c r="K692" s="18">
        <v>13.44</v>
      </c>
      <c r="L692" s="22">
        <v>9</v>
      </c>
    </row>
    <row r="693" spans="1:12">
      <c r="A693">
        <v>1</v>
      </c>
      <c r="B693" s="16" t="s">
        <v>37</v>
      </c>
      <c r="C693" s="9">
        <v>45809</v>
      </c>
      <c r="D693">
        <v>38</v>
      </c>
      <c r="E693" s="16" t="s">
        <v>127</v>
      </c>
      <c r="F693" s="16" t="s">
        <v>83</v>
      </c>
      <c r="G693" s="22">
        <v>21.5</v>
      </c>
      <c r="H693" s="18">
        <v>295.29000000000002</v>
      </c>
      <c r="I693" s="18">
        <v>13.734418605</v>
      </c>
      <c r="J693" s="18">
        <v>14.05</v>
      </c>
      <c r="K693" s="18">
        <v>13.47</v>
      </c>
      <c r="L693" s="22">
        <v>9</v>
      </c>
    </row>
    <row r="694" spans="1:12">
      <c r="A694">
        <v>1</v>
      </c>
      <c r="B694" s="16" t="s">
        <v>37</v>
      </c>
      <c r="C694" s="9">
        <v>45839</v>
      </c>
      <c r="D694">
        <v>38</v>
      </c>
      <c r="E694" s="16" t="s">
        <v>127</v>
      </c>
      <c r="F694" s="16" t="s">
        <v>83</v>
      </c>
      <c r="G694" s="22">
        <v>18.5</v>
      </c>
      <c r="H694" s="18">
        <v>257.52499999999998</v>
      </c>
      <c r="I694" s="18">
        <v>13.92027027</v>
      </c>
      <c r="J694" s="18">
        <v>14.22</v>
      </c>
      <c r="K694" s="18">
        <v>13.53</v>
      </c>
      <c r="L694" s="22">
        <v>9</v>
      </c>
    </row>
    <row r="695" spans="1:12">
      <c r="A695">
        <v>1</v>
      </c>
      <c r="B695" s="16" t="s">
        <v>37</v>
      </c>
      <c r="C695" s="9">
        <v>45870</v>
      </c>
      <c r="D695">
        <v>38</v>
      </c>
      <c r="E695" s="16" t="s">
        <v>127</v>
      </c>
      <c r="F695" s="16" t="s">
        <v>83</v>
      </c>
      <c r="G695" s="22">
        <v>14.5</v>
      </c>
      <c r="H695" s="18">
        <v>200.5</v>
      </c>
      <c r="I695" s="18">
        <v>13.827586207</v>
      </c>
      <c r="J695" s="18">
        <v>13.99</v>
      </c>
      <c r="K695" s="18">
        <v>13.62</v>
      </c>
      <c r="L695" s="22">
        <v>8</v>
      </c>
    </row>
    <row r="696" spans="1:12">
      <c r="A696">
        <v>1</v>
      </c>
      <c r="B696" s="16" t="s">
        <v>37</v>
      </c>
      <c r="C696" s="9">
        <v>45901</v>
      </c>
      <c r="D696">
        <v>38</v>
      </c>
      <c r="E696" s="16" t="s">
        <v>127</v>
      </c>
      <c r="F696" s="16" t="s">
        <v>83</v>
      </c>
      <c r="G696" s="22">
        <v>23.5</v>
      </c>
      <c r="H696" s="18">
        <v>329.89</v>
      </c>
      <c r="I696" s="18">
        <v>14.03787234</v>
      </c>
      <c r="J696" s="18">
        <v>14.36</v>
      </c>
      <c r="K696" s="18">
        <v>13.81</v>
      </c>
      <c r="L696" s="22">
        <v>9</v>
      </c>
    </row>
    <row r="697" spans="1:12">
      <c r="A697">
        <v>1</v>
      </c>
      <c r="B697" s="16" t="s">
        <v>37</v>
      </c>
      <c r="C697" s="9">
        <v>45931</v>
      </c>
      <c r="D697">
        <v>38</v>
      </c>
      <c r="E697" s="16" t="s">
        <v>127</v>
      </c>
      <c r="F697" s="16" t="s">
        <v>83</v>
      </c>
      <c r="G697" s="22">
        <v>29</v>
      </c>
      <c r="H697" s="18">
        <v>403.03500000000003</v>
      </c>
      <c r="I697" s="18">
        <v>13.897758620999999</v>
      </c>
      <c r="J697" s="18">
        <v>14.32</v>
      </c>
      <c r="K697" s="18">
        <v>13.6</v>
      </c>
      <c r="L697" s="22">
        <v>9</v>
      </c>
    </row>
    <row r="698" spans="1:12">
      <c r="A698">
        <v>1</v>
      </c>
      <c r="B698" s="16" t="s">
        <v>37</v>
      </c>
      <c r="C698" s="9">
        <v>45962</v>
      </c>
      <c r="D698">
        <v>38</v>
      </c>
      <c r="E698" s="16" t="s">
        <v>127</v>
      </c>
      <c r="F698" s="16" t="s">
        <v>83</v>
      </c>
      <c r="G698" s="22">
        <v>27</v>
      </c>
      <c r="H698" s="18">
        <v>375.84</v>
      </c>
      <c r="I698" s="18">
        <v>13.92</v>
      </c>
      <c r="J698" s="18">
        <v>14.18</v>
      </c>
      <c r="K698" s="18">
        <v>13.76</v>
      </c>
      <c r="L698" s="22">
        <v>8</v>
      </c>
    </row>
    <row r="699" spans="1:12">
      <c r="A699">
        <v>1</v>
      </c>
      <c r="B699" s="16" t="s">
        <v>37</v>
      </c>
      <c r="C699" s="9">
        <v>45992</v>
      </c>
      <c r="D699">
        <v>38</v>
      </c>
      <c r="E699" s="16" t="s">
        <v>127</v>
      </c>
      <c r="F699" s="16" t="s">
        <v>83</v>
      </c>
      <c r="G699" s="22">
        <v>32</v>
      </c>
      <c r="H699" s="18">
        <v>439.66500000000002</v>
      </c>
      <c r="I699" s="18">
        <v>13.739531250000001</v>
      </c>
      <c r="J699" s="18">
        <v>13.99</v>
      </c>
      <c r="K699" s="18">
        <v>13.56</v>
      </c>
      <c r="L699" s="22">
        <v>9</v>
      </c>
    </row>
    <row r="700" spans="1:12">
      <c r="A700">
        <v>1</v>
      </c>
      <c r="B700" s="16" t="s">
        <v>37</v>
      </c>
      <c r="C700" s="9">
        <v>46023</v>
      </c>
      <c r="D700">
        <v>38</v>
      </c>
      <c r="E700" s="16" t="s">
        <v>127</v>
      </c>
      <c r="F700" s="16" t="s">
        <v>83</v>
      </c>
      <c r="G700" s="22">
        <v>34</v>
      </c>
      <c r="H700" s="18">
        <v>478.47500000000002</v>
      </c>
      <c r="I700" s="18">
        <v>14.072794117999999</v>
      </c>
      <c r="J700" s="18">
        <v>14.48</v>
      </c>
      <c r="K700" s="18">
        <v>13.5</v>
      </c>
      <c r="L700" s="22">
        <v>9</v>
      </c>
    </row>
    <row r="701" spans="1:12">
      <c r="A701">
        <v>1</v>
      </c>
      <c r="B701" s="16" t="s">
        <v>37</v>
      </c>
      <c r="C701" s="9">
        <v>46054</v>
      </c>
      <c r="D701">
        <v>38</v>
      </c>
      <c r="E701" s="16" t="s">
        <v>127</v>
      </c>
      <c r="F701" s="16" t="s">
        <v>83</v>
      </c>
      <c r="G701" s="22">
        <v>28</v>
      </c>
      <c r="H701" s="18">
        <v>391.09500000000003</v>
      </c>
      <c r="I701" s="18">
        <v>13.967678571</v>
      </c>
      <c r="J701" s="18">
        <v>14.13</v>
      </c>
      <c r="K701" s="18">
        <v>13.86</v>
      </c>
      <c r="L701" s="22">
        <v>8</v>
      </c>
    </row>
    <row r="702" spans="1:12">
      <c r="A702">
        <v>1</v>
      </c>
      <c r="B702" s="16" t="s">
        <v>37</v>
      </c>
      <c r="C702" s="9">
        <v>46082</v>
      </c>
      <c r="D702">
        <v>38</v>
      </c>
      <c r="E702" s="16" t="s">
        <v>127</v>
      </c>
      <c r="F702" s="16" t="s">
        <v>83</v>
      </c>
      <c r="G702" s="22">
        <v>27</v>
      </c>
      <c r="H702" s="18">
        <v>379.18</v>
      </c>
      <c r="I702" s="18">
        <v>14.043703704</v>
      </c>
      <c r="J702" s="18">
        <v>14.32</v>
      </c>
      <c r="K702" s="18">
        <v>13.81</v>
      </c>
      <c r="L702" s="22">
        <v>9</v>
      </c>
    </row>
    <row r="703" spans="1:12">
      <c r="A703">
        <v>1</v>
      </c>
      <c r="B703" s="16" t="s">
        <v>37</v>
      </c>
      <c r="C703" s="9">
        <v>46113</v>
      </c>
      <c r="D703">
        <v>38</v>
      </c>
      <c r="E703" s="16" t="s">
        <v>127</v>
      </c>
      <c r="F703" s="16" t="s">
        <v>83</v>
      </c>
      <c r="G703" s="22">
        <v>27</v>
      </c>
      <c r="H703" s="18">
        <v>379.05</v>
      </c>
      <c r="I703" s="18">
        <v>14.038888889000001</v>
      </c>
      <c r="J703" s="18">
        <v>14.17</v>
      </c>
      <c r="K703" s="18">
        <v>13.89</v>
      </c>
      <c r="L703" s="22">
        <v>9</v>
      </c>
    </row>
    <row r="704" spans="1:12">
      <c r="A704">
        <v>1</v>
      </c>
      <c r="B704" s="16" t="s">
        <v>37</v>
      </c>
      <c r="C704" s="9">
        <v>46143</v>
      </c>
      <c r="D704">
        <v>38</v>
      </c>
      <c r="E704" s="16" t="s">
        <v>127</v>
      </c>
      <c r="F704" s="16" t="s">
        <v>83</v>
      </c>
      <c r="G704" s="22">
        <v>20</v>
      </c>
      <c r="H704" s="18">
        <v>280.35000000000002</v>
      </c>
      <c r="I704" s="18">
        <v>14.0175</v>
      </c>
      <c r="J704" s="18">
        <v>14.34</v>
      </c>
      <c r="K704" s="18">
        <v>13.86</v>
      </c>
      <c r="L704" s="22">
        <v>8</v>
      </c>
    </row>
    <row r="705" spans="1:12">
      <c r="A705">
        <v>1</v>
      </c>
      <c r="B705" s="16" t="s">
        <v>37</v>
      </c>
      <c r="C705" s="9">
        <v>46174</v>
      </c>
      <c r="D705">
        <v>38</v>
      </c>
      <c r="E705" s="16" t="s">
        <v>127</v>
      </c>
      <c r="F705" s="16" t="s">
        <v>83</v>
      </c>
      <c r="G705" s="22">
        <v>21</v>
      </c>
      <c r="H705" s="18">
        <v>297.08</v>
      </c>
      <c r="I705" s="18">
        <v>14.146666667</v>
      </c>
      <c r="J705" s="18">
        <v>14.46</v>
      </c>
      <c r="K705" s="18">
        <v>13.87</v>
      </c>
      <c r="L705" s="22">
        <v>9</v>
      </c>
    </row>
    <row r="706" spans="1:12">
      <c r="A706">
        <v>1</v>
      </c>
      <c r="B706" s="16" t="s">
        <v>37</v>
      </c>
      <c r="C706" s="9">
        <v>46204</v>
      </c>
      <c r="D706">
        <v>38</v>
      </c>
      <c r="E706" s="16" t="s">
        <v>127</v>
      </c>
      <c r="F706" s="16" t="s">
        <v>83</v>
      </c>
      <c r="G706" s="22">
        <v>20</v>
      </c>
      <c r="H706" s="18">
        <v>279.77999999999997</v>
      </c>
      <c r="I706" s="18">
        <v>13.989000000000001</v>
      </c>
      <c r="J706" s="18">
        <v>14.32</v>
      </c>
      <c r="K706" s="18">
        <v>13.67</v>
      </c>
      <c r="L706" s="22">
        <v>9</v>
      </c>
    </row>
    <row r="707" spans="1:12">
      <c r="A707">
        <v>1</v>
      </c>
      <c r="B707" s="16" t="s">
        <v>37</v>
      </c>
      <c r="C707" s="9">
        <v>46235</v>
      </c>
      <c r="D707">
        <v>38</v>
      </c>
      <c r="E707" s="16" t="s">
        <v>127</v>
      </c>
      <c r="F707" s="16" t="s">
        <v>83</v>
      </c>
      <c r="G707" s="22">
        <v>21</v>
      </c>
      <c r="H707" s="18">
        <v>287.95999999999998</v>
      </c>
      <c r="I707" s="18">
        <v>13.712380952</v>
      </c>
      <c r="J707" s="18">
        <v>14.01</v>
      </c>
      <c r="K707" s="18">
        <v>13.33</v>
      </c>
      <c r="L707" s="22">
        <v>9</v>
      </c>
    </row>
    <row r="708" spans="1:12">
      <c r="A708">
        <v>1</v>
      </c>
      <c r="B708" s="16" t="s">
        <v>37</v>
      </c>
      <c r="C708" s="9">
        <v>46266</v>
      </c>
      <c r="D708">
        <v>38</v>
      </c>
      <c r="E708" s="16" t="s">
        <v>127</v>
      </c>
      <c r="F708" s="16" t="s">
        <v>83</v>
      </c>
      <c r="G708" s="22">
        <v>22.5</v>
      </c>
      <c r="H708" s="18">
        <v>312.01</v>
      </c>
      <c r="I708" s="18">
        <v>13.867111111</v>
      </c>
      <c r="J708" s="18">
        <v>14.38</v>
      </c>
      <c r="K708" s="18">
        <v>13.58</v>
      </c>
      <c r="L708" s="22">
        <v>8</v>
      </c>
    </row>
    <row r="709" spans="1:12">
      <c r="A709">
        <v>1</v>
      </c>
      <c r="B709" s="16" t="s">
        <v>37</v>
      </c>
      <c r="C709" s="9">
        <v>45689</v>
      </c>
      <c r="D709">
        <v>39</v>
      </c>
      <c r="E709" s="16" t="s">
        <v>128</v>
      </c>
      <c r="F709" s="16" t="s">
        <v>87</v>
      </c>
      <c r="G709" s="22">
        <v>78.5</v>
      </c>
      <c r="H709" s="18">
        <v>548.91499999999996</v>
      </c>
      <c r="I709" s="18">
        <v>6.9925477709999999</v>
      </c>
      <c r="J709" s="18">
        <v>7.26</v>
      </c>
      <c r="K709" s="18">
        <v>6.83</v>
      </c>
      <c r="L709" s="22">
        <v>8</v>
      </c>
    </row>
    <row r="710" spans="1:12">
      <c r="A710">
        <v>1</v>
      </c>
      <c r="B710" s="16" t="s">
        <v>37</v>
      </c>
      <c r="C710" s="9">
        <v>45717</v>
      </c>
      <c r="D710">
        <v>39</v>
      </c>
      <c r="E710" s="16" t="s">
        <v>128</v>
      </c>
      <c r="F710" s="16" t="s">
        <v>87</v>
      </c>
      <c r="G710" s="22">
        <v>103.5</v>
      </c>
      <c r="H710" s="18">
        <v>716.49</v>
      </c>
      <c r="I710" s="18">
        <v>6.9226086960000002</v>
      </c>
      <c r="J710" s="18">
        <v>7</v>
      </c>
      <c r="K710" s="18">
        <v>6.79</v>
      </c>
      <c r="L710" s="22">
        <v>9</v>
      </c>
    </row>
    <row r="711" spans="1:12">
      <c r="A711">
        <v>1</v>
      </c>
      <c r="B711" s="16" t="s">
        <v>37</v>
      </c>
      <c r="C711" s="9">
        <v>45748</v>
      </c>
      <c r="D711">
        <v>39</v>
      </c>
      <c r="E711" s="16" t="s">
        <v>128</v>
      </c>
      <c r="F711" s="16" t="s">
        <v>87</v>
      </c>
      <c r="G711" s="22">
        <v>89</v>
      </c>
      <c r="H711" s="18">
        <v>619.53</v>
      </c>
      <c r="I711" s="18">
        <v>6.961011236</v>
      </c>
      <c r="J711" s="18">
        <v>7.09</v>
      </c>
      <c r="K711" s="18">
        <v>6.89</v>
      </c>
      <c r="L711" s="22">
        <v>8</v>
      </c>
    </row>
    <row r="712" spans="1:12">
      <c r="A712">
        <v>1</v>
      </c>
      <c r="B712" s="16" t="s">
        <v>37</v>
      </c>
      <c r="C712" s="9">
        <v>45778</v>
      </c>
      <c r="D712">
        <v>39</v>
      </c>
      <c r="E712" s="16" t="s">
        <v>128</v>
      </c>
      <c r="F712" s="16" t="s">
        <v>87</v>
      </c>
      <c r="G712" s="22">
        <v>100.5</v>
      </c>
      <c r="H712" s="18">
        <v>700.07</v>
      </c>
      <c r="I712" s="18">
        <v>6.965870647</v>
      </c>
      <c r="J712" s="18">
        <v>7.07</v>
      </c>
      <c r="K712" s="18">
        <v>6.84</v>
      </c>
      <c r="L712" s="22">
        <v>9</v>
      </c>
    </row>
    <row r="713" spans="1:12">
      <c r="A713">
        <v>1</v>
      </c>
      <c r="B713" s="16" t="s">
        <v>37</v>
      </c>
      <c r="C713" s="9">
        <v>45809</v>
      </c>
      <c r="D713">
        <v>39</v>
      </c>
      <c r="E713" s="16" t="s">
        <v>128</v>
      </c>
      <c r="F713" s="16" t="s">
        <v>87</v>
      </c>
      <c r="G713" s="22">
        <v>71.5</v>
      </c>
      <c r="H713" s="18">
        <v>496.85500000000002</v>
      </c>
      <c r="I713" s="18">
        <v>6.9490209790000002</v>
      </c>
      <c r="J713" s="18">
        <v>7.14</v>
      </c>
      <c r="K713" s="18">
        <v>6.82</v>
      </c>
      <c r="L713" s="22">
        <v>9</v>
      </c>
    </row>
    <row r="714" spans="1:12">
      <c r="A714">
        <v>1</v>
      </c>
      <c r="B714" s="16" t="s">
        <v>37</v>
      </c>
      <c r="C714" s="9">
        <v>45839</v>
      </c>
      <c r="D714">
        <v>39</v>
      </c>
      <c r="E714" s="16" t="s">
        <v>128</v>
      </c>
      <c r="F714" s="16" t="s">
        <v>87</v>
      </c>
      <c r="G714" s="22">
        <v>81.5</v>
      </c>
      <c r="H714" s="18">
        <v>569.92499999999995</v>
      </c>
      <c r="I714" s="18">
        <v>6.9929447849999997</v>
      </c>
      <c r="J714" s="18">
        <v>7.13</v>
      </c>
      <c r="K714" s="18">
        <v>6.86</v>
      </c>
      <c r="L714" s="22">
        <v>9</v>
      </c>
    </row>
    <row r="715" spans="1:12">
      <c r="A715">
        <v>1</v>
      </c>
      <c r="B715" s="16" t="s">
        <v>37</v>
      </c>
      <c r="C715" s="9">
        <v>45870</v>
      </c>
      <c r="D715">
        <v>39</v>
      </c>
      <c r="E715" s="16" t="s">
        <v>128</v>
      </c>
      <c r="F715" s="16" t="s">
        <v>87</v>
      </c>
      <c r="G715" s="22">
        <v>47</v>
      </c>
      <c r="H715" s="18">
        <v>326.64</v>
      </c>
      <c r="I715" s="18">
        <v>6.9497872340000004</v>
      </c>
      <c r="J715" s="18">
        <v>7.1</v>
      </c>
      <c r="K715" s="18">
        <v>6.84</v>
      </c>
      <c r="L715" s="22">
        <v>8</v>
      </c>
    </row>
    <row r="716" spans="1:12">
      <c r="A716">
        <v>1</v>
      </c>
      <c r="B716" s="16" t="s">
        <v>37</v>
      </c>
      <c r="C716" s="9">
        <v>45901</v>
      </c>
      <c r="D716">
        <v>39</v>
      </c>
      <c r="E716" s="16" t="s">
        <v>128</v>
      </c>
      <c r="F716" s="16" t="s">
        <v>87</v>
      </c>
      <c r="G716" s="22">
        <v>89</v>
      </c>
      <c r="H716" s="18">
        <v>616.48500000000001</v>
      </c>
      <c r="I716" s="18">
        <v>6.9267977529999998</v>
      </c>
      <c r="J716" s="18">
        <v>7.05</v>
      </c>
      <c r="K716" s="18">
        <v>6.83</v>
      </c>
      <c r="L716" s="22">
        <v>9</v>
      </c>
    </row>
    <row r="717" spans="1:12">
      <c r="A717">
        <v>1</v>
      </c>
      <c r="B717" s="16" t="s">
        <v>37</v>
      </c>
      <c r="C717" s="9">
        <v>45931</v>
      </c>
      <c r="D717">
        <v>39</v>
      </c>
      <c r="E717" s="16" t="s">
        <v>128</v>
      </c>
      <c r="F717" s="16" t="s">
        <v>87</v>
      </c>
      <c r="G717" s="22">
        <v>130.5</v>
      </c>
      <c r="H717" s="18">
        <v>910.14499999999998</v>
      </c>
      <c r="I717" s="18">
        <v>6.9742911879999996</v>
      </c>
      <c r="J717" s="18">
        <v>7.07</v>
      </c>
      <c r="K717" s="18">
        <v>6.82</v>
      </c>
      <c r="L717" s="22">
        <v>9</v>
      </c>
    </row>
    <row r="718" spans="1:12">
      <c r="A718">
        <v>1</v>
      </c>
      <c r="B718" s="16" t="s">
        <v>37</v>
      </c>
      <c r="C718" s="9">
        <v>45962</v>
      </c>
      <c r="D718">
        <v>39</v>
      </c>
      <c r="E718" s="16" t="s">
        <v>128</v>
      </c>
      <c r="F718" s="16" t="s">
        <v>87</v>
      </c>
      <c r="G718" s="22">
        <v>119.5</v>
      </c>
      <c r="H718" s="18">
        <v>826.62</v>
      </c>
      <c r="I718" s="18">
        <v>6.9173221759999999</v>
      </c>
      <c r="J718" s="18">
        <v>7.09</v>
      </c>
      <c r="K718" s="18">
        <v>6.82</v>
      </c>
      <c r="L718" s="22">
        <v>8</v>
      </c>
    </row>
    <row r="719" spans="1:12">
      <c r="A719">
        <v>1</v>
      </c>
      <c r="B719" s="16" t="s">
        <v>37</v>
      </c>
      <c r="C719" s="9">
        <v>45992</v>
      </c>
      <c r="D719">
        <v>39</v>
      </c>
      <c r="E719" s="16" t="s">
        <v>128</v>
      </c>
      <c r="F719" s="16" t="s">
        <v>87</v>
      </c>
      <c r="G719" s="22">
        <v>164.5</v>
      </c>
      <c r="H719" s="18">
        <v>1148.7650000000001</v>
      </c>
      <c r="I719" s="18">
        <v>6.9833738600000004</v>
      </c>
      <c r="J719" s="18">
        <v>7.29</v>
      </c>
      <c r="K719" s="18">
        <v>6.88</v>
      </c>
      <c r="L719" s="22">
        <v>9</v>
      </c>
    </row>
    <row r="720" spans="1:12">
      <c r="A720">
        <v>1</v>
      </c>
      <c r="B720" s="16" t="s">
        <v>37</v>
      </c>
      <c r="C720" s="9">
        <v>46023</v>
      </c>
      <c r="D720">
        <v>39</v>
      </c>
      <c r="E720" s="16" t="s">
        <v>128</v>
      </c>
      <c r="F720" s="16" t="s">
        <v>87</v>
      </c>
      <c r="G720" s="22">
        <v>135.5</v>
      </c>
      <c r="H720" s="18">
        <v>948.58</v>
      </c>
      <c r="I720" s="18">
        <v>7.0005904059999997</v>
      </c>
      <c r="J720" s="18">
        <v>7.1</v>
      </c>
      <c r="K720" s="18">
        <v>6.89</v>
      </c>
      <c r="L720" s="22">
        <v>9</v>
      </c>
    </row>
    <row r="721" spans="1:12">
      <c r="A721">
        <v>1</v>
      </c>
      <c r="B721" s="16" t="s">
        <v>37</v>
      </c>
      <c r="C721" s="9">
        <v>46054</v>
      </c>
      <c r="D721">
        <v>39</v>
      </c>
      <c r="E721" s="16" t="s">
        <v>128</v>
      </c>
      <c r="F721" s="16" t="s">
        <v>87</v>
      </c>
      <c r="G721" s="22">
        <v>97.5</v>
      </c>
      <c r="H721" s="18">
        <v>697.82</v>
      </c>
      <c r="I721" s="18">
        <v>7.1571282050000002</v>
      </c>
      <c r="J721" s="18">
        <v>7.26</v>
      </c>
      <c r="K721" s="18">
        <v>6.94</v>
      </c>
      <c r="L721" s="22">
        <v>8</v>
      </c>
    </row>
    <row r="722" spans="1:12">
      <c r="A722">
        <v>1</v>
      </c>
      <c r="B722" s="16" t="s">
        <v>37</v>
      </c>
      <c r="C722" s="9">
        <v>46082</v>
      </c>
      <c r="D722">
        <v>39</v>
      </c>
      <c r="E722" s="16" t="s">
        <v>128</v>
      </c>
      <c r="F722" s="16" t="s">
        <v>87</v>
      </c>
      <c r="G722" s="22">
        <v>110</v>
      </c>
      <c r="H722" s="18">
        <v>786.98500000000001</v>
      </c>
      <c r="I722" s="18">
        <v>7.1544090909999998</v>
      </c>
      <c r="J722" s="18">
        <v>7.26</v>
      </c>
      <c r="K722" s="18">
        <v>6.98</v>
      </c>
      <c r="L722" s="22">
        <v>9</v>
      </c>
    </row>
    <row r="723" spans="1:12">
      <c r="A723">
        <v>1</v>
      </c>
      <c r="B723" s="16" t="s">
        <v>37</v>
      </c>
      <c r="C723" s="9">
        <v>46113</v>
      </c>
      <c r="D723">
        <v>39</v>
      </c>
      <c r="E723" s="16" t="s">
        <v>128</v>
      </c>
      <c r="F723" s="16" t="s">
        <v>87</v>
      </c>
      <c r="G723" s="22">
        <v>100.5</v>
      </c>
      <c r="H723" s="18">
        <v>712.35500000000002</v>
      </c>
      <c r="I723" s="18">
        <v>7.0881094530000004</v>
      </c>
      <c r="J723" s="18">
        <v>7.18</v>
      </c>
      <c r="K723" s="18">
        <v>7</v>
      </c>
      <c r="L723" s="22">
        <v>9</v>
      </c>
    </row>
    <row r="724" spans="1:12">
      <c r="A724">
        <v>1</v>
      </c>
      <c r="B724" s="16" t="s">
        <v>37</v>
      </c>
      <c r="C724" s="9">
        <v>46143</v>
      </c>
      <c r="D724">
        <v>39</v>
      </c>
      <c r="E724" s="16" t="s">
        <v>128</v>
      </c>
      <c r="F724" s="16" t="s">
        <v>87</v>
      </c>
      <c r="G724" s="22">
        <v>88</v>
      </c>
      <c r="H724" s="18">
        <v>633.13499999999999</v>
      </c>
      <c r="I724" s="18">
        <v>7.1947159090000001</v>
      </c>
      <c r="J724" s="18">
        <v>7.38</v>
      </c>
      <c r="K724" s="18">
        <v>6.99</v>
      </c>
      <c r="L724" s="22">
        <v>8</v>
      </c>
    </row>
    <row r="725" spans="1:12">
      <c r="A725">
        <v>1</v>
      </c>
      <c r="B725" s="16" t="s">
        <v>37</v>
      </c>
      <c r="C725" s="9">
        <v>46174</v>
      </c>
      <c r="D725">
        <v>39</v>
      </c>
      <c r="E725" s="16" t="s">
        <v>128</v>
      </c>
      <c r="F725" s="16" t="s">
        <v>87</v>
      </c>
      <c r="G725" s="22">
        <v>79</v>
      </c>
      <c r="H725" s="18">
        <v>567.26</v>
      </c>
      <c r="I725" s="18">
        <v>7.180506329</v>
      </c>
      <c r="J725" s="18">
        <v>7.29</v>
      </c>
      <c r="K725" s="18">
        <v>7.08</v>
      </c>
      <c r="L725" s="22">
        <v>9</v>
      </c>
    </row>
    <row r="726" spans="1:12">
      <c r="A726">
        <v>1</v>
      </c>
      <c r="B726" s="16" t="s">
        <v>37</v>
      </c>
      <c r="C726" s="9">
        <v>46204</v>
      </c>
      <c r="D726">
        <v>39</v>
      </c>
      <c r="E726" s="16" t="s">
        <v>128</v>
      </c>
      <c r="F726" s="16" t="s">
        <v>87</v>
      </c>
      <c r="G726" s="22">
        <v>75.5</v>
      </c>
      <c r="H726" s="18">
        <v>538.84</v>
      </c>
      <c r="I726" s="18">
        <v>7.1369536419999999</v>
      </c>
      <c r="J726" s="18">
        <v>7.37</v>
      </c>
      <c r="K726" s="18">
        <v>7.03</v>
      </c>
      <c r="L726" s="22">
        <v>9</v>
      </c>
    </row>
    <row r="727" spans="1:12">
      <c r="A727">
        <v>1</v>
      </c>
      <c r="B727" s="16" t="s">
        <v>37</v>
      </c>
      <c r="C727" s="9">
        <v>46235</v>
      </c>
      <c r="D727">
        <v>39</v>
      </c>
      <c r="E727" s="16" t="s">
        <v>128</v>
      </c>
      <c r="F727" s="16" t="s">
        <v>87</v>
      </c>
      <c r="G727" s="22">
        <v>70.5</v>
      </c>
      <c r="H727" s="18">
        <v>496.66500000000002</v>
      </c>
      <c r="I727" s="18">
        <v>7.0448936169999996</v>
      </c>
      <c r="J727" s="18">
        <v>7.23</v>
      </c>
      <c r="K727" s="18">
        <v>6.88</v>
      </c>
      <c r="L727" s="22">
        <v>9</v>
      </c>
    </row>
    <row r="728" spans="1:12">
      <c r="A728">
        <v>1</v>
      </c>
      <c r="B728" s="16" t="s">
        <v>37</v>
      </c>
      <c r="C728" s="9">
        <v>46266</v>
      </c>
      <c r="D728">
        <v>39</v>
      </c>
      <c r="E728" s="16" t="s">
        <v>128</v>
      </c>
      <c r="F728" s="16" t="s">
        <v>87</v>
      </c>
      <c r="G728" s="22">
        <v>99.5</v>
      </c>
      <c r="H728" s="18">
        <v>703.7</v>
      </c>
      <c r="I728" s="18">
        <v>7.0723618090000002</v>
      </c>
      <c r="J728" s="18">
        <v>7.27</v>
      </c>
      <c r="K728" s="18">
        <v>6.95</v>
      </c>
      <c r="L728" s="22">
        <v>8</v>
      </c>
    </row>
    <row r="729" spans="1:12">
      <c r="A729">
        <v>1</v>
      </c>
      <c r="B729" s="16" t="s">
        <v>37</v>
      </c>
      <c r="C729" s="9">
        <v>45717</v>
      </c>
      <c r="D729">
        <v>40</v>
      </c>
      <c r="E729" s="16" t="s">
        <v>129</v>
      </c>
      <c r="F729" s="16" t="s">
        <v>108</v>
      </c>
      <c r="G729" s="22">
        <v>8</v>
      </c>
      <c r="H729" s="18">
        <v>4.88</v>
      </c>
      <c r="I729" s="18">
        <v>0.61</v>
      </c>
      <c r="J729" s="18">
        <v>0.61</v>
      </c>
      <c r="K729" s="18">
        <v>0.61</v>
      </c>
      <c r="L729" s="22">
        <v>1</v>
      </c>
    </row>
    <row r="730" spans="1:12">
      <c r="A730">
        <v>1</v>
      </c>
      <c r="B730" s="16" t="s">
        <v>37</v>
      </c>
      <c r="C730" s="9">
        <v>45748</v>
      </c>
      <c r="D730">
        <v>40</v>
      </c>
      <c r="E730" s="16" t="s">
        <v>129</v>
      </c>
      <c r="F730" s="16" t="s">
        <v>108</v>
      </c>
      <c r="G730" s="22">
        <v>8</v>
      </c>
      <c r="H730" s="18">
        <v>4.88</v>
      </c>
      <c r="I730" s="18">
        <v>0.61</v>
      </c>
      <c r="J730" s="18">
        <v>0.61</v>
      </c>
      <c r="K730" s="18">
        <v>0.61</v>
      </c>
      <c r="L730" s="22">
        <v>1</v>
      </c>
    </row>
    <row r="731" spans="1:12">
      <c r="A731">
        <v>1</v>
      </c>
      <c r="B731" s="16" t="s">
        <v>37</v>
      </c>
      <c r="C731" s="9">
        <v>45809</v>
      </c>
      <c r="D731">
        <v>40</v>
      </c>
      <c r="E731" s="16" t="s">
        <v>129</v>
      </c>
      <c r="F731" s="16" t="s">
        <v>108</v>
      </c>
      <c r="G731" s="22">
        <v>8</v>
      </c>
      <c r="H731" s="18">
        <v>4.8</v>
      </c>
      <c r="I731" s="18">
        <v>0.6</v>
      </c>
      <c r="J731" s="18">
        <v>0.6</v>
      </c>
      <c r="K731" s="18">
        <v>0.6</v>
      </c>
      <c r="L731" s="22">
        <v>1</v>
      </c>
    </row>
    <row r="732" spans="1:12">
      <c r="A732">
        <v>1</v>
      </c>
      <c r="B732" s="16" t="s">
        <v>37</v>
      </c>
      <c r="C732" s="9">
        <v>45839</v>
      </c>
      <c r="D732">
        <v>40</v>
      </c>
      <c r="E732" s="16" t="s">
        <v>129</v>
      </c>
      <c r="F732" s="16" t="s">
        <v>108</v>
      </c>
      <c r="G732" s="22">
        <v>8</v>
      </c>
      <c r="H732" s="18">
        <v>4.72</v>
      </c>
      <c r="I732" s="18">
        <v>0.59</v>
      </c>
      <c r="J732" s="18">
        <v>0.59</v>
      </c>
      <c r="K732" s="18">
        <v>0.59</v>
      </c>
      <c r="L732" s="22">
        <v>1</v>
      </c>
    </row>
    <row r="733" spans="1:12">
      <c r="A733">
        <v>1</v>
      </c>
      <c r="B733" s="16" t="s">
        <v>37</v>
      </c>
      <c r="C733" s="9">
        <v>45901</v>
      </c>
      <c r="D733">
        <v>40</v>
      </c>
      <c r="E733" s="16" t="s">
        <v>129</v>
      </c>
      <c r="F733" s="16" t="s">
        <v>108</v>
      </c>
      <c r="G733" s="22">
        <v>8</v>
      </c>
      <c r="H733" s="18">
        <v>4.72</v>
      </c>
      <c r="I733" s="18">
        <v>0.59</v>
      </c>
      <c r="J733" s="18">
        <v>0.59</v>
      </c>
      <c r="K733" s="18">
        <v>0.59</v>
      </c>
      <c r="L733" s="22">
        <v>1</v>
      </c>
    </row>
    <row r="734" spans="1:12">
      <c r="A734">
        <v>1</v>
      </c>
      <c r="B734" s="16" t="s">
        <v>37</v>
      </c>
      <c r="C734" s="9">
        <v>45931</v>
      </c>
      <c r="D734">
        <v>40</v>
      </c>
      <c r="E734" s="16" t="s">
        <v>129</v>
      </c>
      <c r="F734" s="16" t="s">
        <v>108</v>
      </c>
      <c r="G734" s="22">
        <v>8</v>
      </c>
      <c r="H734" s="18">
        <v>4.88</v>
      </c>
      <c r="I734" s="18">
        <v>0.61</v>
      </c>
      <c r="J734" s="18">
        <v>0.61</v>
      </c>
      <c r="K734" s="18">
        <v>0.61</v>
      </c>
      <c r="L734" s="22">
        <v>1</v>
      </c>
    </row>
    <row r="735" spans="1:12">
      <c r="A735">
        <v>1</v>
      </c>
      <c r="B735" s="16" t="s">
        <v>37</v>
      </c>
      <c r="C735" s="9">
        <v>45962</v>
      </c>
      <c r="D735">
        <v>40</v>
      </c>
      <c r="E735" s="16" t="s">
        <v>129</v>
      </c>
      <c r="F735" s="16" t="s">
        <v>108</v>
      </c>
      <c r="G735" s="22">
        <v>8</v>
      </c>
      <c r="H735" s="18">
        <v>4.88</v>
      </c>
      <c r="I735" s="18">
        <v>0.61</v>
      </c>
      <c r="J735" s="18">
        <v>0.61</v>
      </c>
      <c r="K735" s="18">
        <v>0.61</v>
      </c>
      <c r="L735" s="22">
        <v>1</v>
      </c>
    </row>
    <row r="736" spans="1:12">
      <c r="A736">
        <v>1</v>
      </c>
      <c r="B736" s="16" t="s">
        <v>37</v>
      </c>
      <c r="C736" s="9">
        <v>45992</v>
      </c>
      <c r="D736">
        <v>40</v>
      </c>
      <c r="E736" s="16" t="s">
        <v>129</v>
      </c>
      <c r="F736" s="16" t="s">
        <v>108</v>
      </c>
      <c r="G736" s="22">
        <v>8</v>
      </c>
      <c r="H736" s="18">
        <v>4.96</v>
      </c>
      <c r="I736" s="18">
        <v>0.62</v>
      </c>
      <c r="J736" s="18">
        <v>0.62</v>
      </c>
      <c r="K736" s="18">
        <v>0.62</v>
      </c>
      <c r="L736" s="22">
        <v>1</v>
      </c>
    </row>
    <row r="737" spans="1:12">
      <c r="A737">
        <v>1</v>
      </c>
      <c r="B737" s="16" t="s">
        <v>37</v>
      </c>
      <c r="C737" s="9">
        <v>46023</v>
      </c>
      <c r="D737">
        <v>40</v>
      </c>
      <c r="E737" s="16" t="s">
        <v>129</v>
      </c>
      <c r="F737" s="16" t="s">
        <v>108</v>
      </c>
      <c r="G737" s="22">
        <v>8</v>
      </c>
      <c r="H737" s="18">
        <v>4.88</v>
      </c>
      <c r="I737" s="18">
        <v>0.61</v>
      </c>
      <c r="J737" s="18">
        <v>0.61</v>
      </c>
      <c r="K737" s="18">
        <v>0.61</v>
      </c>
      <c r="L737" s="22">
        <v>1</v>
      </c>
    </row>
    <row r="738" spans="1:12">
      <c r="A738">
        <v>1</v>
      </c>
      <c r="B738" s="16" t="s">
        <v>37</v>
      </c>
      <c r="C738" s="9">
        <v>46054</v>
      </c>
      <c r="D738">
        <v>40</v>
      </c>
      <c r="E738" s="16" t="s">
        <v>129</v>
      </c>
      <c r="F738" s="16" t="s">
        <v>108</v>
      </c>
      <c r="G738" s="22">
        <v>8</v>
      </c>
      <c r="H738" s="18">
        <v>4.88</v>
      </c>
      <c r="I738" s="18">
        <v>0.61</v>
      </c>
      <c r="J738" s="18">
        <v>0.61</v>
      </c>
      <c r="K738" s="18">
        <v>0.61</v>
      </c>
      <c r="L738" s="22">
        <v>1</v>
      </c>
    </row>
    <row r="739" spans="1:12">
      <c r="A739">
        <v>1</v>
      </c>
      <c r="B739" s="16" t="s">
        <v>37</v>
      </c>
      <c r="C739" s="9">
        <v>46082</v>
      </c>
      <c r="D739">
        <v>40</v>
      </c>
      <c r="E739" s="16" t="s">
        <v>129</v>
      </c>
      <c r="F739" s="16" t="s">
        <v>108</v>
      </c>
      <c r="G739" s="22">
        <v>8</v>
      </c>
      <c r="H739" s="18">
        <v>4.8</v>
      </c>
      <c r="I739" s="18">
        <v>0.6</v>
      </c>
      <c r="J739" s="18">
        <v>0.6</v>
      </c>
      <c r="K739" s="18">
        <v>0.6</v>
      </c>
      <c r="L739" s="22">
        <v>1</v>
      </c>
    </row>
    <row r="740" spans="1:12">
      <c r="A740">
        <v>1</v>
      </c>
      <c r="B740" s="16" t="s">
        <v>37</v>
      </c>
      <c r="C740" s="9">
        <v>46143</v>
      </c>
      <c r="D740">
        <v>40</v>
      </c>
      <c r="E740" s="16" t="s">
        <v>129</v>
      </c>
      <c r="F740" s="16" t="s">
        <v>108</v>
      </c>
      <c r="G740" s="22">
        <v>8</v>
      </c>
      <c r="H740" s="18">
        <v>4.96</v>
      </c>
      <c r="I740" s="18">
        <v>0.62</v>
      </c>
      <c r="J740" s="18">
        <v>0.62</v>
      </c>
      <c r="K740" s="18">
        <v>0.62</v>
      </c>
      <c r="L740" s="22">
        <v>1</v>
      </c>
    </row>
    <row r="741" spans="1:12">
      <c r="A741">
        <v>1</v>
      </c>
      <c r="B741" s="16" t="s">
        <v>37</v>
      </c>
      <c r="C741" s="9">
        <v>46204</v>
      </c>
      <c r="D741">
        <v>40</v>
      </c>
      <c r="E741" s="16" t="s">
        <v>129</v>
      </c>
      <c r="F741" s="16" t="s">
        <v>108</v>
      </c>
      <c r="G741" s="22">
        <v>8</v>
      </c>
      <c r="H741" s="18">
        <v>4.96</v>
      </c>
      <c r="I741" s="18">
        <v>0.62</v>
      </c>
      <c r="J741" s="18">
        <v>0.62</v>
      </c>
      <c r="K741" s="18">
        <v>0.62</v>
      </c>
      <c r="L741" s="22">
        <v>1</v>
      </c>
    </row>
    <row r="742" spans="1:12">
      <c r="A742">
        <v>1</v>
      </c>
      <c r="B742" s="16" t="s">
        <v>37</v>
      </c>
      <c r="C742" s="9">
        <v>46235</v>
      </c>
      <c r="D742">
        <v>40</v>
      </c>
      <c r="E742" s="16" t="s">
        <v>129</v>
      </c>
      <c r="F742" s="16" t="s">
        <v>108</v>
      </c>
      <c r="G742" s="22">
        <v>8</v>
      </c>
      <c r="H742" s="18">
        <v>5.04</v>
      </c>
      <c r="I742" s="18">
        <v>0.63</v>
      </c>
      <c r="J742" s="18">
        <v>0.63</v>
      </c>
      <c r="K742" s="18">
        <v>0.63</v>
      </c>
      <c r="L742" s="22">
        <v>1</v>
      </c>
    </row>
    <row r="743" spans="1:12">
      <c r="A743">
        <v>1</v>
      </c>
      <c r="B743" s="16" t="s">
        <v>37</v>
      </c>
      <c r="C743" s="9">
        <v>46266</v>
      </c>
      <c r="D743">
        <v>40</v>
      </c>
      <c r="E743" s="16" t="s">
        <v>129</v>
      </c>
      <c r="F743" s="16" t="s">
        <v>108</v>
      </c>
      <c r="G743" s="22">
        <v>8</v>
      </c>
      <c r="H743" s="18">
        <v>4.96</v>
      </c>
      <c r="I743" s="18">
        <v>0.62</v>
      </c>
      <c r="J743" s="18">
        <v>0.62</v>
      </c>
      <c r="K743" s="18">
        <v>0.62</v>
      </c>
      <c r="L743" s="22">
        <v>1</v>
      </c>
    </row>
    <row r="744" spans="1:12">
      <c r="A744">
        <v>1</v>
      </c>
      <c r="B744" s="16" t="s">
        <v>37</v>
      </c>
      <c r="C744" s="9">
        <v>45689</v>
      </c>
      <c r="D744">
        <v>41</v>
      </c>
      <c r="E744" s="16" t="s">
        <v>130</v>
      </c>
      <c r="F744" s="16" t="s">
        <v>87</v>
      </c>
      <c r="G744" s="22">
        <v>60.5</v>
      </c>
      <c r="H744" s="18">
        <v>242.16499999999999</v>
      </c>
      <c r="I744" s="18">
        <v>4.0027272729999996</v>
      </c>
      <c r="J744" s="18">
        <v>4.18</v>
      </c>
      <c r="K744" s="18">
        <v>3.89</v>
      </c>
      <c r="L744" s="22">
        <v>8</v>
      </c>
    </row>
    <row r="745" spans="1:12">
      <c r="A745">
        <v>1</v>
      </c>
      <c r="B745" s="16" t="s">
        <v>37</v>
      </c>
      <c r="C745" s="9">
        <v>45717</v>
      </c>
      <c r="D745">
        <v>41</v>
      </c>
      <c r="E745" s="16" t="s">
        <v>130</v>
      </c>
      <c r="F745" s="16" t="s">
        <v>87</v>
      </c>
      <c r="G745" s="22">
        <v>79.5</v>
      </c>
      <c r="H745" s="18">
        <v>317.435</v>
      </c>
      <c r="I745" s="18">
        <v>3.9928930820000001</v>
      </c>
      <c r="J745" s="18">
        <v>4.07</v>
      </c>
      <c r="K745" s="18">
        <v>3.93</v>
      </c>
      <c r="L745" s="22">
        <v>9</v>
      </c>
    </row>
    <row r="746" spans="1:12">
      <c r="A746">
        <v>1</v>
      </c>
      <c r="B746" s="16" t="s">
        <v>37</v>
      </c>
      <c r="C746" s="9">
        <v>45748</v>
      </c>
      <c r="D746">
        <v>41</v>
      </c>
      <c r="E746" s="16" t="s">
        <v>130</v>
      </c>
      <c r="F746" s="16" t="s">
        <v>87</v>
      </c>
      <c r="G746" s="22">
        <v>86</v>
      </c>
      <c r="H746" s="18">
        <v>340.18</v>
      </c>
      <c r="I746" s="18">
        <v>3.9555813949999998</v>
      </c>
      <c r="J746" s="18">
        <v>4.01</v>
      </c>
      <c r="K746" s="18">
        <v>3.88</v>
      </c>
      <c r="L746" s="22">
        <v>8</v>
      </c>
    </row>
    <row r="747" spans="1:12">
      <c r="A747">
        <v>1</v>
      </c>
      <c r="B747" s="16" t="s">
        <v>37</v>
      </c>
      <c r="C747" s="9">
        <v>45778</v>
      </c>
      <c r="D747">
        <v>41</v>
      </c>
      <c r="E747" s="16" t="s">
        <v>130</v>
      </c>
      <c r="F747" s="16" t="s">
        <v>87</v>
      </c>
      <c r="G747" s="22">
        <v>109</v>
      </c>
      <c r="H747" s="18">
        <v>428.66500000000002</v>
      </c>
      <c r="I747" s="18">
        <v>3.9327064219999999</v>
      </c>
      <c r="J747" s="18">
        <v>4.03</v>
      </c>
      <c r="K747" s="18">
        <v>3.85</v>
      </c>
      <c r="L747" s="22">
        <v>9</v>
      </c>
    </row>
    <row r="748" spans="1:12">
      <c r="A748">
        <v>1</v>
      </c>
      <c r="B748" s="16" t="s">
        <v>37</v>
      </c>
      <c r="C748" s="9">
        <v>45809</v>
      </c>
      <c r="D748">
        <v>41</v>
      </c>
      <c r="E748" s="16" t="s">
        <v>130</v>
      </c>
      <c r="F748" s="16" t="s">
        <v>87</v>
      </c>
      <c r="G748" s="22">
        <v>115</v>
      </c>
      <c r="H748" s="18">
        <v>453.96</v>
      </c>
      <c r="I748" s="18">
        <v>3.9474782610000001</v>
      </c>
      <c r="J748" s="18">
        <v>4</v>
      </c>
      <c r="K748" s="18">
        <v>3.91</v>
      </c>
      <c r="L748" s="22">
        <v>9</v>
      </c>
    </row>
    <row r="749" spans="1:12">
      <c r="A749">
        <v>1</v>
      </c>
      <c r="B749" s="16" t="s">
        <v>37</v>
      </c>
      <c r="C749" s="9">
        <v>45839</v>
      </c>
      <c r="D749">
        <v>41</v>
      </c>
      <c r="E749" s="16" t="s">
        <v>130</v>
      </c>
      <c r="F749" s="16" t="s">
        <v>87</v>
      </c>
      <c r="G749" s="22">
        <v>89</v>
      </c>
      <c r="H749" s="18">
        <v>358.11500000000001</v>
      </c>
      <c r="I749" s="18">
        <v>4.0237640450000001</v>
      </c>
      <c r="J749" s="18">
        <v>4.18</v>
      </c>
      <c r="K749" s="18">
        <v>3.91</v>
      </c>
      <c r="L749" s="22">
        <v>9</v>
      </c>
    </row>
    <row r="750" spans="1:12">
      <c r="A750">
        <v>1</v>
      </c>
      <c r="B750" s="16" t="s">
        <v>37</v>
      </c>
      <c r="C750" s="9">
        <v>45870</v>
      </c>
      <c r="D750">
        <v>41</v>
      </c>
      <c r="E750" s="16" t="s">
        <v>130</v>
      </c>
      <c r="F750" s="16" t="s">
        <v>87</v>
      </c>
      <c r="G750" s="22">
        <v>74</v>
      </c>
      <c r="H750" s="18">
        <v>303.48</v>
      </c>
      <c r="I750" s="18">
        <v>4.1010810810000002</v>
      </c>
      <c r="J750" s="18">
        <v>4.2300000000000004</v>
      </c>
      <c r="K750" s="18">
        <v>4</v>
      </c>
      <c r="L750" s="22">
        <v>8</v>
      </c>
    </row>
    <row r="751" spans="1:12">
      <c r="A751">
        <v>1</v>
      </c>
      <c r="B751" s="16" t="s">
        <v>37</v>
      </c>
      <c r="C751" s="9">
        <v>45901</v>
      </c>
      <c r="D751">
        <v>41</v>
      </c>
      <c r="E751" s="16" t="s">
        <v>130</v>
      </c>
      <c r="F751" s="16" t="s">
        <v>87</v>
      </c>
      <c r="G751" s="22">
        <v>101</v>
      </c>
      <c r="H751" s="18">
        <v>415.97</v>
      </c>
      <c r="I751" s="18">
        <v>4.1185148509999996</v>
      </c>
      <c r="J751" s="18">
        <v>4.16</v>
      </c>
      <c r="K751" s="18">
        <v>4.05</v>
      </c>
      <c r="L751" s="22">
        <v>9</v>
      </c>
    </row>
    <row r="752" spans="1:12">
      <c r="A752">
        <v>1</v>
      </c>
      <c r="B752" s="16" t="s">
        <v>37</v>
      </c>
      <c r="C752" s="9">
        <v>45931</v>
      </c>
      <c r="D752">
        <v>41</v>
      </c>
      <c r="E752" s="16" t="s">
        <v>130</v>
      </c>
      <c r="F752" s="16" t="s">
        <v>87</v>
      </c>
      <c r="G752" s="22">
        <v>100.5</v>
      </c>
      <c r="H752" s="18">
        <v>412.95499999999998</v>
      </c>
      <c r="I752" s="18">
        <v>4.1090049750000004</v>
      </c>
      <c r="J752" s="18">
        <v>4.1399999999999997</v>
      </c>
      <c r="K752" s="18">
        <v>4.03</v>
      </c>
      <c r="L752" s="22">
        <v>9</v>
      </c>
    </row>
    <row r="753" spans="1:12">
      <c r="A753">
        <v>1</v>
      </c>
      <c r="B753" s="16" t="s">
        <v>37</v>
      </c>
      <c r="C753" s="9">
        <v>45962</v>
      </c>
      <c r="D753">
        <v>41</v>
      </c>
      <c r="E753" s="16" t="s">
        <v>130</v>
      </c>
      <c r="F753" s="16" t="s">
        <v>87</v>
      </c>
      <c r="G753" s="22">
        <v>106.5</v>
      </c>
      <c r="H753" s="18">
        <v>435.73500000000001</v>
      </c>
      <c r="I753" s="18">
        <v>4.0914084510000004</v>
      </c>
      <c r="J753" s="18">
        <v>4.1399999999999997</v>
      </c>
      <c r="K753" s="18">
        <v>3.95</v>
      </c>
      <c r="L753" s="22">
        <v>8</v>
      </c>
    </row>
    <row r="754" spans="1:12">
      <c r="A754">
        <v>1</v>
      </c>
      <c r="B754" s="16" t="s">
        <v>37</v>
      </c>
      <c r="C754" s="9">
        <v>45992</v>
      </c>
      <c r="D754">
        <v>41</v>
      </c>
      <c r="E754" s="16" t="s">
        <v>130</v>
      </c>
      <c r="F754" s="16" t="s">
        <v>87</v>
      </c>
      <c r="G754" s="22">
        <v>97</v>
      </c>
      <c r="H754" s="18">
        <v>398.23500000000001</v>
      </c>
      <c r="I754" s="18">
        <v>4.1055154639999998</v>
      </c>
      <c r="J754" s="18">
        <v>4.17</v>
      </c>
      <c r="K754" s="18">
        <v>4.0599999999999996</v>
      </c>
      <c r="L754" s="22">
        <v>9</v>
      </c>
    </row>
    <row r="755" spans="1:12">
      <c r="A755">
        <v>1</v>
      </c>
      <c r="B755" s="16" t="s">
        <v>37</v>
      </c>
      <c r="C755" s="9">
        <v>46023</v>
      </c>
      <c r="D755">
        <v>41</v>
      </c>
      <c r="E755" s="16" t="s">
        <v>130</v>
      </c>
      <c r="F755" s="16" t="s">
        <v>87</v>
      </c>
      <c r="G755" s="22">
        <v>78.5</v>
      </c>
      <c r="H755" s="18">
        <v>318.78500000000003</v>
      </c>
      <c r="I755" s="18">
        <v>4.0609554140000004</v>
      </c>
      <c r="J755" s="18">
        <v>4.13</v>
      </c>
      <c r="K755" s="18">
        <v>4.0199999999999996</v>
      </c>
      <c r="L755" s="22">
        <v>9</v>
      </c>
    </row>
    <row r="756" spans="1:12">
      <c r="A756">
        <v>1</v>
      </c>
      <c r="B756" s="16" t="s">
        <v>37</v>
      </c>
      <c r="C756" s="9">
        <v>46054</v>
      </c>
      <c r="D756">
        <v>41</v>
      </c>
      <c r="E756" s="16" t="s">
        <v>130</v>
      </c>
      <c r="F756" s="16" t="s">
        <v>87</v>
      </c>
      <c r="G756" s="22">
        <v>74.5</v>
      </c>
      <c r="H756" s="18">
        <v>303.01499999999999</v>
      </c>
      <c r="I756" s="18">
        <v>4.0673154360000003</v>
      </c>
      <c r="J756" s="18">
        <v>4.17</v>
      </c>
      <c r="K756" s="18">
        <v>4</v>
      </c>
      <c r="L756" s="22">
        <v>8</v>
      </c>
    </row>
    <row r="757" spans="1:12">
      <c r="A757">
        <v>1</v>
      </c>
      <c r="B757" s="16" t="s">
        <v>37</v>
      </c>
      <c r="C757" s="9">
        <v>46082</v>
      </c>
      <c r="D757">
        <v>41</v>
      </c>
      <c r="E757" s="16" t="s">
        <v>130</v>
      </c>
      <c r="F757" s="16" t="s">
        <v>87</v>
      </c>
      <c r="G757" s="22">
        <v>82</v>
      </c>
      <c r="H757" s="18">
        <v>335.09500000000003</v>
      </c>
      <c r="I757" s="18">
        <v>4.0865243900000001</v>
      </c>
      <c r="J757" s="18">
        <v>4.12</v>
      </c>
      <c r="K757" s="18">
        <v>4</v>
      </c>
      <c r="L757" s="22">
        <v>9</v>
      </c>
    </row>
    <row r="758" spans="1:12">
      <c r="A758">
        <v>1</v>
      </c>
      <c r="B758" s="16" t="s">
        <v>37</v>
      </c>
      <c r="C758" s="9">
        <v>46113</v>
      </c>
      <c r="D758">
        <v>41</v>
      </c>
      <c r="E758" s="16" t="s">
        <v>130</v>
      </c>
      <c r="F758" s="16" t="s">
        <v>87</v>
      </c>
      <c r="G758" s="22">
        <v>84</v>
      </c>
      <c r="H758" s="18">
        <v>346.40499999999997</v>
      </c>
      <c r="I758" s="18">
        <v>4.1238690480000004</v>
      </c>
      <c r="J758" s="18">
        <v>4.2</v>
      </c>
      <c r="K758" s="18">
        <v>4.08</v>
      </c>
      <c r="L758" s="22">
        <v>9</v>
      </c>
    </row>
    <row r="759" spans="1:12">
      <c r="A759">
        <v>1</v>
      </c>
      <c r="B759" s="16" t="s">
        <v>37</v>
      </c>
      <c r="C759" s="9">
        <v>46143</v>
      </c>
      <c r="D759">
        <v>41</v>
      </c>
      <c r="E759" s="16" t="s">
        <v>130</v>
      </c>
      <c r="F759" s="16" t="s">
        <v>87</v>
      </c>
      <c r="G759" s="22">
        <v>111.5</v>
      </c>
      <c r="H759" s="18">
        <v>461.88499999999999</v>
      </c>
      <c r="I759" s="18">
        <v>4.142466368</v>
      </c>
      <c r="J759" s="18">
        <v>4.18</v>
      </c>
      <c r="K759" s="18">
        <v>4.0999999999999996</v>
      </c>
      <c r="L759" s="22">
        <v>8</v>
      </c>
    </row>
    <row r="760" spans="1:12">
      <c r="A760">
        <v>1</v>
      </c>
      <c r="B760" s="16" t="s">
        <v>37</v>
      </c>
      <c r="C760" s="9">
        <v>46174</v>
      </c>
      <c r="D760">
        <v>41</v>
      </c>
      <c r="E760" s="16" t="s">
        <v>130</v>
      </c>
      <c r="F760" s="16" t="s">
        <v>87</v>
      </c>
      <c r="G760" s="22">
        <v>105.5</v>
      </c>
      <c r="H760" s="18">
        <v>436</v>
      </c>
      <c r="I760" s="18">
        <v>4.1327014220000002</v>
      </c>
      <c r="J760" s="18">
        <v>4.22</v>
      </c>
      <c r="K760" s="18">
        <v>4.04</v>
      </c>
      <c r="L760" s="22">
        <v>9</v>
      </c>
    </row>
    <row r="761" spans="1:12">
      <c r="A761">
        <v>1</v>
      </c>
      <c r="B761" s="16" t="s">
        <v>37</v>
      </c>
      <c r="C761" s="9">
        <v>46204</v>
      </c>
      <c r="D761">
        <v>41</v>
      </c>
      <c r="E761" s="16" t="s">
        <v>130</v>
      </c>
      <c r="F761" s="16" t="s">
        <v>87</v>
      </c>
      <c r="G761" s="22">
        <v>115</v>
      </c>
      <c r="H761" s="18">
        <v>479.625</v>
      </c>
      <c r="I761" s="18">
        <v>4.1706521739999998</v>
      </c>
      <c r="J761" s="18">
        <v>4.25</v>
      </c>
      <c r="K761" s="18">
        <v>4.09</v>
      </c>
      <c r="L761" s="22">
        <v>9</v>
      </c>
    </row>
    <row r="762" spans="1:12">
      <c r="A762">
        <v>1</v>
      </c>
      <c r="B762" s="16" t="s">
        <v>37</v>
      </c>
      <c r="C762" s="9">
        <v>46235</v>
      </c>
      <c r="D762">
        <v>41</v>
      </c>
      <c r="E762" s="16" t="s">
        <v>130</v>
      </c>
      <c r="F762" s="16" t="s">
        <v>87</v>
      </c>
      <c r="G762" s="22">
        <v>102.5</v>
      </c>
      <c r="H762" s="18">
        <v>427.22500000000002</v>
      </c>
      <c r="I762" s="18">
        <v>4.1680487800000003</v>
      </c>
      <c r="J762" s="18">
        <v>4.25</v>
      </c>
      <c r="K762" s="18">
        <v>4.03</v>
      </c>
      <c r="L762" s="22">
        <v>9</v>
      </c>
    </row>
    <row r="763" spans="1:12">
      <c r="A763">
        <v>1</v>
      </c>
      <c r="B763" s="16" t="s">
        <v>37</v>
      </c>
      <c r="C763" s="9">
        <v>46266</v>
      </c>
      <c r="D763">
        <v>41</v>
      </c>
      <c r="E763" s="16" t="s">
        <v>130</v>
      </c>
      <c r="F763" s="16" t="s">
        <v>87</v>
      </c>
      <c r="G763" s="22">
        <v>93</v>
      </c>
      <c r="H763" s="18">
        <v>389.81</v>
      </c>
      <c r="I763" s="18">
        <v>4.1915053760000003</v>
      </c>
      <c r="J763" s="18">
        <v>4.25</v>
      </c>
      <c r="K763" s="18">
        <v>4.1500000000000004</v>
      </c>
      <c r="L763" s="22">
        <v>8</v>
      </c>
    </row>
    <row r="764" spans="1:12">
      <c r="A764">
        <v>1</v>
      </c>
      <c r="B764" s="16" t="s">
        <v>37</v>
      </c>
      <c r="C764" s="9">
        <v>45689</v>
      </c>
      <c r="D764">
        <v>42</v>
      </c>
      <c r="E764" s="16" t="s">
        <v>131</v>
      </c>
      <c r="F764" s="16" t="s">
        <v>83</v>
      </c>
      <c r="G764" s="22">
        <v>28</v>
      </c>
      <c r="H764" s="18">
        <v>168.27500000000001</v>
      </c>
      <c r="I764" s="18">
        <v>6.0098214289999996</v>
      </c>
      <c r="J764" s="18">
        <v>6.17</v>
      </c>
      <c r="K764" s="18">
        <v>5.84</v>
      </c>
      <c r="L764" s="22">
        <v>12</v>
      </c>
    </row>
    <row r="765" spans="1:12">
      <c r="A765">
        <v>1</v>
      </c>
      <c r="B765" s="16" t="s">
        <v>37</v>
      </c>
      <c r="C765" s="9">
        <v>45717</v>
      </c>
      <c r="D765">
        <v>42</v>
      </c>
      <c r="E765" s="16" t="s">
        <v>131</v>
      </c>
      <c r="F765" s="16" t="s">
        <v>83</v>
      </c>
      <c r="G765" s="22">
        <v>32.5</v>
      </c>
      <c r="H765" s="18">
        <v>195.82</v>
      </c>
      <c r="I765" s="18">
        <v>6.0252307690000002</v>
      </c>
      <c r="J765" s="18">
        <v>6.15</v>
      </c>
      <c r="K765" s="18">
        <v>5.94</v>
      </c>
      <c r="L765" s="22">
        <v>13</v>
      </c>
    </row>
    <row r="766" spans="1:12">
      <c r="A766">
        <v>1</v>
      </c>
      <c r="B766" s="16" t="s">
        <v>37</v>
      </c>
      <c r="C766" s="9">
        <v>45748</v>
      </c>
      <c r="D766">
        <v>42</v>
      </c>
      <c r="E766" s="16" t="s">
        <v>131</v>
      </c>
      <c r="F766" s="16" t="s">
        <v>83</v>
      </c>
      <c r="G766" s="22">
        <v>34</v>
      </c>
      <c r="H766" s="18">
        <v>208.26</v>
      </c>
      <c r="I766" s="18">
        <v>6.1252941180000002</v>
      </c>
      <c r="J766" s="18">
        <v>6.55</v>
      </c>
      <c r="K766" s="18">
        <v>5.92</v>
      </c>
      <c r="L766" s="22">
        <v>13</v>
      </c>
    </row>
    <row r="767" spans="1:12">
      <c r="A767">
        <v>1</v>
      </c>
      <c r="B767" s="16" t="s">
        <v>37</v>
      </c>
      <c r="C767" s="9">
        <v>45778</v>
      </c>
      <c r="D767">
        <v>42</v>
      </c>
      <c r="E767" s="16" t="s">
        <v>131</v>
      </c>
      <c r="F767" s="16" t="s">
        <v>83</v>
      </c>
      <c r="G767" s="22">
        <v>38</v>
      </c>
      <c r="H767" s="18">
        <v>235.215</v>
      </c>
      <c r="I767" s="18">
        <v>6.1898684209999999</v>
      </c>
      <c r="J767" s="18">
        <v>6.28</v>
      </c>
      <c r="K767" s="18">
        <v>6.12</v>
      </c>
      <c r="L767" s="22">
        <v>13</v>
      </c>
    </row>
    <row r="768" spans="1:12">
      <c r="A768">
        <v>1</v>
      </c>
      <c r="B768" s="16" t="s">
        <v>37</v>
      </c>
      <c r="C768" s="9">
        <v>45809</v>
      </c>
      <c r="D768">
        <v>42</v>
      </c>
      <c r="E768" s="16" t="s">
        <v>131</v>
      </c>
      <c r="F768" s="16" t="s">
        <v>83</v>
      </c>
      <c r="G768" s="22">
        <v>30.5</v>
      </c>
      <c r="H768" s="18">
        <v>188.55</v>
      </c>
      <c r="I768" s="18">
        <v>6.1819672130000001</v>
      </c>
      <c r="J768" s="18">
        <v>6.34</v>
      </c>
      <c r="K768" s="18">
        <v>6.05</v>
      </c>
      <c r="L768" s="22">
        <v>13</v>
      </c>
    </row>
    <row r="769" spans="1:12">
      <c r="A769">
        <v>1</v>
      </c>
      <c r="B769" s="16" t="s">
        <v>37</v>
      </c>
      <c r="C769" s="9">
        <v>45839</v>
      </c>
      <c r="D769">
        <v>42</v>
      </c>
      <c r="E769" s="16" t="s">
        <v>131</v>
      </c>
      <c r="F769" s="16" t="s">
        <v>83</v>
      </c>
      <c r="G769" s="22">
        <v>22.5</v>
      </c>
      <c r="H769" s="18">
        <v>139.62</v>
      </c>
      <c r="I769" s="18">
        <v>6.2053333329999996</v>
      </c>
      <c r="J769" s="18">
        <v>6.34</v>
      </c>
      <c r="K769" s="18">
        <v>6.07</v>
      </c>
      <c r="L769" s="22">
        <v>13</v>
      </c>
    </row>
    <row r="770" spans="1:12">
      <c r="A770">
        <v>1</v>
      </c>
      <c r="B770" s="16" t="s">
        <v>37</v>
      </c>
      <c r="C770" s="9">
        <v>45870</v>
      </c>
      <c r="D770">
        <v>42</v>
      </c>
      <c r="E770" s="16" t="s">
        <v>131</v>
      </c>
      <c r="F770" s="16" t="s">
        <v>83</v>
      </c>
      <c r="G770" s="22">
        <v>20.5</v>
      </c>
      <c r="H770" s="18">
        <v>127.825</v>
      </c>
      <c r="I770" s="18">
        <v>6.2353658540000003</v>
      </c>
      <c r="J770" s="18">
        <v>6.34</v>
      </c>
      <c r="K770" s="18">
        <v>6.09</v>
      </c>
      <c r="L770" s="22">
        <v>13</v>
      </c>
    </row>
    <row r="771" spans="1:12">
      <c r="A771">
        <v>1</v>
      </c>
      <c r="B771" s="16" t="s">
        <v>37</v>
      </c>
      <c r="C771" s="9">
        <v>45901</v>
      </c>
      <c r="D771">
        <v>42</v>
      </c>
      <c r="E771" s="16" t="s">
        <v>131</v>
      </c>
      <c r="F771" s="16" t="s">
        <v>83</v>
      </c>
      <c r="G771" s="22">
        <v>34</v>
      </c>
      <c r="H771" s="18">
        <v>212.08</v>
      </c>
      <c r="I771" s="18">
        <v>6.2376470590000004</v>
      </c>
      <c r="J771" s="18">
        <v>6.31</v>
      </c>
      <c r="K771" s="18">
        <v>6.17</v>
      </c>
      <c r="L771" s="22">
        <v>13</v>
      </c>
    </row>
    <row r="772" spans="1:12">
      <c r="A772">
        <v>1</v>
      </c>
      <c r="B772" s="16" t="s">
        <v>37</v>
      </c>
      <c r="C772" s="9">
        <v>45931</v>
      </c>
      <c r="D772">
        <v>42</v>
      </c>
      <c r="E772" s="16" t="s">
        <v>131</v>
      </c>
      <c r="F772" s="16" t="s">
        <v>83</v>
      </c>
      <c r="G772" s="22">
        <v>41.5</v>
      </c>
      <c r="H772" s="18">
        <v>259.11500000000001</v>
      </c>
      <c r="I772" s="18">
        <v>6.2437349400000004</v>
      </c>
      <c r="J772" s="18">
        <v>6.49</v>
      </c>
      <c r="K772" s="18">
        <v>6.09</v>
      </c>
      <c r="L772" s="22">
        <v>14</v>
      </c>
    </row>
    <row r="773" spans="1:12">
      <c r="A773">
        <v>1</v>
      </c>
      <c r="B773" s="16" t="s">
        <v>37</v>
      </c>
      <c r="C773" s="9">
        <v>45962</v>
      </c>
      <c r="D773">
        <v>42</v>
      </c>
      <c r="E773" s="16" t="s">
        <v>131</v>
      </c>
      <c r="F773" s="16" t="s">
        <v>83</v>
      </c>
      <c r="G773" s="22">
        <v>31.5</v>
      </c>
      <c r="H773" s="18">
        <v>193.785</v>
      </c>
      <c r="I773" s="18">
        <v>6.151904762</v>
      </c>
      <c r="J773" s="18">
        <v>6.39</v>
      </c>
      <c r="K773" s="18">
        <v>6.06</v>
      </c>
      <c r="L773" s="22">
        <v>12</v>
      </c>
    </row>
    <row r="774" spans="1:12">
      <c r="A774">
        <v>1</v>
      </c>
      <c r="B774" s="16" t="s">
        <v>37</v>
      </c>
      <c r="C774" s="9">
        <v>45992</v>
      </c>
      <c r="D774">
        <v>42</v>
      </c>
      <c r="E774" s="16" t="s">
        <v>131</v>
      </c>
      <c r="F774" s="16" t="s">
        <v>83</v>
      </c>
      <c r="G774" s="22">
        <v>45</v>
      </c>
      <c r="H774" s="18">
        <v>279.42</v>
      </c>
      <c r="I774" s="18">
        <v>6.209333333</v>
      </c>
      <c r="J774" s="18">
        <v>6.3</v>
      </c>
      <c r="K774" s="18">
        <v>6.09</v>
      </c>
      <c r="L774" s="22">
        <v>14</v>
      </c>
    </row>
    <row r="775" spans="1:12">
      <c r="A775">
        <v>1</v>
      </c>
      <c r="B775" s="16" t="s">
        <v>37</v>
      </c>
      <c r="C775" s="9">
        <v>46023</v>
      </c>
      <c r="D775">
        <v>42</v>
      </c>
      <c r="E775" s="16" t="s">
        <v>131</v>
      </c>
      <c r="F775" s="16" t="s">
        <v>83</v>
      </c>
      <c r="G775" s="22">
        <v>34</v>
      </c>
      <c r="H775" s="18">
        <v>210.35499999999999</v>
      </c>
      <c r="I775" s="18">
        <v>6.1869117649999996</v>
      </c>
      <c r="J775" s="18">
        <v>6.24</v>
      </c>
      <c r="K775" s="18">
        <v>5.96</v>
      </c>
      <c r="L775" s="22">
        <v>13</v>
      </c>
    </row>
    <row r="776" spans="1:12">
      <c r="A776">
        <v>1</v>
      </c>
      <c r="B776" s="16" t="s">
        <v>37</v>
      </c>
      <c r="C776" s="9">
        <v>46054</v>
      </c>
      <c r="D776">
        <v>42</v>
      </c>
      <c r="E776" s="16" t="s">
        <v>131</v>
      </c>
      <c r="F776" s="16" t="s">
        <v>83</v>
      </c>
      <c r="G776" s="22">
        <v>31</v>
      </c>
      <c r="H776" s="18">
        <v>190.3</v>
      </c>
      <c r="I776" s="18">
        <v>6.1387096769999996</v>
      </c>
      <c r="J776" s="18">
        <v>6.26</v>
      </c>
      <c r="K776" s="18">
        <v>6.05</v>
      </c>
      <c r="L776" s="22">
        <v>12</v>
      </c>
    </row>
    <row r="777" spans="1:12">
      <c r="A777">
        <v>1</v>
      </c>
      <c r="B777" s="16" t="s">
        <v>37</v>
      </c>
      <c r="C777" s="9">
        <v>46082</v>
      </c>
      <c r="D777">
        <v>42</v>
      </c>
      <c r="E777" s="16" t="s">
        <v>131</v>
      </c>
      <c r="F777" s="16" t="s">
        <v>83</v>
      </c>
      <c r="G777" s="22">
        <v>35</v>
      </c>
      <c r="H777" s="18">
        <v>214.55</v>
      </c>
      <c r="I777" s="18">
        <v>6.13</v>
      </c>
      <c r="J777" s="18">
        <v>6.23</v>
      </c>
      <c r="K777" s="18">
        <v>6.07</v>
      </c>
      <c r="L777" s="22">
        <v>13</v>
      </c>
    </row>
    <row r="778" spans="1:12">
      <c r="A778">
        <v>1</v>
      </c>
      <c r="B778" s="16" t="s">
        <v>37</v>
      </c>
      <c r="C778" s="9">
        <v>46113</v>
      </c>
      <c r="D778">
        <v>42</v>
      </c>
      <c r="E778" s="16" t="s">
        <v>131</v>
      </c>
      <c r="F778" s="16" t="s">
        <v>83</v>
      </c>
      <c r="G778" s="22">
        <v>36</v>
      </c>
      <c r="H778" s="18">
        <v>223.85</v>
      </c>
      <c r="I778" s="18">
        <v>6.2180555560000004</v>
      </c>
      <c r="J778" s="18">
        <v>6.36</v>
      </c>
      <c r="K778" s="18">
        <v>6.05</v>
      </c>
      <c r="L778" s="22">
        <v>13</v>
      </c>
    </row>
    <row r="779" spans="1:12">
      <c r="A779">
        <v>1</v>
      </c>
      <c r="B779" s="16" t="s">
        <v>37</v>
      </c>
      <c r="C779" s="9">
        <v>46143</v>
      </c>
      <c r="D779">
        <v>42</v>
      </c>
      <c r="E779" s="16" t="s">
        <v>131</v>
      </c>
      <c r="F779" s="16" t="s">
        <v>83</v>
      </c>
      <c r="G779" s="22">
        <v>33.5</v>
      </c>
      <c r="H779" s="18">
        <v>210.41499999999999</v>
      </c>
      <c r="I779" s="18">
        <v>6.2810447759999999</v>
      </c>
      <c r="J779" s="18">
        <v>6.42</v>
      </c>
      <c r="K779" s="18">
        <v>6.12</v>
      </c>
      <c r="L779" s="22">
        <v>13</v>
      </c>
    </row>
    <row r="780" spans="1:12">
      <c r="A780">
        <v>1</v>
      </c>
      <c r="B780" s="16" t="s">
        <v>37</v>
      </c>
      <c r="C780" s="9">
        <v>46174</v>
      </c>
      <c r="D780">
        <v>42</v>
      </c>
      <c r="E780" s="16" t="s">
        <v>131</v>
      </c>
      <c r="F780" s="16" t="s">
        <v>83</v>
      </c>
      <c r="G780" s="22">
        <v>32.5</v>
      </c>
      <c r="H780" s="18">
        <v>202.24</v>
      </c>
      <c r="I780" s="18">
        <v>6.222769231</v>
      </c>
      <c r="J780" s="18">
        <v>6.35</v>
      </c>
      <c r="K780" s="18">
        <v>6.09</v>
      </c>
      <c r="L780" s="22">
        <v>13</v>
      </c>
    </row>
    <row r="781" spans="1:12">
      <c r="A781">
        <v>1</v>
      </c>
      <c r="B781" s="16" t="s">
        <v>37</v>
      </c>
      <c r="C781" s="9">
        <v>46204</v>
      </c>
      <c r="D781">
        <v>42</v>
      </c>
      <c r="E781" s="16" t="s">
        <v>131</v>
      </c>
      <c r="F781" s="16" t="s">
        <v>83</v>
      </c>
      <c r="G781" s="22">
        <v>34.5</v>
      </c>
      <c r="H781" s="18">
        <v>217.38</v>
      </c>
      <c r="I781" s="18">
        <v>6.3008695650000002</v>
      </c>
      <c r="J781" s="18">
        <v>6.39</v>
      </c>
      <c r="K781" s="18">
        <v>6.21</v>
      </c>
      <c r="L781" s="22">
        <v>14</v>
      </c>
    </row>
    <row r="782" spans="1:12">
      <c r="A782">
        <v>1</v>
      </c>
      <c r="B782" s="16" t="s">
        <v>37</v>
      </c>
      <c r="C782" s="9">
        <v>46235</v>
      </c>
      <c r="D782">
        <v>42</v>
      </c>
      <c r="E782" s="16" t="s">
        <v>131</v>
      </c>
      <c r="F782" s="16" t="s">
        <v>83</v>
      </c>
      <c r="G782" s="22">
        <v>31</v>
      </c>
      <c r="H782" s="18">
        <v>196.36500000000001</v>
      </c>
      <c r="I782" s="18">
        <v>6.3343548390000004</v>
      </c>
      <c r="J782" s="18">
        <v>6.47</v>
      </c>
      <c r="K782" s="18">
        <v>6.27</v>
      </c>
      <c r="L782" s="22">
        <v>13</v>
      </c>
    </row>
    <row r="783" spans="1:12">
      <c r="A783">
        <v>1</v>
      </c>
      <c r="B783" s="16" t="s">
        <v>37</v>
      </c>
      <c r="C783" s="9">
        <v>46266</v>
      </c>
      <c r="D783">
        <v>42</v>
      </c>
      <c r="E783" s="16" t="s">
        <v>131</v>
      </c>
      <c r="F783" s="16" t="s">
        <v>83</v>
      </c>
      <c r="G783" s="22">
        <v>29</v>
      </c>
      <c r="H783" s="18">
        <v>183.94</v>
      </c>
      <c r="I783" s="18">
        <v>6.3427586209999998</v>
      </c>
      <c r="J783" s="18">
        <v>6.74</v>
      </c>
      <c r="K783" s="18">
        <v>6.24</v>
      </c>
      <c r="L783" s="22">
        <v>13</v>
      </c>
    </row>
    <row r="784" spans="1:12">
      <c r="A784">
        <v>1</v>
      </c>
      <c r="B784" s="16" t="s">
        <v>37</v>
      </c>
      <c r="C784" s="9">
        <v>45689</v>
      </c>
      <c r="D784">
        <v>43</v>
      </c>
      <c r="E784" s="16" t="s">
        <v>132</v>
      </c>
      <c r="F784" s="16" t="s">
        <v>90</v>
      </c>
      <c r="G784" s="22">
        <v>3</v>
      </c>
      <c r="H784" s="18">
        <v>3.81</v>
      </c>
      <c r="I784" s="18">
        <v>1.27</v>
      </c>
      <c r="J784" s="18">
        <v>1.27</v>
      </c>
      <c r="K784" s="18">
        <v>1.27</v>
      </c>
      <c r="L784" s="22">
        <v>1</v>
      </c>
    </row>
    <row r="785" spans="1:12">
      <c r="A785">
        <v>1</v>
      </c>
      <c r="B785" s="16" t="s">
        <v>37</v>
      </c>
      <c r="C785" s="9">
        <v>45717</v>
      </c>
      <c r="D785">
        <v>43</v>
      </c>
      <c r="E785" s="16" t="s">
        <v>132</v>
      </c>
      <c r="F785" s="16" t="s">
        <v>90</v>
      </c>
      <c r="G785" s="22">
        <v>6</v>
      </c>
      <c r="H785" s="18">
        <v>7.62</v>
      </c>
      <c r="I785" s="18">
        <v>1.27</v>
      </c>
      <c r="J785" s="18">
        <v>1.27</v>
      </c>
      <c r="K785" s="18">
        <v>1.27</v>
      </c>
      <c r="L785" s="22">
        <v>2</v>
      </c>
    </row>
    <row r="786" spans="1:12">
      <c r="A786">
        <v>1</v>
      </c>
      <c r="B786" s="16" t="s">
        <v>37</v>
      </c>
      <c r="C786" s="9">
        <v>45748</v>
      </c>
      <c r="D786">
        <v>43</v>
      </c>
      <c r="E786" s="16" t="s">
        <v>132</v>
      </c>
      <c r="F786" s="16" t="s">
        <v>90</v>
      </c>
      <c r="G786" s="22">
        <v>3</v>
      </c>
      <c r="H786" s="18">
        <v>3.69</v>
      </c>
      <c r="I786" s="18">
        <v>1.23</v>
      </c>
      <c r="J786" s="18">
        <v>1.23</v>
      </c>
      <c r="K786" s="18">
        <v>1.23</v>
      </c>
      <c r="L786" s="22">
        <v>1</v>
      </c>
    </row>
    <row r="787" spans="1:12">
      <c r="A787">
        <v>1</v>
      </c>
      <c r="B787" s="16" t="s">
        <v>37</v>
      </c>
      <c r="C787" s="9">
        <v>45778</v>
      </c>
      <c r="D787">
        <v>43</v>
      </c>
      <c r="E787" s="16" t="s">
        <v>132</v>
      </c>
      <c r="F787" s="16" t="s">
        <v>90</v>
      </c>
      <c r="G787" s="22">
        <v>3</v>
      </c>
      <c r="H787" s="18">
        <v>3.75</v>
      </c>
      <c r="I787" s="18">
        <v>1.25</v>
      </c>
      <c r="J787" s="18">
        <v>1.25</v>
      </c>
      <c r="K787" s="18">
        <v>1.25</v>
      </c>
      <c r="L787" s="22">
        <v>1</v>
      </c>
    </row>
    <row r="788" spans="1:12">
      <c r="A788">
        <v>1</v>
      </c>
      <c r="B788" s="16" t="s">
        <v>37</v>
      </c>
      <c r="C788" s="9">
        <v>45809</v>
      </c>
      <c r="D788">
        <v>43</v>
      </c>
      <c r="E788" s="16" t="s">
        <v>132</v>
      </c>
      <c r="F788" s="16" t="s">
        <v>90</v>
      </c>
      <c r="G788" s="22">
        <v>3</v>
      </c>
      <c r="H788" s="18">
        <v>3.72</v>
      </c>
      <c r="I788" s="18">
        <v>1.24</v>
      </c>
      <c r="J788" s="18">
        <v>1.24</v>
      </c>
      <c r="K788" s="18">
        <v>1.24</v>
      </c>
      <c r="L788" s="22">
        <v>1</v>
      </c>
    </row>
    <row r="789" spans="1:12">
      <c r="A789">
        <v>1</v>
      </c>
      <c r="B789" s="16" t="s">
        <v>37</v>
      </c>
      <c r="C789" s="9">
        <v>45839</v>
      </c>
      <c r="D789">
        <v>43</v>
      </c>
      <c r="E789" s="16" t="s">
        <v>132</v>
      </c>
      <c r="F789" s="16" t="s">
        <v>90</v>
      </c>
      <c r="G789" s="22">
        <v>6</v>
      </c>
      <c r="H789" s="18">
        <v>7.59</v>
      </c>
      <c r="I789" s="18">
        <v>1.2649999999999999</v>
      </c>
      <c r="J789" s="18">
        <v>1.27</v>
      </c>
      <c r="K789" s="18">
        <v>1.26</v>
      </c>
      <c r="L789" s="22">
        <v>2</v>
      </c>
    </row>
    <row r="790" spans="1:12">
      <c r="A790">
        <v>1</v>
      </c>
      <c r="B790" s="16" t="s">
        <v>37</v>
      </c>
      <c r="C790" s="9">
        <v>45901</v>
      </c>
      <c r="D790">
        <v>43</v>
      </c>
      <c r="E790" s="16" t="s">
        <v>132</v>
      </c>
      <c r="F790" s="16" t="s">
        <v>90</v>
      </c>
      <c r="G790" s="22">
        <v>6</v>
      </c>
      <c r="H790" s="18">
        <v>7.5</v>
      </c>
      <c r="I790" s="18">
        <v>1.25</v>
      </c>
      <c r="J790" s="18">
        <v>1.25</v>
      </c>
      <c r="K790" s="18">
        <v>1.25</v>
      </c>
      <c r="L790" s="22">
        <v>2</v>
      </c>
    </row>
    <row r="791" spans="1:12">
      <c r="A791">
        <v>1</v>
      </c>
      <c r="B791" s="16" t="s">
        <v>37</v>
      </c>
      <c r="C791" s="9">
        <v>45931</v>
      </c>
      <c r="D791">
        <v>43</v>
      </c>
      <c r="E791" s="16" t="s">
        <v>132</v>
      </c>
      <c r="F791" s="16" t="s">
        <v>90</v>
      </c>
      <c r="G791" s="22">
        <v>3</v>
      </c>
      <c r="H791" s="18">
        <v>3.81</v>
      </c>
      <c r="I791" s="18">
        <v>1.27</v>
      </c>
      <c r="J791" s="18">
        <v>1.27</v>
      </c>
      <c r="K791" s="18">
        <v>1.27</v>
      </c>
      <c r="L791" s="22">
        <v>1</v>
      </c>
    </row>
    <row r="792" spans="1:12">
      <c r="A792">
        <v>1</v>
      </c>
      <c r="B792" s="16" t="s">
        <v>37</v>
      </c>
      <c r="C792" s="9">
        <v>45962</v>
      </c>
      <c r="D792">
        <v>43</v>
      </c>
      <c r="E792" s="16" t="s">
        <v>132</v>
      </c>
      <c r="F792" s="16" t="s">
        <v>90</v>
      </c>
      <c r="G792" s="22">
        <v>3</v>
      </c>
      <c r="H792" s="18">
        <v>3.96</v>
      </c>
      <c r="I792" s="18">
        <v>1.32</v>
      </c>
      <c r="J792" s="18">
        <v>1.32</v>
      </c>
      <c r="K792" s="18">
        <v>1.32</v>
      </c>
      <c r="L792" s="22">
        <v>1</v>
      </c>
    </row>
    <row r="793" spans="1:12">
      <c r="A793">
        <v>1</v>
      </c>
      <c r="B793" s="16" t="s">
        <v>37</v>
      </c>
      <c r="C793" s="9">
        <v>45992</v>
      </c>
      <c r="D793">
        <v>43</v>
      </c>
      <c r="E793" s="16" t="s">
        <v>132</v>
      </c>
      <c r="F793" s="16" t="s">
        <v>90</v>
      </c>
      <c r="G793" s="22">
        <v>9</v>
      </c>
      <c r="H793" s="18">
        <v>11.64</v>
      </c>
      <c r="I793" s="18">
        <v>1.2933333330000001</v>
      </c>
      <c r="J793" s="18">
        <v>1.3</v>
      </c>
      <c r="K793" s="18">
        <v>1.28</v>
      </c>
      <c r="L793" s="22">
        <v>3</v>
      </c>
    </row>
    <row r="794" spans="1:12">
      <c r="A794">
        <v>1</v>
      </c>
      <c r="B794" s="16" t="s">
        <v>37</v>
      </c>
      <c r="C794" s="9">
        <v>46023</v>
      </c>
      <c r="D794">
        <v>43</v>
      </c>
      <c r="E794" s="16" t="s">
        <v>132</v>
      </c>
      <c r="F794" s="16" t="s">
        <v>90</v>
      </c>
      <c r="G794" s="22">
        <v>3</v>
      </c>
      <c r="H794" s="18">
        <v>3.9</v>
      </c>
      <c r="I794" s="18">
        <v>1.3</v>
      </c>
      <c r="J794" s="18">
        <v>1.3</v>
      </c>
      <c r="K794" s="18">
        <v>1.3</v>
      </c>
      <c r="L794" s="22">
        <v>1</v>
      </c>
    </row>
    <row r="795" spans="1:12">
      <c r="A795">
        <v>1</v>
      </c>
      <c r="B795" s="16" t="s">
        <v>37</v>
      </c>
      <c r="C795" s="9">
        <v>46054</v>
      </c>
      <c r="D795">
        <v>43</v>
      </c>
      <c r="E795" s="16" t="s">
        <v>132</v>
      </c>
      <c r="F795" s="16" t="s">
        <v>90</v>
      </c>
      <c r="G795" s="22">
        <v>3</v>
      </c>
      <c r="H795" s="18">
        <v>4.05</v>
      </c>
      <c r="I795" s="18">
        <v>1.35</v>
      </c>
      <c r="J795" s="18">
        <v>1.35</v>
      </c>
      <c r="K795" s="18">
        <v>1.35</v>
      </c>
      <c r="L795" s="22">
        <v>1</v>
      </c>
    </row>
    <row r="796" spans="1:12">
      <c r="A796">
        <v>1</v>
      </c>
      <c r="B796" s="16" t="s">
        <v>37</v>
      </c>
      <c r="C796" s="9">
        <v>46082</v>
      </c>
      <c r="D796">
        <v>43</v>
      </c>
      <c r="E796" s="16" t="s">
        <v>132</v>
      </c>
      <c r="F796" s="16" t="s">
        <v>90</v>
      </c>
      <c r="G796" s="22">
        <v>6</v>
      </c>
      <c r="H796" s="18">
        <v>8.01</v>
      </c>
      <c r="I796" s="18">
        <v>1.335</v>
      </c>
      <c r="J796" s="18">
        <v>1.34</v>
      </c>
      <c r="K796" s="18">
        <v>1.33</v>
      </c>
      <c r="L796" s="22">
        <v>2</v>
      </c>
    </row>
    <row r="797" spans="1:12">
      <c r="A797">
        <v>1</v>
      </c>
      <c r="B797" s="16" t="s">
        <v>37</v>
      </c>
      <c r="C797" s="9">
        <v>46113</v>
      </c>
      <c r="D797">
        <v>43</v>
      </c>
      <c r="E797" s="16" t="s">
        <v>132</v>
      </c>
      <c r="F797" s="16" t="s">
        <v>90</v>
      </c>
      <c r="G797" s="22">
        <v>3</v>
      </c>
      <c r="H797" s="18">
        <v>3.96</v>
      </c>
      <c r="I797" s="18">
        <v>1.32</v>
      </c>
      <c r="J797" s="18">
        <v>1.32</v>
      </c>
      <c r="K797" s="18">
        <v>1.32</v>
      </c>
      <c r="L797" s="22">
        <v>1</v>
      </c>
    </row>
    <row r="798" spans="1:12">
      <c r="A798">
        <v>1</v>
      </c>
      <c r="B798" s="16" t="s">
        <v>37</v>
      </c>
      <c r="C798" s="9">
        <v>46143</v>
      </c>
      <c r="D798">
        <v>43</v>
      </c>
      <c r="E798" s="16" t="s">
        <v>132</v>
      </c>
      <c r="F798" s="16" t="s">
        <v>90</v>
      </c>
      <c r="G798" s="22">
        <v>3</v>
      </c>
      <c r="H798" s="18">
        <v>4.0199999999999996</v>
      </c>
      <c r="I798" s="18">
        <v>1.34</v>
      </c>
      <c r="J798" s="18">
        <v>1.34</v>
      </c>
      <c r="K798" s="18">
        <v>1.34</v>
      </c>
      <c r="L798" s="22">
        <v>1</v>
      </c>
    </row>
    <row r="799" spans="1:12">
      <c r="A799">
        <v>1</v>
      </c>
      <c r="B799" s="16" t="s">
        <v>37</v>
      </c>
      <c r="C799" s="9">
        <v>46174</v>
      </c>
      <c r="D799">
        <v>43</v>
      </c>
      <c r="E799" s="16" t="s">
        <v>132</v>
      </c>
      <c r="F799" s="16" t="s">
        <v>90</v>
      </c>
      <c r="G799" s="22">
        <v>6</v>
      </c>
      <c r="H799" s="18">
        <v>8.34</v>
      </c>
      <c r="I799" s="18">
        <v>1.39</v>
      </c>
      <c r="J799" s="18">
        <v>1.42</v>
      </c>
      <c r="K799" s="18">
        <v>1.36</v>
      </c>
      <c r="L799" s="22">
        <v>2</v>
      </c>
    </row>
    <row r="800" spans="1:12">
      <c r="A800">
        <v>1</v>
      </c>
      <c r="B800" s="16" t="s">
        <v>37</v>
      </c>
      <c r="C800" s="9">
        <v>46204</v>
      </c>
      <c r="D800">
        <v>43</v>
      </c>
      <c r="E800" s="16" t="s">
        <v>132</v>
      </c>
      <c r="F800" s="16" t="s">
        <v>90</v>
      </c>
      <c r="G800" s="22">
        <v>3</v>
      </c>
      <c r="H800" s="18">
        <v>4.0199999999999996</v>
      </c>
      <c r="I800" s="18">
        <v>1.34</v>
      </c>
      <c r="J800" s="18">
        <v>1.34</v>
      </c>
      <c r="K800" s="18">
        <v>1.34</v>
      </c>
      <c r="L800" s="22">
        <v>1</v>
      </c>
    </row>
    <row r="801" spans="1:12">
      <c r="A801">
        <v>1</v>
      </c>
      <c r="B801" s="16" t="s">
        <v>37</v>
      </c>
      <c r="C801" s="9">
        <v>46235</v>
      </c>
      <c r="D801">
        <v>43</v>
      </c>
      <c r="E801" s="16" t="s">
        <v>132</v>
      </c>
      <c r="F801" s="16" t="s">
        <v>90</v>
      </c>
      <c r="G801" s="22">
        <v>3</v>
      </c>
      <c r="H801" s="18">
        <v>4.0199999999999996</v>
      </c>
      <c r="I801" s="18">
        <v>1.34</v>
      </c>
      <c r="J801" s="18">
        <v>1.34</v>
      </c>
      <c r="K801" s="18">
        <v>1.34</v>
      </c>
      <c r="L801" s="22">
        <v>1</v>
      </c>
    </row>
    <row r="802" spans="1:12">
      <c r="A802">
        <v>1</v>
      </c>
      <c r="B802" s="16" t="s">
        <v>37</v>
      </c>
      <c r="C802" s="9">
        <v>46266</v>
      </c>
      <c r="D802">
        <v>43</v>
      </c>
      <c r="E802" s="16" t="s">
        <v>132</v>
      </c>
      <c r="F802" s="16" t="s">
        <v>90</v>
      </c>
      <c r="G802" s="22">
        <v>3</v>
      </c>
      <c r="H802" s="18">
        <v>4.1399999999999997</v>
      </c>
      <c r="I802" s="18">
        <v>1.38</v>
      </c>
      <c r="J802" s="18">
        <v>1.38</v>
      </c>
      <c r="K802" s="18">
        <v>1.38</v>
      </c>
      <c r="L802" s="22">
        <v>1</v>
      </c>
    </row>
    <row r="803" spans="1:12">
      <c r="A803">
        <v>1</v>
      </c>
      <c r="B803" s="16" t="s">
        <v>37</v>
      </c>
      <c r="C803" s="9">
        <v>45717</v>
      </c>
      <c r="D803">
        <v>44</v>
      </c>
      <c r="E803" s="16" t="s">
        <v>133</v>
      </c>
      <c r="F803" s="16" t="s">
        <v>90</v>
      </c>
      <c r="G803" s="22">
        <v>7.5</v>
      </c>
      <c r="H803" s="18">
        <v>124.125</v>
      </c>
      <c r="I803" s="18">
        <v>16.55</v>
      </c>
      <c r="J803" s="18">
        <v>16.55</v>
      </c>
      <c r="K803" s="18">
        <v>16.55</v>
      </c>
      <c r="L803" s="22">
        <v>1</v>
      </c>
    </row>
    <row r="804" spans="1:12">
      <c r="A804">
        <v>1</v>
      </c>
      <c r="B804" s="16" t="s">
        <v>37</v>
      </c>
      <c r="C804" s="9">
        <v>45748</v>
      </c>
      <c r="D804">
        <v>44</v>
      </c>
      <c r="E804" s="16" t="s">
        <v>133</v>
      </c>
      <c r="F804" s="16" t="s">
        <v>90</v>
      </c>
      <c r="G804" s="22">
        <v>7.5</v>
      </c>
      <c r="H804" s="18">
        <v>126.22499999999999</v>
      </c>
      <c r="I804" s="18">
        <v>16.829999999999998</v>
      </c>
      <c r="J804" s="18">
        <v>16.829999999999998</v>
      </c>
      <c r="K804" s="18">
        <v>16.829999999999998</v>
      </c>
      <c r="L804" s="22">
        <v>1</v>
      </c>
    </row>
    <row r="805" spans="1:12">
      <c r="A805">
        <v>1</v>
      </c>
      <c r="B805" s="16" t="s">
        <v>37</v>
      </c>
      <c r="C805" s="9">
        <v>45778</v>
      </c>
      <c r="D805">
        <v>44</v>
      </c>
      <c r="E805" s="16" t="s">
        <v>133</v>
      </c>
      <c r="F805" s="16" t="s">
        <v>90</v>
      </c>
      <c r="G805" s="22">
        <v>15</v>
      </c>
      <c r="H805" s="18">
        <v>249.15</v>
      </c>
      <c r="I805" s="18">
        <v>16.61</v>
      </c>
      <c r="J805" s="18">
        <v>16.95</v>
      </c>
      <c r="K805" s="18">
        <v>16.27</v>
      </c>
      <c r="L805" s="22">
        <v>2</v>
      </c>
    </row>
    <row r="806" spans="1:12">
      <c r="A806">
        <v>1</v>
      </c>
      <c r="B806" s="16" t="s">
        <v>37</v>
      </c>
      <c r="C806" s="9">
        <v>45809</v>
      </c>
      <c r="D806">
        <v>44</v>
      </c>
      <c r="E806" s="16" t="s">
        <v>133</v>
      </c>
      <c r="F806" s="16" t="s">
        <v>90</v>
      </c>
      <c r="G806" s="22">
        <v>7.5</v>
      </c>
      <c r="H806" s="18">
        <v>126.375</v>
      </c>
      <c r="I806" s="18">
        <v>16.850000000000001</v>
      </c>
      <c r="J806" s="18">
        <v>16.850000000000001</v>
      </c>
      <c r="K806" s="18">
        <v>16.850000000000001</v>
      </c>
      <c r="L806" s="22">
        <v>1</v>
      </c>
    </row>
    <row r="807" spans="1:12">
      <c r="A807">
        <v>1</v>
      </c>
      <c r="B807" s="16" t="s">
        <v>37</v>
      </c>
      <c r="C807" s="9">
        <v>45839</v>
      </c>
      <c r="D807">
        <v>44</v>
      </c>
      <c r="E807" s="16" t="s">
        <v>133</v>
      </c>
      <c r="F807" s="16" t="s">
        <v>90</v>
      </c>
      <c r="G807" s="22">
        <v>7.5</v>
      </c>
      <c r="H807" s="18">
        <v>127.875</v>
      </c>
      <c r="I807" s="18">
        <v>17.05</v>
      </c>
      <c r="J807" s="18">
        <v>17.05</v>
      </c>
      <c r="K807" s="18">
        <v>17.05</v>
      </c>
      <c r="L807" s="22">
        <v>1</v>
      </c>
    </row>
    <row r="808" spans="1:12">
      <c r="A808">
        <v>1</v>
      </c>
      <c r="B808" s="16" t="s">
        <v>37</v>
      </c>
      <c r="C808" s="9">
        <v>45870</v>
      </c>
      <c r="D808">
        <v>44</v>
      </c>
      <c r="E808" s="16" t="s">
        <v>133</v>
      </c>
      <c r="F808" s="16" t="s">
        <v>90</v>
      </c>
      <c r="G808" s="22">
        <v>7.5</v>
      </c>
      <c r="H808" s="18">
        <v>127.425</v>
      </c>
      <c r="I808" s="18">
        <v>16.989999999999998</v>
      </c>
      <c r="J808" s="18">
        <v>16.989999999999998</v>
      </c>
      <c r="K808" s="18">
        <v>16.989999999999998</v>
      </c>
      <c r="L808" s="22">
        <v>1</v>
      </c>
    </row>
    <row r="809" spans="1:12">
      <c r="A809">
        <v>1</v>
      </c>
      <c r="B809" s="16" t="s">
        <v>37</v>
      </c>
      <c r="C809" s="9">
        <v>45901</v>
      </c>
      <c r="D809">
        <v>44</v>
      </c>
      <c r="E809" s="16" t="s">
        <v>133</v>
      </c>
      <c r="F809" s="16" t="s">
        <v>90</v>
      </c>
      <c r="G809" s="22">
        <v>7.5</v>
      </c>
      <c r="H809" s="18">
        <v>127.875</v>
      </c>
      <c r="I809" s="18">
        <v>17.05</v>
      </c>
      <c r="J809" s="18">
        <v>17.05</v>
      </c>
      <c r="K809" s="18">
        <v>17.05</v>
      </c>
      <c r="L809" s="22">
        <v>1</v>
      </c>
    </row>
    <row r="810" spans="1:12">
      <c r="A810">
        <v>1</v>
      </c>
      <c r="B810" s="16" t="s">
        <v>37</v>
      </c>
      <c r="C810" s="9">
        <v>45931</v>
      </c>
      <c r="D810">
        <v>44</v>
      </c>
      <c r="E810" s="16" t="s">
        <v>133</v>
      </c>
      <c r="F810" s="16" t="s">
        <v>90</v>
      </c>
      <c r="G810" s="22">
        <v>7.5</v>
      </c>
      <c r="H810" s="18">
        <v>129.07499999999999</v>
      </c>
      <c r="I810" s="18">
        <v>17.21</v>
      </c>
      <c r="J810" s="18">
        <v>17.21</v>
      </c>
      <c r="K810" s="18">
        <v>17.21</v>
      </c>
      <c r="L810" s="22">
        <v>1</v>
      </c>
    </row>
    <row r="811" spans="1:12">
      <c r="A811">
        <v>1</v>
      </c>
      <c r="B811" s="16" t="s">
        <v>37</v>
      </c>
      <c r="C811" s="9">
        <v>45962</v>
      </c>
      <c r="D811">
        <v>44</v>
      </c>
      <c r="E811" s="16" t="s">
        <v>133</v>
      </c>
      <c r="F811" s="16" t="s">
        <v>90</v>
      </c>
      <c r="G811" s="22">
        <v>15</v>
      </c>
      <c r="H811" s="18">
        <v>254.7</v>
      </c>
      <c r="I811" s="18">
        <v>16.98</v>
      </c>
      <c r="J811" s="18">
        <v>17.100000000000001</v>
      </c>
      <c r="K811" s="18">
        <v>16.86</v>
      </c>
      <c r="L811" s="22">
        <v>2</v>
      </c>
    </row>
    <row r="812" spans="1:12">
      <c r="A812">
        <v>1</v>
      </c>
      <c r="B812" s="16" t="s">
        <v>37</v>
      </c>
      <c r="C812" s="9">
        <v>45992</v>
      </c>
      <c r="D812">
        <v>44</v>
      </c>
      <c r="E812" s="16" t="s">
        <v>133</v>
      </c>
      <c r="F812" s="16" t="s">
        <v>90</v>
      </c>
      <c r="G812" s="22">
        <v>7.5</v>
      </c>
      <c r="H812" s="18">
        <v>129.22499999999999</v>
      </c>
      <c r="I812" s="18">
        <v>17.23</v>
      </c>
      <c r="J812" s="18">
        <v>17.23</v>
      </c>
      <c r="K812" s="18">
        <v>17.23</v>
      </c>
      <c r="L812" s="22">
        <v>1</v>
      </c>
    </row>
    <row r="813" spans="1:12">
      <c r="A813">
        <v>1</v>
      </c>
      <c r="B813" s="16" t="s">
        <v>37</v>
      </c>
      <c r="C813" s="9">
        <v>46023</v>
      </c>
      <c r="D813">
        <v>44</v>
      </c>
      <c r="E813" s="16" t="s">
        <v>133</v>
      </c>
      <c r="F813" s="16" t="s">
        <v>90</v>
      </c>
      <c r="G813" s="22">
        <v>7.5</v>
      </c>
      <c r="H813" s="18">
        <v>129.22499999999999</v>
      </c>
      <c r="I813" s="18">
        <v>17.23</v>
      </c>
      <c r="J813" s="18">
        <v>17.23</v>
      </c>
      <c r="K813" s="18">
        <v>17.23</v>
      </c>
      <c r="L813" s="22">
        <v>1</v>
      </c>
    </row>
    <row r="814" spans="1:12">
      <c r="A814">
        <v>1</v>
      </c>
      <c r="B814" s="16" t="s">
        <v>37</v>
      </c>
      <c r="C814" s="9">
        <v>46054</v>
      </c>
      <c r="D814">
        <v>44</v>
      </c>
      <c r="E814" s="16" t="s">
        <v>133</v>
      </c>
      <c r="F814" s="16" t="s">
        <v>90</v>
      </c>
      <c r="G814" s="22">
        <v>7.5</v>
      </c>
      <c r="H814" s="18">
        <v>126.15</v>
      </c>
      <c r="I814" s="18">
        <v>16.82</v>
      </c>
      <c r="J814" s="18">
        <v>16.82</v>
      </c>
      <c r="K814" s="18">
        <v>16.82</v>
      </c>
      <c r="L814" s="22">
        <v>1</v>
      </c>
    </row>
    <row r="815" spans="1:12">
      <c r="A815">
        <v>1</v>
      </c>
      <c r="B815" s="16" t="s">
        <v>37</v>
      </c>
      <c r="C815" s="9">
        <v>46082</v>
      </c>
      <c r="D815">
        <v>44</v>
      </c>
      <c r="E815" s="16" t="s">
        <v>133</v>
      </c>
      <c r="F815" s="16" t="s">
        <v>90</v>
      </c>
      <c r="G815" s="22">
        <v>7.5</v>
      </c>
      <c r="H815" s="18">
        <v>126.375</v>
      </c>
      <c r="I815" s="18">
        <v>16.850000000000001</v>
      </c>
      <c r="J815" s="18">
        <v>16.850000000000001</v>
      </c>
      <c r="K815" s="18">
        <v>16.850000000000001</v>
      </c>
      <c r="L815" s="22">
        <v>1</v>
      </c>
    </row>
    <row r="816" spans="1:12">
      <c r="A816">
        <v>1</v>
      </c>
      <c r="B816" s="16" t="s">
        <v>37</v>
      </c>
      <c r="C816" s="9">
        <v>46113</v>
      </c>
      <c r="D816">
        <v>44</v>
      </c>
      <c r="E816" s="16" t="s">
        <v>133</v>
      </c>
      <c r="F816" s="16" t="s">
        <v>90</v>
      </c>
      <c r="G816" s="22">
        <v>7.5</v>
      </c>
      <c r="H816" s="18">
        <v>127.5</v>
      </c>
      <c r="I816" s="18">
        <v>17</v>
      </c>
      <c r="J816" s="18">
        <v>17</v>
      </c>
      <c r="K816" s="18">
        <v>17</v>
      </c>
      <c r="L816" s="22">
        <v>1</v>
      </c>
    </row>
    <row r="817" spans="1:12">
      <c r="A817">
        <v>1</v>
      </c>
      <c r="B817" s="16" t="s">
        <v>37</v>
      </c>
      <c r="C817" s="9">
        <v>46143</v>
      </c>
      <c r="D817">
        <v>44</v>
      </c>
      <c r="E817" s="16" t="s">
        <v>133</v>
      </c>
      <c r="F817" s="16" t="s">
        <v>90</v>
      </c>
      <c r="G817" s="22">
        <v>7.5</v>
      </c>
      <c r="H817" s="18">
        <v>125.02500000000001</v>
      </c>
      <c r="I817" s="18">
        <v>16.670000000000002</v>
      </c>
      <c r="J817" s="18">
        <v>16.670000000000002</v>
      </c>
      <c r="K817" s="18">
        <v>16.670000000000002</v>
      </c>
      <c r="L817" s="22">
        <v>1</v>
      </c>
    </row>
    <row r="818" spans="1:12">
      <c r="A818">
        <v>1</v>
      </c>
      <c r="B818" s="16" t="s">
        <v>37</v>
      </c>
      <c r="C818" s="9">
        <v>46174</v>
      </c>
      <c r="D818">
        <v>44</v>
      </c>
      <c r="E818" s="16" t="s">
        <v>133</v>
      </c>
      <c r="F818" s="16" t="s">
        <v>90</v>
      </c>
      <c r="G818" s="22">
        <v>15</v>
      </c>
      <c r="H818" s="18">
        <v>254.625</v>
      </c>
      <c r="I818" s="18">
        <v>16.975000000000001</v>
      </c>
      <c r="J818" s="18">
        <v>17.190000000000001</v>
      </c>
      <c r="K818" s="18">
        <v>16.760000000000002</v>
      </c>
      <c r="L818" s="22">
        <v>2</v>
      </c>
    </row>
    <row r="819" spans="1:12">
      <c r="A819">
        <v>1</v>
      </c>
      <c r="B819" s="16" t="s">
        <v>37</v>
      </c>
      <c r="C819" s="9">
        <v>46204</v>
      </c>
      <c r="D819">
        <v>44</v>
      </c>
      <c r="E819" s="16" t="s">
        <v>133</v>
      </c>
      <c r="F819" s="16" t="s">
        <v>90</v>
      </c>
      <c r="G819" s="22">
        <v>15</v>
      </c>
      <c r="H819" s="18">
        <v>250.72499999999999</v>
      </c>
      <c r="I819" s="18">
        <v>16.715</v>
      </c>
      <c r="J819" s="18">
        <v>16.79</v>
      </c>
      <c r="K819" s="18">
        <v>16.64</v>
      </c>
      <c r="L819" s="22">
        <v>2</v>
      </c>
    </row>
    <row r="820" spans="1:12">
      <c r="A820">
        <v>1</v>
      </c>
      <c r="B820" s="16" t="s">
        <v>37</v>
      </c>
      <c r="C820" s="9">
        <v>46235</v>
      </c>
      <c r="D820">
        <v>44</v>
      </c>
      <c r="E820" s="16" t="s">
        <v>133</v>
      </c>
      <c r="F820" s="16" t="s">
        <v>90</v>
      </c>
      <c r="G820" s="22">
        <v>7.5</v>
      </c>
      <c r="H820" s="18">
        <v>126.75</v>
      </c>
      <c r="I820" s="18">
        <v>16.899999999999999</v>
      </c>
      <c r="J820" s="18">
        <v>16.899999999999999</v>
      </c>
      <c r="K820" s="18">
        <v>16.899999999999999</v>
      </c>
      <c r="L820" s="22">
        <v>1</v>
      </c>
    </row>
    <row r="821" spans="1:12">
      <c r="A821">
        <v>1</v>
      </c>
      <c r="B821" s="16" t="s">
        <v>37</v>
      </c>
      <c r="C821" s="9">
        <v>46266</v>
      </c>
      <c r="D821">
        <v>44</v>
      </c>
      <c r="E821" s="16" t="s">
        <v>133</v>
      </c>
      <c r="F821" s="16" t="s">
        <v>90</v>
      </c>
      <c r="G821" s="22">
        <v>7.5</v>
      </c>
      <c r="H821" s="18">
        <v>127.425</v>
      </c>
      <c r="I821" s="18">
        <v>16.989999999999998</v>
      </c>
      <c r="J821" s="18">
        <v>16.989999999999998</v>
      </c>
      <c r="K821" s="18">
        <v>16.989999999999998</v>
      </c>
      <c r="L821" s="22">
        <v>1</v>
      </c>
    </row>
    <row r="822" spans="1:12">
      <c r="A822">
        <v>1</v>
      </c>
      <c r="B822" s="16" t="s">
        <v>37</v>
      </c>
      <c r="C822" s="9">
        <v>45689</v>
      </c>
      <c r="D822">
        <v>45</v>
      </c>
      <c r="E822" s="16" t="s">
        <v>134</v>
      </c>
      <c r="F822" s="16" t="s">
        <v>83</v>
      </c>
      <c r="G822" s="22">
        <v>16.25</v>
      </c>
      <c r="H822" s="18">
        <v>20.737500000000001</v>
      </c>
      <c r="I822" s="18">
        <v>1.2761538459999999</v>
      </c>
      <c r="J822" s="18">
        <v>1.34</v>
      </c>
      <c r="K822" s="18">
        <v>1.24</v>
      </c>
      <c r="L822" s="22">
        <v>12</v>
      </c>
    </row>
    <row r="823" spans="1:12">
      <c r="A823">
        <v>1</v>
      </c>
      <c r="B823" s="16" t="s">
        <v>37</v>
      </c>
      <c r="C823" s="9">
        <v>45717</v>
      </c>
      <c r="D823">
        <v>45</v>
      </c>
      <c r="E823" s="16" t="s">
        <v>134</v>
      </c>
      <c r="F823" s="16" t="s">
        <v>83</v>
      </c>
      <c r="G823" s="22">
        <v>20</v>
      </c>
      <c r="H823" s="18">
        <v>25.362500000000001</v>
      </c>
      <c r="I823" s="18">
        <v>1.2681249999999999</v>
      </c>
      <c r="J823" s="18">
        <v>1.29</v>
      </c>
      <c r="K823" s="18">
        <v>1.23</v>
      </c>
      <c r="L823" s="22">
        <v>13</v>
      </c>
    </row>
    <row r="824" spans="1:12">
      <c r="A824">
        <v>1</v>
      </c>
      <c r="B824" s="16" t="s">
        <v>37</v>
      </c>
      <c r="C824" s="9">
        <v>45748</v>
      </c>
      <c r="D824">
        <v>45</v>
      </c>
      <c r="E824" s="16" t="s">
        <v>134</v>
      </c>
      <c r="F824" s="16" t="s">
        <v>83</v>
      </c>
      <c r="G824" s="22">
        <v>21.25</v>
      </c>
      <c r="H824" s="18">
        <v>27.0625</v>
      </c>
      <c r="I824" s="18">
        <v>1.273529412</v>
      </c>
      <c r="J824" s="18">
        <v>1.31</v>
      </c>
      <c r="K824" s="18">
        <v>1.25</v>
      </c>
      <c r="L824" s="22">
        <v>13</v>
      </c>
    </row>
    <row r="825" spans="1:12">
      <c r="A825">
        <v>1</v>
      </c>
      <c r="B825" s="16" t="s">
        <v>37</v>
      </c>
      <c r="C825" s="9">
        <v>45778</v>
      </c>
      <c r="D825">
        <v>45</v>
      </c>
      <c r="E825" s="16" t="s">
        <v>134</v>
      </c>
      <c r="F825" s="16" t="s">
        <v>83</v>
      </c>
      <c r="G825" s="22">
        <v>25</v>
      </c>
      <c r="H825" s="18">
        <v>31.862500000000001</v>
      </c>
      <c r="I825" s="18">
        <v>1.2745</v>
      </c>
      <c r="J825" s="18">
        <v>1.31</v>
      </c>
      <c r="K825" s="18">
        <v>1.25</v>
      </c>
      <c r="L825" s="22">
        <v>13</v>
      </c>
    </row>
    <row r="826" spans="1:12">
      <c r="A826">
        <v>1</v>
      </c>
      <c r="B826" s="16" t="s">
        <v>37</v>
      </c>
      <c r="C826" s="9">
        <v>45809</v>
      </c>
      <c r="D826">
        <v>45</v>
      </c>
      <c r="E826" s="16" t="s">
        <v>134</v>
      </c>
      <c r="F826" s="16" t="s">
        <v>83</v>
      </c>
      <c r="G826" s="22">
        <v>23.75</v>
      </c>
      <c r="H826" s="18">
        <v>30.25</v>
      </c>
      <c r="I826" s="18">
        <v>1.273684211</v>
      </c>
      <c r="J826" s="18">
        <v>1.31</v>
      </c>
      <c r="K826" s="18">
        <v>1.24</v>
      </c>
      <c r="L826" s="22">
        <v>13</v>
      </c>
    </row>
    <row r="827" spans="1:12">
      <c r="A827">
        <v>1</v>
      </c>
      <c r="B827" s="16" t="s">
        <v>37</v>
      </c>
      <c r="C827" s="9">
        <v>45839</v>
      </c>
      <c r="D827">
        <v>45</v>
      </c>
      <c r="E827" s="16" t="s">
        <v>134</v>
      </c>
      <c r="F827" s="16" t="s">
        <v>83</v>
      </c>
      <c r="G827" s="22">
        <v>18.75</v>
      </c>
      <c r="H827" s="18">
        <v>24.362500000000001</v>
      </c>
      <c r="I827" s="18">
        <v>1.2993333330000001</v>
      </c>
      <c r="J827" s="18">
        <v>1.35</v>
      </c>
      <c r="K827" s="18">
        <v>1.26</v>
      </c>
      <c r="L827" s="22">
        <v>12</v>
      </c>
    </row>
    <row r="828" spans="1:12">
      <c r="A828">
        <v>1</v>
      </c>
      <c r="B828" s="16" t="s">
        <v>37</v>
      </c>
      <c r="C828" s="9">
        <v>45870</v>
      </c>
      <c r="D828">
        <v>45</v>
      </c>
      <c r="E828" s="16" t="s">
        <v>134</v>
      </c>
      <c r="F828" s="16" t="s">
        <v>83</v>
      </c>
      <c r="G828" s="22">
        <v>23.75</v>
      </c>
      <c r="H828" s="18">
        <v>30.7</v>
      </c>
      <c r="I828" s="18">
        <v>1.292631579</v>
      </c>
      <c r="J828" s="18">
        <v>1.39</v>
      </c>
      <c r="K828" s="18">
        <v>1.27</v>
      </c>
      <c r="L828" s="22">
        <v>13</v>
      </c>
    </row>
    <row r="829" spans="1:12">
      <c r="A829">
        <v>1</v>
      </c>
      <c r="B829" s="16" t="s">
        <v>37</v>
      </c>
      <c r="C829" s="9">
        <v>45901</v>
      </c>
      <c r="D829">
        <v>45</v>
      </c>
      <c r="E829" s="16" t="s">
        <v>134</v>
      </c>
      <c r="F829" s="16" t="s">
        <v>83</v>
      </c>
      <c r="G829" s="22">
        <v>26.25</v>
      </c>
      <c r="H829" s="18">
        <v>34.200000000000003</v>
      </c>
      <c r="I829" s="18">
        <v>1.302857143</v>
      </c>
      <c r="J829" s="18">
        <v>1.32</v>
      </c>
      <c r="K829" s="18">
        <v>1.26</v>
      </c>
      <c r="L829" s="22">
        <v>13</v>
      </c>
    </row>
    <row r="830" spans="1:12">
      <c r="A830">
        <v>1</v>
      </c>
      <c r="B830" s="16" t="s">
        <v>37</v>
      </c>
      <c r="C830" s="9">
        <v>45931</v>
      </c>
      <c r="D830">
        <v>45</v>
      </c>
      <c r="E830" s="16" t="s">
        <v>134</v>
      </c>
      <c r="F830" s="16" t="s">
        <v>83</v>
      </c>
      <c r="G830" s="22">
        <v>30</v>
      </c>
      <c r="H830" s="18">
        <v>39.1875</v>
      </c>
      <c r="I830" s="18">
        <v>1.3062499999999999</v>
      </c>
      <c r="J830" s="18">
        <v>1.37</v>
      </c>
      <c r="K830" s="18">
        <v>1.28</v>
      </c>
      <c r="L830" s="22">
        <v>14</v>
      </c>
    </row>
    <row r="831" spans="1:12">
      <c r="A831">
        <v>1</v>
      </c>
      <c r="B831" s="16" t="s">
        <v>37</v>
      </c>
      <c r="C831" s="9">
        <v>45962</v>
      </c>
      <c r="D831">
        <v>45</v>
      </c>
      <c r="E831" s="16" t="s">
        <v>134</v>
      </c>
      <c r="F831" s="16" t="s">
        <v>83</v>
      </c>
      <c r="G831" s="22">
        <v>23.75</v>
      </c>
      <c r="H831" s="18">
        <v>31.0625</v>
      </c>
      <c r="I831" s="18">
        <v>1.307894737</v>
      </c>
      <c r="J831" s="18">
        <v>1.4</v>
      </c>
      <c r="K831" s="18">
        <v>1.27</v>
      </c>
      <c r="L831" s="22">
        <v>12</v>
      </c>
    </row>
    <row r="832" spans="1:12">
      <c r="A832">
        <v>1</v>
      </c>
      <c r="B832" s="16" t="s">
        <v>37</v>
      </c>
      <c r="C832" s="9">
        <v>45992</v>
      </c>
      <c r="D832">
        <v>45</v>
      </c>
      <c r="E832" s="16" t="s">
        <v>134</v>
      </c>
      <c r="F832" s="16" t="s">
        <v>83</v>
      </c>
      <c r="G832" s="22">
        <v>23.75</v>
      </c>
      <c r="H832" s="18">
        <v>31.024999999999999</v>
      </c>
      <c r="I832" s="18">
        <v>1.3063157889999999</v>
      </c>
      <c r="J832" s="18">
        <v>1.32</v>
      </c>
      <c r="K832" s="18">
        <v>1.28</v>
      </c>
      <c r="L832" s="22">
        <v>13</v>
      </c>
    </row>
    <row r="833" spans="1:12">
      <c r="A833">
        <v>1</v>
      </c>
      <c r="B833" s="16" t="s">
        <v>37</v>
      </c>
      <c r="C833" s="9">
        <v>46023</v>
      </c>
      <c r="D833">
        <v>45</v>
      </c>
      <c r="E833" s="16" t="s">
        <v>134</v>
      </c>
      <c r="F833" s="16" t="s">
        <v>83</v>
      </c>
      <c r="G833" s="22">
        <v>20</v>
      </c>
      <c r="H833" s="18">
        <v>26.125</v>
      </c>
      <c r="I833" s="18">
        <v>1.3062499999999999</v>
      </c>
      <c r="J833" s="18">
        <v>1.33</v>
      </c>
      <c r="K833" s="18">
        <v>1.27</v>
      </c>
      <c r="L833" s="22">
        <v>12</v>
      </c>
    </row>
    <row r="834" spans="1:12">
      <c r="A834">
        <v>1</v>
      </c>
      <c r="B834" s="16" t="s">
        <v>37</v>
      </c>
      <c r="C834" s="9">
        <v>46054</v>
      </c>
      <c r="D834">
        <v>45</v>
      </c>
      <c r="E834" s="16" t="s">
        <v>134</v>
      </c>
      <c r="F834" s="16" t="s">
        <v>83</v>
      </c>
      <c r="G834" s="22">
        <v>18.75</v>
      </c>
      <c r="H834" s="18">
        <v>24.612500000000001</v>
      </c>
      <c r="I834" s="18">
        <v>1.312666667</v>
      </c>
      <c r="J834" s="18">
        <v>1.34</v>
      </c>
      <c r="K834" s="18">
        <v>1.29</v>
      </c>
      <c r="L834" s="22">
        <v>12</v>
      </c>
    </row>
    <row r="835" spans="1:12">
      <c r="A835">
        <v>1</v>
      </c>
      <c r="B835" s="16" t="s">
        <v>37</v>
      </c>
      <c r="C835" s="9">
        <v>46082</v>
      </c>
      <c r="D835">
        <v>45</v>
      </c>
      <c r="E835" s="16" t="s">
        <v>134</v>
      </c>
      <c r="F835" s="16" t="s">
        <v>83</v>
      </c>
      <c r="G835" s="22">
        <v>21.25</v>
      </c>
      <c r="H835" s="18">
        <v>27.925000000000001</v>
      </c>
      <c r="I835" s="18">
        <v>1.314117647</v>
      </c>
      <c r="J835" s="18">
        <v>1.34</v>
      </c>
      <c r="K835" s="18">
        <v>1.28</v>
      </c>
      <c r="L835" s="22">
        <v>13</v>
      </c>
    </row>
    <row r="836" spans="1:12">
      <c r="A836">
        <v>1</v>
      </c>
      <c r="B836" s="16" t="s">
        <v>37</v>
      </c>
      <c r="C836" s="9">
        <v>46113</v>
      </c>
      <c r="D836">
        <v>45</v>
      </c>
      <c r="E836" s="16" t="s">
        <v>134</v>
      </c>
      <c r="F836" s="16" t="s">
        <v>83</v>
      </c>
      <c r="G836" s="22">
        <v>25</v>
      </c>
      <c r="H836" s="18">
        <v>32.700000000000003</v>
      </c>
      <c r="I836" s="18">
        <v>1.3080000000000001</v>
      </c>
      <c r="J836" s="18">
        <v>1.33</v>
      </c>
      <c r="K836" s="18">
        <v>1.28</v>
      </c>
      <c r="L836" s="22">
        <v>13</v>
      </c>
    </row>
    <row r="837" spans="1:12">
      <c r="A837">
        <v>1</v>
      </c>
      <c r="B837" s="16" t="s">
        <v>37</v>
      </c>
      <c r="C837" s="9">
        <v>46143</v>
      </c>
      <c r="D837">
        <v>45</v>
      </c>
      <c r="E837" s="16" t="s">
        <v>134</v>
      </c>
      <c r="F837" s="16" t="s">
        <v>83</v>
      </c>
      <c r="G837" s="22">
        <v>28.75</v>
      </c>
      <c r="H837" s="18">
        <v>37.8125</v>
      </c>
      <c r="I837" s="18">
        <v>1.315217391</v>
      </c>
      <c r="J837" s="18">
        <v>1.35</v>
      </c>
      <c r="K837" s="18">
        <v>1.28</v>
      </c>
      <c r="L837" s="22">
        <v>13</v>
      </c>
    </row>
    <row r="838" spans="1:12">
      <c r="A838">
        <v>1</v>
      </c>
      <c r="B838" s="16" t="s">
        <v>37</v>
      </c>
      <c r="C838" s="9">
        <v>46174</v>
      </c>
      <c r="D838">
        <v>45</v>
      </c>
      <c r="E838" s="16" t="s">
        <v>134</v>
      </c>
      <c r="F838" s="16" t="s">
        <v>83</v>
      </c>
      <c r="G838" s="22">
        <v>26.25</v>
      </c>
      <c r="H838" s="18">
        <v>34.549999999999997</v>
      </c>
      <c r="I838" s="18">
        <v>1.3161904760000001</v>
      </c>
      <c r="J838" s="18">
        <v>1.34</v>
      </c>
      <c r="K838" s="18">
        <v>1.3</v>
      </c>
      <c r="L838" s="22">
        <v>12</v>
      </c>
    </row>
    <row r="839" spans="1:12">
      <c r="A839">
        <v>1</v>
      </c>
      <c r="B839" s="16" t="s">
        <v>37</v>
      </c>
      <c r="C839" s="9">
        <v>46204</v>
      </c>
      <c r="D839">
        <v>45</v>
      </c>
      <c r="E839" s="16" t="s">
        <v>134</v>
      </c>
      <c r="F839" s="16" t="s">
        <v>83</v>
      </c>
      <c r="G839" s="22">
        <v>31.25</v>
      </c>
      <c r="H839" s="18">
        <v>41.487499999999997</v>
      </c>
      <c r="I839" s="18">
        <v>1.3275999999999999</v>
      </c>
      <c r="J839" s="18">
        <v>1.37</v>
      </c>
      <c r="K839" s="18">
        <v>1.31</v>
      </c>
      <c r="L839" s="22">
        <v>14</v>
      </c>
    </row>
    <row r="840" spans="1:12">
      <c r="A840">
        <v>1</v>
      </c>
      <c r="B840" s="16" t="s">
        <v>37</v>
      </c>
      <c r="C840" s="9">
        <v>46235</v>
      </c>
      <c r="D840">
        <v>45</v>
      </c>
      <c r="E840" s="16" t="s">
        <v>134</v>
      </c>
      <c r="F840" s="16" t="s">
        <v>83</v>
      </c>
      <c r="G840" s="22">
        <v>26.25</v>
      </c>
      <c r="H840" s="18">
        <v>35.237499999999997</v>
      </c>
      <c r="I840" s="18">
        <v>1.3423809520000001</v>
      </c>
      <c r="J840" s="18">
        <v>1.36</v>
      </c>
      <c r="K840" s="18">
        <v>1.31</v>
      </c>
      <c r="L840" s="22">
        <v>13</v>
      </c>
    </row>
    <row r="841" spans="1:12">
      <c r="A841">
        <v>1</v>
      </c>
      <c r="B841" s="16" t="s">
        <v>37</v>
      </c>
      <c r="C841" s="9">
        <v>46266</v>
      </c>
      <c r="D841">
        <v>45</v>
      </c>
      <c r="E841" s="16" t="s">
        <v>134</v>
      </c>
      <c r="F841" s="16" t="s">
        <v>83</v>
      </c>
      <c r="G841" s="22">
        <v>30</v>
      </c>
      <c r="H841" s="18">
        <v>40.162500000000001</v>
      </c>
      <c r="I841" s="18">
        <v>1.3387500000000001</v>
      </c>
      <c r="J841" s="18">
        <v>1.37</v>
      </c>
      <c r="K841" s="18">
        <v>1.3</v>
      </c>
      <c r="L841" s="22">
        <v>13</v>
      </c>
    </row>
    <row r="842" spans="1:12">
      <c r="A842">
        <v>1</v>
      </c>
      <c r="B842" s="16" t="s">
        <v>37</v>
      </c>
      <c r="C842" s="9">
        <v>45689</v>
      </c>
      <c r="D842">
        <v>46</v>
      </c>
      <c r="E842" s="16" t="s">
        <v>135</v>
      </c>
      <c r="F842" s="16" t="s">
        <v>108</v>
      </c>
      <c r="G842" s="22">
        <v>32</v>
      </c>
      <c r="H842" s="18">
        <v>72.319999999999993</v>
      </c>
      <c r="I842" s="18">
        <v>2.2599999999999998</v>
      </c>
      <c r="J842" s="18">
        <v>2.2599999999999998</v>
      </c>
      <c r="K842" s="18">
        <v>2.2599999999999998</v>
      </c>
      <c r="L842" s="22">
        <v>1</v>
      </c>
    </row>
    <row r="843" spans="1:12">
      <c r="A843">
        <v>1</v>
      </c>
      <c r="B843" s="16" t="s">
        <v>37</v>
      </c>
      <c r="C843" s="9">
        <v>45717</v>
      </c>
      <c r="D843">
        <v>46</v>
      </c>
      <c r="E843" s="16" t="s">
        <v>135</v>
      </c>
      <c r="F843" s="16" t="s">
        <v>108</v>
      </c>
      <c r="G843" s="22">
        <v>48</v>
      </c>
      <c r="H843" s="18">
        <v>109.44</v>
      </c>
      <c r="I843" s="18">
        <v>2.2799999999999998</v>
      </c>
      <c r="J843" s="18">
        <v>2.2799999999999998</v>
      </c>
      <c r="K843" s="18">
        <v>2.2799999999999998</v>
      </c>
      <c r="L843" s="22">
        <v>1</v>
      </c>
    </row>
    <row r="844" spans="1:12">
      <c r="A844">
        <v>1</v>
      </c>
      <c r="B844" s="16" t="s">
        <v>37</v>
      </c>
      <c r="C844" s="9">
        <v>45748</v>
      </c>
      <c r="D844">
        <v>46</v>
      </c>
      <c r="E844" s="16" t="s">
        <v>135</v>
      </c>
      <c r="F844" s="16" t="s">
        <v>108</v>
      </c>
      <c r="G844" s="22">
        <v>32</v>
      </c>
      <c r="H844" s="18">
        <v>73.599999999999994</v>
      </c>
      <c r="I844" s="18">
        <v>2.2999999999999998</v>
      </c>
      <c r="J844" s="18">
        <v>2.2999999999999998</v>
      </c>
      <c r="K844" s="18">
        <v>2.2999999999999998</v>
      </c>
      <c r="L844" s="22">
        <v>1</v>
      </c>
    </row>
    <row r="845" spans="1:12">
      <c r="A845">
        <v>1</v>
      </c>
      <c r="B845" s="16" t="s">
        <v>37</v>
      </c>
      <c r="C845" s="9">
        <v>45778</v>
      </c>
      <c r="D845">
        <v>46</v>
      </c>
      <c r="E845" s="16" t="s">
        <v>135</v>
      </c>
      <c r="F845" s="16" t="s">
        <v>108</v>
      </c>
      <c r="G845" s="22">
        <v>48</v>
      </c>
      <c r="H845" s="18">
        <v>109.44</v>
      </c>
      <c r="I845" s="18">
        <v>2.2799999999999998</v>
      </c>
      <c r="J845" s="18">
        <v>2.2799999999999998</v>
      </c>
      <c r="K845" s="18">
        <v>2.2799999999999998</v>
      </c>
      <c r="L845" s="22">
        <v>1</v>
      </c>
    </row>
    <row r="846" spans="1:12">
      <c r="A846">
        <v>1</v>
      </c>
      <c r="B846" s="16" t="s">
        <v>37</v>
      </c>
      <c r="C846" s="9">
        <v>45809</v>
      </c>
      <c r="D846">
        <v>46</v>
      </c>
      <c r="E846" s="16" t="s">
        <v>135</v>
      </c>
      <c r="F846" s="16" t="s">
        <v>108</v>
      </c>
      <c r="G846" s="22">
        <v>48</v>
      </c>
      <c r="H846" s="18">
        <v>109.44</v>
      </c>
      <c r="I846" s="18">
        <v>2.2799999999999998</v>
      </c>
      <c r="J846" s="18">
        <v>2.2799999999999998</v>
      </c>
      <c r="K846" s="18">
        <v>2.2799999999999998</v>
      </c>
      <c r="L846" s="22">
        <v>1</v>
      </c>
    </row>
    <row r="847" spans="1:12">
      <c r="A847">
        <v>1</v>
      </c>
      <c r="B847" s="16" t="s">
        <v>37</v>
      </c>
      <c r="C847" s="9">
        <v>45839</v>
      </c>
      <c r="D847">
        <v>46</v>
      </c>
      <c r="E847" s="16" t="s">
        <v>135</v>
      </c>
      <c r="F847" s="16" t="s">
        <v>108</v>
      </c>
      <c r="G847" s="22">
        <v>32</v>
      </c>
      <c r="H847" s="18">
        <v>75.84</v>
      </c>
      <c r="I847" s="18">
        <v>2.37</v>
      </c>
      <c r="J847" s="18">
        <v>2.37</v>
      </c>
      <c r="K847" s="18">
        <v>2.37</v>
      </c>
      <c r="L847" s="22">
        <v>1</v>
      </c>
    </row>
    <row r="848" spans="1:12">
      <c r="A848">
        <v>1</v>
      </c>
      <c r="B848" s="16" t="s">
        <v>37</v>
      </c>
      <c r="C848" s="9">
        <v>45870</v>
      </c>
      <c r="D848">
        <v>46</v>
      </c>
      <c r="E848" s="16" t="s">
        <v>135</v>
      </c>
      <c r="F848" s="16" t="s">
        <v>108</v>
      </c>
      <c r="G848" s="22">
        <v>48</v>
      </c>
      <c r="H848" s="18">
        <v>110.88</v>
      </c>
      <c r="I848" s="18">
        <v>2.31</v>
      </c>
      <c r="J848" s="18">
        <v>2.31</v>
      </c>
      <c r="K848" s="18">
        <v>2.31</v>
      </c>
      <c r="L848" s="22">
        <v>1</v>
      </c>
    </row>
    <row r="849" spans="1:12">
      <c r="A849">
        <v>1</v>
      </c>
      <c r="B849" s="16" t="s">
        <v>37</v>
      </c>
      <c r="C849" s="9">
        <v>45901</v>
      </c>
      <c r="D849">
        <v>46</v>
      </c>
      <c r="E849" s="16" t="s">
        <v>135</v>
      </c>
      <c r="F849" s="16" t="s">
        <v>108</v>
      </c>
      <c r="G849" s="22">
        <v>48</v>
      </c>
      <c r="H849" s="18">
        <v>111.36</v>
      </c>
      <c r="I849" s="18">
        <v>2.3199999999999998</v>
      </c>
      <c r="J849" s="18">
        <v>2.3199999999999998</v>
      </c>
      <c r="K849" s="18">
        <v>2.3199999999999998</v>
      </c>
      <c r="L849" s="22">
        <v>1</v>
      </c>
    </row>
    <row r="850" spans="1:12">
      <c r="A850">
        <v>1</v>
      </c>
      <c r="B850" s="16" t="s">
        <v>37</v>
      </c>
      <c r="C850" s="9">
        <v>45931</v>
      </c>
      <c r="D850">
        <v>46</v>
      </c>
      <c r="E850" s="16" t="s">
        <v>135</v>
      </c>
      <c r="F850" s="16" t="s">
        <v>108</v>
      </c>
      <c r="G850" s="22">
        <v>48</v>
      </c>
      <c r="H850" s="18">
        <v>109.92</v>
      </c>
      <c r="I850" s="18">
        <v>2.29</v>
      </c>
      <c r="J850" s="18">
        <v>2.29</v>
      </c>
      <c r="K850" s="18">
        <v>2.29</v>
      </c>
      <c r="L850" s="22">
        <v>1</v>
      </c>
    </row>
    <row r="851" spans="1:12">
      <c r="A851">
        <v>1</v>
      </c>
      <c r="B851" s="16" t="s">
        <v>37</v>
      </c>
      <c r="C851" s="9">
        <v>45962</v>
      </c>
      <c r="D851">
        <v>46</v>
      </c>
      <c r="E851" s="16" t="s">
        <v>135</v>
      </c>
      <c r="F851" s="16" t="s">
        <v>108</v>
      </c>
      <c r="G851" s="22">
        <v>48</v>
      </c>
      <c r="H851" s="18">
        <v>109.92</v>
      </c>
      <c r="I851" s="18">
        <v>2.29</v>
      </c>
      <c r="J851" s="18">
        <v>2.29</v>
      </c>
      <c r="K851" s="18">
        <v>2.29</v>
      </c>
      <c r="L851" s="22">
        <v>1</v>
      </c>
    </row>
    <row r="852" spans="1:12">
      <c r="A852">
        <v>1</v>
      </c>
      <c r="B852" s="16" t="s">
        <v>37</v>
      </c>
      <c r="C852" s="9">
        <v>45992</v>
      </c>
      <c r="D852">
        <v>46</v>
      </c>
      <c r="E852" s="16" t="s">
        <v>135</v>
      </c>
      <c r="F852" s="16" t="s">
        <v>108</v>
      </c>
      <c r="G852" s="22">
        <v>96</v>
      </c>
      <c r="H852" s="18">
        <v>220.8</v>
      </c>
      <c r="I852" s="18">
        <v>2.2999999999999998</v>
      </c>
      <c r="J852" s="18">
        <v>2.34</v>
      </c>
      <c r="K852" s="18">
        <v>2.2599999999999998</v>
      </c>
      <c r="L852" s="22">
        <v>2</v>
      </c>
    </row>
    <row r="853" spans="1:12">
      <c r="A853">
        <v>1</v>
      </c>
      <c r="B853" s="16" t="s">
        <v>37</v>
      </c>
      <c r="C853" s="9">
        <v>46023</v>
      </c>
      <c r="D853">
        <v>46</v>
      </c>
      <c r="E853" s="16" t="s">
        <v>135</v>
      </c>
      <c r="F853" s="16" t="s">
        <v>108</v>
      </c>
      <c r="G853" s="22">
        <v>32</v>
      </c>
      <c r="H853" s="18">
        <v>73.599999999999994</v>
      </c>
      <c r="I853" s="18">
        <v>2.2999999999999998</v>
      </c>
      <c r="J853" s="18">
        <v>2.2999999999999998</v>
      </c>
      <c r="K853" s="18">
        <v>2.2999999999999998</v>
      </c>
      <c r="L853" s="22">
        <v>1</v>
      </c>
    </row>
    <row r="854" spans="1:12">
      <c r="A854">
        <v>1</v>
      </c>
      <c r="B854" s="16" t="s">
        <v>37</v>
      </c>
      <c r="C854" s="9">
        <v>46054</v>
      </c>
      <c r="D854">
        <v>46</v>
      </c>
      <c r="E854" s="16" t="s">
        <v>135</v>
      </c>
      <c r="F854" s="16" t="s">
        <v>108</v>
      </c>
      <c r="G854" s="22">
        <v>48</v>
      </c>
      <c r="H854" s="18">
        <v>111.84</v>
      </c>
      <c r="I854" s="18">
        <v>2.33</v>
      </c>
      <c r="J854" s="18">
        <v>2.33</v>
      </c>
      <c r="K854" s="18">
        <v>2.33</v>
      </c>
      <c r="L854" s="22">
        <v>1</v>
      </c>
    </row>
    <row r="855" spans="1:12">
      <c r="A855">
        <v>1</v>
      </c>
      <c r="B855" s="16" t="s">
        <v>37</v>
      </c>
      <c r="C855" s="9">
        <v>46082</v>
      </c>
      <c r="D855">
        <v>46</v>
      </c>
      <c r="E855" s="16" t="s">
        <v>135</v>
      </c>
      <c r="F855" s="16" t="s">
        <v>108</v>
      </c>
      <c r="G855" s="22">
        <v>32</v>
      </c>
      <c r="H855" s="18">
        <v>77.12</v>
      </c>
      <c r="I855" s="18">
        <v>2.41</v>
      </c>
      <c r="J855" s="18">
        <v>2.41</v>
      </c>
      <c r="K855" s="18">
        <v>2.41</v>
      </c>
      <c r="L855" s="22">
        <v>1</v>
      </c>
    </row>
    <row r="856" spans="1:12">
      <c r="A856">
        <v>1</v>
      </c>
      <c r="B856" s="16" t="s">
        <v>37</v>
      </c>
      <c r="C856" s="9">
        <v>46113</v>
      </c>
      <c r="D856">
        <v>46</v>
      </c>
      <c r="E856" s="16" t="s">
        <v>135</v>
      </c>
      <c r="F856" s="16" t="s">
        <v>108</v>
      </c>
      <c r="G856" s="22">
        <v>48</v>
      </c>
      <c r="H856" s="18">
        <v>109.44</v>
      </c>
      <c r="I856" s="18">
        <v>2.2799999999999998</v>
      </c>
      <c r="J856" s="18">
        <v>2.2799999999999998</v>
      </c>
      <c r="K856" s="18">
        <v>2.2799999999999998</v>
      </c>
      <c r="L856" s="22">
        <v>1</v>
      </c>
    </row>
    <row r="857" spans="1:12">
      <c r="A857">
        <v>1</v>
      </c>
      <c r="B857" s="16" t="s">
        <v>37</v>
      </c>
      <c r="C857" s="9">
        <v>46143</v>
      </c>
      <c r="D857">
        <v>46</v>
      </c>
      <c r="E857" s="16" t="s">
        <v>135</v>
      </c>
      <c r="F857" s="16" t="s">
        <v>108</v>
      </c>
      <c r="G857" s="22">
        <v>48</v>
      </c>
      <c r="H857" s="18">
        <v>109.92</v>
      </c>
      <c r="I857" s="18">
        <v>2.29</v>
      </c>
      <c r="J857" s="18">
        <v>2.29</v>
      </c>
      <c r="K857" s="18">
        <v>2.29</v>
      </c>
      <c r="L857" s="22">
        <v>1</v>
      </c>
    </row>
    <row r="858" spans="1:12">
      <c r="A858">
        <v>1</v>
      </c>
      <c r="B858" s="16" t="s">
        <v>37</v>
      </c>
      <c r="C858" s="9">
        <v>46174</v>
      </c>
      <c r="D858">
        <v>46</v>
      </c>
      <c r="E858" s="16" t="s">
        <v>135</v>
      </c>
      <c r="F858" s="16" t="s">
        <v>108</v>
      </c>
      <c r="G858" s="22">
        <v>48</v>
      </c>
      <c r="H858" s="18">
        <v>107.52</v>
      </c>
      <c r="I858" s="18">
        <v>2.2400000000000002</v>
      </c>
      <c r="J858" s="18">
        <v>2.2400000000000002</v>
      </c>
      <c r="K858" s="18">
        <v>2.2400000000000002</v>
      </c>
      <c r="L858" s="22">
        <v>1</v>
      </c>
    </row>
    <row r="859" spans="1:12">
      <c r="A859">
        <v>1</v>
      </c>
      <c r="B859" s="16" t="s">
        <v>37</v>
      </c>
      <c r="C859" s="9">
        <v>46204</v>
      </c>
      <c r="D859">
        <v>46</v>
      </c>
      <c r="E859" s="16" t="s">
        <v>135</v>
      </c>
      <c r="F859" s="16" t="s">
        <v>108</v>
      </c>
      <c r="G859" s="22">
        <v>48</v>
      </c>
      <c r="H859" s="18">
        <v>111.36</v>
      </c>
      <c r="I859" s="18">
        <v>2.3199999999999998</v>
      </c>
      <c r="J859" s="18">
        <v>2.3199999999999998</v>
      </c>
      <c r="K859" s="18">
        <v>2.3199999999999998</v>
      </c>
      <c r="L859" s="22">
        <v>1</v>
      </c>
    </row>
    <row r="860" spans="1:12">
      <c r="A860">
        <v>1</v>
      </c>
      <c r="B860" s="16" t="s">
        <v>37</v>
      </c>
      <c r="C860" s="9">
        <v>46235</v>
      </c>
      <c r="D860">
        <v>46</v>
      </c>
      <c r="E860" s="16" t="s">
        <v>135</v>
      </c>
      <c r="F860" s="16" t="s">
        <v>108</v>
      </c>
      <c r="G860" s="22">
        <v>48</v>
      </c>
      <c r="H860" s="18">
        <v>112.32</v>
      </c>
      <c r="I860" s="18">
        <v>2.34</v>
      </c>
      <c r="J860" s="18">
        <v>2.34</v>
      </c>
      <c r="K860" s="18">
        <v>2.34</v>
      </c>
      <c r="L860" s="22">
        <v>1</v>
      </c>
    </row>
    <row r="861" spans="1:12">
      <c r="A861">
        <v>1</v>
      </c>
      <c r="B861" s="16" t="s">
        <v>37</v>
      </c>
      <c r="C861" s="9">
        <v>46266</v>
      </c>
      <c r="D861">
        <v>46</v>
      </c>
      <c r="E861" s="16" t="s">
        <v>135</v>
      </c>
      <c r="F861" s="16" t="s">
        <v>108</v>
      </c>
      <c r="G861" s="22">
        <v>48</v>
      </c>
      <c r="H861" s="18">
        <v>110.88</v>
      </c>
      <c r="I861" s="18">
        <v>2.31</v>
      </c>
      <c r="J861" s="18">
        <v>2.31</v>
      </c>
      <c r="K861" s="18">
        <v>2.31</v>
      </c>
      <c r="L861" s="22">
        <v>1</v>
      </c>
    </row>
    <row r="862" spans="1:12">
      <c r="A862">
        <v>1</v>
      </c>
      <c r="B862" s="16" t="s">
        <v>37</v>
      </c>
      <c r="C862" s="9">
        <v>45689</v>
      </c>
      <c r="D862">
        <v>47</v>
      </c>
      <c r="E862" s="16" t="s">
        <v>136</v>
      </c>
      <c r="F862" s="16" t="s">
        <v>92</v>
      </c>
      <c r="G862" s="22">
        <v>97.5</v>
      </c>
      <c r="H862" s="18">
        <v>437.11500000000001</v>
      </c>
      <c r="I862" s="18">
        <v>4.4832307690000004</v>
      </c>
      <c r="J862" s="18">
        <v>4.62</v>
      </c>
      <c r="K862" s="18">
        <v>4.32</v>
      </c>
      <c r="L862" s="22">
        <v>8</v>
      </c>
    </row>
    <row r="863" spans="1:12">
      <c r="A863">
        <v>1</v>
      </c>
      <c r="B863" s="16" t="s">
        <v>37</v>
      </c>
      <c r="C863" s="9">
        <v>45717</v>
      </c>
      <c r="D863">
        <v>47</v>
      </c>
      <c r="E863" s="16" t="s">
        <v>136</v>
      </c>
      <c r="F863" s="16" t="s">
        <v>92</v>
      </c>
      <c r="G863" s="22">
        <v>109.5</v>
      </c>
      <c r="H863" s="18">
        <v>466.33499999999998</v>
      </c>
      <c r="I863" s="18">
        <v>4.2587671230000002</v>
      </c>
      <c r="J863" s="18">
        <v>4.32</v>
      </c>
      <c r="K863" s="18">
        <v>4.21</v>
      </c>
      <c r="L863" s="22">
        <v>9</v>
      </c>
    </row>
    <row r="864" spans="1:12">
      <c r="A864">
        <v>1</v>
      </c>
      <c r="B864" s="16" t="s">
        <v>37</v>
      </c>
      <c r="C864" s="9">
        <v>45748</v>
      </c>
      <c r="D864">
        <v>47</v>
      </c>
      <c r="E864" s="16" t="s">
        <v>136</v>
      </c>
      <c r="F864" s="16" t="s">
        <v>92</v>
      </c>
      <c r="G864" s="22">
        <v>127.5</v>
      </c>
      <c r="H864" s="18">
        <v>488.1</v>
      </c>
      <c r="I864" s="18">
        <v>3.8282352940000002</v>
      </c>
      <c r="J864" s="18">
        <v>3.95</v>
      </c>
      <c r="K864" s="18">
        <v>3.76</v>
      </c>
      <c r="L864" s="22">
        <v>8</v>
      </c>
    </row>
    <row r="865" spans="1:12">
      <c r="A865">
        <v>1</v>
      </c>
      <c r="B865" s="16" t="s">
        <v>37</v>
      </c>
      <c r="C865" s="9">
        <v>45778</v>
      </c>
      <c r="D865">
        <v>47</v>
      </c>
      <c r="E865" s="16" t="s">
        <v>136</v>
      </c>
      <c r="F865" s="16" t="s">
        <v>92</v>
      </c>
      <c r="G865" s="22">
        <v>154.5</v>
      </c>
      <c r="H865" s="18">
        <v>541.47</v>
      </c>
      <c r="I865" s="18">
        <v>3.504660194</v>
      </c>
      <c r="J865" s="18">
        <v>3.74</v>
      </c>
      <c r="K865" s="18">
        <v>3.41</v>
      </c>
      <c r="L865" s="22">
        <v>9</v>
      </c>
    </row>
    <row r="866" spans="1:12">
      <c r="A866">
        <v>1</v>
      </c>
      <c r="B866" s="16" t="s">
        <v>37</v>
      </c>
      <c r="C866" s="9">
        <v>45809</v>
      </c>
      <c r="D866">
        <v>47</v>
      </c>
      <c r="E866" s="16" t="s">
        <v>136</v>
      </c>
      <c r="F866" s="16" t="s">
        <v>92</v>
      </c>
      <c r="G866" s="22">
        <v>147</v>
      </c>
      <c r="H866" s="18">
        <v>477.46499999999997</v>
      </c>
      <c r="I866" s="18">
        <v>3.2480612240000002</v>
      </c>
      <c r="J866" s="18">
        <v>3.29</v>
      </c>
      <c r="K866" s="18">
        <v>3.2</v>
      </c>
      <c r="L866" s="22">
        <v>9</v>
      </c>
    </row>
    <row r="867" spans="1:12">
      <c r="A867">
        <v>1</v>
      </c>
      <c r="B867" s="16" t="s">
        <v>37</v>
      </c>
      <c r="C867" s="9">
        <v>45839</v>
      </c>
      <c r="D867">
        <v>47</v>
      </c>
      <c r="E867" s="16" t="s">
        <v>136</v>
      </c>
      <c r="F867" s="16" t="s">
        <v>92</v>
      </c>
      <c r="G867" s="22">
        <v>126</v>
      </c>
      <c r="H867" s="18">
        <v>399.58499999999998</v>
      </c>
      <c r="I867" s="18">
        <v>3.1713095240000002</v>
      </c>
      <c r="J867" s="18">
        <v>3.21</v>
      </c>
      <c r="K867" s="18">
        <v>3.14</v>
      </c>
      <c r="L867" s="22">
        <v>9</v>
      </c>
    </row>
    <row r="868" spans="1:12">
      <c r="A868">
        <v>1</v>
      </c>
      <c r="B868" s="16" t="s">
        <v>37</v>
      </c>
      <c r="C868" s="9">
        <v>45870</v>
      </c>
      <c r="D868">
        <v>47</v>
      </c>
      <c r="E868" s="16" t="s">
        <v>136</v>
      </c>
      <c r="F868" s="16" t="s">
        <v>92</v>
      </c>
      <c r="G868" s="22">
        <v>118.5</v>
      </c>
      <c r="H868" s="18">
        <v>387.76499999999999</v>
      </c>
      <c r="I868" s="18">
        <v>3.2722784809999999</v>
      </c>
      <c r="J868" s="18">
        <v>3.35</v>
      </c>
      <c r="K868" s="18">
        <v>3.22</v>
      </c>
      <c r="L868" s="22">
        <v>8</v>
      </c>
    </row>
    <row r="869" spans="1:12">
      <c r="A869">
        <v>1</v>
      </c>
      <c r="B869" s="16" t="s">
        <v>37</v>
      </c>
      <c r="C869" s="9">
        <v>45901</v>
      </c>
      <c r="D869">
        <v>47</v>
      </c>
      <c r="E869" s="16" t="s">
        <v>136</v>
      </c>
      <c r="F869" s="16" t="s">
        <v>92</v>
      </c>
      <c r="G869" s="22">
        <v>150</v>
      </c>
      <c r="H869" s="18">
        <v>524.54999999999995</v>
      </c>
      <c r="I869" s="18">
        <v>3.4969999999999999</v>
      </c>
      <c r="J869" s="18">
        <v>3.58</v>
      </c>
      <c r="K869" s="18">
        <v>3.45</v>
      </c>
      <c r="L869" s="22">
        <v>9</v>
      </c>
    </row>
    <row r="870" spans="1:12">
      <c r="A870">
        <v>1</v>
      </c>
      <c r="B870" s="16" t="s">
        <v>37</v>
      </c>
      <c r="C870" s="9">
        <v>45931</v>
      </c>
      <c r="D870">
        <v>47</v>
      </c>
      <c r="E870" s="16" t="s">
        <v>136</v>
      </c>
      <c r="F870" s="16" t="s">
        <v>92</v>
      </c>
      <c r="G870" s="22">
        <v>172.5</v>
      </c>
      <c r="H870" s="18">
        <v>663.64499999999998</v>
      </c>
      <c r="I870" s="18">
        <v>3.847217391</v>
      </c>
      <c r="J870" s="18">
        <v>3.9</v>
      </c>
      <c r="K870" s="18">
        <v>3.81</v>
      </c>
      <c r="L870" s="22">
        <v>9</v>
      </c>
    </row>
    <row r="871" spans="1:12">
      <c r="A871">
        <v>1</v>
      </c>
      <c r="B871" s="16" t="s">
        <v>37</v>
      </c>
      <c r="C871" s="9">
        <v>45962</v>
      </c>
      <c r="D871">
        <v>47</v>
      </c>
      <c r="E871" s="16" t="s">
        <v>136</v>
      </c>
      <c r="F871" s="16" t="s">
        <v>92</v>
      </c>
      <c r="G871" s="22">
        <v>118.5</v>
      </c>
      <c r="H871" s="18">
        <v>500.1</v>
      </c>
      <c r="I871" s="18">
        <v>4.2202531649999999</v>
      </c>
      <c r="J871" s="18">
        <v>4.28</v>
      </c>
      <c r="K871" s="18">
        <v>4.08</v>
      </c>
      <c r="L871" s="22">
        <v>8</v>
      </c>
    </row>
    <row r="872" spans="1:12">
      <c r="A872">
        <v>1</v>
      </c>
      <c r="B872" s="16" t="s">
        <v>37</v>
      </c>
      <c r="C872" s="9">
        <v>45992</v>
      </c>
      <c r="D872">
        <v>47</v>
      </c>
      <c r="E872" s="16" t="s">
        <v>136</v>
      </c>
      <c r="F872" s="16" t="s">
        <v>92</v>
      </c>
      <c r="G872" s="22">
        <v>142.5</v>
      </c>
      <c r="H872" s="18">
        <v>634.20000000000005</v>
      </c>
      <c r="I872" s="18">
        <v>4.4505263160000004</v>
      </c>
      <c r="J872" s="18">
        <v>4.53</v>
      </c>
      <c r="K872" s="18">
        <v>4.32</v>
      </c>
      <c r="L872" s="22">
        <v>9</v>
      </c>
    </row>
    <row r="873" spans="1:12">
      <c r="A873">
        <v>1</v>
      </c>
      <c r="B873" s="16" t="s">
        <v>37</v>
      </c>
      <c r="C873" s="9">
        <v>46023</v>
      </c>
      <c r="D873">
        <v>47</v>
      </c>
      <c r="E873" s="16" t="s">
        <v>136</v>
      </c>
      <c r="F873" s="16" t="s">
        <v>92</v>
      </c>
      <c r="G873" s="22">
        <v>106.5</v>
      </c>
      <c r="H873" s="18">
        <v>486.39</v>
      </c>
      <c r="I873" s="18">
        <v>4.5670422540000004</v>
      </c>
      <c r="J873" s="18">
        <v>4.62</v>
      </c>
      <c r="K873" s="18">
        <v>4.5</v>
      </c>
      <c r="L873" s="22">
        <v>9</v>
      </c>
    </row>
    <row r="874" spans="1:12">
      <c r="A874">
        <v>1</v>
      </c>
      <c r="B874" s="16" t="s">
        <v>37</v>
      </c>
      <c r="C874" s="9">
        <v>46054</v>
      </c>
      <c r="D874">
        <v>47</v>
      </c>
      <c r="E874" s="16" t="s">
        <v>136</v>
      </c>
      <c r="F874" s="16" t="s">
        <v>92</v>
      </c>
      <c r="G874" s="22">
        <v>94.5</v>
      </c>
      <c r="H874" s="18">
        <v>422.80500000000001</v>
      </c>
      <c r="I874" s="18">
        <v>4.4741269839999998</v>
      </c>
      <c r="J874" s="18">
        <v>4.7300000000000004</v>
      </c>
      <c r="K874" s="18">
        <v>4.42</v>
      </c>
      <c r="L874" s="22">
        <v>8</v>
      </c>
    </row>
    <row r="875" spans="1:12">
      <c r="A875">
        <v>1</v>
      </c>
      <c r="B875" s="16" t="s">
        <v>37</v>
      </c>
      <c r="C875" s="9">
        <v>46082</v>
      </c>
      <c r="D875">
        <v>47</v>
      </c>
      <c r="E875" s="16" t="s">
        <v>136</v>
      </c>
      <c r="F875" s="16" t="s">
        <v>92</v>
      </c>
      <c r="G875" s="22">
        <v>100.5</v>
      </c>
      <c r="H875" s="18">
        <v>422.29500000000002</v>
      </c>
      <c r="I875" s="18">
        <v>4.2019402990000003</v>
      </c>
      <c r="J875" s="18">
        <v>4.3</v>
      </c>
      <c r="K875" s="18">
        <v>4.1100000000000003</v>
      </c>
      <c r="L875" s="22">
        <v>9</v>
      </c>
    </row>
    <row r="876" spans="1:12">
      <c r="A876">
        <v>1</v>
      </c>
      <c r="B876" s="16" t="s">
        <v>37</v>
      </c>
      <c r="C876" s="9">
        <v>46113</v>
      </c>
      <c r="D876">
        <v>47</v>
      </c>
      <c r="E876" s="16" t="s">
        <v>136</v>
      </c>
      <c r="F876" s="16" t="s">
        <v>92</v>
      </c>
      <c r="G876" s="22">
        <v>121.5</v>
      </c>
      <c r="H876" s="18">
        <v>471.04500000000002</v>
      </c>
      <c r="I876" s="18">
        <v>3.8769135800000001</v>
      </c>
      <c r="J876" s="18">
        <v>3.98</v>
      </c>
      <c r="K876" s="18">
        <v>3.79</v>
      </c>
      <c r="L876" s="22">
        <v>9</v>
      </c>
    </row>
    <row r="877" spans="1:12">
      <c r="A877">
        <v>1</v>
      </c>
      <c r="B877" s="16" t="s">
        <v>37</v>
      </c>
      <c r="C877" s="9">
        <v>46143</v>
      </c>
      <c r="D877">
        <v>47</v>
      </c>
      <c r="E877" s="16" t="s">
        <v>136</v>
      </c>
      <c r="F877" s="16" t="s">
        <v>92</v>
      </c>
      <c r="G877" s="22">
        <v>112.5</v>
      </c>
      <c r="H877" s="18">
        <v>390.24</v>
      </c>
      <c r="I877" s="18">
        <v>3.4687999999999999</v>
      </c>
      <c r="J877" s="18">
        <v>3.52</v>
      </c>
      <c r="K877" s="18">
        <v>3.41</v>
      </c>
      <c r="L877" s="22">
        <v>8</v>
      </c>
    </row>
    <row r="878" spans="1:12">
      <c r="A878">
        <v>1</v>
      </c>
      <c r="B878" s="16" t="s">
        <v>37</v>
      </c>
      <c r="C878" s="9">
        <v>46174</v>
      </c>
      <c r="D878">
        <v>47</v>
      </c>
      <c r="E878" s="16" t="s">
        <v>136</v>
      </c>
      <c r="F878" s="16" t="s">
        <v>92</v>
      </c>
      <c r="G878" s="22">
        <v>120</v>
      </c>
      <c r="H878" s="18">
        <v>386.55</v>
      </c>
      <c r="I878" s="18">
        <v>3.2212499999999999</v>
      </c>
      <c r="J878" s="18">
        <v>3.3</v>
      </c>
      <c r="K878" s="18">
        <v>3.16</v>
      </c>
      <c r="L878" s="22">
        <v>9</v>
      </c>
    </row>
    <row r="879" spans="1:12">
      <c r="A879">
        <v>1</v>
      </c>
      <c r="B879" s="16" t="s">
        <v>37</v>
      </c>
      <c r="C879" s="9">
        <v>46204</v>
      </c>
      <c r="D879">
        <v>47</v>
      </c>
      <c r="E879" s="16" t="s">
        <v>136</v>
      </c>
      <c r="F879" s="16" t="s">
        <v>92</v>
      </c>
      <c r="G879" s="22">
        <v>148.5</v>
      </c>
      <c r="H879" s="18">
        <v>471.64499999999998</v>
      </c>
      <c r="I879" s="18">
        <v>3.1760606060000001</v>
      </c>
      <c r="J879" s="18">
        <v>3.25</v>
      </c>
      <c r="K879" s="18">
        <v>3.13</v>
      </c>
      <c r="L879" s="22">
        <v>9</v>
      </c>
    </row>
    <row r="880" spans="1:12">
      <c r="A880">
        <v>1</v>
      </c>
      <c r="B880" s="16" t="s">
        <v>37</v>
      </c>
      <c r="C880" s="9">
        <v>46235</v>
      </c>
      <c r="D880">
        <v>47</v>
      </c>
      <c r="E880" s="16" t="s">
        <v>136</v>
      </c>
      <c r="F880" s="16" t="s">
        <v>92</v>
      </c>
      <c r="G880" s="22">
        <v>108</v>
      </c>
      <c r="H880" s="18">
        <v>353.505</v>
      </c>
      <c r="I880" s="18">
        <v>3.273194444</v>
      </c>
      <c r="J880" s="18">
        <v>3.32</v>
      </c>
      <c r="K880" s="18">
        <v>3.21</v>
      </c>
      <c r="L880" s="22">
        <v>9</v>
      </c>
    </row>
    <row r="881" spans="1:12">
      <c r="A881">
        <v>1</v>
      </c>
      <c r="B881" s="16" t="s">
        <v>37</v>
      </c>
      <c r="C881" s="9">
        <v>46266</v>
      </c>
      <c r="D881">
        <v>47</v>
      </c>
      <c r="E881" s="16" t="s">
        <v>136</v>
      </c>
      <c r="F881" s="16" t="s">
        <v>92</v>
      </c>
      <c r="G881" s="22">
        <v>126</v>
      </c>
      <c r="H881" s="18">
        <v>446.43</v>
      </c>
      <c r="I881" s="18">
        <v>3.5430952379999998</v>
      </c>
      <c r="J881" s="18">
        <v>3.57</v>
      </c>
      <c r="K881" s="18">
        <v>3.5</v>
      </c>
      <c r="L881" s="22">
        <v>8</v>
      </c>
    </row>
    <row r="882" spans="1:12">
      <c r="A882">
        <v>1</v>
      </c>
      <c r="B882" s="16" t="s">
        <v>37</v>
      </c>
      <c r="C882" s="9">
        <v>45689</v>
      </c>
      <c r="D882">
        <v>48</v>
      </c>
      <c r="E882" s="16" t="s">
        <v>137</v>
      </c>
      <c r="F882" s="16" t="s">
        <v>138</v>
      </c>
      <c r="G882" s="22">
        <v>10.25</v>
      </c>
      <c r="H882" s="18">
        <v>111.175</v>
      </c>
      <c r="I882" s="18">
        <v>10.846341463</v>
      </c>
      <c r="J882" s="18">
        <v>11.06</v>
      </c>
      <c r="K882" s="18">
        <v>10.63</v>
      </c>
      <c r="L882" s="22">
        <v>12</v>
      </c>
    </row>
    <row r="883" spans="1:12">
      <c r="A883">
        <v>1</v>
      </c>
      <c r="B883" s="16" t="s">
        <v>37</v>
      </c>
      <c r="C883" s="9">
        <v>45717</v>
      </c>
      <c r="D883">
        <v>48</v>
      </c>
      <c r="E883" s="16" t="s">
        <v>137</v>
      </c>
      <c r="F883" s="16" t="s">
        <v>138</v>
      </c>
      <c r="G883" s="22">
        <v>12</v>
      </c>
      <c r="H883" s="18">
        <v>131.75749999999999</v>
      </c>
      <c r="I883" s="18">
        <v>10.979791667000001</v>
      </c>
      <c r="J883" s="18">
        <v>11.22</v>
      </c>
      <c r="K883" s="18">
        <v>10.77</v>
      </c>
      <c r="L883" s="22">
        <v>13</v>
      </c>
    </row>
    <row r="884" spans="1:12">
      <c r="A884">
        <v>1</v>
      </c>
      <c r="B884" s="16" t="s">
        <v>37</v>
      </c>
      <c r="C884" s="9">
        <v>45748</v>
      </c>
      <c r="D884">
        <v>48</v>
      </c>
      <c r="E884" s="16" t="s">
        <v>137</v>
      </c>
      <c r="F884" s="16" t="s">
        <v>138</v>
      </c>
      <c r="G884" s="22">
        <v>17</v>
      </c>
      <c r="H884" s="18">
        <v>185.63249999999999</v>
      </c>
      <c r="I884" s="18">
        <v>10.919558823999999</v>
      </c>
      <c r="J884" s="18">
        <v>11.45</v>
      </c>
      <c r="K884" s="18">
        <v>10.57</v>
      </c>
      <c r="L884" s="22">
        <v>13</v>
      </c>
    </row>
    <row r="885" spans="1:12">
      <c r="A885">
        <v>1</v>
      </c>
      <c r="B885" s="16" t="s">
        <v>37</v>
      </c>
      <c r="C885" s="9">
        <v>45778</v>
      </c>
      <c r="D885">
        <v>48</v>
      </c>
      <c r="E885" s="16" t="s">
        <v>137</v>
      </c>
      <c r="F885" s="16" t="s">
        <v>138</v>
      </c>
      <c r="G885" s="22">
        <v>21</v>
      </c>
      <c r="H885" s="18">
        <v>230.11750000000001</v>
      </c>
      <c r="I885" s="18">
        <v>10.95797619</v>
      </c>
      <c r="J885" s="18">
        <v>11.47</v>
      </c>
      <c r="K885" s="18">
        <v>10.64</v>
      </c>
      <c r="L885" s="22">
        <v>13</v>
      </c>
    </row>
    <row r="886" spans="1:12">
      <c r="A886">
        <v>1</v>
      </c>
      <c r="B886" s="16" t="s">
        <v>37</v>
      </c>
      <c r="C886" s="9">
        <v>45809</v>
      </c>
      <c r="D886">
        <v>48</v>
      </c>
      <c r="E886" s="16" t="s">
        <v>137</v>
      </c>
      <c r="F886" s="16" t="s">
        <v>138</v>
      </c>
      <c r="G886" s="22">
        <v>22</v>
      </c>
      <c r="H886" s="18">
        <v>239.04249999999999</v>
      </c>
      <c r="I886" s="18">
        <v>10.865568182000001</v>
      </c>
      <c r="J886" s="18">
        <v>11.06</v>
      </c>
      <c r="K886" s="18">
        <v>10.62</v>
      </c>
      <c r="L886" s="22">
        <v>13</v>
      </c>
    </row>
    <row r="887" spans="1:12">
      <c r="A887">
        <v>1</v>
      </c>
      <c r="B887" s="16" t="s">
        <v>37</v>
      </c>
      <c r="C887" s="9">
        <v>45839</v>
      </c>
      <c r="D887">
        <v>48</v>
      </c>
      <c r="E887" s="16" t="s">
        <v>137</v>
      </c>
      <c r="F887" s="16" t="s">
        <v>138</v>
      </c>
      <c r="G887" s="22">
        <v>22</v>
      </c>
      <c r="H887" s="18">
        <v>240.86500000000001</v>
      </c>
      <c r="I887" s="18">
        <v>10.948409091</v>
      </c>
      <c r="J887" s="18">
        <v>11.2</v>
      </c>
      <c r="K887" s="18">
        <v>10.65</v>
      </c>
      <c r="L887" s="22">
        <v>13</v>
      </c>
    </row>
    <row r="888" spans="1:12">
      <c r="A888">
        <v>1</v>
      </c>
      <c r="B888" s="16" t="s">
        <v>37</v>
      </c>
      <c r="C888" s="9">
        <v>45870</v>
      </c>
      <c r="D888">
        <v>48</v>
      </c>
      <c r="E888" s="16" t="s">
        <v>137</v>
      </c>
      <c r="F888" s="16" t="s">
        <v>138</v>
      </c>
      <c r="G888" s="22">
        <v>20.5</v>
      </c>
      <c r="H888" s="18">
        <v>223.60499999999999</v>
      </c>
      <c r="I888" s="18">
        <v>10.907560975999999</v>
      </c>
      <c r="J888" s="18">
        <v>11.09</v>
      </c>
      <c r="K888" s="18">
        <v>10.81</v>
      </c>
      <c r="L888" s="22">
        <v>13</v>
      </c>
    </row>
    <row r="889" spans="1:12">
      <c r="A889">
        <v>1</v>
      </c>
      <c r="B889" s="16" t="s">
        <v>37</v>
      </c>
      <c r="C889" s="9">
        <v>45901</v>
      </c>
      <c r="D889">
        <v>48</v>
      </c>
      <c r="E889" s="16" t="s">
        <v>137</v>
      </c>
      <c r="F889" s="16" t="s">
        <v>138</v>
      </c>
      <c r="G889" s="22">
        <v>22</v>
      </c>
      <c r="H889" s="18">
        <v>241.92250000000001</v>
      </c>
      <c r="I889" s="18">
        <v>10.996477273</v>
      </c>
      <c r="J889" s="18">
        <v>11.2</v>
      </c>
      <c r="K889" s="18">
        <v>10.71</v>
      </c>
      <c r="L889" s="22">
        <v>13</v>
      </c>
    </row>
    <row r="890" spans="1:12">
      <c r="A890">
        <v>1</v>
      </c>
      <c r="B890" s="16" t="s">
        <v>37</v>
      </c>
      <c r="C890" s="9">
        <v>45931</v>
      </c>
      <c r="D890">
        <v>48</v>
      </c>
      <c r="E890" s="16" t="s">
        <v>137</v>
      </c>
      <c r="F890" s="16" t="s">
        <v>138</v>
      </c>
      <c r="G890" s="22">
        <v>20.5</v>
      </c>
      <c r="H890" s="18">
        <v>224.39500000000001</v>
      </c>
      <c r="I890" s="18">
        <v>10.946097561</v>
      </c>
      <c r="J890" s="18">
        <v>11.3</v>
      </c>
      <c r="K890" s="18">
        <v>10.82</v>
      </c>
      <c r="L890" s="22">
        <v>14</v>
      </c>
    </row>
    <row r="891" spans="1:12">
      <c r="A891">
        <v>1</v>
      </c>
      <c r="B891" s="16" t="s">
        <v>37</v>
      </c>
      <c r="C891" s="9">
        <v>45962</v>
      </c>
      <c r="D891">
        <v>48</v>
      </c>
      <c r="E891" s="16" t="s">
        <v>137</v>
      </c>
      <c r="F891" s="16" t="s">
        <v>138</v>
      </c>
      <c r="G891" s="22">
        <v>14.75</v>
      </c>
      <c r="H891" s="18">
        <v>169.89500000000001</v>
      </c>
      <c r="I891" s="18">
        <v>11.518305085</v>
      </c>
      <c r="J891" s="18">
        <v>12.44</v>
      </c>
      <c r="K891" s="18">
        <v>10.7</v>
      </c>
      <c r="L891" s="22">
        <v>12</v>
      </c>
    </row>
    <row r="892" spans="1:12">
      <c r="A892">
        <v>1</v>
      </c>
      <c r="B892" s="16" t="s">
        <v>37</v>
      </c>
      <c r="C892" s="9">
        <v>45992</v>
      </c>
      <c r="D892">
        <v>48</v>
      </c>
      <c r="E892" s="16" t="s">
        <v>137</v>
      </c>
      <c r="F892" s="16" t="s">
        <v>138</v>
      </c>
      <c r="G892" s="22">
        <v>13.75</v>
      </c>
      <c r="H892" s="18">
        <v>169.61750000000001</v>
      </c>
      <c r="I892" s="18">
        <v>12.335818182000001</v>
      </c>
      <c r="J892" s="18">
        <v>12.6</v>
      </c>
      <c r="K892" s="18">
        <v>12.08</v>
      </c>
      <c r="L892" s="22">
        <v>13</v>
      </c>
    </row>
    <row r="893" spans="1:12">
      <c r="A893">
        <v>1</v>
      </c>
      <c r="B893" s="16" t="s">
        <v>37</v>
      </c>
      <c r="C893" s="9">
        <v>46023</v>
      </c>
      <c r="D893">
        <v>48</v>
      </c>
      <c r="E893" s="16" t="s">
        <v>137</v>
      </c>
      <c r="F893" s="16" t="s">
        <v>138</v>
      </c>
      <c r="G893" s="22">
        <v>8</v>
      </c>
      <c r="H893" s="18">
        <v>89.034999999999997</v>
      </c>
      <c r="I893" s="18">
        <v>11.129375</v>
      </c>
      <c r="J893" s="18">
        <v>11.41</v>
      </c>
      <c r="K893" s="18">
        <v>10.85</v>
      </c>
      <c r="L893" s="22">
        <v>13</v>
      </c>
    </row>
    <row r="894" spans="1:12">
      <c r="A894">
        <v>1</v>
      </c>
      <c r="B894" s="16" t="s">
        <v>37</v>
      </c>
      <c r="C894" s="9">
        <v>46054</v>
      </c>
      <c r="D894">
        <v>48</v>
      </c>
      <c r="E894" s="16" t="s">
        <v>137</v>
      </c>
      <c r="F894" s="16" t="s">
        <v>138</v>
      </c>
      <c r="G894" s="22">
        <v>10.75</v>
      </c>
      <c r="H894" s="18">
        <v>120.53</v>
      </c>
      <c r="I894" s="18">
        <v>11.212093023</v>
      </c>
      <c r="J894" s="18">
        <v>11.5</v>
      </c>
      <c r="K894" s="18">
        <v>10.98</v>
      </c>
      <c r="L894" s="22">
        <v>12</v>
      </c>
    </row>
    <row r="895" spans="1:12">
      <c r="A895">
        <v>1</v>
      </c>
      <c r="B895" s="16" t="s">
        <v>37</v>
      </c>
      <c r="C895" s="9">
        <v>46082</v>
      </c>
      <c r="D895">
        <v>48</v>
      </c>
      <c r="E895" s="16" t="s">
        <v>137</v>
      </c>
      <c r="F895" s="16" t="s">
        <v>138</v>
      </c>
      <c r="G895" s="22">
        <v>12.5</v>
      </c>
      <c r="H895" s="18">
        <v>140.1925</v>
      </c>
      <c r="I895" s="18">
        <v>11.215400000000001</v>
      </c>
      <c r="J895" s="18">
        <v>11.42</v>
      </c>
      <c r="K895" s="18">
        <v>10.94</v>
      </c>
      <c r="L895" s="22">
        <v>13</v>
      </c>
    </row>
    <row r="896" spans="1:12">
      <c r="A896">
        <v>1</v>
      </c>
      <c r="B896" s="16" t="s">
        <v>37</v>
      </c>
      <c r="C896" s="9">
        <v>46113</v>
      </c>
      <c r="D896">
        <v>48</v>
      </c>
      <c r="E896" s="16" t="s">
        <v>137</v>
      </c>
      <c r="F896" s="16" t="s">
        <v>138</v>
      </c>
      <c r="G896" s="22">
        <v>18.75</v>
      </c>
      <c r="H896" s="18">
        <v>213.49250000000001</v>
      </c>
      <c r="I896" s="18">
        <v>11.386266666999999</v>
      </c>
      <c r="J896" s="18">
        <v>11.61</v>
      </c>
      <c r="K896" s="18">
        <v>11.12</v>
      </c>
      <c r="L896" s="22">
        <v>13</v>
      </c>
    </row>
    <row r="897" spans="1:12">
      <c r="A897">
        <v>1</v>
      </c>
      <c r="B897" s="16" t="s">
        <v>37</v>
      </c>
      <c r="C897" s="9">
        <v>46143</v>
      </c>
      <c r="D897">
        <v>48</v>
      </c>
      <c r="E897" s="16" t="s">
        <v>137</v>
      </c>
      <c r="F897" s="16" t="s">
        <v>138</v>
      </c>
      <c r="G897" s="22">
        <v>20</v>
      </c>
      <c r="H897" s="18">
        <v>228.69499999999999</v>
      </c>
      <c r="I897" s="18">
        <v>11.434749999999999</v>
      </c>
      <c r="J897" s="18">
        <v>11.65</v>
      </c>
      <c r="K897" s="18">
        <v>11.25</v>
      </c>
      <c r="L897" s="22">
        <v>13</v>
      </c>
    </row>
    <row r="898" spans="1:12">
      <c r="A898">
        <v>1</v>
      </c>
      <c r="B898" s="16" t="s">
        <v>37</v>
      </c>
      <c r="C898" s="9">
        <v>46174</v>
      </c>
      <c r="D898">
        <v>48</v>
      </c>
      <c r="E898" s="16" t="s">
        <v>137</v>
      </c>
      <c r="F898" s="16" t="s">
        <v>138</v>
      </c>
      <c r="G898" s="22">
        <v>20.25</v>
      </c>
      <c r="H898" s="18">
        <v>234.89</v>
      </c>
      <c r="I898" s="18">
        <v>11.599506173</v>
      </c>
      <c r="J898" s="18">
        <v>12.05</v>
      </c>
      <c r="K898" s="18">
        <v>11.38</v>
      </c>
      <c r="L898" s="22">
        <v>13</v>
      </c>
    </row>
    <row r="899" spans="1:12">
      <c r="A899">
        <v>1</v>
      </c>
      <c r="B899" s="16" t="s">
        <v>37</v>
      </c>
      <c r="C899" s="9">
        <v>46204</v>
      </c>
      <c r="D899">
        <v>48</v>
      </c>
      <c r="E899" s="16" t="s">
        <v>137</v>
      </c>
      <c r="F899" s="16" t="s">
        <v>138</v>
      </c>
      <c r="G899" s="22">
        <v>28.25</v>
      </c>
      <c r="H899" s="18">
        <v>325.1275</v>
      </c>
      <c r="I899" s="18">
        <v>11.508938053</v>
      </c>
      <c r="J899" s="18">
        <v>11.67</v>
      </c>
      <c r="K899" s="18">
        <v>11.12</v>
      </c>
      <c r="L899" s="22">
        <v>14</v>
      </c>
    </row>
    <row r="900" spans="1:12">
      <c r="A900">
        <v>1</v>
      </c>
      <c r="B900" s="16" t="s">
        <v>37</v>
      </c>
      <c r="C900" s="9">
        <v>46235</v>
      </c>
      <c r="D900">
        <v>48</v>
      </c>
      <c r="E900" s="16" t="s">
        <v>137</v>
      </c>
      <c r="F900" s="16" t="s">
        <v>138</v>
      </c>
      <c r="G900" s="22">
        <v>22.75</v>
      </c>
      <c r="H900" s="18">
        <v>261.45</v>
      </c>
      <c r="I900" s="18">
        <v>11.492307692000001</v>
      </c>
      <c r="J900" s="18">
        <v>11.63</v>
      </c>
      <c r="K900" s="18">
        <v>11.36</v>
      </c>
      <c r="L900" s="22">
        <v>13</v>
      </c>
    </row>
    <row r="901" spans="1:12">
      <c r="A901">
        <v>1</v>
      </c>
      <c r="B901" s="16" t="s">
        <v>37</v>
      </c>
      <c r="C901" s="9">
        <v>46266</v>
      </c>
      <c r="D901">
        <v>48</v>
      </c>
      <c r="E901" s="16" t="s">
        <v>137</v>
      </c>
      <c r="F901" s="16" t="s">
        <v>138</v>
      </c>
      <c r="G901" s="22">
        <v>22.5</v>
      </c>
      <c r="H901" s="18">
        <v>257.6825</v>
      </c>
      <c r="I901" s="18">
        <v>11.452555556</v>
      </c>
      <c r="J901" s="18">
        <v>11.75</v>
      </c>
      <c r="K901" s="18">
        <v>11.25</v>
      </c>
      <c r="L901" s="22">
        <v>13</v>
      </c>
    </row>
    <row r="902" spans="1:12">
      <c r="A902">
        <v>1</v>
      </c>
      <c r="B902" s="16" t="s">
        <v>37</v>
      </c>
      <c r="C902" s="9">
        <v>45689</v>
      </c>
      <c r="D902">
        <v>49</v>
      </c>
      <c r="E902" s="16" t="s">
        <v>139</v>
      </c>
      <c r="F902" s="16" t="s">
        <v>138</v>
      </c>
      <c r="G902" s="22">
        <v>15</v>
      </c>
      <c r="H902" s="18">
        <v>99.805000000000007</v>
      </c>
      <c r="I902" s="18">
        <v>6.6536666670000004</v>
      </c>
      <c r="J902" s="18">
        <v>6.81</v>
      </c>
      <c r="K902" s="18">
        <v>6.5</v>
      </c>
      <c r="L902" s="22">
        <v>12</v>
      </c>
    </row>
    <row r="903" spans="1:12">
      <c r="A903">
        <v>1</v>
      </c>
      <c r="B903" s="16" t="s">
        <v>37</v>
      </c>
      <c r="C903" s="9">
        <v>45717</v>
      </c>
      <c r="D903">
        <v>49</v>
      </c>
      <c r="E903" s="16" t="s">
        <v>139</v>
      </c>
      <c r="F903" s="16" t="s">
        <v>138</v>
      </c>
      <c r="G903" s="22">
        <v>17.75</v>
      </c>
      <c r="H903" s="18">
        <v>119.1275</v>
      </c>
      <c r="I903" s="18">
        <v>6.7114084509999996</v>
      </c>
      <c r="J903" s="18">
        <v>6.88</v>
      </c>
      <c r="K903" s="18">
        <v>6.63</v>
      </c>
      <c r="L903" s="22">
        <v>13</v>
      </c>
    </row>
    <row r="904" spans="1:12">
      <c r="A904">
        <v>1</v>
      </c>
      <c r="B904" s="16" t="s">
        <v>37</v>
      </c>
      <c r="C904" s="9">
        <v>45748</v>
      </c>
      <c r="D904">
        <v>49</v>
      </c>
      <c r="E904" s="16" t="s">
        <v>139</v>
      </c>
      <c r="F904" s="16" t="s">
        <v>138</v>
      </c>
      <c r="G904" s="22">
        <v>23.5</v>
      </c>
      <c r="H904" s="18">
        <v>158.28749999999999</v>
      </c>
      <c r="I904" s="18">
        <v>6.7356382979999996</v>
      </c>
      <c r="J904" s="18">
        <v>6.84</v>
      </c>
      <c r="K904" s="18">
        <v>6.62</v>
      </c>
      <c r="L904" s="22">
        <v>13</v>
      </c>
    </row>
    <row r="905" spans="1:12">
      <c r="A905">
        <v>1</v>
      </c>
      <c r="B905" s="16" t="s">
        <v>37</v>
      </c>
      <c r="C905" s="9">
        <v>45778</v>
      </c>
      <c r="D905">
        <v>49</v>
      </c>
      <c r="E905" s="16" t="s">
        <v>139</v>
      </c>
      <c r="F905" s="16" t="s">
        <v>138</v>
      </c>
      <c r="G905" s="22">
        <v>30.75</v>
      </c>
      <c r="H905" s="18">
        <v>207.755</v>
      </c>
      <c r="I905" s="18">
        <v>6.7562601630000003</v>
      </c>
      <c r="J905" s="18">
        <v>6.86</v>
      </c>
      <c r="K905" s="18">
        <v>6.6</v>
      </c>
      <c r="L905" s="22">
        <v>13</v>
      </c>
    </row>
    <row r="906" spans="1:12">
      <c r="A906">
        <v>1</v>
      </c>
      <c r="B906" s="16" t="s">
        <v>37</v>
      </c>
      <c r="C906" s="9">
        <v>45809</v>
      </c>
      <c r="D906">
        <v>49</v>
      </c>
      <c r="E906" s="16" t="s">
        <v>139</v>
      </c>
      <c r="F906" s="16" t="s">
        <v>138</v>
      </c>
      <c r="G906" s="22">
        <v>32</v>
      </c>
      <c r="H906" s="18">
        <v>217.85249999999999</v>
      </c>
      <c r="I906" s="18">
        <v>6.8078906249999998</v>
      </c>
      <c r="J906" s="18">
        <v>7.01</v>
      </c>
      <c r="K906" s="18">
        <v>6.64</v>
      </c>
      <c r="L906" s="22">
        <v>13</v>
      </c>
    </row>
    <row r="907" spans="1:12">
      <c r="A907">
        <v>1</v>
      </c>
      <c r="B907" s="16" t="s">
        <v>37</v>
      </c>
      <c r="C907" s="9">
        <v>45839</v>
      </c>
      <c r="D907">
        <v>49</v>
      </c>
      <c r="E907" s="16" t="s">
        <v>139</v>
      </c>
      <c r="F907" s="16" t="s">
        <v>138</v>
      </c>
      <c r="G907" s="22">
        <v>32</v>
      </c>
      <c r="H907" s="18">
        <v>215.46</v>
      </c>
      <c r="I907" s="18">
        <v>6.7331250000000002</v>
      </c>
      <c r="J907" s="18">
        <v>6.96</v>
      </c>
      <c r="K907" s="18">
        <v>6.63</v>
      </c>
      <c r="L907" s="22">
        <v>13</v>
      </c>
    </row>
    <row r="908" spans="1:12">
      <c r="A908">
        <v>1</v>
      </c>
      <c r="B908" s="16" t="s">
        <v>37</v>
      </c>
      <c r="C908" s="9">
        <v>45870</v>
      </c>
      <c r="D908">
        <v>49</v>
      </c>
      <c r="E908" s="16" t="s">
        <v>139</v>
      </c>
      <c r="F908" s="16" t="s">
        <v>138</v>
      </c>
      <c r="G908" s="22">
        <v>30.25</v>
      </c>
      <c r="H908" s="18">
        <v>202.51249999999999</v>
      </c>
      <c r="I908" s="18">
        <v>6.694628099</v>
      </c>
      <c r="J908" s="18">
        <v>6.83</v>
      </c>
      <c r="K908" s="18">
        <v>6.58</v>
      </c>
      <c r="L908" s="22">
        <v>13</v>
      </c>
    </row>
    <row r="909" spans="1:12">
      <c r="A909">
        <v>1</v>
      </c>
      <c r="B909" s="16" t="s">
        <v>37</v>
      </c>
      <c r="C909" s="9">
        <v>45901</v>
      </c>
      <c r="D909">
        <v>49</v>
      </c>
      <c r="E909" s="16" t="s">
        <v>139</v>
      </c>
      <c r="F909" s="16" t="s">
        <v>138</v>
      </c>
      <c r="G909" s="22">
        <v>32.5</v>
      </c>
      <c r="H909" s="18">
        <v>218.68</v>
      </c>
      <c r="I909" s="18">
        <v>6.7286153850000003</v>
      </c>
      <c r="J909" s="18">
        <v>6.85</v>
      </c>
      <c r="K909" s="18">
        <v>6.59</v>
      </c>
      <c r="L909" s="22">
        <v>13</v>
      </c>
    </row>
    <row r="910" spans="1:12">
      <c r="A910">
        <v>1</v>
      </c>
      <c r="B910" s="16" t="s">
        <v>37</v>
      </c>
      <c r="C910" s="9">
        <v>45931</v>
      </c>
      <c r="D910">
        <v>49</v>
      </c>
      <c r="E910" s="16" t="s">
        <v>139</v>
      </c>
      <c r="F910" s="16" t="s">
        <v>138</v>
      </c>
      <c r="G910" s="22">
        <v>31.5</v>
      </c>
      <c r="H910" s="18">
        <v>211.33750000000001</v>
      </c>
      <c r="I910" s="18">
        <v>6.7091269840000001</v>
      </c>
      <c r="J910" s="18">
        <v>6.87</v>
      </c>
      <c r="K910" s="18">
        <v>6.56</v>
      </c>
      <c r="L910" s="22">
        <v>14</v>
      </c>
    </row>
    <row r="911" spans="1:12">
      <c r="A911">
        <v>1</v>
      </c>
      <c r="B911" s="16" t="s">
        <v>37</v>
      </c>
      <c r="C911" s="9">
        <v>45962</v>
      </c>
      <c r="D911">
        <v>49</v>
      </c>
      <c r="E911" s="16" t="s">
        <v>139</v>
      </c>
      <c r="F911" s="16" t="s">
        <v>138</v>
      </c>
      <c r="G911" s="22">
        <v>21.25</v>
      </c>
      <c r="H911" s="18">
        <v>149.92500000000001</v>
      </c>
      <c r="I911" s="18">
        <v>7.0552941179999999</v>
      </c>
      <c r="J911" s="18">
        <v>7.61</v>
      </c>
      <c r="K911" s="18">
        <v>6.57</v>
      </c>
      <c r="L911" s="22">
        <v>12</v>
      </c>
    </row>
    <row r="912" spans="1:12">
      <c r="A912">
        <v>1</v>
      </c>
      <c r="B912" s="16" t="s">
        <v>37</v>
      </c>
      <c r="C912" s="9">
        <v>45992</v>
      </c>
      <c r="D912">
        <v>49</v>
      </c>
      <c r="E912" s="16" t="s">
        <v>139</v>
      </c>
      <c r="F912" s="16" t="s">
        <v>138</v>
      </c>
      <c r="G912" s="22">
        <v>19.5</v>
      </c>
      <c r="H912" s="18">
        <v>147.47</v>
      </c>
      <c r="I912" s="18">
        <v>7.5625641029999997</v>
      </c>
      <c r="J912" s="18">
        <v>7.68</v>
      </c>
      <c r="K912" s="18">
        <v>7.45</v>
      </c>
      <c r="L912" s="22">
        <v>13</v>
      </c>
    </row>
    <row r="913" spans="1:12">
      <c r="A913">
        <v>1</v>
      </c>
      <c r="B913" s="16" t="s">
        <v>37</v>
      </c>
      <c r="C913" s="9">
        <v>46023</v>
      </c>
      <c r="D913">
        <v>49</v>
      </c>
      <c r="E913" s="16" t="s">
        <v>139</v>
      </c>
      <c r="F913" s="16" t="s">
        <v>138</v>
      </c>
      <c r="G913" s="22">
        <v>10.5</v>
      </c>
      <c r="H913" s="18">
        <v>71.097499999999997</v>
      </c>
      <c r="I913" s="18">
        <v>6.7711904760000001</v>
      </c>
      <c r="J913" s="18">
        <v>6.97</v>
      </c>
      <c r="K913" s="18">
        <v>6.56</v>
      </c>
      <c r="L913" s="22">
        <v>13</v>
      </c>
    </row>
    <row r="914" spans="1:12">
      <c r="A914">
        <v>1</v>
      </c>
      <c r="B914" s="16" t="s">
        <v>37</v>
      </c>
      <c r="C914" s="9">
        <v>46054</v>
      </c>
      <c r="D914">
        <v>49</v>
      </c>
      <c r="E914" s="16" t="s">
        <v>139</v>
      </c>
      <c r="F914" s="16" t="s">
        <v>138</v>
      </c>
      <c r="G914" s="22">
        <v>15.25</v>
      </c>
      <c r="H914" s="18">
        <v>103.8075</v>
      </c>
      <c r="I914" s="18">
        <v>6.8070491799999999</v>
      </c>
      <c r="J914" s="18">
        <v>6.9</v>
      </c>
      <c r="K914" s="18">
        <v>6.71</v>
      </c>
      <c r="L914" s="22">
        <v>12</v>
      </c>
    </row>
    <row r="915" spans="1:12">
      <c r="A915">
        <v>1</v>
      </c>
      <c r="B915" s="16" t="s">
        <v>37</v>
      </c>
      <c r="C915" s="9">
        <v>46082</v>
      </c>
      <c r="D915">
        <v>49</v>
      </c>
      <c r="E915" s="16" t="s">
        <v>139</v>
      </c>
      <c r="F915" s="16" t="s">
        <v>138</v>
      </c>
      <c r="G915" s="22">
        <v>17.5</v>
      </c>
      <c r="H915" s="18">
        <v>120.0575</v>
      </c>
      <c r="I915" s="18">
        <v>6.8604285709999999</v>
      </c>
      <c r="J915" s="18">
        <v>6.96</v>
      </c>
      <c r="K915" s="18">
        <v>6.71</v>
      </c>
      <c r="L915" s="22">
        <v>13</v>
      </c>
    </row>
    <row r="916" spans="1:12">
      <c r="A916">
        <v>1</v>
      </c>
      <c r="B916" s="16" t="s">
        <v>37</v>
      </c>
      <c r="C916" s="9">
        <v>46113</v>
      </c>
      <c r="D916">
        <v>49</v>
      </c>
      <c r="E916" s="16" t="s">
        <v>139</v>
      </c>
      <c r="F916" s="16" t="s">
        <v>138</v>
      </c>
      <c r="G916" s="22">
        <v>26.75</v>
      </c>
      <c r="H916" s="18">
        <v>185.13</v>
      </c>
      <c r="I916" s="18">
        <v>6.9207476640000003</v>
      </c>
      <c r="J916" s="18">
        <v>7.05</v>
      </c>
      <c r="K916" s="18">
        <v>6.77</v>
      </c>
      <c r="L916" s="22">
        <v>13</v>
      </c>
    </row>
    <row r="917" spans="1:12">
      <c r="A917">
        <v>1</v>
      </c>
      <c r="B917" s="16" t="s">
        <v>37</v>
      </c>
      <c r="C917" s="9">
        <v>46143</v>
      </c>
      <c r="D917">
        <v>49</v>
      </c>
      <c r="E917" s="16" t="s">
        <v>139</v>
      </c>
      <c r="F917" s="16" t="s">
        <v>138</v>
      </c>
      <c r="G917" s="22">
        <v>28.25</v>
      </c>
      <c r="H917" s="18">
        <v>195.535</v>
      </c>
      <c r="I917" s="18">
        <v>6.9215929200000001</v>
      </c>
      <c r="J917" s="18">
        <v>7.15</v>
      </c>
      <c r="K917" s="18">
        <v>6.74</v>
      </c>
      <c r="L917" s="22">
        <v>13</v>
      </c>
    </row>
    <row r="918" spans="1:12">
      <c r="A918">
        <v>1</v>
      </c>
      <c r="B918" s="16" t="s">
        <v>37</v>
      </c>
      <c r="C918" s="9">
        <v>46174</v>
      </c>
      <c r="D918">
        <v>49</v>
      </c>
      <c r="E918" s="16" t="s">
        <v>139</v>
      </c>
      <c r="F918" s="16" t="s">
        <v>138</v>
      </c>
      <c r="G918" s="22">
        <v>28.75</v>
      </c>
      <c r="H918" s="18">
        <v>198.7</v>
      </c>
      <c r="I918" s="18">
        <v>6.9113043479999998</v>
      </c>
      <c r="J918" s="18">
        <v>7.07</v>
      </c>
      <c r="K918" s="18">
        <v>6.79</v>
      </c>
      <c r="L918" s="22">
        <v>13</v>
      </c>
    </row>
    <row r="919" spans="1:12">
      <c r="A919">
        <v>1</v>
      </c>
      <c r="B919" s="16" t="s">
        <v>37</v>
      </c>
      <c r="C919" s="9">
        <v>46204</v>
      </c>
      <c r="D919">
        <v>49</v>
      </c>
      <c r="E919" s="16" t="s">
        <v>139</v>
      </c>
      <c r="F919" s="16" t="s">
        <v>138</v>
      </c>
      <c r="G919" s="22">
        <v>40.25</v>
      </c>
      <c r="H919" s="18">
        <v>284.27749999999997</v>
      </c>
      <c r="I919" s="18">
        <v>7.0627950310000003</v>
      </c>
      <c r="J919" s="18">
        <v>7.19</v>
      </c>
      <c r="K919" s="18">
        <v>6.92</v>
      </c>
      <c r="L919" s="22">
        <v>14</v>
      </c>
    </row>
    <row r="920" spans="1:12">
      <c r="A920">
        <v>1</v>
      </c>
      <c r="B920" s="16" t="s">
        <v>37</v>
      </c>
      <c r="C920" s="9">
        <v>46235</v>
      </c>
      <c r="D920">
        <v>49</v>
      </c>
      <c r="E920" s="16" t="s">
        <v>139</v>
      </c>
      <c r="F920" s="16" t="s">
        <v>138</v>
      </c>
      <c r="G920" s="22">
        <v>33</v>
      </c>
      <c r="H920" s="18">
        <v>234.20249999999999</v>
      </c>
      <c r="I920" s="18">
        <v>7.0970454549999999</v>
      </c>
      <c r="J920" s="18">
        <v>7.58</v>
      </c>
      <c r="K920" s="18">
        <v>6.93</v>
      </c>
      <c r="L920" s="22">
        <v>13</v>
      </c>
    </row>
    <row r="921" spans="1:12">
      <c r="A921">
        <v>1</v>
      </c>
      <c r="B921" s="16" t="s">
        <v>37</v>
      </c>
      <c r="C921" s="9">
        <v>46266</v>
      </c>
      <c r="D921">
        <v>49</v>
      </c>
      <c r="E921" s="16" t="s">
        <v>139</v>
      </c>
      <c r="F921" s="16" t="s">
        <v>138</v>
      </c>
      <c r="G921" s="22">
        <v>33.25</v>
      </c>
      <c r="H921" s="18">
        <v>236.54249999999999</v>
      </c>
      <c r="I921" s="18">
        <v>7.1140601500000002</v>
      </c>
      <c r="J921" s="18">
        <v>7.23</v>
      </c>
      <c r="K921" s="18">
        <v>6.99</v>
      </c>
      <c r="L921" s="22">
        <v>13</v>
      </c>
    </row>
    <row r="922" spans="1:12">
      <c r="A922">
        <v>1</v>
      </c>
      <c r="B922" s="16" t="s">
        <v>37</v>
      </c>
      <c r="C922" s="9">
        <v>45689</v>
      </c>
      <c r="D922">
        <v>50</v>
      </c>
      <c r="E922" s="16" t="s">
        <v>140</v>
      </c>
      <c r="F922" s="16" t="s">
        <v>138</v>
      </c>
      <c r="G922" s="22">
        <v>15.25</v>
      </c>
      <c r="H922" s="18">
        <v>54.744999999999997</v>
      </c>
      <c r="I922" s="18">
        <v>3.5898360660000002</v>
      </c>
      <c r="J922" s="18">
        <v>3.7</v>
      </c>
      <c r="K922" s="18">
        <v>3.51</v>
      </c>
      <c r="L922" s="22">
        <v>12</v>
      </c>
    </row>
    <row r="923" spans="1:12">
      <c r="A923">
        <v>1</v>
      </c>
      <c r="B923" s="16" t="s">
        <v>37</v>
      </c>
      <c r="C923" s="9">
        <v>45717</v>
      </c>
      <c r="D923">
        <v>50</v>
      </c>
      <c r="E923" s="16" t="s">
        <v>140</v>
      </c>
      <c r="F923" s="16" t="s">
        <v>138</v>
      </c>
      <c r="G923" s="22">
        <v>18.25</v>
      </c>
      <c r="H923" s="18">
        <v>65.402500000000003</v>
      </c>
      <c r="I923" s="18">
        <v>3.5836986300000002</v>
      </c>
      <c r="J923" s="18">
        <v>3.67</v>
      </c>
      <c r="K923" s="18">
        <v>3.5</v>
      </c>
      <c r="L923" s="22">
        <v>13</v>
      </c>
    </row>
    <row r="924" spans="1:12">
      <c r="A924">
        <v>1</v>
      </c>
      <c r="B924" s="16" t="s">
        <v>37</v>
      </c>
      <c r="C924" s="9">
        <v>45748</v>
      </c>
      <c r="D924">
        <v>50</v>
      </c>
      <c r="E924" s="16" t="s">
        <v>140</v>
      </c>
      <c r="F924" s="16" t="s">
        <v>138</v>
      </c>
      <c r="G924" s="22">
        <v>24.25</v>
      </c>
      <c r="H924" s="18">
        <v>87.52</v>
      </c>
      <c r="I924" s="18">
        <v>3.6090721650000002</v>
      </c>
      <c r="J924" s="18">
        <v>3.67</v>
      </c>
      <c r="K924" s="18">
        <v>3.54</v>
      </c>
      <c r="L924" s="22">
        <v>13</v>
      </c>
    </row>
    <row r="925" spans="1:12">
      <c r="A925">
        <v>1</v>
      </c>
      <c r="B925" s="16" t="s">
        <v>37</v>
      </c>
      <c r="C925" s="9">
        <v>45778</v>
      </c>
      <c r="D925">
        <v>50</v>
      </c>
      <c r="E925" s="16" t="s">
        <v>140</v>
      </c>
      <c r="F925" s="16" t="s">
        <v>138</v>
      </c>
      <c r="G925" s="22">
        <v>31</v>
      </c>
      <c r="H925" s="18">
        <v>112.80249999999999</v>
      </c>
      <c r="I925" s="18">
        <v>3.6387903229999998</v>
      </c>
      <c r="J925" s="18">
        <v>3.73</v>
      </c>
      <c r="K925" s="18">
        <v>3.54</v>
      </c>
      <c r="L925" s="22">
        <v>13</v>
      </c>
    </row>
    <row r="926" spans="1:12">
      <c r="A926">
        <v>1</v>
      </c>
      <c r="B926" s="16" t="s">
        <v>37</v>
      </c>
      <c r="C926" s="9">
        <v>45809</v>
      </c>
      <c r="D926">
        <v>50</v>
      </c>
      <c r="E926" s="16" t="s">
        <v>140</v>
      </c>
      <c r="F926" s="16" t="s">
        <v>138</v>
      </c>
      <c r="G926" s="22">
        <v>32</v>
      </c>
      <c r="H926" s="18">
        <v>115.76</v>
      </c>
      <c r="I926" s="18">
        <v>3.6175000000000002</v>
      </c>
      <c r="J926" s="18">
        <v>3.73</v>
      </c>
      <c r="K926" s="18">
        <v>3.56</v>
      </c>
      <c r="L926" s="22">
        <v>13</v>
      </c>
    </row>
    <row r="927" spans="1:12">
      <c r="A927">
        <v>1</v>
      </c>
      <c r="B927" s="16" t="s">
        <v>37</v>
      </c>
      <c r="C927" s="9">
        <v>45839</v>
      </c>
      <c r="D927">
        <v>50</v>
      </c>
      <c r="E927" s="16" t="s">
        <v>140</v>
      </c>
      <c r="F927" s="16" t="s">
        <v>138</v>
      </c>
      <c r="G927" s="22">
        <v>32</v>
      </c>
      <c r="H927" s="18">
        <v>117.5125</v>
      </c>
      <c r="I927" s="18">
        <v>3.6722656250000001</v>
      </c>
      <c r="J927" s="18">
        <v>3.84</v>
      </c>
      <c r="K927" s="18">
        <v>3.62</v>
      </c>
      <c r="L927" s="22">
        <v>13</v>
      </c>
    </row>
    <row r="928" spans="1:12">
      <c r="A928">
        <v>1</v>
      </c>
      <c r="B928" s="16" t="s">
        <v>37</v>
      </c>
      <c r="C928" s="9">
        <v>45870</v>
      </c>
      <c r="D928">
        <v>50</v>
      </c>
      <c r="E928" s="16" t="s">
        <v>140</v>
      </c>
      <c r="F928" s="16" t="s">
        <v>138</v>
      </c>
      <c r="G928" s="22">
        <v>29.75</v>
      </c>
      <c r="H928" s="18">
        <v>110.16</v>
      </c>
      <c r="I928" s="18">
        <v>3.7028571430000001</v>
      </c>
      <c r="J928" s="18">
        <v>3.87</v>
      </c>
      <c r="K928" s="18">
        <v>3.63</v>
      </c>
      <c r="L928" s="22">
        <v>13</v>
      </c>
    </row>
    <row r="929" spans="1:12">
      <c r="A929">
        <v>1</v>
      </c>
      <c r="B929" s="16" t="s">
        <v>37</v>
      </c>
      <c r="C929" s="9">
        <v>45901</v>
      </c>
      <c r="D929">
        <v>50</v>
      </c>
      <c r="E929" s="16" t="s">
        <v>140</v>
      </c>
      <c r="F929" s="16" t="s">
        <v>138</v>
      </c>
      <c r="G929" s="22">
        <v>33.25</v>
      </c>
      <c r="H929" s="18">
        <v>122.6675</v>
      </c>
      <c r="I929" s="18">
        <v>3.6892481199999998</v>
      </c>
      <c r="J929" s="18">
        <v>3.75</v>
      </c>
      <c r="K929" s="18">
        <v>3.61</v>
      </c>
      <c r="L929" s="22">
        <v>13</v>
      </c>
    </row>
    <row r="930" spans="1:12">
      <c r="A930">
        <v>1</v>
      </c>
      <c r="B930" s="16" t="s">
        <v>37</v>
      </c>
      <c r="C930" s="9">
        <v>45931</v>
      </c>
      <c r="D930">
        <v>50</v>
      </c>
      <c r="E930" s="16" t="s">
        <v>140</v>
      </c>
      <c r="F930" s="16" t="s">
        <v>138</v>
      </c>
      <c r="G930" s="22">
        <v>31.25</v>
      </c>
      <c r="H930" s="18">
        <v>115.9575</v>
      </c>
      <c r="I930" s="18">
        <v>3.7106400000000002</v>
      </c>
      <c r="J930" s="18">
        <v>3.77</v>
      </c>
      <c r="K930" s="18">
        <v>3.64</v>
      </c>
      <c r="L930" s="22">
        <v>14</v>
      </c>
    </row>
    <row r="931" spans="1:12">
      <c r="A931">
        <v>1</v>
      </c>
      <c r="B931" s="16" t="s">
        <v>37</v>
      </c>
      <c r="C931" s="9">
        <v>45962</v>
      </c>
      <c r="D931">
        <v>50</v>
      </c>
      <c r="E931" s="16" t="s">
        <v>140</v>
      </c>
      <c r="F931" s="16" t="s">
        <v>138</v>
      </c>
      <c r="G931" s="22">
        <v>22.5</v>
      </c>
      <c r="H931" s="18">
        <v>88.27</v>
      </c>
      <c r="I931" s="18">
        <v>3.9231111109999999</v>
      </c>
      <c r="J931" s="18">
        <v>4.22</v>
      </c>
      <c r="K931" s="18">
        <v>3.69</v>
      </c>
      <c r="L931" s="22">
        <v>12</v>
      </c>
    </row>
    <row r="932" spans="1:12">
      <c r="A932">
        <v>1</v>
      </c>
      <c r="B932" s="16" t="s">
        <v>37</v>
      </c>
      <c r="C932" s="9">
        <v>45992</v>
      </c>
      <c r="D932">
        <v>50</v>
      </c>
      <c r="E932" s="16" t="s">
        <v>140</v>
      </c>
      <c r="F932" s="16" t="s">
        <v>138</v>
      </c>
      <c r="G932" s="22">
        <v>19.25</v>
      </c>
      <c r="H932" s="18">
        <v>81.262500000000003</v>
      </c>
      <c r="I932" s="18">
        <v>4.2214285709999997</v>
      </c>
      <c r="J932" s="18">
        <v>4.54</v>
      </c>
      <c r="K932" s="18">
        <v>4.08</v>
      </c>
      <c r="L932" s="22">
        <v>13</v>
      </c>
    </row>
    <row r="933" spans="1:12">
      <c r="A933">
        <v>1</v>
      </c>
      <c r="B933" s="16" t="s">
        <v>37</v>
      </c>
      <c r="C933" s="9">
        <v>46023</v>
      </c>
      <c r="D933">
        <v>50</v>
      </c>
      <c r="E933" s="16" t="s">
        <v>140</v>
      </c>
      <c r="F933" s="16" t="s">
        <v>138</v>
      </c>
      <c r="G933" s="22">
        <v>10.5</v>
      </c>
      <c r="H933" s="18">
        <v>39.227499999999999</v>
      </c>
      <c r="I933" s="18">
        <v>3.7359523810000002</v>
      </c>
      <c r="J933" s="18">
        <v>3.8</v>
      </c>
      <c r="K933" s="18">
        <v>3.67</v>
      </c>
      <c r="L933" s="22">
        <v>13</v>
      </c>
    </row>
    <row r="934" spans="1:12">
      <c r="A934">
        <v>1</v>
      </c>
      <c r="B934" s="16" t="s">
        <v>37</v>
      </c>
      <c r="C934" s="9">
        <v>46054</v>
      </c>
      <c r="D934">
        <v>50</v>
      </c>
      <c r="E934" s="16" t="s">
        <v>140</v>
      </c>
      <c r="F934" s="16" t="s">
        <v>138</v>
      </c>
      <c r="G934" s="22">
        <v>15.5</v>
      </c>
      <c r="H934" s="18">
        <v>57.862499999999997</v>
      </c>
      <c r="I934" s="18">
        <v>3.7330645160000002</v>
      </c>
      <c r="J934" s="18">
        <v>3.8</v>
      </c>
      <c r="K934" s="18">
        <v>3.65</v>
      </c>
      <c r="L934" s="22">
        <v>12</v>
      </c>
    </row>
    <row r="935" spans="1:12">
      <c r="A935">
        <v>1</v>
      </c>
      <c r="B935" s="16" t="s">
        <v>37</v>
      </c>
      <c r="C935" s="9">
        <v>46082</v>
      </c>
      <c r="D935">
        <v>50</v>
      </c>
      <c r="E935" s="16" t="s">
        <v>140</v>
      </c>
      <c r="F935" s="16" t="s">
        <v>138</v>
      </c>
      <c r="G935" s="22">
        <v>17.75</v>
      </c>
      <c r="H935" s="18">
        <v>66.525000000000006</v>
      </c>
      <c r="I935" s="18">
        <v>3.7478873240000001</v>
      </c>
      <c r="J935" s="18">
        <v>3.81</v>
      </c>
      <c r="K935" s="18">
        <v>3.66</v>
      </c>
      <c r="L935" s="22">
        <v>13</v>
      </c>
    </row>
    <row r="936" spans="1:12">
      <c r="A936">
        <v>1</v>
      </c>
      <c r="B936" s="16" t="s">
        <v>37</v>
      </c>
      <c r="C936" s="9">
        <v>46113</v>
      </c>
      <c r="D936">
        <v>50</v>
      </c>
      <c r="E936" s="16" t="s">
        <v>140</v>
      </c>
      <c r="F936" s="16" t="s">
        <v>138</v>
      </c>
      <c r="G936" s="22">
        <v>27.25</v>
      </c>
      <c r="H936" s="18">
        <v>103.96250000000001</v>
      </c>
      <c r="I936" s="18">
        <v>3.8151376149999998</v>
      </c>
      <c r="J936" s="18">
        <v>3.87</v>
      </c>
      <c r="K936" s="18">
        <v>3.63</v>
      </c>
      <c r="L936" s="22">
        <v>13</v>
      </c>
    </row>
    <row r="937" spans="1:12">
      <c r="A937">
        <v>1</v>
      </c>
      <c r="B937" s="16" t="s">
        <v>37</v>
      </c>
      <c r="C937" s="9">
        <v>46143</v>
      </c>
      <c r="D937">
        <v>50</v>
      </c>
      <c r="E937" s="16" t="s">
        <v>140</v>
      </c>
      <c r="F937" s="16" t="s">
        <v>138</v>
      </c>
      <c r="G937" s="22">
        <v>29</v>
      </c>
      <c r="H937" s="18">
        <v>112.38</v>
      </c>
      <c r="I937" s="18">
        <v>3.8751724140000001</v>
      </c>
      <c r="J937" s="18">
        <v>3.94</v>
      </c>
      <c r="K937" s="18">
        <v>3.8</v>
      </c>
      <c r="L937" s="22">
        <v>13</v>
      </c>
    </row>
    <row r="938" spans="1:12">
      <c r="A938">
        <v>1</v>
      </c>
      <c r="B938" s="16" t="s">
        <v>37</v>
      </c>
      <c r="C938" s="9">
        <v>46174</v>
      </c>
      <c r="D938">
        <v>50</v>
      </c>
      <c r="E938" s="16" t="s">
        <v>140</v>
      </c>
      <c r="F938" s="16" t="s">
        <v>138</v>
      </c>
      <c r="G938" s="22">
        <v>28.5</v>
      </c>
      <c r="H938" s="18">
        <v>110.81</v>
      </c>
      <c r="I938" s="18">
        <v>3.8880701750000002</v>
      </c>
      <c r="J938" s="18">
        <v>4.0599999999999996</v>
      </c>
      <c r="K938" s="18">
        <v>3.84</v>
      </c>
      <c r="L938" s="22">
        <v>13</v>
      </c>
    </row>
    <row r="939" spans="1:12">
      <c r="A939">
        <v>1</v>
      </c>
      <c r="B939" s="16" t="s">
        <v>37</v>
      </c>
      <c r="C939" s="9">
        <v>46204</v>
      </c>
      <c r="D939">
        <v>50</v>
      </c>
      <c r="E939" s="16" t="s">
        <v>140</v>
      </c>
      <c r="F939" s="16" t="s">
        <v>138</v>
      </c>
      <c r="G939" s="22">
        <v>41.25</v>
      </c>
      <c r="H939" s="18">
        <v>159.66</v>
      </c>
      <c r="I939" s="18">
        <v>3.8705454549999998</v>
      </c>
      <c r="J939" s="18">
        <v>3.94</v>
      </c>
      <c r="K939" s="18">
        <v>3.75</v>
      </c>
      <c r="L939" s="22">
        <v>14</v>
      </c>
    </row>
    <row r="940" spans="1:12">
      <c r="A940">
        <v>1</v>
      </c>
      <c r="B940" s="16" t="s">
        <v>37</v>
      </c>
      <c r="C940" s="9">
        <v>46235</v>
      </c>
      <c r="D940">
        <v>50</v>
      </c>
      <c r="E940" s="16" t="s">
        <v>140</v>
      </c>
      <c r="F940" s="16" t="s">
        <v>138</v>
      </c>
      <c r="G940" s="22">
        <v>33.75</v>
      </c>
      <c r="H940" s="18">
        <v>132.44999999999999</v>
      </c>
      <c r="I940" s="18">
        <v>3.9244444440000001</v>
      </c>
      <c r="J940" s="18">
        <v>4.0999999999999996</v>
      </c>
      <c r="K940" s="18">
        <v>3.85</v>
      </c>
      <c r="L940" s="22">
        <v>13</v>
      </c>
    </row>
    <row r="941" spans="1:12">
      <c r="A941">
        <v>1</v>
      </c>
      <c r="B941" s="16" t="s">
        <v>37</v>
      </c>
      <c r="C941" s="9">
        <v>46266</v>
      </c>
      <c r="D941">
        <v>50</v>
      </c>
      <c r="E941" s="16" t="s">
        <v>140</v>
      </c>
      <c r="F941" s="16" t="s">
        <v>138</v>
      </c>
      <c r="G941" s="22">
        <v>33.75</v>
      </c>
      <c r="H941" s="18">
        <v>131.0975</v>
      </c>
      <c r="I941" s="18">
        <v>3.8843703700000001</v>
      </c>
      <c r="J941" s="18">
        <v>3.94</v>
      </c>
      <c r="K941" s="18">
        <v>3.79</v>
      </c>
      <c r="L941" s="22">
        <v>13</v>
      </c>
    </row>
    <row r="942" spans="1:12">
      <c r="A942">
        <v>1</v>
      </c>
      <c r="B942" s="16" t="s">
        <v>37</v>
      </c>
      <c r="C942" s="9">
        <v>45689</v>
      </c>
      <c r="D942">
        <v>51</v>
      </c>
      <c r="E942" s="16" t="s">
        <v>141</v>
      </c>
      <c r="F942" s="16" t="s">
        <v>81</v>
      </c>
      <c r="G942" s="22">
        <v>3.75</v>
      </c>
      <c r="H942" s="18">
        <v>12.225</v>
      </c>
      <c r="I942" s="18">
        <v>3.26</v>
      </c>
      <c r="J942" s="18">
        <v>3.26</v>
      </c>
      <c r="K942" s="18">
        <v>3.26</v>
      </c>
      <c r="L942" s="22">
        <v>1</v>
      </c>
    </row>
    <row r="943" spans="1:12">
      <c r="A943">
        <v>1</v>
      </c>
      <c r="B943" s="16" t="s">
        <v>37</v>
      </c>
      <c r="C943" s="9">
        <v>45717</v>
      </c>
      <c r="D943">
        <v>51</v>
      </c>
      <c r="E943" s="16" t="s">
        <v>141</v>
      </c>
      <c r="F943" s="16" t="s">
        <v>81</v>
      </c>
      <c r="G943" s="22">
        <v>7.5</v>
      </c>
      <c r="H943" s="18">
        <v>24.262499999999999</v>
      </c>
      <c r="I943" s="18">
        <v>3.2349999999999999</v>
      </c>
      <c r="J943" s="18">
        <v>3.25</v>
      </c>
      <c r="K943" s="18">
        <v>3.22</v>
      </c>
      <c r="L943" s="22">
        <v>2</v>
      </c>
    </row>
    <row r="944" spans="1:12">
      <c r="A944">
        <v>1</v>
      </c>
      <c r="B944" s="16" t="s">
        <v>37</v>
      </c>
      <c r="C944" s="9">
        <v>45748</v>
      </c>
      <c r="D944">
        <v>51</v>
      </c>
      <c r="E944" s="16" t="s">
        <v>141</v>
      </c>
      <c r="F944" s="16" t="s">
        <v>81</v>
      </c>
      <c r="G944" s="22">
        <v>7.5</v>
      </c>
      <c r="H944" s="18">
        <v>23.774999999999999</v>
      </c>
      <c r="I944" s="18">
        <v>3.17</v>
      </c>
      <c r="J944" s="18">
        <v>3.19</v>
      </c>
      <c r="K944" s="18">
        <v>3.15</v>
      </c>
      <c r="L944" s="22">
        <v>2</v>
      </c>
    </row>
    <row r="945" spans="1:12">
      <c r="A945">
        <v>1</v>
      </c>
      <c r="B945" s="16" t="s">
        <v>37</v>
      </c>
      <c r="C945" s="9">
        <v>45778</v>
      </c>
      <c r="D945">
        <v>51</v>
      </c>
      <c r="E945" s="16" t="s">
        <v>141</v>
      </c>
      <c r="F945" s="16" t="s">
        <v>81</v>
      </c>
      <c r="G945" s="22">
        <v>7.5</v>
      </c>
      <c r="H945" s="18">
        <v>24.6</v>
      </c>
      <c r="I945" s="18">
        <v>3.28</v>
      </c>
      <c r="J945" s="18">
        <v>3.28</v>
      </c>
      <c r="K945" s="18">
        <v>3.28</v>
      </c>
      <c r="L945" s="22">
        <v>1</v>
      </c>
    </row>
    <row r="946" spans="1:12">
      <c r="A946">
        <v>1</v>
      </c>
      <c r="B946" s="16" t="s">
        <v>37</v>
      </c>
      <c r="C946" s="9">
        <v>45809</v>
      </c>
      <c r="D946">
        <v>51</v>
      </c>
      <c r="E946" s="16" t="s">
        <v>141</v>
      </c>
      <c r="F946" s="16" t="s">
        <v>81</v>
      </c>
      <c r="G946" s="22">
        <v>7.5</v>
      </c>
      <c r="H946" s="18">
        <v>24.6</v>
      </c>
      <c r="I946" s="18">
        <v>3.28</v>
      </c>
      <c r="J946" s="18">
        <v>3.29</v>
      </c>
      <c r="K946" s="18">
        <v>3.27</v>
      </c>
      <c r="L946" s="22">
        <v>2</v>
      </c>
    </row>
    <row r="947" spans="1:12">
      <c r="A947">
        <v>1</v>
      </c>
      <c r="B947" s="16" t="s">
        <v>37</v>
      </c>
      <c r="C947" s="9">
        <v>45839</v>
      </c>
      <c r="D947">
        <v>51</v>
      </c>
      <c r="E947" s="16" t="s">
        <v>141</v>
      </c>
      <c r="F947" s="16" t="s">
        <v>81</v>
      </c>
      <c r="G947" s="22">
        <v>3.75</v>
      </c>
      <c r="H947" s="18">
        <v>11.887499999999999</v>
      </c>
      <c r="I947" s="18">
        <v>3.17</v>
      </c>
      <c r="J947" s="18">
        <v>3.17</v>
      </c>
      <c r="K947" s="18">
        <v>3.17</v>
      </c>
      <c r="L947" s="22">
        <v>1</v>
      </c>
    </row>
    <row r="948" spans="1:12">
      <c r="A948">
        <v>1</v>
      </c>
      <c r="B948" s="16" t="s">
        <v>37</v>
      </c>
      <c r="C948" s="9">
        <v>45870</v>
      </c>
      <c r="D948">
        <v>51</v>
      </c>
      <c r="E948" s="16" t="s">
        <v>141</v>
      </c>
      <c r="F948" s="16" t="s">
        <v>81</v>
      </c>
      <c r="G948" s="22">
        <v>3.75</v>
      </c>
      <c r="H948" s="18">
        <v>12.0375</v>
      </c>
      <c r="I948" s="18">
        <v>3.21</v>
      </c>
      <c r="J948" s="18">
        <v>3.21</v>
      </c>
      <c r="K948" s="18">
        <v>3.21</v>
      </c>
      <c r="L948" s="22">
        <v>1</v>
      </c>
    </row>
    <row r="949" spans="1:12">
      <c r="A949">
        <v>1</v>
      </c>
      <c r="B949" s="16" t="s">
        <v>37</v>
      </c>
      <c r="C949" s="9">
        <v>45901</v>
      </c>
      <c r="D949">
        <v>51</v>
      </c>
      <c r="E949" s="16" t="s">
        <v>141</v>
      </c>
      <c r="F949" s="16" t="s">
        <v>81</v>
      </c>
      <c r="G949" s="22">
        <v>11.25</v>
      </c>
      <c r="H949" s="18">
        <v>36.112499999999997</v>
      </c>
      <c r="I949" s="18">
        <v>3.21</v>
      </c>
      <c r="J949" s="18">
        <v>3.23</v>
      </c>
      <c r="K949" s="18">
        <v>3.17</v>
      </c>
      <c r="L949" s="22">
        <v>3</v>
      </c>
    </row>
    <row r="950" spans="1:12">
      <c r="A950">
        <v>1</v>
      </c>
      <c r="B950" s="16" t="s">
        <v>37</v>
      </c>
      <c r="C950" s="9">
        <v>45931</v>
      </c>
      <c r="D950">
        <v>51</v>
      </c>
      <c r="E950" s="16" t="s">
        <v>141</v>
      </c>
      <c r="F950" s="16" t="s">
        <v>81</v>
      </c>
      <c r="G950" s="22">
        <v>7.5</v>
      </c>
      <c r="H950" s="18">
        <v>24.037500000000001</v>
      </c>
      <c r="I950" s="18">
        <v>3.2050000000000001</v>
      </c>
      <c r="J950" s="18">
        <v>3.21</v>
      </c>
      <c r="K950" s="18">
        <v>3.2</v>
      </c>
      <c r="L950" s="22">
        <v>2</v>
      </c>
    </row>
    <row r="951" spans="1:12">
      <c r="A951">
        <v>1</v>
      </c>
      <c r="B951" s="16" t="s">
        <v>37</v>
      </c>
      <c r="C951" s="9">
        <v>45962</v>
      </c>
      <c r="D951">
        <v>51</v>
      </c>
      <c r="E951" s="16" t="s">
        <v>141</v>
      </c>
      <c r="F951" s="16" t="s">
        <v>81</v>
      </c>
      <c r="G951" s="22">
        <v>7.5</v>
      </c>
      <c r="H951" s="18">
        <v>24.524999999999999</v>
      </c>
      <c r="I951" s="18">
        <v>3.27</v>
      </c>
      <c r="J951" s="18">
        <v>3.28</v>
      </c>
      <c r="K951" s="18">
        <v>3.26</v>
      </c>
      <c r="L951" s="22">
        <v>2</v>
      </c>
    </row>
    <row r="952" spans="1:12">
      <c r="A952">
        <v>1</v>
      </c>
      <c r="B952" s="16" t="s">
        <v>37</v>
      </c>
      <c r="C952" s="9">
        <v>45992</v>
      </c>
      <c r="D952">
        <v>51</v>
      </c>
      <c r="E952" s="16" t="s">
        <v>141</v>
      </c>
      <c r="F952" s="16" t="s">
        <v>81</v>
      </c>
      <c r="G952" s="22">
        <v>7.5</v>
      </c>
      <c r="H952" s="18">
        <v>24.337499999999999</v>
      </c>
      <c r="I952" s="18">
        <v>3.2450000000000001</v>
      </c>
      <c r="J952" s="18">
        <v>3.27</v>
      </c>
      <c r="K952" s="18">
        <v>3.22</v>
      </c>
      <c r="L952" s="22">
        <v>2</v>
      </c>
    </row>
    <row r="953" spans="1:12">
      <c r="A953">
        <v>1</v>
      </c>
      <c r="B953" s="16" t="s">
        <v>37</v>
      </c>
      <c r="C953" s="9">
        <v>46023</v>
      </c>
      <c r="D953">
        <v>51</v>
      </c>
      <c r="E953" s="16" t="s">
        <v>141</v>
      </c>
      <c r="F953" s="16" t="s">
        <v>81</v>
      </c>
      <c r="G953" s="22">
        <v>7.5</v>
      </c>
      <c r="H953" s="18">
        <v>24.487500000000001</v>
      </c>
      <c r="I953" s="18">
        <v>3.2650000000000001</v>
      </c>
      <c r="J953" s="18">
        <v>3.3</v>
      </c>
      <c r="K953" s="18">
        <v>3.23</v>
      </c>
      <c r="L953" s="22">
        <v>2</v>
      </c>
    </row>
    <row r="954" spans="1:12">
      <c r="A954">
        <v>1</v>
      </c>
      <c r="B954" s="16" t="s">
        <v>37</v>
      </c>
      <c r="C954" s="9">
        <v>46054</v>
      </c>
      <c r="D954">
        <v>51</v>
      </c>
      <c r="E954" s="16" t="s">
        <v>141</v>
      </c>
      <c r="F954" s="16" t="s">
        <v>81</v>
      </c>
      <c r="G954" s="22">
        <v>3.75</v>
      </c>
      <c r="H954" s="18">
        <v>12.375</v>
      </c>
      <c r="I954" s="18">
        <v>3.3</v>
      </c>
      <c r="J954" s="18">
        <v>3.3</v>
      </c>
      <c r="K954" s="18">
        <v>3.3</v>
      </c>
      <c r="L954" s="22">
        <v>1</v>
      </c>
    </row>
    <row r="955" spans="1:12">
      <c r="A955">
        <v>1</v>
      </c>
      <c r="B955" s="16" t="s">
        <v>37</v>
      </c>
      <c r="C955" s="9">
        <v>46082</v>
      </c>
      <c r="D955">
        <v>51</v>
      </c>
      <c r="E955" s="16" t="s">
        <v>141</v>
      </c>
      <c r="F955" s="16" t="s">
        <v>81</v>
      </c>
      <c r="G955" s="22">
        <v>11.25</v>
      </c>
      <c r="H955" s="18">
        <v>36.975000000000001</v>
      </c>
      <c r="I955" s="18">
        <v>3.286666667</v>
      </c>
      <c r="J955" s="18">
        <v>3.32</v>
      </c>
      <c r="K955" s="18">
        <v>3.26</v>
      </c>
      <c r="L955" s="22">
        <v>3</v>
      </c>
    </row>
    <row r="956" spans="1:12">
      <c r="A956">
        <v>1</v>
      </c>
      <c r="B956" s="16" t="s">
        <v>37</v>
      </c>
      <c r="C956" s="9">
        <v>46113</v>
      </c>
      <c r="D956">
        <v>51</v>
      </c>
      <c r="E956" s="16" t="s">
        <v>141</v>
      </c>
      <c r="F956" s="16" t="s">
        <v>81</v>
      </c>
      <c r="G956" s="22">
        <v>7.5</v>
      </c>
      <c r="H956" s="18">
        <v>24.9375</v>
      </c>
      <c r="I956" s="18">
        <v>3.3250000000000002</v>
      </c>
      <c r="J956" s="18">
        <v>3.37</v>
      </c>
      <c r="K956" s="18">
        <v>3.28</v>
      </c>
      <c r="L956" s="22">
        <v>2</v>
      </c>
    </row>
    <row r="957" spans="1:12">
      <c r="A957">
        <v>1</v>
      </c>
      <c r="B957" s="16" t="s">
        <v>37</v>
      </c>
      <c r="C957" s="9">
        <v>46143</v>
      </c>
      <c r="D957">
        <v>51</v>
      </c>
      <c r="E957" s="16" t="s">
        <v>141</v>
      </c>
      <c r="F957" s="16" t="s">
        <v>81</v>
      </c>
      <c r="G957" s="22">
        <v>7.5</v>
      </c>
      <c r="H957" s="18">
        <v>25.462499999999999</v>
      </c>
      <c r="I957" s="18">
        <v>3.395</v>
      </c>
      <c r="J957" s="18">
        <v>3.41</v>
      </c>
      <c r="K957" s="18">
        <v>3.38</v>
      </c>
      <c r="L957" s="22">
        <v>2</v>
      </c>
    </row>
    <row r="958" spans="1:12">
      <c r="A958">
        <v>1</v>
      </c>
      <c r="B958" s="16" t="s">
        <v>37</v>
      </c>
      <c r="C958" s="9">
        <v>46174</v>
      </c>
      <c r="D958">
        <v>51</v>
      </c>
      <c r="E958" s="16" t="s">
        <v>141</v>
      </c>
      <c r="F958" s="16" t="s">
        <v>81</v>
      </c>
      <c r="G958" s="22">
        <v>3.75</v>
      </c>
      <c r="H958" s="18">
        <v>12.262499999999999</v>
      </c>
      <c r="I958" s="18">
        <v>3.27</v>
      </c>
      <c r="J958" s="18">
        <v>3.27</v>
      </c>
      <c r="K958" s="18">
        <v>3.27</v>
      </c>
      <c r="L958" s="22">
        <v>1</v>
      </c>
    </row>
    <row r="959" spans="1:12">
      <c r="A959">
        <v>1</v>
      </c>
      <c r="B959" s="16" t="s">
        <v>37</v>
      </c>
      <c r="C959" s="9">
        <v>46204</v>
      </c>
      <c r="D959">
        <v>51</v>
      </c>
      <c r="E959" s="16" t="s">
        <v>141</v>
      </c>
      <c r="F959" s="16" t="s">
        <v>81</v>
      </c>
      <c r="G959" s="22">
        <v>7.5</v>
      </c>
      <c r="H959" s="18">
        <v>25.5</v>
      </c>
      <c r="I959" s="18">
        <v>3.4</v>
      </c>
      <c r="J959" s="18">
        <v>3.41</v>
      </c>
      <c r="K959" s="18">
        <v>3.39</v>
      </c>
      <c r="L959" s="22">
        <v>2</v>
      </c>
    </row>
    <row r="960" spans="1:12">
      <c r="A960">
        <v>1</v>
      </c>
      <c r="B960" s="16" t="s">
        <v>37</v>
      </c>
      <c r="C960" s="9">
        <v>46235</v>
      </c>
      <c r="D960">
        <v>51</v>
      </c>
      <c r="E960" s="16" t="s">
        <v>141</v>
      </c>
      <c r="F960" s="16" t="s">
        <v>81</v>
      </c>
      <c r="G960" s="22">
        <v>3.75</v>
      </c>
      <c r="H960" s="18">
        <v>12.9375</v>
      </c>
      <c r="I960" s="18">
        <v>3.45</v>
      </c>
      <c r="J960" s="18">
        <v>3.45</v>
      </c>
      <c r="K960" s="18">
        <v>3.45</v>
      </c>
      <c r="L960" s="22">
        <v>1</v>
      </c>
    </row>
    <row r="961" spans="1:12">
      <c r="A961">
        <v>1</v>
      </c>
      <c r="B961" s="16" t="s">
        <v>37</v>
      </c>
      <c r="C961" s="9">
        <v>46266</v>
      </c>
      <c r="D961">
        <v>51</v>
      </c>
      <c r="E961" s="16" t="s">
        <v>141</v>
      </c>
      <c r="F961" s="16" t="s">
        <v>81</v>
      </c>
      <c r="G961" s="22">
        <v>11.25</v>
      </c>
      <c r="H961" s="18">
        <v>38.137500000000003</v>
      </c>
      <c r="I961" s="18">
        <v>3.39</v>
      </c>
      <c r="J961" s="18">
        <v>3.42</v>
      </c>
      <c r="K961" s="18">
        <v>3.37</v>
      </c>
      <c r="L961" s="22">
        <v>3</v>
      </c>
    </row>
    <row r="962" spans="1:12">
      <c r="A962">
        <v>1</v>
      </c>
      <c r="B962" s="16" t="s">
        <v>37</v>
      </c>
      <c r="C962" s="9">
        <v>45689</v>
      </c>
      <c r="D962">
        <v>52</v>
      </c>
      <c r="E962" s="16" t="s">
        <v>142</v>
      </c>
      <c r="F962" s="16" t="s">
        <v>108</v>
      </c>
      <c r="G962" s="22">
        <v>12</v>
      </c>
      <c r="H962" s="18">
        <v>14.28</v>
      </c>
      <c r="I962" s="18">
        <v>1.19</v>
      </c>
      <c r="J962" s="18">
        <v>1.19</v>
      </c>
      <c r="K962" s="18">
        <v>1.19</v>
      </c>
      <c r="L962" s="22">
        <v>1</v>
      </c>
    </row>
    <row r="963" spans="1:12">
      <c r="A963">
        <v>1</v>
      </c>
      <c r="B963" s="16" t="s">
        <v>37</v>
      </c>
      <c r="C963" s="9">
        <v>45748</v>
      </c>
      <c r="D963">
        <v>52</v>
      </c>
      <c r="E963" s="16" t="s">
        <v>142</v>
      </c>
      <c r="F963" s="16" t="s">
        <v>108</v>
      </c>
      <c r="G963" s="22">
        <v>24</v>
      </c>
      <c r="H963" s="18">
        <v>28.92</v>
      </c>
      <c r="I963" s="18">
        <v>1.2050000000000001</v>
      </c>
      <c r="J963" s="18">
        <v>1.21</v>
      </c>
      <c r="K963" s="18">
        <v>1.2</v>
      </c>
      <c r="L963" s="22">
        <v>2</v>
      </c>
    </row>
    <row r="964" spans="1:12">
      <c r="A964">
        <v>1</v>
      </c>
      <c r="B964" s="16" t="s">
        <v>37</v>
      </c>
      <c r="C964" s="9">
        <v>45809</v>
      </c>
      <c r="D964">
        <v>52</v>
      </c>
      <c r="E964" s="16" t="s">
        <v>142</v>
      </c>
      <c r="F964" s="16" t="s">
        <v>108</v>
      </c>
      <c r="G964" s="22">
        <v>12</v>
      </c>
      <c r="H964" s="18">
        <v>14.76</v>
      </c>
      <c r="I964" s="18">
        <v>1.23</v>
      </c>
      <c r="J964" s="18">
        <v>1.23</v>
      </c>
      <c r="K964" s="18">
        <v>1.23</v>
      </c>
      <c r="L964" s="22">
        <v>1</v>
      </c>
    </row>
    <row r="965" spans="1:12">
      <c r="A965">
        <v>1</v>
      </c>
      <c r="B965" s="16" t="s">
        <v>37</v>
      </c>
      <c r="C965" s="9">
        <v>45839</v>
      </c>
      <c r="D965">
        <v>52</v>
      </c>
      <c r="E965" s="16" t="s">
        <v>142</v>
      </c>
      <c r="F965" s="16" t="s">
        <v>108</v>
      </c>
      <c r="G965" s="22">
        <v>12</v>
      </c>
      <c r="H965" s="18">
        <v>14.4</v>
      </c>
      <c r="I965" s="18">
        <v>1.2</v>
      </c>
      <c r="J965" s="18">
        <v>1.2</v>
      </c>
      <c r="K965" s="18">
        <v>1.2</v>
      </c>
      <c r="L965" s="22">
        <v>1</v>
      </c>
    </row>
    <row r="966" spans="1:12">
      <c r="A966">
        <v>1</v>
      </c>
      <c r="B966" s="16" t="s">
        <v>37</v>
      </c>
      <c r="C966" s="9">
        <v>45901</v>
      </c>
      <c r="D966">
        <v>52</v>
      </c>
      <c r="E966" s="16" t="s">
        <v>142</v>
      </c>
      <c r="F966" s="16" t="s">
        <v>108</v>
      </c>
      <c r="G966" s="22">
        <v>12</v>
      </c>
      <c r="H966" s="18">
        <v>14.52</v>
      </c>
      <c r="I966" s="18">
        <v>1.21</v>
      </c>
      <c r="J966" s="18">
        <v>1.21</v>
      </c>
      <c r="K966" s="18">
        <v>1.21</v>
      </c>
      <c r="L966" s="22">
        <v>1</v>
      </c>
    </row>
    <row r="967" spans="1:12">
      <c r="A967">
        <v>1</v>
      </c>
      <c r="B967" s="16" t="s">
        <v>37</v>
      </c>
      <c r="C967" s="9">
        <v>45931</v>
      </c>
      <c r="D967">
        <v>52</v>
      </c>
      <c r="E967" s="16" t="s">
        <v>142</v>
      </c>
      <c r="F967" s="16" t="s">
        <v>108</v>
      </c>
      <c r="G967" s="22">
        <v>12</v>
      </c>
      <c r="H967" s="18">
        <v>14.4</v>
      </c>
      <c r="I967" s="18">
        <v>1.2</v>
      </c>
      <c r="J967" s="18">
        <v>1.2</v>
      </c>
      <c r="K967" s="18">
        <v>1.2</v>
      </c>
      <c r="L967" s="22">
        <v>1</v>
      </c>
    </row>
    <row r="968" spans="1:12">
      <c r="A968">
        <v>1</v>
      </c>
      <c r="B968" s="16" t="s">
        <v>37</v>
      </c>
      <c r="C968" s="9">
        <v>45962</v>
      </c>
      <c r="D968">
        <v>52</v>
      </c>
      <c r="E968" s="16" t="s">
        <v>142</v>
      </c>
      <c r="F968" s="16" t="s">
        <v>108</v>
      </c>
      <c r="G968" s="22">
        <v>12</v>
      </c>
      <c r="H968" s="18">
        <v>14.52</v>
      </c>
      <c r="I968" s="18">
        <v>1.21</v>
      </c>
      <c r="J968" s="18">
        <v>1.21</v>
      </c>
      <c r="K968" s="18">
        <v>1.21</v>
      </c>
      <c r="L968" s="22">
        <v>1</v>
      </c>
    </row>
    <row r="969" spans="1:12">
      <c r="A969">
        <v>1</v>
      </c>
      <c r="B969" s="16" t="s">
        <v>37</v>
      </c>
      <c r="C969" s="9">
        <v>46023</v>
      </c>
      <c r="D969">
        <v>52</v>
      </c>
      <c r="E969" s="16" t="s">
        <v>142</v>
      </c>
      <c r="F969" s="16" t="s">
        <v>108</v>
      </c>
      <c r="G969" s="22">
        <v>12</v>
      </c>
      <c r="H969" s="18">
        <v>14.64</v>
      </c>
      <c r="I969" s="18">
        <v>1.22</v>
      </c>
      <c r="J969" s="18">
        <v>1.22</v>
      </c>
      <c r="K969" s="18">
        <v>1.22</v>
      </c>
      <c r="L969" s="22">
        <v>1</v>
      </c>
    </row>
    <row r="970" spans="1:12">
      <c r="A970">
        <v>1</v>
      </c>
      <c r="B970" s="16" t="s">
        <v>37</v>
      </c>
      <c r="C970" s="9">
        <v>46054</v>
      </c>
      <c r="D970">
        <v>52</v>
      </c>
      <c r="E970" s="16" t="s">
        <v>142</v>
      </c>
      <c r="F970" s="16" t="s">
        <v>108</v>
      </c>
      <c r="G970" s="22">
        <v>12</v>
      </c>
      <c r="H970" s="18">
        <v>14.4</v>
      </c>
      <c r="I970" s="18">
        <v>1.2</v>
      </c>
      <c r="J970" s="18">
        <v>1.2</v>
      </c>
      <c r="K970" s="18">
        <v>1.2</v>
      </c>
      <c r="L970" s="22">
        <v>1</v>
      </c>
    </row>
    <row r="971" spans="1:12">
      <c r="A971">
        <v>1</v>
      </c>
      <c r="B971" s="16" t="s">
        <v>37</v>
      </c>
      <c r="C971" s="9">
        <v>46082</v>
      </c>
      <c r="D971">
        <v>52</v>
      </c>
      <c r="E971" s="16" t="s">
        <v>142</v>
      </c>
      <c r="F971" s="16" t="s">
        <v>108</v>
      </c>
      <c r="G971" s="22">
        <v>12</v>
      </c>
      <c r="H971" s="18">
        <v>14.88</v>
      </c>
      <c r="I971" s="18">
        <v>1.24</v>
      </c>
      <c r="J971" s="18">
        <v>1.24</v>
      </c>
      <c r="K971" s="18">
        <v>1.24</v>
      </c>
      <c r="L971" s="22">
        <v>1</v>
      </c>
    </row>
    <row r="972" spans="1:12">
      <c r="A972">
        <v>1</v>
      </c>
      <c r="B972" s="16" t="s">
        <v>37</v>
      </c>
      <c r="C972" s="9">
        <v>46113</v>
      </c>
      <c r="D972">
        <v>52</v>
      </c>
      <c r="E972" s="16" t="s">
        <v>142</v>
      </c>
      <c r="F972" s="16" t="s">
        <v>108</v>
      </c>
      <c r="G972" s="22">
        <v>12</v>
      </c>
      <c r="H972" s="18">
        <v>14.76</v>
      </c>
      <c r="I972" s="18">
        <v>1.23</v>
      </c>
      <c r="J972" s="18">
        <v>1.23</v>
      </c>
      <c r="K972" s="18">
        <v>1.23</v>
      </c>
      <c r="L972" s="22">
        <v>1</v>
      </c>
    </row>
    <row r="973" spans="1:12">
      <c r="A973">
        <v>1</v>
      </c>
      <c r="B973" s="16" t="s">
        <v>37</v>
      </c>
      <c r="C973" s="9">
        <v>46174</v>
      </c>
      <c r="D973">
        <v>52</v>
      </c>
      <c r="E973" s="16" t="s">
        <v>142</v>
      </c>
      <c r="F973" s="16" t="s">
        <v>108</v>
      </c>
      <c r="G973" s="22">
        <v>12</v>
      </c>
      <c r="H973" s="18">
        <v>14.76</v>
      </c>
      <c r="I973" s="18">
        <v>1.23</v>
      </c>
      <c r="J973" s="18">
        <v>1.23</v>
      </c>
      <c r="K973" s="18">
        <v>1.23</v>
      </c>
      <c r="L973" s="22">
        <v>1</v>
      </c>
    </row>
    <row r="974" spans="1:12">
      <c r="A974">
        <v>1</v>
      </c>
      <c r="B974" s="16" t="s">
        <v>37</v>
      </c>
      <c r="C974" s="9">
        <v>46204</v>
      </c>
      <c r="D974">
        <v>52</v>
      </c>
      <c r="E974" s="16" t="s">
        <v>142</v>
      </c>
      <c r="F974" s="16" t="s">
        <v>108</v>
      </c>
      <c r="G974" s="22">
        <v>12</v>
      </c>
      <c r="H974" s="18">
        <v>14.64</v>
      </c>
      <c r="I974" s="18">
        <v>1.22</v>
      </c>
      <c r="J974" s="18">
        <v>1.22</v>
      </c>
      <c r="K974" s="18">
        <v>1.22</v>
      </c>
      <c r="L974" s="22">
        <v>1</v>
      </c>
    </row>
    <row r="975" spans="1:12">
      <c r="A975">
        <v>1</v>
      </c>
      <c r="B975" s="16" t="s">
        <v>37</v>
      </c>
      <c r="C975" s="9">
        <v>46266</v>
      </c>
      <c r="D975">
        <v>52</v>
      </c>
      <c r="E975" s="16" t="s">
        <v>142</v>
      </c>
      <c r="F975" s="16" t="s">
        <v>108</v>
      </c>
      <c r="G975" s="22">
        <v>12</v>
      </c>
      <c r="H975" s="18">
        <v>14.52</v>
      </c>
      <c r="I975" s="18">
        <v>1.21</v>
      </c>
      <c r="J975" s="18">
        <v>1.21</v>
      </c>
      <c r="K975" s="18">
        <v>1.21</v>
      </c>
      <c r="L975" s="22">
        <v>1</v>
      </c>
    </row>
    <row r="976" spans="1:12">
      <c r="A976">
        <v>1</v>
      </c>
      <c r="B976" s="16" t="s">
        <v>37</v>
      </c>
      <c r="C976" s="9">
        <v>45689</v>
      </c>
      <c r="D976">
        <v>53</v>
      </c>
      <c r="E976" s="16" t="s">
        <v>143</v>
      </c>
      <c r="F976" s="16" t="s">
        <v>103</v>
      </c>
      <c r="G976" s="22">
        <v>9</v>
      </c>
      <c r="H976" s="18">
        <v>78.3</v>
      </c>
      <c r="I976" s="18">
        <v>8.6999999999999993</v>
      </c>
      <c r="J976" s="18">
        <v>8.6999999999999993</v>
      </c>
      <c r="K976" s="18">
        <v>8.6999999999999993</v>
      </c>
      <c r="L976" s="22">
        <v>1</v>
      </c>
    </row>
    <row r="977" spans="1:12">
      <c r="A977">
        <v>1</v>
      </c>
      <c r="B977" s="16" t="s">
        <v>37</v>
      </c>
      <c r="C977" s="9">
        <v>45717</v>
      </c>
      <c r="D977">
        <v>53</v>
      </c>
      <c r="E977" s="16" t="s">
        <v>143</v>
      </c>
      <c r="F977" s="16" t="s">
        <v>103</v>
      </c>
      <c r="G977" s="22">
        <v>9</v>
      </c>
      <c r="H977" s="18">
        <v>77.400000000000006</v>
      </c>
      <c r="I977" s="18">
        <v>8.6</v>
      </c>
      <c r="J977" s="18">
        <v>8.6</v>
      </c>
      <c r="K977" s="18">
        <v>8.6</v>
      </c>
      <c r="L977" s="22">
        <v>1</v>
      </c>
    </row>
    <row r="978" spans="1:12">
      <c r="A978">
        <v>1</v>
      </c>
      <c r="B978" s="16" t="s">
        <v>37</v>
      </c>
      <c r="C978" s="9">
        <v>45748</v>
      </c>
      <c r="D978">
        <v>53</v>
      </c>
      <c r="E978" s="16" t="s">
        <v>143</v>
      </c>
      <c r="F978" s="16" t="s">
        <v>103</v>
      </c>
      <c r="G978" s="22">
        <v>9</v>
      </c>
      <c r="H978" s="18">
        <v>81.180000000000007</v>
      </c>
      <c r="I978" s="18">
        <v>9.02</v>
      </c>
      <c r="J978" s="18">
        <v>9.02</v>
      </c>
      <c r="K978" s="18">
        <v>9.02</v>
      </c>
      <c r="L978" s="22">
        <v>1</v>
      </c>
    </row>
    <row r="979" spans="1:12">
      <c r="A979">
        <v>1</v>
      </c>
      <c r="B979" s="16" t="s">
        <v>37</v>
      </c>
      <c r="C979" s="9">
        <v>45778</v>
      </c>
      <c r="D979">
        <v>53</v>
      </c>
      <c r="E979" s="16" t="s">
        <v>143</v>
      </c>
      <c r="F979" s="16" t="s">
        <v>103</v>
      </c>
      <c r="G979" s="22">
        <v>9</v>
      </c>
      <c r="H979" s="18">
        <v>77.13</v>
      </c>
      <c r="I979" s="18">
        <v>8.57</v>
      </c>
      <c r="J979" s="18">
        <v>8.57</v>
      </c>
      <c r="K979" s="18">
        <v>8.57</v>
      </c>
      <c r="L979" s="22">
        <v>1</v>
      </c>
    </row>
    <row r="980" spans="1:12">
      <c r="A980">
        <v>1</v>
      </c>
      <c r="B980" s="16" t="s">
        <v>37</v>
      </c>
      <c r="C980" s="9">
        <v>45809</v>
      </c>
      <c r="D980">
        <v>53</v>
      </c>
      <c r="E980" s="16" t="s">
        <v>143</v>
      </c>
      <c r="F980" s="16" t="s">
        <v>103</v>
      </c>
      <c r="G980" s="22">
        <v>9</v>
      </c>
      <c r="H980" s="18">
        <v>80.64</v>
      </c>
      <c r="I980" s="18">
        <v>8.9600000000000009</v>
      </c>
      <c r="J980" s="18">
        <v>8.9600000000000009</v>
      </c>
      <c r="K980" s="18">
        <v>8.9600000000000009</v>
      </c>
      <c r="L980" s="22">
        <v>1</v>
      </c>
    </row>
    <row r="981" spans="1:12">
      <c r="A981">
        <v>1</v>
      </c>
      <c r="B981" s="16" t="s">
        <v>37</v>
      </c>
      <c r="C981" s="9">
        <v>45839</v>
      </c>
      <c r="D981">
        <v>53</v>
      </c>
      <c r="E981" s="16" t="s">
        <v>143</v>
      </c>
      <c r="F981" s="16" t="s">
        <v>103</v>
      </c>
      <c r="G981" s="22">
        <v>9</v>
      </c>
      <c r="H981" s="18">
        <v>80.459999999999994</v>
      </c>
      <c r="I981" s="18">
        <v>8.94</v>
      </c>
      <c r="J981" s="18">
        <v>8.94</v>
      </c>
      <c r="K981" s="18">
        <v>8.94</v>
      </c>
      <c r="L981" s="22">
        <v>1</v>
      </c>
    </row>
    <row r="982" spans="1:12">
      <c r="A982">
        <v>1</v>
      </c>
      <c r="B982" s="16" t="s">
        <v>37</v>
      </c>
      <c r="C982" s="9">
        <v>45870</v>
      </c>
      <c r="D982">
        <v>53</v>
      </c>
      <c r="E982" s="16" t="s">
        <v>143</v>
      </c>
      <c r="F982" s="16" t="s">
        <v>103</v>
      </c>
      <c r="G982" s="22">
        <v>9</v>
      </c>
      <c r="H982" s="18">
        <v>82.17</v>
      </c>
      <c r="I982" s="18">
        <v>9.1300000000000008</v>
      </c>
      <c r="J982" s="18">
        <v>9.1300000000000008</v>
      </c>
      <c r="K982" s="18">
        <v>9.1300000000000008</v>
      </c>
      <c r="L982" s="22">
        <v>1</v>
      </c>
    </row>
    <row r="983" spans="1:12">
      <c r="A983">
        <v>1</v>
      </c>
      <c r="B983" s="16" t="s">
        <v>37</v>
      </c>
      <c r="C983" s="9">
        <v>45901</v>
      </c>
      <c r="D983">
        <v>53</v>
      </c>
      <c r="E983" s="16" t="s">
        <v>143</v>
      </c>
      <c r="F983" s="16" t="s">
        <v>103</v>
      </c>
      <c r="G983" s="22">
        <v>9</v>
      </c>
      <c r="H983" s="18">
        <v>81.63</v>
      </c>
      <c r="I983" s="18">
        <v>9.07</v>
      </c>
      <c r="J983" s="18">
        <v>9.07</v>
      </c>
      <c r="K983" s="18">
        <v>9.07</v>
      </c>
      <c r="L983" s="22">
        <v>1</v>
      </c>
    </row>
    <row r="984" spans="1:12">
      <c r="A984">
        <v>1</v>
      </c>
      <c r="B984" s="16" t="s">
        <v>37</v>
      </c>
      <c r="C984" s="9">
        <v>45931</v>
      </c>
      <c r="D984">
        <v>53</v>
      </c>
      <c r="E984" s="16" t="s">
        <v>143</v>
      </c>
      <c r="F984" s="16" t="s">
        <v>103</v>
      </c>
      <c r="G984" s="22">
        <v>18</v>
      </c>
      <c r="H984" s="18">
        <v>170.73</v>
      </c>
      <c r="I984" s="18">
        <v>9.4849999999999994</v>
      </c>
      <c r="J984" s="18">
        <v>9.74</v>
      </c>
      <c r="K984" s="18">
        <v>9.23</v>
      </c>
      <c r="L984" s="22">
        <v>2</v>
      </c>
    </row>
    <row r="985" spans="1:12">
      <c r="A985">
        <v>1</v>
      </c>
      <c r="B985" s="16" t="s">
        <v>37</v>
      </c>
      <c r="C985" s="9">
        <v>45962</v>
      </c>
      <c r="D985">
        <v>53</v>
      </c>
      <c r="E985" s="16" t="s">
        <v>143</v>
      </c>
      <c r="F985" s="16" t="s">
        <v>103</v>
      </c>
      <c r="G985" s="22">
        <v>9</v>
      </c>
      <c r="H985" s="18">
        <v>85.5</v>
      </c>
      <c r="I985" s="18">
        <v>9.5</v>
      </c>
      <c r="J985" s="18">
        <v>9.5</v>
      </c>
      <c r="K985" s="18">
        <v>9.5</v>
      </c>
      <c r="L985" s="22">
        <v>1</v>
      </c>
    </row>
    <row r="986" spans="1:12">
      <c r="A986">
        <v>1</v>
      </c>
      <c r="B986" s="16" t="s">
        <v>37</v>
      </c>
      <c r="C986" s="9">
        <v>45992</v>
      </c>
      <c r="D986">
        <v>53</v>
      </c>
      <c r="E986" s="16" t="s">
        <v>143</v>
      </c>
      <c r="F986" s="16" t="s">
        <v>103</v>
      </c>
      <c r="G986" s="22">
        <v>18</v>
      </c>
      <c r="H986" s="18">
        <v>169.56</v>
      </c>
      <c r="I986" s="18">
        <v>9.42</v>
      </c>
      <c r="J986" s="18">
        <v>9.4600000000000009</v>
      </c>
      <c r="K986" s="18">
        <v>9.3800000000000008</v>
      </c>
      <c r="L986" s="22">
        <v>2</v>
      </c>
    </row>
    <row r="987" spans="1:12">
      <c r="A987">
        <v>1</v>
      </c>
      <c r="B987" s="16" t="s">
        <v>37</v>
      </c>
      <c r="C987" s="9">
        <v>46023</v>
      </c>
      <c r="D987">
        <v>53</v>
      </c>
      <c r="E987" s="16" t="s">
        <v>143</v>
      </c>
      <c r="F987" s="16" t="s">
        <v>103</v>
      </c>
      <c r="G987" s="22">
        <v>9</v>
      </c>
      <c r="H987" s="18">
        <v>88.38</v>
      </c>
      <c r="I987" s="18">
        <v>9.82</v>
      </c>
      <c r="J987" s="18">
        <v>9.82</v>
      </c>
      <c r="K987" s="18">
        <v>9.82</v>
      </c>
      <c r="L987" s="22">
        <v>1</v>
      </c>
    </row>
    <row r="988" spans="1:12">
      <c r="A988">
        <v>1</v>
      </c>
      <c r="B988" s="16" t="s">
        <v>37</v>
      </c>
      <c r="C988" s="9">
        <v>46054</v>
      </c>
      <c r="D988">
        <v>53</v>
      </c>
      <c r="E988" s="16" t="s">
        <v>143</v>
      </c>
      <c r="F988" s="16" t="s">
        <v>103</v>
      </c>
      <c r="G988" s="22">
        <v>9</v>
      </c>
      <c r="H988" s="18">
        <v>87.21</v>
      </c>
      <c r="I988" s="18">
        <v>9.69</v>
      </c>
      <c r="J988" s="18">
        <v>9.69</v>
      </c>
      <c r="K988" s="18">
        <v>9.69</v>
      </c>
      <c r="L988" s="22">
        <v>1</v>
      </c>
    </row>
    <row r="989" spans="1:12">
      <c r="A989">
        <v>1</v>
      </c>
      <c r="B989" s="16" t="s">
        <v>37</v>
      </c>
      <c r="C989" s="9">
        <v>46082</v>
      </c>
      <c r="D989">
        <v>53</v>
      </c>
      <c r="E989" s="16" t="s">
        <v>143</v>
      </c>
      <c r="F989" s="16" t="s">
        <v>103</v>
      </c>
      <c r="G989" s="22">
        <v>9</v>
      </c>
      <c r="H989" s="18">
        <v>86.31</v>
      </c>
      <c r="I989" s="18">
        <v>9.59</v>
      </c>
      <c r="J989" s="18">
        <v>9.59</v>
      </c>
      <c r="K989" s="18">
        <v>9.59</v>
      </c>
      <c r="L989" s="22">
        <v>1</v>
      </c>
    </row>
    <row r="990" spans="1:12">
      <c r="A990">
        <v>1</v>
      </c>
      <c r="B990" s="16" t="s">
        <v>37</v>
      </c>
      <c r="C990" s="9">
        <v>46113</v>
      </c>
      <c r="D990">
        <v>53</v>
      </c>
      <c r="E990" s="16" t="s">
        <v>143</v>
      </c>
      <c r="F990" s="16" t="s">
        <v>103</v>
      </c>
      <c r="G990" s="22">
        <v>18</v>
      </c>
      <c r="H990" s="18">
        <v>173.7</v>
      </c>
      <c r="I990" s="18">
        <v>9.65</v>
      </c>
      <c r="J990" s="18">
        <v>9.69</v>
      </c>
      <c r="K990" s="18">
        <v>9.61</v>
      </c>
      <c r="L990" s="22">
        <v>2</v>
      </c>
    </row>
    <row r="991" spans="1:12">
      <c r="A991">
        <v>1</v>
      </c>
      <c r="B991" s="16" t="s">
        <v>37</v>
      </c>
      <c r="C991" s="9">
        <v>46143</v>
      </c>
      <c r="D991">
        <v>53</v>
      </c>
      <c r="E991" s="16" t="s">
        <v>143</v>
      </c>
      <c r="F991" s="16" t="s">
        <v>103</v>
      </c>
      <c r="G991" s="22">
        <v>9</v>
      </c>
      <c r="H991" s="18">
        <v>85.59</v>
      </c>
      <c r="I991" s="18">
        <v>9.51</v>
      </c>
      <c r="J991" s="18">
        <v>9.51</v>
      </c>
      <c r="K991" s="18">
        <v>9.51</v>
      </c>
      <c r="L991" s="22">
        <v>1</v>
      </c>
    </row>
    <row r="992" spans="1:12">
      <c r="A992">
        <v>1</v>
      </c>
      <c r="B992" s="16" t="s">
        <v>37</v>
      </c>
      <c r="C992" s="9">
        <v>46174</v>
      </c>
      <c r="D992">
        <v>53</v>
      </c>
      <c r="E992" s="16" t="s">
        <v>143</v>
      </c>
      <c r="F992" s="16" t="s">
        <v>103</v>
      </c>
      <c r="G992" s="22">
        <v>9</v>
      </c>
      <c r="H992" s="18">
        <v>87.66</v>
      </c>
      <c r="I992" s="18">
        <v>9.74</v>
      </c>
      <c r="J992" s="18">
        <v>9.74</v>
      </c>
      <c r="K992" s="18">
        <v>9.74</v>
      </c>
      <c r="L992" s="22">
        <v>1</v>
      </c>
    </row>
    <row r="993" spans="1:12">
      <c r="A993">
        <v>1</v>
      </c>
      <c r="B993" s="16" t="s">
        <v>37</v>
      </c>
      <c r="C993" s="9">
        <v>46204</v>
      </c>
      <c r="D993">
        <v>53</v>
      </c>
      <c r="E993" s="16" t="s">
        <v>143</v>
      </c>
      <c r="F993" s="16" t="s">
        <v>103</v>
      </c>
      <c r="G993" s="22">
        <v>9</v>
      </c>
      <c r="H993" s="18">
        <v>87.39</v>
      </c>
      <c r="I993" s="18">
        <v>9.7100000000000009</v>
      </c>
      <c r="J993" s="18">
        <v>9.7100000000000009</v>
      </c>
      <c r="K993" s="18">
        <v>9.7100000000000009</v>
      </c>
      <c r="L993" s="22">
        <v>1</v>
      </c>
    </row>
    <row r="994" spans="1:12">
      <c r="A994">
        <v>1</v>
      </c>
      <c r="B994" s="16" t="s">
        <v>37</v>
      </c>
      <c r="C994" s="9">
        <v>46235</v>
      </c>
      <c r="D994">
        <v>53</v>
      </c>
      <c r="E994" s="16" t="s">
        <v>143</v>
      </c>
      <c r="F994" s="16" t="s">
        <v>103</v>
      </c>
      <c r="G994" s="22">
        <v>9</v>
      </c>
      <c r="H994" s="18">
        <v>84.78</v>
      </c>
      <c r="I994" s="18">
        <v>9.42</v>
      </c>
      <c r="J994" s="18">
        <v>9.42</v>
      </c>
      <c r="K994" s="18">
        <v>9.42</v>
      </c>
      <c r="L994" s="22">
        <v>1</v>
      </c>
    </row>
    <row r="995" spans="1:12">
      <c r="A995">
        <v>1</v>
      </c>
      <c r="B995" s="16" t="s">
        <v>37</v>
      </c>
      <c r="C995" s="9">
        <v>46266</v>
      </c>
      <c r="D995">
        <v>53</v>
      </c>
      <c r="E995" s="16" t="s">
        <v>143</v>
      </c>
      <c r="F995" s="16" t="s">
        <v>103</v>
      </c>
      <c r="G995" s="22">
        <v>18</v>
      </c>
      <c r="H995" s="18">
        <v>171.81</v>
      </c>
      <c r="I995" s="18">
        <v>9.5449999999999999</v>
      </c>
      <c r="J995" s="18">
        <v>9.58</v>
      </c>
      <c r="K995" s="18">
        <v>9.51</v>
      </c>
      <c r="L995" s="22">
        <v>2</v>
      </c>
    </row>
    <row r="996" spans="1:12">
      <c r="A996">
        <v>1</v>
      </c>
      <c r="B996" s="16" t="s">
        <v>37</v>
      </c>
      <c r="C996" s="9">
        <v>45689</v>
      </c>
      <c r="D996">
        <v>54</v>
      </c>
      <c r="E996" s="16" t="s">
        <v>144</v>
      </c>
      <c r="F996" s="16" t="s">
        <v>103</v>
      </c>
      <c r="G996" s="22">
        <v>4.5</v>
      </c>
      <c r="H996" s="18">
        <v>50.017499999999998</v>
      </c>
      <c r="I996" s="18">
        <v>11.115</v>
      </c>
      <c r="J996" s="18">
        <v>11.25</v>
      </c>
      <c r="K996" s="18">
        <v>10.98</v>
      </c>
      <c r="L996" s="22">
        <v>2</v>
      </c>
    </row>
    <row r="997" spans="1:12">
      <c r="A997">
        <v>1</v>
      </c>
      <c r="B997" s="16" t="s">
        <v>37</v>
      </c>
      <c r="C997" s="9">
        <v>45717</v>
      </c>
      <c r="D997">
        <v>54</v>
      </c>
      <c r="E997" s="16" t="s">
        <v>144</v>
      </c>
      <c r="F997" s="16" t="s">
        <v>103</v>
      </c>
      <c r="G997" s="22">
        <v>4.5</v>
      </c>
      <c r="H997" s="18">
        <v>50.152500000000003</v>
      </c>
      <c r="I997" s="18">
        <v>11.145</v>
      </c>
      <c r="J997" s="18">
        <v>11.22</v>
      </c>
      <c r="K997" s="18">
        <v>11.07</v>
      </c>
      <c r="L997" s="22">
        <v>2</v>
      </c>
    </row>
    <row r="998" spans="1:12">
      <c r="A998">
        <v>1</v>
      </c>
      <c r="B998" s="16" t="s">
        <v>37</v>
      </c>
      <c r="C998" s="9">
        <v>45748</v>
      </c>
      <c r="D998">
        <v>54</v>
      </c>
      <c r="E998" s="16" t="s">
        <v>144</v>
      </c>
      <c r="F998" s="16" t="s">
        <v>103</v>
      </c>
      <c r="G998" s="22">
        <v>4.5</v>
      </c>
      <c r="H998" s="18">
        <v>50.534999999999997</v>
      </c>
      <c r="I998" s="18">
        <v>11.23</v>
      </c>
      <c r="J998" s="18">
        <v>11.23</v>
      </c>
      <c r="K998" s="18">
        <v>11.23</v>
      </c>
      <c r="L998" s="22">
        <v>2</v>
      </c>
    </row>
    <row r="999" spans="1:12">
      <c r="A999">
        <v>1</v>
      </c>
      <c r="B999" s="16" t="s">
        <v>37</v>
      </c>
      <c r="C999" s="9">
        <v>45778</v>
      </c>
      <c r="D999">
        <v>54</v>
      </c>
      <c r="E999" s="16" t="s">
        <v>144</v>
      </c>
      <c r="F999" s="16" t="s">
        <v>103</v>
      </c>
      <c r="G999" s="22">
        <v>4.5</v>
      </c>
      <c r="H999" s="18">
        <v>50.737499999999997</v>
      </c>
      <c r="I999" s="18">
        <v>11.275</v>
      </c>
      <c r="J999" s="18">
        <v>11.3</v>
      </c>
      <c r="K999" s="18">
        <v>11.25</v>
      </c>
      <c r="L999" s="22">
        <v>2</v>
      </c>
    </row>
    <row r="1000" spans="1:12">
      <c r="A1000">
        <v>1</v>
      </c>
      <c r="B1000" s="16" t="s">
        <v>37</v>
      </c>
      <c r="C1000" s="9">
        <v>45809</v>
      </c>
      <c r="D1000">
        <v>54</v>
      </c>
      <c r="E1000" s="16" t="s">
        <v>144</v>
      </c>
      <c r="F1000" s="16" t="s">
        <v>103</v>
      </c>
      <c r="G1000" s="22">
        <v>4.5</v>
      </c>
      <c r="H1000" s="18">
        <v>49.77</v>
      </c>
      <c r="I1000" s="18">
        <v>11.06</v>
      </c>
      <c r="J1000" s="18">
        <v>11.09</v>
      </c>
      <c r="K1000" s="18">
        <v>11.03</v>
      </c>
      <c r="L1000" s="22">
        <v>2</v>
      </c>
    </row>
    <row r="1001" spans="1:12">
      <c r="A1001">
        <v>1</v>
      </c>
      <c r="B1001" s="16" t="s">
        <v>37</v>
      </c>
      <c r="C1001" s="9">
        <v>45839</v>
      </c>
      <c r="D1001">
        <v>54</v>
      </c>
      <c r="E1001" s="16" t="s">
        <v>144</v>
      </c>
      <c r="F1001" s="16" t="s">
        <v>103</v>
      </c>
      <c r="G1001" s="22">
        <v>4.5</v>
      </c>
      <c r="H1001" s="18">
        <v>49.725000000000001</v>
      </c>
      <c r="I1001" s="18">
        <v>11.05</v>
      </c>
      <c r="J1001" s="18">
        <v>11.16</v>
      </c>
      <c r="K1001" s="18">
        <v>10.94</v>
      </c>
      <c r="L1001" s="22">
        <v>2</v>
      </c>
    </row>
    <row r="1002" spans="1:12">
      <c r="A1002">
        <v>1</v>
      </c>
      <c r="B1002" s="16" t="s">
        <v>37</v>
      </c>
      <c r="C1002" s="9">
        <v>45870</v>
      </c>
      <c r="D1002">
        <v>54</v>
      </c>
      <c r="E1002" s="16" t="s">
        <v>144</v>
      </c>
      <c r="F1002" s="16" t="s">
        <v>103</v>
      </c>
      <c r="G1002" s="22">
        <v>2.25</v>
      </c>
      <c r="H1002" s="18">
        <v>24.885000000000002</v>
      </c>
      <c r="I1002" s="18">
        <v>11.06</v>
      </c>
      <c r="J1002" s="18">
        <v>11.06</v>
      </c>
      <c r="K1002" s="18">
        <v>11.06</v>
      </c>
      <c r="L1002" s="22">
        <v>1</v>
      </c>
    </row>
    <row r="1003" spans="1:12">
      <c r="A1003">
        <v>1</v>
      </c>
      <c r="B1003" s="16" t="s">
        <v>37</v>
      </c>
      <c r="C1003" s="9">
        <v>45901</v>
      </c>
      <c r="D1003">
        <v>54</v>
      </c>
      <c r="E1003" s="16" t="s">
        <v>144</v>
      </c>
      <c r="F1003" s="16" t="s">
        <v>103</v>
      </c>
      <c r="G1003" s="22">
        <v>4.5</v>
      </c>
      <c r="H1003" s="18">
        <v>49.41</v>
      </c>
      <c r="I1003" s="18">
        <v>10.98</v>
      </c>
      <c r="J1003" s="18">
        <v>11.21</v>
      </c>
      <c r="K1003" s="18">
        <v>10.75</v>
      </c>
      <c r="L1003" s="22">
        <v>2</v>
      </c>
    </row>
    <row r="1004" spans="1:12">
      <c r="A1004">
        <v>1</v>
      </c>
      <c r="B1004" s="16" t="s">
        <v>37</v>
      </c>
      <c r="C1004" s="9">
        <v>45931</v>
      </c>
      <c r="D1004">
        <v>54</v>
      </c>
      <c r="E1004" s="16" t="s">
        <v>144</v>
      </c>
      <c r="F1004" s="16" t="s">
        <v>103</v>
      </c>
      <c r="G1004" s="22">
        <v>4.5</v>
      </c>
      <c r="H1004" s="18">
        <v>50.287500000000001</v>
      </c>
      <c r="I1004" s="18">
        <v>11.175000000000001</v>
      </c>
      <c r="J1004" s="18">
        <v>11.22</v>
      </c>
      <c r="K1004" s="18">
        <v>11.13</v>
      </c>
      <c r="L1004" s="22">
        <v>2</v>
      </c>
    </row>
    <row r="1005" spans="1:12">
      <c r="A1005">
        <v>1</v>
      </c>
      <c r="B1005" s="16" t="s">
        <v>37</v>
      </c>
      <c r="C1005" s="9">
        <v>45962</v>
      </c>
      <c r="D1005">
        <v>54</v>
      </c>
      <c r="E1005" s="16" t="s">
        <v>144</v>
      </c>
      <c r="F1005" s="16" t="s">
        <v>103</v>
      </c>
      <c r="G1005" s="22">
        <v>4.5</v>
      </c>
      <c r="H1005" s="18">
        <v>49.702500000000001</v>
      </c>
      <c r="I1005" s="18">
        <v>11.045</v>
      </c>
      <c r="J1005" s="18">
        <v>11.1</v>
      </c>
      <c r="K1005" s="18">
        <v>10.99</v>
      </c>
      <c r="L1005" s="22">
        <v>2</v>
      </c>
    </row>
    <row r="1006" spans="1:12">
      <c r="A1006">
        <v>1</v>
      </c>
      <c r="B1006" s="16" t="s">
        <v>37</v>
      </c>
      <c r="C1006" s="9">
        <v>45992</v>
      </c>
      <c r="D1006">
        <v>54</v>
      </c>
      <c r="E1006" s="16" t="s">
        <v>144</v>
      </c>
      <c r="F1006" s="16" t="s">
        <v>103</v>
      </c>
      <c r="G1006" s="22">
        <v>9</v>
      </c>
      <c r="H1006" s="18">
        <v>100.2375</v>
      </c>
      <c r="I1006" s="18">
        <v>11.137499999999999</v>
      </c>
      <c r="J1006" s="18">
        <v>11.19</v>
      </c>
      <c r="K1006" s="18">
        <v>10.99</v>
      </c>
      <c r="L1006" s="22">
        <v>3</v>
      </c>
    </row>
    <row r="1007" spans="1:12">
      <c r="A1007">
        <v>1</v>
      </c>
      <c r="B1007" s="16" t="s">
        <v>37</v>
      </c>
      <c r="C1007" s="9">
        <v>46023</v>
      </c>
      <c r="D1007">
        <v>54</v>
      </c>
      <c r="E1007" s="16" t="s">
        <v>144</v>
      </c>
      <c r="F1007" s="16" t="s">
        <v>103</v>
      </c>
      <c r="G1007" s="22">
        <v>4.5</v>
      </c>
      <c r="H1007" s="18">
        <v>50.13</v>
      </c>
      <c r="I1007" s="18">
        <v>11.14</v>
      </c>
      <c r="J1007" s="18">
        <v>11.25</v>
      </c>
      <c r="K1007" s="18">
        <v>11.03</v>
      </c>
      <c r="L1007" s="22">
        <v>2</v>
      </c>
    </row>
    <row r="1008" spans="1:12">
      <c r="A1008">
        <v>1</v>
      </c>
      <c r="B1008" s="16" t="s">
        <v>37</v>
      </c>
      <c r="C1008" s="9">
        <v>46054</v>
      </c>
      <c r="D1008">
        <v>54</v>
      </c>
      <c r="E1008" s="16" t="s">
        <v>144</v>
      </c>
      <c r="F1008" s="16" t="s">
        <v>103</v>
      </c>
      <c r="G1008" s="22">
        <v>4.5</v>
      </c>
      <c r="H1008" s="18">
        <v>50.422499999999999</v>
      </c>
      <c r="I1008" s="18">
        <v>11.205</v>
      </c>
      <c r="J1008" s="18">
        <v>11.24</v>
      </c>
      <c r="K1008" s="18">
        <v>11.17</v>
      </c>
      <c r="L1008" s="22">
        <v>2</v>
      </c>
    </row>
    <row r="1009" spans="1:12">
      <c r="A1009">
        <v>1</v>
      </c>
      <c r="B1009" s="16" t="s">
        <v>37</v>
      </c>
      <c r="C1009" s="9">
        <v>46082</v>
      </c>
      <c r="D1009">
        <v>54</v>
      </c>
      <c r="E1009" s="16" t="s">
        <v>144</v>
      </c>
      <c r="F1009" s="16" t="s">
        <v>103</v>
      </c>
      <c r="G1009" s="22">
        <v>4.5</v>
      </c>
      <c r="H1009" s="18">
        <v>50.0625</v>
      </c>
      <c r="I1009" s="18">
        <v>11.125</v>
      </c>
      <c r="J1009" s="18">
        <v>11.34</v>
      </c>
      <c r="K1009" s="18">
        <v>10.91</v>
      </c>
      <c r="L1009" s="22">
        <v>2</v>
      </c>
    </row>
    <row r="1010" spans="1:12">
      <c r="A1010">
        <v>1</v>
      </c>
      <c r="B1010" s="16" t="s">
        <v>37</v>
      </c>
      <c r="C1010" s="9">
        <v>46113</v>
      </c>
      <c r="D1010">
        <v>54</v>
      </c>
      <c r="E1010" s="16" t="s">
        <v>144</v>
      </c>
      <c r="F1010" s="16" t="s">
        <v>103</v>
      </c>
      <c r="G1010" s="22">
        <v>4.5</v>
      </c>
      <c r="H1010" s="18">
        <v>50.13</v>
      </c>
      <c r="I1010" s="18">
        <v>11.14</v>
      </c>
      <c r="J1010" s="18">
        <v>11.22</v>
      </c>
      <c r="K1010" s="18">
        <v>11.06</v>
      </c>
      <c r="L1010" s="22">
        <v>2</v>
      </c>
    </row>
    <row r="1011" spans="1:12">
      <c r="A1011">
        <v>1</v>
      </c>
      <c r="B1011" s="16" t="s">
        <v>37</v>
      </c>
      <c r="C1011" s="9">
        <v>46143</v>
      </c>
      <c r="D1011">
        <v>54</v>
      </c>
      <c r="E1011" s="16" t="s">
        <v>144</v>
      </c>
      <c r="F1011" s="16" t="s">
        <v>103</v>
      </c>
      <c r="G1011" s="22">
        <v>4.5</v>
      </c>
      <c r="H1011" s="18">
        <v>50.805</v>
      </c>
      <c r="I1011" s="18">
        <v>11.29</v>
      </c>
      <c r="J1011" s="18">
        <v>11.29</v>
      </c>
      <c r="K1011" s="18">
        <v>11.29</v>
      </c>
      <c r="L1011" s="22">
        <v>2</v>
      </c>
    </row>
    <row r="1012" spans="1:12">
      <c r="A1012">
        <v>1</v>
      </c>
      <c r="B1012" s="16" t="s">
        <v>37</v>
      </c>
      <c r="C1012" s="9">
        <v>46174</v>
      </c>
      <c r="D1012">
        <v>54</v>
      </c>
      <c r="E1012" s="16" t="s">
        <v>144</v>
      </c>
      <c r="F1012" s="16" t="s">
        <v>103</v>
      </c>
      <c r="G1012" s="22">
        <v>2.25</v>
      </c>
      <c r="H1012" s="18">
        <v>25.74</v>
      </c>
      <c r="I1012" s="18">
        <v>11.44</v>
      </c>
      <c r="J1012" s="18">
        <v>11.44</v>
      </c>
      <c r="K1012" s="18">
        <v>11.44</v>
      </c>
      <c r="L1012" s="22">
        <v>1</v>
      </c>
    </row>
    <row r="1013" spans="1:12">
      <c r="A1013">
        <v>1</v>
      </c>
      <c r="B1013" s="16" t="s">
        <v>37</v>
      </c>
      <c r="C1013" s="9">
        <v>46204</v>
      </c>
      <c r="D1013">
        <v>54</v>
      </c>
      <c r="E1013" s="16" t="s">
        <v>144</v>
      </c>
      <c r="F1013" s="16" t="s">
        <v>103</v>
      </c>
      <c r="G1013" s="22">
        <v>6.75</v>
      </c>
      <c r="H1013" s="18">
        <v>76.792500000000004</v>
      </c>
      <c r="I1013" s="18">
        <v>11.376666667</v>
      </c>
      <c r="J1013" s="18">
        <v>11.47</v>
      </c>
      <c r="K1013" s="18">
        <v>11.33</v>
      </c>
      <c r="L1013" s="22">
        <v>3</v>
      </c>
    </row>
    <row r="1014" spans="1:12">
      <c r="A1014">
        <v>1</v>
      </c>
      <c r="B1014" s="16" t="s">
        <v>37</v>
      </c>
      <c r="C1014" s="9">
        <v>46235</v>
      </c>
      <c r="D1014">
        <v>54</v>
      </c>
      <c r="E1014" s="16" t="s">
        <v>144</v>
      </c>
      <c r="F1014" s="16" t="s">
        <v>103</v>
      </c>
      <c r="G1014" s="22">
        <v>4.5</v>
      </c>
      <c r="H1014" s="18">
        <v>51.322499999999998</v>
      </c>
      <c r="I1014" s="18">
        <v>11.404999999999999</v>
      </c>
      <c r="J1014" s="18">
        <v>11.49</v>
      </c>
      <c r="K1014" s="18">
        <v>11.32</v>
      </c>
      <c r="L1014" s="22">
        <v>2</v>
      </c>
    </row>
    <row r="1015" spans="1:12">
      <c r="A1015">
        <v>1</v>
      </c>
      <c r="B1015" s="16" t="s">
        <v>37</v>
      </c>
      <c r="C1015" s="9">
        <v>46266</v>
      </c>
      <c r="D1015">
        <v>54</v>
      </c>
      <c r="E1015" s="16" t="s">
        <v>144</v>
      </c>
      <c r="F1015" s="16" t="s">
        <v>103</v>
      </c>
      <c r="G1015" s="22">
        <v>2.25</v>
      </c>
      <c r="H1015" s="18">
        <v>25.087499999999999</v>
      </c>
      <c r="I1015" s="18">
        <v>11.15</v>
      </c>
      <c r="J1015" s="18">
        <v>11.15</v>
      </c>
      <c r="K1015" s="18">
        <v>11.15</v>
      </c>
      <c r="L1015" s="22">
        <v>1</v>
      </c>
    </row>
    <row r="1016" spans="1:12">
      <c r="A1016">
        <v>1</v>
      </c>
      <c r="B1016" s="16" t="s">
        <v>37</v>
      </c>
      <c r="C1016" s="9">
        <v>45689</v>
      </c>
      <c r="D1016">
        <v>55</v>
      </c>
      <c r="E1016" s="16" t="s">
        <v>145</v>
      </c>
      <c r="F1016" s="16" t="s">
        <v>83</v>
      </c>
      <c r="G1016" s="22">
        <v>9</v>
      </c>
      <c r="H1016" s="18">
        <v>50.575000000000003</v>
      </c>
      <c r="I1016" s="18">
        <v>5.619444444</v>
      </c>
      <c r="J1016" s="18">
        <v>5.77</v>
      </c>
      <c r="K1016" s="18">
        <v>5.5</v>
      </c>
      <c r="L1016" s="22">
        <v>12</v>
      </c>
    </row>
    <row r="1017" spans="1:12">
      <c r="A1017">
        <v>1</v>
      </c>
      <c r="B1017" s="16" t="s">
        <v>37</v>
      </c>
      <c r="C1017" s="9">
        <v>45717</v>
      </c>
      <c r="D1017">
        <v>55</v>
      </c>
      <c r="E1017" s="16" t="s">
        <v>145</v>
      </c>
      <c r="F1017" s="16" t="s">
        <v>83</v>
      </c>
      <c r="G1017" s="22">
        <v>11.5</v>
      </c>
      <c r="H1017" s="18">
        <v>64.814999999999998</v>
      </c>
      <c r="I1017" s="18">
        <v>5.6360869569999998</v>
      </c>
      <c r="J1017" s="18">
        <v>5.79</v>
      </c>
      <c r="K1017" s="18">
        <v>5.57</v>
      </c>
      <c r="L1017" s="22">
        <v>13</v>
      </c>
    </row>
    <row r="1018" spans="1:12">
      <c r="A1018">
        <v>1</v>
      </c>
      <c r="B1018" s="16" t="s">
        <v>37</v>
      </c>
      <c r="C1018" s="9">
        <v>45748</v>
      </c>
      <c r="D1018">
        <v>55</v>
      </c>
      <c r="E1018" s="16" t="s">
        <v>145</v>
      </c>
      <c r="F1018" s="16" t="s">
        <v>83</v>
      </c>
      <c r="G1018" s="22">
        <v>12.5</v>
      </c>
      <c r="H1018" s="18">
        <v>70.81</v>
      </c>
      <c r="I1018" s="18">
        <v>5.6647999999999996</v>
      </c>
      <c r="J1018" s="18">
        <v>5.79</v>
      </c>
      <c r="K1018" s="18">
        <v>5.56</v>
      </c>
      <c r="L1018" s="22">
        <v>13</v>
      </c>
    </row>
    <row r="1019" spans="1:12">
      <c r="A1019">
        <v>1</v>
      </c>
      <c r="B1019" s="16" t="s">
        <v>37</v>
      </c>
      <c r="C1019" s="9">
        <v>45778</v>
      </c>
      <c r="D1019">
        <v>55</v>
      </c>
      <c r="E1019" s="16" t="s">
        <v>145</v>
      </c>
      <c r="F1019" s="16" t="s">
        <v>83</v>
      </c>
      <c r="G1019" s="22">
        <v>14.5</v>
      </c>
      <c r="H1019" s="18">
        <v>82.655000000000001</v>
      </c>
      <c r="I1019" s="18">
        <v>5.7003448280000004</v>
      </c>
      <c r="J1019" s="18">
        <v>5.85</v>
      </c>
      <c r="K1019" s="18">
        <v>5.56</v>
      </c>
      <c r="L1019" s="22">
        <v>13</v>
      </c>
    </row>
    <row r="1020" spans="1:12">
      <c r="A1020">
        <v>1</v>
      </c>
      <c r="B1020" s="16" t="s">
        <v>37</v>
      </c>
      <c r="C1020" s="9">
        <v>45809</v>
      </c>
      <c r="D1020">
        <v>55</v>
      </c>
      <c r="E1020" s="16" t="s">
        <v>145</v>
      </c>
      <c r="F1020" s="16" t="s">
        <v>83</v>
      </c>
      <c r="G1020" s="22">
        <v>13</v>
      </c>
      <c r="H1020" s="18">
        <v>74.41</v>
      </c>
      <c r="I1020" s="18">
        <v>5.7238461540000003</v>
      </c>
      <c r="J1020" s="18">
        <v>5.85</v>
      </c>
      <c r="K1020" s="18">
        <v>5.61</v>
      </c>
      <c r="L1020" s="22">
        <v>13</v>
      </c>
    </row>
    <row r="1021" spans="1:12">
      <c r="A1021">
        <v>1</v>
      </c>
      <c r="B1021" s="16" t="s">
        <v>37</v>
      </c>
      <c r="C1021" s="9">
        <v>45839</v>
      </c>
      <c r="D1021">
        <v>55</v>
      </c>
      <c r="E1021" s="16" t="s">
        <v>145</v>
      </c>
      <c r="F1021" s="16" t="s">
        <v>83</v>
      </c>
      <c r="G1021" s="22">
        <v>10.5</v>
      </c>
      <c r="H1021" s="18">
        <v>60.35</v>
      </c>
      <c r="I1021" s="18">
        <v>5.7476190479999998</v>
      </c>
      <c r="J1021" s="18">
        <v>5.87</v>
      </c>
      <c r="K1021" s="18">
        <v>5.63</v>
      </c>
      <c r="L1021" s="22">
        <v>11</v>
      </c>
    </row>
    <row r="1022" spans="1:12">
      <c r="A1022">
        <v>1</v>
      </c>
      <c r="B1022" s="16" t="s">
        <v>37</v>
      </c>
      <c r="C1022" s="9">
        <v>45870</v>
      </c>
      <c r="D1022">
        <v>55</v>
      </c>
      <c r="E1022" s="16" t="s">
        <v>145</v>
      </c>
      <c r="F1022" s="16" t="s">
        <v>83</v>
      </c>
      <c r="G1022" s="22">
        <v>13.5</v>
      </c>
      <c r="H1022" s="18">
        <v>77.709999999999994</v>
      </c>
      <c r="I1022" s="18">
        <v>5.7562962960000004</v>
      </c>
      <c r="J1022" s="18">
        <v>5.86</v>
      </c>
      <c r="K1022" s="18">
        <v>5.68</v>
      </c>
      <c r="L1022" s="22">
        <v>13</v>
      </c>
    </row>
    <row r="1023" spans="1:12">
      <c r="A1023">
        <v>1</v>
      </c>
      <c r="B1023" s="16" t="s">
        <v>37</v>
      </c>
      <c r="C1023" s="9">
        <v>45901</v>
      </c>
      <c r="D1023">
        <v>55</v>
      </c>
      <c r="E1023" s="16" t="s">
        <v>145</v>
      </c>
      <c r="F1023" s="16" t="s">
        <v>83</v>
      </c>
      <c r="G1023" s="22">
        <v>15</v>
      </c>
      <c r="H1023" s="18">
        <v>86.9</v>
      </c>
      <c r="I1023" s="18">
        <v>5.7933333329999996</v>
      </c>
      <c r="J1023" s="18">
        <v>5.88</v>
      </c>
      <c r="K1023" s="18">
        <v>5.71</v>
      </c>
      <c r="L1023" s="22">
        <v>13</v>
      </c>
    </row>
    <row r="1024" spans="1:12">
      <c r="A1024">
        <v>1</v>
      </c>
      <c r="B1024" s="16" t="s">
        <v>37</v>
      </c>
      <c r="C1024" s="9">
        <v>45931</v>
      </c>
      <c r="D1024">
        <v>55</v>
      </c>
      <c r="E1024" s="16" t="s">
        <v>145</v>
      </c>
      <c r="F1024" s="16" t="s">
        <v>83</v>
      </c>
      <c r="G1024" s="22">
        <v>16.5</v>
      </c>
      <c r="H1024" s="18">
        <v>94.86</v>
      </c>
      <c r="I1024" s="18">
        <v>5.7490909090000004</v>
      </c>
      <c r="J1024" s="18">
        <v>5.89</v>
      </c>
      <c r="K1024" s="18">
        <v>5.56</v>
      </c>
      <c r="L1024" s="22">
        <v>13</v>
      </c>
    </row>
    <row r="1025" spans="1:12">
      <c r="A1025">
        <v>1</v>
      </c>
      <c r="B1025" s="16" t="s">
        <v>37</v>
      </c>
      <c r="C1025" s="9">
        <v>45962</v>
      </c>
      <c r="D1025">
        <v>55</v>
      </c>
      <c r="E1025" s="16" t="s">
        <v>145</v>
      </c>
      <c r="F1025" s="16" t="s">
        <v>83</v>
      </c>
      <c r="G1025" s="22">
        <v>14</v>
      </c>
      <c r="H1025" s="18">
        <v>80.265000000000001</v>
      </c>
      <c r="I1025" s="18">
        <v>5.7332142859999999</v>
      </c>
      <c r="J1025" s="18">
        <v>5.85</v>
      </c>
      <c r="K1025" s="18">
        <v>5.64</v>
      </c>
      <c r="L1025" s="22">
        <v>12</v>
      </c>
    </row>
    <row r="1026" spans="1:12">
      <c r="A1026">
        <v>1</v>
      </c>
      <c r="B1026" s="16" t="s">
        <v>37</v>
      </c>
      <c r="C1026" s="9">
        <v>45992</v>
      </c>
      <c r="D1026">
        <v>55</v>
      </c>
      <c r="E1026" s="16" t="s">
        <v>145</v>
      </c>
      <c r="F1026" s="16" t="s">
        <v>83</v>
      </c>
      <c r="G1026" s="22">
        <v>13</v>
      </c>
      <c r="H1026" s="18">
        <v>74.84</v>
      </c>
      <c r="I1026" s="18">
        <v>5.7569230769999997</v>
      </c>
      <c r="J1026" s="18">
        <v>5.84</v>
      </c>
      <c r="K1026" s="18">
        <v>5.66</v>
      </c>
      <c r="L1026" s="22">
        <v>13</v>
      </c>
    </row>
    <row r="1027" spans="1:12">
      <c r="A1027">
        <v>1</v>
      </c>
      <c r="B1027" s="16" t="s">
        <v>37</v>
      </c>
      <c r="C1027" s="9">
        <v>46023</v>
      </c>
      <c r="D1027">
        <v>55</v>
      </c>
      <c r="E1027" s="16" t="s">
        <v>145</v>
      </c>
      <c r="F1027" s="16" t="s">
        <v>83</v>
      </c>
      <c r="G1027" s="22">
        <v>11</v>
      </c>
      <c r="H1027" s="18">
        <v>63.55</v>
      </c>
      <c r="I1027" s="18">
        <v>5.7772727269999997</v>
      </c>
      <c r="J1027" s="18">
        <v>5.88</v>
      </c>
      <c r="K1027" s="18">
        <v>5.64</v>
      </c>
      <c r="L1027" s="22">
        <v>11</v>
      </c>
    </row>
    <row r="1028" spans="1:12">
      <c r="A1028">
        <v>1</v>
      </c>
      <c r="B1028" s="16" t="s">
        <v>37</v>
      </c>
      <c r="C1028" s="9">
        <v>46054</v>
      </c>
      <c r="D1028">
        <v>55</v>
      </c>
      <c r="E1028" s="16" t="s">
        <v>145</v>
      </c>
      <c r="F1028" s="16" t="s">
        <v>83</v>
      </c>
      <c r="G1028" s="22">
        <v>10.5</v>
      </c>
      <c r="H1028" s="18">
        <v>61.77</v>
      </c>
      <c r="I1028" s="18">
        <v>5.8828571429999998</v>
      </c>
      <c r="J1028" s="18">
        <v>6.19</v>
      </c>
      <c r="K1028" s="18">
        <v>5.8</v>
      </c>
      <c r="L1028" s="22">
        <v>11</v>
      </c>
    </row>
    <row r="1029" spans="1:12">
      <c r="A1029">
        <v>1</v>
      </c>
      <c r="B1029" s="16" t="s">
        <v>37</v>
      </c>
      <c r="C1029" s="9">
        <v>46082</v>
      </c>
      <c r="D1029">
        <v>55</v>
      </c>
      <c r="E1029" s="16" t="s">
        <v>145</v>
      </c>
      <c r="F1029" s="16" t="s">
        <v>83</v>
      </c>
      <c r="G1029" s="22">
        <v>11</v>
      </c>
      <c r="H1029" s="18">
        <v>64.72</v>
      </c>
      <c r="I1029" s="18">
        <v>5.883636364</v>
      </c>
      <c r="J1029" s="18">
        <v>5.97</v>
      </c>
      <c r="K1029" s="18">
        <v>5.8</v>
      </c>
      <c r="L1029" s="22">
        <v>11</v>
      </c>
    </row>
    <row r="1030" spans="1:12">
      <c r="A1030">
        <v>1</v>
      </c>
      <c r="B1030" s="16" t="s">
        <v>37</v>
      </c>
      <c r="C1030" s="9">
        <v>46113</v>
      </c>
      <c r="D1030">
        <v>55</v>
      </c>
      <c r="E1030" s="16" t="s">
        <v>145</v>
      </c>
      <c r="F1030" s="16" t="s">
        <v>83</v>
      </c>
      <c r="G1030" s="22">
        <v>14</v>
      </c>
      <c r="H1030" s="18">
        <v>82.01</v>
      </c>
      <c r="I1030" s="18">
        <v>5.8578571430000004</v>
      </c>
      <c r="J1030" s="18">
        <v>5.99</v>
      </c>
      <c r="K1030" s="18">
        <v>5.77</v>
      </c>
      <c r="L1030" s="22">
        <v>13</v>
      </c>
    </row>
    <row r="1031" spans="1:12">
      <c r="A1031">
        <v>1</v>
      </c>
      <c r="B1031" s="16" t="s">
        <v>37</v>
      </c>
      <c r="C1031" s="9">
        <v>46143</v>
      </c>
      <c r="D1031">
        <v>55</v>
      </c>
      <c r="E1031" s="16" t="s">
        <v>145</v>
      </c>
      <c r="F1031" s="16" t="s">
        <v>83</v>
      </c>
      <c r="G1031" s="22">
        <v>16</v>
      </c>
      <c r="H1031" s="18">
        <v>93.66</v>
      </c>
      <c r="I1031" s="18">
        <v>5.8537499999999998</v>
      </c>
      <c r="J1031" s="18">
        <v>5.96</v>
      </c>
      <c r="K1031" s="18">
        <v>5.75</v>
      </c>
      <c r="L1031" s="22">
        <v>13</v>
      </c>
    </row>
    <row r="1032" spans="1:12">
      <c r="A1032">
        <v>1</v>
      </c>
      <c r="B1032" s="16" t="s">
        <v>37</v>
      </c>
      <c r="C1032" s="9">
        <v>46174</v>
      </c>
      <c r="D1032">
        <v>55</v>
      </c>
      <c r="E1032" s="16" t="s">
        <v>145</v>
      </c>
      <c r="F1032" s="16" t="s">
        <v>83</v>
      </c>
      <c r="G1032" s="22">
        <v>15.5</v>
      </c>
      <c r="H1032" s="18">
        <v>91.165000000000006</v>
      </c>
      <c r="I1032" s="18">
        <v>5.8816129029999997</v>
      </c>
      <c r="J1032" s="18">
        <v>6.15</v>
      </c>
      <c r="K1032" s="18">
        <v>5.73</v>
      </c>
      <c r="L1032" s="22">
        <v>13</v>
      </c>
    </row>
    <row r="1033" spans="1:12">
      <c r="A1033">
        <v>1</v>
      </c>
      <c r="B1033" s="16" t="s">
        <v>37</v>
      </c>
      <c r="C1033" s="9">
        <v>46204</v>
      </c>
      <c r="D1033">
        <v>55</v>
      </c>
      <c r="E1033" s="16" t="s">
        <v>145</v>
      </c>
      <c r="F1033" s="16" t="s">
        <v>83</v>
      </c>
      <c r="G1033" s="22">
        <v>19.5</v>
      </c>
      <c r="H1033" s="18">
        <v>116.575</v>
      </c>
      <c r="I1033" s="18">
        <v>5.9782051279999999</v>
      </c>
      <c r="J1033" s="18">
        <v>6.2</v>
      </c>
      <c r="K1033" s="18">
        <v>5.82</v>
      </c>
      <c r="L1033" s="22">
        <v>14</v>
      </c>
    </row>
    <row r="1034" spans="1:12">
      <c r="A1034">
        <v>1</v>
      </c>
      <c r="B1034" s="16" t="s">
        <v>37</v>
      </c>
      <c r="C1034" s="9">
        <v>46235</v>
      </c>
      <c r="D1034">
        <v>55</v>
      </c>
      <c r="E1034" s="16" t="s">
        <v>145</v>
      </c>
      <c r="F1034" s="16" t="s">
        <v>83</v>
      </c>
      <c r="G1034" s="22">
        <v>15</v>
      </c>
      <c r="H1034" s="18">
        <v>90.125</v>
      </c>
      <c r="I1034" s="18">
        <v>6.0083333330000004</v>
      </c>
      <c r="J1034" s="18">
        <v>6.13</v>
      </c>
      <c r="K1034" s="18">
        <v>5.91</v>
      </c>
      <c r="L1034" s="22">
        <v>13</v>
      </c>
    </row>
    <row r="1035" spans="1:12">
      <c r="A1035">
        <v>1</v>
      </c>
      <c r="B1035" s="16" t="s">
        <v>37</v>
      </c>
      <c r="C1035" s="9">
        <v>46266</v>
      </c>
      <c r="D1035">
        <v>55</v>
      </c>
      <c r="E1035" s="16" t="s">
        <v>145</v>
      </c>
      <c r="F1035" s="16" t="s">
        <v>83</v>
      </c>
      <c r="G1035" s="22">
        <v>17</v>
      </c>
      <c r="H1035" s="18">
        <v>103.44</v>
      </c>
      <c r="I1035" s="18">
        <v>6.0847058819999997</v>
      </c>
      <c r="J1035" s="18">
        <v>6.19</v>
      </c>
      <c r="K1035" s="18">
        <v>5.92</v>
      </c>
      <c r="L1035" s="22">
        <v>13</v>
      </c>
    </row>
    <row r="1036" spans="1:12">
      <c r="A1036">
        <v>1</v>
      </c>
      <c r="B1036" s="16" t="s">
        <v>37</v>
      </c>
      <c r="C1036" s="9">
        <v>45689</v>
      </c>
      <c r="D1036">
        <v>56</v>
      </c>
      <c r="E1036" s="16" t="s">
        <v>146</v>
      </c>
      <c r="F1036" s="16" t="s">
        <v>138</v>
      </c>
      <c r="G1036" s="22">
        <v>15.5</v>
      </c>
      <c r="H1036" s="18">
        <v>115.995</v>
      </c>
      <c r="I1036" s="18">
        <v>7.4835483869999999</v>
      </c>
      <c r="J1036" s="18">
        <v>7.69</v>
      </c>
      <c r="K1036" s="18">
        <v>7.31</v>
      </c>
      <c r="L1036" s="22">
        <v>12</v>
      </c>
    </row>
    <row r="1037" spans="1:12">
      <c r="A1037">
        <v>1</v>
      </c>
      <c r="B1037" s="16" t="s">
        <v>37</v>
      </c>
      <c r="C1037" s="9">
        <v>45717</v>
      </c>
      <c r="D1037">
        <v>56</v>
      </c>
      <c r="E1037" s="16" t="s">
        <v>146</v>
      </c>
      <c r="F1037" s="16" t="s">
        <v>138</v>
      </c>
      <c r="G1037" s="22">
        <v>17.75</v>
      </c>
      <c r="H1037" s="18">
        <v>132.22999999999999</v>
      </c>
      <c r="I1037" s="18">
        <v>7.449577465</v>
      </c>
      <c r="J1037" s="18">
        <v>7.6</v>
      </c>
      <c r="K1037" s="18">
        <v>7.34</v>
      </c>
      <c r="L1037" s="22">
        <v>13</v>
      </c>
    </row>
    <row r="1038" spans="1:12">
      <c r="A1038">
        <v>1</v>
      </c>
      <c r="B1038" s="16" t="s">
        <v>37</v>
      </c>
      <c r="C1038" s="9">
        <v>45748</v>
      </c>
      <c r="D1038">
        <v>56</v>
      </c>
      <c r="E1038" s="16" t="s">
        <v>146</v>
      </c>
      <c r="F1038" s="16" t="s">
        <v>138</v>
      </c>
      <c r="G1038" s="22">
        <v>24.25</v>
      </c>
      <c r="H1038" s="18">
        <v>183.77500000000001</v>
      </c>
      <c r="I1038" s="18">
        <v>7.5783505150000003</v>
      </c>
      <c r="J1038" s="18">
        <v>7.8</v>
      </c>
      <c r="K1038" s="18">
        <v>7.29</v>
      </c>
      <c r="L1038" s="22">
        <v>13</v>
      </c>
    </row>
    <row r="1039" spans="1:12">
      <c r="A1039">
        <v>1</v>
      </c>
      <c r="B1039" s="16" t="s">
        <v>37</v>
      </c>
      <c r="C1039" s="9">
        <v>45778</v>
      </c>
      <c r="D1039">
        <v>56</v>
      </c>
      <c r="E1039" s="16" t="s">
        <v>146</v>
      </c>
      <c r="F1039" s="16" t="s">
        <v>138</v>
      </c>
      <c r="G1039" s="22">
        <v>31.25</v>
      </c>
      <c r="H1039" s="18">
        <v>239.48750000000001</v>
      </c>
      <c r="I1039" s="18">
        <v>7.6635999999999997</v>
      </c>
      <c r="J1039" s="18">
        <v>8.06</v>
      </c>
      <c r="K1039" s="18">
        <v>7.53</v>
      </c>
      <c r="L1039" s="22">
        <v>13</v>
      </c>
    </row>
    <row r="1040" spans="1:12">
      <c r="A1040">
        <v>1</v>
      </c>
      <c r="B1040" s="16" t="s">
        <v>37</v>
      </c>
      <c r="C1040" s="9">
        <v>45809</v>
      </c>
      <c r="D1040">
        <v>56</v>
      </c>
      <c r="E1040" s="16" t="s">
        <v>146</v>
      </c>
      <c r="F1040" s="16" t="s">
        <v>138</v>
      </c>
      <c r="G1040" s="22">
        <v>31.75</v>
      </c>
      <c r="H1040" s="18">
        <v>242.46250000000001</v>
      </c>
      <c r="I1040" s="18">
        <v>7.6366141729999999</v>
      </c>
      <c r="J1040" s="18">
        <v>7.77</v>
      </c>
      <c r="K1040" s="18">
        <v>7.45</v>
      </c>
      <c r="L1040" s="22">
        <v>13</v>
      </c>
    </row>
    <row r="1041" spans="1:12">
      <c r="A1041">
        <v>1</v>
      </c>
      <c r="B1041" s="16" t="s">
        <v>37</v>
      </c>
      <c r="C1041" s="9">
        <v>45839</v>
      </c>
      <c r="D1041">
        <v>56</v>
      </c>
      <c r="E1041" s="16" t="s">
        <v>146</v>
      </c>
      <c r="F1041" s="16" t="s">
        <v>138</v>
      </c>
      <c r="G1041" s="22">
        <v>33.25</v>
      </c>
      <c r="H1041" s="18">
        <v>255.95</v>
      </c>
      <c r="I1041" s="18">
        <v>7.6977443609999998</v>
      </c>
      <c r="J1041" s="18">
        <v>7.87</v>
      </c>
      <c r="K1041" s="18">
        <v>7.39</v>
      </c>
      <c r="L1041" s="22">
        <v>13</v>
      </c>
    </row>
    <row r="1042" spans="1:12">
      <c r="A1042">
        <v>1</v>
      </c>
      <c r="B1042" s="16" t="s">
        <v>37</v>
      </c>
      <c r="C1042" s="9">
        <v>45870</v>
      </c>
      <c r="D1042">
        <v>56</v>
      </c>
      <c r="E1042" s="16" t="s">
        <v>146</v>
      </c>
      <c r="F1042" s="16" t="s">
        <v>138</v>
      </c>
      <c r="G1042" s="22">
        <v>30.25</v>
      </c>
      <c r="H1042" s="18">
        <v>234.16749999999999</v>
      </c>
      <c r="I1042" s="18">
        <v>7.7410743799999997</v>
      </c>
      <c r="J1042" s="18">
        <v>7.93</v>
      </c>
      <c r="K1042" s="18">
        <v>7.55</v>
      </c>
      <c r="L1042" s="22">
        <v>13</v>
      </c>
    </row>
    <row r="1043" spans="1:12">
      <c r="A1043">
        <v>1</v>
      </c>
      <c r="B1043" s="16" t="s">
        <v>37</v>
      </c>
      <c r="C1043" s="9">
        <v>45901</v>
      </c>
      <c r="D1043">
        <v>56</v>
      </c>
      <c r="E1043" s="16" t="s">
        <v>146</v>
      </c>
      <c r="F1043" s="16" t="s">
        <v>138</v>
      </c>
      <c r="G1043" s="22">
        <v>33.25</v>
      </c>
      <c r="H1043" s="18">
        <v>258.44499999999999</v>
      </c>
      <c r="I1043" s="18">
        <v>7.7727819550000001</v>
      </c>
      <c r="J1043" s="18">
        <v>8.0299999999999994</v>
      </c>
      <c r="K1043" s="18">
        <v>7.52</v>
      </c>
      <c r="L1043" s="22">
        <v>13</v>
      </c>
    </row>
    <row r="1044" spans="1:12">
      <c r="A1044">
        <v>1</v>
      </c>
      <c r="B1044" s="16" t="s">
        <v>37</v>
      </c>
      <c r="C1044" s="9">
        <v>45931</v>
      </c>
      <c r="D1044">
        <v>56</v>
      </c>
      <c r="E1044" s="16" t="s">
        <v>146</v>
      </c>
      <c r="F1044" s="16" t="s">
        <v>138</v>
      </c>
      <c r="G1044" s="22">
        <v>30</v>
      </c>
      <c r="H1044" s="18">
        <v>235.14250000000001</v>
      </c>
      <c r="I1044" s="18">
        <v>7.8380833330000002</v>
      </c>
      <c r="J1044" s="18">
        <v>7.93</v>
      </c>
      <c r="K1044" s="18">
        <v>7.69</v>
      </c>
      <c r="L1044" s="22">
        <v>14</v>
      </c>
    </row>
    <row r="1045" spans="1:12">
      <c r="A1045">
        <v>1</v>
      </c>
      <c r="B1045" s="16" t="s">
        <v>37</v>
      </c>
      <c r="C1045" s="9">
        <v>45962</v>
      </c>
      <c r="D1045">
        <v>56</v>
      </c>
      <c r="E1045" s="16" t="s">
        <v>146</v>
      </c>
      <c r="F1045" s="16" t="s">
        <v>138</v>
      </c>
      <c r="G1045" s="22">
        <v>21.75</v>
      </c>
      <c r="H1045" s="18">
        <v>179.26</v>
      </c>
      <c r="I1045" s="18">
        <v>8.2418390800000001</v>
      </c>
      <c r="J1045" s="18">
        <v>8.8699999999999992</v>
      </c>
      <c r="K1045" s="18">
        <v>7.73</v>
      </c>
      <c r="L1045" s="22">
        <v>12</v>
      </c>
    </row>
    <row r="1046" spans="1:12">
      <c r="A1046">
        <v>1</v>
      </c>
      <c r="B1046" s="16" t="s">
        <v>37</v>
      </c>
      <c r="C1046" s="9">
        <v>45992</v>
      </c>
      <c r="D1046">
        <v>56</v>
      </c>
      <c r="E1046" s="16" t="s">
        <v>146</v>
      </c>
      <c r="F1046" s="16" t="s">
        <v>138</v>
      </c>
      <c r="G1046" s="22">
        <v>19</v>
      </c>
      <c r="H1046" s="18">
        <v>168.31</v>
      </c>
      <c r="I1046" s="18">
        <v>8.8584210530000007</v>
      </c>
      <c r="J1046" s="18">
        <v>9.09</v>
      </c>
      <c r="K1046" s="18">
        <v>8.69</v>
      </c>
      <c r="L1046" s="22">
        <v>13</v>
      </c>
    </row>
    <row r="1047" spans="1:12">
      <c r="A1047">
        <v>1</v>
      </c>
      <c r="B1047" s="16" t="s">
        <v>37</v>
      </c>
      <c r="C1047" s="9">
        <v>46023</v>
      </c>
      <c r="D1047">
        <v>56</v>
      </c>
      <c r="E1047" s="16" t="s">
        <v>146</v>
      </c>
      <c r="F1047" s="16" t="s">
        <v>138</v>
      </c>
      <c r="G1047" s="22">
        <v>10.75</v>
      </c>
      <c r="H1047" s="18">
        <v>84.387500000000003</v>
      </c>
      <c r="I1047" s="18">
        <v>7.85</v>
      </c>
      <c r="J1047" s="18">
        <v>7.99</v>
      </c>
      <c r="K1047" s="18">
        <v>7.71</v>
      </c>
      <c r="L1047" s="22">
        <v>13</v>
      </c>
    </row>
    <row r="1048" spans="1:12">
      <c r="A1048">
        <v>1</v>
      </c>
      <c r="B1048" s="16" t="s">
        <v>37</v>
      </c>
      <c r="C1048" s="9">
        <v>46054</v>
      </c>
      <c r="D1048">
        <v>56</v>
      </c>
      <c r="E1048" s="16" t="s">
        <v>146</v>
      </c>
      <c r="F1048" s="16" t="s">
        <v>138</v>
      </c>
      <c r="G1048" s="22">
        <v>15.25</v>
      </c>
      <c r="H1048" s="18">
        <v>119.125</v>
      </c>
      <c r="I1048" s="18">
        <v>7.8114754099999999</v>
      </c>
      <c r="J1048" s="18">
        <v>7.91</v>
      </c>
      <c r="K1048" s="18">
        <v>7.71</v>
      </c>
      <c r="L1048" s="22">
        <v>12</v>
      </c>
    </row>
    <row r="1049" spans="1:12">
      <c r="A1049">
        <v>1</v>
      </c>
      <c r="B1049" s="16" t="s">
        <v>37</v>
      </c>
      <c r="C1049" s="9">
        <v>46082</v>
      </c>
      <c r="D1049">
        <v>56</v>
      </c>
      <c r="E1049" s="16" t="s">
        <v>146</v>
      </c>
      <c r="F1049" s="16" t="s">
        <v>138</v>
      </c>
      <c r="G1049" s="22">
        <v>17.5</v>
      </c>
      <c r="H1049" s="18">
        <v>137.96</v>
      </c>
      <c r="I1049" s="18">
        <v>7.8834285709999996</v>
      </c>
      <c r="J1049" s="18">
        <v>7.99</v>
      </c>
      <c r="K1049" s="18">
        <v>7.72</v>
      </c>
      <c r="L1049" s="22">
        <v>13</v>
      </c>
    </row>
    <row r="1050" spans="1:12">
      <c r="A1050">
        <v>1</v>
      </c>
      <c r="B1050" s="16" t="s">
        <v>37</v>
      </c>
      <c r="C1050" s="9">
        <v>46113</v>
      </c>
      <c r="D1050">
        <v>56</v>
      </c>
      <c r="E1050" s="16" t="s">
        <v>146</v>
      </c>
      <c r="F1050" s="16" t="s">
        <v>138</v>
      </c>
      <c r="G1050" s="22">
        <v>27.75</v>
      </c>
      <c r="H1050" s="18">
        <v>222.51750000000001</v>
      </c>
      <c r="I1050" s="18">
        <v>8.0186486489999993</v>
      </c>
      <c r="J1050" s="18">
        <v>8.23</v>
      </c>
      <c r="K1050" s="18">
        <v>7.74</v>
      </c>
      <c r="L1050" s="22">
        <v>13</v>
      </c>
    </row>
    <row r="1051" spans="1:12">
      <c r="A1051">
        <v>1</v>
      </c>
      <c r="B1051" s="16" t="s">
        <v>37</v>
      </c>
      <c r="C1051" s="9">
        <v>46143</v>
      </c>
      <c r="D1051">
        <v>56</v>
      </c>
      <c r="E1051" s="16" t="s">
        <v>146</v>
      </c>
      <c r="F1051" s="16" t="s">
        <v>138</v>
      </c>
      <c r="G1051" s="22">
        <v>29.25</v>
      </c>
      <c r="H1051" s="18">
        <v>238.20249999999999</v>
      </c>
      <c r="I1051" s="18">
        <v>8.1436752139999999</v>
      </c>
      <c r="J1051" s="18">
        <v>8.33</v>
      </c>
      <c r="K1051" s="18">
        <v>7.93</v>
      </c>
      <c r="L1051" s="22">
        <v>13</v>
      </c>
    </row>
    <row r="1052" spans="1:12">
      <c r="A1052">
        <v>1</v>
      </c>
      <c r="B1052" s="16" t="s">
        <v>37</v>
      </c>
      <c r="C1052" s="9">
        <v>46174</v>
      </c>
      <c r="D1052">
        <v>56</v>
      </c>
      <c r="E1052" s="16" t="s">
        <v>146</v>
      </c>
      <c r="F1052" s="16" t="s">
        <v>138</v>
      </c>
      <c r="G1052" s="22">
        <v>29</v>
      </c>
      <c r="H1052" s="18">
        <v>237.0625</v>
      </c>
      <c r="I1052" s="18">
        <v>8.1745689660000007</v>
      </c>
      <c r="J1052" s="18">
        <v>8.6</v>
      </c>
      <c r="K1052" s="18">
        <v>7.97</v>
      </c>
      <c r="L1052" s="22">
        <v>13</v>
      </c>
    </row>
    <row r="1053" spans="1:12">
      <c r="A1053">
        <v>1</v>
      </c>
      <c r="B1053" s="16" t="s">
        <v>37</v>
      </c>
      <c r="C1053" s="9">
        <v>46204</v>
      </c>
      <c r="D1053">
        <v>56</v>
      </c>
      <c r="E1053" s="16" t="s">
        <v>146</v>
      </c>
      <c r="F1053" s="16" t="s">
        <v>138</v>
      </c>
      <c r="G1053" s="22">
        <v>40.75</v>
      </c>
      <c r="H1053" s="18">
        <v>339.34750000000003</v>
      </c>
      <c r="I1053" s="18">
        <v>8.3275460120000009</v>
      </c>
      <c r="J1053" s="18">
        <v>8.74</v>
      </c>
      <c r="K1053" s="18">
        <v>8.0500000000000007</v>
      </c>
      <c r="L1053" s="22">
        <v>14</v>
      </c>
    </row>
    <row r="1054" spans="1:12">
      <c r="A1054">
        <v>1</v>
      </c>
      <c r="B1054" s="16" t="s">
        <v>37</v>
      </c>
      <c r="C1054" s="9">
        <v>46235</v>
      </c>
      <c r="D1054">
        <v>56</v>
      </c>
      <c r="E1054" s="16" t="s">
        <v>146</v>
      </c>
      <c r="F1054" s="16" t="s">
        <v>138</v>
      </c>
      <c r="G1054" s="22">
        <v>32.75</v>
      </c>
      <c r="H1054" s="18">
        <v>270.90249999999997</v>
      </c>
      <c r="I1054" s="18">
        <v>8.2718320609999996</v>
      </c>
      <c r="J1054" s="18">
        <v>8.3699999999999992</v>
      </c>
      <c r="K1054" s="18">
        <v>8.17</v>
      </c>
      <c r="L1054" s="22">
        <v>13</v>
      </c>
    </row>
    <row r="1055" spans="1:12">
      <c r="A1055">
        <v>1</v>
      </c>
      <c r="B1055" s="16" t="s">
        <v>37</v>
      </c>
      <c r="C1055" s="9">
        <v>46266</v>
      </c>
      <c r="D1055">
        <v>56</v>
      </c>
      <c r="E1055" s="16" t="s">
        <v>146</v>
      </c>
      <c r="F1055" s="16" t="s">
        <v>138</v>
      </c>
      <c r="G1055" s="22">
        <v>33.25</v>
      </c>
      <c r="H1055" s="18">
        <v>272.7475</v>
      </c>
      <c r="I1055" s="18">
        <v>8.2029323309999995</v>
      </c>
      <c r="J1055" s="18">
        <v>8.35</v>
      </c>
      <c r="K1055" s="18">
        <v>8.0500000000000007</v>
      </c>
      <c r="L1055" s="22">
        <v>13</v>
      </c>
    </row>
    <row r="1056" spans="1:12">
      <c r="A1056">
        <v>2</v>
      </c>
      <c r="B1056" s="16" t="s">
        <v>56</v>
      </c>
      <c r="C1056" s="9">
        <v>45689</v>
      </c>
      <c r="D1056">
        <v>1</v>
      </c>
      <c r="E1056" s="16" t="s">
        <v>80</v>
      </c>
      <c r="F1056" s="16" t="s">
        <v>81</v>
      </c>
      <c r="G1056" s="22">
        <v>12</v>
      </c>
      <c r="H1056" s="18">
        <v>130.68</v>
      </c>
      <c r="I1056" s="18">
        <v>10.89</v>
      </c>
      <c r="J1056" s="18">
        <v>10.89</v>
      </c>
      <c r="K1056" s="18">
        <v>10.89</v>
      </c>
      <c r="L1056" s="22">
        <v>1</v>
      </c>
    </row>
    <row r="1057" spans="1:12">
      <c r="A1057">
        <v>2</v>
      </c>
      <c r="B1057" s="16" t="s">
        <v>56</v>
      </c>
      <c r="C1057" s="9">
        <v>45717</v>
      </c>
      <c r="D1057">
        <v>1</v>
      </c>
      <c r="E1057" s="16" t="s">
        <v>80</v>
      </c>
      <c r="F1057" s="16" t="s">
        <v>81</v>
      </c>
      <c r="G1057" s="22">
        <v>12</v>
      </c>
      <c r="H1057" s="18">
        <v>153.72</v>
      </c>
      <c r="I1057" s="18">
        <v>12.81</v>
      </c>
      <c r="J1057" s="18">
        <v>12.81</v>
      </c>
      <c r="K1057" s="18">
        <v>12.81</v>
      </c>
      <c r="L1057" s="22">
        <v>1</v>
      </c>
    </row>
    <row r="1058" spans="1:12">
      <c r="A1058">
        <v>2</v>
      </c>
      <c r="B1058" s="16" t="s">
        <v>56</v>
      </c>
      <c r="C1058" s="9">
        <v>45748</v>
      </c>
      <c r="D1058">
        <v>1</v>
      </c>
      <c r="E1058" s="16" t="s">
        <v>80</v>
      </c>
      <c r="F1058" s="16" t="s">
        <v>81</v>
      </c>
      <c r="G1058" s="22">
        <v>24</v>
      </c>
      <c r="H1058" s="18">
        <v>304.2</v>
      </c>
      <c r="I1058" s="18">
        <v>12.675000000000001</v>
      </c>
      <c r="J1058" s="18">
        <v>12.69</v>
      </c>
      <c r="K1058" s="18">
        <v>12.66</v>
      </c>
      <c r="L1058" s="22">
        <v>2</v>
      </c>
    </row>
    <row r="1059" spans="1:12">
      <c r="A1059">
        <v>2</v>
      </c>
      <c r="B1059" s="16" t="s">
        <v>56</v>
      </c>
      <c r="C1059" s="9">
        <v>45778</v>
      </c>
      <c r="D1059">
        <v>1</v>
      </c>
      <c r="E1059" s="16" t="s">
        <v>80</v>
      </c>
      <c r="F1059" s="16" t="s">
        <v>81</v>
      </c>
      <c r="G1059" s="22">
        <v>24</v>
      </c>
      <c r="H1059" s="18">
        <v>309.36</v>
      </c>
      <c r="I1059" s="18">
        <v>12.89</v>
      </c>
      <c r="J1059" s="18">
        <v>13.01</v>
      </c>
      <c r="K1059" s="18">
        <v>12.77</v>
      </c>
      <c r="L1059" s="22">
        <v>2</v>
      </c>
    </row>
    <row r="1060" spans="1:12">
      <c r="A1060">
        <v>2</v>
      </c>
      <c r="B1060" s="16" t="s">
        <v>56</v>
      </c>
      <c r="C1060" s="9">
        <v>45809</v>
      </c>
      <c r="D1060">
        <v>1</v>
      </c>
      <c r="E1060" s="16" t="s">
        <v>80</v>
      </c>
      <c r="F1060" s="16" t="s">
        <v>81</v>
      </c>
      <c r="G1060" s="22">
        <v>12</v>
      </c>
      <c r="H1060" s="18">
        <v>155.16</v>
      </c>
      <c r="I1060" s="18">
        <v>12.93</v>
      </c>
      <c r="J1060" s="18">
        <v>12.93</v>
      </c>
      <c r="K1060" s="18">
        <v>12.93</v>
      </c>
      <c r="L1060" s="22">
        <v>1</v>
      </c>
    </row>
    <row r="1061" spans="1:12">
      <c r="A1061">
        <v>2</v>
      </c>
      <c r="B1061" s="16" t="s">
        <v>56</v>
      </c>
      <c r="C1061" s="9">
        <v>45839</v>
      </c>
      <c r="D1061">
        <v>1</v>
      </c>
      <c r="E1061" s="16" t="s">
        <v>80</v>
      </c>
      <c r="F1061" s="16" t="s">
        <v>81</v>
      </c>
      <c r="G1061" s="22">
        <v>24</v>
      </c>
      <c r="H1061" s="18">
        <v>261.36</v>
      </c>
      <c r="I1061" s="18">
        <v>10.89</v>
      </c>
      <c r="J1061" s="18">
        <v>10.97</v>
      </c>
      <c r="K1061" s="18">
        <v>10.81</v>
      </c>
      <c r="L1061" s="22">
        <v>2</v>
      </c>
    </row>
    <row r="1062" spans="1:12">
      <c r="A1062">
        <v>2</v>
      </c>
      <c r="B1062" s="16" t="s">
        <v>56</v>
      </c>
      <c r="C1062" s="9">
        <v>45870</v>
      </c>
      <c r="D1062">
        <v>1</v>
      </c>
      <c r="E1062" s="16" t="s">
        <v>80</v>
      </c>
      <c r="F1062" s="16" t="s">
        <v>81</v>
      </c>
      <c r="G1062" s="22">
        <v>12</v>
      </c>
      <c r="H1062" s="18">
        <v>127.8</v>
      </c>
      <c r="I1062" s="18">
        <v>10.65</v>
      </c>
      <c r="J1062" s="18">
        <v>10.65</v>
      </c>
      <c r="K1062" s="18">
        <v>10.65</v>
      </c>
      <c r="L1062" s="22">
        <v>1</v>
      </c>
    </row>
    <row r="1063" spans="1:12">
      <c r="A1063">
        <v>2</v>
      </c>
      <c r="B1063" s="16" t="s">
        <v>56</v>
      </c>
      <c r="C1063" s="9">
        <v>45901</v>
      </c>
      <c r="D1063">
        <v>1</v>
      </c>
      <c r="E1063" s="16" t="s">
        <v>80</v>
      </c>
      <c r="F1063" s="16" t="s">
        <v>81</v>
      </c>
      <c r="G1063" s="22">
        <v>24</v>
      </c>
      <c r="H1063" s="18">
        <v>259.44</v>
      </c>
      <c r="I1063" s="18">
        <v>10.81</v>
      </c>
      <c r="J1063" s="18">
        <v>10.91</v>
      </c>
      <c r="K1063" s="18">
        <v>10.71</v>
      </c>
      <c r="L1063" s="22">
        <v>2</v>
      </c>
    </row>
    <row r="1064" spans="1:12">
      <c r="A1064">
        <v>2</v>
      </c>
      <c r="B1064" s="16" t="s">
        <v>56</v>
      </c>
      <c r="C1064" s="9">
        <v>45931</v>
      </c>
      <c r="D1064">
        <v>1</v>
      </c>
      <c r="E1064" s="16" t="s">
        <v>80</v>
      </c>
      <c r="F1064" s="16" t="s">
        <v>81</v>
      </c>
      <c r="G1064" s="22">
        <v>24</v>
      </c>
      <c r="H1064" s="18">
        <v>262.68</v>
      </c>
      <c r="I1064" s="18">
        <v>10.945</v>
      </c>
      <c r="J1064" s="18">
        <v>11.04</v>
      </c>
      <c r="K1064" s="18">
        <v>10.85</v>
      </c>
      <c r="L1064" s="22">
        <v>2</v>
      </c>
    </row>
    <row r="1065" spans="1:12">
      <c r="A1065">
        <v>2</v>
      </c>
      <c r="B1065" s="16" t="s">
        <v>56</v>
      </c>
      <c r="C1065" s="9">
        <v>45962</v>
      </c>
      <c r="D1065">
        <v>1</v>
      </c>
      <c r="E1065" s="16" t="s">
        <v>80</v>
      </c>
      <c r="F1065" s="16" t="s">
        <v>81</v>
      </c>
      <c r="G1065" s="22">
        <v>12</v>
      </c>
      <c r="H1065" s="18">
        <v>132.36000000000001</v>
      </c>
      <c r="I1065" s="18">
        <v>11.03</v>
      </c>
      <c r="J1065" s="18">
        <v>11.03</v>
      </c>
      <c r="K1065" s="18">
        <v>11.03</v>
      </c>
      <c r="L1065" s="22">
        <v>1</v>
      </c>
    </row>
    <row r="1066" spans="1:12">
      <c r="A1066">
        <v>2</v>
      </c>
      <c r="B1066" s="16" t="s">
        <v>56</v>
      </c>
      <c r="C1066" s="9">
        <v>45992</v>
      </c>
      <c r="D1066">
        <v>1</v>
      </c>
      <c r="E1066" s="16" t="s">
        <v>80</v>
      </c>
      <c r="F1066" s="16" t="s">
        <v>81</v>
      </c>
      <c r="G1066" s="22">
        <v>36</v>
      </c>
      <c r="H1066" s="18">
        <v>404.52</v>
      </c>
      <c r="I1066" s="18">
        <v>11.236666667</v>
      </c>
      <c r="J1066" s="18">
        <v>11.64</v>
      </c>
      <c r="K1066" s="18">
        <v>11</v>
      </c>
      <c r="L1066" s="22">
        <v>3</v>
      </c>
    </row>
    <row r="1067" spans="1:12">
      <c r="A1067">
        <v>2</v>
      </c>
      <c r="B1067" s="16" t="s">
        <v>56</v>
      </c>
      <c r="C1067" s="9">
        <v>46023</v>
      </c>
      <c r="D1067">
        <v>1</v>
      </c>
      <c r="E1067" s="16" t="s">
        <v>80</v>
      </c>
      <c r="F1067" s="16" t="s">
        <v>81</v>
      </c>
      <c r="G1067" s="22">
        <v>12</v>
      </c>
      <c r="H1067" s="18">
        <v>126.96</v>
      </c>
      <c r="I1067" s="18">
        <v>10.58</v>
      </c>
      <c r="J1067" s="18">
        <v>10.58</v>
      </c>
      <c r="K1067" s="18">
        <v>10.58</v>
      </c>
      <c r="L1067" s="22">
        <v>1</v>
      </c>
    </row>
    <row r="1068" spans="1:12">
      <c r="A1068">
        <v>2</v>
      </c>
      <c r="B1068" s="16" t="s">
        <v>56</v>
      </c>
      <c r="C1068" s="9">
        <v>46054</v>
      </c>
      <c r="D1068">
        <v>1</v>
      </c>
      <c r="E1068" s="16" t="s">
        <v>80</v>
      </c>
      <c r="F1068" s="16" t="s">
        <v>81</v>
      </c>
      <c r="G1068" s="22">
        <v>12</v>
      </c>
      <c r="H1068" s="18">
        <v>129.84</v>
      </c>
      <c r="I1068" s="18">
        <v>10.82</v>
      </c>
      <c r="J1068" s="18">
        <v>10.82</v>
      </c>
      <c r="K1068" s="18">
        <v>10.82</v>
      </c>
      <c r="L1068" s="22">
        <v>1</v>
      </c>
    </row>
    <row r="1069" spans="1:12">
      <c r="A1069">
        <v>2</v>
      </c>
      <c r="B1069" s="16" t="s">
        <v>56</v>
      </c>
      <c r="C1069" s="9">
        <v>46082</v>
      </c>
      <c r="D1069">
        <v>1</v>
      </c>
      <c r="E1069" s="16" t="s">
        <v>80</v>
      </c>
      <c r="F1069" s="16" t="s">
        <v>81</v>
      </c>
      <c r="G1069" s="22">
        <v>24</v>
      </c>
      <c r="H1069" s="18">
        <v>307.32</v>
      </c>
      <c r="I1069" s="18">
        <v>12.805</v>
      </c>
      <c r="J1069" s="18">
        <v>12.88</v>
      </c>
      <c r="K1069" s="18">
        <v>12.73</v>
      </c>
      <c r="L1069" s="22">
        <v>2</v>
      </c>
    </row>
    <row r="1070" spans="1:12">
      <c r="A1070">
        <v>2</v>
      </c>
      <c r="B1070" s="16" t="s">
        <v>56</v>
      </c>
      <c r="C1070" s="9">
        <v>46113</v>
      </c>
      <c r="D1070">
        <v>1</v>
      </c>
      <c r="E1070" s="16" t="s">
        <v>80</v>
      </c>
      <c r="F1070" s="16" t="s">
        <v>81</v>
      </c>
      <c r="G1070" s="22">
        <v>12</v>
      </c>
      <c r="H1070" s="18">
        <v>154.44</v>
      </c>
      <c r="I1070" s="18">
        <v>12.87</v>
      </c>
      <c r="J1070" s="18">
        <v>12.87</v>
      </c>
      <c r="K1070" s="18">
        <v>12.87</v>
      </c>
      <c r="L1070" s="22">
        <v>1</v>
      </c>
    </row>
    <row r="1071" spans="1:12">
      <c r="A1071">
        <v>2</v>
      </c>
      <c r="B1071" s="16" t="s">
        <v>56</v>
      </c>
      <c r="C1071" s="9">
        <v>46143</v>
      </c>
      <c r="D1071">
        <v>1</v>
      </c>
      <c r="E1071" s="16" t="s">
        <v>80</v>
      </c>
      <c r="F1071" s="16" t="s">
        <v>81</v>
      </c>
      <c r="G1071" s="22">
        <v>24</v>
      </c>
      <c r="H1071" s="18">
        <v>309.60000000000002</v>
      </c>
      <c r="I1071" s="18">
        <v>12.9</v>
      </c>
      <c r="J1071" s="18">
        <v>13.17</v>
      </c>
      <c r="K1071" s="18">
        <v>12.63</v>
      </c>
      <c r="L1071" s="22">
        <v>2</v>
      </c>
    </row>
    <row r="1072" spans="1:12">
      <c r="A1072">
        <v>2</v>
      </c>
      <c r="B1072" s="16" t="s">
        <v>56</v>
      </c>
      <c r="C1072" s="9">
        <v>46174</v>
      </c>
      <c r="D1072">
        <v>1</v>
      </c>
      <c r="E1072" s="16" t="s">
        <v>80</v>
      </c>
      <c r="F1072" s="16" t="s">
        <v>81</v>
      </c>
      <c r="G1072" s="22">
        <v>24</v>
      </c>
      <c r="H1072" s="18">
        <v>304.44</v>
      </c>
      <c r="I1072" s="18">
        <v>12.685</v>
      </c>
      <c r="J1072" s="18">
        <v>12.87</v>
      </c>
      <c r="K1072" s="18">
        <v>12.5</v>
      </c>
      <c r="L1072" s="22">
        <v>2</v>
      </c>
    </row>
    <row r="1073" spans="1:12">
      <c r="A1073">
        <v>2</v>
      </c>
      <c r="B1073" s="16" t="s">
        <v>56</v>
      </c>
      <c r="C1073" s="9">
        <v>46204</v>
      </c>
      <c r="D1073">
        <v>1</v>
      </c>
      <c r="E1073" s="16" t="s">
        <v>80</v>
      </c>
      <c r="F1073" s="16" t="s">
        <v>81</v>
      </c>
      <c r="G1073" s="22">
        <v>24</v>
      </c>
      <c r="H1073" s="18">
        <v>252.12</v>
      </c>
      <c r="I1073" s="18">
        <v>10.505000000000001</v>
      </c>
      <c r="J1073" s="18">
        <v>10.68</v>
      </c>
      <c r="K1073" s="18">
        <v>10.33</v>
      </c>
      <c r="L1073" s="22">
        <v>2</v>
      </c>
    </row>
    <row r="1074" spans="1:12">
      <c r="A1074">
        <v>2</v>
      </c>
      <c r="B1074" s="16" t="s">
        <v>56</v>
      </c>
      <c r="C1074" s="9">
        <v>46235</v>
      </c>
      <c r="D1074">
        <v>1</v>
      </c>
      <c r="E1074" s="16" t="s">
        <v>80</v>
      </c>
      <c r="F1074" s="16" t="s">
        <v>81</v>
      </c>
      <c r="G1074" s="22">
        <v>24</v>
      </c>
      <c r="H1074" s="18">
        <v>254.04</v>
      </c>
      <c r="I1074" s="18">
        <v>10.585000000000001</v>
      </c>
      <c r="J1074" s="18">
        <v>10.59</v>
      </c>
      <c r="K1074" s="18">
        <v>10.58</v>
      </c>
      <c r="L1074" s="22">
        <v>2</v>
      </c>
    </row>
    <row r="1075" spans="1:12">
      <c r="A1075">
        <v>2</v>
      </c>
      <c r="B1075" s="16" t="s">
        <v>56</v>
      </c>
      <c r="C1075" s="9">
        <v>46266</v>
      </c>
      <c r="D1075">
        <v>1</v>
      </c>
      <c r="E1075" s="16" t="s">
        <v>80</v>
      </c>
      <c r="F1075" s="16" t="s">
        <v>81</v>
      </c>
      <c r="G1075" s="22">
        <v>12</v>
      </c>
      <c r="H1075" s="18">
        <v>125.88</v>
      </c>
      <c r="I1075" s="18">
        <v>10.49</v>
      </c>
      <c r="J1075" s="18">
        <v>10.49</v>
      </c>
      <c r="K1075" s="18">
        <v>10.49</v>
      </c>
      <c r="L1075" s="22">
        <v>1</v>
      </c>
    </row>
    <row r="1076" spans="1:12">
      <c r="A1076">
        <v>2</v>
      </c>
      <c r="B1076" s="16" t="s">
        <v>56</v>
      </c>
      <c r="C1076" s="9">
        <v>45689</v>
      </c>
      <c r="D1076">
        <v>2</v>
      </c>
      <c r="E1076" s="16" t="s">
        <v>82</v>
      </c>
      <c r="F1076" s="16" t="s">
        <v>83</v>
      </c>
      <c r="G1076" s="22">
        <v>16.5</v>
      </c>
      <c r="H1076" s="18">
        <v>265.33</v>
      </c>
      <c r="I1076" s="18">
        <v>16.080606061000001</v>
      </c>
      <c r="J1076" s="18">
        <v>16.37</v>
      </c>
      <c r="K1076" s="18">
        <v>15.84</v>
      </c>
      <c r="L1076" s="22">
        <v>8</v>
      </c>
    </row>
    <row r="1077" spans="1:12">
      <c r="A1077">
        <v>2</v>
      </c>
      <c r="B1077" s="16" t="s">
        <v>56</v>
      </c>
      <c r="C1077" s="9">
        <v>45717</v>
      </c>
      <c r="D1077">
        <v>2</v>
      </c>
      <c r="E1077" s="16" t="s">
        <v>82</v>
      </c>
      <c r="F1077" s="16" t="s">
        <v>83</v>
      </c>
      <c r="G1077" s="22">
        <v>21</v>
      </c>
      <c r="H1077" s="18">
        <v>336.40499999999997</v>
      </c>
      <c r="I1077" s="18">
        <v>16.019285713999999</v>
      </c>
      <c r="J1077" s="18">
        <v>16.2</v>
      </c>
      <c r="K1077" s="18">
        <v>15.74</v>
      </c>
      <c r="L1077" s="22">
        <v>9</v>
      </c>
    </row>
    <row r="1078" spans="1:12">
      <c r="A1078">
        <v>2</v>
      </c>
      <c r="B1078" s="16" t="s">
        <v>56</v>
      </c>
      <c r="C1078" s="9">
        <v>45748</v>
      </c>
      <c r="D1078">
        <v>2</v>
      </c>
      <c r="E1078" s="16" t="s">
        <v>82</v>
      </c>
      <c r="F1078" s="16" t="s">
        <v>83</v>
      </c>
      <c r="G1078" s="22">
        <v>17.5</v>
      </c>
      <c r="H1078" s="18">
        <v>283.22000000000003</v>
      </c>
      <c r="I1078" s="18">
        <v>16.184000000000001</v>
      </c>
      <c r="J1078" s="18">
        <v>16.36</v>
      </c>
      <c r="K1078" s="18">
        <v>16</v>
      </c>
      <c r="L1078" s="22">
        <v>8</v>
      </c>
    </row>
    <row r="1079" spans="1:12">
      <c r="A1079">
        <v>2</v>
      </c>
      <c r="B1079" s="16" t="s">
        <v>56</v>
      </c>
      <c r="C1079" s="9">
        <v>45778</v>
      </c>
      <c r="D1079">
        <v>2</v>
      </c>
      <c r="E1079" s="16" t="s">
        <v>82</v>
      </c>
      <c r="F1079" s="16" t="s">
        <v>83</v>
      </c>
      <c r="G1079" s="22">
        <v>20</v>
      </c>
      <c r="H1079" s="18">
        <v>326.28500000000003</v>
      </c>
      <c r="I1079" s="18">
        <v>16.314250000000001</v>
      </c>
      <c r="J1079" s="18">
        <v>17.22</v>
      </c>
      <c r="K1079" s="18">
        <v>15.87</v>
      </c>
      <c r="L1079" s="22">
        <v>9</v>
      </c>
    </row>
    <row r="1080" spans="1:12">
      <c r="A1080">
        <v>2</v>
      </c>
      <c r="B1080" s="16" t="s">
        <v>56</v>
      </c>
      <c r="C1080" s="9">
        <v>45809</v>
      </c>
      <c r="D1080">
        <v>2</v>
      </c>
      <c r="E1080" s="16" t="s">
        <v>82</v>
      </c>
      <c r="F1080" s="16" t="s">
        <v>83</v>
      </c>
      <c r="G1080" s="22">
        <v>15.5</v>
      </c>
      <c r="H1080" s="18">
        <v>254.55500000000001</v>
      </c>
      <c r="I1080" s="18">
        <v>16.422903225999999</v>
      </c>
      <c r="J1080" s="18">
        <v>17.48</v>
      </c>
      <c r="K1080" s="18">
        <v>15.99</v>
      </c>
      <c r="L1080" s="22">
        <v>9</v>
      </c>
    </row>
    <row r="1081" spans="1:12">
      <c r="A1081">
        <v>2</v>
      </c>
      <c r="B1081" s="16" t="s">
        <v>56</v>
      </c>
      <c r="C1081" s="9">
        <v>45839</v>
      </c>
      <c r="D1081">
        <v>2</v>
      </c>
      <c r="E1081" s="16" t="s">
        <v>82</v>
      </c>
      <c r="F1081" s="16" t="s">
        <v>83</v>
      </c>
      <c r="G1081" s="22">
        <v>15</v>
      </c>
      <c r="H1081" s="18">
        <v>266.07</v>
      </c>
      <c r="I1081" s="18">
        <v>17.738</v>
      </c>
      <c r="J1081" s="18">
        <v>18.53</v>
      </c>
      <c r="K1081" s="18">
        <v>17.43</v>
      </c>
      <c r="L1081" s="22">
        <v>9</v>
      </c>
    </row>
    <row r="1082" spans="1:12">
      <c r="A1082">
        <v>2</v>
      </c>
      <c r="B1082" s="16" t="s">
        <v>56</v>
      </c>
      <c r="C1082" s="9">
        <v>45870</v>
      </c>
      <c r="D1082">
        <v>2</v>
      </c>
      <c r="E1082" s="16" t="s">
        <v>82</v>
      </c>
      <c r="F1082" s="16" t="s">
        <v>83</v>
      </c>
      <c r="G1082" s="22">
        <v>12.5</v>
      </c>
      <c r="H1082" s="18">
        <v>221.29</v>
      </c>
      <c r="I1082" s="18">
        <v>17.703199999999999</v>
      </c>
      <c r="J1082" s="18">
        <v>17.91</v>
      </c>
      <c r="K1082" s="18">
        <v>17.45</v>
      </c>
      <c r="L1082" s="22">
        <v>8</v>
      </c>
    </row>
    <row r="1083" spans="1:12">
      <c r="A1083">
        <v>2</v>
      </c>
      <c r="B1083" s="16" t="s">
        <v>56</v>
      </c>
      <c r="C1083" s="9">
        <v>45901</v>
      </c>
      <c r="D1083">
        <v>2</v>
      </c>
      <c r="E1083" s="16" t="s">
        <v>82</v>
      </c>
      <c r="F1083" s="16" t="s">
        <v>83</v>
      </c>
      <c r="G1083" s="22">
        <v>17.5</v>
      </c>
      <c r="H1083" s="18">
        <v>312.49</v>
      </c>
      <c r="I1083" s="18">
        <v>17.856571428999999</v>
      </c>
      <c r="J1083" s="18">
        <v>17.989999999999998</v>
      </c>
      <c r="K1083" s="18">
        <v>17.690000000000001</v>
      </c>
      <c r="L1083" s="22">
        <v>9</v>
      </c>
    </row>
    <row r="1084" spans="1:12">
      <c r="A1084">
        <v>2</v>
      </c>
      <c r="B1084" s="16" t="s">
        <v>56</v>
      </c>
      <c r="C1084" s="9">
        <v>45931</v>
      </c>
      <c r="D1084">
        <v>2</v>
      </c>
      <c r="E1084" s="16" t="s">
        <v>82</v>
      </c>
      <c r="F1084" s="16" t="s">
        <v>83</v>
      </c>
      <c r="G1084" s="22">
        <v>20.5</v>
      </c>
      <c r="H1084" s="18">
        <v>370.19</v>
      </c>
      <c r="I1084" s="18">
        <v>18.05804878</v>
      </c>
      <c r="J1084" s="18">
        <v>18.420000000000002</v>
      </c>
      <c r="K1084" s="18">
        <v>17.64</v>
      </c>
      <c r="L1084" s="22">
        <v>9</v>
      </c>
    </row>
    <row r="1085" spans="1:12">
      <c r="A1085">
        <v>2</v>
      </c>
      <c r="B1085" s="16" t="s">
        <v>56</v>
      </c>
      <c r="C1085" s="9">
        <v>45962</v>
      </c>
      <c r="D1085">
        <v>2</v>
      </c>
      <c r="E1085" s="16" t="s">
        <v>82</v>
      </c>
      <c r="F1085" s="16" t="s">
        <v>83</v>
      </c>
      <c r="G1085" s="22">
        <v>17.5</v>
      </c>
      <c r="H1085" s="18">
        <v>317.19</v>
      </c>
      <c r="I1085" s="18">
        <v>18.125142857</v>
      </c>
      <c r="J1085" s="18">
        <v>18.45</v>
      </c>
      <c r="K1085" s="18">
        <v>17.600000000000001</v>
      </c>
      <c r="L1085" s="22">
        <v>8</v>
      </c>
    </row>
    <row r="1086" spans="1:12">
      <c r="A1086">
        <v>2</v>
      </c>
      <c r="B1086" s="16" t="s">
        <v>56</v>
      </c>
      <c r="C1086" s="9">
        <v>45992</v>
      </c>
      <c r="D1086">
        <v>2</v>
      </c>
      <c r="E1086" s="16" t="s">
        <v>82</v>
      </c>
      <c r="F1086" s="16" t="s">
        <v>83</v>
      </c>
      <c r="G1086" s="22">
        <v>24</v>
      </c>
      <c r="H1086" s="18">
        <v>437.35500000000002</v>
      </c>
      <c r="I1086" s="18">
        <v>18.223125</v>
      </c>
      <c r="J1086" s="18">
        <v>18.55</v>
      </c>
      <c r="K1086" s="18">
        <v>18.010000000000002</v>
      </c>
      <c r="L1086" s="22">
        <v>9</v>
      </c>
    </row>
    <row r="1087" spans="1:12">
      <c r="A1087">
        <v>2</v>
      </c>
      <c r="B1087" s="16" t="s">
        <v>56</v>
      </c>
      <c r="C1087" s="9">
        <v>46023</v>
      </c>
      <c r="D1087">
        <v>2</v>
      </c>
      <c r="E1087" s="16" t="s">
        <v>82</v>
      </c>
      <c r="F1087" s="16" t="s">
        <v>83</v>
      </c>
      <c r="G1087" s="22">
        <v>19.5</v>
      </c>
      <c r="H1087" s="18">
        <v>333.28</v>
      </c>
      <c r="I1087" s="18">
        <v>17.091282051</v>
      </c>
      <c r="J1087" s="18">
        <v>17.48</v>
      </c>
      <c r="K1087" s="18">
        <v>16.77</v>
      </c>
      <c r="L1087" s="22">
        <v>9</v>
      </c>
    </row>
    <row r="1088" spans="1:12">
      <c r="A1088">
        <v>2</v>
      </c>
      <c r="B1088" s="16" t="s">
        <v>56</v>
      </c>
      <c r="C1088" s="9">
        <v>46054</v>
      </c>
      <c r="D1088">
        <v>2</v>
      </c>
      <c r="E1088" s="16" t="s">
        <v>82</v>
      </c>
      <c r="F1088" s="16" t="s">
        <v>83</v>
      </c>
      <c r="G1088" s="22">
        <v>17.5</v>
      </c>
      <c r="H1088" s="18">
        <v>300.41000000000003</v>
      </c>
      <c r="I1088" s="18">
        <v>17.166285714000001</v>
      </c>
      <c r="J1088" s="18">
        <v>17.54</v>
      </c>
      <c r="K1088" s="18">
        <v>16.940000000000001</v>
      </c>
      <c r="L1088" s="22">
        <v>8</v>
      </c>
    </row>
    <row r="1089" spans="1:12">
      <c r="A1089">
        <v>2</v>
      </c>
      <c r="B1089" s="16" t="s">
        <v>56</v>
      </c>
      <c r="C1089" s="9">
        <v>46082</v>
      </c>
      <c r="D1089">
        <v>2</v>
      </c>
      <c r="E1089" s="16" t="s">
        <v>82</v>
      </c>
      <c r="F1089" s="16" t="s">
        <v>83</v>
      </c>
      <c r="G1089" s="22">
        <v>19</v>
      </c>
      <c r="H1089" s="18">
        <v>326.7</v>
      </c>
      <c r="I1089" s="18">
        <v>17.194736842000001</v>
      </c>
      <c r="J1089" s="18">
        <v>17.510000000000002</v>
      </c>
      <c r="K1089" s="18">
        <v>16.8</v>
      </c>
      <c r="L1089" s="22">
        <v>9</v>
      </c>
    </row>
    <row r="1090" spans="1:12">
      <c r="A1090">
        <v>2</v>
      </c>
      <c r="B1090" s="16" t="s">
        <v>56</v>
      </c>
      <c r="C1090" s="9">
        <v>46113</v>
      </c>
      <c r="D1090">
        <v>2</v>
      </c>
      <c r="E1090" s="16" t="s">
        <v>82</v>
      </c>
      <c r="F1090" s="16" t="s">
        <v>83</v>
      </c>
      <c r="G1090" s="22">
        <v>22.5</v>
      </c>
      <c r="H1090" s="18">
        <v>394.33</v>
      </c>
      <c r="I1090" s="18">
        <v>17.525777777999998</v>
      </c>
      <c r="J1090" s="18">
        <v>18.37</v>
      </c>
      <c r="K1090" s="18">
        <v>17.13</v>
      </c>
      <c r="L1090" s="22">
        <v>9</v>
      </c>
    </row>
    <row r="1091" spans="1:12">
      <c r="A1091">
        <v>2</v>
      </c>
      <c r="B1091" s="16" t="s">
        <v>56</v>
      </c>
      <c r="C1091" s="9">
        <v>46143</v>
      </c>
      <c r="D1091">
        <v>2</v>
      </c>
      <c r="E1091" s="16" t="s">
        <v>82</v>
      </c>
      <c r="F1091" s="16" t="s">
        <v>83</v>
      </c>
      <c r="G1091" s="22">
        <v>18.5</v>
      </c>
      <c r="H1091" s="18">
        <v>324.89</v>
      </c>
      <c r="I1091" s="18">
        <v>17.561621622000001</v>
      </c>
      <c r="J1091" s="18">
        <v>17.84</v>
      </c>
      <c r="K1091" s="18">
        <v>17.170000000000002</v>
      </c>
      <c r="L1091" s="22">
        <v>8</v>
      </c>
    </row>
    <row r="1092" spans="1:12">
      <c r="A1092">
        <v>2</v>
      </c>
      <c r="B1092" s="16" t="s">
        <v>56</v>
      </c>
      <c r="C1092" s="9">
        <v>46174</v>
      </c>
      <c r="D1092">
        <v>2</v>
      </c>
      <c r="E1092" s="16" t="s">
        <v>82</v>
      </c>
      <c r="F1092" s="16" t="s">
        <v>83</v>
      </c>
      <c r="G1092" s="22">
        <v>16</v>
      </c>
      <c r="H1092" s="18">
        <v>285.14499999999998</v>
      </c>
      <c r="I1092" s="18">
        <v>17.821562499999999</v>
      </c>
      <c r="J1092" s="18">
        <v>18.86</v>
      </c>
      <c r="K1092" s="18">
        <v>17.5</v>
      </c>
      <c r="L1092" s="22">
        <v>9</v>
      </c>
    </row>
    <row r="1093" spans="1:12">
      <c r="A1093">
        <v>2</v>
      </c>
      <c r="B1093" s="16" t="s">
        <v>56</v>
      </c>
      <c r="C1093" s="9">
        <v>46204</v>
      </c>
      <c r="D1093">
        <v>2</v>
      </c>
      <c r="E1093" s="16" t="s">
        <v>82</v>
      </c>
      <c r="F1093" s="16" t="s">
        <v>83</v>
      </c>
      <c r="G1093" s="22">
        <v>17</v>
      </c>
      <c r="H1093" s="18">
        <v>323.30500000000001</v>
      </c>
      <c r="I1093" s="18">
        <v>19.017941176000001</v>
      </c>
      <c r="J1093" s="18">
        <v>19.25</v>
      </c>
      <c r="K1093" s="18">
        <v>18.62</v>
      </c>
      <c r="L1093" s="22">
        <v>9</v>
      </c>
    </row>
    <row r="1094" spans="1:12">
      <c r="A1094">
        <v>2</v>
      </c>
      <c r="B1094" s="16" t="s">
        <v>56</v>
      </c>
      <c r="C1094" s="9">
        <v>46235</v>
      </c>
      <c r="D1094">
        <v>2</v>
      </c>
      <c r="E1094" s="16" t="s">
        <v>82</v>
      </c>
      <c r="F1094" s="16" t="s">
        <v>83</v>
      </c>
      <c r="G1094" s="22">
        <v>15</v>
      </c>
      <c r="H1094" s="18">
        <v>282.70499999999998</v>
      </c>
      <c r="I1094" s="18">
        <v>18.847000000000001</v>
      </c>
      <c r="J1094" s="18">
        <v>19.07</v>
      </c>
      <c r="K1094" s="18">
        <v>18.600000000000001</v>
      </c>
      <c r="L1094" s="22">
        <v>9</v>
      </c>
    </row>
    <row r="1095" spans="1:12">
      <c r="A1095">
        <v>2</v>
      </c>
      <c r="B1095" s="16" t="s">
        <v>56</v>
      </c>
      <c r="C1095" s="9">
        <v>46266</v>
      </c>
      <c r="D1095">
        <v>2</v>
      </c>
      <c r="E1095" s="16" t="s">
        <v>82</v>
      </c>
      <c r="F1095" s="16" t="s">
        <v>83</v>
      </c>
      <c r="G1095" s="22">
        <v>15</v>
      </c>
      <c r="H1095" s="18">
        <v>285.76</v>
      </c>
      <c r="I1095" s="18">
        <v>19.050666667000002</v>
      </c>
      <c r="J1095" s="18">
        <v>19.97</v>
      </c>
      <c r="K1095" s="18">
        <v>18.86</v>
      </c>
      <c r="L1095" s="22">
        <v>8</v>
      </c>
    </row>
    <row r="1096" spans="1:12">
      <c r="A1096">
        <v>2</v>
      </c>
      <c r="B1096" s="16" t="s">
        <v>56</v>
      </c>
      <c r="C1096" s="9">
        <v>45689</v>
      </c>
      <c r="D1096">
        <v>3</v>
      </c>
      <c r="E1096" s="16" t="s">
        <v>84</v>
      </c>
      <c r="F1096" s="16" t="s">
        <v>85</v>
      </c>
      <c r="G1096" s="22">
        <v>250</v>
      </c>
      <c r="H1096" s="18">
        <v>165</v>
      </c>
      <c r="I1096" s="18">
        <v>0.66</v>
      </c>
      <c r="J1096" s="18">
        <v>0.66</v>
      </c>
      <c r="K1096" s="18">
        <v>0.66</v>
      </c>
      <c r="L1096" s="22">
        <v>2</v>
      </c>
    </row>
    <row r="1097" spans="1:12">
      <c r="A1097">
        <v>2</v>
      </c>
      <c r="B1097" s="16" t="s">
        <v>56</v>
      </c>
      <c r="C1097" s="9">
        <v>45717</v>
      </c>
      <c r="D1097">
        <v>3</v>
      </c>
      <c r="E1097" s="16" t="s">
        <v>84</v>
      </c>
      <c r="F1097" s="16" t="s">
        <v>85</v>
      </c>
      <c r="G1097" s="22">
        <v>250</v>
      </c>
      <c r="H1097" s="18">
        <v>166.5</v>
      </c>
      <c r="I1097" s="18">
        <v>0.66600000000000004</v>
      </c>
      <c r="J1097" s="18">
        <v>0.67</v>
      </c>
      <c r="K1097" s="18">
        <v>0.66</v>
      </c>
      <c r="L1097" s="22">
        <v>2</v>
      </c>
    </row>
    <row r="1098" spans="1:12">
      <c r="A1098">
        <v>2</v>
      </c>
      <c r="B1098" s="16" t="s">
        <v>56</v>
      </c>
      <c r="C1098" s="9">
        <v>45748</v>
      </c>
      <c r="D1098">
        <v>3</v>
      </c>
      <c r="E1098" s="16" t="s">
        <v>84</v>
      </c>
      <c r="F1098" s="16" t="s">
        <v>85</v>
      </c>
      <c r="G1098" s="22">
        <v>200</v>
      </c>
      <c r="H1098" s="18">
        <v>130</v>
      </c>
      <c r="I1098" s="18">
        <v>0.65</v>
      </c>
      <c r="J1098" s="18">
        <v>0.65</v>
      </c>
      <c r="K1098" s="18">
        <v>0.65</v>
      </c>
      <c r="L1098" s="22">
        <v>2</v>
      </c>
    </row>
    <row r="1099" spans="1:12">
      <c r="A1099">
        <v>2</v>
      </c>
      <c r="B1099" s="16" t="s">
        <v>56</v>
      </c>
      <c r="C1099" s="9">
        <v>45778</v>
      </c>
      <c r="D1099">
        <v>3</v>
      </c>
      <c r="E1099" s="16" t="s">
        <v>84</v>
      </c>
      <c r="F1099" s="16" t="s">
        <v>85</v>
      </c>
      <c r="G1099" s="22">
        <v>250</v>
      </c>
      <c r="H1099" s="18">
        <v>168.5</v>
      </c>
      <c r="I1099" s="18">
        <v>0.67400000000000004</v>
      </c>
      <c r="J1099" s="18">
        <v>0.68</v>
      </c>
      <c r="K1099" s="18">
        <v>0.67</v>
      </c>
      <c r="L1099" s="22">
        <v>2</v>
      </c>
    </row>
    <row r="1100" spans="1:12">
      <c r="A1100">
        <v>2</v>
      </c>
      <c r="B1100" s="16" t="s">
        <v>56</v>
      </c>
      <c r="C1100" s="9">
        <v>45809</v>
      </c>
      <c r="D1100">
        <v>3</v>
      </c>
      <c r="E1100" s="16" t="s">
        <v>84</v>
      </c>
      <c r="F1100" s="16" t="s">
        <v>85</v>
      </c>
      <c r="G1100" s="22">
        <v>200</v>
      </c>
      <c r="H1100" s="18">
        <v>132</v>
      </c>
      <c r="I1100" s="18">
        <v>0.66</v>
      </c>
      <c r="J1100" s="18">
        <v>0.66</v>
      </c>
      <c r="K1100" s="18">
        <v>0.66</v>
      </c>
      <c r="L1100" s="22">
        <v>2</v>
      </c>
    </row>
    <row r="1101" spans="1:12">
      <c r="A1101">
        <v>2</v>
      </c>
      <c r="B1101" s="16" t="s">
        <v>56</v>
      </c>
      <c r="C1101" s="9">
        <v>45839</v>
      </c>
      <c r="D1101">
        <v>3</v>
      </c>
      <c r="E1101" s="16" t="s">
        <v>84</v>
      </c>
      <c r="F1101" s="16" t="s">
        <v>85</v>
      </c>
      <c r="G1101" s="22">
        <v>250</v>
      </c>
      <c r="H1101" s="18">
        <v>163</v>
      </c>
      <c r="I1101" s="18">
        <v>0.65200000000000002</v>
      </c>
      <c r="J1101" s="18">
        <v>0.66</v>
      </c>
      <c r="K1101" s="18">
        <v>0.65</v>
      </c>
      <c r="L1101" s="22">
        <v>3</v>
      </c>
    </row>
    <row r="1102" spans="1:12">
      <c r="A1102">
        <v>2</v>
      </c>
      <c r="B1102" s="16" t="s">
        <v>56</v>
      </c>
      <c r="C1102" s="9">
        <v>45870</v>
      </c>
      <c r="D1102">
        <v>3</v>
      </c>
      <c r="E1102" s="16" t="s">
        <v>84</v>
      </c>
      <c r="F1102" s="16" t="s">
        <v>85</v>
      </c>
      <c r="G1102" s="22">
        <v>200</v>
      </c>
      <c r="H1102" s="18">
        <v>132</v>
      </c>
      <c r="I1102" s="18">
        <v>0.66</v>
      </c>
      <c r="J1102" s="18">
        <v>0.67</v>
      </c>
      <c r="K1102" s="18">
        <v>0.65</v>
      </c>
      <c r="L1102" s="22">
        <v>2</v>
      </c>
    </row>
    <row r="1103" spans="1:12">
      <c r="A1103">
        <v>2</v>
      </c>
      <c r="B1103" s="16" t="s">
        <v>56</v>
      </c>
      <c r="C1103" s="9">
        <v>45901</v>
      </c>
      <c r="D1103">
        <v>3</v>
      </c>
      <c r="E1103" s="16" t="s">
        <v>84</v>
      </c>
      <c r="F1103" s="16" t="s">
        <v>85</v>
      </c>
      <c r="G1103" s="22">
        <v>200</v>
      </c>
      <c r="H1103" s="18">
        <v>131</v>
      </c>
      <c r="I1103" s="18">
        <v>0.65500000000000003</v>
      </c>
      <c r="J1103" s="18">
        <v>0.66</v>
      </c>
      <c r="K1103" s="18">
        <v>0.65</v>
      </c>
      <c r="L1103" s="22">
        <v>2</v>
      </c>
    </row>
    <row r="1104" spans="1:12">
      <c r="A1104">
        <v>2</v>
      </c>
      <c r="B1104" s="16" t="s">
        <v>56</v>
      </c>
      <c r="C1104" s="9">
        <v>45931</v>
      </c>
      <c r="D1104">
        <v>3</v>
      </c>
      <c r="E1104" s="16" t="s">
        <v>84</v>
      </c>
      <c r="F1104" s="16" t="s">
        <v>85</v>
      </c>
      <c r="G1104" s="22">
        <v>250</v>
      </c>
      <c r="H1104" s="18">
        <v>171</v>
      </c>
      <c r="I1104" s="18">
        <v>0.68400000000000005</v>
      </c>
      <c r="J1104" s="18">
        <v>0.7</v>
      </c>
      <c r="K1104" s="18">
        <v>0.66</v>
      </c>
      <c r="L1104" s="22">
        <v>2</v>
      </c>
    </row>
    <row r="1105" spans="1:12">
      <c r="A1105">
        <v>2</v>
      </c>
      <c r="B1105" s="16" t="s">
        <v>56</v>
      </c>
      <c r="C1105" s="9">
        <v>45962</v>
      </c>
      <c r="D1105">
        <v>3</v>
      </c>
      <c r="E1105" s="16" t="s">
        <v>84</v>
      </c>
      <c r="F1105" s="16" t="s">
        <v>85</v>
      </c>
      <c r="G1105" s="22">
        <v>250</v>
      </c>
      <c r="H1105" s="18">
        <v>169.5</v>
      </c>
      <c r="I1105" s="18">
        <v>0.67800000000000005</v>
      </c>
      <c r="J1105" s="18">
        <v>0.69</v>
      </c>
      <c r="K1105" s="18">
        <v>0.67</v>
      </c>
      <c r="L1105" s="22">
        <v>2</v>
      </c>
    </row>
    <row r="1106" spans="1:12">
      <c r="A1106">
        <v>2</v>
      </c>
      <c r="B1106" s="16" t="s">
        <v>56</v>
      </c>
      <c r="C1106" s="9">
        <v>45992</v>
      </c>
      <c r="D1106">
        <v>3</v>
      </c>
      <c r="E1106" s="16" t="s">
        <v>84</v>
      </c>
      <c r="F1106" s="16" t="s">
        <v>85</v>
      </c>
      <c r="G1106" s="22">
        <v>350</v>
      </c>
      <c r="H1106" s="18">
        <v>242.5</v>
      </c>
      <c r="I1106" s="18">
        <v>0.69285714300000001</v>
      </c>
      <c r="J1106" s="18">
        <v>0.7</v>
      </c>
      <c r="K1106" s="18">
        <v>0.68</v>
      </c>
      <c r="L1106" s="22">
        <v>3</v>
      </c>
    </row>
    <row r="1107" spans="1:12">
      <c r="A1107">
        <v>2</v>
      </c>
      <c r="B1107" s="16" t="s">
        <v>56</v>
      </c>
      <c r="C1107" s="9">
        <v>46023</v>
      </c>
      <c r="D1107">
        <v>3</v>
      </c>
      <c r="E1107" s="16" t="s">
        <v>84</v>
      </c>
      <c r="F1107" s="16" t="s">
        <v>85</v>
      </c>
      <c r="G1107" s="22">
        <v>250</v>
      </c>
      <c r="H1107" s="18">
        <v>173.5</v>
      </c>
      <c r="I1107" s="18">
        <v>0.69399999999999995</v>
      </c>
      <c r="J1107" s="18">
        <v>0.7</v>
      </c>
      <c r="K1107" s="18">
        <v>0.69</v>
      </c>
      <c r="L1107" s="22">
        <v>2</v>
      </c>
    </row>
    <row r="1108" spans="1:12">
      <c r="A1108">
        <v>2</v>
      </c>
      <c r="B1108" s="16" t="s">
        <v>56</v>
      </c>
      <c r="C1108" s="9">
        <v>46054</v>
      </c>
      <c r="D1108">
        <v>3</v>
      </c>
      <c r="E1108" s="16" t="s">
        <v>84</v>
      </c>
      <c r="F1108" s="16" t="s">
        <v>85</v>
      </c>
      <c r="G1108" s="22">
        <v>250</v>
      </c>
      <c r="H1108" s="18">
        <v>175.5</v>
      </c>
      <c r="I1108" s="18">
        <v>0.70199999999999996</v>
      </c>
      <c r="J1108" s="18">
        <v>0.71</v>
      </c>
      <c r="K1108" s="18">
        <v>0.69</v>
      </c>
      <c r="L1108" s="22">
        <v>2</v>
      </c>
    </row>
    <row r="1109" spans="1:12">
      <c r="A1109">
        <v>2</v>
      </c>
      <c r="B1109" s="16" t="s">
        <v>56</v>
      </c>
      <c r="C1109" s="9">
        <v>46082</v>
      </c>
      <c r="D1109">
        <v>3</v>
      </c>
      <c r="E1109" s="16" t="s">
        <v>84</v>
      </c>
      <c r="F1109" s="16" t="s">
        <v>85</v>
      </c>
      <c r="G1109" s="22">
        <v>200</v>
      </c>
      <c r="H1109" s="18">
        <v>141</v>
      </c>
      <c r="I1109" s="18">
        <v>0.70499999999999996</v>
      </c>
      <c r="J1109" s="18">
        <v>0.71</v>
      </c>
      <c r="K1109" s="18">
        <v>0.7</v>
      </c>
      <c r="L1109" s="22">
        <v>2</v>
      </c>
    </row>
    <row r="1110" spans="1:12">
      <c r="A1110">
        <v>2</v>
      </c>
      <c r="B1110" s="16" t="s">
        <v>56</v>
      </c>
      <c r="C1110" s="9">
        <v>46113</v>
      </c>
      <c r="D1110">
        <v>3</v>
      </c>
      <c r="E1110" s="16" t="s">
        <v>84</v>
      </c>
      <c r="F1110" s="16" t="s">
        <v>85</v>
      </c>
      <c r="G1110" s="22">
        <v>250</v>
      </c>
      <c r="H1110" s="18">
        <v>175</v>
      </c>
      <c r="I1110" s="18">
        <v>0.7</v>
      </c>
      <c r="J1110" s="18">
        <v>0.7</v>
      </c>
      <c r="K1110" s="18">
        <v>0.7</v>
      </c>
      <c r="L1110" s="22">
        <v>2</v>
      </c>
    </row>
    <row r="1111" spans="1:12">
      <c r="A1111">
        <v>2</v>
      </c>
      <c r="B1111" s="16" t="s">
        <v>56</v>
      </c>
      <c r="C1111" s="9">
        <v>46143</v>
      </c>
      <c r="D1111">
        <v>3</v>
      </c>
      <c r="E1111" s="16" t="s">
        <v>84</v>
      </c>
      <c r="F1111" s="16" t="s">
        <v>85</v>
      </c>
      <c r="G1111" s="22">
        <v>300</v>
      </c>
      <c r="H1111" s="18">
        <v>208.5</v>
      </c>
      <c r="I1111" s="18">
        <v>0.69499999999999995</v>
      </c>
      <c r="J1111" s="18">
        <v>0.71</v>
      </c>
      <c r="K1111" s="18">
        <v>0.68</v>
      </c>
      <c r="L1111" s="22">
        <v>2</v>
      </c>
    </row>
    <row r="1112" spans="1:12">
      <c r="A1112">
        <v>2</v>
      </c>
      <c r="B1112" s="16" t="s">
        <v>56</v>
      </c>
      <c r="C1112" s="9">
        <v>46174</v>
      </c>
      <c r="D1112">
        <v>3</v>
      </c>
      <c r="E1112" s="16" t="s">
        <v>84</v>
      </c>
      <c r="F1112" s="16" t="s">
        <v>85</v>
      </c>
      <c r="G1112" s="22">
        <v>350</v>
      </c>
      <c r="H1112" s="18">
        <v>246</v>
      </c>
      <c r="I1112" s="18">
        <v>0.70285714300000002</v>
      </c>
      <c r="J1112" s="18">
        <v>0.71</v>
      </c>
      <c r="K1112" s="18">
        <v>0.7</v>
      </c>
      <c r="L1112" s="22">
        <v>3</v>
      </c>
    </row>
    <row r="1113" spans="1:12">
      <c r="A1113">
        <v>2</v>
      </c>
      <c r="B1113" s="16" t="s">
        <v>56</v>
      </c>
      <c r="C1113" s="9">
        <v>46204</v>
      </c>
      <c r="D1113">
        <v>3</v>
      </c>
      <c r="E1113" s="16" t="s">
        <v>84</v>
      </c>
      <c r="F1113" s="16" t="s">
        <v>85</v>
      </c>
      <c r="G1113" s="22">
        <v>200</v>
      </c>
      <c r="H1113" s="18">
        <v>141</v>
      </c>
      <c r="I1113" s="18">
        <v>0.70499999999999996</v>
      </c>
      <c r="J1113" s="18">
        <v>0.71</v>
      </c>
      <c r="K1113" s="18">
        <v>0.7</v>
      </c>
      <c r="L1113" s="22">
        <v>2</v>
      </c>
    </row>
    <row r="1114" spans="1:12">
      <c r="A1114">
        <v>2</v>
      </c>
      <c r="B1114" s="16" t="s">
        <v>56</v>
      </c>
      <c r="C1114" s="9">
        <v>46235</v>
      </c>
      <c r="D1114">
        <v>3</v>
      </c>
      <c r="E1114" s="16" t="s">
        <v>84</v>
      </c>
      <c r="F1114" s="16" t="s">
        <v>85</v>
      </c>
      <c r="G1114" s="22">
        <v>200</v>
      </c>
      <c r="H1114" s="18">
        <v>142</v>
      </c>
      <c r="I1114" s="18">
        <v>0.71</v>
      </c>
      <c r="J1114" s="18">
        <v>0.72</v>
      </c>
      <c r="K1114" s="18">
        <v>0.7</v>
      </c>
      <c r="L1114" s="22">
        <v>2</v>
      </c>
    </row>
    <row r="1115" spans="1:12">
      <c r="A1115">
        <v>2</v>
      </c>
      <c r="B1115" s="16" t="s">
        <v>56</v>
      </c>
      <c r="C1115" s="9">
        <v>46266</v>
      </c>
      <c r="D1115">
        <v>3</v>
      </c>
      <c r="E1115" s="16" t="s">
        <v>84</v>
      </c>
      <c r="F1115" s="16" t="s">
        <v>85</v>
      </c>
      <c r="G1115" s="22">
        <v>200</v>
      </c>
      <c r="H1115" s="18">
        <v>141</v>
      </c>
      <c r="I1115" s="18">
        <v>0.70499999999999996</v>
      </c>
      <c r="J1115" s="18">
        <v>0.71</v>
      </c>
      <c r="K1115" s="18">
        <v>0.7</v>
      </c>
      <c r="L1115" s="22">
        <v>2</v>
      </c>
    </row>
    <row r="1116" spans="1:12">
      <c r="A1116">
        <v>2</v>
      </c>
      <c r="B1116" s="16" t="s">
        <v>56</v>
      </c>
      <c r="C1116" s="9">
        <v>45689</v>
      </c>
      <c r="D1116">
        <v>4</v>
      </c>
      <c r="E1116" s="16" t="s">
        <v>86</v>
      </c>
      <c r="F1116" s="16" t="s">
        <v>87</v>
      </c>
      <c r="G1116" s="22">
        <v>37.5</v>
      </c>
      <c r="H1116" s="18">
        <v>589.69749999999999</v>
      </c>
      <c r="I1116" s="18">
        <v>15.725266667</v>
      </c>
      <c r="J1116" s="18">
        <v>15.98</v>
      </c>
      <c r="K1116" s="18">
        <v>15.49</v>
      </c>
      <c r="L1116" s="22">
        <v>8</v>
      </c>
    </row>
    <row r="1117" spans="1:12">
      <c r="A1117">
        <v>2</v>
      </c>
      <c r="B1117" s="16" t="s">
        <v>56</v>
      </c>
      <c r="C1117" s="9">
        <v>45717</v>
      </c>
      <c r="D1117">
        <v>4</v>
      </c>
      <c r="E1117" s="16" t="s">
        <v>86</v>
      </c>
      <c r="F1117" s="16" t="s">
        <v>87</v>
      </c>
      <c r="G1117" s="22">
        <v>41</v>
      </c>
      <c r="H1117" s="18">
        <v>643.03</v>
      </c>
      <c r="I1117" s="18">
        <v>15.683658536999999</v>
      </c>
      <c r="J1117" s="18">
        <v>15.94</v>
      </c>
      <c r="K1117" s="18">
        <v>15.33</v>
      </c>
      <c r="L1117" s="22">
        <v>8</v>
      </c>
    </row>
    <row r="1118" spans="1:12">
      <c r="A1118">
        <v>2</v>
      </c>
      <c r="B1118" s="16" t="s">
        <v>56</v>
      </c>
      <c r="C1118" s="9">
        <v>45748</v>
      </c>
      <c r="D1118">
        <v>4</v>
      </c>
      <c r="E1118" s="16" t="s">
        <v>86</v>
      </c>
      <c r="F1118" s="16" t="s">
        <v>87</v>
      </c>
      <c r="G1118" s="22">
        <v>50.25</v>
      </c>
      <c r="H1118" s="18">
        <v>793.3</v>
      </c>
      <c r="I1118" s="18">
        <v>15.787064677</v>
      </c>
      <c r="J1118" s="18">
        <v>16.190000000000001</v>
      </c>
      <c r="K1118" s="18">
        <v>15.32</v>
      </c>
      <c r="L1118" s="22">
        <v>9</v>
      </c>
    </row>
    <row r="1119" spans="1:12">
      <c r="A1119">
        <v>2</v>
      </c>
      <c r="B1119" s="16" t="s">
        <v>56</v>
      </c>
      <c r="C1119" s="9">
        <v>45778</v>
      </c>
      <c r="D1119">
        <v>4</v>
      </c>
      <c r="E1119" s="16" t="s">
        <v>86</v>
      </c>
      <c r="F1119" s="16" t="s">
        <v>87</v>
      </c>
      <c r="G1119" s="22">
        <v>50.5</v>
      </c>
      <c r="H1119" s="18">
        <v>788.48749999999995</v>
      </c>
      <c r="I1119" s="18">
        <v>15.613613860999999</v>
      </c>
      <c r="J1119" s="18">
        <v>16.75</v>
      </c>
      <c r="K1119" s="18">
        <v>15</v>
      </c>
      <c r="L1119" s="22">
        <v>9</v>
      </c>
    </row>
    <row r="1120" spans="1:12">
      <c r="A1120">
        <v>2</v>
      </c>
      <c r="B1120" s="16" t="s">
        <v>56</v>
      </c>
      <c r="C1120" s="9">
        <v>45809</v>
      </c>
      <c r="D1120">
        <v>4</v>
      </c>
      <c r="E1120" s="16" t="s">
        <v>86</v>
      </c>
      <c r="F1120" s="16" t="s">
        <v>87</v>
      </c>
      <c r="G1120" s="22">
        <v>42.5</v>
      </c>
      <c r="H1120" s="18">
        <v>668.58500000000004</v>
      </c>
      <c r="I1120" s="18">
        <v>15.731411765000001</v>
      </c>
      <c r="J1120" s="18">
        <v>15.93</v>
      </c>
      <c r="K1120" s="18">
        <v>15.51</v>
      </c>
      <c r="L1120" s="22">
        <v>8</v>
      </c>
    </row>
    <row r="1121" spans="1:12">
      <c r="A1121">
        <v>2</v>
      </c>
      <c r="B1121" s="16" t="s">
        <v>56</v>
      </c>
      <c r="C1121" s="9">
        <v>45839</v>
      </c>
      <c r="D1121">
        <v>4</v>
      </c>
      <c r="E1121" s="16" t="s">
        <v>86</v>
      </c>
      <c r="F1121" s="16" t="s">
        <v>87</v>
      </c>
      <c r="G1121" s="22">
        <v>41</v>
      </c>
      <c r="H1121" s="18">
        <v>642.20000000000005</v>
      </c>
      <c r="I1121" s="18">
        <v>15.663414634</v>
      </c>
      <c r="J1121" s="18">
        <v>16</v>
      </c>
      <c r="K1121" s="18">
        <v>15.14</v>
      </c>
      <c r="L1121" s="22">
        <v>9</v>
      </c>
    </row>
    <row r="1122" spans="1:12">
      <c r="A1122">
        <v>2</v>
      </c>
      <c r="B1122" s="16" t="s">
        <v>56</v>
      </c>
      <c r="C1122" s="9">
        <v>45870</v>
      </c>
      <c r="D1122">
        <v>4</v>
      </c>
      <c r="E1122" s="16" t="s">
        <v>86</v>
      </c>
      <c r="F1122" s="16" t="s">
        <v>87</v>
      </c>
      <c r="G1122" s="22">
        <v>46.75</v>
      </c>
      <c r="H1122" s="18">
        <v>734.745</v>
      </c>
      <c r="I1122" s="18">
        <v>15.716470588</v>
      </c>
      <c r="J1122" s="18">
        <v>16.54</v>
      </c>
      <c r="K1122" s="18">
        <v>15.42</v>
      </c>
      <c r="L1122" s="22">
        <v>9</v>
      </c>
    </row>
    <row r="1123" spans="1:12">
      <c r="A1123">
        <v>2</v>
      </c>
      <c r="B1123" s="16" t="s">
        <v>56</v>
      </c>
      <c r="C1123" s="9">
        <v>45901</v>
      </c>
      <c r="D1123">
        <v>4</v>
      </c>
      <c r="E1123" s="16" t="s">
        <v>86</v>
      </c>
      <c r="F1123" s="16" t="s">
        <v>87</v>
      </c>
      <c r="G1123" s="22">
        <v>48.25</v>
      </c>
      <c r="H1123" s="18">
        <v>753.125</v>
      </c>
      <c r="I1123" s="18">
        <v>15.608808290000001</v>
      </c>
      <c r="J1123" s="18">
        <v>15.88</v>
      </c>
      <c r="K1123" s="18">
        <v>15.3</v>
      </c>
      <c r="L1123" s="22">
        <v>9</v>
      </c>
    </row>
    <row r="1124" spans="1:12">
      <c r="A1124">
        <v>2</v>
      </c>
      <c r="B1124" s="16" t="s">
        <v>56</v>
      </c>
      <c r="C1124" s="9">
        <v>45931</v>
      </c>
      <c r="D1124">
        <v>4</v>
      </c>
      <c r="E1124" s="16" t="s">
        <v>86</v>
      </c>
      <c r="F1124" s="16" t="s">
        <v>87</v>
      </c>
      <c r="G1124" s="22">
        <v>52.75</v>
      </c>
      <c r="H1124" s="18">
        <v>828.5675</v>
      </c>
      <c r="I1124" s="18">
        <v>15.707440758000001</v>
      </c>
      <c r="J1124" s="18">
        <v>15.98</v>
      </c>
      <c r="K1124" s="18">
        <v>15.45</v>
      </c>
      <c r="L1124" s="22">
        <v>9</v>
      </c>
    </row>
    <row r="1125" spans="1:12">
      <c r="A1125">
        <v>2</v>
      </c>
      <c r="B1125" s="16" t="s">
        <v>56</v>
      </c>
      <c r="C1125" s="9">
        <v>45962</v>
      </c>
      <c r="D1125">
        <v>4</v>
      </c>
      <c r="E1125" s="16" t="s">
        <v>86</v>
      </c>
      <c r="F1125" s="16" t="s">
        <v>87</v>
      </c>
      <c r="G1125" s="22">
        <v>42.25</v>
      </c>
      <c r="H1125" s="18">
        <v>665.93</v>
      </c>
      <c r="I1125" s="18">
        <v>15.761656804999999</v>
      </c>
      <c r="J1125" s="18">
        <v>16.23</v>
      </c>
      <c r="K1125" s="18">
        <v>15.43</v>
      </c>
      <c r="L1125" s="22">
        <v>8</v>
      </c>
    </row>
    <row r="1126" spans="1:12">
      <c r="A1126">
        <v>2</v>
      </c>
      <c r="B1126" s="16" t="s">
        <v>56</v>
      </c>
      <c r="C1126" s="9">
        <v>45992</v>
      </c>
      <c r="D1126">
        <v>4</v>
      </c>
      <c r="E1126" s="16" t="s">
        <v>86</v>
      </c>
      <c r="F1126" s="16" t="s">
        <v>87</v>
      </c>
      <c r="G1126" s="22">
        <v>58.5</v>
      </c>
      <c r="H1126" s="18">
        <v>931.3</v>
      </c>
      <c r="I1126" s="18">
        <v>15.919658119999999</v>
      </c>
      <c r="J1126" s="18">
        <v>16.309999999999999</v>
      </c>
      <c r="K1126" s="18">
        <v>15.7</v>
      </c>
      <c r="L1126" s="22">
        <v>9</v>
      </c>
    </row>
    <row r="1127" spans="1:12">
      <c r="A1127">
        <v>2</v>
      </c>
      <c r="B1127" s="16" t="s">
        <v>56</v>
      </c>
      <c r="C1127" s="9">
        <v>46023</v>
      </c>
      <c r="D1127">
        <v>4</v>
      </c>
      <c r="E1127" s="16" t="s">
        <v>86</v>
      </c>
      <c r="F1127" s="16" t="s">
        <v>87</v>
      </c>
      <c r="G1127" s="22">
        <v>39.75</v>
      </c>
      <c r="H1127" s="18">
        <v>636.64250000000004</v>
      </c>
      <c r="I1127" s="18">
        <v>16.016163521999999</v>
      </c>
      <c r="J1127" s="18">
        <v>16.37</v>
      </c>
      <c r="K1127" s="18">
        <v>15.84</v>
      </c>
      <c r="L1127" s="22">
        <v>9</v>
      </c>
    </row>
    <row r="1128" spans="1:12">
      <c r="A1128">
        <v>2</v>
      </c>
      <c r="B1128" s="16" t="s">
        <v>56</v>
      </c>
      <c r="C1128" s="9">
        <v>46054</v>
      </c>
      <c r="D1128">
        <v>4</v>
      </c>
      <c r="E1128" s="16" t="s">
        <v>86</v>
      </c>
      <c r="F1128" s="16" t="s">
        <v>87</v>
      </c>
      <c r="G1128" s="22">
        <v>41</v>
      </c>
      <c r="H1128" s="18">
        <v>658.3075</v>
      </c>
      <c r="I1128" s="18">
        <v>16.056280487999999</v>
      </c>
      <c r="J1128" s="18">
        <v>16.440000000000001</v>
      </c>
      <c r="K1128" s="18">
        <v>15.62</v>
      </c>
      <c r="L1128" s="22">
        <v>8</v>
      </c>
    </row>
    <row r="1129" spans="1:12">
      <c r="A1129">
        <v>2</v>
      </c>
      <c r="B1129" s="16" t="s">
        <v>56</v>
      </c>
      <c r="C1129" s="9">
        <v>46082</v>
      </c>
      <c r="D1129">
        <v>4</v>
      </c>
      <c r="E1129" s="16" t="s">
        <v>86</v>
      </c>
      <c r="F1129" s="16" t="s">
        <v>87</v>
      </c>
      <c r="G1129" s="22">
        <v>46.5</v>
      </c>
      <c r="H1129" s="18">
        <v>741.52</v>
      </c>
      <c r="I1129" s="18">
        <v>15.946666667000001</v>
      </c>
      <c r="J1129" s="18">
        <v>16.13</v>
      </c>
      <c r="K1129" s="18">
        <v>15.72</v>
      </c>
      <c r="L1129" s="22">
        <v>9</v>
      </c>
    </row>
    <row r="1130" spans="1:12">
      <c r="A1130">
        <v>2</v>
      </c>
      <c r="B1130" s="16" t="s">
        <v>56</v>
      </c>
      <c r="C1130" s="9">
        <v>46113</v>
      </c>
      <c r="D1130">
        <v>4</v>
      </c>
      <c r="E1130" s="16" t="s">
        <v>86</v>
      </c>
      <c r="F1130" s="16" t="s">
        <v>87</v>
      </c>
      <c r="G1130" s="22">
        <v>47.5</v>
      </c>
      <c r="H1130" s="18">
        <v>768.01250000000005</v>
      </c>
      <c r="I1130" s="18">
        <v>16.168684210999999</v>
      </c>
      <c r="J1130" s="18">
        <v>16.559999999999999</v>
      </c>
      <c r="K1130" s="18">
        <v>15.99</v>
      </c>
      <c r="L1130" s="22">
        <v>8</v>
      </c>
    </row>
    <row r="1131" spans="1:12">
      <c r="A1131">
        <v>2</v>
      </c>
      <c r="B1131" s="16" t="s">
        <v>56</v>
      </c>
      <c r="C1131" s="9">
        <v>46143</v>
      </c>
      <c r="D1131">
        <v>4</v>
      </c>
      <c r="E1131" s="16" t="s">
        <v>86</v>
      </c>
      <c r="F1131" s="16" t="s">
        <v>87</v>
      </c>
      <c r="G1131" s="22">
        <v>59.25</v>
      </c>
      <c r="H1131" s="18">
        <v>963.29499999999996</v>
      </c>
      <c r="I1131" s="18">
        <v>16.258143459999999</v>
      </c>
      <c r="J1131" s="18">
        <v>16.45</v>
      </c>
      <c r="K1131" s="18">
        <v>16.07</v>
      </c>
      <c r="L1131" s="22">
        <v>9</v>
      </c>
    </row>
    <row r="1132" spans="1:12">
      <c r="A1132">
        <v>2</v>
      </c>
      <c r="B1132" s="16" t="s">
        <v>56</v>
      </c>
      <c r="C1132" s="9">
        <v>46174</v>
      </c>
      <c r="D1132">
        <v>4</v>
      </c>
      <c r="E1132" s="16" t="s">
        <v>86</v>
      </c>
      <c r="F1132" s="16" t="s">
        <v>87</v>
      </c>
      <c r="G1132" s="22">
        <v>46.25</v>
      </c>
      <c r="H1132" s="18">
        <v>752.66</v>
      </c>
      <c r="I1132" s="18">
        <v>16.273729729999999</v>
      </c>
      <c r="J1132" s="18">
        <v>16.57</v>
      </c>
      <c r="K1132" s="18">
        <v>15.9</v>
      </c>
      <c r="L1132" s="22">
        <v>9</v>
      </c>
    </row>
    <row r="1133" spans="1:12">
      <c r="A1133">
        <v>2</v>
      </c>
      <c r="B1133" s="16" t="s">
        <v>56</v>
      </c>
      <c r="C1133" s="9">
        <v>46204</v>
      </c>
      <c r="D1133">
        <v>4</v>
      </c>
      <c r="E1133" s="16" t="s">
        <v>86</v>
      </c>
      <c r="F1133" s="16" t="s">
        <v>87</v>
      </c>
      <c r="G1133" s="22">
        <v>48</v>
      </c>
      <c r="H1133" s="18">
        <v>779.69500000000005</v>
      </c>
      <c r="I1133" s="18">
        <v>16.243645832999999</v>
      </c>
      <c r="J1133" s="18">
        <v>16.55</v>
      </c>
      <c r="K1133" s="18">
        <v>15.88</v>
      </c>
      <c r="L1133" s="22">
        <v>9</v>
      </c>
    </row>
    <row r="1134" spans="1:12">
      <c r="A1134">
        <v>2</v>
      </c>
      <c r="B1134" s="16" t="s">
        <v>56</v>
      </c>
      <c r="C1134" s="9">
        <v>46235</v>
      </c>
      <c r="D1134">
        <v>4</v>
      </c>
      <c r="E1134" s="16" t="s">
        <v>86</v>
      </c>
      <c r="F1134" s="16" t="s">
        <v>87</v>
      </c>
      <c r="G1134" s="22">
        <v>38.75</v>
      </c>
      <c r="H1134" s="18">
        <v>635.5</v>
      </c>
      <c r="I1134" s="18">
        <v>16.399999999999999</v>
      </c>
      <c r="J1134" s="18">
        <v>16.59</v>
      </c>
      <c r="K1134" s="18">
        <v>16.09</v>
      </c>
      <c r="L1134" s="22">
        <v>8</v>
      </c>
    </row>
    <row r="1135" spans="1:12">
      <c r="A1135">
        <v>2</v>
      </c>
      <c r="B1135" s="16" t="s">
        <v>56</v>
      </c>
      <c r="C1135" s="9">
        <v>46266</v>
      </c>
      <c r="D1135">
        <v>4</v>
      </c>
      <c r="E1135" s="16" t="s">
        <v>86</v>
      </c>
      <c r="F1135" s="16" t="s">
        <v>87</v>
      </c>
      <c r="G1135" s="22">
        <v>42</v>
      </c>
      <c r="H1135" s="18">
        <v>690.69500000000005</v>
      </c>
      <c r="I1135" s="18">
        <v>16.445119047999999</v>
      </c>
      <c r="J1135" s="18">
        <v>16.850000000000001</v>
      </c>
      <c r="K1135" s="18">
        <v>16.07</v>
      </c>
      <c r="L1135" s="22">
        <v>9</v>
      </c>
    </row>
    <row r="1136" spans="1:12">
      <c r="A1136">
        <v>2</v>
      </c>
      <c r="B1136" s="16" t="s">
        <v>56</v>
      </c>
      <c r="C1136" s="9">
        <v>45689</v>
      </c>
      <c r="D1136">
        <v>5</v>
      </c>
      <c r="E1136" s="16" t="s">
        <v>88</v>
      </c>
      <c r="F1136" s="16" t="s">
        <v>83</v>
      </c>
      <c r="G1136" s="22">
        <v>318</v>
      </c>
      <c r="H1136" s="18">
        <v>120.84</v>
      </c>
      <c r="I1136" s="18">
        <v>0.38</v>
      </c>
      <c r="J1136" s="18">
        <v>0.39</v>
      </c>
      <c r="K1136" s="18">
        <v>0.37</v>
      </c>
      <c r="L1136" s="22">
        <v>8</v>
      </c>
    </row>
    <row r="1137" spans="1:12">
      <c r="A1137">
        <v>2</v>
      </c>
      <c r="B1137" s="16" t="s">
        <v>56</v>
      </c>
      <c r="C1137" s="9">
        <v>45717</v>
      </c>
      <c r="D1137">
        <v>5</v>
      </c>
      <c r="E1137" s="16" t="s">
        <v>88</v>
      </c>
      <c r="F1137" s="16" t="s">
        <v>83</v>
      </c>
      <c r="G1137" s="22">
        <v>426</v>
      </c>
      <c r="H1137" s="18">
        <v>162</v>
      </c>
      <c r="I1137" s="18">
        <v>0.38028169000000001</v>
      </c>
      <c r="J1137" s="18">
        <v>0.39</v>
      </c>
      <c r="K1137" s="18">
        <v>0.37</v>
      </c>
      <c r="L1137" s="22">
        <v>9</v>
      </c>
    </row>
    <row r="1138" spans="1:12">
      <c r="A1138">
        <v>2</v>
      </c>
      <c r="B1138" s="16" t="s">
        <v>56</v>
      </c>
      <c r="C1138" s="9">
        <v>45748</v>
      </c>
      <c r="D1138">
        <v>5</v>
      </c>
      <c r="E1138" s="16" t="s">
        <v>88</v>
      </c>
      <c r="F1138" s="16" t="s">
        <v>83</v>
      </c>
      <c r="G1138" s="22">
        <v>456</v>
      </c>
      <c r="H1138" s="18">
        <v>175.38</v>
      </c>
      <c r="I1138" s="18">
        <v>0.38460526299999998</v>
      </c>
      <c r="J1138" s="18">
        <v>0.39</v>
      </c>
      <c r="K1138" s="18">
        <v>0.38</v>
      </c>
      <c r="L1138" s="22">
        <v>8</v>
      </c>
    </row>
    <row r="1139" spans="1:12">
      <c r="A1139">
        <v>2</v>
      </c>
      <c r="B1139" s="16" t="s">
        <v>56</v>
      </c>
      <c r="C1139" s="9">
        <v>45778</v>
      </c>
      <c r="D1139">
        <v>5</v>
      </c>
      <c r="E1139" s="16" t="s">
        <v>88</v>
      </c>
      <c r="F1139" s="16" t="s">
        <v>83</v>
      </c>
      <c r="G1139" s="22">
        <v>534</v>
      </c>
      <c r="H1139" s="18">
        <v>209.4</v>
      </c>
      <c r="I1139" s="18">
        <v>0.39213483100000002</v>
      </c>
      <c r="J1139" s="18">
        <v>0.4</v>
      </c>
      <c r="K1139" s="18">
        <v>0.39</v>
      </c>
      <c r="L1139" s="22">
        <v>9</v>
      </c>
    </row>
    <row r="1140" spans="1:12">
      <c r="A1140">
        <v>2</v>
      </c>
      <c r="B1140" s="16" t="s">
        <v>56</v>
      </c>
      <c r="C1140" s="9">
        <v>45809</v>
      </c>
      <c r="D1140">
        <v>5</v>
      </c>
      <c r="E1140" s="16" t="s">
        <v>88</v>
      </c>
      <c r="F1140" s="16" t="s">
        <v>83</v>
      </c>
      <c r="G1140" s="22">
        <v>498</v>
      </c>
      <c r="H1140" s="18">
        <v>196.2</v>
      </c>
      <c r="I1140" s="18">
        <v>0.39397590399999999</v>
      </c>
      <c r="J1140" s="18">
        <v>0.4</v>
      </c>
      <c r="K1140" s="18">
        <v>0.39</v>
      </c>
      <c r="L1140" s="22">
        <v>9</v>
      </c>
    </row>
    <row r="1141" spans="1:12">
      <c r="A1141">
        <v>2</v>
      </c>
      <c r="B1141" s="16" t="s">
        <v>56</v>
      </c>
      <c r="C1141" s="9">
        <v>45839</v>
      </c>
      <c r="D1141">
        <v>5</v>
      </c>
      <c r="E1141" s="16" t="s">
        <v>88</v>
      </c>
      <c r="F1141" s="16" t="s">
        <v>83</v>
      </c>
      <c r="G1141" s="22">
        <v>480</v>
      </c>
      <c r="H1141" s="18">
        <v>189.84</v>
      </c>
      <c r="I1141" s="18">
        <v>0.39550000000000002</v>
      </c>
      <c r="J1141" s="18">
        <v>0.41</v>
      </c>
      <c r="K1141" s="18">
        <v>0.39</v>
      </c>
      <c r="L1141" s="22">
        <v>9</v>
      </c>
    </row>
    <row r="1142" spans="1:12">
      <c r="A1142">
        <v>2</v>
      </c>
      <c r="B1142" s="16" t="s">
        <v>56</v>
      </c>
      <c r="C1142" s="9">
        <v>45870</v>
      </c>
      <c r="D1142">
        <v>5</v>
      </c>
      <c r="E1142" s="16" t="s">
        <v>88</v>
      </c>
      <c r="F1142" s="16" t="s">
        <v>83</v>
      </c>
      <c r="G1142" s="22">
        <v>414</v>
      </c>
      <c r="H1142" s="18">
        <v>163.86</v>
      </c>
      <c r="I1142" s="18">
        <v>0.39579710099999998</v>
      </c>
      <c r="J1142" s="18">
        <v>0.42</v>
      </c>
      <c r="K1142" s="18">
        <v>0.39</v>
      </c>
      <c r="L1142" s="22">
        <v>8</v>
      </c>
    </row>
    <row r="1143" spans="1:12">
      <c r="A1143">
        <v>2</v>
      </c>
      <c r="B1143" s="16" t="s">
        <v>56</v>
      </c>
      <c r="C1143" s="9">
        <v>45901</v>
      </c>
      <c r="D1143">
        <v>5</v>
      </c>
      <c r="E1143" s="16" t="s">
        <v>88</v>
      </c>
      <c r="F1143" s="16" t="s">
        <v>83</v>
      </c>
      <c r="G1143" s="22">
        <v>510</v>
      </c>
      <c r="H1143" s="18">
        <v>201.36</v>
      </c>
      <c r="I1143" s="18">
        <v>0.39482352900000001</v>
      </c>
      <c r="J1143" s="18">
        <v>0.4</v>
      </c>
      <c r="K1143" s="18">
        <v>0.39</v>
      </c>
      <c r="L1143" s="22">
        <v>9</v>
      </c>
    </row>
    <row r="1144" spans="1:12">
      <c r="A1144">
        <v>2</v>
      </c>
      <c r="B1144" s="16" t="s">
        <v>56</v>
      </c>
      <c r="C1144" s="9">
        <v>45931</v>
      </c>
      <c r="D1144">
        <v>5</v>
      </c>
      <c r="E1144" s="16" t="s">
        <v>88</v>
      </c>
      <c r="F1144" s="16" t="s">
        <v>83</v>
      </c>
      <c r="G1144" s="22">
        <v>540</v>
      </c>
      <c r="H1144" s="18">
        <v>213.54</v>
      </c>
      <c r="I1144" s="18">
        <v>0.39544444400000001</v>
      </c>
      <c r="J1144" s="18">
        <v>0.41</v>
      </c>
      <c r="K1144" s="18">
        <v>0.39</v>
      </c>
      <c r="L1144" s="22">
        <v>9</v>
      </c>
    </row>
    <row r="1145" spans="1:12">
      <c r="A1145">
        <v>2</v>
      </c>
      <c r="B1145" s="16" t="s">
        <v>56</v>
      </c>
      <c r="C1145" s="9">
        <v>45962</v>
      </c>
      <c r="D1145">
        <v>5</v>
      </c>
      <c r="E1145" s="16" t="s">
        <v>88</v>
      </c>
      <c r="F1145" s="16" t="s">
        <v>83</v>
      </c>
      <c r="G1145" s="22">
        <v>402</v>
      </c>
      <c r="H1145" s="18">
        <v>161.58000000000001</v>
      </c>
      <c r="I1145" s="18">
        <v>0.401940299</v>
      </c>
      <c r="J1145" s="18">
        <v>0.41</v>
      </c>
      <c r="K1145" s="18">
        <v>0.4</v>
      </c>
      <c r="L1145" s="22">
        <v>8</v>
      </c>
    </row>
    <row r="1146" spans="1:12">
      <c r="A1146">
        <v>2</v>
      </c>
      <c r="B1146" s="16" t="s">
        <v>56</v>
      </c>
      <c r="C1146" s="9">
        <v>45992</v>
      </c>
      <c r="D1146">
        <v>5</v>
      </c>
      <c r="E1146" s="16" t="s">
        <v>88</v>
      </c>
      <c r="F1146" s="16" t="s">
        <v>83</v>
      </c>
      <c r="G1146" s="22">
        <v>522</v>
      </c>
      <c r="H1146" s="18">
        <v>208.44</v>
      </c>
      <c r="I1146" s="18">
        <v>0.39931034500000001</v>
      </c>
      <c r="J1146" s="18">
        <v>0.4</v>
      </c>
      <c r="K1146" s="18">
        <v>0.39</v>
      </c>
      <c r="L1146" s="22">
        <v>9</v>
      </c>
    </row>
    <row r="1147" spans="1:12">
      <c r="A1147">
        <v>2</v>
      </c>
      <c r="B1147" s="16" t="s">
        <v>56</v>
      </c>
      <c r="C1147" s="9">
        <v>46023</v>
      </c>
      <c r="D1147">
        <v>5</v>
      </c>
      <c r="E1147" s="16" t="s">
        <v>88</v>
      </c>
      <c r="F1147" s="16" t="s">
        <v>83</v>
      </c>
      <c r="G1147" s="22">
        <v>372</v>
      </c>
      <c r="H1147" s="18">
        <v>148.91999999999999</v>
      </c>
      <c r="I1147" s="18">
        <v>0.40032258100000001</v>
      </c>
      <c r="J1147" s="18">
        <v>0.41</v>
      </c>
      <c r="K1147" s="18">
        <v>0.39</v>
      </c>
      <c r="L1147" s="22">
        <v>9</v>
      </c>
    </row>
    <row r="1148" spans="1:12">
      <c r="A1148">
        <v>2</v>
      </c>
      <c r="B1148" s="16" t="s">
        <v>56</v>
      </c>
      <c r="C1148" s="9">
        <v>46054</v>
      </c>
      <c r="D1148">
        <v>5</v>
      </c>
      <c r="E1148" s="16" t="s">
        <v>88</v>
      </c>
      <c r="F1148" s="16" t="s">
        <v>83</v>
      </c>
      <c r="G1148" s="22">
        <v>330</v>
      </c>
      <c r="H1148" s="18">
        <v>132.30000000000001</v>
      </c>
      <c r="I1148" s="18">
        <v>0.400909091</v>
      </c>
      <c r="J1148" s="18">
        <v>0.41</v>
      </c>
      <c r="K1148" s="18">
        <v>0.4</v>
      </c>
      <c r="L1148" s="22">
        <v>8</v>
      </c>
    </row>
    <row r="1149" spans="1:12">
      <c r="A1149">
        <v>2</v>
      </c>
      <c r="B1149" s="16" t="s">
        <v>56</v>
      </c>
      <c r="C1149" s="9">
        <v>46082</v>
      </c>
      <c r="D1149">
        <v>5</v>
      </c>
      <c r="E1149" s="16" t="s">
        <v>88</v>
      </c>
      <c r="F1149" s="16" t="s">
        <v>83</v>
      </c>
      <c r="G1149" s="22">
        <v>468</v>
      </c>
      <c r="H1149" s="18">
        <v>189.72</v>
      </c>
      <c r="I1149" s="18">
        <v>0.405384615</v>
      </c>
      <c r="J1149" s="18">
        <v>0.41</v>
      </c>
      <c r="K1149" s="18">
        <v>0.4</v>
      </c>
      <c r="L1149" s="22">
        <v>9</v>
      </c>
    </row>
    <row r="1150" spans="1:12">
      <c r="A1150">
        <v>2</v>
      </c>
      <c r="B1150" s="16" t="s">
        <v>56</v>
      </c>
      <c r="C1150" s="9">
        <v>46113</v>
      </c>
      <c r="D1150">
        <v>5</v>
      </c>
      <c r="E1150" s="16" t="s">
        <v>88</v>
      </c>
      <c r="F1150" s="16" t="s">
        <v>83</v>
      </c>
      <c r="G1150" s="22">
        <v>564</v>
      </c>
      <c r="H1150" s="18">
        <v>226.68</v>
      </c>
      <c r="I1150" s="18">
        <v>0.40191489400000002</v>
      </c>
      <c r="J1150" s="18">
        <v>0.41</v>
      </c>
      <c r="K1150" s="18">
        <v>0.4</v>
      </c>
      <c r="L1150" s="22">
        <v>9</v>
      </c>
    </row>
    <row r="1151" spans="1:12">
      <c r="A1151">
        <v>2</v>
      </c>
      <c r="B1151" s="16" t="s">
        <v>56</v>
      </c>
      <c r="C1151" s="9">
        <v>46143</v>
      </c>
      <c r="D1151">
        <v>5</v>
      </c>
      <c r="E1151" s="16" t="s">
        <v>88</v>
      </c>
      <c r="F1151" s="16" t="s">
        <v>83</v>
      </c>
      <c r="G1151" s="22">
        <v>564</v>
      </c>
      <c r="H1151" s="18">
        <v>229.08</v>
      </c>
      <c r="I1151" s="18">
        <v>0.406170213</v>
      </c>
      <c r="J1151" s="18">
        <v>0.41</v>
      </c>
      <c r="K1151" s="18">
        <v>0.39</v>
      </c>
      <c r="L1151" s="22">
        <v>8</v>
      </c>
    </row>
    <row r="1152" spans="1:12">
      <c r="A1152">
        <v>2</v>
      </c>
      <c r="B1152" s="16" t="s">
        <v>56</v>
      </c>
      <c r="C1152" s="9">
        <v>46174</v>
      </c>
      <c r="D1152">
        <v>5</v>
      </c>
      <c r="E1152" s="16" t="s">
        <v>88</v>
      </c>
      <c r="F1152" s="16" t="s">
        <v>83</v>
      </c>
      <c r="G1152" s="22">
        <v>522</v>
      </c>
      <c r="H1152" s="18">
        <v>212.7</v>
      </c>
      <c r="I1152" s="18">
        <v>0.407471264</v>
      </c>
      <c r="J1152" s="18">
        <v>0.41</v>
      </c>
      <c r="K1152" s="18">
        <v>0.4</v>
      </c>
      <c r="L1152" s="22">
        <v>9</v>
      </c>
    </row>
    <row r="1153" spans="1:12">
      <c r="A1153">
        <v>2</v>
      </c>
      <c r="B1153" s="16" t="s">
        <v>56</v>
      </c>
      <c r="C1153" s="9">
        <v>46204</v>
      </c>
      <c r="D1153">
        <v>5</v>
      </c>
      <c r="E1153" s="16" t="s">
        <v>88</v>
      </c>
      <c r="F1153" s="16" t="s">
        <v>83</v>
      </c>
      <c r="G1153" s="22">
        <v>528</v>
      </c>
      <c r="H1153" s="18">
        <v>213.78</v>
      </c>
      <c r="I1153" s="18">
        <v>0.404886364</v>
      </c>
      <c r="J1153" s="18">
        <v>0.41</v>
      </c>
      <c r="K1153" s="18">
        <v>0.4</v>
      </c>
      <c r="L1153" s="22">
        <v>9</v>
      </c>
    </row>
    <row r="1154" spans="1:12">
      <c r="A1154">
        <v>2</v>
      </c>
      <c r="B1154" s="16" t="s">
        <v>56</v>
      </c>
      <c r="C1154" s="9">
        <v>46235</v>
      </c>
      <c r="D1154">
        <v>5</v>
      </c>
      <c r="E1154" s="16" t="s">
        <v>88</v>
      </c>
      <c r="F1154" s="16" t="s">
        <v>83</v>
      </c>
      <c r="G1154" s="22">
        <v>450</v>
      </c>
      <c r="H1154" s="18">
        <v>183.48</v>
      </c>
      <c r="I1154" s="18">
        <v>0.40773333299999998</v>
      </c>
      <c r="J1154" s="18">
        <v>0.41</v>
      </c>
      <c r="K1154" s="18">
        <v>0.4</v>
      </c>
      <c r="L1154" s="22">
        <v>9</v>
      </c>
    </row>
    <row r="1155" spans="1:12">
      <c r="A1155">
        <v>2</v>
      </c>
      <c r="B1155" s="16" t="s">
        <v>56</v>
      </c>
      <c r="C1155" s="9">
        <v>46266</v>
      </c>
      <c r="D1155">
        <v>5</v>
      </c>
      <c r="E1155" s="16" t="s">
        <v>88</v>
      </c>
      <c r="F1155" s="16" t="s">
        <v>83</v>
      </c>
      <c r="G1155" s="22">
        <v>384</v>
      </c>
      <c r="H1155" s="18">
        <v>156.78</v>
      </c>
      <c r="I1155" s="18">
        <v>0.40828124999999998</v>
      </c>
      <c r="J1155" s="18">
        <v>0.42</v>
      </c>
      <c r="K1155" s="18">
        <v>0.4</v>
      </c>
      <c r="L1155" s="22">
        <v>8</v>
      </c>
    </row>
    <row r="1156" spans="1:12">
      <c r="A1156">
        <v>2</v>
      </c>
      <c r="B1156" s="16" t="s">
        <v>56</v>
      </c>
      <c r="C1156" s="9">
        <v>45689</v>
      </c>
      <c r="D1156">
        <v>6</v>
      </c>
      <c r="E1156" s="16" t="s">
        <v>89</v>
      </c>
      <c r="F1156" s="16" t="s">
        <v>90</v>
      </c>
      <c r="G1156" s="22">
        <v>20</v>
      </c>
      <c r="H1156" s="18">
        <v>500.9</v>
      </c>
      <c r="I1156" s="18">
        <v>25.045000000000002</v>
      </c>
      <c r="J1156" s="18">
        <v>25.09</v>
      </c>
      <c r="K1156" s="18">
        <v>25</v>
      </c>
      <c r="L1156" s="22">
        <v>2</v>
      </c>
    </row>
    <row r="1157" spans="1:12">
      <c r="A1157">
        <v>2</v>
      </c>
      <c r="B1157" s="16" t="s">
        <v>56</v>
      </c>
      <c r="C1157" s="9">
        <v>45717</v>
      </c>
      <c r="D1157">
        <v>6</v>
      </c>
      <c r="E1157" s="16" t="s">
        <v>89</v>
      </c>
      <c r="F1157" s="16" t="s">
        <v>90</v>
      </c>
      <c r="G1157" s="22">
        <v>20</v>
      </c>
      <c r="H1157" s="18">
        <v>500.4</v>
      </c>
      <c r="I1157" s="18">
        <v>25.02</v>
      </c>
      <c r="J1157" s="18">
        <v>25.12</v>
      </c>
      <c r="K1157" s="18">
        <v>24.92</v>
      </c>
      <c r="L1157" s="22">
        <v>2</v>
      </c>
    </row>
    <row r="1158" spans="1:12">
      <c r="A1158">
        <v>2</v>
      </c>
      <c r="B1158" s="16" t="s">
        <v>56</v>
      </c>
      <c r="C1158" s="9">
        <v>45748</v>
      </c>
      <c r="D1158">
        <v>6</v>
      </c>
      <c r="E1158" s="16" t="s">
        <v>89</v>
      </c>
      <c r="F1158" s="16" t="s">
        <v>90</v>
      </c>
      <c r="G1158" s="22">
        <v>20</v>
      </c>
      <c r="H1158" s="18">
        <v>497.7</v>
      </c>
      <c r="I1158" s="18">
        <v>24.885000000000002</v>
      </c>
      <c r="J1158" s="18">
        <v>24.91</v>
      </c>
      <c r="K1158" s="18">
        <v>24.86</v>
      </c>
      <c r="L1158" s="22">
        <v>2</v>
      </c>
    </row>
    <row r="1159" spans="1:12">
      <c r="A1159">
        <v>2</v>
      </c>
      <c r="B1159" s="16" t="s">
        <v>56</v>
      </c>
      <c r="C1159" s="9">
        <v>45778</v>
      </c>
      <c r="D1159">
        <v>6</v>
      </c>
      <c r="E1159" s="16" t="s">
        <v>89</v>
      </c>
      <c r="F1159" s="16" t="s">
        <v>90</v>
      </c>
      <c r="G1159" s="22">
        <v>20</v>
      </c>
      <c r="H1159" s="18">
        <v>493.4</v>
      </c>
      <c r="I1159" s="18">
        <v>24.67</v>
      </c>
      <c r="J1159" s="18">
        <v>24.74</v>
      </c>
      <c r="K1159" s="18">
        <v>24.6</v>
      </c>
      <c r="L1159" s="22">
        <v>2</v>
      </c>
    </row>
    <row r="1160" spans="1:12">
      <c r="A1160">
        <v>2</v>
      </c>
      <c r="B1160" s="16" t="s">
        <v>56</v>
      </c>
      <c r="C1160" s="9">
        <v>45809</v>
      </c>
      <c r="D1160">
        <v>6</v>
      </c>
      <c r="E1160" s="16" t="s">
        <v>89</v>
      </c>
      <c r="F1160" s="16" t="s">
        <v>90</v>
      </c>
      <c r="G1160" s="22">
        <v>20</v>
      </c>
      <c r="H1160" s="18">
        <v>492.3</v>
      </c>
      <c r="I1160" s="18">
        <v>24.614999999999998</v>
      </c>
      <c r="J1160" s="18">
        <v>24.62</v>
      </c>
      <c r="K1160" s="18">
        <v>24.61</v>
      </c>
      <c r="L1160" s="22">
        <v>2</v>
      </c>
    </row>
    <row r="1161" spans="1:12">
      <c r="A1161">
        <v>2</v>
      </c>
      <c r="B1161" s="16" t="s">
        <v>56</v>
      </c>
      <c r="C1161" s="9">
        <v>45839</v>
      </c>
      <c r="D1161">
        <v>6</v>
      </c>
      <c r="E1161" s="16" t="s">
        <v>89</v>
      </c>
      <c r="F1161" s="16" t="s">
        <v>90</v>
      </c>
      <c r="G1161" s="22">
        <v>24</v>
      </c>
      <c r="H1161" s="18">
        <v>596.48</v>
      </c>
      <c r="I1161" s="18">
        <v>24.853333332999998</v>
      </c>
      <c r="J1161" s="18">
        <v>25.06</v>
      </c>
      <c r="K1161" s="18">
        <v>24.59</v>
      </c>
      <c r="L1161" s="22">
        <v>3</v>
      </c>
    </row>
    <row r="1162" spans="1:12">
      <c r="A1162">
        <v>2</v>
      </c>
      <c r="B1162" s="16" t="s">
        <v>56</v>
      </c>
      <c r="C1162" s="9">
        <v>45870</v>
      </c>
      <c r="D1162">
        <v>6</v>
      </c>
      <c r="E1162" s="16" t="s">
        <v>89</v>
      </c>
      <c r="F1162" s="16" t="s">
        <v>90</v>
      </c>
      <c r="G1162" s="22">
        <v>18</v>
      </c>
      <c r="H1162" s="18">
        <v>450.16</v>
      </c>
      <c r="I1162" s="18">
        <v>25.008888889000001</v>
      </c>
      <c r="J1162" s="18">
        <v>25.07</v>
      </c>
      <c r="K1162" s="18">
        <v>24.96</v>
      </c>
      <c r="L1162" s="22">
        <v>2</v>
      </c>
    </row>
    <row r="1163" spans="1:12">
      <c r="A1163">
        <v>2</v>
      </c>
      <c r="B1163" s="16" t="s">
        <v>56</v>
      </c>
      <c r="C1163" s="9">
        <v>45901</v>
      </c>
      <c r="D1163">
        <v>6</v>
      </c>
      <c r="E1163" s="16" t="s">
        <v>89</v>
      </c>
      <c r="F1163" s="16" t="s">
        <v>90</v>
      </c>
      <c r="G1163" s="22">
        <v>20</v>
      </c>
      <c r="H1163" s="18">
        <v>508.4</v>
      </c>
      <c r="I1163" s="18">
        <v>25.42</v>
      </c>
      <c r="J1163" s="18">
        <v>25.42</v>
      </c>
      <c r="K1163" s="18">
        <v>25.42</v>
      </c>
      <c r="L1163" s="22">
        <v>2</v>
      </c>
    </row>
    <row r="1164" spans="1:12">
      <c r="A1164">
        <v>2</v>
      </c>
      <c r="B1164" s="16" t="s">
        <v>56</v>
      </c>
      <c r="C1164" s="9">
        <v>45931</v>
      </c>
      <c r="D1164">
        <v>6</v>
      </c>
      <c r="E1164" s="16" t="s">
        <v>89</v>
      </c>
      <c r="F1164" s="16" t="s">
        <v>90</v>
      </c>
      <c r="G1164" s="22">
        <v>20</v>
      </c>
      <c r="H1164" s="18">
        <v>507.5</v>
      </c>
      <c r="I1164" s="18">
        <v>25.375</v>
      </c>
      <c r="J1164" s="18">
        <v>26</v>
      </c>
      <c r="K1164" s="18">
        <v>24.75</v>
      </c>
      <c r="L1164" s="22">
        <v>2</v>
      </c>
    </row>
    <row r="1165" spans="1:12">
      <c r="A1165">
        <v>2</v>
      </c>
      <c r="B1165" s="16" t="s">
        <v>56</v>
      </c>
      <c r="C1165" s="9">
        <v>45962</v>
      </c>
      <c r="D1165">
        <v>6</v>
      </c>
      <c r="E1165" s="16" t="s">
        <v>89</v>
      </c>
      <c r="F1165" s="16" t="s">
        <v>90</v>
      </c>
      <c r="G1165" s="22">
        <v>20</v>
      </c>
      <c r="H1165" s="18">
        <v>488.8</v>
      </c>
      <c r="I1165" s="18">
        <v>24.44</v>
      </c>
      <c r="J1165" s="18">
        <v>24.56</v>
      </c>
      <c r="K1165" s="18">
        <v>24.32</v>
      </c>
      <c r="L1165" s="22">
        <v>2</v>
      </c>
    </row>
    <row r="1166" spans="1:12">
      <c r="A1166">
        <v>2</v>
      </c>
      <c r="B1166" s="16" t="s">
        <v>56</v>
      </c>
      <c r="C1166" s="9">
        <v>45992</v>
      </c>
      <c r="D1166">
        <v>6</v>
      </c>
      <c r="E1166" s="16" t="s">
        <v>89</v>
      </c>
      <c r="F1166" s="16" t="s">
        <v>90</v>
      </c>
      <c r="G1166" s="22">
        <v>34</v>
      </c>
      <c r="H1166" s="18">
        <v>832.28</v>
      </c>
      <c r="I1166" s="18">
        <v>24.478823529</v>
      </c>
      <c r="J1166" s="18">
        <v>24.74</v>
      </c>
      <c r="K1166" s="18">
        <v>24.32</v>
      </c>
      <c r="L1166" s="22">
        <v>3</v>
      </c>
    </row>
    <row r="1167" spans="1:12">
      <c r="A1167">
        <v>2</v>
      </c>
      <c r="B1167" s="16" t="s">
        <v>56</v>
      </c>
      <c r="C1167" s="9">
        <v>46023</v>
      </c>
      <c r="D1167">
        <v>6</v>
      </c>
      <c r="E1167" s="16" t="s">
        <v>89</v>
      </c>
      <c r="F1167" s="16" t="s">
        <v>90</v>
      </c>
      <c r="G1167" s="22">
        <v>18</v>
      </c>
      <c r="H1167" s="18">
        <v>453.6</v>
      </c>
      <c r="I1167" s="18">
        <v>25.2</v>
      </c>
      <c r="J1167" s="18">
        <v>25.3</v>
      </c>
      <c r="K1167" s="18">
        <v>25.12</v>
      </c>
      <c r="L1167" s="22">
        <v>2</v>
      </c>
    </row>
    <row r="1168" spans="1:12">
      <c r="A1168">
        <v>2</v>
      </c>
      <c r="B1168" s="16" t="s">
        <v>56</v>
      </c>
      <c r="C1168" s="9">
        <v>46054</v>
      </c>
      <c r="D1168">
        <v>6</v>
      </c>
      <c r="E1168" s="16" t="s">
        <v>89</v>
      </c>
      <c r="F1168" s="16" t="s">
        <v>90</v>
      </c>
      <c r="G1168" s="22">
        <v>20</v>
      </c>
      <c r="H1168" s="18">
        <v>499.7</v>
      </c>
      <c r="I1168" s="18">
        <v>24.984999999999999</v>
      </c>
      <c r="J1168" s="18">
        <v>25.06</v>
      </c>
      <c r="K1168" s="18">
        <v>24.91</v>
      </c>
      <c r="L1168" s="22">
        <v>2</v>
      </c>
    </row>
    <row r="1169" spans="1:12">
      <c r="A1169">
        <v>2</v>
      </c>
      <c r="B1169" s="16" t="s">
        <v>56</v>
      </c>
      <c r="C1169" s="9">
        <v>46082</v>
      </c>
      <c r="D1169">
        <v>6</v>
      </c>
      <c r="E1169" s="16" t="s">
        <v>89</v>
      </c>
      <c r="F1169" s="16" t="s">
        <v>90</v>
      </c>
      <c r="G1169" s="22">
        <v>20</v>
      </c>
      <c r="H1169" s="18">
        <v>499</v>
      </c>
      <c r="I1169" s="18">
        <v>24.95</v>
      </c>
      <c r="J1169" s="18">
        <v>25.11</v>
      </c>
      <c r="K1169" s="18">
        <v>24.79</v>
      </c>
      <c r="L1169" s="22">
        <v>2</v>
      </c>
    </row>
    <row r="1170" spans="1:12">
      <c r="A1170">
        <v>2</v>
      </c>
      <c r="B1170" s="16" t="s">
        <v>56</v>
      </c>
      <c r="C1170" s="9">
        <v>46113</v>
      </c>
      <c r="D1170">
        <v>6</v>
      </c>
      <c r="E1170" s="16" t="s">
        <v>89</v>
      </c>
      <c r="F1170" s="16" t="s">
        <v>90</v>
      </c>
      <c r="G1170" s="22">
        <v>20</v>
      </c>
      <c r="H1170" s="18">
        <v>499.9</v>
      </c>
      <c r="I1170" s="18">
        <v>24.995000000000001</v>
      </c>
      <c r="J1170" s="18">
        <v>25.26</v>
      </c>
      <c r="K1170" s="18">
        <v>24.73</v>
      </c>
      <c r="L1170" s="22">
        <v>2</v>
      </c>
    </row>
    <row r="1171" spans="1:12">
      <c r="A1171">
        <v>2</v>
      </c>
      <c r="B1171" s="16" t="s">
        <v>56</v>
      </c>
      <c r="C1171" s="9">
        <v>46143</v>
      </c>
      <c r="D1171">
        <v>6</v>
      </c>
      <c r="E1171" s="16" t="s">
        <v>89</v>
      </c>
      <c r="F1171" s="16" t="s">
        <v>90</v>
      </c>
      <c r="G1171" s="22">
        <v>22</v>
      </c>
      <c r="H1171" s="18">
        <v>544.55999999999995</v>
      </c>
      <c r="I1171" s="18">
        <v>24.752727273000001</v>
      </c>
      <c r="J1171" s="18">
        <v>24.9</v>
      </c>
      <c r="K1171" s="18">
        <v>24.63</v>
      </c>
      <c r="L1171" s="22">
        <v>2</v>
      </c>
    </row>
    <row r="1172" spans="1:12">
      <c r="A1172">
        <v>2</v>
      </c>
      <c r="B1172" s="16" t="s">
        <v>56</v>
      </c>
      <c r="C1172" s="9">
        <v>46174</v>
      </c>
      <c r="D1172">
        <v>6</v>
      </c>
      <c r="E1172" s="16" t="s">
        <v>89</v>
      </c>
      <c r="F1172" s="16" t="s">
        <v>90</v>
      </c>
      <c r="G1172" s="22">
        <v>20</v>
      </c>
      <c r="H1172" s="18">
        <v>495.7</v>
      </c>
      <c r="I1172" s="18">
        <v>24.785</v>
      </c>
      <c r="J1172" s="18">
        <v>24.9</v>
      </c>
      <c r="K1172" s="18">
        <v>24.67</v>
      </c>
      <c r="L1172" s="22">
        <v>2</v>
      </c>
    </row>
    <row r="1173" spans="1:12">
      <c r="A1173">
        <v>2</v>
      </c>
      <c r="B1173" s="16" t="s">
        <v>56</v>
      </c>
      <c r="C1173" s="9">
        <v>46204</v>
      </c>
      <c r="D1173">
        <v>6</v>
      </c>
      <c r="E1173" s="16" t="s">
        <v>89</v>
      </c>
      <c r="F1173" s="16" t="s">
        <v>90</v>
      </c>
      <c r="G1173" s="22">
        <v>30</v>
      </c>
      <c r="H1173" s="18">
        <v>752.2</v>
      </c>
      <c r="I1173" s="18">
        <v>25.073333333000001</v>
      </c>
      <c r="J1173" s="18">
        <v>25.36</v>
      </c>
      <c r="K1173" s="18">
        <v>24.8</v>
      </c>
      <c r="L1173" s="22">
        <v>3</v>
      </c>
    </row>
    <row r="1174" spans="1:12">
      <c r="A1174">
        <v>2</v>
      </c>
      <c r="B1174" s="16" t="s">
        <v>56</v>
      </c>
      <c r="C1174" s="9">
        <v>46235</v>
      </c>
      <c r="D1174">
        <v>6</v>
      </c>
      <c r="E1174" s="16" t="s">
        <v>89</v>
      </c>
      <c r="F1174" s="16" t="s">
        <v>90</v>
      </c>
      <c r="G1174" s="22">
        <v>18</v>
      </c>
      <c r="H1174" s="18">
        <v>449.58</v>
      </c>
      <c r="I1174" s="18">
        <v>24.976666667</v>
      </c>
      <c r="J1174" s="18">
        <v>25.01</v>
      </c>
      <c r="K1174" s="18">
        <v>24.95</v>
      </c>
      <c r="L1174" s="22">
        <v>2</v>
      </c>
    </row>
    <row r="1175" spans="1:12">
      <c r="A1175">
        <v>2</v>
      </c>
      <c r="B1175" s="16" t="s">
        <v>56</v>
      </c>
      <c r="C1175" s="9">
        <v>46266</v>
      </c>
      <c r="D1175">
        <v>6</v>
      </c>
      <c r="E1175" s="16" t="s">
        <v>89</v>
      </c>
      <c r="F1175" s="16" t="s">
        <v>90</v>
      </c>
      <c r="G1175" s="22">
        <v>16</v>
      </c>
      <c r="H1175" s="18">
        <v>395.92</v>
      </c>
      <c r="I1175" s="18">
        <v>24.745000000000001</v>
      </c>
      <c r="J1175" s="18">
        <v>24.83</v>
      </c>
      <c r="K1175" s="18">
        <v>24.66</v>
      </c>
      <c r="L1175" s="22">
        <v>2</v>
      </c>
    </row>
    <row r="1176" spans="1:12">
      <c r="A1176">
        <v>2</v>
      </c>
      <c r="B1176" s="16" t="s">
        <v>56</v>
      </c>
      <c r="C1176" s="9">
        <v>45689</v>
      </c>
      <c r="D1176">
        <v>7</v>
      </c>
      <c r="E1176" s="16" t="s">
        <v>91</v>
      </c>
      <c r="F1176" s="16" t="s">
        <v>92</v>
      </c>
      <c r="G1176" s="22">
        <v>166</v>
      </c>
      <c r="H1176" s="18">
        <v>118.14</v>
      </c>
      <c r="I1176" s="18">
        <v>0.71168674700000001</v>
      </c>
      <c r="J1176" s="18">
        <v>0.72</v>
      </c>
      <c r="K1176" s="18">
        <v>0.7</v>
      </c>
      <c r="L1176" s="22">
        <v>8</v>
      </c>
    </row>
    <row r="1177" spans="1:12">
      <c r="A1177">
        <v>2</v>
      </c>
      <c r="B1177" s="16" t="s">
        <v>56</v>
      </c>
      <c r="C1177" s="9">
        <v>45717</v>
      </c>
      <c r="D1177">
        <v>7</v>
      </c>
      <c r="E1177" s="16" t="s">
        <v>91</v>
      </c>
      <c r="F1177" s="16" t="s">
        <v>92</v>
      </c>
      <c r="G1177" s="22">
        <v>208</v>
      </c>
      <c r="H1177" s="18">
        <v>141.22</v>
      </c>
      <c r="I1177" s="18">
        <v>0.67894230799999999</v>
      </c>
      <c r="J1177" s="18">
        <v>0.69</v>
      </c>
      <c r="K1177" s="18">
        <v>0.66</v>
      </c>
      <c r="L1177" s="22">
        <v>9</v>
      </c>
    </row>
    <row r="1178" spans="1:12">
      <c r="A1178">
        <v>2</v>
      </c>
      <c r="B1178" s="16" t="s">
        <v>56</v>
      </c>
      <c r="C1178" s="9">
        <v>45748</v>
      </c>
      <c r="D1178">
        <v>7</v>
      </c>
      <c r="E1178" s="16" t="s">
        <v>91</v>
      </c>
      <c r="F1178" s="16" t="s">
        <v>92</v>
      </c>
      <c r="G1178" s="22">
        <v>220</v>
      </c>
      <c r="H1178" s="18">
        <v>141.06</v>
      </c>
      <c r="I1178" s="18">
        <v>0.64118181799999996</v>
      </c>
      <c r="J1178" s="18">
        <v>0.66</v>
      </c>
      <c r="K1178" s="18">
        <v>0.63</v>
      </c>
      <c r="L1178" s="22">
        <v>8</v>
      </c>
    </row>
    <row r="1179" spans="1:12">
      <c r="A1179">
        <v>2</v>
      </c>
      <c r="B1179" s="16" t="s">
        <v>56</v>
      </c>
      <c r="C1179" s="9">
        <v>45778</v>
      </c>
      <c r="D1179">
        <v>7</v>
      </c>
      <c r="E1179" s="16" t="s">
        <v>91</v>
      </c>
      <c r="F1179" s="16" t="s">
        <v>92</v>
      </c>
      <c r="G1179" s="22">
        <v>250</v>
      </c>
      <c r="H1179" s="18">
        <v>150.16</v>
      </c>
      <c r="I1179" s="18">
        <v>0.60063999999999995</v>
      </c>
      <c r="J1179" s="18">
        <v>0.61</v>
      </c>
      <c r="K1179" s="18">
        <v>0.59</v>
      </c>
      <c r="L1179" s="22">
        <v>9</v>
      </c>
    </row>
    <row r="1180" spans="1:12">
      <c r="A1180">
        <v>2</v>
      </c>
      <c r="B1180" s="16" t="s">
        <v>56</v>
      </c>
      <c r="C1180" s="9">
        <v>45809</v>
      </c>
      <c r="D1180">
        <v>7</v>
      </c>
      <c r="E1180" s="16" t="s">
        <v>91</v>
      </c>
      <c r="F1180" s="16" t="s">
        <v>92</v>
      </c>
      <c r="G1180" s="22">
        <v>234</v>
      </c>
      <c r="H1180" s="18">
        <v>133.18</v>
      </c>
      <c r="I1180" s="18">
        <v>0.56914529899999999</v>
      </c>
      <c r="J1180" s="18">
        <v>0.56999999999999995</v>
      </c>
      <c r="K1180" s="18">
        <v>0.56000000000000005</v>
      </c>
      <c r="L1180" s="22">
        <v>9</v>
      </c>
    </row>
    <row r="1181" spans="1:12">
      <c r="A1181">
        <v>2</v>
      </c>
      <c r="B1181" s="16" t="s">
        <v>56</v>
      </c>
      <c r="C1181" s="9">
        <v>45839</v>
      </c>
      <c r="D1181">
        <v>7</v>
      </c>
      <c r="E1181" s="16" t="s">
        <v>91</v>
      </c>
      <c r="F1181" s="16" t="s">
        <v>92</v>
      </c>
      <c r="G1181" s="22">
        <v>232</v>
      </c>
      <c r="H1181" s="18">
        <v>131.63999999999999</v>
      </c>
      <c r="I1181" s="18">
        <v>0.56741379300000006</v>
      </c>
      <c r="J1181" s="18">
        <v>0.57999999999999996</v>
      </c>
      <c r="K1181" s="18">
        <v>0.55000000000000004</v>
      </c>
      <c r="L1181" s="22">
        <v>9</v>
      </c>
    </row>
    <row r="1182" spans="1:12">
      <c r="A1182">
        <v>2</v>
      </c>
      <c r="B1182" s="16" t="s">
        <v>56</v>
      </c>
      <c r="C1182" s="9">
        <v>45870</v>
      </c>
      <c r="D1182">
        <v>7</v>
      </c>
      <c r="E1182" s="16" t="s">
        <v>91</v>
      </c>
      <c r="F1182" s="16" t="s">
        <v>92</v>
      </c>
      <c r="G1182" s="22">
        <v>196</v>
      </c>
      <c r="H1182" s="18">
        <v>113.84</v>
      </c>
      <c r="I1182" s="18">
        <v>0.58081632699999997</v>
      </c>
      <c r="J1182" s="18">
        <v>0.59</v>
      </c>
      <c r="K1182" s="18">
        <v>0.56999999999999995</v>
      </c>
      <c r="L1182" s="22">
        <v>8</v>
      </c>
    </row>
    <row r="1183" spans="1:12">
      <c r="A1183">
        <v>2</v>
      </c>
      <c r="B1183" s="16" t="s">
        <v>56</v>
      </c>
      <c r="C1183" s="9">
        <v>45901</v>
      </c>
      <c r="D1183">
        <v>7</v>
      </c>
      <c r="E1183" s="16" t="s">
        <v>91</v>
      </c>
      <c r="F1183" s="16" t="s">
        <v>92</v>
      </c>
      <c r="G1183" s="22">
        <v>234</v>
      </c>
      <c r="H1183" s="18">
        <v>142.62</v>
      </c>
      <c r="I1183" s="18">
        <v>0.60948717900000005</v>
      </c>
      <c r="J1183" s="18">
        <v>0.62</v>
      </c>
      <c r="K1183" s="18">
        <v>0.6</v>
      </c>
      <c r="L1183" s="22">
        <v>9</v>
      </c>
    </row>
    <row r="1184" spans="1:12">
      <c r="A1184">
        <v>2</v>
      </c>
      <c r="B1184" s="16" t="s">
        <v>56</v>
      </c>
      <c r="C1184" s="9">
        <v>45931</v>
      </c>
      <c r="D1184">
        <v>7</v>
      </c>
      <c r="E1184" s="16" t="s">
        <v>91</v>
      </c>
      <c r="F1184" s="16" t="s">
        <v>92</v>
      </c>
      <c r="G1184" s="22">
        <v>258</v>
      </c>
      <c r="H1184" s="18">
        <v>169.66</v>
      </c>
      <c r="I1184" s="18">
        <v>0.65759689899999996</v>
      </c>
      <c r="J1184" s="18">
        <v>0.67</v>
      </c>
      <c r="K1184" s="18">
        <v>0.65</v>
      </c>
      <c r="L1184" s="22">
        <v>9</v>
      </c>
    </row>
    <row r="1185" spans="1:12">
      <c r="A1185">
        <v>2</v>
      </c>
      <c r="B1185" s="16" t="s">
        <v>56</v>
      </c>
      <c r="C1185" s="9">
        <v>45962</v>
      </c>
      <c r="D1185">
        <v>7</v>
      </c>
      <c r="E1185" s="16" t="s">
        <v>91</v>
      </c>
      <c r="F1185" s="16" t="s">
        <v>92</v>
      </c>
      <c r="G1185" s="22">
        <v>190</v>
      </c>
      <c r="H1185" s="18">
        <v>133.04</v>
      </c>
      <c r="I1185" s="18">
        <v>0.700210526</v>
      </c>
      <c r="J1185" s="18">
        <v>0.73</v>
      </c>
      <c r="K1185" s="18">
        <v>0.69</v>
      </c>
      <c r="L1185" s="22">
        <v>8</v>
      </c>
    </row>
    <row r="1186" spans="1:12">
      <c r="A1186">
        <v>2</v>
      </c>
      <c r="B1186" s="16" t="s">
        <v>56</v>
      </c>
      <c r="C1186" s="9">
        <v>45992</v>
      </c>
      <c r="D1186">
        <v>7</v>
      </c>
      <c r="E1186" s="16" t="s">
        <v>91</v>
      </c>
      <c r="F1186" s="16" t="s">
        <v>92</v>
      </c>
      <c r="G1186" s="22">
        <v>268</v>
      </c>
      <c r="H1186" s="18">
        <v>195.56</v>
      </c>
      <c r="I1186" s="18">
        <v>0.72970149299999998</v>
      </c>
      <c r="J1186" s="18">
        <v>0.74</v>
      </c>
      <c r="K1186" s="18">
        <v>0.72</v>
      </c>
      <c r="L1186" s="22">
        <v>9</v>
      </c>
    </row>
    <row r="1187" spans="1:12">
      <c r="A1187">
        <v>2</v>
      </c>
      <c r="B1187" s="16" t="s">
        <v>56</v>
      </c>
      <c r="C1187" s="9">
        <v>46023</v>
      </c>
      <c r="D1187">
        <v>7</v>
      </c>
      <c r="E1187" s="16" t="s">
        <v>91</v>
      </c>
      <c r="F1187" s="16" t="s">
        <v>92</v>
      </c>
      <c r="G1187" s="22">
        <v>174</v>
      </c>
      <c r="H1187" s="18">
        <v>130.47999999999999</v>
      </c>
      <c r="I1187" s="18">
        <v>0.74988505699999997</v>
      </c>
      <c r="J1187" s="18">
        <v>0.77</v>
      </c>
      <c r="K1187" s="18">
        <v>0.73</v>
      </c>
      <c r="L1187" s="22">
        <v>9</v>
      </c>
    </row>
    <row r="1188" spans="1:12">
      <c r="A1188">
        <v>2</v>
      </c>
      <c r="B1188" s="16" t="s">
        <v>56</v>
      </c>
      <c r="C1188" s="9">
        <v>46054</v>
      </c>
      <c r="D1188">
        <v>7</v>
      </c>
      <c r="E1188" s="16" t="s">
        <v>91</v>
      </c>
      <c r="F1188" s="16" t="s">
        <v>92</v>
      </c>
      <c r="G1188" s="22">
        <v>190</v>
      </c>
      <c r="H1188" s="18">
        <v>138.28</v>
      </c>
      <c r="I1188" s="18">
        <v>0.72778947400000005</v>
      </c>
      <c r="J1188" s="18">
        <v>0.74</v>
      </c>
      <c r="K1188" s="18">
        <v>0.72</v>
      </c>
      <c r="L1188" s="22">
        <v>8</v>
      </c>
    </row>
    <row r="1189" spans="1:12">
      <c r="A1189">
        <v>2</v>
      </c>
      <c r="B1189" s="16" t="s">
        <v>56</v>
      </c>
      <c r="C1189" s="9">
        <v>46082</v>
      </c>
      <c r="D1189">
        <v>7</v>
      </c>
      <c r="E1189" s="16" t="s">
        <v>91</v>
      </c>
      <c r="F1189" s="16" t="s">
        <v>92</v>
      </c>
      <c r="G1189" s="22">
        <v>216</v>
      </c>
      <c r="H1189" s="18">
        <v>152.06</v>
      </c>
      <c r="I1189" s="18">
        <v>0.70398148100000002</v>
      </c>
      <c r="J1189" s="18">
        <v>0.73</v>
      </c>
      <c r="K1189" s="18">
        <v>0.7</v>
      </c>
      <c r="L1189" s="22">
        <v>9</v>
      </c>
    </row>
    <row r="1190" spans="1:12">
      <c r="A1190">
        <v>2</v>
      </c>
      <c r="B1190" s="16" t="s">
        <v>56</v>
      </c>
      <c r="C1190" s="9">
        <v>46113</v>
      </c>
      <c r="D1190">
        <v>7</v>
      </c>
      <c r="E1190" s="16" t="s">
        <v>91</v>
      </c>
      <c r="F1190" s="16" t="s">
        <v>92</v>
      </c>
      <c r="G1190" s="22">
        <v>256</v>
      </c>
      <c r="H1190" s="18">
        <v>169.42</v>
      </c>
      <c r="I1190" s="18">
        <v>0.66179687499999995</v>
      </c>
      <c r="J1190" s="18">
        <v>0.68</v>
      </c>
      <c r="K1190" s="18">
        <v>0.64</v>
      </c>
      <c r="L1190" s="22">
        <v>9</v>
      </c>
    </row>
    <row r="1191" spans="1:12">
      <c r="A1191">
        <v>2</v>
      </c>
      <c r="B1191" s="16" t="s">
        <v>56</v>
      </c>
      <c r="C1191" s="9">
        <v>46143</v>
      </c>
      <c r="D1191">
        <v>7</v>
      </c>
      <c r="E1191" s="16" t="s">
        <v>91</v>
      </c>
      <c r="F1191" s="16" t="s">
        <v>92</v>
      </c>
      <c r="G1191" s="22">
        <v>244</v>
      </c>
      <c r="H1191" s="18">
        <v>151.38</v>
      </c>
      <c r="I1191" s="18">
        <v>0.62040983599999999</v>
      </c>
      <c r="J1191" s="18">
        <v>0.63</v>
      </c>
      <c r="K1191" s="18">
        <v>0.61</v>
      </c>
      <c r="L1191" s="22">
        <v>8</v>
      </c>
    </row>
    <row r="1192" spans="1:12">
      <c r="A1192">
        <v>2</v>
      </c>
      <c r="B1192" s="16" t="s">
        <v>56</v>
      </c>
      <c r="C1192" s="9">
        <v>46174</v>
      </c>
      <c r="D1192">
        <v>7</v>
      </c>
      <c r="E1192" s="16" t="s">
        <v>91</v>
      </c>
      <c r="F1192" s="16" t="s">
        <v>92</v>
      </c>
      <c r="G1192" s="22">
        <v>260</v>
      </c>
      <c r="H1192" s="18">
        <v>153.08000000000001</v>
      </c>
      <c r="I1192" s="18">
        <v>0.588769231</v>
      </c>
      <c r="J1192" s="18">
        <v>0.61</v>
      </c>
      <c r="K1192" s="18">
        <v>0.57999999999999996</v>
      </c>
      <c r="L1192" s="22">
        <v>9</v>
      </c>
    </row>
    <row r="1193" spans="1:12">
      <c r="A1193">
        <v>2</v>
      </c>
      <c r="B1193" s="16" t="s">
        <v>56</v>
      </c>
      <c r="C1193" s="9">
        <v>46204</v>
      </c>
      <c r="D1193">
        <v>7</v>
      </c>
      <c r="E1193" s="16" t="s">
        <v>91</v>
      </c>
      <c r="F1193" s="16" t="s">
        <v>92</v>
      </c>
      <c r="G1193" s="22">
        <v>268</v>
      </c>
      <c r="H1193" s="18">
        <v>155.26</v>
      </c>
      <c r="I1193" s="18">
        <v>0.57932835800000004</v>
      </c>
      <c r="J1193" s="18">
        <v>0.59</v>
      </c>
      <c r="K1193" s="18">
        <v>0.56999999999999995</v>
      </c>
      <c r="L1193" s="22">
        <v>9</v>
      </c>
    </row>
    <row r="1194" spans="1:12">
      <c r="A1194">
        <v>2</v>
      </c>
      <c r="B1194" s="16" t="s">
        <v>56</v>
      </c>
      <c r="C1194" s="9">
        <v>46235</v>
      </c>
      <c r="D1194">
        <v>7</v>
      </c>
      <c r="E1194" s="16" t="s">
        <v>91</v>
      </c>
      <c r="F1194" s="16" t="s">
        <v>92</v>
      </c>
      <c r="G1194" s="22">
        <v>220</v>
      </c>
      <c r="H1194" s="18">
        <v>133.04</v>
      </c>
      <c r="I1194" s="18">
        <v>0.60472727299999995</v>
      </c>
      <c r="J1194" s="18">
        <v>0.62</v>
      </c>
      <c r="K1194" s="18">
        <v>0.59</v>
      </c>
      <c r="L1194" s="22">
        <v>9</v>
      </c>
    </row>
    <row r="1195" spans="1:12">
      <c r="A1195">
        <v>2</v>
      </c>
      <c r="B1195" s="16" t="s">
        <v>56</v>
      </c>
      <c r="C1195" s="9">
        <v>46266</v>
      </c>
      <c r="D1195">
        <v>7</v>
      </c>
      <c r="E1195" s="16" t="s">
        <v>91</v>
      </c>
      <c r="F1195" s="16" t="s">
        <v>92</v>
      </c>
      <c r="G1195" s="22">
        <v>206</v>
      </c>
      <c r="H1195" s="18">
        <v>131.04</v>
      </c>
      <c r="I1195" s="18">
        <v>0.63611650500000005</v>
      </c>
      <c r="J1195" s="18">
        <v>0.65</v>
      </c>
      <c r="K1195" s="18">
        <v>0.62</v>
      </c>
      <c r="L1195" s="22">
        <v>8</v>
      </c>
    </row>
    <row r="1196" spans="1:12">
      <c r="A1196">
        <v>2</v>
      </c>
      <c r="B1196" s="16" t="s">
        <v>56</v>
      </c>
      <c r="C1196" s="9">
        <v>45689</v>
      </c>
      <c r="D1196">
        <v>8</v>
      </c>
      <c r="E1196" s="16" t="s">
        <v>93</v>
      </c>
      <c r="F1196" s="16" t="s">
        <v>83</v>
      </c>
      <c r="G1196" s="22">
        <v>100</v>
      </c>
      <c r="H1196" s="18">
        <v>1856.0875000000001</v>
      </c>
      <c r="I1196" s="18">
        <v>18.560874999999999</v>
      </c>
      <c r="J1196" s="18">
        <v>18.87</v>
      </c>
      <c r="K1196" s="18">
        <v>18.22</v>
      </c>
      <c r="L1196" s="22">
        <v>8</v>
      </c>
    </row>
    <row r="1197" spans="1:12">
      <c r="A1197">
        <v>2</v>
      </c>
      <c r="B1197" s="16" t="s">
        <v>56</v>
      </c>
      <c r="C1197" s="9">
        <v>45717</v>
      </c>
      <c r="D1197">
        <v>8</v>
      </c>
      <c r="E1197" s="16" t="s">
        <v>93</v>
      </c>
      <c r="F1197" s="16" t="s">
        <v>83</v>
      </c>
      <c r="G1197" s="22">
        <v>126.25</v>
      </c>
      <c r="H1197" s="18">
        <v>2335.9375</v>
      </c>
      <c r="I1197" s="18">
        <v>18.502475248</v>
      </c>
      <c r="J1197" s="18">
        <v>18.850000000000001</v>
      </c>
      <c r="K1197" s="18">
        <v>18.170000000000002</v>
      </c>
      <c r="L1197" s="22">
        <v>9</v>
      </c>
    </row>
    <row r="1198" spans="1:12">
      <c r="A1198">
        <v>2</v>
      </c>
      <c r="B1198" s="16" t="s">
        <v>56</v>
      </c>
      <c r="C1198" s="9">
        <v>45748</v>
      </c>
      <c r="D1198">
        <v>8</v>
      </c>
      <c r="E1198" s="16" t="s">
        <v>93</v>
      </c>
      <c r="F1198" s="16" t="s">
        <v>83</v>
      </c>
      <c r="G1198" s="22">
        <v>117.5</v>
      </c>
      <c r="H1198" s="18">
        <v>2219.6750000000002</v>
      </c>
      <c r="I1198" s="18">
        <v>18.890851064</v>
      </c>
      <c r="J1198" s="18">
        <v>19.63</v>
      </c>
      <c r="K1198" s="18">
        <v>18.25</v>
      </c>
      <c r="L1198" s="22">
        <v>8</v>
      </c>
    </row>
    <row r="1199" spans="1:12">
      <c r="A1199">
        <v>2</v>
      </c>
      <c r="B1199" s="16" t="s">
        <v>56</v>
      </c>
      <c r="C1199" s="9">
        <v>45778</v>
      </c>
      <c r="D1199">
        <v>8</v>
      </c>
      <c r="E1199" s="16" t="s">
        <v>93</v>
      </c>
      <c r="F1199" s="16" t="s">
        <v>83</v>
      </c>
      <c r="G1199" s="22">
        <v>146.25</v>
      </c>
      <c r="H1199" s="18">
        <v>2716.4875000000002</v>
      </c>
      <c r="I1199" s="18">
        <v>18.574273504000001</v>
      </c>
      <c r="J1199" s="18">
        <v>18.89</v>
      </c>
      <c r="K1199" s="18">
        <v>18.27</v>
      </c>
      <c r="L1199" s="22">
        <v>9</v>
      </c>
    </row>
    <row r="1200" spans="1:12">
      <c r="A1200">
        <v>2</v>
      </c>
      <c r="B1200" s="16" t="s">
        <v>56</v>
      </c>
      <c r="C1200" s="9">
        <v>45809</v>
      </c>
      <c r="D1200">
        <v>8</v>
      </c>
      <c r="E1200" s="16" t="s">
        <v>93</v>
      </c>
      <c r="F1200" s="16" t="s">
        <v>83</v>
      </c>
      <c r="G1200" s="22">
        <v>120</v>
      </c>
      <c r="H1200" s="18">
        <v>2247.3249999999998</v>
      </c>
      <c r="I1200" s="18">
        <v>18.727708332999999</v>
      </c>
      <c r="J1200" s="18">
        <v>18.96</v>
      </c>
      <c r="K1200" s="18">
        <v>18.55</v>
      </c>
      <c r="L1200" s="22">
        <v>9</v>
      </c>
    </row>
    <row r="1201" spans="1:12">
      <c r="A1201">
        <v>2</v>
      </c>
      <c r="B1201" s="16" t="s">
        <v>56</v>
      </c>
      <c r="C1201" s="9">
        <v>45839</v>
      </c>
      <c r="D1201">
        <v>8</v>
      </c>
      <c r="E1201" s="16" t="s">
        <v>93</v>
      </c>
      <c r="F1201" s="16" t="s">
        <v>83</v>
      </c>
      <c r="G1201" s="22">
        <v>118.75</v>
      </c>
      <c r="H1201" s="18">
        <v>2236.7750000000001</v>
      </c>
      <c r="I1201" s="18">
        <v>18.835999999999999</v>
      </c>
      <c r="J1201" s="18">
        <v>19.399999999999999</v>
      </c>
      <c r="K1201" s="18">
        <v>18.489999999999998</v>
      </c>
      <c r="L1201" s="22">
        <v>9</v>
      </c>
    </row>
    <row r="1202" spans="1:12">
      <c r="A1202">
        <v>2</v>
      </c>
      <c r="B1202" s="16" t="s">
        <v>56</v>
      </c>
      <c r="C1202" s="9">
        <v>45870</v>
      </c>
      <c r="D1202">
        <v>8</v>
      </c>
      <c r="E1202" s="16" t="s">
        <v>93</v>
      </c>
      <c r="F1202" s="16" t="s">
        <v>83</v>
      </c>
      <c r="G1202" s="22">
        <v>106.25</v>
      </c>
      <c r="H1202" s="18">
        <v>2005.2249999999999</v>
      </c>
      <c r="I1202" s="18">
        <v>18.872705882000002</v>
      </c>
      <c r="J1202" s="18">
        <v>19.02</v>
      </c>
      <c r="K1202" s="18">
        <v>18.77</v>
      </c>
      <c r="L1202" s="22">
        <v>8</v>
      </c>
    </row>
    <row r="1203" spans="1:12">
      <c r="A1203">
        <v>2</v>
      </c>
      <c r="B1203" s="16" t="s">
        <v>56</v>
      </c>
      <c r="C1203" s="9">
        <v>45901</v>
      </c>
      <c r="D1203">
        <v>8</v>
      </c>
      <c r="E1203" s="16" t="s">
        <v>93</v>
      </c>
      <c r="F1203" s="16" t="s">
        <v>83</v>
      </c>
      <c r="G1203" s="22">
        <v>132.5</v>
      </c>
      <c r="H1203" s="18">
        <v>2500.9625000000001</v>
      </c>
      <c r="I1203" s="18">
        <v>18.875188679000001</v>
      </c>
      <c r="J1203" s="18">
        <v>19.41</v>
      </c>
      <c r="K1203" s="18">
        <v>18.63</v>
      </c>
      <c r="L1203" s="22">
        <v>9</v>
      </c>
    </row>
    <row r="1204" spans="1:12">
      <c r="A1204">
        <v>2</v>
      </c>
      <c r="B1204" s="16" t="s">
        <v>56</v>
      </c>
      <c r="C1204" s="9">
        <v>45931</v>
      </c>
      <c r="D1204">
        <v>8</v>
      </c>
      <c r="E1204" s="16" t="s">
        <v>93</v>
      </c>
      <c r="F1204" s="16" t="s">
        <v>83</v>
      </c>
      <c r="G1204" s="22">
        <v>148.75</v>
      </c>
      <c r="H1204" s="18">
        <v>2831.5875000000001</v>
      </c>
      <c r="I1204" s="18">
        <v>19.035882353000002</v>
      </c>
      <c r="J1204" s="18">
        <v>19.34</v>
      </c>
      <c r="K1204" s="18">
        <v>18.75</v>
      </c>
      <c r="L1204" s="22">
        <v>9</v>
      </c>
    </row>
    <row r="1205" spans="1:12">
      <c r="A1205">
        <v>2</v>
      </c>
      <c r="B1205" s="16" t="s">
        <v>56</v>
      </c>
      <c r="C1205" s="9">
        <v>45962</v>
      </c>
      <c r="D1205">
        <v>8</v>
      </c>
      <c r="E1205" s="16" t="s">
        <v>93</v>
      </c>
      <c r="F1205" s="16" t="s">
        <v>83</v>
      </c>
      <c r="G1205" s="22">
        <v>118.75</v>
      </c>
      <c r="H1205" s="18">
        <v>2270.8375000000001</v>
      </c>
      <c r="I1205" s="18">
        <v>19.122842105</v>
      </c>
      <c r="J1205" s="18">
        <v>19.32</v>
      </c>
      <c r="K1205" s="18">
        <v>18.739999999999998</v>
      </c>
      <c r="L1205" s="22">
        <v>8</v>
      </c>
    </row>
    <row r="1206" spans="1:12">
      <c r="A1206">
        <v>2</v>
      </c>
      <c r="B1206" s="16" t="s">
        <v>56</v>
      </c>
      <c r="C1206" s="9">
        <v>45992</v>
      </c>
      <c r="D1206">
        <v>8</v>
      </c>
      <c r="E1206" s="16" t="s">
        <v>93</v>
      </c>
      <c r="F1206" s="16" t="s">
        <v>83</v>
      </c>
      <c r="G1206" s="22">
        <v>152.5</v>
      </c>
      <c r="H1206" s="18">
        <v>2949.6750000000002</v>
      </c>
      <c r="I1206" s="18">
        <v>19.342131148</v>
      </c>
      <c r="J1206" s="18">
        <v>19.59</v>
      </c>
      <c r="K1206" s="18">
        <v>19.03</v>
      </c>
      <c r="L1206" s="22">
        <v>9</v>
      </c>
    </row>
    <row r="1207" spans="1:12">
      <c r="A1207">
        <v>2</v>
      </c>
      <c r="B1207" s="16" t="s">
        <v>56</v>
      </c>
      <c r="C1207" s="9">
        <v>46023</v>
      </c>
      <c r="D1207">
        <v>8</v>
      </c>
      <c r="E1207" s="16" t="s">
        <v>93</v>
      </c>
      <c r="F1207" s="16" t="s">
        <v>83</v>
      </c>
      <c r="G1207" s="22">
        <v>110</v>
      </c>
      <c r="H1207" s="18">
        <v>2144.0625</v>
      </c>
      <c r="I1207" s="18">
        <v>19.491477273000001</v>
      </c>
      <c r="J1207" s="18">
        <v>19.920000000000002</v>
      </c>
      <c r="K1207" s="18">
        <v>19.21</v>
      </c>
      <c r="L1207" s="22">
        <v>9</v>
      </c>
    </row>
    <row r="1208" spans="1:12">
      <c r="A1208">
        <v>2</v>
      </c>
      <c r="B1208" s="16" t="s">
        <v>56</v>
      </c>
      <c r="C1208" s="9">
        <v>46054</v>
      </c>
      <c r="D1208">
        <v>8</v>
      </c>
      <c r="E1208" s="16" t="s">
        <v>93</v>
      </c>
      <c r="F1208" s="16" t="s">
        <v>83</v>
      </c>
      <c r="G1208" s="22">
        <v>118.75</v>
      </c>
      <c r="H1208" s="18">
        <v>2318.5875000000001</v>
      </c>
      <c r="I1208" s="18">
        <v>19.524947367999999</v>
      </c>
      <c r="J1208" s="18">
        <v>19.78</v>
      </c>
      <c r="K1208" s="18">
        <v>19.260000000000002</v>
      </c>
      <c r="L1208" s="22">
        <v>8</v>
      </c>
    </row>
    <row r="1209" spans="1:12">
      <c r="A1209">
        <v>2</v>
      </c>
      <c r="B1209" s="16" t="s">
        <v>56</v>
      </c>
      <c r="C1209" s="9">
        <v>46082</v>
      </c>
      <c r="D1209">
        <v>8</v>
      </c>
      <c r="E1209" s="16" t="s">
        <v>93</v>
      </c>
      <c r="F1209" s="16" t="s">
        <v>83</v>
      </c>
      <c r="G1209" s="22">
        <v>121.25</v>
      </c>
      <c r="H1209" s="18">
        <v>2376.8000000000002</v>
      </c>
      <c r="I1209" s="18">
        <v>19.602474226999998</v>
      </c>
      <c r="J1209" s="18">
        <v>19.829999999999998</v>
      </c>
      <c r="K1209" s="18">
        <v>19.329999999999998</v>
      </c>
      <c r="L1209" s="22">
        <v>9</v>
      </c>
    </row>
    <row r="1210" spans="1:12">
      <c r="A1210">
        <v>2</v>
      </c>
      <c r="B1210" s="16" t="s">
        <v>56</v>
      </c>
      <c r="C1210" s="9">
        <v>46113</v>
      </c>
      <c r="D1210">
        <v>8</v>
      </c>
      <c r="E1210" s="16" t="s">
        <v>93</v>
      </c>
      <c r="F1210" s="16" t="s">
        <v>83</v>
      </c>
      <c r="G1210" s="22">
        <v>158.75</v>
      </c>
      <c r="H1210" s="18">
        <v>3099.5</v>
      </c>
      <c r="I1210" s="18">
        <v>19.524409449</v>
      </c>
      <c r="J1210" s="18">
        <v>20.059999999999999</v>
      </c>
      <c r="K1210" s="18">
        <v>19.29</v>
      </c>
      <c r="L1210" s="22">
        <v>9</v>
      </c>
    </row>
    <row r="1211" spans="1:12">
      <c r="A1211">
        <v>2</v>
      </c>
      <c r="B1211" s="16" t="s">
        <v>56</v>
      </c>
      <c r="C1211" s="9">
        <v>46143</v>
      </c>
      <c r="D1211">
        <v>8</v>
      </c>
      <c r="E1211" s="16" t="s">
        <v>93</v>
      </c>
      <c r="F1211" s="16" t="s">
        <v>83</v>
      </c>
      <c r="G1211" s="22">
        <v>143.75</v>
      </c>
      <c r="H1211" s="18">
        <v>2809.05</v>
      </c>
      <c r="I1211" s="18">
        <v>19.541217391</v>
      </c>
      <c r="J1211" s="18">
        <v>19.63</v>
      </c>
      <c r="K1211" s="18">
        <v>19.350000000000001</v>
      </c>
      <c r="L1211" s="22">
        <v>8</v>
      </c>
    </row>
    <row r="1212" spans="1:12">
      <c r="A1212">
        <v>2</v>
      </c>
      <c r="B1212" s="16" t="s">
        <v>56</v>
      </c>
      <c r="C1212" s="9">
        <v>46174</v>
      </c>
      <c r="D1212">
        <v>8</v>
      </c>
      <c r="E1212" s="16" t="s">
        <v>93</v>
      </c>
      <c r="F1212" s="16" t="s">
        <v>83</v>
      </c>
      <c r="G1212" s="22">
        <v>151.25</v>
      </c>
      <c r="H1212" s="18">
        <v>2955.6750000000002</v>
      </c>
      <c r="I1212" s="18">
        <v>19.541652892999998</v>
      </c>
      <c r="J1212" s="18">
        <v>19.78</v>
      </c>
      <c r="K1212" s="18">
        <v>18.91</v>
      </c>
      <c r="L1212" s="22">
        <v>9</v>
      </c>
    </row>
    <row r="1213" spans="1:12">
      <c r="A1213">
        <v>2</v>
      </c>
      <c r="B1213" s="16" t="s">
        <v>56</v>
      </c>
      <c r="C1213" s="9">
        <v>46204</v>
      </c>
      <c r="D1213">
        <v>8</v>
      </c>
      <c r="E1213" s="16" t="s">
        <v>93</v>
      </c>
      <c r="F1213" s="16" t="s">
        <v>83</v>
      </c>
      <c r="G1213" s="22">
        <v>152.5</v>
      </c>
      <c r="H1213" s="18">
        <v>2969.7874999999999</v>
      </c>
      <c r="I1213" s="18">
        <v>19.474016392999999</v>
      </c>
      <c r="J1213" s="18">
        <v>19.97</v>
      </c>
      <c r="K1213" s="18">
        <v>19.07</v>
      </c>
      <c r="L1213" s="22">
        <v>9</v>
      </c>
    </row>
    <row r="1214" spans="1:12">
      <c r="A1214">
        <v>2</v>
      </c>
      <c r="B1214" s="16" t="s">
        <v>56</v>
      </c>
      <c r="C1214" s="9">
        <v>46235</v>
      </c>
      <c r="D1214">
        <v>8</v>
      </c>
      <c r="E1214" s="16" t="s">
        <v>93</v>
      </c>
      <c r="F1214" s="16" t="s">
        <v>83</v>
      </c>
      <c r="G1214" s="22">
        <v>130</v>
      </c>
      <c r="H1214" s="18">
        <v>2509.4</v>
      </c>
      <c r="I1214" s="18">
        <v>19.303076922999999</v>
      </c>
      <c r="J1214" s="18">
        <v>19.600000000000001</v>
      </c>
      <c r="K1214" s="18">
        <v>19.02</v>
      </c>
      <c r="L1214" s="22">
        <v>9</v>
      </c>
    </row>
    <row r="1215" spans="1:12">
      <c r="A1215">
        <v>2</v>
      </c>
      <c r="B1215" s="16" t="s">
        <v>56</v>
      </c>
      <c r="C1215" s="9">
        <v>46266</v>
      </c>
      <c r="D1215">
        <v>8</v>
      </c>
      <c r="E1215" s="16" t="s">
        <v>93</v>
      </c>
      <c r="F1215" s="16" t="s">
        <v>83</v>
      </c>
      <c r="G1215" s="22">
        <v>118.75</v>
      </c>
      <c r="H1215" s="18">
        <v>2321.6</v>
      </c>
      <c r="I1215" s="18">
        <v>19.550315788999999</v>
      </c>
      <c r="J1215" s="18">
        <v>20.5</v>
      </c>
      <c r="K1215" s="18">
        <v>19.010000000000002</v>
      </c>
      <c r="L1215" s="22">
        <v>8</v>
      </c>
    </row>
    <row r="1216" spans="1:12">
      <c r="A1216">
        <v>2</v>
      </c>
      <c r="B1216" s="16" t="s">
        <v>56</v>
      </c>
      <c r="C1216" s="9">
        <v>45689</v>
      </c>
      <c r="D1216">
        <v>9</v>
      </c>
      <c r="E1216" s="16" t="s">
        <v>94</v>
      </c>
      <c r="F1216" s="16" t="s">
        <v>85</v>
      </c>
      <c r="G1216" s="22">
        <v>25</v>
      </c>
      <c r="H1216" s="18">
        <v>81.625</v>
      </c>
      <c r="I1216" s="18">
        <v>3.2650000000000001</v>
      </c>
      <c r="J1216" s="18">
        <v>3.27</v>
      </c>
      <c r="K1216" s="18">
        <v>3.26</v>
      </c>
      <c r="L1216" s="22">
        <v>2</v>
      </c>
    </row>
    <row r="1217" spans="1:12">
      <c r="A1217">
        <v>2</v>
      </c>
      <c r="B1217" s="16" t="s">
        <v>56</v>
      </c>
      <c r="C1217" s="9">
        <v>45717</v>
      </c>
      <c r="D1217">
        <v>9</v>
      </c>
      <c r="E1217" s="16" t="s">
        <v>94</v>
      </c>
      <c r="F1217" s="16" t="s">
        <v>85</v>
      </c>
      <c r="G1217" s="22">
        <v>25</v>
      </c>
      <c r="H1217" s="18">
        <v>82.25</v>
      </c>
      <c r="I1217" s="18">
        <v>3.29</v>
      </c>
      <c r="J1217" s="18">
        <v>3.3</v>
      </c>
      <c r="K1217" s="18">
        <v>3.28</v>
      </c>
      <c r="L1217" s="22">
        <v>2</v>
      </c>
    </row>
    <row r="1218" spans="1:12">
      <c r="A1218">
        <v>2</v>
      </c>
      <c r="B1218" s="16" t="s">
        <v>56</v>
      </c>
      <c r="C1218" s="9">
        <v>45748</v>
      </c>
      <c r="D1218">
        <v>9</v>
      </c>
      <c r="E1218" s="16" t="s">
        <v>94</v>
      </c>
      <c r="F1218" s="16" t="s">
        <v>85</v>
      </c>
      <c r="G1218" s="22">
        <v>37.5</v>
      </c>
      <c r="H1218" s="18">
        <v>124.875</v>
      </c>
      <c r="I1218" s="18">
        <v>3.33</v>
      </c>
      <c r="J1218" s="18">
        <v>3.34</v>
      </c>
      <c r="K1218" s="18">
        <v>3.32</v>
      </c>
      <c r="L1218" s="22">
        <v>3</v>
      </c>
    </row>
    <row r="1219" spans="1:12">
      <c r="A1219">
        <v>2</v>
      </c>
      <c r="B1219" s="16" t="s">
        <v>56</v>
      </c>
      <c r="C1219" s="9">
        <v>45778</v>
      </c>
      <c r="D1219">
        <v>9</v>
      </c>
      <c r="E1219" s="16" t="s">
        <v>94</v>
      </c>
      <c r="F1219" s="16" t="s">
        <v>85</v>
      </c>
      <c r="G1219" s="22">
        <v>25</v>
      </c>
      <c r="H1219" s="18">
        <v>83.75</v>
      </c>
      <c r="I1219" s="18">
        <v>3.35</v>
      </c>
      <c r="J1219" s="18">
        <v>3.38</v>
      </c>
      <c r="K1219" s="18">
        <v>3.32</v>
      </c>
      <c r="L1219" s="22">
        <v>2</v>
      </c>
    </row>
    <row r="1220" spans="1:12">
      <c r="A1220">
        <v>2</v>
      </c>
      <c r="B1220" s="16" t="s">
        <v>56</v>
      </c>
      <c r="C1220" s="9">
        <v>45809</v>
      </c>
      <c r="D1220">
        <v>9</v>
      </c>
      <c r="E1220" s="16" t="s">
        <v>94</v>
      </c>
      <c r="F1220" s="16" t="s">
        <v>85</v>
      </c>
      <c r="G1220" s="22">
        <v>12.5</v>
      </c>
      <c r="H1220" s="18">
        <v>42.625</v>
      </c>
      <c r="I1220" s="18">
        <v>3.41</v>
      </c>
      <c r="J1220" s="18">
        <v>3.41</v>
      </c>
      <c r="K1220" s="18">
        <v>3.41</v>
      </c>
      <c r="L1220" s="22">
        <v>1</v>
      </c>
    </row>
    <row r="1221" spans="1:12">
      <c r="A1221">
        <v>2</v>
      </c>
      <c r="B1221" s="16" t="s">
        <v>56</v>
      </c>
      <c r="C1221" s="9">
        <v>45839</v>
      </c>
      <c r="D1221">
        <v>9</v>
      </c>
      <c r="E1221" s="16" t="s">
        <v>94</v>
      </c>
      <c r="F1221" s="16" t="s">
        <v>85</v>
      </c>
      <c r="G1221" s="22">
        <v>12.5</v>
      </c>
      <c r="H1221" s="18">
        <v>41</v>
      </c>
      <c r="I1221" s="18">
        <v>3.28</v>
      </c>
      <c r="J1221" s="18">
        <v>3.28</v>
      </c>
      <c r="K1221" s="18">
        <v>3.28</v>
      </c>
      <c r="L1221" s="22">
        <v>1</v>
      </c>
    </row>
    <row r="1222" spans="1:12">
      <c r="A1222">
        <v>2</v>
      </c>
      <c r="B1222" s="16" t="s">
        <v>56</v>
      </c>
      <c r="C1222" s="9">
        <v>45870</v>
      </c>
      <c r="D1222">
        <v>9</v>
      </c>
      <c r="E1222" s="16" t="s">
        <v>94</v>
      </c>
      <c r="F1222" s="16" t="s">
        <v>85</v>
      </c>
      <c r="G1222" s="22">
        <v>25</v>
      </c>
      <c r="H1222" s="18">
        <v>82.5</v>
      </c>
      <c r="I1222" s="18">
        <v>3.3</v>
      </c>
      <c r="J1222" s="18">
        <v>3.33</v>
      </c>
      <c r="K1222" s="18">
        <v>3.27</v>
      </c>
      <c r="L1222" s="22">
        <v>2</v>
      </c>
    </row>
    <row r="1223" spans="1:12">
      <c r="A1223">
        <v>2</v>
      </c>
      <c r="B1223" s="16" t="s">
        <v>56</v>
      </c>
      <c r="C1223" s="9">
        <v>45901</v>
      </c>
      <c r="D1223">
        <v>9</v>
      </c>
      <c r="E1223" s="16" t="s">
        <v>94</v>
      </c>
      <c r="F1223" s="16" t="s">
        <v>85</v>
      </c>
      <c r="G1223" s="22">
        <v>25</v>
      </c>
      <c r="H1223" s="18">
        <v>84.25</v>
      </c>
      <c r="I1223" s="18">
        <v>3.37</v>
      </c>
      <c r="J1223" s="18">
        <v>3.37</v>
      </c>
      <c r="K1223" s="18">
        <v>3.37</v>
      </c>
      <c r="L1223" s="22">
        <v>2</v>
      </c>
    </row>
    <row r="1224" spans="1:12">
      <c r="A1224">
        <v>2</v>
      </c>
      <c r="B1224" s="16" t="s">
        <v>56</v>
      </c>
      <c r="C1224" s="9">
        <v>45931</v>
      </c>
      <c r="D1224">
        <v>9</v>
      </c>
      <c r="E1224" s="16" t="s">
        <v>94</v>
      </c>
      <c r="F1224" s="16" t="s">
        <v>85</v>
      </c>
      <c r="G1224" s="22">
        <v>25</v>
      </c>
      <c r="H1224" s="18">
        <v>85</v>
      </c>
      <c r="I1224" s="18">
        <v>3.4</v>
      </c>
      <c r="J1224" s="18">
        <v>3.41</v>
      </c>
      <c r="K1224" s="18">
        <v>3.39</v>
      </c>
      <c r="L1224" s="22">
        <v>2</v>
      </c>
    </row>
    <row r="1225" spans="1:12">
      <c r="A1225">
        <v>2</v>
      </c>
      <c r="B1225" s="16" t="s">
        <v>56</v>
      </c>
      <c r="C1225" s="9">
        <v>45962</v>
      </c>
      <c r="D1225">
        <v>9</v>
      </c>
      <c r="E1225" s="16" t="s">
        <v>94</v>
      </c>
      <c r="F1225" s="16" t="s">
        <v>85</v>
      </c>
      <c r="G1225" s="22">
        <v>25</v>
      </c>
      <c r="H1225" s="18">
        <v>84.375</v>
      </c>
      <c r="I1225" s="18">
        <v>3.375</v>
      </c>
      <c r="J1225" s="18">
        <v>3.38</v>
      </c>
      <c r="K1225" s="18">
        <v>3.37</v>
      </c>
      <c r="L1225" s="22">
        <v>2</v>
      </c>
    </row>
    <row r="1226" spans="1:12">
      <c r="A1226">
        <v>2</v>
      </c>
      <c r="B1226" s="16" t="s">
        <v>56</v>
      </c>
      <c r="C1226" s="9">
        <v>45992</v>
      </c>
      <c r="D1226">
        <v>9</v>
      </c>
      <c r="E1226" s="16" t="s">
        <v>94</v>
      </c>
      <c r="F1226" s="16" t="s">
        <v>85</v>
      </c>
      <c r="G1226" s="22">
        <v>37.5</v>
      </c>
      <c r="H1226" s="18">
        <v>126</v>
      </c>
      <c r="I1226" s="18">
        <v>3.36</v>
      </c>
      <c r="J1226" s="18">
        <v>3.38</v>
      </c>
      <c r="K1226" s="18">
        <v>3.35</v>
      </c>
      <c r="L1226" s="22">
        <v>2</v>
      </c>
    </row>
    <row r="1227" spans="1:12">
      <c r="A1227">
        <v>2</v>
      </c>
      <c r="B1227" s="16" t="s">
        <v>56</v>
      </c>
      <c r="C1227" s="9">
        <v>46023</v>
      </c>
      <c r="D1227">
        <v>9</v>
      </c>
      <c r="E1227" s="16" t="s">
        <v>94</v>
      </c>
      <c r="F1227" s="16" t="s">
        <v>85</v>
      </c>
      <c r="G1227" s="22">
        <v>12.5</v>
      </c>
      <c r="H1227" s="18">
        <v>41.875</v>
      </c>
      <c r="I1227" s="18">
        <v>3.35</v>
      </c>
      <c r="J1227" s="18">
        <v>3.35</v>
      </c>
      <c r="K1227" s="18">
        <v>3.35</v>
      </c>
      <c r="L1227" s="22">
        <v>1</v>
      </c>
    </row>
    <row r="1228" spans="1:12">
      <c r="A1228">
        <v>2</v>
      </c>
      <c r="B1228" s="16" t="s">
        <v>56</v>
      </c>
      <c r="C1228" s="9">
        <v>46054</v>
      </c>
      <c r="D1228">
        <v>9</v>
      </c>
      <c r="E1228" s="16" t="s">
        <v>94</v>
      </c>
      <c r="F1228" s="16" t="s">
        <v>85</v>
      </c>
      <c r="G1228" s="22">
        <v>25</v>
      </c>
      <c r="H1228" s="18">
        <v>87.5</v>
      </c>
      <c r="I1228" s="18">
        <v>3.5</v>
      </c>
      <c r="J1228" s="18">
        <v>3.53</v>
      </c>
      <c r="K1228" s="18">
        <v>3.47</v>
      </c>
      <c r="L1228" s="22">
        <v>2</v>
      </c>
    </row>
    <row r="1229" spans="1:12">
      <c r="A1229">
        <v>2</v>
      </c>
      <c r="B1229" s="16" t="s">
        <v>56</v>
      </c>
      <c r="C1229" s="9">
        <v>46082</v>
      </c>
      <c r="D1229">
        <v>9</v>
      </c>
      <c r="E1229" s="16" t="s">
        <v>94</v>
      </c>
      <c r="F1229" s="16" t="s">
        <v>85</v>
      </c>
      <c r="G1229" s="22">
        <v>37.5</v>
      </c>
      <c r="H1229" s="18">
        <v>129.875</v>
      </c>
      <c r="I1229" s="18">
        <v>3.463333333</v>
      </c>
      <c r="J1229" s="18">
        <v>3.51</v>
      </c>
      <c r="K1229" s="18">
        <v>3.42</v>
      </c>
      <c r="L1229" s="22">
        <v>3</v>
      </c>
    </row>
    <row r="1230" spans="1:12">
      <c r="A1230">
        <v>2</v>
      </c>
      <c r="B1230" s="16" t="s">
        <v>56</v>
      </c>
      <c r="C1230" s="9">
        <v>46113</v>
      </c>
      <c r="D1230">
        <v>9</v>
      </c>
      <c r="E1230" s="16" t="s">
        <v>94</v>
      </c>
      <c r="F1230" s="16" t="s">
        <v>85</v>
      </c>
      <c r="G1230" s="22">
        <v>25</v>
      </c>
      <c r="H1230" s="18">
        <v>88</v>
      </c>
      <c r="I1230" s="18">
        <v>3.52</v>
      </c>
      <c r="J1230" s="18">
        <v>3.62</v>
      </c>
      <c r="K1230" s="18">
        <v>3.42</v>
      </c>
      <c r="L1230" s="22">
        <v>2</v>
      </c>
    </row>
    <row r="1231" spans="1:12">
      <c r="A1231">
        <v>2</v>
      </c>
      <c r="B1231" s="16" t="s">
        <v>56</v>
      </c>
      <c r="C1231" s="9">
        <v>46143</v>
      </c>
      <c r="D1231">
        <v>9</v>
      </c>
      <c r="E1231" s="16" t="s">
        <v>94</v>
      </c>
      <c r="F1231" s="16" t="s">
        <v>85</v>
      </c>
      <c r="G1231" s="22">
        <v>25</v>
      </c>
      <c r="H1231" s="18">
        <v>87.75</v>
      </c>
      <c r="I1231" s="18">
        <v>3.51</v>
      </c>
      <c r="J1231" s="18">
        <v>3.55</v>
      </c>
      <c r="K1231" s="18">
        <v>3.47</v>
      </c>
      <c r="L1231" s="22">
        <v>2</v>
      </c>
    </row>
    <row r="1232" spans="1:12">
      <c r="A1232">
        <v>2</v>
      </c>
      <c r="B1232" s="16" t="s">
        <v>56</v>
      </c>
      <c r="C1232" s="9">
        <v>46174</v>
      </c>
      <c r="D1232">
        <v>9</v>
      </c>
      <c r="E1232" s="16" t="s">
        <v>94</v>
      </c>
      <c r="F1232" s="16" t="s">
        <v>85</v>
      </c>
      <c r="G1232" s="22">
        <v>25</v>
      </c>
      <c r="H1232" s="18">
        <v>87.5</v>
      </c>
      <c r="I1232" s="18">
        <v>3.5</v>
      </c>
      <c r="J1232" s="18">
        <v>3.54</v>
      </c>
      <c r="K1232" s="18">
        <v>3.46</v>
      </c>
      <c r="L1232" s="22">
        <v>2</v>
      </c>
    </row>
    <row r="1233" spans="1:12">
      <c r="A1233">
        <v>2</v>
      </c>
      <c r="B1233" s="16" t="s">
        <v>56</v>
      </c>
      <c r="C1233" s="9">
        <v>46204</v>
      </c>
      <c r="D1233">
        <v>9</v>
      </c>
      <c r="E1233" s="16" t="s">
        <v>94</v>
      </c>
      <c r="F1233" s="16" t="s">
        <v>85</v>
      </c>
      <c r="G1233" s="22">
        <v>12.5</v>
      </c>
      <c r="H1233" s="18">
        <v>43.875</v>
      </c>
      <c r="I1233" s="18">
        <v>3.51</v>
      </c>
      <c r="J1233" s="18">
        <v>3.51</v>
      </c>
      <c r="K1233" s="18">
        <v>3.51</v>
      </c>
      <c r="L1233" s="22">
        <v>1</v>
      </c>
    </row>
    <row r="1234" spans="1:12">
      <c r="A1234">
        <v>2</v>
      </c>
      <c r="B1234" s="16" t="s">
        <v>56</v>
      </c>
      <c r="C1234" s="9">
        <v>46235</v>
      </c>
      <c r="D1234">
        <v>9</v>
      </c>
      <c r="E1234" s="16" t="s">
        <v>94</v>
      </c>
      <c r="F1234" s="16" t="s">
        <v>85</v>
      </c>
      <c r="G1234" s="22">
        <v>12.5</v>
      </c>
      <c r="H1234" s="18">
        <v>44.875</v>
      </c>
      <c r="I1234" s="18">
        <v>3.59</v>
      </c>
      <c r="J1234" s="18">
        <v>3.59</v>
      </c>
      <c r="K1234" s="18">
        <v>3.59</v>
      </c>
      <c r="L1234" s="22">
        <v>1</v>
      </c>
    </row>
    <row r="1235" spans="1:12">
      <c r="A1235">
        <v>2</v>
      </c>
      <c r="B1235" s="16" t="s">
        <v>56</v>
      </c>
      <c r="C1235" s="9">
        <v>46266</v>
      </c>
      <c r="D1235">
        <v>9</v>
      </c>
      <c r="E1235" s="16" t="s">
        <v>94</v>
      </c>
      <c r="F1235" s="16" t="s">
        <v>85</v>
      </c>
      <c r="G1235" s="22">
        <v>37.5</v>
      </c>
      <c r="H1235" s="18">
        <v>133.625</v>
      </c>
      <c r="I1235" s="18">
        <v>3.5633333330000001</v>
      </c>
      <c r="J1235" s="18">
        <v>3.6</v>
      </c>
      <c r="K1235" s="18">
        <v>3.54</v>
      </c>
      <c r="L1235" s="22">
        <v>3</v>
      </c>
    </row>
    <row r="1236" spans="1:12">
      <c r="A1236">
        <v>2</v>
      </c>
      <c r="B1236" s="16" t="s">
        <v>56</v>
      </c>
      <c r="C1236" s="9">
        <v>45689</v>
      </c>
      <c r="D1236">
        <v>10</v>
      </c>
      <c r="E1236" s="16" t="s">
        <v>95</v>
      </c>
      <c r="F1236" s="16" t="s">
        <v>83</v>
      </c>
      <c r="G1236" s="22">
        <v>40</v>
      </c>
      <c r="H1236" s="18">
        <v>565.20000000000005</v>
      </c>
      <c r="I1236" s="18">
        <v>14.13</v>
      </c>
      <c r="J1236" s="18">
        <v>14.34</v>
      </c>
      <c r="K1236" s="18">
        <v>14.01</v>
      </c>
      <c r="L1236" s="22">
        <v>4</v>
      </c>
    </row>
    <row r="1237" spans="1:12">
      <c r="A1237">
        <v>2</v>
      </c>
      <c r="B1237" s="16" t="s">
        <v>56</v>
      </c>
      <c r="C1237" s="9">
        <v>45717</v>
      </c>
      <c r="D1237">
        <v>10</v>
      </c>
      <c r="E1237" s="16" t="s">
        <v>95</v>
      </c>
      <c r="F1237" s="16" t="s">
        <v>83</v>
      </c>
      <c r="G1237" s="22">
        <v>50</v>
      </c>
      <c r="H1237" s="18">
        <v>703.1</v>
      </c>
      <c r="I1237" s="18">
        <v>14.061999999999999</v>
      </c>
      <c r="J1237" s="18">
        <v>14.27</v>
      </c>
      <c r="K1237" s="18">
        <v>13.95</v>
      </c>
      <c r="L1237" s="22">
        <v>5</v>
      </c>
    </row>
    <row r="1238" spans="1:12">
      <c r="A1238">
        <v>2</v>
      </c>
      <c r="B1238" s="16" t="s">
        <v>56</v>
      </c>
      <c r="C1238" s="9">
        <v>45748</v>
      </c>
      <c r="D1238">
        <v>10</v>
      </c>
      <c r="E1238" s="16" t="s">
        <v>95</v>
      </c>
      <c r="F1238" s="16" t="s">
        <v>83</v>
      </c>
      <c r="G1238" s="22">
        <v>50</v>
      </c>
      <c r="H1238" s="18">
        <v>704</v>
      </c>
      <c r="I1238" s="18">
        <v>14.08</v>
      </c>
      <c r="J1238" s="18">
        <v>14.35</v>
      </c>
      <c r="K1238" s="18">
        <v>13.91</v>
      </c>
      <c r="L1238" s="22">
        <v>5</v>
      </c>
    </row>
    <row r="1239" spans="1:12">
      <c r="A1239">
        <v>2</v>
      </c>
      <c r="B1239" s="16" t="s">
        <v>56</v>
      </c>
      <c r="C1239" s="9">
        <v>45778</v>
      </c>
      <c r="D1239">
        <v>10</v>
      </c>
      <c r="E1239" s="16" t="s">
        <v>95</v>
      </c>
      <c r="F1239" s="16" t="s">
        <v>83</v>
      </c>
      <c r="G1239" s="22">
        <v>50</v>
      </c>
      <c r="H1239" s="18">
        <v>708.2</v>
      </c>
      <c r="I1239" s="18">
        <v>14.164</v>
      </c>
      <c r="J1239" s="18">
        <v>14.36</v>
      </c>
      <c r="K1239" s="18">
        <v>13.94</v>
      </c>
      <c r="L1239" s="22">
        <v>5</v>
      </c>
    </row>
    <row r="1240" spans="1:12">
      <c r="A1240">
        <v>2</v>
      </c>
      <c r="B1240" s="16" t="s">
        <v>56</v>
      </c>
      <c r="C1240" s="9">
        <v>45809</v>
      </c>
      <c r="D1240">
        <v>10</v>
      </c>
      <c r="E1240" s="16" t="s">
        <v>95</v>
      </c>
      <c r="F1240" s="16" t="s">
        <v>83</v>
      </c>
      <c r="G1240" s="22">
        <v>50</v>
      </c>
      <c r="H1240" s="18">
        <v>716.3</v>
      </c>
      <c r="I1240" s="18">
        <v>14.326000000000001</v>
      </c>
      <c r="J1240" s="18">
        <v>14.46</v>
      </c>
      <c r="K1240" s="18">
        <v>14.25</v>
      </c>
      <c r="L1240" s="22">
        <v>5</v>
      </c>
    </row>
    <row r="1241" spans="1:12">
      <c r="A1241">
        <v>2</v>
      </c>
      <c r="B1241" s="16" t="s">
        <v>56</v>
      </c>
      <c r="C1241" s="9">
        <v>45839</v>
      </c>
      <c r="D1241">
        <v>10</v>
      </c>
      <c r="E1241" s="16" t="s">
        <v>95</v>
      </c>
      <c r="F1241" s="16" t="s">
        <v>83</v>
      </c>
      <c r="G1241" s="22">
        <v>50</v>
      </c>
      <c r="H1241" s="18">
        <v>759.6</v>
      </c>
      <c r="I1241" s="18">
        <v>15.192</v>
      </c>
      <c r="J1241" s="18">
        <v>15.43</v>
      </c>
      <c r="K1241" s="18">
        <v>15.01</v>
      </c>
      <c r="L1241" s="22">
        <v>5</v>
      </c>
    </row>
    <row r="1242" spans="1:12">
      <c r="A1242">
        <v>2</v>
      </c>
      <c r="B1242" s="16" t="s">
        <v>56</v>
      </c>
      <c r="C1242" s="9">
        <v>45870</v>
      </c>
      <c r="D1242">
        <v>10</v>
      </c>
      <c r="E1242" s="16" t="s">
        <v>95</v>
      </c>
      <c r="F1242" s="16" t="s">
        <v>83</v>
      </c>
      <c r="G1242" s="22">
        <v>40</v>
      </c>
      <c r="H1242" s="18">
        <v>616.4</v>
      </c>
      <c r="I1242" s="18">
        <v>15.41</v>
      </c>
      <c r="J1242" s="18">
        <v>15.52</v>
      </c>
      <c r="K1242" s="18">
        <v>15.23</v>
      </c>
      <c r="L1242" s="22">
        <v>4</v>
      </c>
    </row>
    <row r="1243" spans="1:12">
      <c r="A1243">
        <v>2</v>
      </c>
      <c r="B1243" s="16" t="s">
        <v>56</v>
      </c>
      <c r="C1243" s="9">
        <v>45901</v>
      </c>
      <c r="D1243">
        <v>10</v>
      </c>
      <c r="E1243" s="16" t="s">
        <v>95</v>
      </c>
      <c r="F1243" s="16" t="s">
        <v>83</v>
      </c>
      <c r="G1243" s="22">
        <v>50</v>
      </c>
      <c r="H1243" s="18">
        <v>762.4</v>
      </c>
      <c r="I1243" s="18">
        <v>15.247999999999999</v>
      </c>
      <c r="J1243" s="18">
        <v>15.57</v>
      </c>
      <c r="K1243" s="18">
        <v>15.05</v>
      </c>
      <c r="L1243" s="22">
        <v>5</v>
      </c>
    </row>
    <row r="1244" spans="1:12">
      <c r="A1244">
        <v>2</v>
      </c>
      <c r="B1244" s="16" t="s">
        <v>56</v>
      </c>
      <c r="C1244" s="9">
        <v>45931</v>
      </c>
      <c r="D1244">
        <v>10</v>
      </c>
      <c r="E1244" s="16" t="s">
        <v>95</v>
      </c>
      <c r="F1244" s="16" t="s">
        <v>83</v>
      </c>
      <c r="G1244" s="22">
        <v>60</v>
      </c>
      <c r="H1244" s="18">
        <v>913.1</v>
      </c>
      <c r="I1244" s="18">
        <v>15.218333333</v>
      </c>
      <c r="J1244" s="18">
        <v>15.44</v>
      </c>
      <c r="K1244" s="18">
        <v>15.06</v>
      </c>
      <c r="L1244" s="22">
        <v>6</v>
      </c>
    </row>
    <row r="1245" spans="1:12">
      <c r="A1245">
        <v>2</v>
      </c>
      <c r="B1245" s="16" t="s">
        <v>56</v>
      </c>
      <c r="C1245" s="9">
        <v>45962</v>
      </c>
      <c r="D1245">
        <v>10</v>
      </c>
      <c r="E1245" s="16" t="s">
        <v>95</v>
      </c>
      <c r="F1245" s="16" t="s">
        <v>83</v>
      </c>
      <c r="G1245" s="22">
        <v>40</v>
      </c>
      <c r="H1245" s="18">
        <v>614.70000000000005</v>
      </c>
      <c r="I1245" s="18">
        <v>15.3675</v>
      </c>
      <c r="J1245" s="18">
        <v>15.45</v>
      </c>
      <c r="K1245" s="18">
        <v>15.22</v>
      </c>
      <c r="L1245" s="22">
        <v>4</v>
      </c>
    </row>
    <row r="1246" spans="1:12">
      <c r="A1246">
        <v>2</v>
      </c>
      <c r="B1246" s="16" t="s">
        <v>56</v>
      </c>
      <c r="C1246" s="9">
        <v>45992</v>
      </c>
      <c r="D1246">
        <v>10</v>
      </c>
      <c r="E1246" s="16" t="s">
        <v>95</v>
      </c>
      <c r="F1246" s="16" t="s">
        <v>83</v>
      </c>
      <c r="G1246" s="22">
        <v>60</v>
      </c>
      <c r="H1246" s="18">
        <v>924.7</v>
      </c>
      <c r="I1246" s="18">
        <v>15.411666667</v>
      </c>
      <c r="J1246" s="18">
        <v>15.64</v>
      </c>
      <c r="K1246" s="18">
        <v>15.22</v>
      </c>
      <c r="L1246" s="22">
        <v>6</v>
      </c>
    </row>
    <row r="1247" spans="1:12">
      <c r="A1247">
        <v>2</v>
      </c>
      <c r="B1247" s="16" t="s">
        <v>56</v>
      </c>
      <c r="C1247" s="9">
        <v>46023</v>
      </c>
      <c r="D1247">
        <v>10</v>
      </c>
      <c r="E1247" s="16" t="s">
        <v>95</v>
      </c>
      <c r="F1247" s="16" t="s">
        <v>83</v>
      </c>
      <c r="G1247" s="22">
        <v>50</v>
      </c>
      <c r="H1247" s="18">
        <v>727.1</v>
      </c>
      <c r="I1247" s="18">
        <v>14.542</v>
      </c>
      <c r="J1247" s="18">
        <v>15.08</v>
      </c>
      <c r="K1247" s="18">
        <v>14.32</v>
      </c>
      <c r="L1247" s="22">
        <v>5</v>
      </c>
    </row>
    <row r="1248" spans="1:12">
      <c r="A1248">
        <v>2</v>
      </c>
      <c r="B1248" s="16" t="s">
        <v>56</v>
      </c>
      <c r="C1248" s="9">
        <v>46054</v>
      </c>
      <c r="D1248">
        <v>10</v>
      </c>
      <c r="E1248" s="16" t="s">
        <v>95</v>
      </c>
      <c r="F1248" s="16" t="s">
        <v>83</v>
      </c>
      <c r="G1248" s="22">
        <v>40</v>
      </c>
      <c r="H1248" s="18">
        <v>574.29999999999995</v>
      </c>
      <c r="I1248" s="18">
        <v>14.3575</v>
      </c>
      <c r="J1248" s="18">
        <v>14.44</v>
      </c>
      <c r="K1248" s="18">
        <v>14.19</v>
      </c>
      <c r="L1248" s="22">
        <v>4</v>
      </c>
    </row>
    <row r="1249" spans="1:12">
      <c r="A1249">
        <v>2</v>
      </c>
      <c r="B1249" s="16" t="s">
        <v>56</v>
      </c>
      <c r="C1249" s="9">
        <v>46082</v>
      </c>
      <c r="D1249">
        <v>10</v>
      </c>
      <c r="E1249" s="16" t="s">
        <v>95</v>
      </c>
      <c r="F1249" s="16" t="s">
        <v>83</v>
      </c>
      <c r="G1249" s="22">
        <v>50</v>
      </c>
      <c r="H1249" s="18">
        <v>714.5</v>
      </c>
      <c r="I1249" s="18">
        <v>14.29</v>
      </c>
      <c r="J1249" s="18">
        <v>14.48</v>
      </c>
      <c r="K1249" s="18">
        <v>14.01</v>
      </c>
      <c r="L1249" s="22">
        <v>5</v>
      </c>
    </row>
    <row r="1250" spans="1:12">
      <c r="A1250">
        <v>2</v>
      </c>
      <c r="B1250" s="16" t="s">
        <v>56</v>
      </c>
      <c r="C1250" s="9">
        <v>46113</v>
      </c>
      <c r="D1250">
        <v>10</v>
      </c>
      <c r="E1250" s="16" t="s">
        <v>95</v>
      </c>
      <c r="F1250" s="16" t="s">
        <v>83</v>
      </c>
      <c r="G1250" s="22">
        <v>60</v>
      </c>
      <c r="H1250" s="18">
        <v>871.8</v>
      </c>
      <c r="I1250" s="18">
        <v>14.53</v>
      </c>
      <c r="J1250" s="18">
        <v>14.98</v>
      </c>
      <c r="K1250" s="18">
        <v>14.21</v>
      </c>
      <c r="L1250" s="22">
        <v>6</v>
      </c>
    </row>
    <row r="1251" spans="1:12">
      <c r="A1251">
        <v>2</v>
      </c>
      <c r="B1251" s="16" t="s">
        <v>56</v>
      </c>
      <c r="C1251" s="9">
        <v>46143</v>
      </c>
      <c r="D1251">
        <v>10</v>
      </c>
      <c r="E1251" s="16" t="s">
        <v>95</v>
      </c>
      <c r="F1251" s="16" t="s">
        <v>83</v>
      </c>
      <c r="G1251" s="22">
        <v>60</v>
      </c>
      <c r="H1251" s="18">
        <v>856.9</v>
      </c>
      <c r="I1251" s="18">
        <v>14.281666667</v>
      </c>
      <c r="J1251" s="18">
        <v>14.49</v>
      </c>
      <c r="K1251" s="18">
        <v>14.07</v>
      </c>
      <c r="L1251" s="22">
        <v>6</v>
      </c>
    </row>
    <row r="1252" spans="1:12">
      <c r="A1252">
        <v>2</v>
      </c>
      <c r="B1252" s="16" t="s">
        <v>56</v>
      </c>
      <c r="C1252" s="9">
        <v>46174</v>
      </c>
      <c r="D1252">
        <v>10</v>
      </c>
      <c r="E1252" s="16" t="s">
        <v>95</v>
      </c>
      <c r="F1252" s="16" t="s">
        <v>83</v>
      </c>
      <c r="G1252" s="22">
        <v>50</v>
      </c>
      <c r="H1252" s="18">
        <v>719.5</v>
      </c>
      <c r="I1252" s="18">
        <v>14.39</v>
      </c>
      <c r="J1252" s="18">
        <v>14.58</v>
      </c>
      <c r="K1252" s="18">
        <v>14.1</v>
      </c>
      <c r="L1252" s="22">
        <v>5</v>
      </c>
    </row>
    <row r="1253" spans="1:12">
      <c r="A1253">
        <v>2</v>
      </c>
      <c r="B1253" s="16" t="s">
        <v>56</v>
      </c>
      <c r="C1253" s="9">
        <v>46204</v>
      </c>
      <c r="D1253">
        <v>10</v>
      </c>
      <c r="E1253" s="16" t="s">
        <v>95</v>
      </c>
      <c r="F1253" s="16" t="s">
        <v>83</v>
      </c>
      <c r="G1253" s="22">
        <v>50</v>
      </c>
      <c r="H1253" s="18">
        <v>764.1</v>
      </c>
      <c r="I1253" s="18">
        <v>15.282</v>
      </c>
      <c r="J1253" s="18">
        <v>15.47</v>
      </c>
      <c r="K1253" s="18">
        <v>15.03</v>
      </c>
      <c r="L1253" s="22">
        <v>5</v>
      </c>
    </row>
    <row r="1254" spans="1:12">
      <c r="A1254">
        <v>2</v>
      </c>
      <c r="B1254" s="16" t="s">
        <v>56</v>
      </c>
      <c r="C1254" s="9">
        <v>46235</v>
      </c>
      <c r="D1254">
        <v>10</v>
      </c>
      <c r="E1254" s="16" t="s">
        <v>95</v>
      </c>
      <c r="F1254" s="16" t="s">
        <v>83</v>
      </c>
      <c r="G1254" s="22">
        <v>50</v>
      </c>
      <c r="H1254" s="18">
        <v>746.4</v>
      </c>
      <c r="I1254" s="18">
        <v>14.928000000000001</v>
      </c>
      <c r="J1254" s="18">
        <v>15.1</v>
      </c>
      <c r="K1254" s="18">
        <v>14.62</v>
      </c>
      <c r="L1254" s="22">
        <v>5</v>
      </c>
    </row>
    <row r="1255" spans="1:12">
      <c r="A1255">
        <v>2</v>
      </c>
      <c r="B1255" s="16" t="s">
        <v>56</v>
      </c>
      <c r="C1255" s="9">
        <v>46266</v>
      </c>
      <c r="D1255">
        <v>10</v>
      </c>
      <c r="E1255" s="16" t="s">
        <v>95</v>
      </c>
      <c r="F1255" s="16" t="s">
        <v>83</v>
      </c>
      <c r="G1255" s="22">
        <v>40</v>
      </c>
      <c r="H1255" s="18">
        <v>606.70000000000005</v>
      </c>
      <c r="I1255" s="18">
        <v>15.1675</v>
      </c>
      <c r="J1255" s="18">
        <v>15.35</v>
      </c>
      <c r="K1255" s="18">
        <v>14.86</v>
      </c>
      <c r="L1255" s="22">
        <v>4</v>
      </c>
    </row>
    <row r="1256" spans="1:12">
      <c r="A1256">
        <v>2</v>
      </c>
      <c r="B1256" s="16" t="s">
        <v>56</v>
      </c>
      <c r="C1256" s="9">
        <v>45689</v>
      </c>
      <c r="D1256">
        <v>11</v>
      </c>
      <c r="E1256" s="16" t="s">
        <v>96</v>
      </c>
      <c r="F1256" s="16" t="s">
        <v>87</v>
      </c>
      <c r="G1256" s="22">
        <v>15</v>
      </c>
      <c r="H1256" s="18">
        <v>351.51</v>
      </c>
      <c r="I1256" s="18">
        <v>23.434000000000001</v>
      </c>
      <c r="J1256" s="18">
        <v>23.66</v>
      </c>
      <c r="K1256" s="18">
        <v>23.2</v>
      </c>
      <c r="L1256" s="22">
        <v>8</v>
      </c>
    </row>
    <row r="1257" spans="1:12">
      <c r="A1257">
        <v>2</v>
      </c>
      <c r="B1257" s="16" t="s">
        <v>56</v>
      </c>
      <c r="C1257" s="9">
        <v>45717</v>
      </c>
      <c r="D1257">
        <v>11</v>
      </c>
      <c r="E1257" s="16" t="s">
        <v>96</v>
      </c>
      <c r="F1257" s="16" t="s">
        <v>87</v>
      </c>
      <c r="G1257" s="22">
        <v>18</v>
      </c>
      <c r="H1257" s="18">
        <v>431.0675</v>
      </c>
      <c r="I1257" s="18">
        <v>23.948194443999999</v>
      </c>
      <c r="J1257" s="18">
        <v>24.41</v>
      </c>
      <c r="K1257" s="18">
        <v>23.48</v>
      </c>
      <c r="L1257" s="22">
        <v>9</v>
      </c>
    </row>
    <row r="1258" spans="1:12">
      <c r="A1258">
        <v>2</v>
      </c>
      <c r="B1258" s="16" t="s">
        <v>56</v>
      </c>
      <c r="C1258" s="9">
        <v>45748</v>
      </c>
      <c r="D1258">
        <v>11</v>
      </c>
      <c r="E1258" s="16" t="s">
        <v>96</v>
      </c>
      <c r="F1258" s="16" t="s">
        <v>87</v>
      </c>
      <c r="G1258" s="22">
        <v>19</v>
      </c>
      <c r="H1258" s="18">
        <v>450.7525</v>
      </c>
      <c r="I1258" s="18">
        <v>23.723815789</v>
      </c>
      <c r="J1258" s="18">
        <v>24.35</v>
      </c>
      <c r="K1258" s="18">
        <v>22.91</v>
      </c>
      <c r="L1258" s="22">
        <v>8</v>
      </c>
    </row>
    <row r="1259" spans="1:12">
      <c r="A1259">
        <v>2</v>
      </c>
      <c r="B1259" s="16" t="s">
        <v>56</v>
      </c>
      <c r="C1259" s="9">
        <v>45778</v>
      </c>
      <c r="D1259">
        <v>11</v>
      </c>
      <c r="E1259" s="16" t="s">
        <v>96</v>
      </c>
      <c r="F1259" s="16" t="s">
        <v>87</v>
      </c>
      <c r="G1259" s="22">
        <v>23.5</v>
      </c>
      <c r="H1259" s="18">
        <v>563.35500000000002</v>
      </c>
      <c r="I1259" s="18">
        <v>23.972553190999999</v>
      </c>
      <c r="J1259" s="18">
        <v>24.41</v>
      </c>
      <c r="K1259" s="18">
        <v>23.65</v>
      </c>
      <c r="L1259" s="22">
        <v>9</v>
      </c>
    </row>
    <row r="1260" spans="1:12">
      <c r="A1260">
        <v>2</v>
      </c>
      <c r="B1260" s="16" t="s">
        <v>56</v>
      </c>
      <c r="C1260" s="9">
        <v>45809</v>
      </c>
      <c r="D1260">
        <v>11</v>
      </c>
      <c r="E1260" s="16" t="s">
        <v>96</v>
      </c>
      <c r="F1260" s="16" t="s">
        <v>87</v>
      </c>
      <c r="G1260" s="22">
        <v>16.75</v>
      </c>
      <c r="H1260" s="18">
        <v>408.32</v>
      </c>
      <c r="I1260" s="18">
        <v>24.377313433000001</v>
      </c>
      <c r="J1260" s="18">
        <v>25.34</v>
      </c>
      <c r="K1260" s="18">
        <v>23.72</v>
      </c>
      <c r="L1260" s="22">
        <v>8</v>
      </c>
    </row>
    <row r="1261" spans="1:12">
      <c r="A1261">
        <v>2</v>
      </c>
      <c r="B1261" s="16" t="s">
        <v>56</v>
      </c>
      <c r="C1261" s="9">
        <v>45839</v>
      </c>
      <c r="D1261">
        <v>11</v>
      </c>
      <c r="E1261" s="16" t="s">
        <v>96</v>
      </c>
      <c r="F1261" s="16" t="s">
        <v>87</v>
      </c>
      <c r="G1261" s="22">
        <v>6.75</v>
      </c>
      <c r="H1261" s="18">
        <v>163.5</v>
      </c>
      <c r="I1261" s="18">
        <v>24.222222221999999</v>
      </c>
      <c r="J1261" s="18">
        <v>24.41</v>
      </c>
      <c r="K1261" s="18">
        <v>23.91</v>
      </c>
      <c r="L1261" s="22">
        <v>5</v>
      </c>
    </row>
    <row r="1262" spans="1:12">
      <c r="A1262">
        <v>2</v>
      </c>
      <c r="B1262" s="16" t="s">
        <v>56</v>
      </c>
      <c r="C1262" s="9">
        <v>45689</v>
      </c>
      <c r="D1262">
        <v>13</v>
      </c>
      <c r="E1262" s="16" t="s">
        <v>97</v>
      </c>
      <c r="F1262" s="16" t="s">
        <v>98</v>
      </c>
      <c r="G1262" s="22">
        <v>140</v>
      </c>
      <c r="H1262" s="18">
        <v>295</v>
      </c>
      <c r="I1262" s="18">
        <v>2.1071428569999999</v>
      </c>
      <c r="J1262" s="18">
        <v>2.12</v>
      </c>
      <c r="K1262" s="18">
        <v>2.09</v>
      </c>
      <c r="L1262" s="22">
        <v>2</v>
      </c>
    </row>
    <row r="1263" spans="1:12">
      <c r="A1263">
        <v>2</v>
      </c>
      <c r="B1263" s="16" t="s">
        <v>56</v>
      </c>
      <c r="C1263" s="9">
        <v>45717</v>
      </c>
      <c r="D1263">
        <v>13</v>
      </c>
      <c r="E1263" s="16" t="s">
        <v>97</v>
      </c>
      <c r="F1263" s="16" t="s">
        <v>98</v>
      </c>
      <c r="G1263" s="22">
        <v>120</v>
      </c>
      <c r="H1263" s="18">
        <v>256.2</v>
      </c>
      <c r="I1263" s="18">
        <v>2.1349999999999998</v>
      </c>
      <c r="J1263" s="18">
        <v>2.15</v>
      </c>
      <c r="K1263" s="18">
        <v>2.12</v>
      </c>
      <c r="L1263" s="22">
        <v>2</v>
      </c>
    </row>
    <row r="1264" spans="1:12">
      <c r="A1264">
        <v>2</v>
      </c>
      <c r="B1264" s="16" t="s">
        <v>56</v>
      </c>
      <c r="C1264" s="9">
        <v>45748</v>
      </c>
      <c r="D1264">
        <v>13</v>
      </c>
      <c r="E1264" s="16" t="s">
        <v>97</v>
      </c>
      <c r="F1264" s="16" t="s">
        <v>98</v>
      </c>
      <c r="G1264" s="22">
        <v>160</v>
      </c>
      <c r="H1264" s="18">
        <v>336.8</v>
      </c>
      <c r="I1264" s="18">
        <v>2.105</v>
      </c>
      <c r="J1264" s="18">
        <v>2.11</v>
      </c>
      <c r="K1264" s="18">
        <v>2.1</v>
      </c>
      <c r="L1264" s="22">
        <v>2</v>
      </c>
    </row>
    <row r="1265" spans="1:12">
      <c r="A1265">
        <v>2</v>
      </c>
      <c r="B1265" s="16" t="s">
        <v>56</v>
      </c>
      <c r="C1265" s="9">
        <v>45778</v>
      </c>
      <c r="D1265">
        <v>13</v>
      </c>
      <c r="E1265" s="16" t="s">
        <v>97</v>
      </c>
      <c r="F1265" s="16" t="s">
        <v>98</v>
      </c>
      <c r="G1265" s="22">
        <v>140</v>
      </c>
      <c r="H1265" s="18">
        <v>294.8</v>
      </c>
      <c r="I1265" s="18">
        <v>2.105714286</v>
      </c>
      <c r="J1265" s="18">
        <v>2.11</v>
      </c>
      <c r="K1265" s="18">
        <v>2.1</v>
      </c>
      <c r="L1265" s="22">
        <v>2</v>
      </c>
    </row>
    <row r="1266" spans="1:12">
      <c r="A1266">
        <v>2</v>
      </c>
      <c r="B1266" s="16" t="s">
        <v>56</v>
      </c>
      <c r="C1266" s="9">
        <v>45809</v>
      </c>
      <c r="D1266">
        <v>13</v>
      </c>
      <c r="E1266" s="16" t="s">
        <v>97</v>
      </c>
      <c r="F1266" s="16" t="s">
        <v>98</v>
      </c>
      <c r="G1266" s="22">
        <v>160</v>
      </c>
      <c r="H1266" s="18">
        <v>336.4</v>
      </c>
      <c r="I1266" s="18">
        <v>2.1025</v>
      </c>
      <c r="J1266" s="18">
        <v>2.14</v>
      </c>
      <c r="K1266" s="18">
        <v>2.08</v>
      </c>
      <c r="L1266" s="22">
        <v>2</v>
      </c>
    </row>
    <row r="1267" spans="1:12">
      <c r="A1267">
        <v>2</v>
      </c>
      <c r="B1267" s="16" t="s">
        <v>56</v>
      </c>
      <c r="C1267" s="9">
        <v>45839</v>
      </c>
      <c r="D1267">
        <v>13</v>
      </c>
      <c r="E1267" s="16" t="s">
        <v>97</v>
      </c>
      <c r="F1267" s="16" t="s">
        <v>98</v>
      </c>
      <c r="G1267" s="22">
        <v>200</v>
      </c>
      <c r="H1267" s="18">
        <v>422.8</v>
      </c>
      <c r="I1267" s="18">
        <v>2.1139999999999999</v>
      </c>
      <c r="J1267" s="18">
        <v>2.12</v>
      </c>
      <c r="K1267" s="18">
        <v>2.1</v>
      </c>
      <c r="L1267" s="22">
        <v>3</v>
      </c>
    </row>
    <row r="1268" spans="1:12">
      <c r="A1268">
        <v>2</v>
      </c>
      <c r="B1268" s="16" t="s">
        <v>56</v>
      </c>
      <c r="C1268" s="9">
        <v>45870</v>
      </c>
      <c r="D1268">
        <v>13</v>
      </c>
      <c r="E1268" s="16" t="s">
        <v>97</v>
      </c>
      <c r="F1268" s="16" t="s">
        <v>98</v>
      </c>
      <c r="G1268" s="22">
        <v>160</v>
      </c>
      <c r="H1268" s="18">
        <v>337.2</v>
      </c>
      <c r="I1268" s="18">
        <v>2.1074999999999999</v>
      </c>
      <c r="J1268" s="18">
        <v>2.12</v>
      </c>
      <c r="K1268" s="18">
        <v>2.1</v>
      </c>
      <c r="L1268" s="22">
        <v>2</v>
      </c>
    </row>
    <row r="1269" spans="1:12">
      <c r="A1269">
        <v>2</v>
      </c>
      <c r="B1269" s="16" t="s">
        <v>56</v>
      </c>
      <c r="C1269" s="9">
        <v>45901</v>
      </c>
      <c r="D1269">
        <v>13</v>
      </c>
      <c r="E1269" s="16" t="s">
        <v>97</v>
      </c>
      <c r="F1269" s="16" t="s">
        <v>98</v>
      </c>
      <c r="G1269" s="22">
        <v>140</v>
      </c>
      <c r="H1269" s="18">
        <v>296.8</v>
      </c>
      <c r="I1269" s="18">
        <v>2.12</v>
      </c>
      <c r="J1269" s="18">
        <v>2.12</v>
      </c>
      <c r="K1269" s="18">
        <v>2.12</v>
      </c>
      <c r="L1269" s="22">
        <v>2</v>
      </c>
    </row>
    <row r="1270" spans="1:12">
      <c r="A1270">
        <v>2</v>
      </c>
      <c r="B1270" s="16" t="s">
        <v>56</v>
      </c>
      <c r="C1270" s="9">
        <v>45931</v>
      </c>
      <c r="D1270">
        <v>13</v>
      </c>
      <c r="E1270" s="16" t="s">
        <v>97</v>
      </c>
      <c r="F1270" s="16" t="s">
        <v>98</v>
      </c>
      <c r="G1270" s="22">
        <v>140</v>
      </c>
      <c r="H1270" s="18">
        <v>296.8</v>
      </c>
      <c r="I1270" s="18">
        <v>2.12</v>
      </c>
      <c r="J1270" s="18">
        <v>2.15</v>
      </c>
      <c r="K1270" s="18">
        <v>2.08</v>
      </c>
      <c r="L1270" s="22">
        <v>2</v>
      </c>
    </row>
    <row r="1271" spans="1:12">
      <c r="A1271">
        <v>2</v>
      </c>
      <c r="B1271" s="16" t="s">
        <v>56</v>
      </c>
      <c r="C1271" s="9">
        <v>45962</v>
      </c>
      <c r="D1271">
        <v>13</v>
      </c>
      <c r="E1271" s="16" t="s">
        <v>97</v>
      </c>
      <c r="F1271" s="16" t="s">
        <v>98</v>
      </c>
      <c r="G1271" s="22">
        <v>120</v>
      </c>
      <c r="H1271" s="18">
        <v>252</v>
      </c>
      <c r="I1271" s="18">
        <v>2.1</v>
      </c>
      <c r="J1271" s="18">
        <v>2.11</v>
      </c>
      <c r="K1271" s="18">
        <v>2.09</v>
      </c>
      <c r="L1271" s="22">
        <v>2</v>
      </c>
    </row>
    <row r="1272" spans="1:12">
      <c r="A1272">
        <v>2</v>
      </c>
      <c r="B1272" s="16" t="s">
        <v>56</v>
      </c>
      <c r="C1272" s="9">
        <v>45992</v>
      </c>
      <c r="D1272">
        <v>13</v>
      </c>
      <c r="E1272" s="16" t="s">
        <v>97</v>
      </c>
      <c r="F1272" s="16" t="s">
        <v>98</v>
      </c>
      <c r="G1272" s="22">
        <v>240</v>
      </c>
      <c r="H1272" s="18">
        <v>505.8</v>
      </c>
      <c r="I1272" s="18">
        <v>2.1074999999999999</v>
      </c>
      <c r="J1272" s="18">
        <v>2.14</v>
      </c>
      <c r="K1272" s="18">
        <v>2.08</v>
      </c>
      <c r="L1272" s="22">
        <v>3</v>
      </c>
    </row>
    <row r="1273" spans="1:12">
      <c r="A1273">
        <v>2</v>
      </c>
      <c r="B1273" s="16" t="s">
        <v>56</v>
      </c>
      <c r="C1273" s="9">
        <v>46023</v>
      </c>
      <c r="D1273">
        <v>13</v>
      </c>
      <c r="E1273" s="16" t="s">
        <v>97</v>
      </c>
      <c r="F1273" s="16" t="s">
        <v>98</v>
      </c>
      <c r="G1273" s="22">
        <v>80</v>
      </c>
      <c r="H1273" s="18">
        <v>171.2</v>
      </c>
      <c r="I1273" s="18">
        <v>2.14</v>
      </c>
      <c r="J1273" s="18">
        <v>2.16</v>
      </c>
      <c r="K1273" s="18">
        <v>2.12</v>
      </c>
      <c r="L1273" s="22">
        <v>2</v>
      </c>
    </row>
    <row r="1274" spans="1:12">
      <c r="A1274">
        <v>2</v>
      </c>
      <c r="B1274" s="16" t="s">
        <v>56</v>
      </c>
      <c r="C1274" s="9">
        <v>46054</v>
      </c>
      <c r="D1274">
        <v>13</v>
      </c>
      <c r="E1274" s="16" t="s">
        <v>97</v>
      </c>
      <c r="F1274" s="16" t="s">
        <v>98</v>
      </c>
      <c r="G1274" s="22">
        <v>140</v>
      </c>
      <c r="H1274" s="18">
        <v>293.8</v>
      </c>
      <c r="I1274" s="18">
        <v>2.0985714290000002</v>
      </c>
      <c r="J1274" s="18">
        <v>2.11</v>
      </c>
      <c r="K1274" s="18">
        <v>2.09</v>
      </c>
      <c r="L1274" s="22">
        <v>2</v>
      </c>
    </row>
    <row r="1275" spans="1:12">
      <c r="A1275">
        <v>2</v>
      </c>
      <c r="B1275" s="16" t="s">
        <v>56</v>
      </c>
      <c r="C1275" s="9">
        <v>46082</v>
      </c>
      <c r="D1275">
        <v>13</v>
      </c>
      <c r="E1275" s="16" t="s">
        <v>97</v>
      </c>
      <c r="F1275" s="16" t="s">
        <v>98</v>
      </c>
      <c r="G1275" s="22">
        <v>140</v>
      </c>
      <c r="H1275" s="18">
        <v>298.60000000000002</v>
      </c>
      <c r="I1275" s="18">
        <v>2.1328571429999998</v>
      </c>
      <c r="J1275" s="18">
        <v>2.15</v>
      </c>
      <c r="K1275" s="18">
        <v>2.12</v>
      </c>
      <c r="L1275" s="22">
        <v>2</v>
      </c>
    </row>
    <row r="1276" spans="1:12">
      <c r="A1276">
        <v>2</v>
      </c>
      <c r="B1276" s="16" t="s">
        <v>56</v>
      </c>
      <c r="C1276" s="9">
        <v>46113</v>
      </c>
      <c r="D1276">
        <v>13</v>
      </c>
      <c r="E1276" s="16" t="s">
        <v>97</v>
      </c>
      <c r="F1276" s="16" t="s">
        <v>98</v>
      </c>
      <c r="G1276" s="22">
        <v>140</v>
      </c>
      <c r="H1276" s="18">
        <v>295.8</v>
      </c>
      <c r="I1276" s="18">
        <v>2.1128571429999998</v>
      </c>
      <c r="J1276" s="18">
        <v>2.13</v>
      </c>
      <c r="K1276" s="18">
        <v>2.09</v>
      </c>
      <c r="L1276" s="22">
        <v>2</v>
      </c>
    </row>
    <row r="1277" spans="1:12">
      <c r="A1277">
        <v>2</v>
      </c>
      <c r="B1277" s="16" t="s">
        <v>56</v>
      </c>
      <c r="C1277" s="9">
        <v>46143</v>
      </c>
      <c r="D1277">
        <v>13</v>
      </c>
      <c r="E1277" s="16" t="s">
        <v>97</v>
      </c>
      <c r="F1277" s="16" t="s">
        <v>98</v>
      </c>
      <c r="G1277" s="22">
        <v>180</v>
      </c>
      <c r="H1277" s="18">
        <v>378.4</v>
      </c>
      <c r="I1277" s="18">
        <v>2.102222222</v>
      </c>
      <c r="J1277" s="18">
        <v>2.12</v>
      </c>
      <c r="K1277" s="18">
        <v>2.08</v>
      </c>
      <c r="L1277" s="22">
        <v>2</v>
      </c>
    </row>
    <row r="1278" spans="1:12">
      <c r="A1278">
        <v>2</v>
      </c>
      <c r="B1278" s="16" t="s">
        <v>56</v>
      </c>
      <c r="C1278" s="9">
        <v>46174</v>
      </c>
      <c r="D1278">
        <v>13</v>
      </c>
      <c r="E1278" s="16" t="s">
        <v>97</v>
      </c>
      <c r="F1278" s="16" t="s">
        <v>98</v>
      </c>
      <c r="G1278" s="22">
        <v>220</v>
      </c>
      <c r="H1278" s="18">
        <v>467</v>
      </c>
      <c r="I1278" s="18">
        <v>2.1227272730000002</v>
      </c>
      <c r="J1278" s="18">
        <v>2.15</v>
      </c>
      <c r="K1278" s="18">
        <v>2.09</v>
      </c>
      <c r="L1278" s="22">
        <v>3</v>
      </c>
    </row>
    <row r="1279" spans="1:12">
      <c r="A1279">
        <v>2</v>
      </c>
      <c r="B1279" s="16" t="s">
        <v>56</v>
      </c>
      <c r="C1279" s="9">
        <v>46204</v>
      </c>
      <c r="D1279">
        <v>13</v>
      </c>
      <c r="E1279" s="16" t="s">
        <v>97</v>
      </c>
      <c r="F1279" s="16" t="s">
        <v>98</v>
      </c>
      <c r="G1279" s="22">
        <v>160</v>
      </c>
      <c r="H1279" s="18">
        <v>337.6</v>
      </c>
      <c r="I1279" s="18">
        <v>2.11</v>
      </c>
      <c r="J1279" s="18">
        <v>2.12</v>
      </c>
      <c r="K1279" s="18">
        <v>2.1</v>
      </c>
      <c r="L1279" s="22">
        <v>2</v>
      </c>
    </row>
    <row r="1280" spans="1:12">
      <c r="A1280">
        <v>2</v>
      </c>
      <c r="B1280" s="16" t="s">
        <v>56</v>
      </c>
      <c r="C1280" s="9">
        <v>46235</v>
      </c>
      <c r="D1280">
        <v>13</v>
      </c>
      <c r="E1280" s="16" t="s">
        <v>97</v>
      </c>
      <c r="F1280" s="16" t="s">
        <v>98</v>
      </c>
      <c r="G1280" s="22">
        <v>120</v>
      </c>
      <c r="H1280" s="18">
        <v>252.6</v>
      </c>
      <c r="I1280" s="18">
        <v>2.105</v>
      </c>
      <c r="J1280" s="18">
        <v>2.11</v>
      </c>
      <c r="K1280" s="18">
        <v>2.1</v>
      </c>
      <c r="L1280" s="22">
        <v>2</v>
      </c>
    </row>
    <row r="1281" spans="1:12">
      <c r="A1281">
        <v>2</v>
      </c>
      <c r="B1281" s="16" t="s">
        <v>56</v>
      </c>
      <c r="C1281" s="9">
        <v>46266</v>
      </c>
      <c r="D1281">
        <v>13</v>
      </c>
      <c r="E1281" s="16" t="s">
        <v>97</v>
      </c>
      <c r="F1281" s="16" t="s">
        <v>98</v>
      </c>
      <c r="G1281" s="22">
        <v>140</v>
      </c>
      <c r="H1281" s="18">
        <v>296.39999999999998</v>
      </c>
      <c r="I1281" s="18">
        <v>2.1171428570000002</v>
      </c>
      <c r="J1281" s="18">
        <v>2.13</v>
      </c>
      <c r="K1281" s="18">
        <v>2.1</v>
      </c>
      <c r="L1281" s="22">
        <v>2</v>
      </c>
    </row>
    <row r="1282" spans="1:12">
      <c r="A1282">
        <v>2</v>
      </c>
      <c r="B1282" s="16" t="s">
        <v>56</v>
      </c>
      <c r="C1282" s="9">
        <v>45689</v>
      </c>
      <c r="D1282">
        <v>14</v>
      </c>
      <c r="E1282" s="16" t="s">
        <v>99</v>
      </c>
      <c r="F1282" s="16" t="s">
        <v>90</v>
      </c>
      <c r="G1282" s="22">
        <v>0.75</v>
      </c>
      <c r="H1282" s="18">
        <v>14.73</v>
      </c>
      <c r="I1282" s="18">
        <v>19.64</v>
      </c>
      <c r="J1282" s="18">
        <v>19.64</v>
      </c>
      <c r="K1282" s="18">
        <v>19.64</v>
      </c>
      <c r="L1282" s="22">
        <v>1</v>
      </c>
    </row>
    <row r="1283" spans="1:12">
      <c r="A1283">
        <v>2</v>
      </c>
      <c r="B1283" s="16" t="s">
        <v>56</v>
      </c>
      <c r="C1283" s="9">
        <v>45717</v>
      </c>
      <c r="D1283">
        <v>14</v>
      </c>
      <c r="E1283" s="16" t="s">
        <v>99</v>
      </c>
      <c r="F1283" s="16" t="s">
        <v>90</v>
      </c>
      <c r="G1283" s="22">
        <v>1.5</v>
      </c>
      <c r="H1283" s="18">
        <v>28.837499999999999</v>
      </c>
      <c r="I1283" s="18">
        <v>19.225000000000001</v>
      </c>
      <c r="J1283" s="18">
        <v>19.420000000000002</v>
      </c>
      <c r="K1283" s="18">
        <v>19.03</v>
      </c>
      <c r="L1283" s="22">
        <v>2</v>
      </c>
    </row>
    <row r="1284" spans="1:12">
      <c r="A1284">
        <v>2</v>
      </c>
      <c r="B1284" s="16" t="s">
        <v>56</v>
      </c>
      <c r="C1284" s="9">
        <v>45748</v>
      </c>
      <c r="D1284">
        <v>14</v>
      </c>
      <c r="E1284" s="16" t="s">
        <v>99</v>
      </c>
      <c r="F1284" s="16" t="s">
        <v>90</v>
      </c>
      <c r="G1284" s="22">
        <v>0.75</v>
      </c>
      <c r="H1284" s="18">
        <v>14.737500000000001</v>
      </c>
      <c r="I1284" s="18">
        <v>19.649999999999999</v>
      </c>
      <c r="J1284" s="18">
        <v>19.649999999999999</v>
      </c>
      <c r="K1284" s="18">
        <v>19.649999999999999</v>
      </c>
      <c r="L1284" s="22">
        <v>1</v>
      </c>
    </row>
    <row r="1285" spans="1:12">
      <c r="A1285">
        <v>2</v>
      </c>
      <c r="B1285" s="16" t="s">
        <v>56</v>
      </c>
      <c r="C1285" s="9">
        <v>45778</v>
      </c>
      <c r="D1285">
        <v>14</v>
      </c>
      <c r="E1285" s="16" t="s">
        <v>99</v>
      </c>
      <c r="F1285" s="16" t="s">
        <v>90</v>
      </c>
      <c r="G1285" s="22">
        <v>1.5</v>
      </c>
      <c r="H1285" s="18">
        <v>28.934999999999999</v>
      </c>
      <c r="I1285" s="18">
        <v>19.29</v>
      </c>
      <c r="J1285" s="18">
        <v>19.43</v>
      </c>
      <c r="K1285" s="18">
        <v>19.149999999999999</v>
      </c>
      <c r="L1285" s="22">
        <v>2</v>
      </c>
    </row>
    <row r="1286" spans="1:12">
      <c r="A1286">
        <v>2</v>
      </c>
      <c r="B1286" s="16" t="s">
        <v>56</v>
      </c>
      <c r="C1286" s="9">
        <v>45809</v>
      </c>
      <c r="D1286">
        <v>14</v>
      </c>
      <c r="E1286" s="16" t="s">
        <v>99</v>
      </c>
      <c r="F1286" s="16" t="s">
        <v>90</v>
      </c>
      <c r="G1286" s="22">
        <v>0.75</v>
      </c>
      <c r="H1286" s="18">
        <v>15.3225</v>
      </c>
      <c r="I1286" s="18">
        <v>20.43</v>
      </c>
      <c r="J1286" s="18">
        <v>20.43</v>
      </c>
      <c r="K1286" s="18">
        <v>20.43</v>
      </c>
      <c r="L1286" s="22">
        <v>1</v>
      </c>
    </row>
    <row r="1287" spans="1:12">
      <c r="A1287">
        <v>2</v>
      </c>
      <c r="B1287" s="16" t="s">
        <v>56</v>
      </c>
      <c r="C1287" s="9">
        <v>45839</v>
      </c>
      <c r="D1287">
        <v>14</v>
      </c>
      <c r="E1287" s="16" t="s">
        <v>99</v>
      </c>
      <c r="F1287" s="16" t="s">
        <v>90</v>
      </c>
      <c r="G1287" s="22">
        <v>1.5</v>
      </c>
      <c r="H1287" s="18">
        <v>29.414999999999999</v>
      </c>
      <c r="I1287" s="18">
        <v>19.61</v>
      </c>
      <c r="J1287" s="18">
        <v>19.760000000000002</v>
      </c>
      <c r="K1287" s="18">
        <v>19.46</v>
      </c>
      <c r="L1287" s="22">
        <v>2</v>
      </c>
    </row>
    <row r="1288" spans="1:12">
      <c r="A1288">
        <v>2</v>
      </c>
      <c r="B1288" s="16" t="s">
        <v>56</v>
      </c>
      <c r="C1288" s="9">
        <v>45870</v>
      </c>
      <c r="D1288">
        <v>14</v>
      </c>
      <c r="E1288" s="16" t="s">
        <v>99</v>
      </c>
      <c r="F1288" s="16" t="s">
        <v>90</v>
      </c>
      <c r="G1288" s="22">
        <v>1.5</v>
      </c>
      <c r="H1288" s="18">
        <v>29.557500000000001</v>
      </c>
      <c r="I1288" s="18">
        <v>19.704999999999998</v>
      </c>
      <c r="J1288" s="18">
        <v>19.82</v>
      </c>
      <c r="K1288" s="18">
        <v>19.59</v>
      </c>
      <c r="L1288" s="22">
        <v>2</v>
      </c>
    </row>
    <row r="1289" spans="1:12">
      <c r="A1289">
        <v>2</v>
      </c>
      <c r="B1289" s="16" t="s">
        <v>56</v>
      </c>
      <c r="C1289" s="9">
        <v>45901</v>
      </c>
      <c r="D1289">
        <v>14</v>
      </c>
      <c r="E1289" s="16" t="s">
        <v>99</v>
      </c>
      <c r="F1289" s="16" t="s">
        <v>90</v>
      </c>
      <c r="G1289" s="22">
        <v>1.5</v>
      </c>
      <c r="H1289" s="18">
        <v>29.31</v>
      </c>
      <c r="I1289" s="18">
        <v>19.54</v>
      </c>
      <c r="J1289" s="18">
        <v>19.63</v>
      </c>
      <c r="K1289" s="18">
        <v>19.45</v>
      </c>
      <c r="L1289" s="22">
        <v>2</v>
      </c>
    </row>
    <row r="1290" spans="1:12">
      <c r="A1290">
        <v>2</v>
      </c>
      <c r="B1290" s="16" t="s">
        <v>56</v>
      </c>
      <c r="C1290" s="9">
        <v>45931</v>
      </c>
      <c r="D1290">
        <v>14</v>
      </c>
      <c r="E1290" s="16" t="s">
        <v>99</v>
      </c>
      <c r="F1290" s="16" t="s">
        <v>90</v>
      </c>
      <c r="G1290" s="22">
        <v>1.5</v>
      </c>
      <c r="H1290" s="18">
        <v>29.362500000000001</v>
      </c>
      <c r="I1290" s="18">
        <v>19.574999999999999</v>
      </c>
      <c r="J1290" s="18">
        <v>19.579999999999998</v>
      </c>
      <c r="K1290" s="18">
        <v>19.57</v>
      </c>
      <c r="L1290" s="22">
        <v>2</v>
      </c>
    </row>
    <row r="1291" spans="1:12">
      <c r="A1291">
        <v>2</v>
      </c>
      <c r="B1291" s="16" t="s">
        <v>56</v>
      </c>
      <c r="C1291" s="9">
        <v>45962</v>
      </c>
      <c r="D1291">
        <v>14</v>
      </c>
      <c r="E1291" s="16" t="s">
        <v>99</v>
      </c>
      <c r="F1291" s="16" t="s">
        <v>90</v>
      </c>
      <c r="G1291" s="22">
        <v>1.5</v>
      </c>
      <c r="H1291" s="18">
        <v>29.647500000000001</v>
      </c>
      <c r="I1291" s="18">
        <v>19.765000000000001</v>
      </c>
      <c r="J1291" s="18">
        <v>19.809999999999999</v>
      </c>
      <c r="K1291" s="18">
        <v>19.72</v>
      </c>
      <c r="L1291" s="22">
        <v>2</v>
      </c>
    </row>
    <row r="1292" spans="1:12">
      <c r="A1292">
        <v>2</v>
      </c>
      <c r="B1292" s="16" t="s">
        <v>56</v>
      </c>
      <c r="C1292" s="9">
        <v>45992</v>
      </c>
      <c r="D1292">
        <v>14</v>
      </c>
      <c r="E1292" s="16" t="s">
        <v>99</v>
      </c>
      <c r="F1292" s="16" t="s">
        <v>90</v>
      </c>
      <c r="G1292" s="22">
        <v>1.5</v>
      </c>
      <c r="H1292" s="18">
        <v>29.324999999999999</v>
      </c>
      <c r="I1292" s="18">
        <v>19.55</v>
      </c>
      <c r="J1292" s="18">
        <v>19.55</v>
      </c>
      <c r="K1292" s="18">
        <v>19.55</v>
      </c>
      <c r="L1292" s="22">
        <v>1</v>
      </c>
    </row>
    <row r="1293" spans="1:12">
      <c r="A1293">
        <v>2</v>
      </c>
      <c r="B1293" s="16" t="s">
        <v>56</v>
      </c>
      <c r="C1293" s="9">
        <v>46023</v>
      </c>
      <c r="D1293">
        <v>14</v>
      </c>
      <c r="E1293" s="16" t="s">
        <v>99</v>
      </c>
      <c r="F1293" s="16" t="s">
        <v>90</v>
      </c>
      <c r="G1293" s="22">
        <v>1.5</v>
      </c>
      <c r="H1293" s="18">
        <v>29.107500000000002</v>
      </c>
      <c r="I1293" s="18">
        <v>19.405000000000001</v>
      </c>
      <c r="J1293" s="18">
        <v>19.78</v>
      </c>
      <c r="K1293" s="18">
        <v>19.03</v>
      </c>
      <c r="L1293" s="22">
        <v>2</v>
      </c>
    </row>
    <row r="1294" spans="1:12">
      <c r="A1294">
        <v>2</v>
      </c>
      <c r="B1294" s="16" t="s">
        <v>56</v>
      </c>
      <c r="C1294" s="9">
        <v>46054</v>
      </c>
      <c r="D1294">
        <v>14</v>
      </c>
      <c r="E1294" s="16" t="s">
        <v>99</v>
      </c>
      <c r="F1294" s="16" t="s">
        <v>90</v>
      </c>
      <c r="G1294" s="22">
        <v>0.75</v>
      </c>
      <c r="H1294" s="18">
        <v>14.7075</v>
      </c>
      <c r="I1294" s="18">
        <v>19.61</v>
      </c>
      <c r="J1294" s="18">
        <v>19.61</v>
      </c>
      <c r="K1294" s="18">
        <v>19.61</v>
      </c>
      <c r="L1294" s="22">
        <v>1</v>
      </c>
    </row>
    <row r="1295" spans="1:12">
      <c r="A1295">
        <v>2</v>
      </c>
      <c r="B1295" s="16" t="s">
        <v>56</v>
      </c>
      <c r="C1295" s="9">
        <v>46082</v>
      </c>
      <c r="D1295">
        <v>14</v>
      </c>
      <c r="E1295" s="16" t="s">
        <v>99</v>
      </c>
      <c r="F1295" s="16" t="s">
        <v>90</v>
      </c>
      <c r="G1295" s="22">
        <v>1.5</v>
      </c>
      <c r="H1295" s="18">
        <v>29.7075</v>
      </c>
      <c r="I1295" s="18">
        <v>19.805</v>
      </c>
      <c r="J1295" s="18">
        <v>20</v>
      </c>
      <c r="K1295" s="18">
        <v>19.61</v>
      </c>
      <c r="L1295" s="22">
        <v>2</v>
      </c>
    </row>
    <row r="1296" spans="1:12">
      <c r="A1296">
        <v>2</v>
      </c>
      <c r="B1296" s="16" t="s">
        <v>56</v>
      </c>
      <c r="C1296" s="9">
        <v>46113</v>
      </c>
      <c r="D1296">
        <v>14</v>
      </c>
      <c r="E1296" s="16" t="s">
        <v>99</v>
      </c>
      <c r="F1296" s="16" t="s">
        <v>90</v>
      </c>
      <c r="G1296" s="22">
        <v>1.5</v>
      </c>
      <c r="H1296" s="18">
        <v>29.602499999999999</v>
      </c>
      <c r="I1296" s="18">
        <v>19.734999999999999</v>
      </c>
      <c r="J1296" s="18">
        <v>19.760000000000002</v>
      </c>
      <c r="K1296" s="18">
        <v>19.71</v>
      </c>
      <c r="L1296" s="22">
        <v>2</v>
      </c>
    </row>
    <row r="1297" spans="1:12">
      <c r="A1297">
        <v>2</v>
      </c>
      <c r="B1297" s="16" t="s">
        <v>56</v>
      </c>
      <c r="C1297" s="9">
        <v>46143</v>
      </c>
      <c r="D1297">
        <v>14</v>
      </c>
      <c r="E1297" s="16" t="s">
        <v>99</v>
      </c>
      <c r="F1297" s="16" t="s">
        <v>90</v>
      </c>
      <c r="G1297" s="22">
        <v>1.5</v>
      </c>
      <c r="H1297" s="18">
        <v>29.37</v>
      </c>
      <c r="I1297" s="18">
        <v>19.579999999999998</v>
      </c>
      <c r="J1297" s="18">
        <v>19.77</v>
      </c>
      <c r="K1297" s="18">
        <v>19.39</v>
      </c>
      <c r="L1297" s="22">
        <v>2</v>
      </c>
    </row>
    <row r="1298" spans="1:12">
      <c r="A1298">
        <v>2</v>
      </c>
      <c r="B1298" s="16" t="s">
        <v>56</v>
      </c>
      <c r="C1298" s="9">
        <v>46174</v>
      </c>
      <c r="D1298">
        <v>14</v>
      </c>
      <c r="E1298" s="16" t="s">
        <v>99</v>
      </c>
      <c r="F1298" s="16" t="s">
        <v>90</v>
      </c>
      <c r="G1298" s="22">
        <v>1.5</v>
      </c>
      <c r="H1298" s="18">
        <v>28.59</v>
      </c>
      <c r="I1298" s="18">
        <v>19.059999999999999</v>
      </c>
      <c r="J1298" s="18">
        <v>19.39</v>
      </c>
      <c r="K1298" s="18">
        <v>18.73</v>
      </c>
      <c r="L1298" s="22">
        <v>2</v>
      </c>
    </row>
    <row r="1299" spans="1:12">
      <c r="A1299">
        <v>2</v>
      </c>
      <c r="B1299" s="16" t="s">
        <v>56</v>
      </c>
      <c r="C1299" s="9">
        <v>46204</v>
      </c>
      <c r="D1299">
        <v>14</v>
      </c>
      <c r="E1299" s="16" t="s">
        <v>99</v>
      </c>
      <c r="F1299" s="16" t="s">
        <v>90</v>
      </c>
      <c r="G1299" s="22">
        <v>2.25</v>
      </c>
      <c r="H1299" s="18">
        <v>43.814999999999998</v>
      </c>
      <c r="I1299" s="18">
        <v>19.473333332999999</v>
      </c>
      <c r="J1299" s="18">
        <v>19.86</v>
      </c>
      <c r="K1299" s="18">
        <v>19.12</v>
      </c>
      <c r="L1299" s="22">
        <v>3</v>
      </c>
    </row>
    <row r="1300" spans="1:12">
      <c r="A1300">
        <v>2</v>
      </c>
      <c r="B1300" s="16" t="s">
        <v>56</v>
      </c>
      <c r="C1300" s="9">
        <v>46235</v>
      </c>
      <c r="D1300">
        <v>14</v>
      </c>
      <c r="E1300" s="16" t="s">
        <v>99</v>
      </c>
      <c r="F1300" s="16" t="s">
        <v>90</v>
      </c>
      <c r="G1300" s="22">
        <v>1.5</v>
      </c>
      <c r="H1300" s="18">
        <v>29.82</v>
      </c>
      <c r="I1300" s="18">
        <v>19.88</v>
      </c>
      <c r="J1300" s="18">
        <v>20.07</v>
      </c>
      <c r="K1300" s="18">
        <v>19.690000000000001</v>
      </c>
      <c r="L1300" s="22">
        <v>2</v>
      </c>
    </row>
    <row r="1301" spans="1:12">
      <c r="A1301">
        <v>2</v>
      </c>
      <c r="B1301" s="16" t="s">
        <v>56</v>
      </c>
      <c r="C1301" s="9">
        <v>46266</v>
      </c>
      <c r="D1301">
        <v>14</v>
      </c>
      <c r="E1301" s="16" t="s">
        <v>99</v>
      </c>
      <c r="F1301" s="16" t="s">
        <v>90</v>
      </c>
      <c r="G1301" s="22">
        <v>1.5</v>
      </c>
      <c r="H1301" s="18">
        <v>29.385000000000002</v>
      </c>
      <c r="I1301" s="18">
        <v>19.59</v>
      </c>
      <c r="J1301" s="18">
        <v>19.63</v>
      </c>
      <c r="K1301" s="18">
        <v>19.55</v>
      </c>
      <c r="L1301" s="22">
        <v>2</v>
      </c>
    </row>
    <row r="1302" spans="1:12">
      <c r="A1302">
        <v>2</v>
      </c>
      <c r="B1302" s="16" t="s">
        <v>56</v>
      </c>
      <c r="C1302" s="9">
        <v>45689</v>
      </c>
      <c r="D1302">
        <v>15</v>
      </c>
      <c r="E1302" s="16" t="s">
        <v>100</v>
      </c>
      <c r="F1302" s="16" t="s">
        <v>92</v>
      </c>
      <c r="G1302" s="22">
        <v>336</v>
      </c>
      <c r="H1302" s="18">
        <v>80.64</v>
      </c>
      <c r="I1302" s="18">
        <v>0.24</v>
      </c>
      <c r="J1302" s="18">
        <v>0.24</v>
      </c>
      <c r="K1302" s="18">
        <v>0.24</v>
      </c>
      <c r="L1302" s="22">
        <v>8</v>
      </c>
    </row>
    <row r="1303" spans="1:12">
      <c r="A1303">
        <v>2</v>
      </c>
      <c r="B1303" s="16" t="s">
        <v>56</v>
      </c>
      <c r="C1303" s="9">
        <v>45717</v>
      </c>
      <c r="D1303">
        <v>15</v>
      </c>
      <c r="E1303" s="16" t="s">
        <v>100</v>
      </c>
      <c r="F1303" s="16" t="s">
        <v>92</v>
      </c>
      <c r="G1303" s="22">
        <v>372</v>
      </c>
      <c r="H1303" s="18">
        <v>88.38</v>
      </c>
      <c r="I1303" s="18">
        <v>0.23758064500000001</v>
      </c>
      <c r="J1303" s="18">
        <v>0.24</v>
      </c>
      <c r="K1303" s="18">
        <v>0.23</v>
      </c>
      <c r="L1303" s="22">
        <v>9</v>
      </c>
    </row>
    <row r="1304" spans="1:12">
      <c r="A1304">
        <v>2</v>
      </c>
      <c r="B1304" s="16" t="s">
        <v>56</v>
      </c>
      <c r="C1304" s="9">
        <v>45748</v>
      </c>
      <c r="D1304">
        <v>15</v>
      </c>
      <c r="E1304" s="16" t="s">
        <v>100</v>
      </c>
      <c r="F1304" s="16" t="s">
        <v>92</v>
      </c>
      <c r="G1304" s="22">
        <v>402</v>
      </c>
      <c r="H1304" s="18">
        <v>91.2</v>
      </c>
      <c r="I1304" s="18">
        <v>0.22686567199999999</v>
      </c>
      <c r="J1304" s="18">
        <v>0.23</v>
      </c>
      <c r="K1304" s="18">
        <v>0.22</v>
      </c>
      <c r="L1304" s="22">
        <v>8</v>
      </c>
    </row>
    <row r="1305" spans="1:12">
      <c r="A1305">
        <v>2</v>
      </c>
      <c r="B1305" s="16" t="s">
        <v>56</v>
      </c>
      <c r="C1305" s="9">
        <v>45778</v>
      </c>
      <c r="D1305">
        <v>15</v>
      </c>
      <c r="E1305" s="16" t="s">
        <v>100</v>
      </c>
      <c r="F1305" s="16" t="s">
        <v>92</v>
      </c>
      <c r="G1305" s="22">
        <v>474</v>
      </c>
      <c r="H1305" s="18">
        <v>104.04</v>
      </c>
      <c r="I1305" s="18">
        <v>0.219493671</v>
      </c>
      <c r="J1305" s="18">
        <v>0.22</v>
      </c>
      <c r="K1305" s="18">
        <v>0.21</v>
      </c>
      <c r="L1305" s="22">
        <v>9</v>
      </c>
    </row>
    <row r="1306" spans="1:12">
      <c r="A1306">
        <v>2</v>
      </c>
      <c r="B1306" s="16" t="s">
        <v>56</v>
      </c>
      <c r="C1306" s="9">
        <v>45809</v>
      </c>
      <c r="D1306">
        <v>15</v>
      </c>
      <c r="E1306" s="16" t="s">
        <v>100</v>
      </c>
      <c r="F1306" s="16" t="s">
        <v>92</v>
      </c>
      <c r="G1306" s="22">
        <v>354</v>
      </c>
      <c r="H1306" s="18">
        <v>75.180000000000007</v>
      </c>
      <c r="I1306" s="18">
        <v>0.21237288100000001</v>
      </c>
      <c r="J1306" s="18">
        <v>0.22</v>
      </c>
      <c r="K1306" s="18">
        <v>0.21</v>
      </c>
      <c r="L1306" s="22">
        <v>9</v>
      </c>
    </row>
    <row r="1307" spans="1:12">
      <c r="A1307">
        <v>2</v>
      </c>
      <c r="B1307" s="16" t="s">
        <v>56</v>
      </c>
      <c r="C1307" s="9">
        <v>45839</v>
      </c>
      <c r="D1307">
        <v>15</v>
      </c>
      <c r="E1307" s="16" t="s">
        <v>100</v>
      </c>
      <c r="F1307" s="16" t="s">
        <v>92</v>
      </c>
      <c r="G1307" s="22">
        <v>372</v>
      </c>
      <c r="H1307" s="18">
        <v>78.72</v>
      </c>
      <c r="I1307" s="18">
        <v>0.21161290299999999</v>
      </c>
      <c r="J1307" s="18">
        <v>0.22</v>
      </c>
      <c r="K1307" s="18">
        <v>0.21</v>
      </c>
      <c r="L1307" s="22">
        <v>9</v>
      </c>
    </row>
    <row r="1308" spans="1:12">
      <c r="A1308">
        <v>2</v>
      </c>
      <c r="B1308" s="16" t="s">
        <v>56</v>
      </c>
      <c r="C1308" s="9">
        <v>45870</v>
      </c>
      <c r="D1308">
        <v>15</v>
      </c>
      <c r="E1308" s="16" t="s">
        <v>100</v>
      </c>
      <c r="F1308" s="16" t="s">
        <v>92</v>
      </c>
      <c r="G1308" s="22">
        <v>372</v>
      </c>
      <c r="H1308" s="18">
        <v>79.44</v>
      </c>
      <c r="I1308" s="18">
        <v>0.21354838700000001</v>
      </c>
      <c r="J1308" s="18">
        <v>0.22</v>
      </c>
      <c r="K1308" s="18">
        <v>0.21</v>
      </c>
      <c r="L1308" s="22">
        <v>8</v>
      </c>
    </row>
    <row r="1309" spans="1:12">
      <c r="A1309">
        <v>2</v>
      </c>
      <c r="B1309" s="16" t="s">
        <v>56</v>
      </c>
      <c r="C1309" s="9">
        <v>45901</v>
      </c>
      <c r="D1309">
        <v>15</v>
      </c>
      <c r="E1309" s="16" t="s">
        <v>100</v>
      </c>
      <c r="F1309" s="16" t="s">
        <v>92</v>
      </c>
      <c r="G1309" s="22">
        <v>402</v>
      </c>
      <c r="H1309" s="18">
        <v>89.52</v>
      </c>
      <c r="I1309" s="18">
        <v>0.222686567</v>
      </c>
      <c r="J1309" s="18">
        <v>0.24</v>
      </c>
      <c r="K1309" s="18">
        <v>0.22</v>
      </c>
      <c r="L1309" s="22">
        <v>9</v>
      </c>
    </row>
    <row r="1310" spans="1:12">
      <c r="A1310">
        <v>2</v>
      </c>
      <c r="B1310" s="16" t="s">
        <v>56</v>
      </c>
      <c r="C1310" s="9">
        <v>45931</v>
      </c>
      <c r="D1310">
        <v>15</v>
      </c>
      <c r="E1310" s="16" t="s">
        <v>100</v>
      </c>
      <c r="F1310" s="16" t="s">
        <v>92</v>
      </c>
      <c r="G1310" s="22">
        <v>456</v>
      </c>
      <c r="H1310" s="18">
        <v>105.96</v>
      </c>
      <c r="I1310" s="18">
        <v>0.23236842099999999</v>
      </c>
      <c r="J1310" s="18">
        <v>0.25</v>
      </c>
      <c r="K1310" s="18">
        <v>0.23</v>
      </c>
      <c r="L1310" s="22">
        <v>9</v>
      </c>
    </row>
    <row r="1311" spans="1:12">
      <c r="A1311">
        <v>2</v>
      </c>
      <c r="B1311" s="16" t="s">
        <v>56</v>
      </c>
      <c r="C1311" s="9">
        <v>45962</v>
      </c>
      <c r="D1311">
        <v>15</v>
      </c>
      <c r="E1311" s="16" t="s">
        <v>100</v>
      </c>
      <c r="F1311" s="16" t="s">
        <v>92</v>
      </c>
      <c r="G1311" s="22">
        <v>384</v>
      </c>
      <c r="H1311" s="18">
        <v>92.16</v>
      </c>
      <c r="I1311" s="18">
        <v>0.24</v>
      </c>
      <c r="J1311" s="18">
        <v>0.24</v>
      </c>
      <c r="K1311" s="18">
        <v>0.24</v>
      </c>
      <c r="L1311" s="22">
        <v>8</v>
      </c>
    </row>
    <row r="1312" spans="1:12">
      <c r="A1312">
        <v>2</v>
      </c>
      <c r="B1312" s="16" t="s">
        <v>56</v>
      </c>
      <c r="C1312" s="9">
        <v>45992</v>
      </c>
      <c r="D1312">
        <v>15</v>
      </c>
      <c r="E1312" s="16" t="s">
        <v>100</v>
      </c>
      <c r="F1312" s="16" t="s">
        <v>92</v>
      </c>
      <c r="G1312" s="22">
        <v>546</v>
      </c>
      <c r="H1312" s="18">
        <v>136.5</v>
      </c>
      <c r="I1312" s="18">
        <v>0.25</v>
      </c>
      <c r="J1312" s="18">
        <v>0.25</v>
      </c>
      <c r="K1312" s="18">
        <v>0.25</v>
      </c>
      <c r="L1312" s="22">
        <v>9</v>
      </c>
    </row>
    <row r="1313" spans="1:12">
      <c r="A1313">
        <v>2</v>
      </c>
      <c r="B1313" s="16" t="s">
        <v>56</v>
      </c>
      <c r="C1313" s="9">
        <v>46023</v>
      </c>
      <c r="D1313">
        <v>15</v>
      </c>
      <c r="E1313" s="16" t="s">
        <v>100</v>
      </c>
      <c r="F1313" s="16" t="s">
        <v>92</v>
      </c>
      <c r="G1313" s="22">
        <v>342</v>
      </c>
      <c r="H1313" s="18">
        <v>85.98</v>
      </c>
      <c r="I1313" s="18">
        <v>0.25140350900000002</v>
      </c>
      <c r="J1313" s="18">
        <v>0.26</v>
      </c>
      <c r="K1313" s="18">
        <v>0.24</v>
      </c>
      <c r="L1313" s="22">
        <v>9</v>
      </c>
    </row>
    <row r="1314" spans="1:12">
      <c r="A1314">
        <v>2</v>
      </c>
      <c r="B1314" s="16" t="s">
        <v>56</v>
      </c>
      <c r="C1314" s="9">
        <v>46054</v>
      </c>
      <c r="D1314">
        <v>15</v>
      </c>
      <c r="E1314" s="16" t="s">
        <v>100</v>
      </c>
      <c r="F1314" s="16" t="s">
        <v>92</v>
      </c>
      <c r="G1314" s="22">
        <v>348</v>
      </c>
      <c r="H1314" s="18">
        <v>86.7</v>
      </c>
      <c r="I1314" s="18">
        <v>0.24913793100000001</v>
      </c>
      <c r="J1314" s="18">
        <v>0.25</v>
      </c>
      <c r="K1314" s="18">
        <v>0.24</v>
      </c>
      <c r="L1314" s="22">
        <v>8</v>
      </c>
    </row>
    <row r="1315" spans="1:12">
      <c r="A1315">
        <v>2</v>
      </c>
      <c r="B1315" s="16" t="s">
        <v>56</v>
      </c>
      <c r="C1315" s="9">
        <v>46082</v>
      </c>
      <c r="D1315">
        <v>15</v>
      </c>
      <c r="E1315" s="16" t="s">
        <v>100</v>
      </c>
      <c r="F1315" s="16" t="s">
        <v>92</v>
      </c>
      <c r="G1315" s="22">
        <v>396</v>
      </c>
      <c r="H1315" s="18">
        <v>95.58</v>
      </c>
      <c r="I1315" s="18">
        <v>0.24136363599999999</v>
      </c>
      <c r="J1315" s="18">
        <v>0.25</v>
      </c>
      <c r="K1315" s="18">
        <v>0.24</v>
      </c>
      <c r="L1315" s="22">
        <v>9</v>
      </c>
    </row>
    <row r="1316" spans="1:12">
      <c r="A1316">
        <v>2</v>
      </c>
      <c r="B1316" s="16" t="s">
        <v>56</v>
      </c>
      <c r="C1316" s="9">
        <v>46113</v>
      </c>
      <c r="D1316">
        <v>15</v>
      </c>
      <c r="E1316" s="16" t="s">
        <v>100</v>
      </c>
      <c r="F1316" s="16" t="s">
        <v>92</v>
      </c>
      <c r="G1316" s="22">
        <v>462</v>
      </c>
      <c r="H1316" s="18">
        <v>108.54</v>
      </c>
      <c r="I1316" s="18">
        <v>0.234935065</v>
      </c>
      <c r="J1316" s="18">
        <v>0.24</v>
      </c>
      <c r="K1316" s="18">
        <v>0.23</v>
      </c>
      <c r="L1316" s="22">
        <v>9</v>
      </c>
    </row>
    <row r="1317" spans="1:12">
      <c r="A1317">
        <v>2</v>
      </c>
      <c r="B1317" s="16" t="s">
        <v>56</v>
      </c>
      <c r="C1317" s="9">
        <v>46143</v>
      </c>
      <c r="D1317">
        <v>15</v>
      </c>
      <c r="E1317" s="16" t="s">
        <v>100</v>
      </c>
      <c r="F1317" s="16" t="s">
        <v>92</v>
      </c>
      <c r="G1317" s="22">
        <v>438</v>
      </c>
      <c r="H1317" s="18">
        <v>98.94</v>
      </c>
      <c r="I1317" s="18">
        <v>0.22589041100000001</v>
      </c>
      <c r="J1317" s="18">
        <v>0.23</v>
      </c>
      <c r="K1317" s="18">
        <v>0.22</v>
      </c>
      <c r="L1317" s="22">
        <v>8</v>
      </c>
    </row>
    <row r="1318" spans="1:12">
      <c r="A1318">
        <v>2</v>
      </c>
      <c r="B1318" s="16" t="s">
        <v>56</v>
      </c>
      <c r="C1318" s="9">
        <v>46174</v>
      </c>
      <c r="D1318">
        <v>15</v>
      </c>
      <c r="E1318" s="16" t="s">
        <v>100</v>
      </c>
      <c r="F1318" s="16" t="s">
        <v>92</v>
      </c>
      <c r="G1318" s="22">
        <v>432</v>
      </c>
      <c r="H1318" s="18">
        <v>95.04</v>
      </c>
      <c r="I1318" s="18">
        <v>0.22</v>
      </c>
      <c r="J1318" s="18">
        <v>0.22</v>
      </c>
      <c r="K1318" s="18">
        <v>0.22</v>
      </c>
      <c r="L1318" s="22">
        <v>9</v>
      </c>
    </row>
    <row r="1319" spans="1:12">
      <c r="A1319">
        <v>2</v>
      </c>
      <c r="B1319" s="16" t="s">
        <v>56</v>
      </c>
      <c r="C1319" s="9">
        <v>46204</v>
      </c>
      <c r="D1319">
        <v>15</v>
      </c>
      <c r="E1319" s="16" t="s">
        <v>100</v>
      </c>
      <c r="F1319" s="16" t="s">
        <v>92</v>
      </c>
      <c r="G1319" s="22">
        <v>450</v>
      </c>
      <c r="H1319" s="18">
        <v>98.28</v>
      </c>
      <c r="I1319" s="18">
        <v>0.21840000000000001</v>
      </c>
      <c r="J1319" s="18">
        <v>0.22</v>
      </c>
      <c r="K1319" s="18">
        <v>0.21</v>
      </c>
      <c r="L1319" s="22">
        <v>9</v>
      </c>
    </row>
    <row r="1320" spans="1:12">
      <c r="A1320">
        <v>2</v>
      </c>
      <c r="B1320" s="16" t="s">
        <v>56</v>
      </c>
      <c r="C1320" s="9">
        <v>46235</v>
      </c>
      <c r="D1320">
        <v>15</v>
      </c>
      <c r="E1320" s="16" t="s">
        <v>100</v>
      </c>
      <c r="F1320" s="16" t="s">
        <v>92</v>
      </c>
      <c r="G1320" s="22">
        <v>390</v>
      </c>
      <c r="H1320" s="18">
        <v>85.8</v>
      </c>
      <c r="I1320" s="18">
        <v>0.22</v>
      </c>
      <c r="J1320" s="18">
        <v>0.22</v>
      </c>
      <c r="K1320" s="18">
        <v>0.22</v>
      </c>
      <c r="L1320" s="22">
        <v>9</v>
      </c>
    </row>
    <row r="1321" spans="1:12">
      <c r="A1321">
        <v>2</v>
      </c>
      <c r="B1321" s="16" t="s">
        <v>56</v>
      </c>
      <c r="C1321" s="9">
        <v>46266</v>
      </c>
      <c r="D1321">
        <v>15</v>
      </c>
      <c r="E1321" s="16" t="s">
        <v>100</v>
      </c>
      <c r="F1321" s="16" t="s">
        <v>92</v>
      </c>
      <c r="G1321" s="22">
        <v>324</v>
      </c>
      <c r="H1321" s="18">
        <v>73.98</v>
      </c>
      <c r="I1321" s="18">
        <v>0.228333333</v>
      </c>
      <c r="J1321" s="18">
        <v>0.23</v>
      </c>
      <c r="K1321" s="18">
        <v>0.22</v>
      </c>
      <c r="L1321" s="22">
        <v>8</v>
      </c>
    </row>
    <row r="1322" spans="1:12">
      <c r="A1322">
        <v>2</v>
      </c>
      <c r="B1322" s="16" t="s">
        <v>56</v>
      </c>
      <c r="C1322" s="9">
        <v>45689</v>
      </c>
      <c r="D1322">
        <v>16</v>
      </c>
      <c r="E1322" s="16" t="s">
        <v>101</v>
      </c>
      <c r="F1322" s="16" t="s">
        <v>92</v>
      </c>
      <c r="G1322" s="22">
        <v>22.5</v>
      </c>
      <c r="H1322" s="18">
        <v>14.025</v>
      </c>
      <c r="I1322" s="18">
        <v>0.62333333300000004</v>
      </c>
      <c r="J1322" s="18">
        <v>0.64</v>
      </c>
      <c r="K1322" s="18">
        <v>0.62</v>
      </c>
      <c r="L1322" s="22">
        <v>7</v>
      </c>
    </row>
    <row r="1323" spans="1:12">
      <c r="A1323">
        <v>2</v>
      </c>
      <c r="B1323" s="16" t="s">
        <v>56</v>
      </c>
      <c r="C1323" s="9">
        <v>45717</v>
      </c>
      <c r="D1323">
        <v>16</v>
      </c>
      <c r="E1323" s="16" t="s">
        <v>101</v>
      </c>
      <c r="F1323" s="16" t="s">
        <v>92</v>
      </c>
      <c r="G1323" s="22">
        <v>30</v>
      </c>
      <c r="H1323" s="18">
        <v>18.21</v>
      </c>
      <c r="I1323" s="18">
        <v>0.60699999999999998</v>
      </c>
      <c r="J1323" s="18">
        <v>0.62</v>
      </c>
      <c r="K1323" s="18">
        <v>0.6</v>
      </c>
      <c r="L1323" s="22">
        <v>9</v>
      </c>
    </row>
    <row r="1324" spans="1:12">
      <c r="A1324">
        <v>2</v>
      </c>
      <c r="B1324" s="16" t="s">
        <v>56</v>
      </c>
      <c r="C1324" s="9">
        <v>45748</v>
      </c>
      <c r="D1324">
        <v>16</v>
      </c>
      <c r="E1324" s="16" t="s">
        <v>101</v>
      </c>
      <c r="F1324" s="16" t="s">
        <v>92</v>
      </c>
      <c r="G1324" s="22">
        <v>24</v>
      </c>
      <c r="H1324" s="18">
        <v>14.19</v>
      </c>
      <c r="I1324" s="18">
        <v>0.59125000000000005</v>
      </c>
      <c r="J1324" s="18">
        <v>0.61</v>
      </c>
      <c r="K1324" s="18">
        <v>0.57999999999999996</v>
      </c>
      <c r="L1324" s="22">
        <v>8</v>
      </c>
    </row>
    <row r="1325" spans="1:12">
      <c r="A1325">
        <v>2</v>
      </c>
      <c r="B1325" s="16" t="s">
        <v>56</v>
      </c>
      <c r="C1325" s="9">
        <v>45778</v>
      </c>
      <c r="D1325">
        <v>16</v>
      </c>
      <c r="E1325" s="16" t="s">
        <v>101</v>
      </c>
      <c r="F1325" s="16" t="s">
        <v>92</v>
      </c>
      <c r="G1325" s="22">
        <v>28.5</v>
      </c>
      <c r="H1325" s="18">
        <v>15.914999999999999</v>
      </c>
      <c r="I1325" s="18">
        <v>0.558421053</v>
      </c>
      <c r="J1325" s="18">
        <v>0.56000000000000005</v>
      </c>
      <c r="K1325" s="18">
        <v>0.55000000000000004</v>
      </c>
      <c r="L1325" s="22">
        <v>9</v>
      </c>
    </row>
    <row r="1326" spans="1:12">
      <c r="A1326">
        <v>2</v>
      </c>
      <c r="B1326" s="16" t="s">
        <v>56</v>
      </c>
      <c r="C1326" s="9">
        <v>45809</v>
      </c>
      <c r="D1326">
        <v>16</v>
      </c>
      <c r="E1326" s="16" t="s">
        <v>101</v>
      </c>
      <c r="F1326" s="16" t="s">
        <v>92</v>
      </c>
      <c r="G1326" s="22">
        <v>24</v>
      </c>
      <c r="H1326" s="18">
        <v>13.154999999999999</v>
      </c>
      <c r="I1326" s="18">
        <v>0.54812499999999997</v>
      </c>
      <c r="J1326" s="18">
        <v>0.56000000000000005</v>
      </c>
      <c r="K1326" s="18">
        <v>0.53</v>
      </c>
      <c r="L1326" s="22">
        <v>9</v>
      </c>
    </row>
    <row r="1327" spans="1:12">
      <c r="A1327">
        <v>2</v>
      </c>
      <c r="B1327" s="16" t="s">
        <v>56</v>
      </c>
      <c r="C1327" s="9">
        <v>45839</v>
      </c>
      <c r="D1327">
        <v>16</v>
      </c>
      <c r="E1327" s="16" t="s">
        <v>101</v>
      </c>
      <c r="F1327" s="16" t="s">
        <v>92</v>
      </c>
      <c r="G1327" s="22">
        <v>24</v>
      </c>
      <c r="H1327" s="18">
        <v>13.215</v>
      </c>
      <c r="I1327" s="18">
        <v>0.55062500000000003</v>
      </c>
      <c r="J1327" s="18">
        <v>0.57999999999999996</v>
      </c>
      <c r="K1327" s="18">
        <v>0.54</v>
      </c>
      <c r="L1327" s="22">
        <v>8</v>
      </c>
    </row>
    <row r="1328" spans="1:12">
      <c r="A1328">
        <v>2</v>
      </c>
      <c r="B1328" s="16" t="s">
        <v>56</v>
      </c>
      <c r="C1328" s="9">
        <v>45870</v>
      </c>
      <c r="D1328">
        <v>16</v>
      </c>
      <c r="E1328" s="16" t="s">
        <v>101</v>
      </c>
      <c r="F1328" s="16" t="s">
        <v>92</v>
      </c>
      <c r="G1328" s="22">
        <v>18</v>
      </c>
      <c r="H1328" s="18">
        <v>9.8550000000000004</v>
      </c>
      <c r="I1328" s="18">
        <v>0.54749999999999999</v>
      </c>
      <c r="J1328" s="18">
        <v>0.57999999999999996</v>
      </c>
      <c r="K1328" s="18">
        <v>0.53</v>
      </c>
      <c r="L1328" s="22">
        <v>8</v>
      </c>
    </row>
    <row r="1329" spans="1:12">
      <c r="A1329">
        <v>2</v>
      </c>
      <c r="B1329" s="16" t="s">
        <v>56</v>
      </c>
      <c r="C1329" s="9">
        <v>45901</v>
      </c>
      <c r="D1329">
        <v>16</v>
      </c>
      <c r="E1329" s="16" t="s">
        <v>101</v>
      </c>
      <c r="F1329" s="16" t="s">
        <v>92</v>
      </c>
      <c r="G1329" s="22">
        <v>28.5</v>
      </c>
      <c r="H1329" s="18">
        <v>16.29</v>
      </c>
      <c r="I1329" s="18">
        <v>0.571578947</v>
      </c>
      <c r="J1329" s="18">
        <v>0.57999999999999996</v>
      </c>
      <c r="K1329" s="18">
        <v>0.56000000000000005</v>
      </c>
      <c r="L1329" s="22">
        <v>9</v>
      </c>
    </row>
    <row r="1330" spans="1:12">
      <c r="A1330">
        <v>2</v>
      </c>
      <c r="B1330" s="16" t="s">
        <v>56</v>
      </c>
      <c r="C1330" s="9">
        <v>45931</v>
      </c>
      <c r="D1330">
        <v>16</v>
      </c>
      <c r="E1330" s="16" t="s">
        <v>101</v>
      </c>
      <c r="F1330" s="16" t="s">
        <v>92</v>
      </c>
      <c r="G1330" s="22">
        <v>31.5</v>
      </c>
      <c r="H1330" s="18">
        <v>18.84</v>
      </c>
      <c r="I1330" s="18">
        <v>0.59809523799999997</v>
      </c>
      <c r="J1330" s="18">
        <v>0.61</v>
      </c>
      <c r="K1330" s="18">
        <v>0.59</v>
      </c>
      <c r="L1330" s="22">
        <v>9</v>
      </c>
    </row>
    <row r="1331" spans="1:12">
      <c r="A1331">
        <v>2</v>
      </c>
      <c r="B1331" s="16" t="s">
        <v>56</v>
      </c>
      <c r="C1331" s="9">
        <v>45962</v>
      </c>
      <c r="D1331">
        <v>16</v>
      </c>
      <c r="E1331" s="16" t="s">
        <v>101</v>
      </c>
      <c r="F1331" s="16" t="s">
        <v>92</v>
      </c>
      <c r="G1331" s="22">
        <v>24</v>
      </c>
      <c r="H1331" s="18">
        <v>14.91</v>
      </c>
      <c r="I1331" s="18">
        <v>0.62124999999999997</v>
      </c>
      <c r="J1331" s="18">
        <v>0.63</v>
      </c>
      <c r="K1331" s="18">
        <v>0.61</v>
      </c>
      <c r="L1331" s="22">
        <v>8</v>
      </c>
    </row>
    <row r="1332" spans="1:12">
      <c r="A1332">
        <v>2</v>
      </c>
      <c r="B1332" s="16" t="s">
        <v>56</v>
      </c>
      <c r="C1332" s="9">
        <v>45992</v>
      </c>
      <c r="D1332">
        <v>16</v>
      </c>
      <c r="E1332" s="16" t="s">
        <v>101</v>
      </c>
      <c r="F1332" s="16" t="s">
        <v>92</v>
      </c>
      <c r="G1332" s="22">
        <v>36</v>
      </c>
      <c r="H1332" s="18">
        <v>23.114999999999998</v>
      </c>
      <c r="I1332" s="18">
        <v>0.64208333299999998</v>
      </c>
      <c r="J1332" s="18">
        <v>0.65</v>
      </c>
      <c r="K1332" s="18">
        <v>0.63</v>
      </c>
      <c r="L1332" s="22">
        <v>9</v>
      </c>
    </row>
    <row r="1333" spans="1:12">
      <c r="A1333">
        <v>2</v>
      </c>
      <c r="B1333" s="16" t="s">
        <v>56</v>
      </c>
      <c r="C1333" s="9">
        <v>46023</v>
      </c>
      <c r="D1333">
        <v>16</v>
      </c>
      <c r="E1333" s="16" t="s">
        <v>101</v>
      </c>
      <c r="F1333" s="16" t="s">
        <v>92</v>
      </c>
      <c r="G1333" s="22">
        <v>24</v>
      </c>
      <c r="H1333" s="18">
        <v>15.585000000000001</v>
      </c>
      <c r="I1333" s="18">
        <v>0.64937500000000004</v>
      </c>
      <c r="J1333" s="18">
        <v>0.66</v>
      </c>
      <c r="K1333" s="18">
        <v>0.63</v>
      </c>
      <c r="L1333" s="22">
        <v>9</v>
      </c>
    </row>
    <row r="1334" spans="1:12">
      <c r="A1334">
        <v>2</v>
      </c>
      <c r="B1334" s="16" t="s">
        <v>56</v>
      </c>
      <c r="C1334" s="9">
        <v>46054</v>
      </c>
      <c r="D1334">
        <v>16</v>
      </c>
      <c r="E1334" s="16" t="s">
        <v>101</v>
      </c>
      <c r="F1334" s="16" t="s">
        <v>92</v>
      </c>
      <c r="G1334" s="22">
        <v>24</v>
      </c>
      <c r="H1334" s="18">
        <v>15.42</v>
      </c>
      <c r="I1334" s="18">
        <v>0.64249999999999996</v>
      </c>
      <c r="J1334" s="18">
        <v>0.65</v>
      </c>
      <c r="K1334" s="18">
        <v>0.63</v>
      </c>
      <c r="L1334" s="22">
        <v>8</v>
      </c>
    </row>
    <row r="1335" spans="1:12">
      <c r="A1335">
        <v>2</v>
      </c>
      <c r="B1335" s="16" t="s">
        <v>56</v>
      </c>
      <c r="C1335" s="9">
        <v>46082</v>
      </c>
      <c r="D1335">
        <v>16</v>
      </c>
      <c r="E1335" s="16" t="s">
        <v>101</v>
      </c>
      <c r="F1335" s="16" t="s">
        <v>92</v>
      </c>
      <c r="G1335" s="22">
        <v>30</v>
      </c>
      <c r="H1335" s="18">
        <v>18.765000000000001</v>
      </c>
      <c r="I1335" s="18">
        <v>0.62549999999999994</v>
      </c>
      <c r="J1335" s="18">
        <v>0.64</v>
      </c>
      <c r="K1335" s="18">
        <v>0.61</v>
      </c>
      <c r="L1335" s="22">
        <v>9</v>
      </c>
    </row>
    <row r="1336" spans="1:12">
      <c r="A1336">
        <v>2</v>
      </c>
      <c r="B1336" s="16" t="s">
        <v>56</v>
      </c>
      <c r="C1336" s="9">
        <v>46113</v>
      </c>
      <c r="D1336">
        <v>16</v>
      </c>
      <c r="E1336" s="16" t="s">
        <v>101</v>
      </c>
      <c r="F1336" s="16" t="s">
        <v>92</v>
      </c>
      <c r="G1336" s="22">
        <v>33</v>
      </c>
      <c r="H1336" s="18">
        <v>19.844999999999999</v>
      </c>
      <c r="I1336" s="18">
        <v>0.60136363599999998</v>
      </c>
      <c r="J1336" s="18">
        <v>0.62</v>
      </c>
      <c r="K1336" s="18">
        <v>0.57999999999999996</v>
      </c>
      <c r="L1336" s="22">
        <v>9</v>
      </c>
    </row>
    <row r="1337" spans="1:12">
      <c r="A1337">
        <v>2</v>
      </c>
      <c r="B1337" s="16" t="s">
        <v>56</v>
      </c>
      <c r="C1337" s="9">
        <v>46143</v>
      </c>
      <c r="D1337">
        <v>16</v>
      </c>
      <c r="E1337" s="16" t="s">
        <v>101</v>
      </c>
      <c r="F1337" s="16" t="s">
        <v>92</v>
      </c>
      <c r="G1337" s="22">
        <v>28.5</v>
      </c>
      <c r="H1337" s="18">
        <v>16.260000000000002</v>
      </c>
      <c r="I1337" s="18">
        <v>0.57052631600000003</v>
      </c>
      <c r="J1337" s="18">
        <v>0.57999999999999996</v>
      </c>
      <c r="K1337" s="18">
        <v>0.56000000000000005</v>
      </c>
      <c r="L1337" s="22">
        <v>8</v>
      </c>
    </row>
    <row r="1338" spans="1:12">
      <c r="A1338">
        <v>2</v>
      </c>
      <c r="B1338" s="16" t="s">
        <v>56</v>
      </c>
      <c r="C1338" s="9">
        <v>46174</v>
      </c>
      <c r="D1338">
        <v>16</v>
      </c>
      <c r="E1338" s="16" t="s">
        <v>101</v>
      </c>
      <c r="F1338" s="16" t="s">
        <v>92</v>
      </c>
      <c r="G1338" s="22">
        <v>28.5</v>
      </c>
      <c r="H1338" s="18">
        <v>15.885</v>
      </c>
      <c r="I1338" s="18">
        <v>0.55736842099999995</v>
      </c>
      <c r="J1338" s="18">
        <v>0.56999999999999995</v>
      </c>
      <c r="K1338" s="18">
        <v>0.54</v>
      </c>
      <c r="L1338" s="22">
        <v>9</v>
      </c>
    </row>
    <row r="1339" spans="1:12">
      <c r="A1339">
        <v>2</v>
      </c>
      <c r="B1339" s="16" t="s">
        <v>56</v>
      </c>
      <c r="C1339" s="9">
        <v>46204</v>
      </c>
      <c r="D1339">
        <v>16</v>
      </c>
      <c r="E1339" s="16" t="s">
        <v>101</v>
      </c>
      <c r="F1339" s="16" t="s">
        <v>92</v>
      </c>
      <c r="G1339" s="22">
        <v>27</v>
      </c>
      <c r="H1339" s="18">
        <v>14.685</v>
      </c>
      <c r="I1339" s="18">
        <v>0.54388888899999999</v>
      </c>
      <c r="J1339" s="18">
        <v>0.56000000000000005</v>
      </c>
      <c r="K1339" s="18">
        <v>0.53</v>
      </c>
      <c r="L1339" s="22">
        <v>9</v>
      </c>
    </row>
    <row r="1340" spans="1:12">
      <c r="A1340">
        <v>2</v>
      </c>
      <c r="B1340" s="16" t="s">
        <v>56</v>
      </c>
      <c r="C1340" s="9">
        <v>46235</v>
      </c>
      <c r="D1340">
        <v>16</v>
      </c>
      <c r="E1340" s="16" t="s">
        <v>101</v>
      </c>
      <c r="F1340" s="16" t="s">
        <v>92</v>
      </c>
      <c r="G1340" s="22">
        <v>24</v>
      </c>
      <c r="H1340" s="18">
        <v>13.005000000000001</v>
      </c>
      <c r="I1340" s="18">
        <v>0.541875</v>
      </c>
      <c r="J1340" s="18">
        <v>0.55000000000000004</v>
      </c>
      <c r="K1340" s="18">
        <v>0.53</v>
      </c>
      <c r="L1340" s="22">
        <v>9</v>
      </c>
    </row>
    <row r="1341" spans="1:12">
      <c r="A1341">
        <v>2</v>
      </c>
      <c r="B1341" s="16" t="s">
        <v>56</v>
      </c>
      <c r="C1341" s="9">
        <v>46266</v>
      </c>
      <c r="D1341">
        <v>16</v>
      </c>
      <c r="E1341" s="16" t="s">
        <v>101</v>
      </c>
      <c r="F1341" s="16" t="s">
        <v>92</v>
      </c>
      <c r="G1341" s="22">
        <v>22.5</v>
      </c>
      <c r="H1341" s="18">
        <v>12.6</v>
      </c>
      <c r="I1341" s="18">
        <v>0.56000000000000005</v>
      </c>
      <c r="J1341" s="18">
        <v>0.56999999999999995</v>
      </c>
      <c r="K1341" s="18">
        <v>0.55000000000000004</v>
      </c>
      <c r="L1341" s="22">
        <v>8</v>
      </c>
    </row>
    <row r="1342" spans="1:12">
      <c r="A1342">
        <v>2</v>
      </c>
      <c r="B1342" s="16" t="s">
        <v>56</v>
      </c>
      <c r="C1342" s="9">
        <v>45689</v>
      </c>
      <c r="D1342">
        <v>19</v>
      </c>
      <c r="E1342" s="16" t="s">
        <v>105</v>
      </c>
      <c r="F1342" s="16" t="s">
        <v>106</v>
      </c>
      <c r="G1342" s="22">
        <v>48</v>
      </c>
      <c r="H1342" s="18">
        <v>44.48</v>
      </c>
      <c r="I1342" s="18">
        <v>0.926666667</v>
      </c>
      <c r="J1342" s="18">
        <v>0.93</v>
      </c>
      <c r="K1342" s="18">
        <v>0.92</v>
      </c>
      <c r="L1342" s="22">
        <v>2</v>
      </c>
    </row>
    <row r="1343" spans="1:12">
      <c r="A1343">
        <v>2</v>
      </c>
      <c r="B1343" s="16" t="s">
        <v>56</v>
      </c>
      <c r="C1343" s="9">
        <v>45717</v>
      </c>
      <c r="D1343">
        <v>19</v>
      </c>
      <c r="E1343" s="16" t="s">
        <v>105</v>
      </c>
      <c r="F1343" s="16" t="s">
        <v>106</v>
      </c>
      <c r="G1343" s="22">
        <v>64</v>
      </c>
      <c r="H1343" s="18">
        <v>59.2</v>
      </c>
      <c r="I1343" s="18">
        <v>0.92500000000000004</v>
      </c>
      <c r="J1343" s="18">
        <v>0.93</v>
      </c>
      <c r="K1343" s="18">
        <v>0.92</v>
      </c>
      <c r="L1343" s="22">
        <v>2</v>
      </c>
    </row>
    <row r="1344" spans="1:12">
      <c r="A1344">
        <v>2</v>
      </c>
      <c r="B1344" s="16" t="s">
        <v>56</v>
      </c>
      <c r="C1344" s="9">
        <v>45748</v>
      </c>
      <c r="D1344">
        <v>19</v>
      </c>
      <c r="E1344" s="16" t="s">
        <v>105</v>
      </c>
      <c r="F1344" s="16" t="s">
        <v>106</v>
      </c>
      <c r="G1344" s="22">
        <v>64</v>
      </c>
      <c r="H1344" s="18">
        <v>59.2</v>
      </c>
      <c r="I1344" s="18">
        <v>0.92500000000000004</v>
      </c>
      <c r="J1344" s="18">
        <v>0.94</v>
      </c>
      <c r="K1344" s="18">
        <v>0.9</v>
      </c>
      <c r="L1344" s="22">
        <v>3</v>
      </c>
    </row>
    <row r="1345" spans="1:12">
      <c r="A1345">
        <v>2</v>
      </c>
      <c r="B1345" s="16" t="s">
        <v>56</v>
      </c>
      <c r="C1345" s="9">
        <v>45778</v>
      </c>
      <c r="D1345">
        <v>19</v>
      </c>
      <c r="E1345" s="16" t="s">
        <v>105</v>
      </c>
      <c r="F1345" s="16" t="s">
        <v>106</v>
      </c>
      <c r="G1345" s="22">
        <v>48</v>
      </c>
      <c r="H1345" s="18">
        <v>44.48</v>
      </c>
      <c r="I1345" s="18">
        <v>0.926666667</v>
      </c>
      <c r="J1345" s="18">
        <v>0.93</v>
      </c>
      <c r="K1345" s="18">
        <v>0.92</v>
      </c>
      <c r="L1345" s="22">
        <v>2</v>
      </c>
    </row>
    <row r="1346" spans="1:12">
      <c r="A1346">
        <v>2</v>
      </c>
      <c r="B1346" s="16" t="s">
        <v>56</v>
      </c>
      <c r="C1346" s="9">
        <v>45809</v>
      </c>
      <c r="D1346">
        <v>19</v>
      </c>
      <c r="E1346" s="16" t="s">
        <v>105</v>
      </c>
      <c r="F1346" s="16" t="s">
        <v>106</v>
      </c>
      <c r="G1346" s="22">
        <v>48</v>
      </c>
      <c r="H1346" s="18">
        <v>44</v>
      </c>
      <c r="I1346" s="18">
        <v>0.91666666699999999</v>
      </c>
      <c r="J1346" s="18">
        <v>0.93</v>
      </c>
      <c r="K1346" s="18">
        <v>0.91</v>
      </c>
      <c r="L1346" s="22">
        <v>2</v>
      </c>
    </row>
    <row r="1347" spans="1:12">
      <c r="A1347">
        <v>2</v>
      </c>
      <c r="B1347" s="16" t="s">
        <v>56</v>
      </c>
      <c r="C1347" s="9">
        <v>45839</v>
      </c>
      <c r="D1347">
        <v>19</v>
      </c>
      <c r="E1347" s="16" t="s">
        <v>105</v>
      </c>
      <c r="F1347" s="16" t="s">
        <v>106</v>
      </c>
      <c r="G1347" s="22">
        <v>32</v>
      </c>
      <c r="H1347" s="18">
        <v>30.72</v>
      </c>
      <c r="I1347" s="18">
        <v>0.96</v>
      </c>
      <c r="J1347" s="18">
        <v>0.98</v>
      </c>
      <c r="K1347" s="18">
        <v>0.94</v>
      </c>
      <c r="L1347" s="22">
        <v>2</v>
      </c>
    </row>
    <row r="1348" spans="1:12">
      <c r="A1348">
        <v>2</v>
      </c>
      <c r="B1348" s="16" t="s">
        <v>56</v>
      </c>
      <c r="C1348" s="9">
        <v>45870</v>
      </c>
      <c r="D1348">
        <v>19</v>
      </c>
      <c r="E1348" s="16" t="s">
        <v>105</v>
      </c>
      <c r="F1348" s="16" t="s">
        <v>106</v>
      </c>
      <c r="G1348" s="22">
        <v>48</v>
      </c>
      <c r="H1348" s="18">
        <v>45.28</v>
      </c>
      <c r="I1348" s="18">
        <v>0.943333333</v>
      </c>
      <c r="J1348" s="18">
        <v>0.95</v>
      </c>
      <c r="K1348" s="18">
        <v>0.93</v>
      </c>
      <c r="L1348" s="22">
        <v>2</v>
      </c>
    </row>
    <row r="1349" spans="1:12">
      <c r="A1349">
        <v>2</v>
      </c>
      <c r="B1349" s="16" t="s">
        <v>56</v>
      </c>
      <c r="C1349" s="9">
        <v>45901</v>
      </c>
      <c r="D1349">
        <v>19</v>
      </c>
      <c r="E1349" s="16" t="s">
        <v>105</v>
      </c>
      <c r="F1349" s="16" t="s">
        <v>106</v>
      </c>
      <c r="G1349" s="22">
        <v>64</v>
      </c>
      <c r="H1349" s="18">
        <v>59.52</v>
      </c>
      <c r="I1349" s="18">
        <v>0.93</v>
      </c>
      <c r="J1349" s="18">
        <v>0.93</v>
      </c>
      <c r="K1349" s="18">
        <v>0.93</v>
      </c>
      <c r="L1349" s="22">
        <v>3</v>
      </c>
    </row>
    <row r="1350" spans="1:12">
      <c r="A1350">
        <v>2</v>
      </c>
      <c r="B1350" s="16" t="s">
        <v>56</v>
      </c>
      <c r="C1350" s="9">
        <v>45931</v>
      </c>
      <c r="D1350">
        <v>19</v>
      </c>
      <c r="E1350" s="16" t="s">
        <v>105</v>
      </c>
      <c r="F1350" s="16" t="s">
        <v>106</v>
      </c>
      <c r="G1350" s="22">
        <v>64</v>
      </c>
      <c r="H1350" s="18">
        <v>59.84</v>
      </c>
      <c r="I1350" s="18">
        <v>0.93500000000000005</v>
      </c>
      <c r="J1350" s="18">
        <v>0.94</v>
      </c>
      <c r="K1350" s="18">
        <v>0.93</v>
      </c>
      <c r="L1350" s="22">
        <v>2</v>
      </c>
    </row>
    <row r="1351" spans="1:12">
      <c r="A1351">
        <v>2</v>
      </c>
      <c r="B1351" s="16" t="s">
        <v>56</v>
      </c>
      <c r="C1351" s="9">
        <v>45962</v>
      </c>
      <c r="D1351">
        <v>19</v>
      </c>
      <c r="E1351" s="16" t="s">
        <v>105</v>
      </c>
      <c r="F1351" s="16" t="s">
        <v>106</v>
      </c>
      <c r="G1351" s="22">
        <v>48</v>
      </c>
      <c r="H1351" s="18">
        <v>45.76</v>
      </c>
      <c r="I1351" s="18">
        <v>0.953333333</v>
      </c>
      <c r="J1351" s="18">
        <v>0.96</v>
      </c>
      <c r="K1351" s="18">
        <v>0.94</v>
      </c>
      <c r="L1351" s="22">
        <v>2</v>
      </c>
    </row>
    <row r="1352" spans="1:12">
      <c r="A1352">
        <v>2</v>
      </c>
      <c r="B1352" s="16" t="s">
        <v>56</v>
      </c>
      <c r="C1352" s="9">
        <v>45992</v>
      </c>
      <c r="D1352">
        <v>19</v>
      </c>
      <c r="E1352" s="16" t="s">
        <v>105</v>
      </c>
      <c r="F1352" s="16" t="s">
        <v>106</v>
      </c>
      <c r="G1352" s="22">
        <v>64</v>
      </c>
      <c r="H1352" s="18">
        <v>60.16</v>
      </c>
      <c r="I1352" s="18">
        <v>0.94</v>
      </c>
      <c r="J1352" s="18">
        <v>0.94</v>
      </c>
      <c r="K1352" s="18">
        <v>0.94</v>
      </c>
      <c r="L1352" s="22">
        <v>2</v>
      </c>
    </row>
    <row r="1353" spans="1:12">
      <c r="A1353">
        <v>2</v>
      </c>
      <c r="B1353" s="16" t="s">
        <v>56</v>
      </c>
      <c r="C1353" s="9">
        <v>46023</v>
      </c>
      <c r="D1353">
        <v>19</v>
      </c>
      <c r="E1353" s="16" t="s">
        <v>105</v>
      </c>
      <c r="F1353" s="16" t="s">
        <v>106</v>
      </c>
      <c r="G1353" s="22">
        <v>48</v>
      </c>
      <c r="H1353" s="18">
        <v>45.92</v>
      </c>
      <c r="I1353" s="18">
        <v>0.95666666700000003</v>
      </c>
      <c r="J1353" s="18">
        <v>0.96</v>
      </c>
      <c r="K1353" s="18">
        <v>0.95</v>
      </c>
      <c r="L1353" s="22">
        <v>2</v>
      </c>
    </row>
    <row r="1354" spans="1:12">
      <c r="A1354">
        <v>2</v>
      </c>
      <c r="B1354" s="16" t="s">
        <v>56</v>
      </c>
      <c r="C1354" s="9">
        <v>46054</v>
      </c>
      <c r="D1354">
        <v>19</v>
      </c>
      <c r="E1354" s="16" t="s">
        <v>105</v>
      </c>
      <c r="F1354" s="16" t="s">
        <v>106</v>
      </c>
      <c r="G1354" s="22">
        <v>48</v>
      </c>
      <c r="H1354" s="18">
        <v>45.6</v>
      </c>
      <c r="I1354" s="18">
        <v>0.95</v>
      </c>
      <c r="J1354" s="18">
        <v>0.95</v>
      </c>
      <c r="K1354" s="18">
        <v>0.95</v>
      </c>
      <c r="L1354" s="22">
        <v>2</v>
      </c>
    </row>
    <row r="1355" spans="1:12">
      <c r="A1355">
        <v>2</v>
      </c>
      <c r="B1355" s="16" t="s">
        <v>56</v>
      </c>
      <c r="C1355" s="9">
        <v>46082</v>
      </c>
      <c r="D1355">
        <v>19</v>
      </c>
      <c r="E1355" s="16" t="s">
        <v>105</v>
      </c>
      <c r="F1355" s="16" t="s">
        <v>106</v>
      </c>
      <c r="G1355" s="22">
        <v>64</v>
      </c>
      <c r="H1355" s="18">
        <v>60.48</v>
      </c>
      <c r="I1355" s="18">
        <v>0.94499999999999995</v>
      </c>
      <c r="J1355" s="18">
        <v>0.97</v>
      </c>
      <c r="K1355" s="18">
        <v>0.93</v>
      </c>
      <c r="L1355" s="22">
        <v>3</v>
      </c>
    </row>
    <row r="1356" spans="1:12">
      <c r="A1356">
        <v>2</v>
      </c>
      <c r="B1356" s="16" t="s">
        <v>56</v>
      </c>
      <c r="C1356" s="9">
        <v>46113</v>
      </c>
      <c r="D1356">
        <v>19</v>
      </c>
      <c r="E1356" s="16" t="s">
        <v>105</v>
      </c>
      <c r="F1356" s="16" t="s">
        <v>106</v>
      </c>
      <c r="G1356" s="22">
        <v>64</v>
      </c>
      <c r="H1356" s="18">
        <v>60.8</v>
      </c>
      <c r="I1356" s="18">
        <v>0.95</v>
      </c>
      <c r="J1356" s="18">
        <v>0.95</v>
      </c>
      <c r="K1356" s="18">
        <v>0.95</v>
      </c>
      <c r="L1356" s="22">
        <v>2</v>
      </c>
    </row>
    <row r="1357" spans="1:12">
      <c r="A1357">
        <v>2</v>
      </c>
      <c r="B1357" s="16" t="s">
        <v>56</v>
      </c>
      <c r="C1357" s="9">
        <v>46143</v>
      </c>
      <c r="D1357">
        <v>19</v>
      </c>
      <c r="E1357" s="16" t="s">
        <v>105</v>
      </c>
      <c r="F1357" s="16" t="s">
        <v>106</v>
      </c>
      <c r="G1357" s="22">
        <v>48</v>
      </c>
      <c r="H1357" s="18">
        <v>45.6</v>
      </c>
      <c r="I1357" s="18">
        <v>0.95</v>
      </c>
      <c r="J1357" s="18">
        <v>0.95</v>
      </c>
      <c r="K1357" s="18">
        <v>0.95</v>
      </c>
      <c r="L1357" s="22">
        <v>2</v>
      </c>
    </row>
    <row r="1358" spans="1:12">
      <c r="A1358">
        <v>2</v>
      </c>
      <c r="B1358" s="16" t="s">
        <v>56</v>
      </c>
      <c r="C1358" s="9">
        <v>46174</v>
      </c>
      <c r="D1358">
        <v>19</v>
      </c>
      <c r="E1358" s="16" t="s">
        <v>105</v>
      </c>
      <c r="F1358" s="16" t="s">
        <v>106</v>
      </c>
      <c r="G1358" s="22">
        <v>64</v>
      </c>
      <c r="H1358" s="18">
        <v>61.44</v>
      </c>
      <c r="I1358" s="18">
        <v>0.96</v>
      </c>
      <c r="J1358" s="18">
        <v>0.96</v>
      </c>
      <c r="K1358" s="18">
        <v>0.96</v>
      </c>
      <c r="L1358" s="22">
        <v>2</v>
      </c>
    </row>
    <row r="1359" spans="1:12">
      <c r="A1359">
        <v>2</v>
      </c>
      <c r="B1359" s="16" t="s">
        <v>56</v>
      </c>
      <c r="C1359" s="9">
        <v>46204</v>
      </c>
      <c r="D1359">
        <v>19</v>
      </c>
      <c r="E1359" s="16" t="s">
        <v>105</v>
      </c>
      <c r="F1359" s="16" t="s">
        <v>106</v>
      </c>
      <c r="G1359" s="22">
        <v>48</v>
      </c>
      <c r="H1359" s="18">
        <v>46.56</v>
      </c>
      <c r="I1359" s="18">
        <v>0.97</v>
      </c>
      <c r="J1359" s="18">
        <v>0.97</v>
      </c>
      <c r="K1359" s="18">
        <v>0.97</v>
      </c>
      <c r="L1359" s="22">
        <v>2</v>
      </c>
    </row>
    <row r="1360" spans="1:12">
      <c r="A1360">
        <v>2</v>
      </c>
      <c r="B1360" s="16" t="s">
        <v>56</v>
      </c>
      <c r="C1360" s="9">
        <v>46235</v>
      </c>
      <c r="D1360">
        <v>19</v>
      </c>
      <c r="E1360" s="16" t="s">
        <v>105</v>
      </c>
      <c r="F1360" s="16" t="s">
        <v>106</v>
      </c>
      <c r="G1360" s="22">
        <v>48</v>
      </c>
      <c r="H1360" s="18">
        <v>47.68</v>
      </c>
      <c r="I1360" s="18">
        <v>0.99333333300000004</v>
      </c>
      <c r="J1360" s="18">
        <v>1</v>
      </c>
      <c r="K1360" s="18">
        <v>0.99</v>
      </c>
      <c r="L1360" s="22">
        <v>2</v>
      </c>
    </row>
    <row r="1361" spans="1:12">
      <c r="A1361">
        <v>2</v>
      </c>
      <c r="B1361" s="16" t="s">
        <v>56</v>
      </c>
      <c r="C1361" s="9">
        <v>46266</v>
      </c>
      <c r="D1361">
        <v>19</v>
      </c>
      <c r="E1361" s="16" t="s">
        <v>105</v>
      </c>
      <c r="F1361" s="16" t="s">
        <v>106</v>
      </c>
      <c r="G1361" s="22">
        <v>48</v>
      </c>
      <c r="H1361" s="18">
        <v>48</v>
      </c>
      <c r="I1361" s="18">
        <v>1</v>
      </c>
      <c r="J1361" s="18">
        <v>1.01</v>
      </c>
      <c r="K1361" s="18">
        <v>0.99</v>
      </c>
      <c r="L1361" s="22">
        <v>3</v>
      </c>
    </row>
    <row r="1362" spans="1:12">
      <c r="A1362">
        <v>2</v>
      </c>
      <c r="B1362" s="16" t="s">
        <v>56</v>
      </c>
      <c r="C1362" s="9">
        <v>45717</v>
      </c>
      <c r="D1362">
        <v>20</v>
      </c>
      <c r="E1362" s="16" t="s">
        <v>107</v>
      </c>
      <c r="F1362" s="16" t="s">
        <v>108</v>
      </c>
      <c r="G1362" s="22">
        <v>6.25</v>
      </c>
      <c r="H1362" s="18">
        <v>66.125</v>
      </c>
      <c r="I1362" s="18">
        <v>10.58</v>
      </c>
      <c r="J1362" s="18">
        <v>10.58</v>
      </c>
      <c r="K1362" s="18">
        <v>10.58</v>
      </c>
      <c r="L1362" s="22">
        <v>1</v>
      </c>
    </row>
    <row r="1363" spans="1:12">
      <c r="A1363">
        <v>2</v>
      </c>
      <c r="B1363" s="16" t="s">
        <v>56</v>
      </c>
      <c r="C1363" s="9">
        <v>45809</v>
      </c>
      <c r="D1363">
        <v>20</v>
      </c>
      <c r="E1363" s="16" t="s">
        <v>107</v>
      </c>
      <c r="F1363" s="16" t="s">
        <v>108</v>
      </c>
      <c r="G1363" s="22">
        <v>6.25</v>
      </c>
      <c r="H1363" s="18">
        <v>65.25</v>
      </c>
      <c r="I1363" s="18">
        <v>10.44</v>
      </c>
      <c r="J1363" s="18">
        <v>10.44</v>
      </c>
      <c r="K1363" s="18">
        <v>10.44</v>
      </c>
      <c r="L1363" s="22">
        <v>1</v>
      </c>
    </row>
    <row r="1364" spans="1:12">
      <c r="A1364">
        <v>2</v>
      </c>
      <c r="B1364" s="16" t="s">
        <v>56</v>
      </c>
      <c r="C1364" s="9">
        <v>45901</v>
      </c>
      <c r="D1364">
        <v>20</v>
      </c>
      <c r="E1364" s="16" t="s">
        <v>107</v>
      </c>
      <c r="F1364" s="16" t="s">
        <v>108</v>
      </c>
      <c r="G1364" s="22">
        <v>6.25</v>
      </c>
      <c r="H1364" s="18">
        <v>76.9375</v>
      </c>
      <c r="I1364" s="18">
        <v>12.31</v>
      </c>
      <c r="J1364" s="18">
        <v>12.31</v>
      </c>
      <c r="K1364" s="18">
        <v>12.31</v>
      </c>
      <c r="L1364" s="22">
        <v>1</v>
      </c>
    </row>
    <row r="1365" spans="1:12">
      <c r="A1365">
        <v>2</v>
      </c>
      <c r="B1365" s="16" t="s">
        <v>56</v>
      </c>
      <c r="C1365" s="9">
        <v>45992</v>
      </c>
      <c r="D1365">
        <v>20</v>
      </c>
      <c r="E1365" s="16" t="s">
        <v>107</v>
      </c>
      <c r="F1365" s="16" t="s">
        <v>108</v>
      </c>
      <c r="G1365" s="22">
        <v>6.25</v>
      </c>
      <c r="H1365" s="18">
        <v>77.375</v>
      </c>
      <c r="I1365" s="18">
        <v>12.38</v>
      </c>
      <c r="J1365" s="18">
        <v>12.38</v>
      </c>
      <c r="K1365" s="18">
        <v>12.38</v>
      </c>
      <c r="L1365" s="22">
        <v>1</v>
      </c>
    </row>
    <row r="1366" spans="1:12">
      <c r="A1366">
        <v>2</v>
      </c>
      <c r="B1366" s="16" t="s">
        <v>56</v>
      </c>
      <c r="C1366" s="9">
        <v>46082</v>
      </c>
      <c r="D1366">
        <v>20</v>
      </c>
      <c r="E1366" s="16" t="s">
        <v>107</v>
      </c>
      <c r="F1366" s="16" t="s">
        <v>108</v>
      </c>
      <c r="G1366" s="22">
        <v>6.25</v>
      </c>
      <c r="H1366" s="18">
        <v>65.1875</v>
      </c>
      <c r="I1366" s="18">
        <v>10.43</v>
      </c>
      <c r="J1366" s="18">
        <v>10.43</v>
      </c>
      <c r="K1366" s="18">
        <v>10.43</v>
      </c>
      <c r="L1366" s="22">
        <v>1</v>
      </c>
    </row>
    <row r="1367" spans="1:12">
      <c r="A1367">
        <v>2</v>
      </c>
      <c r="B1367" s="16" t="s">
        <v>56</v>
      </c>
      <c r="C1367" s="9">
        <v>46174</v>
      </c>
      <c r="D1367">
        <v>20</v>
      </c>
      <c r="E1367" s="16" t="s">
        <v>107</v>
      </c>
      <c r="F1367" s="16" t="s">
        <v>108</v>
      </c>
      <c r="G1367" s="22">
        <v>6.25</v>
      </c>
      <c r="H1367" s="18">
        <v>64.9375</v>
      </c>
      <c r="I1367" s="18">
        <v>10.39</v>
      </c>
      <c r="J1367" s="18">
        <v>10.39</v>
      </c>
      <c r="K1367" s="18">
        <v>10.39</v>
      </c>
      <c r="L1367" s="22">
        <v>1</v>
      </c>
    </row>
    <row r="1368" spans="1:12">
      <c r="A1368">
        <v>2</v>
      </c>
      <c r="B1368" s="16" t="s">
        <v>56</v>
      </c>
      <c r="C1368" s="9">
        <v>46266</v>
      </c>
      <c r="D1368">
        <v>20</v>
      </c>
      <c r="E1368" s="16" t="s">
        <v>107</v>
      </c>
      <c r="F1368" s="16" t="s">
        <v>108</v>
      </c>
      <c r="G1368" s="22">
        <v>6.25</v>
      </c>
      <c r="H1368" s="18">
        <v>76.9375</v>
      </c>
      <c r="I1368" s="18">
        <v>12.31</v>
      </c>
      <c r="J1368" s="18">
        <v>12.31</v>
      </c>
      <c r="K1368" s="18">
        <v>12.31</v>
      </c>
      <c r="L1368" s="22">
        <v>1</v>
      </c>
    </row>
    <row r="1369" spans="1:12">
      <c r="A1369">
        <v>2</v>
      </c>
      <c r="B1369" s="16" t="s">
        <v>56</v>
      </c>
      <c r="C1369" s="9">
        <v>45689</v>
      </c>
      <c r="D1369">
        <v>21</v>
      </c>
      <c r="E1369" s="16" t="s">
        <v>109</v>
      </c>
      <c r="F1369" s="16" t="s">
        <v>83</v>
      </c>
      <c r="G1369" s="22">
        <v>10</v>
      </c>
      <c r="H1369" s="18">
        <v>44.85</v>
      </c>
      <c r="I1369" s="18">
        <v>4.4850000000000003</v>
      </c>
      <c r="J1369" s="18">
        <v>4.53</v>
      </c>
      <c r="K1369" s="18">
        <v>4.4400000000000004</v>
      </c>
      <c r="L1369" s="22">
        <v>2</v>
      </c>
    </row>
    <row r="1370" spans="1:12">
      <c r="A1370">
        <v>2</v>
      </c>
      <c r="B1370" s="16" t="s">
        <v>56</v>
      </c>
      <c r="C1370" s="9">
        <v>45717</v>
      </c>
      <c r="D1370">
        <v>21</v>
      </c>
      <c r="E1370" s="16" t="s">
        <v>109</v>
      </c>
      <c r="F1370" s="16" t="s">
        <v>83</v>
      </c>
      <c r="G1370" s="22">
        <v>10</v>
      </c>
      <c r="H1370" s="18">
        <v>45.2</v>
      </c>
      <c r="I1370" s="18">
        <v>4.5199999999999996</v>
      </c>
      <c r="J1370" s="18">
        <v>4.5599999999999996</v>
      </c>
      <c r="K1370" s="18">
        <v>4.4800000000000004</v>
      </c>
      <c r="L1370" s="22">
        <v>2</v>
      </c>
    </row>
    <row r="1371" spans="1:12">
      <c r="A1371">
        <v>2</v>
      </c>
      <c r="B1371" s="16" t="s">
        <v>56</v>
      </c>
      <c r="C1371" s="9">
        <v>45748</v>
      </c>
      <c r="D1371">
        <v>21</v>
      </c>
      <c r="E1371" s="16" t="s">
        <v>109</v>
      </c>
      <c r="F1371" s="16" t="s">
        <v>83</v>
      </c>
      <c r="G1371" s="22">
        <v>10</v>
      </c>
      <c r="H1371" s="18">
        <v>45.95</v>
      </c>
      <c r="I1371" s="18">
        <v>4.5949999999999998</v>
      </c>
      <c r="J1371" s="18">
        <v>4.6100000000000003</v>
      </c>
      <c r="K1371" s="18">
        <v>4.58</v>
      </c>
      <c r="L1371" s="22">
        <v>2</v>
      </c>
    </row>
    <row r="1372" spans="1:12">
      <c r="A1372">
        <v>2</v>
      </c>
      <c r="B1372" s="16" t="s">
        <v>56</v>
      </c>
      <c r="C1372" s="9">
        <v>45778</v>
      </c>
      <c r="D1372">
        <v>21</v>
      </c>
      <c r="E1372" s="16" t="s">
        <v>109</v>
      </c>
      <c r="F1372" s="16" t="s">
        <v>83</v>
      </c>
      <c r="G1372" s="22">
        <v>10</v>
      </c>
      <c r="H1372" s="18">
        <v>46.2</v>
      </c>
      <c r="I1372" s="18">
        <v>4.62</v>
      </c>
      <c r="J1372" s="18">
        <v>4.6500000000000004</v>
      </c>
      <c r="K1372" s="18">
        <v>4.59</v>
      </c>
      <c r="L1372" s="22">
        <v>2</v>
      </c>
    </row>
    <row r="1373" spans="1:12">
      <c r="A1373">
        <v>2</v>
      </c>
      <c r="B1373" s="16" t="s">
        <v>56</v>
      </c>
      <c r="C1373" s="9">
        <v>45809</v>
      </c>
      <c r="D1373">
        <v>21</v>
      </c>
      <c r="E1373" s="16" t="s">
        <v>109</v>
      </c>
      <c r="F1373" s="16" t="s">
        <v>83</v>
      </c>
      <c r="G1373" s="22">
        <v>10</v>
      </c>
      <c r="H1373" s="18">
        <v>45.9</v>
      </c>
      <c r="I1373" s="18">
        <v>4.59</v>
      </c>
      <c r="J1373" s="18">
        <v>4.6399999999999997</v>
      </c>
      <c r="K1373" s="18">
        <v>4.54</v>
      </c>
      <c r="L1373" s="22">
        <v>2</v>
      </c>
    </row>
    <row r="1374" spans="1:12">
      <c r="A1374">
        <v>2</v>
      </c>
      <c r="B1374" s="16" t="s">
        <v>56</v>
      </c>
      <c r="C1374" s="9">
        <v>45839</v>
      </c>
      <c r="D1374">
        <v>21</v>
      </c>
      <c r="E1374" s="16" t="s">
        <v>109</v>
      </c>
      <c r="F1374" s="16" t="s">
        <v>83</v>
      </c>
      <c r="G1374" s="22">
        <v>5</v>
      </c>
      <c r="H1374" s="18">
        <v>22.7</v>
      </c>
      <c r="I1374" s="18">
        <v>4.54</v>
      </c>
      <c r="J1374" s="18">
        <v>4.54</v>
      </c>
      <c r="K1374" s="18">
        <v>4.54</v>
      </c>
      <c r="L1374" s="22">
        <v>1</v>
      </c>
    </row>
    <row r="1375" spans="1:12">
      <c r="A1375">
        <v>2</v>
      </c>
      <c r="B1375" s="16" t="s">
        <v>56</v>
      </c>
      <c r="C1375" s="9">
        <v>45870</v>
      </c>
      <c r="D1375">
        <v>21</v>
      </c>
      <c r="E1375" s="16" t="s">
        <v>109</v>
      </c>
      <c r="F1375" s="16" t="s">
        <v>83</v>
      </c>
      <c r="G1375" s="22">
        <v>10</v>
      </c>
      <c r="H1375" s="18">
        <v>46.1</v>
      </c>
      <c r="I1375" s="18">
        <v>4.6100000000000003</v>
      </c>
      <c r="J1375" s="18">
        <v>4.6100000000000003</v>
      </c>
      <c r="K1375" s="18">
        <v>4.6100000000000003</v>
      </c>
      <c r="L1375" s="22">
        <v>2</v>
      </c>
    </row>
    <row r="1376" spans="1:12">
      <c r="A1376">
        <v>2</v>
      </c>
      <c r="B1376" s="16" t="s">
        <v>56</v>
      </c>
      <c r="C1376" s="9">
        <v>45901</v>
      </c>
      <c r="D1376">
        <v>21</v>
      </c>
      <c r="E1376" s="16" t="s">
        <v>109</v>
      </c>
      <c r="F1376" s="16" t="s">
        <v>83</v>
      </c>
      <c r="G1376" s="22">
        <v>10</v>
      </c>
      <c r="H1376" s="18">
        <v>45.45</v>
      </c>
      <c r="I1376" s="18">
        <v>4.5449999999999999</v>
      </c>
      <c r="J1376" s="18">
        <v>4.57</v>
      </c>
      <c r="K1376" s="18">
        <v>4.5199999999999996</v>
      </c>
      <c r="L1376" s="22">
        <v>2</v>
      </c>
    </row>
    <row r="1377" spans="1:12">
      <c r="A1377">
        <v>2</v>
      </c>
      <c r="B1377" s="16" t="s">
        <v>56</v>
      </c>
      <c r="C1377" s="9">
        <v>45931</v>
      </c>
      <c r="D1377">
        <v>21</v>
      </c>
      <c r="E1377" s="16" t="s">
        <v>109</v>
      </c>
      <c r="F1377" s="16" t="s">
        <v>83</v>
      </c>
      <c r="G1377" s="22">
        <v>10</v>
      </c>
      <c r="H1377" s="18">
        <v>51.6</v>
      </c>
      <c r="I1377" s="18">
        <v>5.16</v>
      </c>
      <c r="J1377" s="18">
        <v>5.22</v>
      </c>
      <c r="K1377" s="18">
        <v>5.0999999999999996</v>
      </c>
      <c r="L1377" s="22">
        <v>2</v>
      </c>
    </row>
    <row r="1378" spans="1:12">
      <c r="A1378">
        <v>2</v>
      </c>
      <c r="B1378" s="16" t="s">
        <v>56</v>
      </c>
      <c r="C1378" s="9">
        <v>45962</v>
      </c>
      <c r="D1378">
        <v>21</v>
      </c>
      <c r="E1378" s="16" t="s">
        <v>109</v>
      </c>
      <c r="F1378" s="16" t="s">
        <v>83</v>
      </c>
      <c r="G1378" s="22">
        <v>10</v>
      </c>
      <c r="H1378" s="18">
        <v>50.65</v>
      </c>
      <c r="I1378" s="18">
        <v>5.0650000000000004</v>
      </c>
      <c r="J1378" s="18">
        <v>5.16</v>
      </c>
      <c r="K1378" s="18">
        <v>4.97</v>
      </c>
      <c r="L1378" s="22">
        <v>2</v>
      </c>
    </row>
    <row r="1379" spans="1:12">
      <c r="A1379">
        <v>2</v>
      </c>
      <c r="B1379" s="16" t="s">
        <v>56</v>
      </c>
      <c r="C1379" s="9">
        <v>45992</v>
      </c>
      <c r="D1379">
        <v>21</v>
      </c>
      <c r="E1379" s="16" t="s">
        <v>109</v>
      </c>
      <c r="F1379" s="16" t="s">
        <v>83</v>
      </c>
      <c r="G1379" s="22">
        <v>15</v>
      </c>
      <c r="H1379" s="18">
        <v>78.25</v>
      </c>
      <c r="I1379" s="18">
        <v>5.2166666670000001</v>
      </c>
      <c r="J1379" s="18">
        <v>5.26</v>
      </c>
      <c r="K1379" s="18">
        <v>5.13</v>
      </c>
      <c r="L1379" s="22">
        <v>3</v>
      </c>
    </row>
    <row r="1380" spans="1:12">
      <c r="A1380">
        <v>2</v>
      </c>
      <c r="B1380" s="16" t="s">
        <v>56</v>
      </c>
      <c r="C1380" s="9">
        <v>46023</v>
      </c>
      <c r="D1380">
        <v>21</v>
      </c>
      <c r="E1380" s="16" t="s">
        <v>109</v>
      </c>
      <c r="F1380" s="16" t="s">
        <v>83</v>
      </c>
      <c r="G1380" s="22">
        <v>5</v>
      </c>
      <c r="H1380" s="18">
        <v>23.1</v>
      </c>
      <c r="I1380" s="18">
        <v>4.62</v>
      </c>
      <c r="J1380" s="18">
        <v>4.62</v>
      </c>
      <c r="K1380" s="18">
        <v>4.62</v>
      </c>
      <c r="L1380" s="22">
        <v>1</v>
      </c>
    </row>
    <row r="1381" spans="1:12">
      <c r="A1381">
        <v>2</v>
      </c>
      <c r="B1381" s="16" t="s">
        <v>56</v>
      </c>
      <c r="C1381" s="9">
        <v>46054</v>
      </c>
      <c r="D1381">
        <v>21</v>
      </c>
      <c r="E1381" s="16" t="s">
        <v>109</v>
      </c>
      <c r="F1381" s="16" t="s">
        <v>83</v>
      </c>
      <c r="G1381" s="22">
        <v>10</v>
      </c>
      <c r="H1381" s="18">
        <v>45.5</v>
      </c>
      <c r="I1381" s="18">
        <v>4.55</v>
      </c>
      <c r="J1381" s="18">
        <v>4.57</v>
      </c>
      <c r="K1381" s="18">
        <v>4.53</v>
      </c>
      <c r="L1381" s="22">
        <v>2</v>
      </c>
    </row>
    <row r="1382" spans="1:12">
      <c r="A1382">
        <v>2</v>
      </c>
      <c r="B1382" s="16" t="s">
        <v>56</v>
      </c>
      <c r="C1382" s="9">
        <v>46082</v>
      </c>
      <c r="D1382">
        <v>21</v>
      </c>
      <c r="E1382" s="16" t="s">
        <v>109</v>
      </c>
      <c r="F1382" s="16" t="s">
        <v>83</v>
      </c>
      <c r="G1382" s="22">
        <v>10</v>
      </c>
      <c r="H1382" s="18">
        <v>46.15</v>
      </c>
      <c r="I1382" s="18">
        <v>4.6150000000000002</v>
      </c>
      <c r="J1382" s="18">
        <v>4.6500000000000004</v>
      </c>
      <c r="K1382" s="18">
        <v>4.58</v>
      </c>
      <c r="L1382" s="22">
        <v>2</v>
      </c>
    </row>
    <row r="1383" spans="1:12">
      <c r="A1383">
        <v>2</v>
      </c>
      <c r="B1383" s="16" t="s">
        <v>56</v>
      </c>
      <c r="C1383" s="9">
        <v>46113</v>
      </c>
      <c r="D1383">
        <v>21</v>
      </c>
      <c r="E1383" s="16" t="s">
        <v>109</v>
      </c>
      <c r="F1383" s="16" t="s">
        <v>83</v>
      </c>
      <c r="G1383" s="22">
        <v>15</v>
      </c>
      <c r="H1383" s="18">
        <v>68.8</v>
      </c>
      <c r="I1383" s="18">
        <v>4.5866666670000003</v>
      </c>
      <c r="J1383" s="18">
        <v>4.63</v>
      </c>
      <c r="K1383" s="18">
        <v>4.55</v>
      </c>
      <c r="L1383" s="22">
        <v>3</v>
      </c>
    </row>
    <row r="1384" spans="1:12">
      <c r="A1384">
        <v>2</v>
      </c>
      <c r="B1384" s="16" t="s">
        <v>56</v>
      </c>
      <c r="C1384" s="9">
        <v>46143</v>
      </c>
      <c r="D1384">
        <v>21</v>
      </c>
      <c r="E1384" s="16" t="s">
        <v>109</v>
      </c>
      <c r="F1384" s="16" t="s">
        <v>83</v>
      </c>
      <c r="G1384" s="22">
        <v>10</v>
      </c>
      <c r="H1384" s="18">
        <v>46.05</v>
      </c>
      <c r="I1384" s="18">
        <v>4.6050000000000004</v>
      </c>
      <c r="J1384" s="18">
        <v>4.6500000000000004</v>
      </c>
      <c r="K1384" s="18">
        <v>4.5599999999999996</v>
      </c>
      <c r="L1384" s="22">
        <v>2</v>
      </c>
    </row>
    <row r="1385" spans="1:12">
      <c r="A1385">
        <v>2</v>
      </c>
      <c r="B1385" s="16" t="s">
        <v>56</v>
      </c>
      <c r="C1385" s="9">
        <v>46174</v>
      </c>
      <c r="D1385">
        <v>21</v>
      </c>
      <c r="E1385" s="16" t="s">
        <v>109</v>
      </c>
      <c r="F1385" s="16" t="s">
        <v>83</v>
      </c>
      <c r="G1385" s="22">
        <v>10</v>
      </c>
      <c r="H1385" s="18">
        <v>46.5</v>
      </c>
      <c r="I1385" s="18">
        <v>4.6500000000000004</v>
      </c>
      <c r="J1385" s="18">
        <v>4.7</v>
      </c>
      <c r="K1385" s="18">
        <v>4.5999999999999996</v>
      </c>
      <c r="L1385" s="22">
        <v>2</v>
      </c>
    </row>
    <row r="1386" spans="1:12">
      <c r="A1386">
        <v>2</v>
      </c>
      <c r="B1386" s="16" t="s">
        <v>56</v>
      </c>
      <c r="C1386" s="9">
        <v>46204</v>
      </c>
      <c r="D1386">
        <v>21</v>
      </c>
      <c r="E1386" s="16" t="s">
        <v>109</v>
      </c>
      <c r="F1386" s="16" t="s">
        <v>83</v>
      </c>
      <c r="G1386" s="22">
        <v>10</v>
      </c>
      <c r="H1386" s="18">
        <v>46.2</v>
      </c>
      <c r="I1386" s="18">
        <v>4.62</v>
      </c>
      <c r="J1386" s="18">
        <v>4.68</v>
      </c>
      <c r="K1386" s="18">
        <v>4.5599999999999996</v>
      </c>
      <c r="L1386" s="22">
        <v>2</v>
      </c>
    </row>
    <row r="1387" spans="1:12">
      <c r="A1387">
        <v>2</v>
      </c>
      <c r="B1387" s="16" t="s">
        <v>56</v>
      </c>
      <c r="C1387" s="9">
        <v>46235</v>
      </c>
      <c r="D1387">
        <v>21</v>
      </c>
      <c r="E1387" s="16" t="s">
        <v>109</v>
      </c>
      <c r="F1387" s="16" t="s">
        <v>83</v>
      </c>
      <c r="G1387" s="22">
        <v>10</v>
      </c>
      <c r="H1387" s="18">
        <v>45.75</v>
      </c>
      <c r="I1387" s="18">
        <v>4.5750000000000002</v>
      </c>
      <c r="J1387" s="18">
        <v>4.7</v>
      </c>
      <c r="K1387" s="18">
        <v>4.45</v>
      </c>
      <c r="L1387" s="22">
        <v>2</v>
      </c>
    </row>
    <row r="1388" spans="1:12">
      <c r="A1388">
        <v>2</v>
      </c>
      <c r="B1388" s="16" t="s">
        <v>56</v>
      </c>
      <c r="C1388" s="9">
        <v>46266</v>
      </c>
      <c r="D1388">
        <v>21</v>
      </c>
      <c r="E1388" s="16" t="s">
        <v>109</v>
      </c>
      <c r="F1388" s="16" t="s">
        <v>83</v>
      </c>
      <c r="G1388" s="22">
        <v>5</v>
      </c>
      <c r="H1388" s="18">
        <v>22.15</v>
      </c>
      <c r="I1388" s="18">
        <v>4.43</v>
      </c>
      <c r="J1388" s="18">
        <v>4.43</v>
      </c>
      <c r="K1388" s="18">
        <v>4.43</v>
      </c>
      <c r="L1388" s="22">
        <v>1</v>
      </c>
    </row>
    <row r="1389" spans="1:12">
      <c r="A1389">
        <v>2</v>
      </c>
      <c r="B1389" s="16" t="s">
        <v>56</v>
      </c>
      <c r="C1389" s="9">
        <v>45689</v>
      </c>
      <c r="D1389">
        <v>22</v>
      </c>
      <c r="E1389" s="16" t="s">
        <v>110</v>
      </c>
      <c r="F1389" s="16" t="s">
        <v>90</v>
      </c>
      <c r="G1389" s="22">
        <v>55</v>
      </c>
      <c r="H1389" s="18">
        <v>215.32499999999999</v>
      </c>
      <c r="I1389" s="18">
        <v>3.915</v>
      </c>
      <c r="J1389" s="18">
        <v>4.04</v>
      </c>
      <c r="K1389" s="18">
        <v>3.79</v>
      </c>
      <c r="L1389" s="22">
        <v>2</v>
      </c>
    </row>
    <row r="1390" spans="1:12">
      <c r="A1390">
        <v>2</v>
      </c>
      <c r="B1390" s="16" t="s">
        <v>56</v>
      </c>
      <c r="C1390" s="9">
        <v>45717</v>
      </c>
      <c r="D1390">
        <v>22</v>
      </c>
      <c r="E1390" s="16" t="s">
        <v>110</v>
      </c>
      <c r="F1390" s="16" t="s">
        <v>90</v>
      </c>
      <c r="G1390" s="22">
        <v>47.5</v>
      </c>
      <c r="H1390" s="18">
        <v>183.45</v>
      </c>
      <c r="I1390" s="18">
        <v>3.8621052630000001</v>
      </c>
      <c r="J1390" s="18">
        <v>3.9</v>
      </c>
      <c r="K1390" s="18">
        <v>3.81</v>
      </c>
      <c r="L1390" s="22">
        <v>2</v>
      </c>
    </row>
    <row r="1391" spans="1:12">
      <c r="A1391">
        <v>2</v>
      </c>
      <c r="B1391" s="16" t="s">
        <v>56</v>
      </c>
      <c r="C1391" s="9">
        <v>45748</v>
      </c>
      <c r="D1391">
        <v>22</v>
      </c>
      <c r="E1391" s="16" t="s">
        <v>110</v>
      </c>
      <c r="F1391" s="16" t="s">
        <v>90</v>
      </c>
      <c r="G1391" s="22">
        <v>42.5</v>
      </c>
      <c r="H1391" s="18">
        <v>164.375</v>
      </c>
      <c r="I1391" s="18">
        <v>3.8676470589999998</v>
      </c>
      <c r="J1391" s="18">
        <v>3.91</v>
      </c>
      <c r="K1391" s="18">
        <v>3.82</v>
      </c>
      <c r="L1391" s="22">
        <v>2</v>
      </c>
    </row>
    <row r="1392" spans="1:12">
      <c r="A1392">
        <v>2</v>
      </c>
      <c r="B1392" s="16" t="s">
        <v>56</v>
      </c>
      <c r="C1392" s="9">
        <v>45778</v>
      </c>
      <c r="D1392">
        <v>22</v>
      </c>
      <c r="E1392" s="16" t="s">
        <v>110</v>
      </c>
      <c r="F1392" s="16" t="s">
        <v>90</v>
      </c>
      <c r="G1392" s="22">
        <v>42.5</v>
      </c>
      <c r="H1392" s="18">
        <v>169.25</v>
      </c>
      <c r="I1392" s="18">
        <v>3.9823529409999998</v>
      </c>
      <c r="J1392" s="18">
        <v>4</v>
      </c>
      <c r="K1392" s="18">
        <v>3.97</v>
      </c>
      <c r="L1392" s="22">
        <v>2</v>
      </c>
    </row>
    <row r="1393" spans="1:12">
      <c r="A1393">
        <v>2</v>
      </c>
      <c r="B1393" s="16" t="s">
        <v>56</v>
      </c>
      <c r="C1393" s="9">
        <v>45809</v>
      </c>
      <c r="D1393">
        <v>22</v>
      </c>
      <c r="E1393" s="16" t="s">
        <v>110</v>
      </c>
      <c r="F1393" s="16" t="s">
        <v>90</v>
      </c>
      <c r="G1393" s="22">
        <v>32.5</v>
      </c>
      <c r="H1393" s="18">
        <v>128.22499999999999</v>
      </c>
      <c r="I1393" s="18">
        <v>3.945384615</v>
      </c>
      <c r="J1393" s="18">
        <v>4.01</v>
      </c>
      <c r="K1393" s="18">
        <v>3.87</v>
      </c>
      <c r="L1393" s="22">
        <v>2</v>
      </c>
    </row>
    <row r="1394" spans="1:12">
      <c r="A1394">
        <v>2</v>
      </c>
      <c r="B1394" s="16" t="s">
        <v>56</v>
      </c>
      <c r="C1394" s="9">
        <v>45839</v>
      </c>
      <c r="D1394">
        <v>22</v>
      </c>
      <c r="E1394" s="16" t="s">
        <v>110</v>
      </c>
      <c r="F1394" s="16" t="s">
        <v>90</v>
      </c>
      <c r="G1394" s="22">
        <v>40</v>
      </c>
      <c r="H1394" s="18">
        <v>156.77500000000001</v>
      </c>
      <c r="I1394" s="18">
        <v>3.9193750000000001</v>
      </c>
      <c r="J1394" s="18">
        <v>3.96</v>
      </c>
      <c r="K1394" s="18">
        <v>3.89</v>
      </c>
      <c r="L1394" s="22">
        <v>3</v>
      </c>
    </row>
    <row r="1395" spans="1:12">
      <c r="A1395">
        <v>2</v>
      </c>
      <c r="B1395" s="16" t="s">
        <v>56</v>
      </c>
      <c r="C1395" s="9">
        <v>45870</v>
      </c>
      <c r="D1395">
        <v>22</v>
      </c>
      <c r="E1395" s="16" t="s">
        <v>110</v>
      </c>
      <c r="F1395" s="16" t="s">
        <v>90</v>
      </c>
      <c r="G1395" s="22">
        <v>30</v>
      </c>
      <c r="H1395" s="18">
        <v>115.85</v>
      </c>
      <c r="I1395" s="18">
        <v>3.8616666670000002</v>
      </c>
      <c r="J1395" s="18">
        <v>3.92</v>
      </c>
      <c r="K1395" s="18">
        <v>3.82</v>
      </c>
      <c r="L1395" s="22">
        <v>2</v>
      </c>
    </row>
    <row r="1396" spans="1:12">
      <c r="A1396">
        <v>2</v>
      </c>
      <c r="B1396" s="16" t="s">
        <v>56</v>
      </c>
      <c r="C1396" s="9">
        <v>45901</v>
      </c>
      <c r="D1396">
        <v>22</v>
      </c>
      <c r="E1396" s="16" t="s">
        <v>110</v>
      </c>
      <c r="F1396" s="16" t="s">
        <v>90</v>
      </c>
      <c r="G1396" s="22">
        <v>42.5</v>
      </c>
      <c r="H1396" s="18">
        <v>165.1</v>
      </c>
      <c r="I1396" s="18">
        <v>3.884705882</v>
      </c>
      <c r="J1396" s="18">
        <v>3.89</v>
      </c>
      <c r="K1396" s="18">
        <v>3.88</v>
      </c>
      <c r="L1396" s="22">
        <v>2</v>
      </c>
    </row>
    <row r="1397" spans="1:12">
      <c r="A1397">
        <v>2</v>
      </c>
      <c r="B1397" s="16" t="s">
        <v>56</v>
      </c>
      <c r="C1397" s="9">
        <v>45931</v>
      </c>
      <c r="D1397">
        <v>22</v>
      </c>
      <c r="E1397" s="16" t="s">
        <v>110</v>
      </c>
      <c r="F1397" s="16" t="s">
        <v>90</v>
      </c>
      <c r="G1397" s="22">
        <v>47.5</v>
      </c>
      <c r="H1397" s="18">
        <v>184.3</v>
      </c>
      <c r="I1397" s="18">
        <v>3.88</v>
      </c>
      <c r="J1397" s="18">
        <v>3.88</v>
      </c>
      <c r="K1397" s="18">
        <v>3.88</v>
      </c>
      <c r="L1397" s="22">
        <v>2</v>
      </c>
    </row>
    <row r="1398" spans="1:12">
      <c r="A1398">
        <v>2</v>
      </c>
      <c r="B1398" s="16" t="s">
        <v>56</v>
      </c>
      <c r="C1398" s="9">
        <v>45962</v>
      </c>
      <c r="D1398">
        <v>22</v>
      </c>
      <c r="E1398" s="16" t="s">
        <v>110</v>
      </c>
      <c r="F1398" s="16" t="s">
        <v>90</v>
      </c>
      <c r="G1398" s="22">
        <v>47.5</v>
      </c>
      <c r="H1398" s="18">
        <v>183.4</v>
      </c>
      <c r="I1398" s="18">
        <v>3.8610526319999998</v>
      </c>
      <c r="J1398" s="18">
        <v>3.88</v>
      </c>
      <c r="K1398" s="18">
        <v>3.84</v>
      </c>
      <c r="L1398" s="22">
        <v>2</v>
      </c>
    </row>
    <row r="1399" spans="1:12">
      <c r="A1399">
        <v>2</v>
      </c>
      <c r="B1399" s="16" t="s">
        <v>56</v>
      </c>
      <c r="C1399" s="9">
        <v>45992</v>
      </c>
      <c r="D1399">
        <v>22</v>
      </c>
      <c r="E1399" s="16" t="s">
        <v>110</v>
      </c>
      <c r="F1399" s="16" t="s">
        <v>90</v>
      </c>
      <c r="G1399" s="22">
        <v>62.5</v>
      </c>
      <c r="H1399" s="18">
        <v>237.8</v>
      </c>
      <c r="I1399" s="18">
        <v>3.8048000000000002</v>
      </c>
      <c r="J1399" s="18">
        <v>3.81</v>
      </c>
      <c r="K1399" s="18">
        <v>3.8</v>
      </c>
      <c r="L1399" s="22">
        <v>2</v>
      </c>
    </row>
    <row r="1400" spans="1:12">
      <c r="A1400">
        <v>2</v>
      </c>
      <c r="B1400" s="16" t="s">
        <v>56</v>
      </c>
      <c r="C1400" s="9">
        <v>46023</v>
      </c>
      <c r="D1400">
        <v>22</v>
      </c>
      <c r="E1400" s="16" t="s">
        <v>110</v>
      </c>
      <c r="F1400" s="16" t="s">
        <v>90</v>
      </c>
      <c r="G1400" s="22">
        <v>60</v>
      </c>
      <c r="H1400" s="18">
        <v>229.35</v>
      </c>
      <c r="I1400" s="18">
        <v>3.8224999999999998</v>
      </c>
      <c r="J1400" s="18">
        <v>3.84</v>
      </c>
      <c r="K1400" s="18">
        <v>3.78</v>
      </c>
      <c r="L1400" s="22">
        <v>3</v>
      </c>
    </row>
    <row r="1401" spans="1:12">
      <c r="A1401">
        <v>2</v>
      </c>
      <c r="B1401" s="16" t="s">
        <v>56</v>
      </c>
      <c r="C1401" s="9">
        <v>46054</v>
      </c>
      <c r="D1401">
        <v>22</v>
      </c>
      <c r="E1401" s="16" t="s">
        <v>110</v>
      </c>
      <c r="F1401" s="16" t="s">
        <v>90</v>
      </c>
      <c r="G1401" s="22">
        <v>45</v>
      </c>
      <c r="H1401" s="18">
        <v>173.25</v>
      </c>
      <c r="I1401" s="18">
        <v>3.85</v>
      </c>
      <c r="J1401" s="18">
        <v>3.86</v>
      </c>
      <c r="K1401" s="18">
        <v>3.84</v>
      </c>
      <c r="L1401" s="22">
        <v>2</v>
      </c>
    </row>
    <row r="1402" spans="1:12">
      <c r="A1402">
        <v>2</v>
      </c>
      <c r="B1402" s="16" t="s">
        <v>56</v>
      </c>
      <c r="C1402" s="9">
        <v>46082</v>
      </c>
      <c r="D1402">
        <v>22</v>
      </c>
      <c r="E1402" s="16" t="s">
        <v>110</v>
      </c>
      <c r="F1402" s="16" t="s">
        <v>90</v>
      </c>
      <c r="G1402" s="22">
        <v>55</v>
      </c>
      <c r="H1402" s="18">
        <v>211</v>
      </c>
      <c r="I1402" s="18">
        <v>3.8363636360000002</v>
      </c>
      <c r="J1402" s="18">
        <v>3.85</v>
      </c>
      <c r="K1402" s="18">
        <v>3.82</v>
      </c>
      <c r="L1402" s="22">
        <v>2</v>
      </c>
    </row>
    <row r="1403" spans="1:12">
      <c r="A1403">
        <v>2</v>
      </c>
      <c r="B1403" s="16" t="s">
        <v>56</v>
      </c>
      <c r="C1403" s="9">
        <v>46113</v>
      </c>
      <c r="D1403">
        <v>22</v>
      </c>
      <c r="E1403" s="16" t="s">
        <v>110</v>
      </c>
      <c r="F1403" s="16" t="s">
        <v>90</v>
      </c>
      <c r="G1403" s="22">
        <v>42.5</v>
      </c>
      <c r="H1403" s="18">
        <v>160.625</v>
      </c>
      <c r="I1403" s="18">
        <v>3.7794117649999999</v>
      </c>
      <c r="J1403" s="18">
        <v>3.8</v>
      </c>
      <c r="K1403" s="18">
        <v>3.75</v>
      </c>
      <c r="L1403" s="22">
        <v>2</v>
      </c>
    </row>
    <row r="1404" spans="1:12">
      <c r="A1404">
        <v>2</v>
      </c>
      <c r="B1404" s="16" t="s">
        <v>56</v>
      </c>
      <c r="C1404" s="9">
        <v>46143</v>
      </c>
      <c r="D1404">
        <v>22</v>
      </c>
      <c r="E1404" s="16" t="s">
        <v>110</v>
      </c>
      <c r="F1404" s="16" t="s">
        <v>90</v>
      </c>
      <c r="G1404" s="22">
        <v>42.5</v>
      </c>
      <c r="H1404" s="18">
        <v>162.1</v>
      </c>
      <c r="I1404" s="18">
        <v>3.8141176469999998</v>
      </c>
      <c r="J1404" s="18">
        <v>3.83</v>
      </c>
      <c r="K1404" s="18">
        <v>3.8</v>
      </c>
      <c r="L1404" s="22">
        <v>2</v>
      </c>
    </row>
    <row r="1405" spans="1:12">
      <c r="A1405">
        <v>2</v>
      </c>
      <c r="B1405" s="16" t="s">
        <v>56</v>
      </c>
      <c r="C1405" s="9">
        <v>46174</v>
      </c>
      <c r="D1405">
        <v>22</v>
      </c>
      <c r="E1405" s="16" t="s">
        <v>110</v>
      </c>
      <c r="F1405" s="16" t="s">
        <v>90</v>
      </c>
      <c r="G1405" s="22">
        <v>37.5</v>
      </c>
      <c r="H1405" s="18">
        <v>143.25</v>
      </c>
      <c r="I1405" s="18">
        <v>3.82</v>
      </c>
      <c r="J1405" s="18">
        <v>3.82</v>
      </c>
      <c r="K1405" s="18">
        <v>3.82</v>
      </c>
      <c r="L1405" s="22">
        <v>2</v>
      </c>
    </row>
    <row r="1406" spans="1:12">
      <c r="A1406">
        <v>2</v>
      </c>
      <c r="B1406" s="16" t="s">
        <v>56</v>
      </c>
      <c r="C1406" s="9">
        <v>46204</v>
      </c>
      <c r="D1406">
        <v>22</v>
      </c>
      <c r="E1406" s="16" t="s">
        <v>110</v>
      </c>
      <c r="F1406" s="16" t="s">
        <v>90</v>
      </c>
      <c r="G1406" s="22">
        <v>52.5</v>
      </c>
      <c r="H1406" s="18">
        <v>200.97499999999999</v>
      </c>
      <c r="I1406" s="18">
        <v>3.828095238</v>
      </c>
      <c r="J1406" s="18">
        <v>3.87</v>
      </c>
      <c r="K1406" s="18">
        <v>3.76</v>
      </c>
      <c r="L1406" s="22">
        <v>3</v>
      </c>
    </row>
    <row r="1407" spans="1:12">
      <c r="A1407">
        <v>2</v>
      </c>
      <c r="B1407" s="16" t="s">
        <v>56</v>
      </c>
      <c r="C1407" s="9">
        <v>46235</v>
      </c>
      <c r="D1407">
        <v>22</v>
      </c>
      <c r="E1407" s="16" t="s">
        <v>110</v>
      </c>
      <c r="F1407" s="16" t="s">
        <v>90</v>
      </c>
      <c r="G1407" s="22">
        <v>32.5</v>
      </c>
      <c r="H1407" s="18">
        <v>125.075</v>
      </c>
      <c r="I1407" s="18">
        <v>3.848461538</v>
      </c>
      <c r="J1407" s="18">
        <v>3.89</v>
      </c>
      <c r="K1407" s="18">
        <v>3.8</v>
      </c>
      <c r="L1407" s="22">
        <v>2</v>
      </c>
    </row>
    <row r="1408" spans="1:12">
      <c r="A1408">
        <v>2</v>
      </c>
      <c r="B1408" s="16" t="s">
        <v>56</v>
      </c>
      <c r="C1408" s="9">
        <v>46266</v>
      </c>
      <c r="D1408">
        <v>22</v>
      </c>
      <c r="E1408" s="16" t="s">
        <v>110</v>
      </c>
      <c r="F1408" s="16" t="s">
        <v>90</v>
      </c>
      <c r="G1408" s="22">
        <v>37.5</v>
      </c>
      <c r="H1408" s="18">
        <v>144.02500000000001</v>
      </c>
      <c r="I1408" s="18">
        <v>3.8406666669999998</v>
      </c>
      <c r="J1408" s="18">
        <v>3.85</v>
      </c>
      <c r="K1408" s="18">
        <v>3.83</v>
      </c>
      <c r="L1408" s="22">
        <v>2</v>
      </c>
    </row>
    <row r="1409" spans="1:12">
      <c r="A1409">
        <v>2</v>
      </c>
      <c r="B1409" s="16" t="s">
        <v>56</v>
      </c>
      <c r="C1409" s="9">
        <v>45689</v>
      </c>
      <c r="D1409">
        <v>23</v>
      </c>
      <c r="E1409" s="16" t="s">
        <v>111</v>
      </c>
      <c r="F1409" s="16" t="s">
        <v>92</v>
      </c>
      <c r="G1409" s="22">
        <v>48</v>
      </c>
      <c r="H1409" s="18">
        <v>226.68</v>
      </c>
      <c r="I1409" s="18">
        <v>4.7225000000000001</v>
      </c>
      <c r="J1409" s="18">
        <v>4.78</v>
      </c>
      <c r="K1409" s="18">
        <v>4.67</v>
      </c>
      <c r="L1409" s="22">
        <v>8</v>
      </c>
    </row>
    <row r="1410" spans="1:12">
      <c r="A1410">
        <v>2</v>
      </c>
      <c r="B1410" s="16" t="s">
        <v>56</v>
      </c>
      <c r="C1410" s="9">
        <v>45717</v>
      </c>
      <c r="D1410">
        <v>23</v>
      </c>
      <c r="E1410" s="16" t="s">
        <v>111</v>
      </c>
      <c r="F1410" s="16" t="s">
        <v>92</v>
      </c>
      <c r="G1410" s="22">
        <v>58</v>
      </c>
      <c r="H1410" s="18">
        <v>255.6</v>
      </c>
      <c r="I1410" s="18">
        <v>4.4068965520000001</v>
      </c>
      <c r="J1410" s="18">
        <v>4.4800000000000004</v>
      </c>
      <c r="K1410" s="18">
        <v>4.33</v>
      </c>
      <c r="L1410" s="22">
        <v>9</v>
      </c>
    </row>
    <row r="1411" spans="1:12">
      <c r="A1411">
        <v>2</v>
      </c>
      <c r="B1411" s="16" t="s">
        <v>56</v>
      </c>
      <c r="C1411" s="9">
        <v>45748</v>
      </c>
      <c r="D1411">
        <v>23</v>
      </c>
      <c r="E1411" s="16" t="s">
        <v>111</v>
      </c>
      <c r="F1411" s="16" t="s">
        <v>92</v>
      </c>
      <c r="G1411" s="22">
        <v>60</v>
      </c>
      <c r="H1411" s="18">
        <v>236.7</v>
      </c>
      <c r="I1411" s="18">
        <v>3.9449999999999998</v>
      </c>
      <c r="J1411" s="18">
        <v>4.04</v>
      </c>
      <c r="K1411" s="18">
        <v>3.86</v>
      </c>
      <c r="L1411" s="22">
        <v>8</v>
      </c>
    </row>
    <row r="1412" spans="1:12">
      <c r="A1412">
        <v>2</v>
      </c>
      <c r="B1412" s="16" t="s">
        <v>56</v>
      </c>
      <c r="C1412" s="9">
        <v>45778</v>
      </c>
      <c r="D1412">
        <v>23</v>
      </c>
      <c r="E1412" s="16" t="s">
        <v>111</v>
      </c>
      <c r="F1412" s="16" t="s">
        <v>92</v>
      </c>
      <c r="G1412" s="22">
        <v>72</v>
      </c>
      <c r="H1412" s="18">
        <v>246.24</v>
      </c>
      <c r="I1412" s="18">
        <v>3.42</v>
      </c>
      <c r="J1412" s="18">
        <v>3.52</v>
      </c>
      <c r="K1412" s="18">
        <v>3.34</v>
      </c>
      <c r="L1412" s="22">
        <v>9</v>
      </c>
    </row>
    <row r="1413" spans="1:12">
      <c r="A1413">
        <v>2</v>
      </c>
      <c r="B1413" s="16" t="s">
        <v>56</v>
      </c>
      <c r="C1413" s="9">
        <v>45809</v>
      </c>
      <c r="D1413">
        <v>23</v>
      </c>
      <c r="E1413" s="16" t="s">
        <v>111</v>
      </c>
      <c r="F1413" s="16" t="s">
        <v>92</v>
      </c>
      <c r="G1413" s="22">
        <v>54</v>
      </c>
      <c r="H1413" s="18">
        <v>164.94</v>
      </c>
      <c r="I1413" s="18">
        <v>3.054444444</v>
      </c>
      <c r="J1413" s="18">
        <v>3.12</v>
      </c>
      <c r="K1413" s="18">
        <v>3.01</v>
      </c>
      <c r="L1413" s="22">
        <v>9</v>
      </c>
    </row>
    <row r="1414" spans="1:12">
      <c r="A1414">
        <v>2</v>
      </c>
      <c r="B1414" s="16" t="s">
        <v>56</v>
      </c>
      <c r="C1414" s="9">
        <v>45839</v>
      </c>
      <c r="D1414">
        <v>23</v>
      </c>
      <c r="E1414" s="16" t="s">
        <v>111</v>
      </c>
      <c r="F1414" s="16" t="s">
        <v>92</v>
      </c>
      <c r="G1414" s="22">
        <v>24</v>
      </c>
      <c r="H1414" s="18">
        <v>70.8</v>
      </c>
      <c r="I1414" s="18">
        <v>2.95</v>
      </c>
      <c r="J1414" s="18">
        <v>3.04</v>
      </c>
      <c r="K1414" s="18">
        <v>2.91</v>
      </c>
      <c r="L1414" s="22">
        <v>5</v>
      </c>
    </row>
    <row r="1415" spans="1:12">
      <c r="A1415">
        <v>2</v>
      </c>
      <c r="B1415" s="16" t="s">
        <v>56</v>
      </c>
      <c r="C1415" s="9">
        <v>45689</v>
      </c>
      <c r="D1415">
        <v>26</v>
      </c>
      <c r="E1415" s="16" t="s">
        <v>115</v>
      </c>
      <c r="F1415" s="16" t="s">
        <v>90</v>
      </c>
      <c r="G1415" s="22">
        <v>1.25</v>
      </c>
      <c r="H1415" s="18">
        <v>8.2750000000000004</v>
      </c>
      <c r="I1415" s="18">
        <v>6.62</v>
      </c>
      <c r="J1415" s="18">
        <v>6.62</v>
      </c>
      <c r="K1415" s="18">
        <v>6.62</v>
      </c>
      <c r="L1415" s="22">
        <v>1</v>
      </c>
    </row>
    <row r="1416" spans="1:12">
      <c r="A1416">
        <v>2</v>
      </c>
      <c r="B1416" s="16" t="s">
        <v>56</v>
      </c>
      <c r="C1416" s="9">
        <v>45717</v>
      </c>
      <c r="D1416">
        <v>26</v>
      </c>
      <c r="E1416" s="16" t="s">
        <v>115</v>
      </c>
      <c r="F1416" s="16" t="s">
        <v>90</v>
      </c>
      <c r="G1416" s="22">
        <v>1.25</v>
      </c>
      <c r="H1416" s="18">
        <v>8.2125000000000004</v>
      </c>
      <c r="I1416" s="18">
        <v>6.57</v>
      </c>
      <c r="J1416" s="18">
        <v>6.57</v>
      </c>
      <c r="K1416" s="18">
        <v>6.57</v>
      </c>
      <c r="L1416" s="22">
        <v>1</v>
      </c>
    </row>
    <row r="1417" spans="1:12">
      <c r="A1417">
        <v>2</v>
      </c>
      <c r="B1417" s="16" t="s">
        <v>56</v>
      </c>
      <c r="C1417" s="9">
        <v>45748</v>
      </c>
      <c r="D1417">
        <v>26</v>
      </c>
      <c r="E1417" s="16" t="s">
        <v>115</v>
      </c>
      <c r="F1417" s="16" t="s">
        <v>90</v>
      </c>
      <c r="G1417" s="22">
        <v>1.25</v>
      </c>
      <c r="H1417" s="18">
        <v>8.3375000000000004</v>
      </c>
      <c r="I1417" s="18">
        <v>6.67</v>
      </c>
      <c r="J1417" s="18">
        <v>6.67</v>
      </c>
      <c r="K1417" s="18">
        <v>6.67</v>
      </c>
      <c r="L1417" s="22">
        <v>1</v>
      </c>
    </row>
    <row r="1418" spans="1:12">
      <c r="A1418">
        <v>2</v>
      </c>
      <c r="B1418" s="16" t="s">
        <v>56</v>
      </c>
      <c r="C1418" s="9">
        <v>45778</v>
      </c>
      <c r="D1418">
        <v>26</v>
      </c>
      <c r="E1418" s="16" t="s">
        <v>115</v>
      </c>
      <c r="F1418" s="16" t="s">
        <v>90</v>
      </c>
      <c r="G1418" s="22">
        <v>1.25</v>
      </c>
      <c r="H1418" s="18">
        <v>8.4124999999999996</v>
      </c>
      <c r="I1418" s="18">
        <v>6.73</v>
      </c>
      <c r="J1418" s="18">
        <v>6.73</v>
      </c>
      <c r="K1418" s="18">
        <v>6.73</v>
      </c>
      <c r="L1418" s="22">
        <v>1</v>
      </c>
    </row>
    <row r="1419" spans="1:12">
      <c r="A1419">
        <v>2</v>
      </c>
      <c r="B1419" s="16" t="s">
        <v>56</v>
      </c>
      <c r="C1419" s="9">
        <v>45809</v>
      </c>
      <c r="D1419">
        <v>26</v>
      </c>
      <c r="E1419" s="16" t="s">
        <v>115</v>
      </c>
      <c r="F1419" s="16" t="s">
        <v>90</v>
      </c>
      <c r="G1419" s="22">
        <v>1.25</v>
      </c>
      <c r="H1419" s="18">
        <v>8.3249999999999993</v>
      </c>
      <c r="I1419" s="18">
        <v>6.66</v>
      </c>
      <c r="J1419" s="18">
        <v>6.66</v>
      </c>
      <c r="K1419" s="18">
        <v>6.66</v>
      </c>
      <c r="L1419" s="22">
        <v>1</v>
      </c>
    </row>
    <row r="1420" spans="1:12">
      <c r="A1420">
        <v>2</v>
      </c>
      <c r="B1420" s="16" t="s">
        <v>56</v>
      </c>
      <c r="C1420" s="9">
        <v>45839</v>
      </c>
      <c r="D1420">
        <v>26</v>
      </c>
      <c r="E1420" s="16" t="s">
        <v>115</v>
      </c>
      <c r="F1420" s="16" t="s">
        <v>90</v>
      </c>
      <c r="G1420" s="22">
        <v>1.25</v>
      </c>
      <c r="H1420" s="18">
        <v>8.3249999999999993</v>
      </c>
      <c r="I1420" s="18">
        <v>6.66</v>
      </c>
      <c r="J1420" s="18">
        <v>6.66</v>
      </c>
      <c r="K1420" s="18">
        <v>6.66</v>
      </c>
      <c r="L1420" s="22">
        <v>1</v>
      </c>
    </row>
    <row r="1421" spans="1:12">
      <c r="A1421">
        <v>2</v>
      </c>
      <c r="B1421" s="16" t="s">
        <v>56</v>
      </c>
      <c r="C1421" s="9">
        <v>45870</v>
      </c>
      <c r="D1421">
        <v>26</v>
      </c>
      <c r="E1421" s="16" t="s">
        <v>115</v>
      </c>
      <c r="F1421" s="16" t="s">
        <v>90</v>
      </c>
      <c r="G1421" s="22">
        <v>1.25</v>
      </c>
      <c r="H1421" s="18">
        <v>8.2249999999999996</v>
      </c>
      <c r="I1421" s="18">
        <v>6.58</v>
      </c>
      <c r="J1421" s="18">
        <v>6.58</v>
      </c>
      <c r="K1421" s="18">
        <v>6.58</v>
      </c>
      <c r="L1421" s="22">
        <v>1</v>
      </c>
    </row>
    <row r="1422" spans="1:12">
      <c r="A1422">
        <v>2</v>
      </c>
      <c r="B1422" s="16" t="s">
        <v>56</v>
      </c>
      <c r="C1422" s="9">
        <v>45931</v>
      </c>
      <c r="D1422">
        <v>26</v>
      </c>
      <c r="E1422" s="16" t="s">
        <v>115</v>
      </c>
      <c r="F1422" s="16" t="s">
        <v>90</v>
      </c>
      <c r="G1422" s="22">
        <v>1.25</v>
      </c>
      <c r="H1422" s="18">
        <v>8.4875000000000007</v>
      </c>
      <c r="I1422" s="18">
        <v>6.79</v>
      </c>
      <c r="J1422" s="18">
        <v>6.79</v>
      </c>
      <c r="K1422" s="18">
        <v>6.79</v>
      </c>
      <c r="L1422" s="22">
        <v>1</v>
      </c>
    </row>
    <row r="1423" spans="1:12">
      <c r="A1423">
        <v>2</v>
      </c>
      <c r="B1423" s="16" t="s">
        <v>56</v>
      </c>
      <c r="C1423" s="9">
        <v>45962</v>
      </c>
      <c r="D1423">
        <v>26</v>
      </c>
      <c r="E1423" s="16" t="s">
        <v>115</v>
      </c>
      <c r="F1423" s="16" t="s">
        <v>90</v>
      </c>
      <c r="G1423" s="22">
        <v>1.25</v>
      </c>
      <c r="H1423" s="18">
        <v>8.4375</v>
      </c>
      <c r="I1423" s="18">
        <v>6.75</v>
      </c>
      <c r="J1423" s="18">
        <v>6.75</v>
      </c>
      <c r="K1423" s="18">
        <v>6.75</v>
      </c>
      <c r="L1423" s="22">
        <v>1</v>
      </c>
    </row>
    <row r="1424" spans="1:12">
      <c r="A1424">
        <v>2</v>
      </c>
      <c r="B1424" s="16" t="s">
        <v>56</v>
      </c>
      <c r="C1424" s="9">
        <v>45992</v>
      </c>
      <c r="D1424">
        <v>26</v>
      </c>
      <c r="E1424" s="16" t="s">
        <v>115</v>
      </c>
      <c r="F1424" s="16" t="s">
        <v>90</v>
      </c>
      <c r="G1424" s="22">
        <v>2.5</v>
      </c>
      <c r="H1424" s="18">
        <v>16.862500000000001</v>
      </c>
      <c r="I1424" s="18">
        <v>6.7450000000000001</v>
      </c>
      <c r="J1424" s="18">
        <v>6.76</v>
      </c>
      <c r="K1424" s="18">
        <v>6.73</v>
      </c>
      <c r="L1424" s="22">
        <v>2</v>
      </c>
    </row>
    <row r="1425" spans="1:12">
      <c r="A1425">
        <v>2</v>
      </c>
      <c r="B1425" s="16" t="s">
        <v>56</v>
      </c>
      <c r="C1425" s="9">
        <v>46023</v>
      </c>
      <c r="D1425">
        <v>26</v>
      </c>
      <c r="E1425" s="16" t="s">
        <v>115</v>
      </c>
      <c r="F1425" s="16" t="s">
        <v>90</v>
      </c>
      <c r="G1425" s="22">
        <v>1.25</v>
      </c>
      <c r="H1425" s="18">
        <v>8.3625000000000007</v>
      </c>
      <c r="I1425" s="18">
        <v>6.69</v>
      </c>
      <c r="J1425" s="18">
        <v>6.69</v>
      </c>
      <c r="K1425" s="18">
        <v>6.69</v>
      </c>
      <c r="L1425" s="22">
        <v>1</v>
      </c>
    </row>
    <row r="1426" spans="1:12">
      <c r="A1426">
        <v>2</v>
      </c>
      <c r="B1426" s="16" t="s">
        <v>56</v>
      </c>
      <c r="C1426" s="9">
        <v>46054</v>
      </c>
      <c r="D1426">
        <v>26</v>
      </c>
      <c r="E1426" s="16" t="s">
        <v>115</v>
      </c>
      <c r="F1426" s="16" t="s">
        <v>90</v>
      </c>
      <c r="G1426" s="22">
        <v>1.25</v>
      </c>
      <c r="H1426" s="18">
        <v>8.4375</v>
      </c>
      <c r="I1426" s="18">
        <v>6.75</v>
      </c>
      <c r="J1426" s="18">
        <v>6.75</v>
      </c>
      <c r="K1426" s="18">
        <v>6.75</v>
      </c>
      <c r="L1426" s="22">
        <v>1</v>
      </c>
    </row>
    <row r="1427" spans="1:12">
      <c r="A1427">
        <v>2</v>
      </c>
      <c r="B1427" s="16" t="s">
        <v>56</v>
      </c>
      <c r="C1427" s="9">
        <v>46082</v>
      </c>
      <c r="D1427">
        <v>26</v>
      </c>
      <c r="E1427" s="16" t="s">
        <v>115</v>
      </c>
      <c r="F1427" s="16" t="s">
        <v>90</v>
      </c>
      <c r="G1427" s="22">
        <v>1.25</v>
      </c>
      <c r="H1427" s="18">
        <v>8.2375000000000007</v>
      </c>
      <c r="I1427" s="18">
        <v>6.59</v>
      </c>
      <c r="J1427" s="18">
        <v>6.59</v>
      </c>
      <c r="K1427" s="18">
        <v>6.59</v>
      </c>
      <c r="L1427" s="22">
        <v>1</v>
      </c>
    </row>
    <row r="1428" spans="1:12">
      <c r="A1428">
        <v>2</v>
      </c>
      <c r="B1428" s="16" t="s">
        <v>56</v>
      </c>
      <c r="C1428" s="9">
        <v>46143</v>
      </c>
      <c r="D1428">
        <v>26</v>
      </c>
      <c r="E1428" s="16" t="s">
        <v>115</v>
      </c>
      <c r="F1428" s="16" t="s">
        <v>90</v>
      </c>
      <c r="G1428" s="22">
        <v>1.25</v>
      </c>
      <c r="H1428" s="18">
        <v>8.25</v>
      </c>
      <c r="I1428" s="18">
        <v>6.6</v>
      </c>
      <c r="J1428" s="18">
        <v>6.6</v>
      </c>
      <c r="K1428" s="18">
        <v>6.6</v>
      </c>
      <c r="L1428" s="22">
        <v>1</v>
      </c>
    </row>
    <row r="1429" spans="1:12">
      <c r="A1429">
        <v>2</v>
      </c>
      <c r="B1429" s="16" t="s">
        <v>56</v>
      </c>
      <c r="C1429" s="9">
        <v>46174</v>
      </c>
      <c r="D1429">
        <v>26</v>
      </c>
      <c r="E1429" s="16" t="s">
        <v>115</v>
      </c>
      <c r="F1429" s="16" t="s">
        <v>90</v>
      </c>
      <c r="G1429" s="22">
        <v>2.5</v>
      </c>
      <c r="H1429" s="18">
        <v>16.899999999999999</v>
      </c>
      <c r="I1429" s="18">
        <v>6.76</v>
      </c>
      <c r="J1429" s="18">
        <v>6.88</v>
      </c>
      <c r="K1429" s="18">
        <v>6.64</v>
      </c>
      <c r="L1429" s="22">
        <v>2</v>
      </c>
    </row>
    <row r="1430" spans="1:12">
      <c r="A1430">
        <v>2</v>
      </c>
      <c r="B1430" s="16" t="s">
        <v>56</v>
      </c>
      <c r="C1430" s="9">
        <v>46235</v>
      </c>
      <c r="D1430">
        <v>26</v>
      </c>
      <c r="E1430" s="16" t="s">
        <v>115</v>
      </c>
      <c r="F1430" s="16" t="s">
        <v>90</v>
      </c>
      <c r="G1430" s="22">
        <v>1.25</v>
      </c>
      <c r="H1430" s="18">
        <v>8.375</v>
      </c>
      <c r="I1430" s="18">
        <v>6.7</v>
      </c>
      <c r="J1430" s="18">
        <v>6.7</v>
      </c>
      <c r="K1430" s="18">
        <v>6.7</v>
      </c>
      <c r="L1430" s="22">
        <v>1</v>
      </c>
    </row>
    <row r="1431" spans="1:12">
      <c r="A1431">
        <v>2</v>
      </c>
      <c r="B1431" s="16" t="s">
        <v>56</v>
      </c>
      <c r="C1431" s="9">
        <v>46266</v>
      </c>
      <c r="D1431">
        <v>26</v>
      </c>
      <c r="E1431" s="16" t="s">
        <v>115</v>
      </c>
      <c r="F1431" s="16" t="s">
        <v>90</v>
      </c>
      <c r="G1431" s="22">
        <v>1.25</v>
      </c>
      <c r="H1431" s="18">
        <v>8.2750000000000004</v>
      </c>
      <c r="I1431" s="18">
        <v>6.62</v>
      </c>
      <c r="J1431" s="18">
        <v>6.62</v>
      </c>
      <c r="K1431" s="18">
        <v>6.62</v>
      </c>
      <c r="L1431" s="22">
        <v>1</v>
      </c>
    </row>
    <row r="1432" spans="1:12">
      <c r="A1432">
        <v>2</v>
      </c>
      <c r="B1432" s="16" t="s">
        <v>56</v>
      </c>
      <c r="C1432" s="9">
        <v>45689</v>
      </c>
      <c r="D1432">
        <v>27</v>
      </c>
      <c r="E1432" s="16" t="s">
        <v>116</v>
      </c>
      <c r="F1432" s="16" t="s">
        <v>90</v>
      </c>
      <c r="G1432" s="22">
        <v>12.5</v>
      </c>
      <c r="H1432" s="18">
        <v>10.25</v>
      </c>
      <c r="I1432" s="18">
        <v>0.82</v>
      </c>
      <c r="J1432" s="18">
        <v>0.82</v>
      </c>
      <c r="K1432" s="18">
        <v>0.82</v>
      </c>
      <c r="L1432" s="22">
        <v>1</v>
      </c>
    </row>
    <row r="1433" spans="1:12">
      <c r="A1433">
        <v>2</v>
      </c>
      <c r="B1433" s="16" t="s">
        <v>56</v>
      </c>
      <c r="C1433" s="9">
        <v>45717</v>
      </c>
      <c r="D1433">
        <v>27</v>
      </c>
      <c r="E1433" s="16" t="s">
        <v>116</v>
      </c>
      <c r="F1433" s="16" t="s">
        <v>90</v>
      </c>
      <c r="G1433" s="22">
        <v>12.5</v>
      </c>
      <c r="H1433" s="18">
        <v>10.25</v>
      </c>
      <c r="I1433" s="18">
        <v>0.82</v>
      </c>
      <c r="J1433" s="18">
        <v>0.82</v>
      </c>
      <c r="K1433" s="18">
        <v>0.82</v>
      </c>
      <c r="L1433" s="22">
        <v>1</v>
      </c>
    </row>
    <row r="1434" spans="1:12">
      <c r="A1434">
        <v>2</v>
      </c>
      <c r="B1434" s="16" t="s">
        <v>56</v>
      </c>
      <c r="C1434" s="9">
        <v>45748</v>
      </c>
      <c r="D1434">
        <v>27</v>
      </c>
      <c r="E1434" s="16" t="s">
        <v>116</v>
      </c>
      <c r="F1434" s="16" t="s">
        <v>90</v>
      </c>
      <c r="G1434" s="22">
        <v>25</v>
      </c>
      <c r="H1434" s="18">
        <v>20.375</v>
      </c>
      <c r="I1434" s="18">
        <v>0.81499999999999995</v>
      </c>
      <c r="J1434" s="18">
        <v>0.83</v>
      </c>
      <c r="K1434" s="18">
        <v>0.8</v>
      </c>
      <c r="L1434" s="22">
        <v>2</v>
      </c>
    </row>
    <row r="1435" spans="1:12">
      <c r="A1435">
        <v>2</v>
      </c>
      <c r="B1435" s="16" t="s">
        <v>56</v>
      </c>
      <c r="C1435" s="9">
        <v>45778</v>
      </c>
      <c r="D1435">
        <v>27</v>
      </c>
      <c r="E1435" s="16" t="s">
        <v>116</v>
      </c>
      <c r="F1435" s="16" t="s">
        <v>90</v>
      </c>
      <c r="G1435" s="22">
        <v>25</v>
      </c>
      <c r="H1435" s="18">
        <v>20.75</v>
      </c>
      <c r="I1435" s="18">
        <v>0.83</v>
      </c>
      <c r="J1435" s="18">
        <v>0.85</v>
      </c>
      <c r="K1435" s="18">
        <v>0.81</v>
      </c>
      <c r="L1435" s="22">
        <v>2</v>
      </c>
    </row>
    <row r="1436" spans="1:12">
      <c r="A1436">
        <v>2</v>
      </c>
      <c r="B1436" s="16" t="s">
        <v>56</v>
      </c>
      <c r="C1436" s="9">
        <v>45809</v>
      </c>
      <c r="D1436">
        <v>27</v>
      </c>
      <c r="E1436" s="16" t="s">
        <v>116</v>
      </c>
      <c r="F1436" s="16" t="s">
        <v>90</v>
      </c>
      <c r="G1436" s="22">
        <v>12.5</v>
      </c>
      <c r="H1436" s="18">
        <v>10.125</v>
      </c>
      <c r="I1436" s="18">
        <v>0.81</v>
      </c>
      <c r="J1436" s="18">
        <v>0.81</v>
      </c>
      <c r="K1436" s="18">
        <v>0.81</v>
      </c>
      <c r="L1436" s="22">
        <v>1</v>
      </c>
    </row>
    <row r="1437" spans="1:12">
      <c r="A1437">
        <v>2</v>
      </c>
      <c r="B1437" s="16" t="s">
        <v>56</v>
      </c>
      <c r="C1437" s="9">
        <v>45839</v>
      </c>
      <c r="D1437">
        <v>27</v>
      </c>
      <c r="E1437" s="16" t="s">
        <v>116</v>
      </c>
      <c r="F1437" s="16" t="s">
        <v>90</v>
      </c>
      <c r="G1437" s="22">
        <v>12.5</v>
      </c>
      <c r="H1437" s="18">
        <v>10</v>
      </c>
      <c r="I1437" s="18">
        <v>0.8</v>
      </c>
      <c r="J1437" s="18">
        <v>0.8</v>
      </c>
      <c r="K1437" s="18">
        <v>0.8</v>
      </c>
      <c r="L1437" s="22">
        <v>1</v>
      </c>
    </row>
    <row r="1438" spans="1:12">
      <c r="A1438">
        <v>2</v>
      </c>
      <c r="B1438" s="16" t="s">
        <v>56</v>
      </c>
      <c r="C1438" s="9">
        <v>45870</v>
      </c>
      <c r="D1438">
        <v>27</v>
      </c>
      <c r="E1438" s="16" t="s">
        <v>116</v>
      </c>
      <c r="F1438" s="16" t="s">
        <v>90</v>
      </c>
      <c r="G1438" s="22">
        <v>25</v>
      </c>
      <c r="H1438" s="18">
        <v>20.375</v>
      </c>
      <c r="I1438" s="18">
        <v>0.81499999999999995</v>
      </c>
      <c r="J1438" s="18">
        <v>0.82</v>
      </c>
      <c r="K1438" s="18">
        <v>0.81</v>
      </c>
      <c r="L1438" s="22">
        <v>2</v>
      </c>
    </row>
    <row r="1439" spans="1:12">
      <c r="A1439">
        <v>2</v>
      </c>
      <c r="B1439" s="16" t="s">
        <v>56</v>
      </c>
      <c r="C1439" s="9">
        <v>45901</v>
      </c>
      <c r="D1439">
        <v>27</v>
      </c>
      <c r="E1439" s="16" t="s">
        <v>116</v>
      </c>
      <c r="F1439" s="16" t="s">
        <v>90</v>
      </c>
      <c r="G1439" s="22">
        <v>25</v>
      </c>
      <c r="H1439" s="18">
        <v>20.5</v>
      </c>
      <c r="I1439" s="18">
        <v>0.82</v>
      </c>
      <c r="J1439" s="18">
        <v>0.82</v>
      </c>
      <c r="K1439" s="18">
        <v>0.82</v>
      </c>
      <c r="L1439" s="22">
        <v>2</v>
      </c>
    </row>
    <row r="1440" spans="1:12">
      <c r="A1440">
        <v>2</v>
      </c>
      <c r="B1440" s="16" t="s">
        <v>56</v>
      </c>
      <c r="C1440" s="9">
        <v>45931</v>
      </c>
      <c r="D1440">
        <v>27</v>
      </c>
      <c r="E1440" s="16" t="s">
        <v>116</v>
      </c>
      <c r="F1440" s="16" t="s">
        <v>90</v>
      </c>
      <c r="G1440" s="22">
        <v>12.5</v>
      </c>
      <c r="H1440" s="18">
        <v>10.25</v>
      </c>
      <c r="I1440" s="18">
        <v>0.82</v>
      </c>
      <c r="J1440" s="18">
        <v>0.82</v>
      </c>
      <c r="K1440" s="18">
        <v>0.82</v>
      </c>
      <c r="L1440" s="22">
        <v>1</v>
      </c>
    </row>
    <row r="1441" spans="1:12">
      <c r="A1441">
        <v>2</v>
      </c>
      <c r="B1441" s="16" t="s">
        <v>56</v>
      </c>
      <c r="C1441" s="9">
        <v>45962</v>
      </c>
      <c r="D1441">
        <v>27</v>
      </c>
      <c r="E1441" s="16" t="s">
        <v>116</v>
      </c>
      <c r="F1441" s="16" t="s">
        <v>90</v>
      </c>
      <c r="G1441" s="22">
        <v>25</v>
      </c>
      <c r="H1441" s="18">
        <v>20.25</v>
      </c>
      <c r="I1441" s="18">
        <v>0.81</v>
      </c>
      <c r="J1441" s="18">
        <v>0.82</v>
      </c>
      <c r="K1441" s="18">
        <v>0.8</v>
      </c>
      <c r="L1441" s="22">
        <v>2</v>
      </c>
    </row>
    <row r="1442" spans="1:12">
      <c r="A1442">
        <v>2</v>
      </c>
      <c r="B1442" s="16" t="s">
        <v>56</v>
      </c>
      <c r="C1442" s="9">
        <v>45992</v>
      </c>
      <c r="D1442">
        <v>27</v>
      </c>
      <c r="E1442" s="16" t="s">
        <v>116</v>
      </c>
      <c r="F1442" s="16" t="s">
        <v>90</v>
      </c>
      <c r="G1442" s="22">
        <v>12.5</v>
      </c>
      <c r="H1442" s="18">
        <v>10.25</v>
      </c>
      <c r="I1442" s="18">
        <v>0.82</v>
      </c>
      <c r="J1442" s="18">
        <v>0.82</v>
      </c>
      <c r="K1442" s="18">
        <v>0.82</v>
      </c>
      <c r="L1442" s="22">
        <v>1</v>
      </c>
    </row>
    <row r="1443" spans="1:12">
      <c r="A1443">
        <v>2</v>
      </c>
      <c r="B1443" s="16" t="s">
        <v>56</v>
      </c>
      <c r="C1443" s="9">
        <v>46023</v>
      </c>
      <c r="D1443">
        <v>27</v>
      </c>
      <c r="E1443" s="16" t="s">
        <v>116</v>
      </c>
      <c r="F1443" s="16" t="s">
        <v>90</v>
      </c>
      <c r="G1443" s="22">
        <v>12.5</v>
      </c>
      <c r="H1443" s="18">
        <v>10</v>
      </c>
      <c r="I1443" s="18">
        <v>0.8</v>
      </c>
      <c r="J1443" s="18">
        <v>0.8</v>
      </c>
      <c r="K1443" s="18">
        <v>0.8</v>
      </c>
      <c r="L1443" s="22">
        <v>1</v>
      </c>
    </row>
    <row r="1444" spans="1:12">
      <c r="A1444">
        <v>2</v>
      </c>
      <c r="B1444" s="16" t="s">
        <v>56</v>
      </c>
      <c r="C1444" s="9">
        <v>46054</v>
      </c>
      <c r="D1444">
        <v>27</v>
      </c>
      <c r="E1444" s="16" t="s">
        <v>116</v>
      </c>
      <c r="F1444" s="16" t="s">
        <v>90</v>
      </c>
      <c r="G1444" s="22">
        <v>12.5</v>
      </c>
      <c r="H1444" s="18">
        <v>10</v>
      </c>
      <c r="I1444" s="18">
        <v>0.8</v>
      </c>
      <c r="J1444" s="18">
        <v>0.8</v>
      </c>
      <c r="K1444" s="18">
        <v>0.8</v>
      </c>
      <c r="L1444" s="22">
        <v>1</v>
      </c>
    </row>
    <row r="1445" spans="1:12">
      <c r="A1445">
        <v>2</v>
      </c>
      <c r="B1445" s="16" t="s">
        <v>56</v>
      </c>
      <c r="C1445" s="9">
        <v>46082</v>
      </c>
      <c r="D1445">
        <v>27</v>
      </c>
      <c r="E1445" s="16" t="s">
        <v>116</v>
      </c>
      <c r="F1445" s="16" t="s">
        <v>90</v>
      </c>
      <c r="G1445" s="22">
        <v>37.5</v>
      </c>
      <c r="H1445" s="18">
        <v>30.125</v>
      </c>
      <c r="I1445" s="18">
        <v>0.80333333299999998</v>
      </c>
      <c r="J1445" s="18">
        <v>0.81</v>
      </c>
      <c r="K1445" s="18">
        <v>0.79</v>
      </c>
      <c r="L1445" s="22">
        <v>3</v>
      </c>
    </row>
    <row r="1446" spans="1:12">
      <c r="A1446">
        <v>2</v>
      </c>
      <c r="B1446" s="16" t="s">
        <v>56</v>
      </c>
      <c r="C1446" s="9">
        <v>46113</v>
      </c>
      <c r="D1446">
        <v>27</v>
      </c>
      <c r="E1446" s="16" t="s">
        <v>116</v>
      </c>
      <c r="F1446" s="16" t="s">
        <v>90</v>
      </c>
      <c r="G1446" s="22">
        <v>12.5</v>
      </c>
      <c r="H1446" s="18">
        <v>9.75</v>
      </c>
      <c r="I1446" s="18">
        <v>0.78</v>
      </c>
      <c r="J1446" s="18">
        <v>0.78</v>
      </c>
      <c r="K1446" s="18">
        <v>0.78</v>
      </c>
      <c r="L1446" s="22">
        <v>1</v>
      </c>
    </row>
    <row r="1447" spans="1:12">
      <c r="A1447">
        <v>2</v>
      </c>
      <c r="B1447" s="16" t="s">
        <v>56</v>
      </c>
      <c r="C1447" s="9">
        <v>46143</v>
      </c>
      <c r="D1447">
        <v>27</v>
      </c>
      <c r="E1447" s="16" t="s">
        <v>116</v>
      </c>
      <c r="F1447" s="16" t="s">
        <v>90</v>
      </c>
      <c r="G1447" s="22">
        <v>25</v>
      </c>
      <c r="H1447" s="18">
        <v>19.75</v>
      </c>
      <c r="I1447" s="18">
        <v>0.79</v>
      </c>
      <c r="J1447" s="18">
        <v>0.8</v>
      </c>
      <c r="K1447" s="18">
        <v>0.78</v>
      </c>
      <c r="L1447" s="22">
        <v>2</v>
      </c>
    </row>
    <row r="1448" spans="1:12">
      <c r="A1448">
        <v>2</v>
      </c>
      <c r="B1448" s="16" t="s">
        <v>56</v>
      </c>
      <c r="C1448" s="9">
        <v>46174</v>
      </c>
      <c r="D1448">
        <v>27</v>
      </c>
      <c r="E1448" s="16" t="s">
        <v>116</v>
      </c>
      <c r="F1448" s="16" t="s">
        <v>90</v>
      </c>
      <c r="G1448" s="22">
        <v>12.5</v>
      </c>
      <c r="H1448" s="18">
        <v>10</v>
      </c>
      <c r="I1448" s="18">
        <v>0.8</v>
      </c>
      <c r="J1448" s="18">
        <v>0.8</v>
      </c>
      <c r="K1448" s="18">
        <v>0.8</v>
      </c>
      <c r="L1448" s="22">
        <v>1</v>
      </c>
    </row>
    <row r="1449" spans="1:12">
      <c r="A1449">
        <v>2</v>
      </c>
      <c r="B1449" s="16" t="s">
        <v>56</v>
      </c>
      <c r="C1449" s="9">
        <v>46204</v>
      </c>
      <c r="D1449">
        <v>27</v>
      </c>
      <c r="E1449" s="16" t="s">
        <v>116</v>
      </c>
      <c r="F1449" s="16" t="s">
        <v>90</v>
      </c>
      <c r="G1449" s="22">
        <v>25</v>
      </c>
      <c r="H1449" s="18">
        <v>19.875</v>
      </c>
      <c r="I1449" s="18">
        <v>0.79500000000000004</v>
      </c>
      <c r="J1449" s="18">
        <v>0.8</v>
      </c>
      <c r="K1449" s="18">
        <v>0.79</v>
      </c>
      <c r="L1449" s="22">
        <v>2</v>
      </c>
    </row>
    <row r="1450" spans="1:12">
      <c r="A1450">
        <v>2</v>
      </c>
      <c r="B1450" s="16" t="s">
        <v>56</v>
      </c>
      <c r="C1450" s="9">
        <v>46235</v>
      </c>
      <c r="D1450">
        <v>27</v>
      </c>
      <c r="E1450" s="16" t="s">
        <v>116</v>
      </c>
      <c r="F1450" s="16" t="s">
        <v>90</v>
      </c>
      <c r="G1450" s="22">
        <v>12.5</v>
      </c>
      <c r="H1450" s="18">
        <v>10.625</v>
      </c>
      <c r="I1450" s="18">
        <v>0.85</v>
      </c>
      <c r="J1450" s="18">
        <v>0.85</v>
      </c>
      <c r="K1450" s="18">
        <v>0.85</v>
      </c>
      <c r="L1450" s="22">
        <v>1</v>
      </c>
    </row>
    <row r="1451" spans="1:12">
      <c r="A1451">
        <v>2</v>
      </c>
      <c r="B1451" s="16" t="s">
        <v>56</v>
      </c>
      <c r="C1451" s="9">
        <v>46266</v>
      </c>
      <c r="D1451">
        <v>27</v>
      </c>
      <c r="E1451" s="16" t="s">
        <v>116</v>
      </c>
      <c r="F1451" s="16" t="s">
        <v>90</v>
      </c>
      <c r="G1451" s="22">
        <v>25</v>
      </c>
      <c r="H1451" s="18">
        <v>19.875</v>
      </c>
      <c r="I1451" s="18">
        <v>0.79500000000000004</v>
      </c>
      <c r="J1451" s="18">
        <v>0.8</v>
      </c>
      <c r="K1451" s="18">
        <v>0.79</v>
      </c>
      <c r="L1451" s="22">
        <v>2</v>
      </c>
    </row>
    <row r="1452" spans="1:12">
      <c r="A1452">
        <v>2</v>
      </c>
      <c r="B1452" s="16" t="s">
        <v>56</v>
      </c>
      <c r="C1452" s="9">
        <v>45689</v>
      </c>
      <c r="D1452">
        <v>28</v>
      </c>
      <c r="E1452" s="16" t="s">
        <v>117</v>
      </c>
      <c r="F1452" s="16" t="s">
        <v>92</v>
      </c>
      <c r="G1452" s="22">
        <v>31.5</v>
      </c>
      <c r="H1452" s="18">
        <v>39.99</v>
      </c>
      <c r="I1452" s="18">
        <v>1.2695238099999999</v>
      </c>
      <c r="J1452" s="18">
        <v>1.32</v>
      </c>
      <c r="K1452" s="18">
        <v>1.25</v>
      </c>
      <c r="L1452" s="22">
        <v>8</v>
      </c>
    </row>
    <row r="1453" spans="1:12">
      <c r="A1453">
        <v>2</v>
      </c>
      <c r="B1453" s="16" t="s">
        <v>56</v>
      </c>
      <c r="C1453" s="9">
        <v>45717</v>
      </c>
      <c r="D1453">
        <v>28</v>
      </c>
      <c r="E1453" s="16" t="s">
        <v>117</v>
      </c>
      <c r="F1453" s="16" t="s">
        <v>92</v>
      </c>
      <c r="G1453" s="22">
        <v>33</v>
      </c>
      <c r="H1453" s="18">
        <v>41.034999999999997</v>
      </c>
      <c r="I1453" s="18">
        <v>1.243484848</v>
      </c>
      <c r="J1453" s="18">
        <v>1.28</v>
      </c>
      <c r="K1453" s="18">
        <v>1.22</v>
      </c>
      <c r="L1453" s="22">
        <v>9</v>
      </c>
    </row>
    <row r="1454" spans="1:12">
      <c r="A1454">
        <v>2</v>
      </c>
      <c r="B1454" s="16" t="s">
        <v>56</v>
      </c>
      <c r="C1454" s="9">
        <v>45748</v>
      </c>
      <c r="D1454">
        <v>28</v>
      </c>
      <c r="E1454" s="16" t="s">
        <v>117</v>
      </c>
      <c r="F1454" s="16" t="s">
        <v>92</v>
      </c>
      <c r="G1454" s="22">
        <v>34</v>
      </c>
      <c r="H1454" s="18">
        <v>40.155000000000001</v>
      </c>
      <c r="I1454" s="18">
        <v>1.181029412</v>
      </c>
      <c r="J1454" s="18">
        <v>1.22</v>
      </c>
      <c r="K1454" s="18">
        <v>1.1499999999999999</v>
      </c>
      <c r="L1454" s="22">
        <v>8</v>
      </c>
    </row>
    <row r="1455" spans="1:12">
      <c r="A1455">
        <v>2</v>
      </c>
      <c r="B1455" s="16" t="s">
        <v>56</v>
      </c>
      <c r="C1455" s="9">
        <v>45778</v>
      </c>
      <c r="D1455">
        <v>28</v>
      </c>
      <c r="E1455" s="16" t="s">
        <v>117</v>
      </c>
      <c r="F1455" s="16" t="s">
        <v>92</v>
      </c>
      <c r="G1455" s="22">
        <v>35</v>
      </c>
      <c r="H1455" s="18">
        <v>39.064999999999998</v>
      </c>
      <c r="I1455" s="18">
        <v>1.116142857</v>
      </c>
      <c r="J1455" s="18">
        <v>1.1299999999999999</v>
      </c>
      <c r="K1455" s="18">
        <v>1.0900000000000001</v>
      </c>
      <c r="L1455" s="22">
        <v>9</v>
      </c>
    </row>
    <row r="1456" spans="1:12">
      <c r="A1456">
        <v>2</v>
      </c>
      <c r="B1456" s="16" t="s">
        <v>56</v>
      </c>
      <c r="C1456" s="9">
        <v>45809</v>
      </c>
      <c r="D1456">
        <v>28</v>
      </c>
      <c r="E1456" s="16" t="s">
        <v>117</v>
      </c>
      <c r="F1456" s="16" t="s">
        <v>92</v>
      </c>
      <c r="G1456" s="22">
        <v>26.5</v>
      </c>
      <c r="H1456" s="18">
        <v>28.855</v>
      </c>
      <c r="I1456" s="18">
        <v>1.088867925</v>
      </c>
      <c r="J1456" s="18">
        <v>1.1100000000000001</v>
      </c>
      <c r="K1456" s="18">
        <v>1.07</v>
      </c>
      <c r="L1456" s="22">
        <v>9</v>
      </c>
    </row>
    <row r="1457" spans="1:12">
      <c r="A1457">
        <v>2</v>
      </c>
      <c r="B1457" s="16" t="s">
        <v>56</v>
      </c>
      <c r="C1457" s="9">
        <v>45839</v>
      </c>
      <c r="D1457">
        <v>28</v>
      </c>
      <c r="E1457" s="16" t="s">
        <v>117</v>
      </c>
      <c r="F1457" s="16" t="s">
        <v>92</v>
      </c>
      <c r="G1457" s="22">
        <v>28.5</v>
      </c>
      <c r="H1457" s="18">
        <v>30.965</v>
      </c>
      <c r="I1457" s="18">
        <v>1.0864912280000001</v>
      </c>
      <c r="J1457" s="18">
        <v>1.1200000000000001</v>
      </c>
      <c r="K1457" s="18">
        <v>1.06</v>
      </c>
      <c r="L1457" s="22">
        <v>9</v>
      </c>
    </row>
    <row r="1458" spans="1:12">
      <c r="A1458">
        <v>2</v>
      </c>
      <c r="B1458" s="16" t="s">
        <v>56</v>
      </c>
      <c r="C1458" s="9">
        <v>45870</v>
      </c>
      <c r="D1458">
        <v>28</v>
      </c>
      <c r="E1458" s="16" t="s">
        <v>117</v>
      </c>
      <c r="F1458" s="16" t="s">
        <v>92</v>
      </c>
      <c r="G1458" s="22">
        <v>29</v>
      </c>
      <c r="H1458" s="18">
        <v>32.130000000000003</v>
      </c>
      <c r="I1458" s="18">
        <v>1.1079310339999999</v>
      </c>
      <c r="J1458" s="18">
        <v>1.1299999999999999</v>
      </c>
      <c r="K1458" s="18">
        <v>1.0900000000000001</v>
      </c>
      <c r="L1458" s="22">
        <v>8</v>
      </c>
    </row>
    <row r="1459" spans="1:12">
      <c r="A1459">
        <v>2</v>
      </c>
      <c r="B1459" s="16" t="s">
        <v>56</v>
      </c>
      <c r="C1459" s="9">
        <v>45901</v>
      </c>
      <c r="D1459">
        <v>28</v>
      </c>
      <c r="E1459" s="16" t="s">
        <v>117</v>
      </c>
      <c r="F1459" s="16" t="s">
        <v>92</v>
      </c>
      <c r="G1459" s="22">
        <v>32</v>
      </c>
      <c r="H1459" s="18">
        <v>36.825000000000003</v>
      </c>
      <c r="I1459" s="18">
        <v>1.1507812500000001</v>
      </c>
      <c r="J1459" s="18">
        <v>1.18</v>
      </c>
      <c r="K1459" s="18">
        <v>1.1299999999999999</v>
      </c>
      <c r="L1459" s="22">
        <v>9</v>
      </c>
    </row>
    <row r="1460" spans="1:12">
      <c r="A1460">
        <v>2</v>
      </c>
      <c r="B1460" s="16" t="s">
        <v>56</v>
      </c>
      <c r="C1460" s="9">
        <v>45931</v>
      </c>
      <c r="D1460">
        <v>28</v>
      </c>
      <c r="E1460" s="16" t="s">
        <v>117</v>
      </c>
      <c r="F1460" s="16" t="s">
        <v>92</v>
      </c>
      <c r="G1460" s="22">
        <v>39</v>
      </c>
      <c r="H1460" s="18">
        <v>47.26</v>
      </c>
      <c r="I1460" s="18">
        <v>1.211794872</v>
      </c>
      <c r="J1460" s="18">
        <v>1.23</v>
      </c>
      <c r="K1460" s="18">
        <v>1.19</v>
      </c>
      <c r="L1460" s="22">
        <v>9</v>
      </c>
    </row>
    <row r="1461" spans="1:12">
      <c r="A1461">
        <v>2</v>
      </c>
      <c r="B1461" s="16" t="s">
        <v>56</v>
      </c>
      <c r="C1461" s="9">
        <v>45962</v>
      </c>
      <c r="D1461">
        <v>28</v>
      </c>
      <c r="E1461" s="16" t="s">
        <v>117</v>
      </c>
      <c r="F1461" s="16" t="s">
        <v>92</v>
      </c>
      <c r="G1461" s="22">
        <v>36</v>
      </c>
      <c r="H1461" s="18">
        <v>45.55</v>
      </c>
      <c r="I1461" s="18">
        <v>1.265277778</v>
      </c>
      <c r="J1461" s="18">
        <v>1.34</v>
      </c>
      <c r="K1461" s="18">
        <v>1.24</v>
      </c>
      <c r="L1461" s="22">
        <v>8</v>
      </c>
    </row>
    <row r="1462" spans="1:12">
      <c r="A1462">
        <v>2</v>
      </c>
      <c r="B1462" s="16" t="s">
        <v>56</v>
      </c>
      <c r="C1462" s="9">
        <v>45992</v>
      </c>
      <c r="D1462">
        <v>28</v>
      </c>
      <c r="E1462" s="16" t="s">
        <v>117</v>
      </c>
      <c r="F1462" s="16" t="s">
        <v>92</v>
      </c>
      <c r="G1462" s="22">
        <v>52.5</v>
      </c>
      <c r="H1462" s="18">
        <v>67.944999999999993</v>
      </c>
      <c r="I1462" s="18">
        <v>1.294190476</v>
      </c>
      <c r="J1462" s="18">
        <v>1.32</v>
      </c>
      <c r="K1462" s="18">
        <v>1.27</v>
      </c>
      <c r="L1462" s="22">
        <v>9</v>
      </c>
    </row>
    <row r="1463" spans="1:12">
      <c r="A1463">
        <v>2</v>
      </c>
      <c r="B1463" s="16" t="s">
        <v>56</v>
      </c>
      <c r="C1463" s="9">
        <v>46023</v>
      </c>
      <c r="D1463">
        <v>28</v>
      </c>
      <c r="E1463" s="16" t="s">
        <v>117</v>
      </c>
      <c r="F1463" s="16" t="s">
        <v>92</v>
      </c>
      <c r="G1463" s="22">
        <v>32.5</v>
      </c>
      <c r="H1463" s="18">
        <v>42.28</v>
      </c>
      <c r="I1463" s="18">
        <v>1.300923077</v>
      </c>
      <c r="J1463" s="18">
        <v>1.33</v>
      </c>
      <c r="K1463" s="18">
        <v>1.28</v>
      </c>
      <c r="L1463" s="22">
        <v>9</v>
      </c>
    </row>
    <row r="1464" spans="1:12">
      <c r="A1464">
        <v>2</v>
      </c>
      <c r="B1464" s="16" t="s">
        <v>56</v>
      </c>
      <c r="C1464" s="9">
        <v>46054</v>
      </c>
      <c r="D1464">
        <v>28</v>
      </c>
      <c r="E1464" s="16" t="s">
        <v>117</v>
      </c>
      <c r="F1464" s="16" t="s">
        <v>92</v>
      </c>
      <c r="G1464" s="22">
        <v>34</v>
      </c>
      <c r="H1464" s="18">
        <v>44.32</v>
      </c>
      <c r="I1464" s="18">
        <v>1.3035294120000001</v>
      </c>
      <c r="J1464" s="18">
        <v>1.39</v>
      </c>
      <c r="K1464" s="18">
        <v>1.27</v>
      </c>
      <c r="L1464" s="22">
        <v>8</v>
      </c>
    </row>
    <row r="1465" spans="1:12">
      <c r="A1465">
        <v>2</v>
      </c>
      <c r="B1465" s="16" t="s">
        <v>56</v>
      </c>
      <c r="C1465" s="9">
        <v>46082</v>
      </c>
      <c r="D1465">
        <v>28</v>
      </c>
      <c r="E1465" s="16" t="s">
        <v>117</v>
      </c>
      <c r="F1465" s="16" t="s">
        <v>92</v>
      </c>
      <c r="G1465" s="22">
        <v>33</v>
      </c>
      <c r="H1465" s="18">
        <v>41.204999999999998</v>
      </c>
      <c r="I1465" s="18">
        <v>1.248636364</v>
      </c>
      <c r="J1465" s="18">
        <v>1.29</v>
      </c>
      <c r="K1465" s="18">
        <v>1.23</v>
      </c>
      <c r="L1465" s="22">
        <v>9</v>
      </c>
    </row>
    <row r="1466" spans="1:12">
      <c r="A1466">
        <v>2</v>
      </c>
      <c r="B1466" s="16" t="s">
        <v>56</v>
      </c>
      <c r="C1466" s="9">
        <v>46113</v>
      </c>
      <c r="D1466">
        <v>28</v>
      </c>
      <c r="E1466" s="16" t="s">
        <v>117</v>
      </c>
      <c r="F1466" s="16" t="s">
        <v>92</v>
      </c>
      <c r="G1466" s="22">
        <v>43</v>
      </c>
      <c r="H1466" s="18">
        <v>52.195</v>
      </c>
      <c r="I1466" s="18">
        <v>1.213837209</v>
      </c>
      <c r="J1466" s="18">
        <v>1.23</v>
      </c>
      <c r="K1466" s="18">
        <v>1.19</v>
      </c>
      <c r="L1466" s="22">
        <v>9</v>
      </c>
    </row>
    <row r="1467" spans="1:12">
      <c r="A1467">
        <v>2</v>
      </c>
      <c r="B1467" s="16" t="s">
        <v>56</v>
      </c>
      <c r="C1467" s="9">
        <v>46143</v>
      </c>
      <c r="D1467">
        <v>28</v>
      </c>
      <c r="E1467" s="16" t="s">
        <v>117</v>
      </c>
      <c r="F1467" s="16" t="s">
        <v>92</v>
      </c>
      <c r="G1467" s="22">
        <v>37</v>
      </c>
      <c r="H1467" s="18">
        <v>43.234999999999999</v>
      </c>
      <c r="I1467" s="18">
        <v>1.168513514</v>
      </c>
      <c r="J1467" s="18">
        <v>1.19</v>
      </c>
      <c r="K1467" s="18">
        <v>1.1499999999999999</v>
      </c>
      <c r="L1467" s="22">
        <v>8</v>
      </c>
    </row>
    <row r="1468" spans="1:12">
      <c r="A1468">
        <v>2</v>
      </c>
      <c r="B1468" s="16" t="s">
        <v>56</v>
      </c>
      <c r="C1468" s="9">
        <v>46174</v>
      </c>
      <c r="D1468">
        <v>28</v>
      </c>
      <c r="E1468" s="16" t="s">
        <v>117</v>
      </c>
      <c r="F1468" s="16" t="s">
        <v>92</v>
      </c>
      <c r="G1468" s="22">
        <v>34</v>
      </c>
      <c r="H1468" s="18">
        <v>39.22</v>
      </c>
      <c r="I1468" s="18">
        <v>1.1535294119999999</v>
      </c>
      <c r="J1468" s="18">
        <v>1.21</v>
      </c>
      <c r="K1468" s="18">
        <v>1.1299999999999999</v>
      </c>
      <c r="L1468" s="22">
        <v>9</v>
      </c>
    </row>
    <row r="1469" spans="1:12">
      <c r="A1469">
        <v>2</v>
      </c>
      <c r="B1469" s="16" t="s">
        <v>56</v>
      </c>
      <c r="C1469" s="9">
        <v>46204</v>
      </c>
      <c r="D1469">
        <v>28</v>
      </c>
      <c r="E1469" s="16" t="s">
        <v>117</v>
      </c>
      <c r="F1469" s="16" t="s">
        <v>92</v>
      </c>
      <c r="G1469" s="22">
        <v>37</v>
      </c>
      <c r="H1469" s="18">
        <v>42.26</v>
      </c>
      <c r="I1469" s="18">
        <v>1.142162162</v>
      </c>
      <c r="J1469" s="18">
        <v>1.1599999999999999</v>
      </c>
      <c r="K1469" s="18">
        <v>1.1100000000000001</v>
      </c>
      <c r="L1469" s="22">
        <v>9</v>
      </c>
    </row>
    <row r="1470" spans="1:12">
      <c r="A1470">
        <v>2</v>
      </c>
      <c r="B1470" s="16" t="s">
        <v>56</v>
      </c>
      <c r="C1470" s="9">
        <v>46235</v>
      </c>
      <c r="D1470">
        <v>28</v>
      </c>
      <c r="E1470" s="16" t="s">
        <v>117</v>
      </c>
      <c r="F1470" s="16" t="s">
        <v>92</v>
      </c>
      <c r="G1470" s="22">
        <v>29.5</v>
      </c>
      <c r="H1470" s="18">
        <v>33.64</v>
      </c>
      <c r="I1470" s="18">
        <v>1.1403389829999999</v>
      </c>
      <c r="J1470" s="18">
        <v>1.17</v>
      </c>
      <c r="K1470" s="18">
        <v>1.1100000000000001</v>
      </c>
      <c r="L1470" s="22">
        <v>9</v>
      </c>
    </row>
    <row r="1471" spans="1:12">
      <c r="A1471">
        <v>2</v>
      </c>
      <c r="B1471" s="16" t="s">
        <v>56</v>
      </c>
      <c r="C1471" s="9">
        <v>46266</v>
      </c>
      <c r="D1471">
        <v>28</v>
      </c>
      <c r="E1471" s="16" t="s">
        <v>117</v>
      </c>
      <c r="F1471" s="16" t="s">
        <v>92</v>
      </c>
      <c r="G1471" s="22">
        <v>25.5</v>
      </c>
      <c r="H1471" s="18">
        <v>30.065000000000001</v>
      </c>
      <c r="I1471" s="18">
        <v>1.1790196079999999</v>
      </c>
      <c r="J1471" s="18">
        <v>1.2</v>
      </c>
      <c r="K1471" s="18">
        <v>1.1499999999999999</v>
      </c>
      <c r="L1471" s="22">
        <v>8</v>
      </c>
    </row>
    <row r="1472" spans="1:12">
      <c r="A1472">
        <v>2</v>
      </c>
      <c r="B1472" s="16" t="s">
        <v>56</v>
      </c>
      <c r="C1472" s="9">
        <v>45689</v>
      </c>
      <c r="D1472">
        <v>31</v>
      </c>
      <c r="E1472" s="16" t="s">
        <v>120</v>
      </c>
      <c r="F1472" s="16" t="s">
        <v>92</v>
      </c>
      <c r="G1472" s="22">
        <v>5.25</v>
      </c>
      <c r="H1472" s="18">
        <v>5.4675000000000002</v>
      </c>
      <c r="I1472" s="18">
        <v>1.041428571</v>
      </c>
      <c r="J1472" s="18">
        <v>1.06</v>
      </c>
      <c r="K1472" s="18">
        <v>1.03</v>
      </c>
      <c r="L1472" s="22">
        <v>7</v>
      </c>
    </row>
    <row r="1473" spans="1:12">
      <c r="A1473">
        <v>2</v>
      </c>
      <c r="B1473" s="16" t="s">
        <v>56</v>
      </c>
      <c r="C1473" s="9">
        <v>45717</v>
      </c>
      <c r="D1473">
        <v>31</v>
      </c>
      <c r="E1473" s="16" t="s">
        <v>120</v>
      </c>
      <c r="F1473" s="16" t="s">
        <v>92</v>
      </c>
      <c r="G1473" s="22">
        <v>6</v>
      </c>
      <c r="H1473" s="18">
        <v>6.2625000000000002</v>
      </c>
      <c r="I1473" s="18">
        <v>1.04375</v>
      </c>
      <c r="J1473" s="18">
        <v>1.08</v>
      </c>
      <c r="K1473" s="18">
        <v>1.01</v>
      </c>
      <c r="L1473" s="22">
        <v>8</v>
      </c>
    </row>
    <row r="1474" spans="1:12">
      <c r="A1474">
        <v>2</v>
      </c>
      <c r="B1474" s="16" t="s">
        <v>56</v>
      </c>
      <c r="C1474" s="9">
        <v>45748</v>
      </c>
      <c r="D1474">
        <v>31</v>
      </c>
      <c r="E1474" s="16" t="s">
        <v>120</v>
      </c>
      <c r="F1474" s="16" t="s">
        <v>92</v>
      </c>
      <c r="G1474" s="22">
        <v>6</v>
      </c>
      <c r="H1474" s="18">
        <v>5.8049999999999997</v>
      </c>
      <c r="I1474" s="18">
        <v>0.96750000000000003</v>
      </c>
      <c r="J1474" s="18">
        <v>1</v>
      </c>
      <c r="K1474" s="18">
        <v>0.94</v>
      </c>
      <c r="L1474" s="22">
        <v>7</v>
      </c>
    </row>
    <row r="1475" spans="1:12">
      <c r="A1475">
        <v>2</v>
      </c>
      <c r="B1475" s="16" t="s">
        <v>56</v>
      </c>
      <c r="C1475" s="9">
        <v>45778</v>
      </c>
      <c r="D1475">
        <v>31</v>
      </c>
      <c r="E1475" s="16" t="s">
        <v>120</v>
      </c>
      <c r="F1475" s="16" t="s">
        <v>92</v>
      </c>
      <c r="G1475" s="22">
        <v>8.25</v>
      </c>
      <c r="H1475" s="18">
        <v>7.5674999999999999</v>
      </c>
      <c r="I1475" s="18">
        <v>0.91727272699999995</v>
      </c>
      <c r="J1475" s="18">
        <v>0.94</v>
      </c>
      <c r="K1475" s="18">
        <v>0.9</v>
      </c>
      <c r="L1475" s="22">
        <v>9</v>
      </c>
    </row>
    <row r="1476" spans="1:12">
      <c r="A1476">
        <v>2</v>
      </c>
      <c r="B1476" s="16" t="s">
        <v>56</v>
      </c>
      <c r="C1476" s="9">
        <v>45809</v>
      </c>
      <c r="D1476">
        <v>31</v>
      </c>
      <c r="E1476" s="16" t="s">
        <v>120</v>
      </c>
      <c r="F1476" s="16" t="s">
        <v>92</v>
      </c>
      <c r="G1476" s="22">
        <v>6.75</v>
      </c>
      <c r="H1476" s="18">
        <v>6.0824999999999996</v>
      </c>
      <c r="I1476" s="18">
        <v>0.90111111099999996</v>
      </c>
      <c r="J1476" s="18">
        <v>0.92</v>
      </c>
      <c r="K1476" s="18">
        <v>0.88</v>
      </c>
      <c r="L1476" s="22">
        <v>9</v>
      </c>
    </row>
    <row r="1477" spans="1:12">
      <c r="A1477">
        <v>2</v>
      </c>
      <c r="B1477" s="16" t="s">
        <v>56</v>
      </c>
      <c r="C1477" s="9">
        <v>45839</v>
      </c>
      <c r="D1477">
        <v>31</v>
      </c>
      <c r="E1477" s="16" t="s">
        <v>120</v>
      </c>
      <c r="F1477" s="16" t="s">
        <v>92</v>
      </c>
      <c r="G1477" s="22">
        <v>6.75</v>
      </c>
      <c r="H1477" s="18">
        <v>5.9474999999999998</v>
      </c>
      <c r="I1477" s="18">
        <v>0.88111111099999995</v>
      </c>
      <c r="J1477" s="18">
        <v>0.9</v>
      </c>
      <c r="K1477" s="18">
        <v>0.87</v>
      </c>
      <c r="L1477" s="22">
        <v>8</v>
      </c>
    </row>
    <row r="1478" spans="1:12">
      <c r="A1478">
        <v>2</v>
      </c>
      <c r="B1478" s="16" t="s">
        <v>56</v>
      </c>
      <c r="C1478" s="9">
        <v>45870</v>
      </c>
      <c r="D1478">
        <v>31</v>
      </c>
      <c r="E1478" s="16" t="s">
        <v>120</v>
      </c>
      <c r="F1478" s="16" t="s">
        <v>92</v>
      </c>
      <c r="G1478" s="22">
        <v>6</v>
      </c>
      <c r="H1478" s="18">
        <v>5.4</v>
      </c>
      <c r="I1478" s="18">
        <v>0.9</v>
      </c>
      <c r="J1478" s="18">
        <v>0.91</v>
      </c>
      <c r="K1478" s="18">
        <v>0.89</v>
      </c>
      <c r="L1478" s="22">
        <v>8</v>
      </c>
    </row>
    <row r="1479" spans="1:12">
      <c r="A1479">
        <v>2</v>
      </c>
      <c r="B1479" s="16" t="s">
        <v>56</v>
      </c>
      <c r="C1479" s="9">
        <v>45901</v>
      </c>
      <c r="D1479">
        <v>31</v>
      </c>
      <c r="E1479" s="16" t="s">
        <v>120</v>
      </c>
      <c r="F1479" s="16" t="s">
        <v>92</v>
      </c>
      <c r="G1479" s="22">
        <v>7.5</v>
      </c>
      <c r="H1479" s="18">
        <v>6.8849999999999998</v>
      </c>
      <c r="I1479" s="18">
        <v>0.91800000000000004</v>
      </c>
      <c r="J1479" s="18">
        <v>0.94</v>
      </c>
      <c r="K1479" s="18">
        <v>0.9</v>
      </c>
      <c r="L1479" s="22">
        <v>9</v>
      </c>
    </row>
    <row r="1480" spans="1:12">
      <c r="A1480">
        <v>2</v>
      </c>
      <c r="B1480" s="16" t="s">
        <v>56</v>
      </c>
      <c r="C1480" s="9">
        <v>45931</v>
      </c>
      <c r="D1480">
        <v>31</v>
      </c>
      <c r="E1480" s="16" t="s">
        <v>120</v>
      </c>
      <c r="F1480" s="16" t="s">
        <v>92</v>
      </c>
      <c r="G1480" s="22">
        <v>6.75</v>
      </c>
      <c r="H1480" s="18">
        <v>6.4725000000000001</v>
      </c>
      <c r="I1480" s="18">
        <v>0.95888888900000002</v>
      </c>
      <c r="J1480" s="18">
        <v>0.99</v>
      </c>
      <c r="K1480" s="18">
        <v>0.94</v>
      </c>
      <c r="L1480" s="22">
        <v>9</v>
      </c>
    </row>
    <row r="1481" spans="1:12">
      <c r="A1481">
        <v>2</v>
      </c>
      <c r="B1481" s="16" t="s">
        <v>56</v>
      </c>
      <c r="C1481" s="9">
        <v>45962</v>
      </c>
      <c r="D1481">
        <v>31</v>
      </c>
      <c r="E1481" s="16" t="s">
        <v>120</v>
      </c>
      <c r="F1481" s="16" t="s">
        <v>92</v>
      </c>
      <c r="G1481" s="22">
        <v>5.25</v>
      </c>
      <c r="H1481" s="18">
        <v>5.1825000000000001</v>
      </c>
      <c r="I1481" s="18">
        <v>0.98714285700000004</v>
      </c>
      <c r="J1481" s="18">
        <v>1.01</v>
      </c>
      <c r="K1481" s="18">
        <v>0.96</v>
      </c>
      <c r="L1481" s="22">
        <v>7</v>
      </c>
    </row>
    <row r="1482" spans="1:12">
      <c r="A1482">
        <v>2</v>
      </c>
      <c r="B1482" s="16" t="s">
        <v>56</v>
      </c>
      <c r="C1482" s="9">
        <v>45992</v>
      </c>
      <c r="D1482">
        <v>31</v>
      </c>
      <c r="E1482" s="16" t="s">
        <v>120</v>
      </c>
      <c r="F1482" s="16" t="s">
        <v>92</v>
      </c>
      <c r="G1482" s="22">
        <v>6.75</v>
      </c>
      <c r="H1482" s="18">
        <v>6.8775000000000004</v>
      </c>
      <c r="I1482" s="18">
        <v>1.0188888890000001</v>
      </c>
      <c r="J1482" s="18">
        <v>1.04</v>
      </c>
      <c r="K1482" s="18">
        <v>1</v>
      </c>
      <c r="L1482" s="22">
        <v>9</v>
      </c>
    </row>
    <row r="1483" spans="1:12">
      <c r="A1483">
        <v>2</v>
      </c>
      <c r="B1483" s="16" t="s">
        <v>56</v>
      </c>
      <c r="C1483" s="9">
        <v>46023</v>
      </c>
      <c r="D1483">
        <v>31</v>
      </c>
      <c r="E1483" s="16" t="s">
        <v>120</v>
      </c>
      <c r="F1483" s="16" t="s">
        <v>92</v>
      </c>
      <c r="G1483" s="22">
        <v>4.5</v>
      </c>
      <c r="H1483" s="18">
        <v>4.6574999999999998</v>
      </c>
      <c r="I1483" s="18">
        <v>1.0349999999999999</v>
      </c>
      <c r="J1483" s="18">
        <v>1.05</v>
      </c>
      <c r="K1483" s="18">
        <v>1.02</v>
      </c>
      <c r="L1483" s="22">
        <v>6</v>
      </c>
    </row>
    <row r="1484" spans="1:12">
      <c r="A1484">
        <v>2</v>
      </c>
      <c r="B1484" s="16" t="s">
        <v>56</v>
      </c>
      <c r="C1484" s="9">
        <v>46054</v>
      </c>
      <c r="D1484">
        <v>31</v>
      </c>
      <c r="E1484" s="16" t="s">
        <v>120</v>
      </c>
      <c r="F1484" s="16" t="s">
        <v>92</v>
      </c>
      <c r="G1484" s="22">
        <v>3.75</v>
      </c>
      <c r="H1484" s="18">
        <v>3.8475000000000001</v>
      </c>
      <c r="I1484" s="18">
        <v>1.026</v>
      </c>
      <c r="J1484" s="18">
        <v>1.04</v>
      </c>
      <c r="K1484" s="18">
        <v>1.01</v>
      </c>
      <c r="L1484" s="22">
        <v>5</v>
      </c>
    </row>
    <row r="1485" spans="1:12">
      <c r="A1485">
        <v>2</v>
      </c>
      <c r="B1485" s="16" t="s">
        <v>56</v>
      </c>
      <c r="C1485" s="9">
        <v>46082</v>
      </c>
      <c r="D1485">
        <v>31</v>
      </c>
      <c r="E1485" s="16" t="s">
        <v>120</v>
      </c>
      <c r="F1485" s="16" t="s">
        <v>92</v>
      </c>
      <c r="G1485" s="22">
        <v>6</v>
      </c>
      <c r="H1485" s="18">
        <v>6.0374999999999996</v>
      </c>
      <c r="I1485" s="18">
        <v>1.0062500000000001</v>
      </c>
      <c r="J1485" s="18">
        <v>1.02</v>
      </c>
      <c r="K1485" s="18">
        <v>0.98</v>
      </c>
      <c r="L1485" s="22">
        <v>8</v>
      </c>
    </row>
    <row r="1486" spans="1:12">
      <c r="A1486">
        <v>2</v>
      </c>
      <c r="B1486" s="16" t="s">
        <v>56</v>
      </c>
      <c r="C1486" s="9">
        <v>46113</v>
      </c>
      <c r="D1486">
        <v>31</v>
      </c>
      <c r="E1486" s="16" t="s">
        <v>120</v>
      </c>
      <c r="F1486" s="16" t="s">
        <v>92</v>
      </c>
      <c r="G1486" s="22">
        <v>6.75</v>
      </c>
      <c r="H1486" s="18">
        <v>6.4950000000000001</v>
      </c>
      <c r="I1486" s="18">
        <v>0.96222222199999996</v>
      </c>
      <c r="J1486" s="18">
        <v>0.97</v>
      </c>
      <c r="K1486" s="18">
        <v>0.93</v>
      </c>
      <c r="L1486" s="22">
        <v>9</v>
      </c>
    </row>
    <row r="1487" spans="1:12">
      <c r="A1487">
        <v>2</v>
      </c>
      <c r="B1487" s="16" t="s">
        <v>56</v>
      </c>
      <c r="C1487" s="9">
        <v>46143</v>
      </c>
      <c r="D1487">
        <v>31</v>
      </c>
      <c r="E1487" s="16" t="s">
        <v>120</v>
      </c>
      <c r="F1487" s="16" t="s">
        <v>92</v>
      </c>
      <c r="G1487" s="22">
        <v>6.75</v>
      </c>
      <c r="H1487" s="18">
        <v>6.2774999999999999</v>
      </c>
      <c r="I1487" s="18">
        <v>0.93</v>
      </c>
      <c r="J1487" s="18">
        <v>0.94</v>
      </c>
      <c r="K1487" s="18">
        <v>0.92</v>
      </c>
      <c r="L1487" s="22">
        <v>8</v>
      </c>
    </row>
    <row r="1488" spans="1:12">
      <c r="A1488">
        <v>2</v>
      </c>
      <c r="B1488" s="16" t="s">
        <v>56</v>
      </c>
      <c r="C1488" s="9">
        <v>46174</v>
      </c>
      <c r="D1488">
        <v>31</v>
      </c>
      <c r="E1488" s="16" t="s">
        <v>120</v>
      </c>
      <c r="F1488" s="16" t="s">
        <v>92</v>
      </c>
      <c r="G1488" s="22">
        <v>8.25</v>
      </c>
      <c r="H1488" s="18">
        <v>7.59</v>
      </c>
      <c r="I1488" s="18">
        <v>0.92</v>
      </c>
      <c r="J1488" s="18">
        <v>0.98</v>
      </c>
      <c r="K1488" s="18">
        <v>0.89</v>
      </c>
      <c r="L1488" s="22">
        <v>9</v>
      </c>
    </row>
    <row r="1489" spans="1:12">
      <c r="A1489">
        <v>2</v>
      </c>
      <c r="B1489" s="16" t="s">
        <v>56</v>
      </c>
      <c r="C1489" s="9">
        <v>46204</v>
      </c>
      <c r="D1489">
        <v>31</v>
      </c>
      <c r="E1489" s="16" t="s">
        <v>120</v>
      </c>
      <c r="F1489" s="16" t="s">
        <v>92</v>
      </c>
      <c r="G1489" s="22">
        <v>7.5</v>
      </c>
      <c r="H1489" s="18">
        <v>6.7949999999999999</v>
      </c>
      <c r="I1489" s="18">
        <v>0.90600000000000003</v>
      </c>
      <c r="J1489" s="18">
        <v>0.92</v>
      </c>
      <c r="K1489" s="18">
        <v>0.88</v>
      </c>
      <c r="L1489" s="22">
        <v>9</v>
      </c>
    </row>
    <row r="1490" spans="1:12">
      <c r="A1490">
        <v>2</v>
      </c>
      <c r="B1490" s="16" t="s">
        <v>56</v>
      </c>
      <c r="C1490" s="9">
        <v>46235</v>
      </c>
      <c r="D1490">
        <v>31</v>
      </c>
      <c r="E1490" s="16" t="s">
        <v>120</v>
      </c>
      <c r="F1490" s="16" t="s">
        <v>92</v>
      </c>
      <c r="G1490" s="22">
        <v>9</v>
      </c>
      <c r="H1490" s="18">
        <v>8.34</v>
      </c>
      <c r="I1490" s="18">
        <v>0.926666667</v>
      </c>
      <c r="J1490" s="18">
        <v>0.94</v>
      </c>
      <c r="K1490" s="18">
        <v>0.91</v>
      </c>
      <c r="L1490" s="22">
        <v>9</v>
      </c>
    </row>
    <row r="1491" spans="1:12">
      <c r="A1491">
        <v>2</v>
      </c>
      <c r="B1491" s="16" t="s">
        <v>56</v>
      </c>
      <c r="C1491" s="9">
        <v>46266</v>
      </c>
      <c r="D1491">
        <v>31</v>
      </c>
      <c r="E1491" s="16" t="s">
        <v>120</v>
      </c>
      <c r="F1491" s="16" t="s">
        <v>92</v>
      </c>
      <c r="G1491" s="22">
        <v>6</v>
      </c>
      <c r="H1491" s="18">
        <v>5.8049999999999997</v>
      </c>
      <c r="I1491" s="18">
        <v>0.96750000000000003</v>
      </c>
      <c r="J1491" s="18">
        <v>0.97</v>
      </c>
      <c r="K1491" s="18">
        <v>0.96</v>
      </c>
      <c r="L1491" s="22">
        <v>8</v>
      </c>
    </row>
    <row r="1492" spans="1:12">
      <c r="A1492">
        <v>2</v>
      </c>
      <c r="B1492" s="16" t="s">
        <v>56</v>
      </c>
      <c r="C1492" s="9">
        <v>45689</v>
      </c>
      <c r="D1492">
        <v>32</v>
      </c>
      <c r="E1492" s="16" t="s">
        <v>121</v>
      </c>
      <c r="F1492" s="16" t="s">
        <v>92</v>
      </c>
      <c r="G1492" s="22">
        <v>11.5</v>
      </c>
      <c r="H1492" s="18">
        <v>6.1550000000000002</v>
      </c>
      <c r="I1492" s="18">
        <v>0.53521739099999999</v>
      </c>
      <c r="J1492" s="18">
        <v>0.54</v>
      </c>
      <c r="K1492" s="18">
        <v>0.53</v>
      </c>
      <c r="L1492" s="22">
        <v>8</v>
      </c>
    </row>
    <row r="1493" spans="1:12">
      <c r="A1493">
        <v>2</v>
      </c>
      <c r="B1493" s="16" t="s">
        <v>56</v>
      </c>
      <c r="C1493" s="9">
        <v>45717</v>
      </c>
      <c r="D1493">
        <v>32</v>
      </c>
      <c r="E1493" s="16" t="s">
        <v>121</v>
      </c>
      <c r="F1493" s="16" t="s">
        <v>92</v>
      </c>
      <c r="G1493" s="22">
        <v>13</v>
      </c>
      <c r="H1493" s="18">
        <v>6.7649999999999997</v>
      </c>
      <c r="I1493" s="18">
        <v>0.52038461499999999</v>
      </c>
      <c r="J1493" s="18">
        <v>0.53</v>
      </c>
      <c r="K1493" s="18">
        <v>0.5</v>
      </c>
      <c r="L1493" s="22">
        <v>9</v>
      </c>
    </row>
    <row r="1494" spans="1:12">
      <c r="A1494">
        <v>2</v>
      </c>
      <c r="B1494" s="16" t="s">
        <v>56</v>
      </c>
      <c r="C1494" s="9">
        <v>45748</v>
      </c>
      <c r="D1494">
        <v>32</v>
      </c>
      <c r="E1494" s="16" t="s">
        <v>121</v>
      </c>
      <c r="F1494" s="16" t="s">
        <v>92</v>
      </c>
      <c r="G1494" s="22">
        <v>15.5</v>
      </c>
      <c r="H1494" s="18">
        <v>7.6</v>
      </c>
      <c r="I1494" s="18">
        <v>0.49032258099999998</v>
      </c>
      <c r="J1494" s="18">
        <v>0.5</v>
      </c>
      <c r="K1494" s="18">
        <v>0.48</v>
      </c>
      <c r="L1494" s="22">
        <v>8</v>
      </c>
    </row>
    <row r="1495" spans="1:12">
      <c r="A1495">
        <v>2</v>
      </c>
      <c r="B1495" s="16" t="s">
        <v>56</v>
      </c>
      <c r="C1495" s="9">
        <v>45778</v>
      </c>
      <c r="D1495">
        <v>32</v>
      </c>
      <c r="E1495" s="16" t="s">
        <v>121</v>
      </c>
      <c r="F1495" s="16" t="s">
        <v>92</v>
      </c>
      <c r="G1495" s="22">
        <v>25.5</v>
      </c>
      <c r="H1495" s="18">
        <v>11.805</v>
      </c>
      <c r="I1495" s="18">
        <v>0.46294117600000001</v>
      </c>
      <c r="J1495" s="18">
        <v>0.49</v>
      </c>
      <c r="K1495" s="18">
        <v>0.45</v>
      </c>
      <c r="L1495" s="22">
        <v>9</v>
      </c>
    </row>
    <row r="1496" spans="1:12">
      <c r="A1496">
        <v>2</v>
      </c>
      <c r="B1496" s="16" t="s">
        <v>56</v>
      </c>
      <c r="C1496" s="9">
        <v>45809</v>
      </c>
      <c r="D1496">
        <v>32</v>
      </c>
      <c r="E1496" s="16" t="s">
        <v>121</v>
      </c>
      <c r="F1496" s="16" t="s">
        <v>92</v>
      </c>
      <c r="G1496" s="22">
        <v>19</v>
      </c>
      <c r="H1496" s="18">
        <v>8.4450000000000003</v>
      </c>
      <c r="I1496" s="18">
        <v>0.44447368399999998</v>
      </c>
      <c r="J1496" s="18">
        <v>0.45</v>
      </c>
      <c r="K1496" s="18">
        <v>0.43</v>
      </c>
      <c r="L1496" s="22">
        <v>9</v>
      </c>
    </row>
    <row r="1497" spans="1:12">
      <c r="A1497">
        <v>2</v>
      </c>
      <c r="B1497" s="16" t="s">
        <v>56</v>
      </c>
      <c r="C1497" s="9">
        <v>45839</v>
      </c>
      <c r="D1497">
        <v>32</v>
      </c>
      <c r="E1497" s="16" t="s">
        <v>121</v>
      </c>
      <c r="F1497" s="16" t="s">
        <v>92</v>
      </c>
      <c r="G1497" s="22">
        <v>18</v>
      </c>
      <c r="H1497" s="18">
        <v>7.82</v>
      </c>
      <c r="I1497" s="18">
        <v>0.43444444399999999</v>
      </c>
      <c r="J1497" s="18">
        <v>0.45</v>
      </c>
      <c r="K1497" s="18">
        <v>0.43</v>
      </c>
      <c r="L1497" s="22">
        <v>9</v>
      </c>
    </row>
    <row r="1498" spans="1:12">
      <c r="A1498">
        <v>2</v>
      </c>
      <c r="B1498" s="16" t="s">
        <v>56</v>
      </c>
      <c r="C1498" s="9">
        <v>45870</v>
      </c>
      <c r="D1498">
        <v>32</v>
      </c>
      <c r="E1498" s="16" t="s">
        <v>121</v>
      </c>
      <c r="F1498" s="16" t="s">
        <v>92</v>
      </c>
      <c r="G1498" s="22">
        <v>18</v>
      </c>
      <c r="H1498" s="18">
        <v>7.85</v>
      </c>
      <c r="I1498" s="18">
        <v>0.436111111</v>
      </c>
      <c r="J1498" s="18">
        <v>0.45</v>
      </c>
      <c r="K1498" s="18">
        <v>0.43</v>
      </c>
      <c r="L1498" s="22">
        <v>8</v>
      </c>
    </row>
    <row r="1499" spans="1:12">
      <c r="A1499">
        <v>2</v>
      </c>
      <c r="B1499" s="16" t="s">
        <v>56</v>
      </c>
      <c r="C1499" s="9">
        <v>45901</v>
      </c>
      <c r="D1499">
        <v>32</v>
      </c>
      <c r="E1499" s="16" t="s">
        <v>121</v>
      </c>
      <c r="F1499" s="16" t="s">
        <v>92</v>
      </c>
      <c r="G1499" s="22">
        <v>19</v>
      </c>
      <c r="H1499" s="18">
        <v>8.5950000000000006</v>
      </c>
      <c r="I1499" s="18">
        <v>0.45236842100000002</v>
      </c>
      <c r="J1499" s="18">
        <v>0.46</v>
      </c>
      <c r="K1499" s="18">
        <v>0.44</v>
      </c>
      <c r="L1499" s="22">
        <v>9</v>
      </c>
    </row>
    <row r="1500" spans="1:12">
      <c r="A1500">
        <v>2</v>
      </c>
      <c r="B1500" s="16" t="s">
        <v>56</v>
      </c>
      <c r="C1500" s="9">
        <v>45931</v>
      </c>
      <c r="D1500">
        <v>32</v>
      </c>
      <c r="E1500" s="16" t="s">
        <v>121</v>
      </c>
      <c r="F1500" s="16" t="s">
        <v>92</v>
      </c>
      <c r="G1500" s="22">
        <v>16.5</v>
      </c>
      <c r="H1500" s="18">
        <v>7.92</v>
      </c>
      <c r="I1500" s="18">
        <v>0.48</v>
      </c>
      <c r="J1500" s="18">
        <v>0.49</v>
      </c>
      <c r="K1500" s="18">
        <v>0.47</v>
      </c>
      <c r="L1500" s="22">
        <v>9</v>
      </c>
    </row>
    <row r="1501" spans="1:12">
      <c r="A1501">
        <v>2</v>
      </c>
      <c r="B1501" s="16" t="s">
        <v>56</v>
      </c>
      <c r="C1501" s="9">
        <v>45962</v>
      </c>
      <c r="D1501">
        <v>32</v>
      </c>
      <c r="E1501" s="16" t="s">
        <v>121</v>
      </c>
      <c r="F1501" s="16" t="s">
        <v>92</v>
      </c>
      <c r="G1501" s="22">
        <v>12.5</v>
      </c>
      <c r="H1501" s="18">
        <v>6.3449999999999998</v>
      </c>
      <c r="I1501" s="18">
        <v>0.50760000000000005</v>
      </c>
      <c r="J1501" s="18">
        <v>0.51</v>
      </c>
      <c r="K1501" s="18">
        <v>0.5</v>
      </c>
      <c r="L1501" s="22">
        <v>8</v>
      </c>
    </row>
    <row r="1502" spans="1:12">
      <c r="A1502">
        <v>2</v>
      </c>
      <c r="B1502" s="16" t="s">
        <v>56</v>
      </c>
      <c r="C1502" s="9">
        <v>45992</v>
      </c>
      <c r="D1502">
        <v>32</v>
      </c>
      <c r="E1502" s="16" t="s">
        <v>121</v>
      </c>
      <c r="F1502" s="16" t="s">
        <v>92</v>
      </c>
      <c r="G1502" s="22">
        <v>14</v>
      </c>
      <c r="H1502" s="18">
        <v>7.3949999999999996</v>
      </c>
      <c r="I1502" s="18">
        <v>0.52821428599999998</v>
      </c>
      <c r="J1502" s="18">
        <v>0.54</v>
      </c>
      <c r="K1502" s="18">
        <v>0.51</v>
      </c>
      <c r="L1502" s="22">
        <v>9</v>
      </c>
    </row>
    <row r="1503" spans="1:12">
      <c r="A1503">
        <v>2</v>
      </c>
      <c r="B1503" s="16" t="s">
        <v>56</v>
      </c>
      <c r="C1503" s="9">
        <v>46023</v>
      </c>
      <c r="D1503">
        <v>32</v>
      </c>
      <c r="E1503" s="16" t="s">
        <v>121</v>
      </c>
      <c r="F1503" s="16" t="s">
        <v>92</v>
      </c>
      <c r="G1503" s="22">
        <v>8</v>
      </c>
      <c r="H1503" s="18">
        <v>4.24</v>
      </c>
      <c r="I1503" s="18">
        <v>0.53</v>
      </c>
      <c r="J1503" s="18">
        <v>0.54</v>
      </c>
      <c r="K1503" s="18">
        <v>0.52</v>
      </c>
      <c r="L1503" s="22">
        <v>8</v>
      </c>
    </row>
    <row r="1504" spans="1:12">
      <c r="A1504">
        <v>2</v>
      </c>
      <c r="B1504" s="16" t="s">
        <v>56</v>
      </c>
      <c r="C1504" s="9">
        <v>46054</v>
      </c>
      <c r="D1504">
        <v>32</v>
      </c>
      <c r="E1504" s="16" t="s">
        <v>121</v>
      </c>
      <c r="F1504" s="16" t="s">
        <v>92</v>
      </c>
      <c r="G1504" s="22">
        <v>7.5</v>
      </c>
      <c r="H1504" s="18">
        <v>3.96</v>
      </c>
      <c r="I1504" s="18">
        <v>0.52800000000000002</v>
      </c>
      <c r="J1504" s="18">
        <v>0.54</v>
      </c>
      <c r="K1504" s="18">
        <v>0.52</v>
      </c>
      <c r="L1504" s="22">
        <v>8</v>
      </c>
    </row>
    <row r="1505" spans="1:12">
      <c r="A1505">
        <v>2</v>
      </c>
      <c r="B1505" s="16" t="s">
        <v>56</v>
      </c>
      <c r="C1505" s="9">
        <v>46082</v>
      </c>
      <c r="D1505">
        <v>32</v>
      </c>
      <c r="E1505" s="16" t="s">
        <v>121</v>
      </c>
      <c r="F1505" s="16" t="s">
        <v>92</v>
      </c>
      <c r="G1505" s="22">
        <v>13</v>
      </c>
      <c r="H1505" s="18">
        <v>6.64</v>
      </c>
      <c r="I1505" s="18">
        <v>0.51076923100000005</v>
      </c>
      <c r="J1505" s="18">
        <v>0.52</v>
      </c>
      <c r="K1505" s="18">
        <v>0.5</v>
      </c>
      <c r="L1505" s="22">
        <v>9</v>
      </c>
    </row>
    <row r="1506" spans="1:12">
      <c r="A1506">
        <v>2</v>
      </c>
      <c r="B1506" s="16" t="s">
        <v>56</v>
      </c>
      <c r="C1506" s="9">
        <v>46113</v>
      </c>
      <c r="D1506">
        <v>32</v>
      </c>
      <c r="E1506" s="16" t="s">
        <v>121</v>
      </c>
      <c r="F1506" s="16" t="s">
        <v>92</v>
      </c>
      <c r="G1506" s="22">
        <v>17</v>
      </c>
      <c r="H1506" s="18">
        <v>8.3249999999999993</v>
      </c>
      <c r="I1506" s="18">
        <v>0.48970588199999998</v>
      </c>
      <c r="J1506" s="18">
        <v>0.51</v>
      </c>
      <c r="K1506" s="18">
        <v>0.48</v>
      </c>
      <c r="L1506" s="22">
        <v>9</v>
      </c>
    </row>
    <row r="1507" spans="1:12">
      <c r="A1507">
        <v>2</v>
      </c>
      <c r="B1507" s="16" t="s">
        <v>56</v>
      </c>
      <c r="C1507" s="9">
        <v>46143</v>
      </c>
      <c r="D1507">
        <v>32</v>
      </c>
      <c r="E1507" s="16" t="s">
        <v>121</v>
      </c>
      <c r="F1507" s="16" t="s">
        <v>92</v>
      </c>
      <c r="G1507" s="22">
        <v>20.5</v>
      </c>
      <c r="H1507" s="18">
        <v>9.49</v>
      </c>
      <c r="I1507" s="18">
        <v>0.46292682899999998</v>
      </c>
      <c r="J1507" s="18">
        <v>0.47</v>
      </c>
      <c r="K1507" s="18">
        <v>0.46</v>
      </c>
      <c r="L1507" s="22">
        <v>8</v>
      </c>
    </row>
    <row r="1508" spans="1:12">
      <c r="A1508">
        <v>2</v>
      </c>
      <c r="B1508" s="16" t="s">
        <v>56</v>
      </c>
      <c r="C1508" s="9">
        <v>46174</v>
      </c>
      <c r="D1508">
        <v>32</v>
      </c>
      <c r="E1508" s="16" t="s">
        <v>121</v>
      </c>
      <c r="F1508" s="16" t="s">
        <v>92</v>
      </c>
      <c r="G1508" s="22">
        <v>23</v>
      </c>
      <c r="H1508" s="18">
        <v>10.27</v>
      </c>
      <c r="I1508" s="18">
        <v>0.44652173899999997</v>
      </c>
      <c r="J1508" s="18">
        <v>0.46</v>
      </c>
      <c r="K1508" s="18">
        <v>0.44</v>
      </c>
      <c r="L1508" s="22">
        <v>9</v>
      </c>
    </row>
    <row r="1509" spans="1:12">
      <c r="A1509">
        <v>2</v>
      </c>
      <c r="B1509" s="16" t="s">
        <v>56</v>
      </c>
      <c r="C1509" s="9">
        <v>46204</v>
      </c>
      <c r="D1509">
        <v>32</v>
      </c>
      <c r="E1509" s="16" t="s">
        <v>121</v>
      </c>
      <c r="F1509" s="16" t="s">
        <v>92</v>
      </c>
      <c r="G1509" s="22">
        <v>21.5</v>
      </c>
      <c r="H1509" s="18">
        <v>9.4949999999999992</v>
      </c>
      <c r="I1509" s="18">
        <v>0.44162790699999999</v>
      </c>
      <c r="J1509" s="18">
        <v>0.45</v>
      </c>
      <c r="K1509" s="18">
        <v>0.44</v>
      </c>
      <c r="L1509" s="22">
        <v>9</v>
      </c>
    </row>
    <row r="1510" spans="1:12">
      <c r="A1510">
        <v>2</v>
      </c>
      <c r="B1510" s="16" t="s">
        <v>56</v>
      </c>
      <c r="C1510" s="9">
        <v>46235</v>
      </c>
      <c r="D1510">
        <v>32</v>
      </c>
      <c r="E1510" s="16" t="s">
        <v>121</v>
      </c>
      <c r="F1510" s="16" t="s">
        <v>92</v>
      </c>
      <c r="G1510" s="22">
        <v>23.5</v>
      </c>
      <c r="H1510" s="18">
        <v>10.615</v>
      </c>
      <c r="I1510" s="18">
        <v>0.45170212799999998</v>
      </c>
      <c r="J1510" s="18">
        <v>0.46</v>
      </c>
      <c r="K1510" s="18">
        <v>0.44</v>
      </c>
      <c r="L1510" s="22">
        <v>9</v>
      </c>
    </row>
    <row r="1511" spans="1:12">
      <c r="A1511">
        <v>2</v>
      </c>
      <c r="B1511" s="16" t="s">
        <v>56</v>
      </c>
      <c r="C1511" s="9">
        <v>46266</v>
      </c>
      <c r="D1511">
        <v>32</v>
      </c>
      <c r="E1511" s="16" t="s">
        <v>121</v>
      </c>
      <c r="F1511" s="16" t="s">
        <v>92</v>
      </c>
      <c r="G1511" s="22">
        <v>15</v>
      </c>
      <c r="H1511" s="18">
        <v>7.1050000000000004</v>
      </c>
      <c r="I1511" s="18">
        <v>0.47366666699999999</v>
      </c>
      <c r="J1511" s="18">
        <v>0.48</v>
      </c>
      <c r="K1511" s="18">
        <v>0.46</v>
      </c>
      <c r="L1511" s="22">
        <v>8</v>
      </c>
    </row>
    <row r="1512" spans="1:12">
      <c r="A1512">
        <v>2</v>
      </c>
      <c r="B1512" s="16" t="s">
        <v>56</v>
      </c>
      <c r="C1512" s="9">
        <v>45689</v>
      </c>
      <c r="D1512">
        <v>33</v>
      </c>
      <c r="E1512" s="16" t="s">
        <v>122</v>
      </c>
      <c r="F1512" s="16" t="s">
        <v>92</v>
      </c>
      <c r="G1512" s="22">
        <v>92</v>
      </c>
      <c r="H1512" s="18">
        <v>72.36</v>
      </c>
      <c r="I1512" s="18">
        <v>0.786521739</v>
      </c>
      <c r="J1512" s="18">
        <v>0.8</v>
      </c>
      <c r="K1512" s="18">
        <v>0.76</v>
      </c>
      <c r="L1512" s="22">
        <v>8</v>
      </c>
    </row>
    <row r="1513" spans="1:12">
      <c r="A1513">
        <v>2</v>
      </c>
      <c r="B1513" s="16" t="s">
        <v>56</v>
      </c>
      <c r="C1513" s="9">
        <v>45717</v>
      </c>
      <c r="D1513">
        <v>33</v>
      </c>
      <c r="E1513" s="16" t="s">
        <v>122</v>
      </c>
      <c r="F1513" s="16" t="s">
        <v>92</v>
      </c>
      <c r="G1513" s="22">
        <v>100</v>
      </c>
      <c r="H1513" s="18">
        <v>77.5</v>
      </c>
      <c r="I1513" s="18">
        <v>0.77500000000000002</v>
      </c>
      <c r="J1513" s="18">
        <v>0.79</v>
      </c>
      <c r="K1513" s="18">
        <v>0.76</v>
      </c>
      <c r="L1513" s="22">
        <v>9</v>
      </c>
    </row>
    <row r="1514" spans="1:12">
      <c r="A1514">
        <v>2</v>
      </c>
      <c r="B1514" s="16" t="s">
        <v>56</v>
      </c>
      <c r="C1514" s="9">
        <v>45748</v>
      </c>
      <c r="D1514">
        <v>33</v>
      </c>
      <c r="E1514" s="16" t="s">
        <v>122</v>
      </c>
      <c r="F1514" s="16" t="s">
        <v>92</v>
      </c>
      <c r="G1514" s="22">
        <v>112</v>
      </c>
      <c r="H1514" s="18">
        <v>83.32</v>
      </c>
      <c r="I1514" s="18">
        <v>0.74392857099999998</v>
      </c>
      <c r="J1514" s="18">
        <v>0.75</v>
      </c>
      <c r="K1514" s="18">
        <v>0.74</v>
      </c>
      <c r="L1514" s="22">
        <v>8</v>
      </c>
    </row>
    <row r="1515" spans="1:12">
      <c r="A1515">
        <v>2</v>
      </c>
      <c r="B1515" s="16" t="s">
        <v>56</v>
      </c>
      <c r="C1515" s="9">
        <v>45778</v>
      </c>
      <c r="D1515">
        <v>33</v>
      </c>
      <c r="E1515" s="16" t="s">
        <v>122</v>
      </c>
      <c r="F1515" s="16" t="s">
        <v>92</v>
      </c>
      <c r="G1515" s="22">
        <v>156</v>
      </c>
      <c r="H1515" s="18">
        <v>111.46</v>
      </c>
      <c r="I1515" s="18">
        <v>0.71448717900000003</v>
      </c>
      <c r="J1515" s="18">
        <v>0.72</v>
      </c>
      <c r="K1515" s="18">
        <v>0.71</v>
      </c>
      <c r="L1515" s="22">
        <v>9</v>
      </c>
    </row>
    <row r="1516" spans="1:12">
      <c r="A1516">
        <v>2</v>
      </c>
      <c r="B1516" s="16" t="s">
        <v>56</v>
      </c>
      <c r="C1516" s="9">
        <v>45809</v>
      </c>
      <c r="D1516">
        <v>33</v>
      </c>
      <c r="E1516" s="16" t="s">
        <v>122</v>
      </c>
      <c r="F1516" s="16" t="s">
        <v>92</v>
      </c>
      <c r="G1516" s="22">
        <v>112</v>
      </c>
      <c r="H1516" s="18">
        <v>77.8</v>
      </c>
      <c r="I1516" s="18">
        <v>0.69464285699999995</v>
      </c>
      <c r="J1516" s="18">
        <v>0.71</v>
      </c>
      <c r="K1516" s="18">
        <v>0.68</v>
      </c>
      <c r="L1516" s="22">
        <v>9</v>
      </c>
    </row>
    <row r="1517" spans="1:12">
      <c r="A1517">
        <v>2</v>
      </c>
      <c r="B1517" s="16" t="s">
        <v>56</v>
      </c>
      <c r="C1517" s="9">
        <v>45839</v>
      </c>
      <c r="D1517">
        <v>33</v>
      </c>
      <c r="E1517" s="16" t="s">
        <v>122</v>
      </c>
      <c r="F1517" s="16" t="s">
        <v>92</v>
      </c>
      <c r="G1517" s="22">
        <v>116</v>
      </c>
      <c r="H1517" s="18">
        <v>79.78</v>
      </c>
      <c r="I1517" s="18">
        <v>0.68775862099999996</v>
      </c>
      <c r="J1517" s="18">
        <v>0.7</v>
      </c>
      <c r="K1517" s="18">
        <v>0.67</v>
      </c>
      <c r="L1517" s="22">
        <v>9</v>
      </c>
    </row>
    <row r="1518" spans="1:12">
      <c r="A1518">
        <v>2</v>
      </c>
      <c r="B1518" s="16" t="s">
        <v>56</v>
      </c>
      <c r="C1518" s="9">
        <v>45870</v>
      </c>
      <c r="D1518">
        <v>33</v>
      </c>
      <c r="E1518" s="16" t="s">
        <v>122</v>
      </c>
      <c r="F1518" s="16" t="s">
        <v>92</v>
      </c>
      <c r="G1518" s="22">
        <v>118</v>
      </c>
      <c r="H1518" s="18">
        <v>82.96</v>
      </c>
      <c r="I1518" s="18">
        <v>0.70305084699999998</v>
      </c>
      <c r="J1518" s="18">
        <v>0.73</v>
      </c>
      <c r="K1518" s="18">
        <v>0.69</v>
      </c>
      <c r="L1518" s="22">
        <v>8</v>
      </c>
    </row>
    <row r="1519" spans="1:12">
      <c r="A1519">
        <v>2</v>
      </c>
      <c r="B1519" s="16" t="s">
        <v>56</v>
      </c>
      <c r="C1519" s="9">
        <v>45901</v>
      </c>
      <c r="D1519">
        <v>33</v>
      </c>
      <c r="E1519" s="16" t="s">
        <v>122</v>
      </c>
      <c r="F1519" s="16" t="s">
        <v>92</v>
      </c>
      <c r="G1519" s="22">
        <v>122</v>
      </c>
      <c r="H1519" s="18">
        <v>88.44</v>
      </c>
      <c r="I1519" s="18">
        <v>0.72491803300000002</v>
      </c>
      <c r="J1519" s="18">
        <v>0.74</v>
      </c>
      <c r="K1519" s="18">
        <v>0.71</v>
      </c>
      <c r="L1519" s="22">
        <v>9</v>
      </c>
    </row>
    <row r="1520" spans="1:12">
      <c r="A1520">
        <v>2</v>
      </c>
      <c r="B1520" s="16" t="s">
        <v>56</v>
      </c>
      <c r="C1520" s="9">
        <v>45931</v>
      </c>
      <c r="D1520">
        <v>33</v>
      </c>
      <c r="E1520" s="16" t="s">
        <v>122</v>
      </c>
      <c r="F1520" s="16" t="s">
        <v>92</v>
      </c>
      <c r="G1520" s="22">
        <v>126</v>
      </c>
      <c r="H1520" s="18">
        <v>93.94</v>
      </c>
      <c r="I1520" s="18">
        <v>0.74555555600000001</v>
      </c>
      <c r="J1520" s="18">
        <v>0.79</v>
      </c>
      <c r="K1520" s="18">
        <v>0.73</v>
      </c>
      <c r="L1520" s="22">
        <v>9</v>
      </c>
    </row>
    <row r="1521" spans="1:12">
      <c r="A1521">
        <v>2</v>
      </c>
      <c r="B1521" s="16" t="s">
        <v>56</v>
      </c>
      <c r="C1521" s="9">
        <v>45962</v>
      </c>
      <c r="D1521">
        <v>33</v>
      </c>
      <c r="E1521" s="16" t="s">
        <v>122</v>
      </c>
      <c r="F1521" s="16" t="s">
        <v>92</v>
      </c>
      <c r="G1521" s="22">
        <v>96</v>
      </c>
      <c r="H1521" s="18">
        <v>75.84</v>
      </c>
      <c r="I1521" s="18">
        <v>0.79</v>
      </c>
      <c r="J1521" s="18">
        <v>0.8</v>
      </c>
      <c r="K1521" s="18">
        <v>0.78</v>
      </c>
      <c r="L1521" s="22">
        <v>8</v>
      </c>
    </row>
    <row r="1522" spans="1:12">
      <c r="A1522">
        <v>2</v>
      </c>
      <c r="B1522" s="16" t="s">
        <v>56</v>
      </c>
      <c r="C1522" s="9">
        <v>45992</v>
      </c>
      <c r="D1522">
        <v>33</v>
      </c>
      <c r="E1522" s="16" t="s">
        <v>122</v>
      </c>
      <c r="F1522" s="16" t="s">
        <v>92</v>
      </c>
      <c r="G1522" s="22">
        <v>130</v>
      </c>
      <c r="H1522" s="18">
        <v>104.9</v>
      </c>
      <c r="I1522" s="18">
        <v>0.80692307699999999</v>
      </c>
      <c r="J1522" s="18">
        <v>0.83</v>
      </c>
      <c r="K1522" s="18">
        <v>0.8</v>
      </c>
      <c r="L1522" s="22">
        <v>9</v>
      </c>
    </row>
    <row r="1523" spans="1:12">
      <c r="A1523">
        <v>2</v>
      </c>
      <c r="B1523" s="16" t="s">
        <v>56</v>
      </c>
      <c r="C1523" s="9">
        <v>46023</v>
      </c>
      <c r="D1523">
        <v>33</v>
      </c>
      <c r="E1523" s="16" t="s">
        <v>122</v>
      </c>
      <c r="F1523" s="16" t="s">
        <v>92</v>
      </c>
      <c r="G1523" s="22">
        <v>78</v>
      </c>
      <c r="H1523" s="18">
        <v>64.12</v>
      </c>
      <c r="I1523" s="18">
        <v>0.82205128199999999</v>
      </c>
      <c r="J1523" s="18">
        <v>0.84</v>
      </c>
      <c r="K1523" s="18">
        <v>0.8</v>
      </c>
      <c r="L1523" s="22">
        <v>9</v>
      </c>
    </row>
    <row r="1524" spans="1:12">
      <c r="A1524">
        <v>2</v>
      </c>
      <c r="B1524" s="16" t="s">
        <v>56</v>
      </c>
      <c r="C1524" s="9">
        <v>46054</v>
      </c>
      <c r="D1524">
        <v>33</v>
      </c>
      <c r="E1524" s="16" t="s">
        <v>122</v>
      </c>
      <c r="F1524" s="16" t="s">
        <v>92</v>
      </c>
      <c r="G1524" s="22">
        <v>78</v>
      </c>
      <c r="H1524" s="18">
        <v>63.58</v>
      </c>
      <c r="I1524" s="18">
        <v>0.81512820500000005</v>
      </c>
      <c r="J1524" s="18">
        <v>0.83</v>
      </c>
      <c r="K1524" s="18">
        <v>0.79</v>
      </c>
      <c r="L1524" s="22">
        <v>8</v>
      </c>
    </row>
    <row r="1525" spans="1:12">
      <c r="A1525">
        <v>2</v>
      </c>
      <c r="B1525" s="16" t="s">
        <v>56</v>
      </c>
      <c r="C1525" s="9">
        <v>46082</v>
      </c>
      <c r="D1525">
        <v>33</v>
      </c>
      <c r="E1525" s="16" t="s">
        <v>122</v>
      </c>
      <c r="F1525" s="16" t="s">
        <v>92</v>
      </c>
      <c r="G1525" s="22">
        <v>100</v>
      </c>
      <c r="H1525" s="18">
        <v>78.86</v>
      </c>
      <c r="I1525" s="18">
        <v>0.78859999999999997</v>
      </c>
      <c r="J1525" s="18">
        <v>0.81</v>
      </c>
      <c r="K1525" s="18">
        <v>0.77</v>
      </c>
      <c r="L1525" s="22">
        <v>9</v>
      </c>
    </row>
    <row r="1526" spans="1:12">
      <c r="A1526">
        <v>2</v>
      </c>
      <c r="B1526" s="16" t="s">
        <v>56</v>
      </c>
      <c r="C1526" s="9">
        <v>46113</v>
      </c>
      <c r="D1526">
        <v>33</v>
      </c>
      <c r="E1526" s="16" t="s">
        <v>122</v>
      </c>
      <c r="F1526" s="16" t="s">
        <v>92</v>
      </c>
      <c r="G1526" s="22">
        <v>134</v>
      </c>
      <c r="H1526" s="18">
        <v>102.08</v>
      </c>
      <c r="I1526" s="18">
        <v>0.76179104500000006</v>
      </c>
      <c r="J1526" s="18">
        <v>0.77</v>
      </c>
      <c r="K1526" s="18">
        <v>0.75</v>
      </c>
      <c r="L1526" s="22">
        <v>9</v>
      </c>
    </row>
    <row r="1527" spans="1:12">
      <c r="A1527">
        <v>2</v>
      </c>
      <c r="B1527" s="16" t="s">
        <v>56</v>
      </c>
      <c r="C1527" s="9">
        <v>46143</v>
      </c>
      <c r="D1527">
        <v>33</v>
      </c>
      <c r="E1527" s="16" t="s">
        <v>122</v>
      </c>
      <c r="F1527" s="16" t="s">
        <v>92</v>
      </c>
      <c r="G1527" s="22">
        <v>132</v>
      </c>
      <c r="H1527" s="18">
        <v>98.08</v>
      </c>
      <c r="I1527" s="18">
        <v>0.74303030299999995</v>
      </c>
      <c r="J1527" s="18">
        <v>0.75</v>
      </c>
      <c r="K1527" s="18">
        <v>0.72</v>
      </c>
      <c r="L1527" s="22">
        <v>8</v>
      </c>
    </row>
    <row r="1528" spans="1:12">
      <c r="A1528">
        <v>2</v>
      </c>
      <c r="B1528" s="16" t="s">
        <v>56</v>
      </c>
      <c r="C1528" s="9">
        <v>46174</v>
      </c>
      <c r="D1528">
        <v>33</v>
      </c>
      <c r="E1528" s="16" t="s">
        <v>122</v>
      </c>
      <c r="F1528" s="16" t="s">
        <v>92</v>
      </c>
      <c r="G1528" s="22">
        <v>138</v>
      </c>
      <c r="H1528" s="18">
        <v>98.7</v>
      </c>
      <c r="I1528" s="18">
        <v>0.71521739100000004</v>
      </c>
      <c r="J1528" s="18">
        <v>0.75</v>
      </c>
      <c r="K1528" s="18">
        <v>0.69</v>
      </c>
      <c r="L1528" s="22">
        <v>9</v>
      </c>
    </row>
    <row r="1529" spans="1:12">
      <c r="A1529">
        <v>2</v>
      </c>
      <c r="B1529" s="16" t="s">
        <v>56</v>
      </c>
      <c r="C1529" s="9">
        <v>46204</v>
      </c>
      <c r="D1529">
        <v>33</v>
      </c>
      <c r="E1529" s="16" t="s">
        <v>122</v>
      </c>
      <c r="F1529" s="16" t="s">
        <v>92</v>
      </c>
      <c r="G1529" s="22">
        <v>138</v>
      </c>
      <c r="H1529" s="18">
        <v>99</v>
      </c>
      <c r="I1529" s="18">
        <v>0.71739130399999995</v>
      </c>
      <c r="J1529" s="18">
        <v>0.75</v>
      </c>
      <c r="K1529" s="18">
        <v>0.69</v>
      </c>
      <c r="L1529" s="22">
        <v>9</v>
      </c>
    </row>
    <row r="1530" spans="1:12">
      <c r="A1530">
        <v>2</v>
      </c>
      <c r="B1530" s="16" t="s">
        <v>56</v>
      </c>
      <c r="C1530" s="9">
        <v>46235</v>
      </c>
      <c r="D1530">
        <v>33</v>
      </c>
      <c r="E1530" s="16" t="s">
        <v>122</v>
      </c>
      <c r="F1530" s="16" t="s">
        <v>92</v>
      </c>
      <c r="G1530" s="22">
        <v>136</v>
      </c>
      <c r="H1530" s="18">
        <v>97.22</v>
      </c>
      <c r="I1530" s="18">
        <v>0.71485294099999996</v>
      </c>
      <c r="J1530" s="18">
        <v>0.73</v>
      </c>
      <c r="K1530" s="18">
        <v>0.7</v>
      </c>
      <c r="L1530" s="22">
        <v>9</v>
      </c>
    </row>
    <row r="1531" spans="1:12">
      <c r="A1531">
        <v>2</v>
      </c>
      <c r="B1531" s="16" t="s">
        <v>56</v>
      </c>
      <c r="C1531" s="9">
        <v>46266</v>
      </c>
      <c r="D1531">
        <v>33</v>
      </c>
      <c r="E1531" s="16" t="s">
        <v>122</v>
      </c>
      <c r="F1531" s="16" t="s">
        <v>92</v>
      </c>
      <c r="G1531" s="22">
        <v>98</v>
      </c>
      <c r="H1531" s="18">
        <v>72.52</v>
      </c>
      <c r="I1531" s="18">
        <v>0.74</v>
      </c>
      <c r="J1531" s="18">
        <v>0.75</v>
      </c>
      <c r="K1531" s="18">
        <v>0.73</v>
      </c>
      <c r="L1531" s="22">
        <v>8</v>
      </c>
    </row>
    <row r="1532" spans="1:12">
      <c r="A1532">
        <v>2</v>
      </c>
      <c r="B1532" s="16" t="s">
        <v>56</v>
      </c>
      <c r="C1532" s="9">
        <v>45689</v>
      </c>
      <c r="D1532">
        <v>34</v>
      </c>
      <c r="E1532" s="16" t="s">
        <v>123</v>
      </c>
      <c r="F1532" s="16" t="s">
        <v>114</v>
      </c>
      <c r="G1532" s="22">
        <v>11.25</v>
      </c>
      <c r="H1532" s="18">
        <v>39.787500000000001</v>
      </c>
      <c r="I1532" s="18">
        <v>3.536666667</v>
      </c>
      <c r="J1532" s="18">
        <v>3.75</v>
      </c>
      <c r="K1532" s="18">
        <v>3.41</v>
      </c>
      <c r="L1532" s="22">
        <v>8</v>
      </c>
    </row>
    <row r="1533" spans="1:12">
      <c r="A1533">
        <v>2</v>
      </c>
      <c r="B1533" s="16" t="s">
        <v>56</v>
      </c>
      <c r="C1533" s="9">
        <v>45717</v>
      </c>
      <c r="D1533">
        <v>34</v>
      </c>
      <c r="E1533" s="16" t="s">
        <v>123</v>
      </c>
      <c r="F1533" s="16" t="s">
        <v>114</v>
      </c>
      <c r="G1533" s="22">
        <v>13.5</v>
      </c>
      <c r="H1533" s="18">
        <v>47.4</v>
      </c>
      <c r="I1533" s="18">
        <v>3.511111111</v>
      </c>
      <c r="J1533" s="18">
        <v>3.54</v>
      </c>
      <c r="K1533" s="18">
        <v>3.48</v>
      </c>
      <c r="L1533" s="22">
        <v>8</v>
      </c>
    </row>
    <row r="1534" spans="1:12">
      <c r="A1534">
        <v>2</v>
      </c>
      <c r="B1534" s="16" t="s">
        <v>56</v>
      </c>
      <c r="C1534" s="9">
        <v>45748</v>
      </c>
      <c r="D1534">
        <v>34</v>
      </c>
      <c r="E1534" s="16" t="s">
        <v>123</v>
      </c>
      <c r="F1534" s="16" t="s">
        <v>114</v>
      </c>
      <c r="G1534" s="22">
        <v>15.75</v>
      </c>
      <c r="H1534" s="18">
        <v>55.62</v>
      </c>
      <c r="I1534" s="18">
        <v>3.5314285710000002</v>
      </c>
      <c r="J1534" s="18">
        <v>3.6</v>
      </c>
      <c r="K1534" s="18">
        <v>3.46</v>
      </c>
      <c r="L1534" s="22">
        <v>9</v>
      </c>
    </row>
    <row r="1535" spans="1:12">
      <c r="A1535">
        <v>2</v>
      </c>
      <c r="B1535" s="16" t="s">
        <v>56</v>
      </c>
      <c r="C1535" s="9">
        <v>45778</v>
      </c>
      <c r="D1535">
        <v>34</v>
      </c>
      <c r="E1535" s="16" t="s">
        <v>123</v>
      </c>
      <c r="F1535" s="16" t="s">
        <v>114</v>
      </c>
      <c r="G1535" s="22">
        <v>18</v>
      </c>
      <c r="H1535" s="18">
        <v>64.792500000000004</v>
      </c>
      <c r="I1535" s="18">
        <v>3.599583333</v>
      </c>
      <c r="J1535" s="18">
        <v>3.64</v>
      </c>
      <c r="K1535" s="18">
        <v>3.54</v>
      </c>
      <c r="L1535" s="22">
        <v>9</v>
      </c>
    </row>
    <row r="1536" spans="1:12">
      <c r="A1536">
        <v>2</v>
      </c>
      <c r="B1536" s="16" t="s">
        <v>56</v>
      </c>
      <c r="C1536" s="9">
        <v>45809</v>
      </c>
      <c r="D1536">
        <v>34</v>
      </c>
      <c r="E1536" s="16" t="s">
        <v>123</v>
      </c>
      <c r="F1536" s="16" t="s">
        <v>114</v>
      </c>
      <c r="G1536" s="22">
        <v>15.75</v>
      </c>
      <c r="H1536" s="18">
        <v>56.73</v>
      </c>
      <c r="I1536" s="18">
        <v>3.6019047620000002</v>
      </c>
      <c r="J1536" s="18">
        <v>3.66</v>
      </c>
      <c r="K1536" s="18">
        <v>3.57</v>
      </c>
      <c r="L1536" s="22">
        <v>8</v>
      </c>
    </row>
    <row r="1537" spans="1:12">
      <c r="A1537">
        <v>2</v>
      </c>
      <c r="B1537" s="16" t="s">
        <v>56</v>
      </c>
      <c r="C1537" s="9">
        <v>45839</v>
      </c>
      <c r="D1537">
        <v>34</v>
      </c>
      <c r="E1537" s="16" t="s">
        <v>123</v>
      </c>
      <c r="F1537" s="16" t="s">
        <v>114</v>
      </c>
      <c r="G1537" s="22">
        <v>15</v>
      </c>
      <c r="H1537" s="18">
        <v>55.335000000000001</v>
      </c>
      <c r="I1537" s="18">
        <v>3.6890000000000001</v>
      </c>
      <c r="J1537" s="18">
        <v>3.74</v>
      </c>
      <c r="K1537" s="18">
        <v>3.58</v>
      </c>
      <c r="L1537" s="22">
        <v>9</v>
      </c>
    </row>
    <row r="1538" spans="1:12">
      <c r="A1538">
        <v>2</v>
      </c>
      <c r="B1538" s="16" t="s">
        <v>56</v>
      </c>
      <c r="C1538" s="9">
        <v>45870</v>
      </c>
      <c r="D1538">
        <v>34</v>
      </c>
      <c r="E1538" s="16" t="s">
        <v>123</v>
      </c>
      <c r="F1538" s="16" t="s">
        <v>114</v>
      </c>
      <c r="G1538" s="22">
        <v>15.75</v>
      </c>
      <c r="H1538" s="18">
        <v>58.432499999999997</v>
      </c>
      <c r="I1538" s="18">
        <v>3.71</v>
      </c>
      <c r="J1538" s="18">
        <v>3.81</v>
      </c>
      <c r="K1538" s="18">
        <v>3.62</v>
      </c>
      <c r="L1538" s="22">
        <v>9</v>
      </c>
    </row>
    <row r="1539" spans="1:12">
      <c r="A1539">
        <v>2</v>
      </c>
      <c r="B1539" s="16" t="s">
        <v>56</v>
      </c>
      <c r="C1539" s="9">
        <v>45901</v>
      </c>
      <c r="D1539">
        <v>34</v>
      </c>
      <c r="E1539" s="16" t="s">
        <v>123</v>
      </c>
      <c r="F1539" s="16" t="s">
        <v>114</v>
      </c>
      <c r="G1539" s="22">
        <v>18.75</v>
      </c>
      <c r="H1539" s="18">
        <v>69.900000000000006</v>
      </c>
      <c r="I1539" s="18">
        <v>3.7280000000000002</v>
      </c>
      <c r="J1539" s="18">
        <v>3.8</v>
      </c>
      <c r="K1539" s="18">
        <v>3.67</v>
      </c>
      <c r="L1539" s="22">
        <v>9</v>
      </c>
    </row>
    <row r="1540" spans="1:12">
      <c r="A1540">
        <v>2</v>
      </c>
      <c r="B1540" s="16" t="s">
        <v>56</v>
      </c>
      <c r="C1540" s="9">
        <v>45931</v>
      </c>
      <c r="D1540">
        <v>34</v>
      </c>
      <c r="E1540" s="16" t="s">
        <v>123</v>
      </c>
      <c r="F1540" s="16" t="s">
        <v>114</v>
      </c>
      <c r="G1540" s="22">
        <v>19.5</v>
      </c>
      <c r="H1540" s="18">
        <v>73.349999999999994</v>
      </c>
      <c r="I1540" s="18">
        <v>3.7615384619999999</v>
      </c>
      <c r="J1540" s="18">
        <v>3.82</v>
      </c>
      <c r="K1540" s="18">
        <v>3.7</v>
      </c>
      <c r="L1540" s="22">
        <v>9</v>
      </c>
    </row>
    <row r="1541" spans="1:12">
      <c r="A1541">
        <v>2</v>
      </c>
      <c r="B1541" s="16" t="s">
        <v>56</v>
      </c>
      <c r="C1541" s="9">
        <v>45962</v>
      </c>
      <c r="D1541">
        <v>34</v>
      </c>
      <c r="E1541" s="16" t="s">
        <v>123</v>
      </c>
      <c r="F1541" s="16" t="s">
        <v>114</v>
      </c>
      <c r="G1541" s="22">
        <v>13.5</v>
      </c>
      <c r="H1541" s="18">
        <v>50.602499999999999</v>
      </c>
      <c r="I1541" s="18">
        <v>3.7483333330000002</v>
      </c>
      <c r="J1541" s="18">
        <v>3.82</v>
      </c>
      <c r="K1541" s="18">
        <v>3.67</v>
      </c>
      <c r="L1541" s="22">
        <v>8</v>
      </c>
    </row>
    <row r="1542" spans="1:12">
      <c r="A1542">
        <v>2</v>
      </c>
      <c r="B1542" s="16" t="s">
        <v>56</v>
      </c>
      <c r="C1542" s="9">
        <v>45992</v>
      </c>
      <c r="D1542">
        <v>34</v>
      </c>
      <c r="E1542" s="16" t="s">
        <v>123</v>
      </c>
      <c r="F1542" s="16" t="s">
        <v>114</v>
      </c>
      <c r="G1542" s="22">
        <v>19.5</v>
      </c>
      <c r="H1542" s="18">
        <v>73.717500000000001</v>
      </c>
      <c r="I1542" s="18">
        <v>3.780384615</v>
      </c>
      <c r="J1542" s="18">
        <v>3.85</v>
      </c>
      <c r="K1542" s="18">
        <v>3.75</v>
      </c>
      <c r="L1542" s="22">
        <v>9</v>
      </c>
    </row>
    <row r="1543" spans="1:12">
      <c r="A1543">
        <v>2</v>
      </c>
      <c r="B1543" s="16" t="s">
        <v>56</v>
      </c>
      <c r="C1543" s="9">
        <v>46023</v>
      </c>
      <c r="D1543">
        <v>34</v>
      </c>
      <c r="E1543" s="16" t="s">
        <v>123</v>
      </c>
      <c r="F1543" s="16" t="s">
        <v>114</v>
      </c>
      <c r="G1543" s="22">
        <v>12.75</v>
      </c>
      <c r="H1543" s="18">
        <v>48.3675</v>
      </c>
      <c r="I1543" s="18">
        <v>3.7935294119999998</v>
      </c>
      <c r="J1543" s="18">
        <v>3.86</v>
      </c>
      <c r="K1543" s="18">
        <v>3.74</v>
      </c>
      <c r="L1543" s="22">
        <v>9</v>
      </c>
    </row>
    <row r="1544" spans="1:12">
      <c r="A1544">
        <v>2</v>
      </c>
      <c r="B1544" s="16" t="s">
        <v>56</v>
      </c>
      <c r="C1544" s="9">
        <v>46054</v>
      </c>
      <c r="D1544">
        <v>34</v>
      </c>
      <c r="E1544" s="16" t="s">
        <v>123</v>
      </c>
      <c r="F1544" s="16" t="s">
        <v>114</v>
      </c>
      <c r="G1544" s="22">
        <v>15</v>
      </c>
      <c r="H1544" s="18">
        <v>56.8125</v>
      </c>
      <c r="I1544" s="18">
        <v>3.7875000000000001</v>
      </c>
      <c r="J1544" s="18">
        <v>3.84</v>
      </c>
      <c r="K1544" s="18">
        <v>3.74</v>
      </c>
      <c r="L1544" s="22">
        <v>8</v>
      </c>
    </row>
    <row r="1545" spans="1:12">
      <c r="A1545">
        <v>2</v>
      </c>
      <c r="B1545" s="16" t="s">
        <v>56</v>
      </c>
      <c r="C1545" s="9">
        <v>46082</v>
      </c>
      <c r="D1545">
        <v>34</v>
      </c>
      <c r="E1545" s="16" t="s">
        <v>123</v>
      </c>
      <c r="F1545" s="16" t="s">
        <v>114</v>
      </c>
      <c r="G1545" s="22">
        <v>15.75</v>
      </c>
      <c r="H1545" s="18">
        <v>60.262500000000003</v>
      </c>
      <c r="I1545" s="18">
        <v>3.8261904759999998</v>
      </c>
      <c r="J1545" s="18">
        <v>3.89</v>
      </c>
      <c r="K1545" s="18">
        <v>3.77</v>
      </c>
      <c r="L1545" s="22">
        <v>9</v>
      </c>
    </row>
    <row r="1546" spans="1:12">
      <c r="A1546">
        <v>2</v>
      </c>
      <c r="B1546" s="16" t="s">
        <v>56</v>
      </c>
      <c r="C1546" s="9">
        <v>46113</v>
      </c>
      <c r="D1546">
        <v>34</v>
      </c>
      <c r="E1546" s="16" t="s">
        <v>123</v>
      </c>
      <c r="F1546" s="16" t="s">
        <v>114</v>
      </c>
      <c r="G1546" s="22">
        <v>16.5</v>
      </c>
      <c r="H1546" s="18">
        <v>63.082500000000003</v>
      </c>
      <c r="I1546" s="18">
        <v>3.8231818180000001</v>
      </c>
      <c r="J1546" s="18">
        <v>3.93</v>
      </c>
      <c r="K1546" s="18">
        <v>3.79</v>
      </c>
      <c r="L1546" s="22">
        <v>8</v>
      </c>
    </row>
    <row r="1547" spans="1:12">
      <c r="A1547">
        <v>2</v>
      </c>
      <c r="B1547" s="16" t="s">
        <v>56</v>
      </c>
      <c r="C1547" s="9">
        <v>46143</v>
      </c>
      <c r="D1547">
        <v>34</v>
      </c>
      <c r="E1547" s="16" t="s">
        <v>123</v>
      </c>
      <c r="F1547" s="16" t="s">
        <v>114</v>
      </c>
      <c r="G1547" s="22">
        <v>21.75</v>
      </c>
      <c r="H1547" s="18">
        <v>85.245000000000005</v>
      </c>
      <c r="I1547" s="18">
        <v>3.919310345</v>
      </c>
      <c r="J1547" s="18">
        <v>4.13</v>
      </c>
      <c r="K1547" s="18">
        <v>3.86</v>
      </c>
      <c r="L1547" s="22">
        <v>9</v>
      </c>
    </row>
    <row r="1548" spans="1:12">
      <c r="A1548">
        <v>2</v>
      </c>
      <c r="B1548" s="16" t="s">
        <v>56</v>
      </c>
      <c r="C1548" s="9">
        <v>46174</v>
      </c>
      <c r="D1548">
        <v>34</v>
      </c>
      <c r="E1548" s="16" t="s">
        <v>123</v>
      </c>
      <c r="F1548" s="16" t="s">
        <v>114</v>
      </c>
      <c r="G1548" s="22">
        <v>21.75</v>
      </c>
      <c r="H1548" s="18">
        <v>84.907499999999999</v>
      </c>
      <c r="I1548" s="18">
        <v>3.9037931029999999</v>
      </c>
      <c r="J1548" s="18">
        <v>3.96</v>
      </c>
      <c r="K1548" s="18">
        <v>3.86</v>
      </c>
      <c r="L1548" s="22">
        <v>9</v>
      </c>
    </row>
    <row r="1549" spans="1:12">
      <c r="A1549">
        <v>2</v>
      </c>
      <c r="B1549" s="16" t="s">
        <v>56</v>
      </c>
      <c r="C1549" s="9">
        <v>46204</v>
      </c>
      <c r="D1549">
        <v>34</v>
      </c>
      <c r="E1549" s="16" t="s">
        <v>123</v>
      </c>
      <c r="F1549" s="16" t="s">
        <v>114</v>
      </c>
      <c r="G1549" s="22">
        <v>18.75</v>
      </c>
      <c r="H1549" s="18">
        <v>72.352500000000006</v>
      </c>
      <c r="I1549" s="18">
        <v>3.8588</v>
      </c>
      <c r="J1549" s="18">
        <v>4.07</v>
      </c>
      <c r="K1549" s="18">
        <v>3.78</v>
      </c>
      <c r="L1549" s="22">
        <v>9</v>
      </c>
    </row>
    <row r="1550" spans="1:12">
      <c r="A1550">
        <v>2</v>
      </c>
      <c r="B1550" s="16" t="s">
        <v>56</v>
      </c>
      <c r="C1550" s="9">
        <v>46235</v>
      </c>
      <c r="D1550">
        <v>34</v>
      </c>
      <c r="E1550" s="16" t="s">
        <v>123</v>
      </c>
      <c r="F1550" s="16" t="s">
        <v>114</v>
      </c>
      <c r="G1550" s="22">
        <v>14.25</v>
      </c>
      <c r="H1550" s="18">
        <v>54.96</v>
      </c>
      <c r="I1550" s="18">
        <v>3.8568421050000001</v>
      </c>
      <c r="J1550" s="18">
        <v>3.93</v>
      </c>
      <c r="K1550" s="18">
        <v>3.79</v>
      </c>
      <c r="L1550" s="22">
        <v>8</v>
      </c>
    </row>
    <row r="1551" spans="1:12">
      <c r="A1551">
        <v>2</v>
      </c>
      <c r="B1551" s="16" t="s">
        <v>56</v>
      </c>
      <c r="C1551" s="9">
        <v>46266</v>
      </c>
      <c r="D1551">
        <v>34</v>
      </c>
      <c r="E1551" s="16" t="s">
        <v>123</v>
      </c>
      <c r="F1551" s="16" t="s">
        <v>114</v>
      </c>
      <c r="G1551" s="22">
        <v>16.5</v>
      </c>
      <c r="H1551" s="18">
        <v>63.817500000000003</v>
      </c>
      <c r="I1551" s="18">
        <v>3.8677272729999999</v>
      </c>
      <c r="J1551" s="18">
        <v>3.95</v>
      </c>
      <c r="K1551" s="18">
        <v>3.8</v>
      </c>
      <c r="L1551" s="22">
        <v>9</v>
      </c>
    </row>
    <row r="1552" spans="1:12">
      <c r="A1552">
        <v>2</v>
      </c>
      <c r="B1552" s="16" t="s">
        <v>56</v>
      </c>
      <c r="C1552" s="9">
        <v>45717</v>
      </c>
      <c r="D1552">
        <v>35</v>
      </c>
      <c r="E1552" s="16" t="s">
        <v>124</v>
      </c>
      <c r="F1552" s="16" t="s">
        <v>90</v>
      </c>
      <c r="G1552" s="22">
        <v>1</v>
      </c>
      <c r="H1552" s="18">
        <v>7.35</v>
      </c>
      <c r="I1552" s="18">
        <v>7.35</v>
      </c>
      <c r="J1552" s="18">
        <v>7.35</v>
      </c>
      <c r="K1552" s="18">
        <v>7.35</v>
      </c>
      <c r="L1552" s="22">
        <v>1</v>
      </c>
    </row>
    <row r="1553" spans="1:12">
      <c r="A1553">
        <v>2</v>
      </c>
      <c r="B1553" s="16" t="s">
        <v>56</v>
      </c>
      <c r="C1553" s="9">
        <v>45748</v>
      </c>
      <c r="D1553">
        <v>35</v>
      </c>
      <c r="E1553" s="16" t="s">
        <v>124</v>
      </c>
      <c r="F1553" s="16" t="s">
        <v>90</v>
      </c>
      <c r="G1553" s="22">
        <v>1</v>
      </c>
      <c r="H1553" s="18">
        <v>7.29</v>
      </c>
      <c r="I1553" s="18">
        <v>7.29</v>
      </c>
      <c r="J1553" s="18">
        <v>7.29</v>
      </c>
      <c r="K1553" s="18">
        <v>7.29</v>
      </c>
      <c r="L1553" s="22">
        <v>1</v>
      </c>
    </row>
    <row r="1554" spans="1:12">
      <c r="A1554">
        <v>2</v>
      </c>
      <c r="B1554" s="16" t="s">
        <v>56</v>
      </c>
      <c r="C1554" s="9">
        <v>45778</v>
      </c>
      <c r="D1554">
        <v>35</v>
      </c>
      <c r="E1554" s="16" t="s">
        <v>124</v>
      </c>
      <c r="F1554" s="16" t="s">
        <v>90</v>
      </c>
      <c r="G1554" s="22">
        <v>1</v>
      </c>
      <c r="H1554" s="18">
        <v>7.4</v>
      </c>
      <c r="I1554" s="18">
        <v>7.4</v>
      </c>
      <c r="J1554" s="18">
        <v>7.4</v>
      </c>
      <c r="K1554" s="18">
        <v>7.4</v>
      </c>
      <c r="L1554" s="22">
        <v>1</v>
      </c>
    </row>
    <row r="1555" spans="1:12">
      <c r="A1555">
        <v>2</v>
      </c>
      <c r="B1555" s="16" t="s">
        <v>56</v>
      </c>
      <c r="C1555" s="9">
        <v>45809</v>
      </c>
      <c r="D1555">
        <v>35</v>
      </c>
      <c r="E1555" s="16" t="s">
        <v>124</v>
      </c>
      <c r="F1555" s="16" t="s">
        <v>90</v>
      </c>
      <c r="G1555" s="22">
        <v>1</v>
      </c>
      <c r="H1555" s="18">
        <v>7.42</v>
      </c>
      <c r="I1555" s="18">
        <v>7.42</v>
      </c>
      <c r="J1555" s="18">
        <v>7.42</v>
      </c>
      <c r="K1555" s="18">
        <v>7.42</v>
      </c>
      <c r="L1555" s="22">
        <v>1</v>
      </c>
    </row>
    <row r="1556" spans="1:12">
      <c r="A1556">
        <v>2</v>
      </c>
      <c r="B1556" s="16" t="s">
        <v>56</v>
      </c>
      <c r="C1556" s="9">
        <v>45870</v>
      </c>
      <c r="D1556">
        <v>35</v>
      </c>
      <c r="E1556" s="16" t="s">
        <v>124</v>
      </c>
      <c r="F1556" s="16" t="s">
        <v>90</v>
      </c>
      <c r="G1556" s="22">
        <v>1</v>
      </c>
      <c r="H1556" s="18">
        <v>7.49</v>
      </c>
      <c r="I1556" s="18">
        <v>7.49</v>
      </c>
      <c r="J1556" s="18">
        <v>7.49</v>
      </c>
      <c r="K1556" s="18">
        <v>7.49</v>
      </c>
      <c r="L1556" s="22">
        <v>1</v>
      </c>
    </row>
    <row r="1557" spans="1:12">
      <c r="A1557">
        <v>2</v>
      </c>
      <c r="B1557" s="16" t="s">
        <v>56</v>
      </c>
      <c r="C1557" s="9">
        <v>45901</v>
      </c>
      <c r="D1557">
        <v>35</v>
      </c>
      <c r="E1557" s="16" t="s">
        <v>124</v>
      </c>
      <c r="F1557" s="16" t="s">
        <v>90</v>
      </c>
      <c r="G1557" s="22">
        <v>1</v>
      </c>
      <c r="H1557" s="18">
        <v>7.49</v>
      </c>
      <c r="I1557" s="18">
        <v>7.49</v>
      </c>
      <c r="J1557" s="18">
        <v>7.49</v>
      </c>
      <c r="K1557" s="18">
        <v>7.49</v>
      </c>
      <c r="L1557" s="22">
        <v>1</v>
      </c>
    </row>
    <row r="1558" spans="1:12">
      <c r="A1558">
        <v>2</v>
      </c>
      <c r="B1558" s="16" t="s">
        <v>56</v>
      </c>
      <c r="C1558" s="9">
        <v>45931</v>
      </c>
      <c r="D1558">
        <v>35</v>
      </c>
      <c r="E1558" s="16" t="s">
        <v>124</v>
      </c>
      <c r="F1558" s="16" t="s">
        <v>90</v>
      </c>
      <c r="G1558" s="22">
        <v>1</v>
      </c>
      <c r="H1558" s="18">
        <v>7.62</v>
      </c>
      <c r="I1558" s="18">
        <v>7.62</v>
      </c>
      <c r="J1558" s="18">
        <v>7.62</v>
      </c>
      <c r="K1558" s="18">
        <v>7.62</v>
      </c>
      <c r="L1558" s="22">
        <v>1</v>
      </c>
    </row>
    <row r="1559" spans="1:12">
      <c r="A1559">
        <v>2</v>
      </c>
      <c r="B1559" s="16" t="s">
        <v>56</v>
      </c>
      <c r="C1559" s="9">
        <v>45962</v>
      </c>
      <c r="D1559">
        <v>35</v>
      </c>
      <c r="E1559" s="16" t="s">
        <v>124</v>
      </c>
      <c r="F1559" s="16" t="s">
        <v>90</v>
      </c>
      <c r="G1559" s="22">
        <v>1</v>
      </c>
      <c r="H1559" s="18">
        <v>7.5</v>
      </c>
      <c r="I1559" s="18">
        <v>7.5</v>
      </c>
      <c r="J1559" s="18">
        <v>7.5</v>
      </c>
      <c r="K1559" s="18">
        <v>7.5</v>
      </c>
      <c r="L1559" s="22">
        <v>1</v>
      </c>
    </row>
    <row r="1560" spans="1:12">
      <c r="A1560">
        <v>2</v>
      </c>
      <c r="B1560" s="16" t="s">
        <v>56</v>
      </c>
      <c r="C1560" s="9">
        <v>45992</v>
      </c>
      <c r="D1560">
        <v>35</v>
      </c>
      <c r="E1560" s="16" t="s">
        <v>124</v>
      </c>
      <c r="F1560" s="16" t="s">
        <v>90</v>
      </c>
      <c r="G1560" s="22">
        <v>1</v>
      </c>
      <c r="H1560" s="18">
        <v>7.61</v>
      </c>
      <c r="I1560" s="18">
        <v>7.61</v>
      </c>
      <c r="J1560" s="18">
        <v>7.61</v>
      </c>
      <c r="K1560" s="18">
        <v>7.61</v>
      </c>
      <c r="L1560" s="22">
        <v>1</v>
      </c>
    </row>
    <row r="1561" spans="1:12">
      <c r="A1561">
        <v>2</v>
      </c>
      <c r="B1561" s="16" t="s">
        <v>56</v>
      </c>
      <c r="C1561" s="9">
        <v>46054</v>
      </c>
      <c r="D1561">
        <v>35</v>
      </c>
      <c r="E1561" s="16" t="s">
        <v>124</v>
      </c>
      <c r="F1561" s="16" t="s">
        <v>90</v>
      </c>
      <c r="G1561" s="22">
        <v>1</v>
      </c>
      <c r="H1561" s="18">
        <v>7.72</v>
      </c>
      <c r="I1561" s="18">
        <v>7.72</v>
      </c>
      <c r="J1561" s="18">
        <v>7.72</v>
      </c>
      <c r="K1561" s="18">
        <v>7.72</v>
      </c>
      <c r="L1561" s="22">
        <v>1</v>
      </c>
    </row>
    <row r="1562" spans="1:12">
      <c r="A1562">
        <v>2</v>
      </c>
      <c r="B1562" s="16" t="s">
        <v>56</v>
      </c>
      <c r="C1562" s="9">
        <v>46082</v>
      </c>
      <c r="D1562">
        <v>35</v>
      </c>
      <c r="E1562" s="16" t="s">
        <v>124</v>
      </c>
      <c r="F1562" s="16" t="s">
        <v>90</v>
      </c>
      <c r="G1562" s="22">
        <v>1</v>
      </c>
      <c r="H1562" s="18">
        <v>7.72</v>
      </c>
      <c r="I1562" s="18">
        <v>7.72</v>
      </c>
      <c r="J1562" s="18">
        <v>7.72</v>
      </c>
      <c r="K1562" s="18">
        <v>7.72</v>
      </c>
      <c r="L1562" s="22">
        <v>1</v>
      </c>
    </row>
    <row r="1563" spans="1:12">
      <c r="A1563">
        <v>2</v>
      </c>
      <c r="B1563" s="16" t="s">
        <v>56</v>
      </c>
      <c r="C1563" s="9">
        <v>46113</v>
      </c>
      <c r="D1563">
        <v>35</v>
      </c>
      <c r="E1563" s="16" t="s">
        <v>124</v>
      </c>
      <c r="F1563" s="16" t="s">
        <v>90</v>
      </c>
      <c r="G1563" s="22">
        <v>1</v>
      </c>
      <c r="H1563" s="18">
        <v>7.65</v>
      </c>
      <c r="I1563" s="18">
        <v>7.65</v>
      </c>
      <c r="J1563" s="18">
        <v>7.65</v>
      </c>
      <c r="K1563" s="18">
        <v>7.65</v>
      </c>
      <c r="L1563" s="22">
        <v>1</v>
      </c>
    </row>
    <row r="1564" spans="1:12">
      <c r="A1564">
        <v>2</v>
      </c>
      <c r="B1564" s="16" t="s">
        <v>56</v>
      </c>
      <c r="C1564" s="9">
        <v>46143</v>
      </c>
      <c r="D1564">
        <v>35</v>
      </c>
      <c r="E1564" s="16" t="s">
        <v>124</v>
      </c>
      <c r="F1564" s="16" t="s">
        <v>90</v>
      </c>
      <c r="G1564" s="22">
        <v>1</v>
      </c>
      <c r="H1564" s="18">
        <v>7.71</v>
      </c>
      <c r="I1564" s="18">
        <v>7.71</v>
      </c>
      <c r="J1564" s="18">
        <v>7.71</v>
      </c>
      <c r="K1564" s="18">
        <v>7.71</v>
      </c>
      <c r="L1564" s="22">
        <v>1</v>
      </c>
    </row>
    <row r="1565" spans="1:12">
      <c r="A1565">
        <v>2</v>
      </c>
      <c r="B1565" s="16" t="s">
        <v>56</v>
      </c>
      <c r="C1565" s="9">
        <v>46174</v>
      </c>
      <c r="D1565">
        <v>35</v>
      </c>
      <c r="E1565" s="16" t="s">
        <v>124</v>
      </c>
      <c r="F1565" s="16" t="s">
        <v>90</v>
      </c>
      <c r="G1565" s="22">
        <v>1</v>
      </c>
      <c r="H1565" s="18">
        <v>7.74</v>
      </c>
      <c r="I1565" s="18">
        <v>7.74</v>
      </c>
      <c r="J1565" s="18">
        <v>7.74</v>
      </c>
      <c r="K1565" s="18">
        <v>7.74</v>
      </c>
      <c r="L1565" s="22">
        <v>1</v>
      </c>
    </row>
    <row r="1566" spans="1:12">
      <c r="A1566">
        <v>2</v>
      </c>
      <c r="B1566" s="16" t="s">
        <v>56</v>
      </c>
      <c r="C1566" s="9">
        <v>46204</v>
      </c>
      <c r="D1566">
        <v>35</v>
      </c>
      <c r="E1566" s="16" t="s">
        <v>124</v>
      </c>
      <c r="F1566" s="16" t="s">
        <v>90</v>
      </c>
      <c r="G1566" s="22">
        <v>1</v>
      </c>
      <c r="H1566" s="18">
        <v>7.67</v>
      </c>
      <c r="I1566" s="18">
        <v>7.67</v>
      </c>
      <c r="J1566" s="18">
        <v>7.67</v>
      </c>
      <c r="K1566" s="18">
        <v>7.67</v>
      </c>
      <c r="L1566" s="22">
        <v>1</v>
      </c>
    </row>
    <row r="1567" spans="1:12">
      <c r="A1567">
        <v>2</v>
      </c>
      <c r="B1567" s="16" t="s">
        <v>56</v>
      </c>
      <c r="C1567" s="9">
        <v>46235</v>
      </c>
      <c r="D1567">
        <v>35</v>
      </c>
      <c r="E1567" s="16" t="s">
        <v>124</v>
      </c>
      <c r="F1567" s="16" t="s">
        <v>90</v>
      </c>
      <c r="G1567" s="22">
        <v>1</v>
      </c>
      <c r="H1567" s="18">
        <v>7.78</v>
      </c>
      <c r="I1567" s="18">
        <v>7.78</v>
      </c>
      <c r="J1567" s="18">
        <v>7.78</v>
      </c>
      <c r="K1567" s="18">
        <v>7.78</v>
      </c>
      <c r="L1567" s="22">
        <v>1</v>
      </c>
    </row>
    <row r="1568" spans="1:12">
      <c r="A1568">
        <v>2</v>
      </c>
      <c r="B1568" s="16" t="s">
        <v>56</v>
      </c>
      <c r="C1568" s="9">
        <v>46266</v>
      </c>
      <c r="D1568">
        <v>35</v>
      </c>
      <c r="E1568" s="16" t="s">
        <v>124</v>
      </c>
      <c r="F1568" s="16" t="s">
        <v>90</v>
      </c>
      <c r="G1568" s="22">
        <v>1</v>
      </c>
      <c r="H1568" s="18">
        <v>7.8</v>
      </c>
      <c r="I1568" s="18">
        <v>7.8</v>
      </c>
      <c r="J1568" s="18">
        <v>7.8</v>
      </c>
      <c r="K1568" s="18">
        <v>7.8</v>
      </c>
      <c r="L1568" s="22">
        <v>1</v>
      </c>
    </row>
    <row r="1569" spans="1:12">
      <c r="A1569">
        <v>2</v>
      </c>
      <c r="B1569" s="16" t="s">
        <v>56</v>
      </c>
      <c r="C1569" s="9">
        <v>45689</v>
      </c>
      <c r="D1569">
        <v>36</v>
      </c>
      <c r="E1569" s="16" t="s">
        <v>125</v>
      </c>
      <c r="F1569" s="16" t="s">
        <v>98</v>
      </c>
      <c r="G1569" s="22">
        <v>40</v>
      </c>
      <c r="H1569" s="18">
        <v>90</v>
      </c>
      <c r="I1569" s="18">
        <v>2.25</v>
      </c>
      <c r="J1569" s="18">
        <v>2.27</v>
      </c>
      <c r="K1569" s="18">
        <v>2.23</v>
      </c>
      <c r="L1569" s="22">
        <v>2</v>
      </c>
    </row>
    <row r="1570" spans="1:12">
      <c r="A1570">
        <v>2</v>
      </c>
      <c r="B1570" s="16" t="s">
        <v>56</v>
      </c>
      <c r="C1570" s="9">
        <v>45717</v>
      </c>
      <c r="D1570">
        <v>36</v>
      </c>
      <c r="E1570" s="16" t="s">
        <v>125</v>
      </c>
      <c r="F1570" s="16" t="s">
        <v>98</v>
      </c>
      <c r="G1570" s="22">
        <v>40</v>
      </c>
      <c r="H1570" s="18">
        <v>89.4</v>
      </c>
      <c r="I1570" s="18">
        <v>2.2349999999999999</v>
      </c>
      <c r="J1570" s="18">
        <v>2.2599999999999998</v>
      </c>
      <c r="K1570" s="18">
        <v>2.21</v>
      </c>
      <c r="L1570" s="22">
        <v>2</v>
      </c>
    </row>
    <row r="1571" spans="1:12">
      <c r="A1571">
        <v>2</v>
      </c>
      <c r="B1571" s="16" t="s">
        <v>56</v>
      </c>
      <c r="C1571" s="9">
        <v>45748</v>
      </c>
      <c r="D1571">
        <v>36</v>
      </c>
      <c r="E1571" s="16" t="s">
        <v>125</v>
      </c>
      <c r="F1571" s="16" t="s">
        <v>98</v>
      </c>
      <c r="G1571" s="22">
        <v>40</v>
      </c>
      <c r="H1571" s="18">
        <v>91.2</v>
      </c>
      <c r="I1571" s="18">
        <v>2.2799999999999998</v>
      </c>
      <c r="J1571" s="18">
        <v>2.29</v>
      </c>
      <c r="K1571" s="18">
        <v>2.27</v>
      </c>
      <c r="L1571" s="22">
        <v>2</v>
      </c>
    </row>
    <row r="1572" spans="1:12">
      <c r="A1572">
        <v>2</v>
      </c>
      <c r="B1572" s="16" t="s">
        <v>56</v>
      </c>
      <c r="C1572" s="9">
        <v>45778</v>
      </c>
      <c r="D1572">
        <v>36</v>
      </c>
      <c r="E1572" s="16" t="s">
        <v>125</v>
      </c>
      <c r="F1572" s="16" t="s">
        <v>98</v>
      </c>
      <c r="G1572" s="22">
        <v>20</v>
      </c>
      <c r="H1572" s="18">
        <v>44.6</v>
      </c>
      <c r="I1572" s="18">
        <v>2.23</v>
      </c>
      <c r="J1572" s="18">
        <v>2.23</v>
      </c>
      <c r="K1572" s="18">
        <v>2.23</v>
      </c>
      <c r="L1572" s="22">
        <v>1</v>
      </c>
    </row>
    <row r="1573" spans="1:12">
      <c r="A1573">
        <v>2</v>
      </c>
      <c r="B1573" s="16" t="s">
        <v>56</v>
      </c>
      <c r="C1573" s="9">
        <v>45809</v>
      </c>
      <c r="D1573">
        <v>36</v>
      </c>
      <c r="E1573" s="16" t="s">
        <v>125</v>
      </c>
      <c r="F1573" s="16" t="s">
        <v>98</v>
      </c>
      <c r="G1573" s="22">
        <v>20</v>
      </c>
      <c r="H1573" s="18">
        <v>45.4</v>
      </c>
      <c r="I1573" s="18">
        <v>2.27</v>
      </c>
      <c r="J1573" s="18">
        <v>2.27</v>
      </c>
      <c r="K1573" s="18">
        <v>2.27</v>
      </c>
      <c r="L1573" s="22">
        <v>1</v>
      </c>
    </row>
    <row r="1574" spans="1:12">
      <c r="A1574">
        <v>2</v>
      </c>
      <c r="B1574" s="16" t="s">
        <v>56</v>
      </c>
      <c r="C1574" s="9">
        <v>45839</v>
      </c>
      <c r="D1574">
        <v>36</v>
      </c>
      <c r="E1574" s="16" t="s">
        <v>125</v>
      </c>
      <c r="F1574" s="16" t="s">
        <v>98</v>
      </c>
      <c r="G1574" s="22">
        <v>40</v>
      </c>
      <c r="H1574" s="18">
        <v>94.4</v>
      </c>
      <c r="I1574" s="18">
        <v>2.36</v>
      </c>
      <c r="J1574" s="18">
        <v>2.4500000000000002</v>
      </c>
      <c r="K1574" s="18">
        <v>2.27</v>
      </c>
      <c r="L1574" s="22">
        <v>2</v>
      </c>
    </row>
    <row r="1575" spans="1:12">
      <c r="A1575">
        <v>2</v>
      </c>
      <c r="B1575" s="16" t="s">
        <v>56</v>
      </c>
      <c r="C1575" s="9">
        <v>45870</v>
      </c>
      <c r="D1575">
        <v>36</v>
      </c>
      <c r="E1575" s="16" t="s">
        <v>125</v>
      </c>
      <c r="F1575" s="16" t="s">
        <v>98</v>
      </c>
      <c r="G1575" s="22">
        <v>40</v>
      </c>
      <c r="H1575" s="18">
        <v>92.2</v>
      </c>
      <c r="I1575" s="18">
        <v>2.3050000000000002</v>
      </c>
      <c r="J1575" s="18">
        <v>2.31</v>
      </c>
      <c r="K1575" s="18">
        <v>2.2999999999999998</v>
      </c>
      <c r="L1575" s="22">
        <v>2</v>
      </c>
    </row>
    <row r="1576" spans="1:12">
      <c r="A1576">
        <v>2</v>
      </c>
      <c r="B1576" s="16" t="s">
        <v>56</v>
      </c>
      <c r="C1576" s="9">
        <v>45901</v>
      </c>
      <c r="D1576">
        <v>36</v>
      </c>
      <c r="E1576" s="16" t="s">
        <v>125</v>
      </c>
      <c r="F1576" s="16" t="s">
        <v>98</v>
      </c>
      <c r="G1576" s="22">
        <v>20</v>
      </c>
      <c r="H1576" s="18">
        <v>45.8</v>
      </c>
      <c r="I1576" s="18">
        <v>2.29</v>
      </c>
      <c r="J1576" s="18">
        <v>2.29</v>
      </c>
      <c r="K1576" s="18">
        <v>2.29</v>
      </c>
      <c r="L1576" s="22">
        <v>1</v>
      </c>
    </row>
    <row r="1577" spans="1:12">
      <c r="A1577">
        <v>2</v>
      </c>
      <c r="B1577" s="16" t="s">
        <v>56</v>
      </c>
      <c r="C1577" s="9">
        <v>45931</v>
      </c>
      <c r="D1577">
        <v>36</v>
      </c>
      <c r="E1577" s="16" t="s">
        <v>125</v>
      </c>
      <c r="F1577" s="16" t="s">
        <v>98</v>
      </c>
      <c r="G1577" s="22">
        <v>40</v>
      </c>
      <c r="H1577" s="18">
        <v>92.2</v>
      </c>
      <c r="I1577" s="18">
        <v>2.3050000000000002</v>
      </c>
      <c r="J1577" s="18">
        <v>2.31</v>
      </c>
      <c r="K1577" s="18">
        <v>2.2999999999999998</v>
      </c>
      <c r="L1577" s="22">
        <v>2</v>
      </c>
    </row>
    <row r="1578" spans="1:12">
      <c r="A1578">
        <v>2</v>
      </c>
      <c r="B1578" s="16" t="s">
        <v>56</v>
      </c>
      <c r="C1578" s="9">
        <v>45962</v>
      </c>
      <c r="D1578">
        <v>36</v>
      </c>
      <c r="E1578" s="16" t="s">
        <v>125</v>
      </c>
      <c r="F1578" s="16" t="s">
        <v>98</v>
      </c>
      <c r="G1578" s="22">
        <v>40</v>
      </c>
      <c r="H1578" s="18">
        <v>91.6</v>
      </c>
      <c r="I1578" s="18">
        <v>2.29</v>
      </c>
      <c r="J1578" s="18">
        <v>2.31</v>
      </c>
      <c r="K1578" s="18">
        <v>2.27</v>
      </c>
      <c r="L1578" s="22">
        <v>2</v>
      </c>
    </row>
    <row r="1579" spans="1:12">
      <c r="A1579">
        <v>2</v>
      </c>
      <c r="B1579" s="16" t="s">
        <v>56</v>
      </c>
      <c r="C1579" s="9">
        <v>45992</v>
      </c>
      <c r="D1579">
        <v>36</v>
      </c>
      <c r="E1579" s="16" t="s">
        <v>125</v>
      </c>
      <c r="F1579" s="16" t="s">
        <v>98</v>
      </c>
      <c r="G1579" s="22">
        <v>80</v>
      </c>
      <c r="H1579" s="18">
        <v>184.8</v>
      </c>
      <c r="I1579" s="18">
        <v>2.31</v>
      </c>
      <c r="J1579" s="18">
        <v>2.34</v>
      </c>
      <c r="K1579" s="18">
        <v>2.29</v>
      </c>
      <c r="L1579" s="22">
        <v>3</v>
      </c>
    </row>
    <row r="1580" spans="1:12">
      <c r="A1580">
        <v>2</v>
      </c>
      <c r="B1580" s="16" t="s">
        <v>56</v>
      </c>
      <c r="C1580" s="9">
        <v>46023</v>
      </c>
      <c r="D1580">
        <v>36</v>
      </c>
      <c r="E1580" s="16" t="s">
        <v>125</v>
      </c>
      <c r="F1580" s="16" t="s">
        <v>98</v>
      </c>
      <c r="G1580" s="22">
        <v>20</v>
      </c>
      <c r="H1580" s="18">
        <v>47.2</v>
      </c>
      <c r="I1580" s="18">
        <v>2.36</v>
      </c>
      <c r="J1580" s="18">
        <v>2.36</v>
      </c>
      <c r="K1580" s="18">
        <v>2.36</v>
      </c>
      <c r="L1580" s="22">
        <v>1</v>
      </c>
    </row>
    <row r="1581" spans="1:12">
      <c r="A1581">
        <v>2</v>
      </c>
      <c r="B1581" s="16" t="s">
        <v>56</v>
      </c>
      <c r="C1581" s="9">
        <v>46054</v>
      </c>
      <c r="D1581">
        <v>36</v>
      </c>
      <c r="E1581" s="16" t="s">
        <v>125</v>
      </c>
      <c r="F1581" s="16" t="s">
        <v>98</v>
      </c>
      <c r="G1581" s="22">
        <v>60</v>
      </c>
      <c r="H1581" s="18">
        <v>139.80000000000001</v>
      </c>
      <c r="I1581" s="18">
        <v>2.33</v>
      </c>
      <c r="J1581" s="18">
        <v>2.35</v>
      </c>
      <c r="K1581" s="18">
        <v>2.3199999999999998</v>
      </c>
      <c r="L1581" s="22">
        <v>2</v>
      </c>
    </row>
    <row r="1582" spans="1:12">
      <c r="A1582">
        <v>2</v>
      </c>
      <c r="B1582" s="16" t="s">
        <v>56</v>
      </c>
      <c r="C1582" s="9">
        <v>46082</v>
      </c>
      <c r="D1582">
        <v>36</v>
      </c>
      <c r="E1582" s="16" t="s">
        <v>125</v>
      </c>
      <c r="F1582" s="16" t="s">
        <v>98</v>
      </c>
      <c r="G1582" s="22">
        <v>20</v>
      </c>
      <c r="H1582" s="18">
        <v>46</v>
      </c>
      <c r="I1582" s="18">
        <v>2.2999999999999998</v>
      </c>
      <c r="J1582" s="18">
        <v>2.2999999999999998</v>
      </c>
      <c r="K1582" s="18">
        <v>2.2999999999999998</v>
      </c>
      <c r="L1582" s="22">
        <v>1</v>
      </c>
    </row>
    <row r="1583" spans="1:12">
      <c r="A1583">
        <v>2</v>
      </c>
      <c r="B1583" s="16" t="s">
        <v>56</v>
      </c>
      <c r="C1583" s="9">
        <v>46113</v>
      </c>
      <c r="D1583">
        <v>36</v>
      </c>
      <c r="E1583" s="16" t="s">
        <v>125</v>
      </c>
      <c r="F1583" s="16" t="s">
        <v>98</v>
      </c>
      <c r="G1583" s="22">
        <v>40</v>
      </c>
      <c r="H1583" s="18">
        <v>96.2</v>
      </c>
      <c r="I1583" s="18">
        <v>2.4049999999999998</v>
      </c>
      <c r="J1583" s="18">
        <v>2.44</v>
      </c>
      <c r="K1583" s="18">
        <v>2.37</v>
      </c>
      <c r="L1583" s="22">
        <v>2</v>
      </c>
    </row>
    <row r="1584" spans="1:12">
      <c r="A1584">
        <v>2</v>
      </c>
      <c r="B1584" s="16" t="s">
        <v>56</v>
      </c>
      <c r="C1584" s="9">
        <v>46143</v>
      </c>
      <c r="D1584">
        <v>36</v>
      </c>
      <c r="E1584" s="16" t="s">
        <v>125</v>
      </c>
      <c r="F1584" s="16" t="s">
        <v>98</v>
      </c>
      <c r="G1584" s="22">
        <v>40</v>
      </c>
      <c r="H1584" s="18">
        <v>96.8</v>
      </c>
      <c r="I1584" s="18">
        <v>2.42</v>
      </c>
      <c r="J1584" s="18">
        <v>2.46</v>
      </c>
      <c r="K1584" s="18">
        <v>2.38</v>
      </c>
      <c r="L1584" s="22">
        <v>2</v>
      </c>
    </row>
    <row r="1585" spans="1:12">
      <c r="A1585">
        <v>2</v>
      </c>
      <c r="B1585" s="16" t="s">
        <v>56</v>
      </c>
      <c r="C1585" s="9">
        <v>46174</v>
      </c>
      <c r="D1585">
        <v>36</v>
      </c>
      <c r="E1585" s="16" t="s">
        <v>125</v>
      </c>
      <c r="F1585" s="16" t="s">
        <v>98</v>
      </c>
      <c r="G1585" s="22">
        <v>40</v>
      </c>
      <c r="H1585" s="18">
        <v>97.8</v>
      </c>
      <c r="I1585" s="18">
        <v>2.4449999999999998</v>
      </c>
      <c r="J1585" s="18">
        <v>2.48</v>
      </c>
      <c r="K1585" s="18">
        <v>2.41</v>
      </c>
      <c r="L1585" s="22">
        <v>2</v>
      </c>
    </row>
    <row r="1586" spans="1:12">
      <c r="A1586">
        <v>2</v>
      </c>
      <c r="B1586" s="16" t="s">
        <v>56</v>
      </c>
      <c r="C1586" s="9">
        <v>46204</v>
      </c>
      <c r="D1586">
        <v>36</v>
      </c>
      <c r="E1586" s="16" t="s">
        <v>125</v>
      </c>
      <c r="F1586" s="16" t="s">
        <v>98</v>
      </c>
      <c r="G1586" s="22">
        <v>40</v>
      </c>
      <c r="H1586" s="18">
        <v>97.6</v>
      </c>
      <c r="I1586" s="18">
        <v>2.44</v>
      </c>
      <c r="J1586" s="18">
        <v>2.48</v>
      </c>
      <c r="K1586" s="18">
        <v>2.4</v>
      </c>
      <c r="L1586" s="22">
        <v>2</v>
      </c>
    </row>
    <row r="1587" spans="1:12">
      <c r="A1587">
        <v>2</v>
      </c>
      <c r="B1587" s="16" t="s">
        <v>56</v>
      </c>
      <c r="C1587" s="9">
        <v>46235</v>
      </c>
      <c r="D1587">
        <v>36</v>
      </c>
      <c r="E1587" s="16" t="s">
        <v>125</v>
      </c>
      <c r="F1587" s="16" t="s">
        <v>98</v>
      </c>
      <c r="G1587" s="22">
        <v>20</v>
      </c>
      <c r="H1587" s="18">
        <v>48.8</v>
      </c>
      <c r="I1587" s="18">
        <v>2.44</v>
      </c>
      <c r="J1587" s="18">
        <v>2.44</v>
      </c>
      <c r="K1587" s="18">
        <v>2.44</v>
      </c>
      <c r="L1587" s="22">
        <v>1</v>
      </c>
    </row>
    <row r="1588" spans="1:12">
      <c r="A1588">
        <v>2</v>
      </c>
      <c r="B1588" s="16" t="s">
        <v>56</v>
      </c>
      <c r="C1588" s="9">
        <v>46266</v>
      </c>
      <c r="D1588">
        <v>36</v>
      </c>
      <c r="E1588" s="16" t="s">
        <v>125</v>
      </c>
      <c r="F1588" s="16" t="s">
        <v>98</v>
      </c>
      <c r="G1588" s="22">
        <v>40</v>
      </c>
      <c r="H1588" s="18">
        <v>98.6</v>
      </c>
      <c r="I1588" s="18">
        <v>2.4649999999999999</v>
      </c>
      <c r="J1588" s="18">
        <v>2.48</v>
      </c>
      <c r="K1588" s="18">
        <v>2.4500000000000002</v>
      </c>
      <c r="L1588" s="22">
        <v>2</v>
      </c>
    </row>
    <row r="1589" spans="1:12">
      <c r="A1589">
        <v>2</v>
      </c>
      <c r="B1589" s="16" t="s">
        <v>56</v>
      </c>
      <c r="C1589" s="9">
        <v>45689</v>
      </c>
      <c r="D1589">
        <v>37</v>
      </c>
      <c r="E1589" s="16" t="s">
        <v>126</v>
      </c>
      <c r="F1589" s="16" t="s">
        <v>90</v>
      </c>
      <c r="G1589" s="22">
        <v>64</v>
      </c>
      <c r="H1589" s="18">
        <v>86.08</v>
      </c>
      <c r="I1589" s="18">
        <v>1.345</v>
      </c>
      <c r="J1589" s="18">
        <v>1.35</v>
      </c>
      <c r="K1589" s="18">
        <v>1.34</v>
      </c>
      <c r="L1589" s="22">
        <v>2</v>
      </c>
    </row>
    <row r="1590" spans="1:12">
      <c r="A1590">
        <v>2</v>
      </c>
      <c r="B1590" s="16" t="s">
        <v>56</v>
      </c>
      <c r="C1590" s="9">
        <v>45717</v>
      </c>
      <c r="D1590">
        <v>37</v>
      </c>
      <c r="E1590" s="16" t="s">
        <v>126</v>
      </c>
      <c r="F1590" s="16" t="s">
        <v>90</v>
      </c>
      <c r="G1590" s="22">
        <v>64</v>
      </c>
      <c r="H1590" s="18">
        <v>87.36</v>
      </c>
      <c r="I1590" s="18">
        <v>1.365</v>
      </c>
      <c r="J1590" s="18">
        <v>1.37</v>
      </c>
      <c r="K1590" s="18">
        <v>1.36</v>
      </c>
      <c r="L1590" s="22">
        <v>2</v>
      </c>
    </row>
    <row r="1591" spans="1:12">
      <c r="A1591">
        <v>2</v>
      </c>
      <c r="B1591" s="16" t="s">
        <v>56</v>
      </c>
      <c r="C1591" s="9">
        <v>45748</v>
      </c>
      <c r="D1591">
        <v>37</v>
      </c>
      <c r="E1591" s="16" t="s">
        <v>126</v>
      </c>
      <c r="F1591" s="16" t="s">
        <v>90</v>
      </c>
      <c r="G1591" s="22">
        <v>96</v>
      </c>
      <c r="H1591" s="18">
        <v>130.88</v>
      </c>
      <c r="I1591" s="18">
        <v>1.3633333329999999</v>
      </c>
      <c r="J1591" s="18">
        <v>1.37</v>
      </c>
      <c r="K1591" s="18">
        <v>1.35</v>
      </c>
      <c r="L1591" s="22">
        <v>2</v>
      </c>
    </row>
    <row r="1592" spans="1:12">
      <c r="A1592">
        <v>2</v>
      </c>
      <c r="B1592" s="16" t="s">
        <v>56</v>
      </c>
      <c r="C1592" s="9">
        <v>45778</v>
      </c>
      <c r="D1592">
        <v>37</v>
      </c>
      <c r="E1592" s="16" t="s">
        <v>126</v>
      </c>
      <c r="F1592" s="16" t="s">
        <v>90</v>
      </c>
      <c r="G1592" s="22">
        <v>64</v>
      </c>
      <c r="H1592" s="18">
        <v>89.28</v>
      </c>
      <c r="I1592" s="18">
        <v>1.395</v>
      </c>
      <c r="J1592" s="18">
        <v>1.4</v>
      </c>
      <c r="K1592" s="18">
        <v>1.39</v>
      </c>
      <c r="L1592" s="22">
        <v>2</v>
      </c>
    </row>
    <row r="1593" spans="1:12">
      <c r="A1593">
        <v>2</v>
      </c>
      <c r="B1593" s="16" t="s">
        <v>56</v>
      </c>
      <c r="C1593" s="9">
        <v>45809</v>
      </c>
      <c r="D1593">
        <v>37</v>
      </c>
      <c r="E1593" s="16" t="s">
        <v>126</v>
      </c>
      <c r="F1593" s="16" t="s">
        <v>90</v>
      </c>
      <c r="G1593" s="22">
        <v>64</v>
      </c>
      <c r="H1593" s="18">
        <v>87.36</v>
      </c>
      <c r="I1593" s="18">
        <v>1.365</v>
      </c>
      <c r="J1593" s="18">
        <v>1.37</v>
      </c>
      <c r="K1593" s="18">
        <v>1.36</v>
      </c>
      <c r="L1593" s="22">
        <v>2</v>
      </c>
    </row>
    <row r="1594" spans="1:12">
      <c r="A1594">
        <v>2</v>
      </c>
      <c r="B1594" s="16" t="s">
        <v>56</v>
      </c>
      <c r="C1594" s="9">
        <v>45839</v>
      </c>
      <c r="D1594">
        <v>37</v>
      </c>
      <c r="E1594" s="16" t="s">
        <v>126</v>
      </c>
      <c r="F1594" s="16" t="s">
        <v>90</v>
      </c>
      <c r="G1594" s="22">
        <v>96</v>
      </c>
      <c r="H1594" s="18">
        <v>133.12</v>
      </c>
      <c r="I1594" s="18">
        <v>1.3866666670000001</v>
      </c>
      <c r="J1594" s="18">
        <v>1.41</v>
      </c>
      <c r="K1594" s="18">
        <v>1.37</v>
      </c>
      <c r="L1594" s="22">
        <v>3</v>
      </c>
    </row>
    <row r="1595" spans="1:12">
      <c r="A1595">
        <v>2</v>
      </c>
      <c r="B1595" s="16" t="s">
        <v>56</v>
      </c>
      <c r="C1595" s="9">
        <v>45870</v>
      </c>
      <c r="D1595">
        <v>37</v>
      </c>
      <c r="E1595" s="16" t="s">
        <v>126</v>
      </c>
      <c r="F1595" s="16" t="s">
        <v>90</v>
      </c>
      <c r="G1595" s="22">
        <v>96</v>
      </c>
      <c r="H1595" s="18">
        <v>132.16</v>
      </c>
      <c r="I1595" s="18">
        <v>1.3766666670000001</v>
      </c>
      <c r="J1595" s="18">
        <v>1.39</v>
      </c>
      <c r="K1595" s="18">
        <v>1.37</v>
      </c>
      <c r="L1595" s="22">
        <v>2</v>
      </c>
    </row>
    <row r="1596" spans="1:12">
      <c r="A1596">
        <v>2</v>
      </c>
      <c r="B1596" s="16" t="s">
        <v>56</v>
      </c>
      <c r="C1596" s="9">
        <v>45901</v>
      </c>
      <c r="D1596">
        <v>37</v>
      </c>
      <c r="E1596" s="16" t="s">
        <v>126</v>
      </c>
      <c r="F1596" s="16" t="s">
        <v>90</v>
      </c>
      <c r="G1596" s="22">
        <v>64</v>
      </c>
      <c r="H1596" s="18">
        <v>88.96</v>
      </c>
      <c r="I1596" s="18">
        <v>1.39</v>
      </c>
      <c r="J1596" s="18">
        <v>1.39</v>
      </c>
      <c r="K1596" s="18">
        <v>1.39</v>
      </c>
      <c r="L1596" s="22">
        <v>2</v>
      </c>
    </row>
    <row r="1597" spans="1:12">
      <c r="A1597">
        <v>2</v>
      </c>
      <c r="B1597" s="16" t="s">
        <v>56</v>
      </c>
      <c r="C1597" s="9">
        <v>45931</v>
      </c>
      <c r="D1597">
        <v>37</v>
      </c>
      <c r="E1597" s="16" t="s">
        <v>126</v>
      </c>
      <c r="F1597" s="16" t="s">
        <v>90</v>
      </c>
      <c r="G1597" s="22">
        <v>64</v>
      </c>
      <c r="H1597" s="18">
        <v>88.32</v>
      </c>
      <c r="I1597" s="18">
        <v>1.38</v>
      </c>
      <c r="J1597" s="18">
        <v>1.4</v>
      </c>
      <c r="K1597" s="18">
        <v>1.36</v>
      </c>
      <c r="L1597" s="22">
        <v>2</v>
      </c>
    </row>
    <row r="1598" spans="1:12">
      <c r="A1598">
        <v>2</v>
      </c>
      <c r="B1598" s="16" t="s">
        <v>56</v>
      </c>
      <c r="C1598" s="9">
        <v>45962</v>
      </c>
      <c r="D1598">
        <v>37</v>
      </c>
      <c r="E1598" s="16" t="s">
        <v>126</v>
      </c>
      <c r="F1598" s="16" t="s">
        <v>90</v>
      </c>
      <c r="G1598" s="22">
        <v>64</v>
      </c>
      <c r="H1598" s="18">
        <v>88.64</v>
      </c>
      <c r="I1598" s="18">
        <v>1.385</v>
      </c>
      <c r="J1598" s="18">
        <v>1.39</v>
      </c>
      <c r="K1598" s="18">
        <v>1.38</v>
      </c>
      <c r="L1598" s="22">
        <v>2</v>
      </c>
    </row>
    <row r="1599" spans="1:12">
      <c r="A1599">
        <v>2</v>
      </c>
      <c r="B1599" s="16" t="s">
        <v>56</v>
      </c>
      <c r="C1599" s="9">
        <v>45992</v>
      </c>
      <c r="D1599">
        <v>37</v>
      </c>
      <c r="E1599" s="16" t="s">
        <v>126</v>
      </c>
      <c r="F1599" s="16" t="s">
        <v>90</v>
      </c>
      <c r="G1599" s="22">
        <v>96</v>
      </c>
      <c r="H1599" s="18">
        <v>131.84</v>
      </c>
      <c r="I1599" s="18">
        <v>1.3733333329999999</v>
      </c>
      <c r="J1599" s="18">
        <v>1.39</v>
      </c>
      <c r="K1599" s="18">
        <v>1.36</v>
      </c>
      <c r="L1599" s="22">
        <v>3</v>
      </c>
    </row>
    <row r="1600" spans="1:12">
      <c r="A1600">
        <v>2</v>
      </c>
      <c r="B1600" s="16" t="s">
        <v>56</v>
      </c>
      <c r="C1600" s="9">
        <v>46023</v>
      </c>
      <c r="D1600">
        <v>37</v>
      </c>
      <c r="E1600" s="16" t="s">
        <v>126</v>
      </c>
      <c r="F1600" s="16" t="s">
        <v>90</v>
      </c>
      <c r="G1600" s="22">
        <v>32</v>
      </c>
      <c r="H1600" s="18">
        <v>44.16</v>
      </c>
      <c r="I1600" s="18">
        <v>1.38</v>
      </c>
      <c r="J1600" s="18">
        <v>1.38</v>
      </c>
      <c r="K1600" s="18">
        <v>1.38</v>
      </c>
      <c r="L1600" s="22">
        <v>1</v>
      </c>
    </row>
    <row r="1601" spans="1:12">
      <c r="A1601">
        <v>2</v>
      </c>
      <c r="B1601" s="16" t="s">
        <v>56</v>
      </c>
      <c r="C1601" s="9">
        <v>46054</v>
      </c>
      <c r="D1601">
        <v>37</v>
      </c>
      <c r="E1601" s="16" t="s">
        <v>126</v>
      </c>
      <c r="F1601" s="16" t="s">
        <v>90</v>
      </c>
      <c r="G1601" s="22">
        <v>64</v>
      </c>
      <c r="H1601" s="18">
        <v>92.48</v>
      </c>
      <c r="I1601" s="18">
        <v>1.4450000000000001</v>
      </c>
      <c r="J1601" s="18">
        <v>1.48</v>
      </c>
      <c r="K1601" s="18">
        <v>1.41</v>
      </c>
      <c r="L1601" s="22">
        <v>2</v>
      </c>
    </row>
    <row r="1602" spans="1:12">
      <c r="A1602">
        <v>2</v>
      </c>
      <c r="B1602" s="16" t="s">
        <v>56</v>
      </c>
      <c r="C1602" s="9">
        <v>46082</v>
      </c>
      <c r="D1602">
        <v>37</v>
      </c>
      <c r="E1602" s="16" t="s">
        <v>126</v>
      </c>
      <c r="F1602" s="16" t="s">
        <v>90</v>
      </c>
      <c r="G1602" s="22">
        <v>64</v>
      </c>
      <c r="H1602" s="18">
        <v>89.6</v>
      </c>
      <c r="I1602" s="18">
        <v>1.4</v>
      </c>
      <c r="J1602" s="18">
        <v>1.42</v>
      </c>
      <c r="K1602" s="18">
        <v>1.38</v>
      </c>
      <c r="L1602" s="22">
        <v>2</v>
      </c>
    </row>
    <row r="1603" spans="1:12">
      <c r="A1603">
        <v>2</v>
      </c>
      <c r="B1603" s="16" t="s">
        <v>56</v>
      </c>
      <c r="C1603" s="9">
        <v>46113</v>
      </c>
      <c r="D1603">
        <v>37</v>
      </c>
      <c r="E1603" s="16" t="s">
        <v>126</v>
      </c>
      <c r="F1603" s="16" t="s">
        <v>90</v>
      </c>
      <c r="G1603" s="22">
        <v>64</v>
      </c>
      <c r="H1603" s="18">
        <v>89.6</v>
      </c>
      <c r="I1603" s="18">
        <v>1.4</v>
      </c>
      <c r="J1603" s="18">
        <v>1.4</v>
      </c>
      <c r="K1603" s="18">
        <v>1.4</v>
      </c>
      <c r="L1603" s="22">
        <v>2</v>
      </c>
    </row>
    <row r="1604" spans="1:12">
      <c r="A1604">
        <v>2</v>
      </c>
      <c r="B1604" s="16" t="s">
        <v>56</v>
      </c>
      <c r="C1604" s="9">
        <v>46143</v>
      </c>
      <c r="D1604">
        <v>37</v>
      </c>
      <c r="E1604" s="16" t="s">
        <v>126</v>
      </c>
      <c r="F1604" s="16" t="s">
        <v>90</v>
      </c>
      <c r="G1604" s="22">
        <v>96</v>
      </c>
      <c r="H1604" s="18">
        <v>136.63999999999999</v>
      </c>
      <c r="I1604" s="18">
        <v>1.423333333</v>
      </c>
      <c r="J1604" s="18">
        <v>1.43</v>
      </c>
      <c r="K1604" s="18">
        <v>1.41</v>
      </c>
      <c r="L1604" s="22">
        <v>2</v>
      </c>
    </row>
    <row r="1605" spans="1:12">
      <c r="A1605">
        <v>2</v>
      </c>
      <c r="B1605" s="16" t="s">
        <v>56</v>
      </c>
      <c r="C1605" s="9">
        <v>46174</v>
      </c>
      <c r="D1605">
        <v>37</v>
      </c>
      <c r="E1605" s="16" t="s">
        <v>126</v>
      </c>
      <c r="F1605" s="16" t="s">
        <v>90</v>
      </c>
      <c r="G1605" s="22">
        <v>64</v>
      </c>
      <c r="H1605" s="18">
        <v>91.84</v>
      </c>
      <c r="I1605" s="18">
        <v>1.4350000000000001</v>
      </c>
      <c r="J1605" s="18">
        <v>1.44</v>
      </c>
      <c r="K1605" s="18">
        <v>1.43</v>
      </c>
      <c r="L1605" s="22">
        <v>2</v>
      </c>
    </row>
    <row r="1606" spans="1:12">
      <c r="A1606">
        <v>2</v>
      </c>
      <c r="B1606" s="16" t="s">
        <v>56</v>
      </c>
      <c r="C1606" s="9">
        <v>46204</v>
      </c>
      <c r="D1606">
        <v>37</v>
      </c>
      <c r="E1606" s="16" t="s">
        <v>126</v>
      </c>
      <c r="F1606" s="16" t="s">
        <v>90</v>
      </c>
      <c r="G1606" s="22">
        <v>96</v>
      </c>
      <c r="H1606" s="18">
        <v>135.68</v>
      </c>
      <c r="I1606" s="18">
        <v>1.413333333</v>
      </c>
      <c r="J1606" s="18">
        <v>1.43</v>
      </c>
      <c r="K1606" s="18">
        <v>1.4</v>
      </c>
      <c r="L1606" s="22">
        <v>3</v>
      </c>
    </row>
    <row r="1607" spans="1:12">
      <c r="A1607">
        <v>2</v>
      </c>
      <c r="B1607" s="16" t="s">
        <v>56</v>
      </c>
      <c r="C1607" s="9">
        <v>46235</v>
      </c>
      <c r="D1607">
        <v>37</v>
      </c>
      <c r="E1607" s="16" t="s">
        <v>126</v>
      </c>
      <c r="F1607" s="16" t="s">
        <v>90</v>
      </c>
      <c r="G1607" s="22">
        <v>64</v>
      </c>
      <c r="H1607" s="18">
        <v>89.6</v>
      </c>
      <c r="I1607" s="18">
        <v>1.4</v>
      </c>
      <c r="J1607" s="18">
        <v>1.42</v>
      </c>
      <c r="K1607" s="18">
        <v>1.38</v>
      </c>
      <c r="L1607" s="22">
        <v>2</v>
      </c>
    </row>
    <row r="1608" spans="1:12">
      <c r="A1608">
        <v>2</v>
      </c>
      <c r="B1608" s="16" t="s">
        <v>56</v>
      </c>
      <c r="C1608" s="9">
        <v>46266</v>
      </c>
      <c r="D1608">
        <v>37</v>
      </c>
      <c r="E1608" s="16" t="s">
        <v>126</v>
      </c>
      <c r="F1608" s="16" t="s">
        <v>90</v>
      </c>
      <c r="G1608" s="22">
        <v>64</v>
      </c>
      <c r="H1608" s="18">
        <v>89.92</v>
      </c>
      <c r="I1608" s="18">
        <v>1.405</v>
      </c>
      <c r="J1608" s="18">
        <v>1.41</v>
      </c>
      <c r="K1608" s="18">
        <v>1.4</v>
      </c>
      <c r="L1608" s="22">
        <v>2</v>
      </c>
    </row>
    <row r="1609" spans="1:12">
      <c r="A1609">
        <v>2</v>
      </c>
      <c r="B1609" s="16" t="s">
        <v>56</v>
      </c>
      <c r="C1609" s="9">
        <v>45689</v>
      </c>
      <c r="D1609">
        <v>38</v>
      </c>
      <c r="E1609" s="16" t="s">
        <v>127</v>
      </c>
      <c r="F1609" s="16" t="s">
        <v>83</v>
      </c>
      <c r="G1609" s="22">
        <v>19</v>
      </c>
      <c r="H1609" s="18">
        <v>241.11500000000001</v>
      </c>
      <c r="I1609" s="18">
        <v>12.690263158</v>
      </c>
      <c r="J1609" s="18">
        <v>13.03</v>
      </c>
      <c r="K1609" s="18">
        <v>12.41</v>
      </c>
      <c r="L1609" s="22">
        <v>8</v>
      </c>
    </row>
    <row r="1610" spans="1:12">
      <c r="A1610">
        <v>2</v>
      </c>
      <c r="B1610" s="16" t="s">
        <v>56</v>
      </c>
      <c r="C1610" s="9">
        <v>45717</v>
      </c>
      <c r="D1610">
        <v>38</v>
      </c>
      <c r="E1610" s="16" t="s">
        <v>127</v>
      </c>
      <c r="F1610" s="16" t="s">
        <v>83</v>
      </c>
      <c r="G1610" s="22">
        <v>24</v>
      </c>
      <c r="H1610" s="18">
        <v>306.79000000000002</v>
      </c>
      <c r="I1610" s="18">
        <v>12.782916667</v>
      </c>
      <c r="J1610" s="18">
        <v>13.08</v>
      </c>
      <c r="K1610" s="18">
        <v>12.57</v>
      </c>
      <c r="L1610" s="22">
        <v>9</v>
      </c>
    </row>
    <row r="1611" spans="1:12">
      <c r="A1611">
        <v>2</v>
      </c>
      <c r="B1611" s="16" t="s">
        <v>56</v>
      </c>
      <c r="C1611" s="9">
        <v>45748</v>
      </c>
      <c r="D1611">
        <v>38</v>
      </c>
      <c r="E1611" s="16" t="s">
        <v>127</v>
      </c>
      <c r="F1611" s="16" t="s">
        <v>83</v>
      </c>
      <c r="G1611" s="22">
        <v>18.5</v>
      </c>
      <c r="H1611" s="18">
        <v>237.4</v>
      </c>
      <c r="I1611" s="18">
        <v>12.832432431999999</v>
      </c>
      <c r="J1611" s="18">
        <v>13.16</v>
      </c>
      <c r="K1611" s="18">
        <v>12.62</v>
      </c>
      <c r="L1611" s="22">
        <v>8</v>
      </c>
    </row>
    <row r="1612" spans="1:12">
      <c r="A1612">
        <v>2</v>
      </c>
      <c r="B1612" s="16" t="s">
        <v>56</v>
      </c>
      <c r="C1612" s="9">
        <v>45778</v>
      </c>
      <c r="D1612">
        <v>38</v>
      </c>
      <c r="E1612" s="16" t="s">
        <v>127</v>
      </c>
      <c r="F1612" s="16" t="s">
        <v>83</v>
      </c>
      <c r="G1612" s="22">
        <v>22.5</v>
      </c>
      <c r="H1612" s="18">
        <v>295.01</v>
      </c>
      <c r="I1612" s="18">
        <v>13.111555556000001</v>
      </c>
      <c r="J1612" s="18">
        <v>13.3</v>
      </c>
      <c r="K1612" s="18">
        <v>12.88</v>
      </c>
      <c r="L1612" s="22">
        <v>9</v>
      </c>
    </row>
    <row r="1613" spans="1:12">
      <c r="A1613">
        <v>2</v>
      </c>
      <c r="B1613" s="16" t="s">
        <v>56</v>
      </c>
      <c r="C1613" s="9">
        <v>45809</v>
      </c>
      <c r="D1613">
        <v>38</v>
      </c>
      <c r="E1613" s="16" t="s">
        <v>127</v>
      </c>
      <c r="F1613" s="16" t="s">
        <v>83</v>
      </c>
      <c r="G1613" s="22">
        <v>15</v>
      </c>
      <c r="H1613" s="18">
        <v>197.91499999999999</v>
      </c>
      <c r="I1613" s="18">
        <v>13.194333332999999</v>
      </c>
      <c r="J1613" s="18">
        <v>13.44</v>
      </c>
      <c r="K1613" s="18">
        <v>12.98</v>
      </c>
      <c r="L1613" s="22">
        <v>9</v>
      </c>
    </row>
    <row r="1614" spans="1:12">
      <c r="A1614">
        <v>2</v>
      </c>
      <c r="B1614" s="16" t="s">
        <v>56</v>
      </c>
      <c r="C1614" s="9">
        <v>45839</v>
      </c>
      <c r="D1614">
        <v>38</v>
      </c>
      <c r="E1614" s="16" t="s">
        <v>127</v>
      </c>
      <c r="F1614" s="16" t="s">
        <v>83</v>
      </c>
      <c r="G1614" s="22">
        <v>15</v>
      </c>
      <c r="H1614" s="18">
        <v>200.5</v>
      </c>
      <c r="I1614" s="18">
        <v>13.366666667000001</v>
      </c>
      <c r="J1614" s="18">
        <v>13.51</v>
      </c>
      <c r="K1614" s="18">
        <v>12.92</v>
      </c>
      <c r="L1614" s="22">
        <v>9</v>
      </c>
    </row>
    <row r="1615" spans="1:12">
      <c r="A1615">
        <v>2</v>
      </c>
      <c r="B1615" s="16" t="s">
        <v>56</v>
      </c>
      <c r="C1615" s="9">
        <v>45870</v>
      </c>
      <c r="D1615">
        <v>38</v>
      </c>
      <c r="E1615" s="16" t="s">
        <v>127</v>
      </c>
      <c r="F1615" s="16" t="s">
        <v>83</v>
      </c>
      <c r="G1615" s="22">
        <v>13</v>
      </c>
      <c r="H1615" s="18">
        <v>173.83500000000001</v>
      </c>
      <c r="I1615" s="18">
        <v>13.371923077</v>
      </c>
      <c r="J1615" s="18">
        <v>13.51</v>
      </c>
      <c r="K1615" s="18">
        <v>13.2</v>
      </c>
      <c r="L1615" s="22">
        <v>8</v>
      </c>
    </row>
    <row r="1616" spans="1:12">
      <c r="A1616">
        <v>2</v>
      </c>
      <c r="B1616" s="16" t="s">
        <v>56</v>
      </c>
      <c r="C1616" s="9">
        <v>45901</v>
      </c>
      <c r="D1616">
        <v>38</v>
      </c>
      <c r="E1616" s="16" t="s">
        <v>127</v>
      </c>
      <c r="F1616" s="16" t="s">
        <v>83</v>
      </c>
      <c r="G1616" s="22">
        <v>19.5</v>
      </c>
      <c r="H1616" s="18">
        <v>260.76</v>
      </c>
      <c r="I1616" s="18">
        <v>13.372307692</v>
      </c>
      <c r="J1616" s="18">
        <v>13.54</v>
      </c>
      <c r="K1616" s="18">
        <v>13.09</v>
      </c>
      <c r="L1616" s="22">
        <v>9</v>
      </c>
    </row>
    <row r="1617" spans="1:12">
      <c r="A1617">
        <v>2</v>
      </c>
      <c r="B1617" s="16" t="s">
        <v>56</v>
      </c>
      <c r="C1617" s="9">
        <v>45931</v>
      </c>
      <c r="D1617">
        <v>38</v>
      </c>
      <c r="E1617" s="16" t="s">
        <v>127</v>
      </c>
      <c r="F1617" s="16" t="s">
        <v>83</v>
      </c>
      <c r="G1617" s="22">
        <v>22</v>
      </c>
      <c r="H1617" s="18">
        <v>293.70999999999998</v>
      </c>
      <c r="I1617" s="18">
        <v>13.350454545</v>
      </c>
      <c r="J1617" s="18">
        <v>13.47</v>
      </c>
      <c r="K1617" s="18">
        <v>13.2</v>
      </c>
      <c r="L1617" s="22">
        <v>9</v>
      </c>
    </row>
    <row r="1618" spans="1:12">
      <c r="A1618">
        <v>2</v>
      </c>
      <c r="B1618" s="16" t="s">
        <v>56</v>
      </c>
      <c r="C1618" s="9">
        <v>45962</v>
      </c>
      <c r="D1618">
        <v>38</v>
      </c>
      <c r="E1618" s="16" t="s">
        <v>127</v>
      </c>
      <c r="F1618" s="16" t="s">
        <v>83</v>
      </c>
      <c r="G1618" s="22">
        <v>21.5</v>
      </c>
      <c r="H1618" s="18">
        <v>286.39</v>
      </c>
      <c r="I1618" s="18">
        <v>13.320465115999999</v>
      </c>
      <c r="J1618" s="18">
        <v>13.65</v>
      </c>
      <c r="K1618" s="18">
        <v>13.14</v>
      </c>
      <c r="L1618" s="22">
        <v>8</v>
      </c>
    </row>
    <row r="1619" spans="1:12">
      <c r="A1619">
        <v>2</v>
      </c>
      <c r="B1619" s="16" t="s">
        <v>56</v>
      </c>
      <c r="C1619" s="9">
        <v>45992</v>
      </c>
      <c r="D1619">
        <v>38</v>
      </c>
      <c r="E1619" s="16" t="s">
        <v>127</v>
      </c>
      <c r="F1619" s="16" t="s">
        <v>83</v>
      </c>
      <c r="G1619" s="22">
        <v>27</v>
      </c>
      <c r="H1619" s="18">
        <v>362.59500000000003</v>
      </c>
      <c r="I1619" s="18">
        <v>13.429444444</v>
      </c>
      <c r="J1619" s="18">
        <v>13.67</v>
      </c>
      <c r="K1619" s="18">
        <v>13.05</v>
      </c>
      <c r="L1619" s="22">
        <v>9</v>
      </c>
    </row>
    <row r="1620" spans="1:12">
      <c r="A1620">
        <v>2</v>
      </c>
      <c r="B1620" s="16" t="s">
        <v>56</v>
      </c>
      <c r="C1620" s="9">
        <v>46023</v>
      </c>
      <c r="D1620">
        <v>38</v>
      </c>
      <c r="E1620" s="16" t="s">
        <v>127</v>
      </c>
      <c r="F1620" s="16" t="s">
        <v>83</v>
      </c>
      <c r="G1620" s="22">
        <v>24.5</v>
      </c>
      <c r="H1620" s="18">
        <v>326.64999999999998</v>
      </c>
      <c r="I1620" s="18">
        <v>13.332653061</v>
      </c>
      <c r="J1620" s="18">
        <v>13.54</v>
      </c>
      <c r="K1620" s="18">
        <v>13.05</v>
      </c>
      <c r="L1620" s="22">
        <v>9</v>
      </c>
    </row>
    <row r="1621" spans="1:12">
      <c r="A1621">
        <v>2</v>
      </c>
      <c r="B1621" s="16" t="s">
        <v>56</v>
      </c>
      <c r="C1621" s="9">
        <v>46054</v>
      </c>
      <c r="D1621">
        <v>38</v>
      </c>
      <c r="E1621" s="16" t="s">
        <v>127</v>
      </c>
      <c r="F1621" s="16" t="s">
        <v>83</v>
      </c>
      <c r="G1621" s="22">
        <v>21.5</v>
      </c>
      <c r="H1621" s="18">
        <v>287.685</v>
      </c>
      <c r="I1621" s="18">
        <v>13.380697674</v>
      </c>
      <c r="J1621" s="18">
        <v>13.5</v>
      </c>
      <c r="K1621" s="18">
        <v>13.19</v>
      </c>
      <c r="L1621" s="22">
        <v>8</v>
      </c>
    </row>
    <row r="1622" spans="1:12">
      <c r="A1622">
        <v>2</v>
      </c>
      <c r="B1622" s="16" t="s">
        <v>56</v>
      </c>
      <c r="C1622" s="9">
        <v>46082</v>
      </c>
      <c r="D1622">
        <v>38</v>
      </c>
      <c r="E1622" s="16" t="s">
        <v>127</v>
      </c>
      <c r="F1622" s="16" t="s">
        <v>83</v>
      </c>
      <c r="G1622" s="22">
        <v>21</v>
      </c>
      <c r="H1622" s="18">
        <v>282.61</v>
      </c>
      <c r="I1622" s="18">
        <v>13.457619048</v>
      </c>
      <c r="J1622" s="18">
        <v>13.64</v>
      </c>
      <c r="K1622" s="18">
        <v>13.12</v>
      </c>
      <c r="L1622" s="22">
        <v>9</v>
      </c>
    </row>
    <row r="1623" spans="1:12">
      <c r="A1623">
        <v>2</v>
      </c>
      <c r="B1623" s="16" t="s">
        <v>56</v>
      </c>
      <c r="C1623" s="9">
        <v>46113</v>
      </c>
      <c r="D1623">
        <v>38</v>
      </c>
      <c r="E1623" s="16" t="s">
        <v>127</v>
      </c>
      <c r="F1623" s="16" t="s">
        <v>83</v>
      </c>
      <c r="G1623" s="22">
        <v>26.5</v>
      </c>
      <c r="H1623" s="18">
        <v>356.46</v>
      </c>
      <c r="I1623" s="18">
        <v>13.451320754999999</v>
      </c>
      <c r="J1623" s="18">
        <v>13.83</v>
      </c>
      <c r="K1623" s="18">
        <v>13.29</v>
      </c>
      <c r="L1623" s="22">
        <v>9</v>
      </c>
    </row>
    <row r="1624" spans="1:12">
      <c r="A1624">
        <v>2</v>
      </c>
      <c r="B1624" s="16" t="s">
        <v>56</v>
      </c>
      <c r="C1624" s="9">
        <v>46143</v>
      </c>
      <c r="D1624">
        <v>38</v>
      </c>
      <c r="E1624" s="16" t="s">
        <v>127</v>
      </c>
      <c r="F1624" s="16" t="s">
        <v>83</v>
      </c>
      <c r="G1624" s="22">
        <v>21</v>
      </c>
      <c r="H1624" s="18">
        <v>283.69499999999999</v>
      </c>
      <c r="I1624" s="18">
        <v>13.509285714000001</v>
      </c>
      <c r="J1624" s="18">
        <v>13.77</v>
      </c>
      <c r="K1624" s="18">
        <v>13.35</v>
      </c>
      <c r="L1624" s="22">
        <v>8</v>
      </c>
    </row>
    <row r="1625" spans="1:12">
      <c r="A1625">
        <v>2</v>
      </c>
      <c r="B1625" s="16" t="s">
        <v>56</v>
      </c>
      <c r="C1625" s="9">
        <v>46174</v>
      </c>
      <c r="D1625">
        <v>38</v>
      </c>
      <c r="E1625" s="16" t="s">
        <v>127</v>
      </c>
      <c r="F1625" s="16" t="s">
        <v>83</v>
      </c>
      <c r="G1625" s="22">
        <v>16.5</v>
      </c>
      <c r="H1625" s="18">
        <v>221.20500000000001</v>
      </c>
      <c r="I1625" s="18">
        <v>13.406363636</v>
      </c>
      <c r="J1625" s="18">
        <v>13.59</v>
      </c>
      <c r="K1625" s="18">
        <v>13.15</v>
      </c>
      <c r="L1625" s="22">
        <v>9</v>
      </c>
    </row>
    <row r="1626" spans="1:12">
      <c r="A1626">
        <v>2</v>
      </c>
      <c r="B1626" s="16" t="s">
        <v>56</v>
      </c>
      <c r="C1626" s="9">
        <v>46204</v>
      </c>
      <c r="D1626">
        <v>38</v>
      </c>
      <c r="E1626" s="16" t="s">
        <v>127</v>
      </c>
      <c r="F1626" s="16" t="s">
        <v>83</v>
      </c>
      <c r="G1626" s="22">
        <v>17</v>
      </c>
      <c r="H1626" s="18">
        <v>227.995</v>
      </c>
      <c r="I1626" s="18">
        <v>13.411470588</v>
      </c>
      <c r="J1626" s="18">
        <v>13.76</v>
      </c>
      <c r="K1626" s="18">
        <v>12.97</v>
      </c>
      <c r="L1626" s="22">
        <v>9</v>
      </c>
    </row>
    <row r="1627" spans="1:12">
      <c r="A1627">
        <v>2</v>
      </c>
      <c r="B1627" s="16" t="s">
        <v>56</v>
      </c>
      <c r="C1627" s="9">
        <v>46235</v>
      </c>
      <c r="D1627">
        <v>38</v>
      </c>
      <c r="E1627" s="16" t="s">
        <v>127</v>
      </c>
      <c r="F1627" s="16" t="s">
        <v>83</v>
      </c>
      <c r="G1627" s="22">
        <v>17</v>
      </c>
      <c r="H1627" s="18">
        <v>226.285</v>
      </c>
      <c r="I1627" s="18">
        <v>13.310882353</v>
      </c>
      <c r="J1627" s="18">
        <v>13.7</v>
      </c>
      <c r="K1627" s="18">
        <v>13.11</v>
      </c>
      <c r="L1627" s="22">
        <v>9</v>
      </c>
    </row>
    <row r="1628" spans="1:12">
      <c r="A1628">
        <v>2</v>
      </c>
      <c r="B1628" s="16" t="s">
        <v>56</v>
      </c>
      <c r="C1628" s="9">
        <v>46266</v>
      </c>
      <c r="D1628">
        <v>38</v>
      </c>
      <c r="E1628" s="16" t="s">
        <v>127</v>
      </c>
      <c r="F1628" s="16" t="s">
        <v>83</v>
      </c>
      <c r="G1628" s="22">
        <v>16.5</v>
      </c>
      <c r="H1628" s="18">
        <v>219.45500000000001</v>
      </c>
      <c r="I1628" s="18">
        <v>13.30030303</v>
      </c>
      <c r="J1628" s="18">
        <v>13.49</v>
      </c>
      <c r="K1628" s="18">
        <v>13.02</v>
      </c>
      <c r="L1628" s="22">
        <v>8</v>
      </c>
    </row>
    <row r="1629" spans="1:12">
      <c r="A1629">
        <v>2</v>
      </c>
      <c r="B1629" s="16" t="s">
        <v>56</v>
      </c>
      <c r="C1629" s="9">
        <v>45689</v>
      </c>
      <c r="D1629">
        <v>39</v>
      </c>
      <c r="E1629" s="16" t="s">
        <v>128</v>
      </c>
      <c r="F1629" s="16" t="s">
        <v>87</v>
      </c>
      <c r="G1629" s="22">
        <v>81.5</v>
      </c>
      <c r="H1629" s="18">
        <v>547.92250000000001</v>
      </c>
      <c r="I1629" s="18">
        <v>6.7229754599999998</v>
      </c>
      <c r="J1629" s="18">
        <v>6.85</v>
      </c>
      <c r="K1629" s="18">
        <v>6.57</v>
      </c>
      <c r="L1629" s="22">
        <v>8</v>
      </c>
    </row>
    <row r="1630" spans="1:12">
      <c r="A1630">
        <v>2</v>
      </c>
      <c r="B1630" s="16" t="s">
        <v>56</v>
      </c>
      <c r="C1630" s="9">
        <v>45717</v>
      </c>
      <c r="D1630">
        <v>39</v>
      </c>
      <c r="E1630" s="16" t="s">
        <v>128</v>
      </c>
      <c r="F1630" s="16" t="s">
        <v>87</v>
      </c>
      <c r="G1630" s="22">
        <v>78.25</v>
      </c>
      <c r="H1630" s="18">
        <v>522.59749999999997</v>
      </c>
      <c r="I1630" s="18">
        <v>6.6785623000000003</v>
      </c>
      <c r="J1630" s="18">
        <v>6.76</v>
      </c>
      <c r="K1630" s="18">
        <v>6.61</v>
      </c>
      <c r="L1630" s="22">
        <v>8</v>
      </c>
    </row>
    <row r="1631" spans="1:12">
      <c r="A1631">
        <v>2</v>
      </c>
      <c r="B1631" s="16" t="s">
        <v>56</v>
      </c>
      <c r="C1631" s="9">
        <v>45748</v>
      </c>
      <c r="D1631">
        <v>39</v>
      </c>
      <c r="E1631" s="16" t="s">
        <v>128</v>
      </c>
      <c r="F1631" s="16" t="s">
        <v>87</v>
      </c>
      <c r="G1631" s="22">
        <v>80.75</v>
      </c>
      <c r="H1631" s="18">
        <v>545.42999999999995</v>
      </c>
      <c r="I1631" s="18">
        <v>6.754551084</v>
      </c>
      <c r="J1631" s="18">
        <v>6.86</v>
      </c>
      <c r="K1631" s="18">
        <v>6.66</v>
      </c>
      <c r="L1631" s="22">
        <v>9</v>
      </c>
    </row>
    <row r="1632" spans="1:12">
      <c r="A1632">
        <v>2</v>
      </c>
      <c r="B1632" s="16" t="s">
        <v>56</v>
      </c>
      <c r="C1632" s="9">
        <v>45778</v>
      </c>
      <c r="D1632">
        <v>39</v>
      </c>
      <c r="E1632" s="16" t="s">
        <v>128</v>
      </c>
      <c r="F1632" s="16" t="s">
        <v>87</v>
      </c>
      <c r="G1632" s="22">
        <v>75</v>
      </c>
      <c r="H1632" s="18">
        <v>502.45</v>
      </c>
      <c r="I1632" s="18">
        <v>6.6993333330000002</v>
      </c>
      <c r="J1632" s="18">
        <v>6.8</v>
      </c>
      <c r="K1632" s="18">
        <v>6.55</v>
      </c>
      <c r="L1632" s="22">
        <v>9</v>
      </c>
    </row>
    <row r="1633" spans="1:12">
      <c r="A1633">
        <v>2</v>
      </c>
      <c r="B1633" s="16" t="s">
        <v>56</v>
      </c>
      <c r="C1633" s="9">
        <v>45809</v>
      </c>
      <c r="D1633">
        <v>39</v>
      </c>
      <c r="E1633" s="16" t="s">
        <v>128</v>
      </c>
      <c r="F1633" s="16" t="s">
        <v>87</v>
      </c>
      <c r="G1633" s="22">
        <v>39.5</v>
      </c>
      <c r="H1633" s="18">
        <v>264.83999999999997</v>
      </c>
      <c r="I1633" s="18">
        <v>6.704810127</v>
      </c>
      <c r="J1633" s="18">
        <v>6.81</v>
      </c>
      <c r="K1633" s="18">
        <v>6.58</v>
      </c>
      <c r="L1633" s="22">
        <v>8</v>
      </c>
    </row>
    <row r="1634" spans="1:12">
      <c r="A1634">
        <v>2</v>
      </c>
      <c r="B1634" s="16" t="s">
        <v>56</v>
      </c>
      <c r="C1634" s="9">
        <v>45839</v>
      </c>
      <c r="D1634">
        <v>39</v>
      </c>
      <c r="E1634" s="16" t="s">
        <v>128</v>
      </c>
      <c r="F1634" s="16" t="s">
        <v>87</v>
      </c>
      <c r="G1634" s="22">
        <v>44.5</v>
      </c>
      <c r="H1634" s="18">
        <v>299.57499999999999</v>
      </c>
      <c r="I1634" s="18">
        <v>6.7320224719999997</v>
      </c>
      <c r="J1634" s="18">
        <v>6.88</v>
      </c>
      <c r="K1634" s="18">
        <v>6.58</v>
      </c>
      <c r="L1634" s="22">
        <v>9</v>
      </c>
    </row>
    <row r="1635" spans="1:12">
      <c r="A1635">
        <v>2</v>
      </c>
      <c r="B1635" s="16" t="s">
        <v>56</v>
      </c>
      <c r="C1635" s="9">
        <v>45870</v>
      </c>
      <c r="D1635">
        <v>39</v>
      </c>
      <c r="E1635" s="16" t="s">
        <v>128</v>
      </c>
      <c r="F1635" s="16" t="s">
        <v>87</v>
      </c>
      <c r="G1635" s="22">
        <v>60</v>
      </c>
      <c r="H1635" s="18">
        <v>399.93</v>
      </c>
      <c r="I1635" s="18">
        <v>6.6654999999999998</v>
      </c>
      <c r="J1635" s="18">
        <v>6.8</v>
      </c>
      <c r="K1635" s="18">
        <v>6.57</v>
      </c>
      <c r="L1635" s="22">
        <v>9</v>
      </c>
    </row>
    <row r="1636" spans="1:12">
      <c r="A1636">
        <v>2</v>
      </c>
      <c r="B1636" s="16" t="s">
        <v>56</v>
      </c>
      <c r="C1636" s="9">
        <v>45901</v>
      </c>
      <c r="D1636">
        <v>39</v>
      </c>
      <c r="E1636" s="16" t="s">
        <v>128</v>
      </c>
      <c r="F1636" s="16" t="s">
        <v>87</v>
      </c>
      <c r="G1636" s="22">
        <v>59</v>
      </c>
      <c r="H1636" s="18">
        <v>392.73750000000001</v>
      </c>
      <c r="I1636" s="18">
        <v>6.6565677970000001</v>
      </c>
      <c r="J1636" s="18">
        <v>6.78</v>
      </c>
      <c r="K1636" s="18">
        <v>6.56</v>
      </c>
      <c r="L1636" s="22">
        <v>9</v>
      </c>
    </row>
    <row r="1637" spans="1:12">
      <c r="A1637">
        <v>2</v>
      </c>
      <c r="B1637" s="16" t="s">
        <v>56</v>
      </c>
      <c r="C1637" s="9">
        <v>45931</v>
      </c>
      <c r="D1637">
        <v>39</v>
      </c>
      <c r="E1637" s="16" t="s">
        <v>128</v>
      </c>
      <c r="F1637" s="16" t="s">
        <v>87</v>
      </c>
      <c r="G1637" s="22">
        <v>87.25</v>
      </c>
      <c r="H1637" s="18">
        <v>586.80250000000001</v>
      </c>
      <c r="I1637" s="18">
        <v>6.725530086</v>
      </c>
      <c r="J1637" s="18">
        <v>7.17</v>
      </c>
      <c r="K1637" s="18">
        <v>6.55</v>
      </c>
      <c r="L1637" s="22">
        <v>9</v>
      </c>
    </row>
    <row r="1638" spans="1:12">
      <c r="A1638">
        <v>2</v>
      </c>
      <c r="B1638" s="16" t="s">
        <v>56</v>
      </c>
      <c r="C1638" s="9">
        <v>45962</v>
      </c>
      <c r="D1638">
        <v>39</v>
      </c>
      <c r="E1638" s="16" t="s">
        <v>128</v>
      </c>
      <c r="F1638" s="16" t="s">
        <v>87</v>
      </c>
      <c r="G1638" s="22">
        <v>78.25</v>
      </c>
      <c r="H1638" s="18">
        <v>526.27250000000004</v>
      </c>
      <c r="I1638" s="18">
        <v>6.7255271570000001</v>
      </c>
      <c r="J1638" s="18">
        <v>6.81</v>
      </c>
      <c r="K1638" s="18">
        <v>6.59</v>
      </c>
      <c r="L1638" s="22">
        <v>8</v>
      </c>
    </row>
    <row r="1639" spans="1:12">
      <c r="A1639">
        <v>2</v>
      </c>
      <c r="B1639" s="16" t="s">
        <v>56</v>
      </c>
      <c r="C1639" s="9">
        <v>45992</v>
      </c>
      <c r="D1639">
        <v>39</v>
      </c>
      <c r="E1639" s="16" t="s">
        <v>128</v>
      </c>
      <c r="F1639" s="16" t="s">
        <v>87</v>
      </c>
      <c r="G1639" s="22">
        <v>133.25</v>
      </c>
      <c r="H1639" s="18">
        <v>892.63250000000005</v>
      </c>
      <c r="I1639" s="18">
        <v>6.698930582</v>
      </c>
      <c r="J1639" s="18">
        <v>6.88</v>
      </c>
      <c r="K1639" s="18">
        <v>6.57</v>
      </c>
      <c r="L1639" s="22">
        <v>9</v>
      </c>
    </row>
    <row r="1640" spans="1:12">
      <c r="A1640">
        <v>2</v>
      </c>
      <c r="B1640" s="16" t="s">
        <v>56</v>
      </c>
      <c r="C1640" s="9">
        <v>46023</v>
      </c>
      <c r="D1640">
        <v>39</v>
      </c>
      <c r="E1640" s="16" t="s">
        <v>128</v>
      </c>
      <c r="F1640" s="16" t="s">
        <v>87</v>
      </c>
      <c r="G1640" s="22">
        <v>69.5</v>
      </c>
      <c r="H1640" s="18">
        <v>469.23250000000002</v>
      </c>
      <c r="I1640" s="18">
        <v>6.7515467630000003</v>
      </c>
      <c r="J1640" s="18">
        <v>6.92</v>
      </c>
      <c r="K1640" s="18">
        <v>6.5</v>
      </c>
      <c r="L1640" s="22">
        <v>9</v>
      </c>
    </row>
    <row r="1641" spans="1:12">
      <c r="A1641">
        <v>2</v>
      </c>
      <c r="B1641" s="16" t="s">
        <v>56</v>
      </c>
      <c r="C1641" s="9">
        <v>46054</v>
      </c>
      <c r="D1641">
        <v>39</v>
      </c>
      <c r="E1641" s="16" t="s">
        <v>128</v>
      </c>
      <c r="F1641" s="16" t="s">
        <v>87</v>
      </c>
      <c r="G1641" s="22">
        <v>87</v>
      </c>
      <c r="H1641" s="18">
        <v>599.46249999999998</v>
      </c>
      <c r="I1641" s="18">
        <v>6.8903735629999998</v>
      </c>
      <c r="J1641" s="18">
        <v>7.36</v>
      </c>
      <c r="K1641" s="18">
        <v>6.72</v>
      </c>
      <c r="L1641" s="22">
        <v>8</v>
      </c>
    </row>
    <row r="1642" spans="1:12">
      <c r="A1642">
        <v>2</v>
      </c>
      <c r="B1642" s="16" t="s">
        <v>56</v>
      </c>
      <c r="C1642" s="9">
        <v>46082</v>
      </c>
      <c r="D1642">
        <v>39</v>
      </c>
      <c r="E1642" s="16" t="s">
        <v>128</v>
      </c>
      <c r="F1642" s="16" t="s">
        <v>87</v>
      </c>
      <c r="G1642" s="22">
        <v>74.25</v>
      </c>
      <c r="H1642" s="18">
        <v>508.94499999999999</v>
      </c>
      <c r="I1642" s="18">
        <v>6.854478114</v>
      </c>
      <c r="J1642" s="18">
        <v>6.98</v>
      </c>
      <c r="K1642" s="18">
        <v>6.72</v>
      </c>
      <c r="L1642" s="22">
        <v>9</v>
      </c>
    </row>
    <row r="1643" spans="1:12">
      <c r="A1643">
        <v>2</v>
      </c>
      <c r="B1643" s="16" t="s">
        <v>56</v>
      </c>
      <c r="C1643" s="9">
        <v>46113</v>
      </c>
      <c r="D1643">
        <v>39</v>
      </c>
      <c r="E1643" s="16" t="s">
        <v>128</v>
      </c>
      <c r="F1643" s="16" t="s">
        <v>87</v>
      </c>
      <c r="G1643" s="22">
        <v>86</v>
      </c>
      <c r="H1643" s="18">
        <v>591.08500000000004</v>
      </c>
      <c r="I1643" s="18">
        <v>6.8730813949999998</v>
      </c>
      <c r="J1643" s="18">
        <v>6.97</v>
      </c>
      <c r="K1643" s="18">
        <v>6.74</v>
      </c>
      <c r="L1643" s="22">
        <v>8</v>
      </c>
    </row>
    <row r="1644" spans="1:12">
      <c r="A1644">
        <v>2</v>
      </c>
      <c r="B1644" s="16" t="s">
        <v>56</v>
      </c>
      <c r="C1644" s="9">
        <v>46143</v>
      </c>
      <c r="D1644">
        <v>39</v>
      </c>
      <c r="E1644" s="16" t="s">
        <v>128</v>
      </c>
      <c r="F1644" s="16" t="s">
        <v>87</v>
      </c>
      <c r="G1644" s="22">
        <v>85.75</v>
      </c>
      <c r="H1644" s="18">
        <v>590.04750000000001</v>
      </c>
      <c r="I1644" s="18">
        <v>6.8810204080000004</v>
      </c>
      <c r="J1644" s="18">
        <v>7</v>
      </c>
      <c r="K1644" s="18">
        <v>6.8</v>
      </c>
      <c r="L1644" s="22">
        <v>9</v>
      </c>
    </row>
    <row r="1645" spans="1:12">
      <c r="A1645">
        <v>2</v>
      </c>
      <c r="B1645" s="16" t="s">
        <v>56</v>
      </c>
      <c r="C1645" s="9">
        <v>46174</v>
      </c>
      <c r="D1645">
        <v>39</v>
      </c>
      <c r="E1645" s="16" t="s">
        <v>128</v>
      </c>
      <c r="F1645" s="16" t="s">
        <v>87</v>
      </c>
      <c r="G1645" s="22">
        <v>62.75</v>
      </c>
      <c r="H1645" s="18">
        <v>430.78750000000002</v>
      </c>
      <c r="I1645" s="18">
        <v>6.8651394420000003</v>
      </c>
      <c r="J1645" s="18">
        <v>6.99</v>
      </c>
      <c r="K1645" s="18">
        <v>6.75</v>
      </c>
      <c r="L1645" s="22">
        <v>9</v>
      </c>
    </row>
    <row r="1646" spans="1:12">
      <c r="A1646">
        <v>2</v>
      </c>
      <c r="B1646" s="16" t="s">
        <v>56</v>
      </c>
      <c r="C1646" s="9">
        <v>46204</v>
      </c>
      <c r="D1646">
        <v>39</v>
      </c>
      <c r="E1646" s="16" t="s">
        <v>128</v>
      </c>
      <c r="F1646" s="16" t="s">
        <v>87</v>
      </c>
      <c r="G1646" s="22">
        <v>61.5</v>
      </c>
      <c r="H1646" s="18">
        <v>419.61500000000001</v>
      </c>
      <c r="I1646" s="18">
        <v>6.8230081299999998</v>
      </c>
      <c r="J1646" s="18">
        <v>7.03</v>
      </c>
      <c r="K1646" s="18">
        <v>6.72</v>
      </c>
      <c r="L1646" s="22">
        <v>9</v>
      </c>
    </row>
    <row r="1647" spans="1:12">
      <c r="A1647">
        <v>2</v>
      </c>
      <c r="B1647" s="16" t="s">
        <v>56</v>
      </c>
      <c r="C1647" s="9">
        <v>46235</v>
      </c>
      <c r="D1647">
        <v>39</v>
      </c>
      <c r="E1647" s="16" t="s">
        <v>128</v>
      </c>
      <c r="F1647" s="16" t="s">
        <v>87</v>
      </c>
      <c r="G1647" s="22">
        <v>48.5</v>
      </c>
      <c r="H1647" s="18">
        <v>327.35500000000002</v>
      </c>
      <c r="I1647" s="18">
        <v>6.7495876289999996</v>
      </c>
      <c r="J1647" s="18">
        <v>6.84</v>
      </c>
      <c r="K1647" s="18">
        <v>6.6</v>
      </c>
      <c r="L1647" s="22">
        <v>8</v>
      </c>
    </row>
    <row r="1648" spans="1:12">
      <c r="A1648">
        <v>2</v>
      </c>
      <c r="B1648" s="16" t="s">
        <v>56</v>
      </c>
      <c r="C1648" s="9">
        <v>46266</v>
      </c>
      <c r="D1648">
        <v>39</v>
      </c>
      <c r="E1648" s="16" t="s">
        <v>128</v>
      </c>
      <c r="F1648" s="16" t="s">
        <v>87</v>
      </c>
      <c r="G1648" s="22">
        <v>59.25</v>
      </c>
      <c r="H1648" s="18">
        <v>407.2475</v>
      </c>
      <c r="I1648" s="18">
        <v>6.8733755270000003</v>
      </c>
      <c r="J1648" s="18">
        <v>7.26</v>
      </c>
      <c r="K1648" s="18">
        <v>6.73</v>
      </c>
      <c r="L1648" s="22">
        <v>9</v>
      </c>
    </row>
    <row r="1649" spans="1:12">
      <c r="A1649">
        <v>2</v>
      </c>
      <c r="B1649" s="16" t="s">
        <v>56</v>
      </c>
      <c r="C1649" s="9">
        <v>45689</v>
      </c>
      <c r="D1649">
        <v>40</v>
      </c>
      <c r="E1649" s="16" t="s">
        <v>129</v>
      </c>
      <c r="F1649" s="16" t="s">
        <v>108</v>
      </c>
      <c r="G1649" s="22">
        <v>8</v>
      </c>
      <c r="H1649" s="18">
        <v>4.96</v>
      </c>
      <c r="I1649" s="18">
        <v>0.62</v>
      </c>
      <c r="J1649" s="18">
        <v>0.62</v>
      </c>
      <c r="K1649" s="18">
        <v>0.62</v>
      </c>
      <c r="L1649" s="22">
        <v>1</v>
      </c>
    </row>
    <row r="1650" spans="1:12">
      <c r="A1650">
        <v>2</v>
      </c>
      <c r="B1650" s="16" t="s">
        <v>56</v>
      </c>
      <c r="C1650" s="9">
        <v>45717</v>
      </c>
      <c r="D1650">
        <v>40</v>
      </c>
      <c r="E1650" s="16" t="s">
        <v>129</v>
      </c>
      <c r="F1650" s="16" t="s">
        <v>108</v>
      </c>
      <c r="G1650" s="22">
        <v>4</v>
      </c>
      <c r="H1650" s="18">
        <v>2.48</v>
      </c>
      <c r="I1650" s="18">
        <v>0.62</v>
      </c>
      <c r="J1650" s="18">
        <v>0.62</v>
      </c>
      <c r="K1650" s="18">
        <v>0.62</v>
      </c>
      <c r="L1650" s="22">
        <v>1</v>
      </c>
    </row>
    <row r="1651" spans="1:12">
      <c r="A1651">
        <v>2</v>
      </c>
      <c r="B1651" s="16" t="s">
        <v>56</v>
      </c>
      <c r="C1651" s="9">
        <v>45748</v>
      </c>
      <c r="D1651">
        <v>40</v>
      </c>
      <c r="E1651" s="16" t="s">
        <v>129</v>
      </c>
      <c r="F1651" s="16" t="s">
        <v>108</v>
      </c>
      <c r="G1651" s="22">
        <v>4</v>
      </c>
      <c r="H1651" s="18">
        <v>2.44</v>
      </c>
      <c r="I1651" s="18">
        <v>0.61</v>
      </c>
      <c r="J1651" s="18">
        <v>0.61</v>
      </c>
      <c r="K1651" s="18">
        <v>0.61</v>
      </c>
      <c r="L1651" s="22">
        <v>1</v>
      </c>
    </row>
    <row r="1652" spans="1:12">
      <c r="A1652">
        <v>2</v>
      </c>
      <c r="B1652" s="16" t="s">
        <v>56</v>
      </c>
      <c r="C1652" s="9">
        <v>45778</v>
      </c>
      <c r="D1652">
        <v>40</v>
      </c>
      <c r="E1652" s="16" t="s">
        <v>129</v>
      </c>
      <c r="F1652" s="16" t="s">
        <v>108</v>
      </c>
      <c r="G1652" s="22">
        <v>4</v>
      </c>
      <c r="H1652" s="18">
        <v>2.36</v>
      </c>
      <c r="I1652" s="18">
        <v>0.59</v>
      </c>
      <c r="J1652" s="18">
        <v>0.59</v>
      </c>
      <c r="K1652" s="18">
        <v>0.59</v>
      </c>
      <c r="L1652" s="22">
        <v>1</v>
      </c>
    </row>
    <row r="1653" spans="1:12">
      <c r="A1653">
        <v>2</v>
      </c>
      <c r="B1653" s="16" t="s">
        <v>56</v>
      </c>
      <c r="C1653" s="9">
        <v>45809</v>
      </c>
      <c r="D1653">
        <v>40</v>
      </c>
      <c r="E1653" s="16" t="s">
        <v>129</v>
      </c>
      <c r="F1653" s="16" t="s">
        <v>108</v>
      </c>
      <c r="G1653" s="22">
        <v>4</v>
      </c>
      <c r="H1653" s="18">
        <v>2.44</v>
      </c>
      <c r="I1653" s="18">
        <v>0.61</v>
      </c>
      <c r="J1653" s="18">
        <v>0.61</v>
      </c>
      <c r="K1653" s="18">
        <v>0.61</v>
      </c>
      <c r="L1653" s="22">
        <v>1</v>
      </c>
    </row>
    <row r="1654" spans="1:12">
      <c r="A1654">
        <v>2</v>
      </c>
      <c r="B1654" s="16" t="s">
        <v>56</v>
      </c>
      <c r="C1654" s="9">
        <v>45839</v>
      </c>
      <c r="D1654">
        <v>40</v>
      </c>
      <c r="E1654" s="16" t="s">
        <v>129</v>
      </c>
      <c r="F1654" s="16" t="s">
        <v>108</v>
      </c>
      <c r="G1654" s="22">
        <v>4</v>
      </c>
      <c r="H1654" s="18">
        <v>2.44</v>
      </c>
      <c r="I1654" s="18">
        <v>0.61</v>
      </c>
      <c r="J1654" s="18">
        <v>0.61</v>
      </c>
      <c r="K1654" s="18">
        <v>0.61</v>
      </c>
      <c r="L1654" s="22">
        <v>1</v>
      </c>
    </row>
    <row r="1655" spans="1:12">
      <c r="A1655">
        <v>2</v>
      </c>
      <c r="B1655" s="16" t="s">
        <v>56</v>
      </c>
      <c r="C1655" s="9">
        <v>45870</v>
      </c>
      <c r="D1655">
        <v>40</v>
      </c>
      <c r="E1655" s="16" t="s">
        <v>129</v>
      </c>
      <c r="F1655" s="16" t="s">
        <v>108</v>
      </c>
      <c r="G1655" s="22">
        <v>4</v>
      </c>
      <c r="H1655" s="18">
        <v>2.4</v>
      </c>
      <c r="I1655" s="18">
        <v>0.6</v>
      </c>
      <c r="J1655" s="18">
        <v>0.6</v>
      </c>
      <c r="K1655" s="18">
        <v>0.6</v>
      </c>
      <c r="L1655" s="22">
        <v>1</v>
      </c>
    </row>
    <row r="1656" spans="1:12">
      <c r="A1656">
        <v>2</v>
      </c>
      <c r="B1656" s="16" t="s">
        <v>56</v>
      </c>
      <c r="C1656" s="9">
        <v>45901</v>
      </c>
      <c r="D1656">
        <v>40</v>
      </c>
      <c r="E1656" s="16" t="s">
        <v>129</v>
      </c>
      <c r="F1656" s="16" t="s">
        <v>108</v>
      </c>
      <c r="G1656" s="22">
        <v>4</v>
      </c>
      <c r="H1656" s="18">
        <v>2.44</v>
      </c>
      <c r="I1656" s="18">
        <v>0.61</v>
      </c>
      <c r="J1656" s="18">
        <v>0.61</v>
      </c>
      <c r="K1656" s="18">
        <v>0.61</v>
      </c>
      <c r="L1656" s="22">
        <v>1</v>
      </c>
    </row>
    <row r="1657" spans="1:12">
      <c r="A1657">
        <v>2</v>
      </c>
      <c r="B1657" s="16" t="s">
        <v>56</v>
      </c>
      <c r="C1657" s="9">
        <v>45931</v>
      </c>
      <c r="D1657">
        <v>40</v>
      </c>
      <c r="E1657" s="16" t="s">
        <v>129</v>
      </c>
      <c r="F1657" s="16" t="s">
        <v>108</v>
      </c>
      <c r="G1657" s="22">
        <v>4</v>
      </c>
      <c r="H1657" s="18">
        <v>2.44</v>
      </c>
      <c r="I1657" s="18">
        <v>0.61</v>
      </c>
      <c r="J1657" s="18">
        <v>0.61</v>
      </c>
      <c r="K1657" s="18">
        <v>0.61</v>
      </c>
      <c r="L1657" s="22">
        <v>1</v>
      </c>
    </row>
    <row r="1658" spans="1:12">
      <c r="A1658">
        <v>2</v>
      </c>
      <c r="B1658" s="16" t="s">
        <v>56</v>
      </c>
      <c r="C1658" s="9">
        <v>45962</v>
      </c>
      <c r="D1658">
        <v>40</v>
      </c>
      <c r="E1658" s="16" t="s">
        <v>129</v>
      </c>
      <c r="F1658" s="16" t="s">
        <v>108</v>
      </c>
      <c r="G1658" s="22">
        <v>8</v>
      </c>
      <c r="H1658" s="18">
        <v>4.96</v>
      </c>
      <c r="I1658" s="18">
        <v>0.62</v>
      </c>
      <c r="J1658" s="18">
        <v>0.62</v>
      </c>
      <c r="K1658" s="18">
        <v>0.62</v>
      </c>
      <c r="L1658" s="22">
        <v>1</v>
      </c>
    </row>
    <row r="1659" spans="1:12">
      <c r="A1659">
        <v>2</v>
      </c>
      <c r="B1659" s="16" t="s">
        <v>56</v>
      </c>
      <c r="C1659" s="9">
        <v>45992</v>
      </c>
      <c r="D1659">
        <v>40</v>
      </c>
      <c r="E1659" s="16" t="s">
        <v>129</v>
      </c>
      <c r="F1659" s="16" t="s">
        <v>108</v>
      </c>
      <c r="G1659" s="22">
        <v>4</v>
      </c>
      <c r="H1659" s="18">
        <v>2.44</v>
      </c>
      <c r="I1659" s="18">
        <v>0.61</v>
      </c>
      <c r="J1659" s="18">
        <v>0.61</v>
      </c>
      <c r="K1659" s="18">
        <v>0.61</v>
      </c>
      <c r="L1659" s="22">
        <v>1</v>
      </c>
    </row>
    <row r="1660" spans="1:12">
      <c r="A1660">
        <v>2</v>
      </c>
      <c r="B1660" s="16" t="s">
        <v>56</v>
      </c>
      <c r="C1660" s="9">
        <v>46023</v>
      </c>
      <c r="D1660">
        <v>40</v>
      </c>
      <c r="E1660" s="16" t="s">
        <v>129</v>
      </c>
      <c r="F1660" s="16" t="s">
        <v>108</v>
      </c>
      <c r="G1660" s="22">
        <v>4</v>
      </c>
      <c r="H1660" s="18">
        <v>2.44</v>
      </c>
      <c r="I1660" s="18">
        <v>0.61</v>
      </c>
      <c r="J1660" s="18">
        <v>0.61</v>
      </c>
      <c r="K1660" s="18">
        <v>0.61</v>
      </c>
      <c r="L1660" s="22">
        <v>1</v>
      </c>
    </row>
    <row r="1661" spans="1:12">
      <c r="A1661">
        <v>2</v>
      </c>
      <c r="B1661" s="16" t="s">
        <v>56</v>
      </c>
      <c r="C1661" s="9">
        <v>46054</v>
      </c>
      <c r="D1661">
        <v>40</v>
      </c>
      <c r="E1661" s="16" t="s">
        <v>129</v>
      </c>
      <c r="F1661" s="16" t="s">
        <v>108</v>
      </c>
      <c r="G1661" s="22">
        <v>4</v>
      </c>
      <c r="H1661" s="18">
        <v>2.48</v>
      </c>
      <c r="I1661" s="18">
        <v>0.62</v>
      </c>
      <c r="J1661" s="18">
        <v>0.62</v>
      </c>
      <c r="K1661" s="18">
        <v>0.62</v>
      </c>
      <c r="L1661" s="22">
        <v>1</v>
      </c>
    </row>
    <row r="1662" spans="1:12">
      <c r="A1662">
        <v>2</v>
      </c>
      <c r="B1662" s="16" t="s">
        <v>56</v>
      </c>
      <c r="C1662" s="9">
        <v>46082</v>
      </c>
      <c r="D1662">
        <v>40</v>
      </c>
      <c r="E1662" s="16" t="s">
        <v>129</v>
      </c>
      <c r="F1662" s="16" t="s">
        <v>108</v>
      </c>
      <c r="G1662" s="22">
        <v>4</v>
      </c>
      <c r="H1662" s="18">
        <v>2.48</v>
      </c>
      <c r="I1662" s="18">
        <v>0.62</v>
      </c>
      <c r="J1662" s="18">
        <v>0.62</v>
      </c>
      <c r="K1662" s="18">
        <v>0.62</v>
      </c>
      <c r="L1662" s="22">
        <v>1</v>
      </c>
    </row>
    <row r="1663" spans="1:12">
      <c r="A1663">
        <v>2</v>
      </c>
      <c r="B1663" s="16" t="s">
        <v>56</v>
      </c>
      <c r="C1663" s="9">
        <v>46113</v>
      </c>
      <c r="D1663">
        <v>40</v>
      </c>
      <c r="E1663" s="16" t="s">
        <v>129</v>
      </c>
      <c r="F1663" s="16" t="s">
        <v>108</v>
      </c>
      <c r="G1663" s="22">
        <v>8</v>
      </c>
      <c r="H1663" s="18">
        <v>4.88</v>
      </c>
      <c r="I1663" s="18">
        <v>0.61</v>
      </c>
      <c r="J1663" s="18">
        <v>0.61</v>
      </c>
      <c r="K1663" s="18">
        <v>0.61</v>
      </c>
      <c r="L1663" s="22">
        <v>1</v>
      </c>
    </row>
    <row r="1664" spans="1:12">
      <c r="A1664">
        <v>2</v>
      </c>
      <c r="B1664" s="16" t="s">
        <v>56</v>
      </c>
      <c r="C1664" s="9">
        <v>46143</v>
      </c>
      <c r="D1664">
        <v>40</v>
      </c>
      <c r="E1664" s="16" t="s">
        <v>129</v>
      </c>
      <c r="F1664" s="16" t="s">
        <v>108</v>
      </c>
      <c r="G1664" s="22">
        <v>4</v>
      </c>
      <c r="H1664" s="18">
        <v>2.48</v>
      </c>
      <c r="I1664" s="18">
        <v>0.62</v>
      </c>
      <c r="J1664" s="18">
        <v>0.62</v>
      </c>
      <c r="K1664" s="18">
        <v>0.62</v>
      </c>
      <c r="L1664" s="22">
        <v>1</v>
      </c>
    </row>
    <row r="1665" spans="1:12">
      <c r="A1665">
        <v>2</v>
      </c>
      <c r="B1665" s="16" t="s">
        <v>56</v>
      </c>
      <c r="C1665" s="9">
        <v>46174</v>
      </c>
      <c r="D1665">
        <v>40</v>
      </c>
      <c r="E1665" s="16" t="s">
        <v>129</v>
      </c>
      <c r="F1665" s="16" t="s">
        <v>108</v>
      </c>
      <c r="G1665" s="22">
        <v>4</v>
      </c>
      <c r="H1665" s="18">
        <v>2.52</v>
      </c>
      <c r="I1665" s="18">
        <v>0.63</v>
      </c>
      <c r="J1665" s="18">
        <v>0.63</v>
      </c>
      <c r="K1665" s="18">
        <v>0.63</v>
      </c>
      <c r="L1665" s="22">
        <v>1</v>
      </c>
    </row>
    <row r="1666" spans="1:12">
      <c r="A1666">
        <v>2</v>
      </c>
      <c r="B1666" s="16" t="s">
        <v>56</v>
      </c>
      <c r="C1666" s="9">
        <v>46204</v>
      </c>
      <c r="D1666">
        <v>40</v>
      </c>
      <c r="E1666" s="16" t="s">
        <v>129</v>
      </c>
      <c r="F1666" s="16" t="s">
        <v>108</v>
      </c>
      <c r="G1666" s="22">
        <v>4</v>
      </c>
      <c r="H1666" s="18">
        <v>2.52</v>
      </c>
      <c r="I1666" s="18">
        <v>0.63</v>
      </c>
      <c r="J1666" s="18">
        <v>0.63</v>
      </c>
      <c r="K1666" s="18">
        <v>0.63</v>
      </c>
      <c r="L1666" s="22">
        <v>1</v>
      </c>
    </row>
    <row r="1667" spans="1:12">
      <c r="A1667">
        <v>2</v>
      </c>
      <c r="B1667" s="16" t="s">
        <v>56</v>
      </c>
      <c r="C1667" s="9">
        <v>46235</v>
      </c>
      <c r="D1667">
        <v>40</v>
      </c>
      <c r="E1667" s="16" t="s">
        <v>129</v>
      </c>
      <c r="F1667" s="16" t="s">
        <v>108</v>
      </c>
      <c r="G1667" s="22">
        <v>4</v>
      </c>
      <c r="H1667" s="18">
        <v>2.56</v>
      </c>
      <c r="I1667" s="18">
        <v>0.64</v>
      </c>
      <c r="J1667" s="18">
        <v>0.64</v>
      </c>
      <c r="K1667" s="18">
        <v>0.64</v>
      </c>
      <c r="L1667" s="22">
        <v>1</v>
      </c>
    </row>
    <row r="1668" spans="1:12">
      <c r="A1668">
        <v>2</v>
      </c>
      <c r="B1668" s="16" t="s">
        <v>56</v>
      </c>
      <c r="C1668" s="9">
        <v>46266</v>
      </c>
      <c r="D1668">
        <v>40</v>
      </c>
      <c r="E1668" s="16" t="s">
        <v>129</v>
      </c>
      <c r="F1668" s="16" t="s">
        <v>108</v>
      </c>
      <c r="G1668" s="22">
        <v>4</v>
      </c>
      <c r="H1668" s="18">
        <v>2.6</v>
      </c>
      <c r="I1668" s="18">
        <v>0.65</v>
      </c>
      <c r="J1668" s="18">
        <v>0.65</v>
      </c>
      <c r="K1668" s="18">
        <v>0.65</v>
      </c>
      <c r="L1668" s="22">
        <v>1</v>
      </c>
    </row>
    <row r="1669" spans="1:12">
      <c r="A1669">
        <v>2</v>
      </c>
      <c r="B1669" s="16" t="s">
        <v>56</v>
      </c>
      <c r="C1669" s="9">
        <v>45689</v>
      </c>
      <c r="D1669">
        <v>41</v>
      </c>
      <c r="E1669" s="16" t="s">
        <v>130</v>
      </c>
      <c r="F1669" s="16" t="s">
        <v>87</v>
      </c>
      <c r="G1669" s="22">
        <v>55.5</v>
      </c>
      <c r="H1669" s="18">
        <v>214.98249999999999</v>
      </c>
      <c r="I1669" s="18">
        <v>3.8735585590000001</v>
      </c>
      <c r="J1669" s="18">
        <v>3.95</v>
      </c>
      <c r="K1669" s="18">
        <v>3.81</v>
      </c>
      <c r="L1669" s="22">
        <v>8</v>
      </c>
    </row>
    <row r="1670" spans="1:12">
      <c r="A1670">
        <v>2</v>
      </c>
      <c r="B1670" s="16" t="s">
        <v>56</v>
      </c>
      <c r="C1670" s="9">
        <v>45717</v>
      </c>
      <c r="D1670">
        <v>41</v>
      </c>
      <c r="E1670" s="16" t="s">
        <v>130</v>
      </c>
      <c r="F1670" s="16" t="s">
        <v>87</v>
      </c>
      <c r="G1670" s="22">
        <v>59.25</v>
      </c>
      <c r="H1670" s="18">
        <v>231.5975</v>
      </c>
      <c r="I1670" s="18">
        <v>3.9088185649999998</v>
      </c>
      <c r="J1670" s="18">
        <v>4.09</v>
      </c>
      <c r="K1670" s="18">
        <v>3.84</v>
      </c>
      <c r="L1670" s="22">
        <v>8</v>
      </c>
    </row>
    <row r="1671" spans="1:12">
      <c r="A1671">
        <v>2</v>
      </c>
      <c r="B1671" s="16" t="s">
        <v>56</v>
      </c>
      <c r="C1671" s="9">
        <v>45748</v>
      </c>
      <c r="D1671">
        <v>41</v>
      </c>
      <c r="E1671" s="16" t="s">
        <v>130</v>
      </c>
      <c r="F1671" s="16" t="s">
        <v>87</v>
      </c>
      <c r="G1671" s="22">
        <v>80.75</v>
      </c>
      <c r="H1671" s="18">
        <v>312.685</v>
      </c>
      <c r="I1671" s="18">
        <v>3.8722600620000001</v>
      </c>
      <c r="J1671" s="18">
        <v>3.91</v>
      </c>
      <c r="K1671" s="18">
        <v>3.81</v>
      </c>
      <c r="L1671" s="22">
        <v>9</v>
      </c>
    </row>
    <row r="1672" spans="1:12">
      <c r="A1672">
        <v>2</v>
      </c>
      <c r="B1672" s="16" t="s">
        <v>56</v>
      </c>
      <c r="C1672" s="9">
        <v>45778</v>
      </c>
      <c r="D1672">
        <v>41</v>
      </c>
      <c r="E1672" s="16" t="s">
        <v>130</v>
      </c>
      <c r="F1672" s="16" t="s">
        <v>87</v>
      </c>
      <c r="G1672" s="22">
        <v>97.25</v>
      </c>
      <c r="H1672" s="18">
        <v>375.36</v>
      </c>
      <c r="I1672" s="18">
        <v>3.859742931</v>
      </c>
      <c r="J1672" s="18">
        <v>3.94</v>
      </c>
      <c r="K1672" s="18">
        <v>3.8</v>
      </c>
      <c r="L1672" s="22">
        <v>9</v>
      </c>
    </row>
    <row r="1673" spans="1:12">
      <c r="A1673">
        <v>2</v>
      </c>
      <c r="B1673" s="16" t="s">
        <v>56</v>
      </c>
      <c r="C1673" s="9">
        <v>45809</v>
      </c>
      <c r="D1673">
        <v>41</v>
      </c>
      <c r="E1673" s="16" t="s">
        <v>130</v>
      </c>
      <c r="F1673" s="16" t="s">
        <v>87</v>
      </c>
      <c r="G1673" s="22">
        <v>66</v>
      </c>
      <c r="H1673" s="18">
        <v>254.78</v>
      </c>
      <c r="I1673" s="18">
        <v>3.8603030299999999</v>
      </c>
      <c r="J1673" s="18">
        <v>3.94</v>
      </c>
      <c r="K1673" s="18">
        <v>3.8</v>
      </c>
      <c r="L1673" s="22">
        <v>8</v>
      </c>
    </row>
    <row r="1674" spans="1:12">
      <c r="A1674">
        <v>2</v>
      </c>
      <c r="B1674" s="16" t="s">
        <v>56</v>
      </c>
      <c r="C1674" s="9">
        <v>45839</v>
      </c>
      <c r="D1674">
        <v>41</v>
      </c>
      <c r="E1674" s="16" t="s">
        <v>130</v>
      </c>
      <c r="F1674" s="16" t="s">
        <v>87</v>
      </c>
      <c r="G1674" s="22">
        <v>72.25</v>
      </c>
      <c r="H1674" s="18">
        <v>283.63</v>
      </c>
      <c r="I1674" s="18">
        <v>3.9256747399999998</v>
      </c>
      <c r="J1674" s="18">
        <v>4.04</v>
      </c>
      <c r="K1674" s="18">
        <v>3.79</v>
      </c>
      <c r="L1674" s="22">
        <v>9</v>
      </c>
    </row>
    <row r="1675" spans="1:12">
      <c r="A1675">
        <v>2</v>
      </c>
      <c r="B1675" s="16" t="s">
        <v>56</v>
      </c>
      <c r="C1675" s="9">
        <v>45870</v>
      </c>
      <c r="D1675">
        <v>41</v>
      </c>
      <c r="E1675" s="16" t="s">
        <v>130</v>
      </c>
      <c r="F1675" s="16" t="s">
        <v>87</v>
      </c>
      <c r="G1675" s="22">
        <v>90.75</v>
      </c>
      <c r="H1675" s="18">
        <v>360.57499999999999</v>
      </c>
      <c r="I1675" s="18">
        <v>3.9732782370000002</v>
      </c>
      <c r="J1675" s="18">
        <v>4.03</v>
      </c>
      <c r="K1675" s="18">
        <v>3.91</v>
      </c>
      <c r="L1675" s="22">
        <v>9</v>
      </c>
    </row>
    <row r="1676" spans="1:12">
      <c r="A1676">
        <v>2</v>
      </c>
      <c r="B1676" s="16" t="s">
        <v>56</v>
      </c>
      <c r="C1676" s="9">
        <v>45901</v>
      </c>
      <c r="D1676">
        <v>41</v>
      </c>
      <c r="E1676" s="16" t="s">
        <v>130</v>
      </c>
      <c r="F1676" s="16" t="s">
        <v>87</v>
      </c>
      <c r="G1676" s="22">
        <v>74.5</v>
      </c>
      <c r="H1676" s="18">
        <v>296.08999999999997</v>
      </c>
      <c r="I1676" s="18">
        <v>3.974362416</v>
      </c>
      <c r="J1676" s="18">
        <v>4.08</v>
      </c>
      <c r="K1676" s="18">
        <v>3.88</v>
      </c>
      <c r="L1676" s="22">
        <v>9</v>
      </c>
    </row>
    <row r="1677" spans="1:12">
      <c r="A1677">
        <v>2</v>
      </c>
      <c r="B1677" s="16" t="s">
        <v>56</v>
      </c>
      <c r="C1677" s="9">
        <v>45931</v>
      </c>
      <c r="D1677">
        <v>41</v>
      </c>
      <c r="E1677" s="16" t="s">
        <v>130</v>
      </c>
      <c r="F1677" s="16" t="s">
        <v>87</v>
      </c>
      <c r="G1677" s="22">
        <v>89.25</v>
      </c>
      <c r="H1677" s="18">
        <v>357.65499999999997</v>
      </c>
      <c r="I1677" s="18">
        <v>4.007338936</v>
      </c>
      <c r="J1677" s="18">
        <v>4.0599999999999996</v>
      </c>
      <c r="K1677" s="18">
        <v>3.91</v>
      </c>
      <c r="L1677" s="22">
        <v>9</v>
      </c>
    </row>
    <row r="1678" spans="1:12">
      <c r="A1678">
        <v>2</v>
      </c>
      <c r="B1678" s="16" t="s">
        <v>56</v>
      </c>
      <c r="C1678" s="9">
        <v>45962</v>
      </c>
      <c r="D1678">
        <v>41</v>
      </c>
      <c r="E1678" s="16" t="s">
        <v>130</v>
      </c>
      <c r="F1678" s="16" t="s">
        <v>87</v>
      </c>
      <c r="G1678" s="22">
        <v>68</v>
      </c>
      <c r="H1678" s="18">
        <v>272.01749999999998</v>
      </c>
      <c r="I1678" s="18">
        <v>4.0002573530000003</v>
      </c>
      <c r="J1678" s="18">
        <v>4.05</v>
      </c>
      <c r="K1678" s="18">
        <v>3.96</v>
      </c>
      <c r="L1678" s="22">
        <v>8</v>
      </c>
    </row>
    <row r="1679" spans="1:12">
      <c r="A1679">
        <v>2</v>
      </c>
      <c r="B1679" s="16" t="s">
        <v>56</v>
      </c>
      <c r="C1679" s="9">
        <v>45992</v>
      </c>
      <c r="D1679">
        <v>41</v>
      </c>
      <c r="E1679" s="16" t="s">
        <v>130</v>
      </c>
      <c r="F1679" s="16" t="s">
        <v>87</v>
      </c>
      <c r="G1679" s="22">
        <v>102</v>
      </c>
      <c r="H1679" s="18">
        <v>409.30250000000001</v>
      </c>
      <c r="I1679" s="18">
        <v>4.0127696080000002</v>
      </c>
      <c r="J1679" s="18">
        <v>4.0599999999999996</v>
      </c>
      <c r="K1679" s="18">
        <v>3.97</v>
      </c>
      <c r="L1679" s="22">
        <v>9</v>
      </c>
    </row>
    <row r="1680" spans="1:12">
      <c r="A1680">
        <v>2</v>
      </c>
      <c r="B1680" s="16" t="s">
        <v>56</v>
      </c>
      <c r="C1680" s="9">
        <v>46023</v>
      </c>
      <c r="D1680">
        <v>41</v>
      </c>
      <c r="E1680" s="16" t="s">
        <v>130</v>
      </c>
      <c r="F1680" s="16" t="s">
        <v>87</v>
      </c>
      <c r="G1680" s="22">
        <v>60.75</v>
      </c>
      <c r="H1680" s="18">
        <v>244.6875</v>
      </c>
      <c r="I1680" s="18">
        <v>4.0277777779999999</v>
      </c>
      <c r="J1680" s="18">
        <v>4.29</v>
      </c>
      <c r="K1680" s="18">
        <v>3.95</v>
      </c>
      <c r="L1680" s="22">
        <v>9</v>
      </c>
    </row>
    <row r="1681" spans="1:12">
      <c r="A1681">
        <v>2</v>
      </c>
      <c r="B1681" s="16" t="s">
        <v>56</v>
      </c>
      <c r="C1681" s="9">
        <v>46054</v>
      </c>
      <c r="D1681">
        <v>41</v>
      </c>
      <c r="E1681" s="16" t="s">
        <v>130</v>
      </c>
      <c r="F1681" s="16" t="s">
        <v>87</v>
      </c>
      <c r="G1681" s="22">
        <v>57.5</v>
      </c>
      <c r="H1681" s="18">
        <v>230.19</v>
      </c>
      <c r="I1681" s="18">
        <v>4.0033043480000003</v>
      </c>
      <c r="J1681" s="18">
        <v>4.03</v>
      </c>
      <c r="K1681" s="18">
        <v>3.96</v>
      </c>
      <c r="L1681" s="22">
        <v>8</v>
      </c>
    </row>
    <row r="1682" spans="1:12">
      <c r="A1682">
        <v>2</v>
      </c>
      <c r="B1682" s="16" t="s">
        <v>56</v>
      </c>
      <c r="C1682" s="9">
        <v>46082</v>
      </c>
      <c r="D1682">
        <v>41</v>
      </c>
      <c r="E1682" s="16" t="s">
        <v>130</v>
      </c>
      <c r="F1682" s="16" t="s">
        <v>87</v>
      </c>
      <c r="G1682" s="22">
        <v>71.5</v>
      </c>
      <c r="H1682" s="18">
        <v>287.48500000000001</v>
      </c>
      <c r="I1682" s="18">
        <v>4.0207692310000001</v>
      </c>
      <c r="J1682" s="18">
        <v>4.09</v>
      </c>
      <c r="K1682" s="18">
        <v>3.93</v>
      </c>
      <c r="L1682" s="22">
        <v>9</v>
      </c>
    </row>
    <row r="1683" spans="1:12">
      <c r="A1683">
        <v>2</v>
      </c>
      <c r="B1683" s="16" t="s">
        <v>56</v>
      </c>
      <c r="C1683" s="9">
        <v>46113</v>
      </c>
      <c r="D1683">
        <v>41</v>
      </c>
      <c r="E1683" s="16" t="s">
        <v>130</v>
      </c>
      <c r="F1683" s="16" t="s">
        <v>87</v>
      </c>
      <c r="G1683" s="22">
        <v>72.25</v>
      </c>
      <c r="H1683" s="18">
        <v>289.01</v>
      </c>
      <c r="I1683" s="18">
        <v>4.0001384079999998</v>
      </c>
      <c r="J1683" s="18">
        <v>4.09</v>
      </c>
      <c r="K1683" s="18">
        <v>3.92</v>
      </c>
      <c r="L1683" s="22">
        <v>8</v>
      </c>
    </row>
    <row r="1684" spans="1:12">
      <c r="A1684">
        <v>2</v>
      </c>
      <c r="B1684" s="16" t="s">
        <v>56</v>
      </c>
      <c r="C1684" s="9">
        <v>46143</v>
      </c>
      <c r="D1684">
        <v>41</v>
      </c>
      <c r="E1684" s="16" t="s">
        <v>130</v>
      </c>
      <c r="F1684" s="16" t="s">
        <v>87</v>
      </c>
      <c r="G1684" s="22">
        <v>97</v>
      </c>
      <c r="H1684" s="18">
        <v>391.36750000000001</v>
      </c>
      <c r="I1684" s="18">
        <v>4.0347164949999996</v>
      </c>
      <c r="J1684" s="18">
        <v>4.09</v>
      </c>
      <c r="K1684" s="18">
        <v>3.97</v>
      </c>
      <c r="L1684" s="22">
        <v>9</v>
      </c>
    </row>
    <row r="1685" spans="1:12">
      <c r="A1685">
        <v>2</v>
      </c>
      <c r="B1685" s="16" t="s">
        <v>56</v>
      </c>
      <c r="C1685" s="9">
        <v>46174</v>
      </c>
      <c r="D1685">
        <v>41</v>
      </c>
      <c r="E1685" s="16" t="s">
        <v>130</v>
      </c>
      <c r="F1685" s="16" t="s">
        <v>87</v>
      </c>
      <c r="G1685" s="22">
        <v>92</v>
      </c>
      <c r="H1685" s="18">
        <v>370.7475</v>
      </c>
      <c r="I1685" s="18">
        <v>4.02986413</v>
      </c>
      <c r="J1685" s="18">
        <v>4.0999999999999996</v>
      </c>
      <c r="K1685" s="18">
        <v>3.92</v>
      </c>
      <c r="L1685" s="22">
        <v>9</v>
      </c>
    </row>
    <row r="1686" spans="1:12">
      <c r="A1686">
        <v>2</v>
      </c>
      <c r="B1686" s="16" t="s">
        <v>56</v>
      </c>
      <c r="C1686" s="9">
        <v>46204</v>
      </c>
      <c r="D1686">
        <v>41</v>
      </c>
      <c r="E1686" s="16" t="s">
        <v>130</v>
      </c>
      <c r="F1686" s="16" t="s">
        <v>87</v>
      </c>
      <c r="G1686" s="22">
        <v>95.25</v>
      </c>
      <c r="H1686" s="18">
        <v>388.9375</v>
      </c>
      <c r="I1686" s="18">
        <v>4.0833333329999997</v>
      </c>
      <c r="J1686" s="18">
        <v>4.16</v>
      </c>
      <c r="K1686" s="18">
        <v>4.01</v>
      </c>
      <c r="L1686" s="22">
        <v>9</v>
      </c>
    </row>
    <row r="1687" spans="1:12">
      <c r="A1687">
        <v>2</v>
      </c>
      <c r="B1687" s="16" t="s">
        <v>56</v>
      </c>
      <c r="C1687" s="9">
        <v>46235</v>
      </c>
      <c r="D1687">
        <v>41</v>
      </c>
      <c r="E1687" s="16" t="s">
        <v>130</v>
      </c>
      <c r="F1687" s="16" t="s">
        <v>87</v>
      </c>
      <c r="G1687" s="22">
        <v>70.75</v>
      </c>
      <c r="H1687" s="18">
        <v>289.85500000000002</v>
      </c>
      <c r="I1687" s="18">
        <v>4.0968904589999999</v>
      </c>
      <c r="J1687" s="18">
        <v>4.2</v>
      </c>
      <c r="K1687" s="18">
        <v>4.03</v>
      </c>
      <c r="L1687" s="22">
        <v>8</v>
      </c>
    </row>
    <row r="1688" spans="1:12">
      <c r="A1688">
        <v>2</v>
      </c>
      <c r="B1688" s="16" t="s">
        <v>56</v>
      </c>
      <c r="C1688" s="9">
        <v>46266</v>
      </c>
      <c r="D1688">
        <v>41</v>
      </c>
      <c r="E1688" s="16" t="s">
        <v>130</v>
      </c>
      <c r="F1688" s="16" t="s">
        <v>87</v>
      </c>
      <c r="G1688" s="22">
        <v>69.25</v>
      </c>
      <c r="H1688" s="18">
        <v>283.61750000000001</v>
      </c>
      <c r="I1688" s="18">
        <v>4.0955595669999996</v>
      </c>
      <c r="J1688" s="18">
        <v>4.1399999999999997</v>
      </c>
      <c r="K1688" s="18">
        <v>3.99</v>
      </c>
      <c r="L1688" s="22">
        <v>9</v>
      </c>
    </row>
    <row r="1689" spans="1:12">
      <c r="A1689">
        <v>2</v>
      </c>
      <c r="B1689" s="16" t="s">
        <v>56</v>
      </c>
      <c r="C1689" s="9">
        <v>45689</v>
      </c>
      <c r="D1689">
        <v>42</v>
      </c>
      <c r="E1689" s="16" t="s">
        <v>131</v>
      </c>
      <c r="F1689" s="16" t="s">
        <v>83</v>
      </c>
      <c r="G1689" s="22">
        <v>38</v>
      </c>
      <c r="H1689" s="18">
        <v>242.22499999999999</v>
      </c>
      <c r="I1689" s="18">
        <v>6.3743421050000002</v>
      </c>
      <c r="J1689" s="18">
        <v>6.42</v>
      </c>
      <c r="K1689" s="18">
        <v>6.31</v>
      </c>
      <c r="L1689" s="22">
        <v>8</v>
      </c>
    </row>
    <row r="1690" spans="1:12">
      <c r="A1690">
        <v>2</v>
      </c>
      <c r="B1690" s="16" t="s">
        <v>56</v>
      </c>
      <c r="C1690" s="9">
        <v>45717</v>
      </c>
      <c r="D1690">
        <v>42</v>
      </c>
      <c r="E1690" s="16" t="s">
        <v>131</v>
      </c>
      <c r="F1690" s="16" t="s">
        <v>83</v>
      </c>
      <c r="G1690" s="22">
        <v>49</v>
      </c>
      <c r="H1690" s="18">
        <v>315.20999999999998</v>
      </c>
      <c r="I1690" s="18">
        <v>6.4328571429999997</v>
      </c>
      <c r="J1690" s="18">
        <v>6.52</v>
      </c>
      <c r="K1690" s="18">
        <v>6.34</v>
      </c>
      <c r="L1690" s="22">
        <v>9</v>
      </c>
    </row>
    <row r="1691" spans="1:12">
      <c r="A1691">
        <v>2</v>
      </c>
      <c r="B1691" s="16" t="s">
        <v>56</v>
      </c>
      <c r="C1691" s="9">
        <v>45748</v>
      </c>
      <c r="D1691">
        <v>42</v>
      </c>
      <c r="E1691" s="16" t="s">
        <v>131</v>
      </c>
      <c r="F1691" s="16" t="s">
        <v>83</v>
      </c>
      <c r="G1691" s="22">
        <v>43</v>
      </c>
      <c r="H1691" s="18">
        <v>279.35000000000002</v>
      </c>
      <c r="I1691" s="18">
        <v>6.4965116280000004</v>
      </c>
      <c r="J1691" s="18">
        <v>6.55</v>
      </c>
      <c r="K1691" s="18">
        <v>6.39</v>
      </c>
      <c r="L1691" s="22">
        <v>8</v>
      </c>
    </row>
    <row r="1692" spans="1:12">
      <c r="A1692">
        <v>2</v>
      </c>
      <c r="B1692" s="16" t="s">
        <v>56</v>
      </c>
      <c r="C1692" s="9">
        <v>45778</v>
      </c>
      <c r="D1692">
        <v>42</v>
      </c>
      <c r="E1692" s="16" t="s">
        <v>131</v>
      </c>
      <c r="F1692" s="16" t="s">
        <v>83</v>
      </c>
      <c r="G1692" s="22">
        <v>41</v>
      </c>
      <c r="H1692" s="18">
        <v>268.54000000000002</v>
      </c>
      <c r="I1692" s="18">
        <v>6.5497560979999996</v>
      </c>
      <c r="J1692" s="18">
        <v>6.61</v>
      </c>
      <c r="K1692" s="18">
        <v>6.45</v>
      </c>
      <c r="L1692" s="22">
        <v>9</v>
      </c>
    </row>
    <row r="1693" spans="1:12">
      <c r="A1693">
        <v>2</v>
      </c>
      <c r="B1693" s="16" t="s">
        <v>56</v>
      </c>
      <c r="C1693" s="9">
        <v>45809</v>
      </c>
      <c r="D1693">
        <v>42</v>
      </c>
      <c r="E1693" s="16" t="s">
        <v>131</v>
      </c>
      <c r="F1693" s="16" t="s">
        <v>83</v>
      </c>
      <c r="G1693" s="22">
        <v>38.5</v>
      </c>
      <c r="H1693" s="18">
        <v>250.36500000000001</v>
      </c>
      <c r="I1693" s="18">
        <v>6.5029870130000003</v>
      </c>
      <c r="J1693" s="18">
        <v>6.73</v>
      </c>
      <c r="K1693" s="18">
        <v>6.28</v>
      </c>
      <c r="L1693" s="22">
        <v>9</v>
      </c>
    </row>
    <row r="1694" spans="1:12">
      <c r="A1694">
        <v>2</v>
      </c>
      <c r="B1694" s="16" t="s">
        <v>56</v>
      </c>
      <c r="C1694" s="9">
        <v>45839</v>
      </c>
      <c r="D1694">
        <v>42</v>
      </c>
      <c r="E1694" s="16" t="s">
        <v>131</v>
      </c>
      <c r="F1694" s="16" t="s">
        <v>83</v>
      </c>
      <c r="G1694" s="22">
        <v>25.5</v>
      </c>
      <c r="H1694" s="18">
        <v>165.55</v>
      </c>
      <c r="I1694" s="18">
        <v>6.4921568629999999</v>
      </c>
      <c r="J1694" s="18">
        <v>6.66</v>
      </c>
      <c r="K1694" s="18">
        <v>6.37</v>
      </c>
      <c r="L1694" s="22">
        <v>9</v>
      </c>
    </row>
    <row r="1695" spans="1:12">
      <c r="A1695">
        <v>2</v>
      </c>
      <c r="B1695" s="16" t="s">
        <v>56</v>
      </c>
      <c r="C1695" s="9">
        <v>45870</v>
      </c>
      <c r="D1695">
        <v>42</v>
      </c>
      <c r="E1695" s="16" t="s">
        <v>131</v>
      </c>
      <c r="F1695" s="16" t="s">
        <v>83</v>
      </c>
      <c r="G1695" s="22">
        <v>31</v>
      </c>
      <c r="H1695" s="18">
        <v>201.98500000000001</v>
      </c>
      <c r="I1695" s="18">
        <v>6.5156451610000001</v>
      </c>
      <c r="J1695" s="18">
        <v>6.64</v>
      </c>
      <c r="K1695" s="18">
        <v>6.36</v>
      </c>
      <c r="L1695" s="22">
        <v>8</v>
      </c>
    </row>
    <row r="1696" spans="1:12">
      <c r="A1696">
        <v>2</v>
      </c>
      <c r="B1696" s="16" t="s">
        <v>56</v>
      </c>
      <c r="C1696" s="9">
        <v>45901</v>
      </c>
      <c r="D1696">
        <v>42</v>
      </c>
      <c r="E1696" s="16" t="s">
        <v>131</v>
      </c>
      <c r="F1696" s="16" t="s">
        <v>83</v>
      </c>
      <c r="G1696" s="22">
        <v>36.5</v>
      </c>
      <c r="H1696" s="18">
        <v>236.08</v>
      </c>
      <c r="I1696" s="18">
        <v>6.4679452050000004</v>
      </c>
      <c r="J1696" s="18">
        <v>6.58</v>
      </c>
      <c r="K1696" s="18">
        <v>6.34</v>
      </c>
      <c r="L1696" s="22">
        <v>9</v>
      </c>
    </row>
    <row r="1697" spans="1:12">
      <c r="A1697">
        <v>2</v>
      </c>
      <c r="B1697" s="16" t="s">
        <v>56</v>
      </c>
      <c r="C1697" s="9">
        <v>45931</v>
      </c>
      <c r="D1697">
        <v>42</v>
      </c>
      <c r="E1697" s="16" t="s">
        <v>131</v>
      </c>
      <c r="F1697" s="16" t="s">
        <v>83</v>
      </c>
      <c r="G1697" s="22">
        <v>45</v>
      </c>
      <c r="H1697" s="18">
        <v>295.495</v>
      </c>
      <c r="I1697" s="18">
        <v>6.566555556</v>
      </c>
      <c r="J1697" s="18">
        <v>6.68</v>
      </c>
      <c r="K1697" s="18">
        <v>6.46</v>
      </c>
      <c r="L1697" s="22">
        <v>9</v>
      </c>
    </row>
    <row r="1698" spans="1:12">
      <c r="A1698">
        <v>2</v>
      </c>
      <c r="B1698" s="16" t="s">
        <v>56</v>
      </c>
      <c r="C1698" s="9">
        <v>45962</v>
      </c>
      <c r="D1698">
        <v>42</v>
      </c>
      <c r="E1698" s="16" t="s">
        <v>131</v>
      </c>
      <c r="F1698" s="16" t="s">
        <v>83</v>
      </c>
      <c r="G1698" s="22">
        <v>35.5</v>
      </c>
      <c r="H1698" s="18">
        <v>234.19</v>
      </c>
      <c r="I1698" s="18">
        <v>6.5969014079999999</v>
      </c>
      <c r="J1698" s="18">
        <v>6.69</v>
      </c>
      <c r="K1698" s="18">
        <v>6.53</v>
      </c>
      <c r="L1698" s="22">
        <v>8</v>
      </c>
    </row>
    <row r="1699" spans="1:12">
      <c r="A1699">
        <v>2</v>
      </c>
      <c r="B1699" s="16" t="s">
        <v>56</v>
      </c>
      <c r="C1699" s="9">
        <v>45992</v>
      </c>
      <c r="D1699">
        <v>42</v>
      </c>
      <c r="E1699" s="16" t="s">
        <v>131</v>
      </c>
      <c r="F1699" s="16" t="s">
        <v>83</v>
      </c>
      <c r="G1699" s="22">
        <v>59</v>
      </c>
      <c r="H1699" s="18">
        <v>387.94</v>
      </c>
      <c r="I1699" s="18">
        <v>6.5752542370000002</v>
      </c>
      <c r="J1699" s="18">
        <v>6.72</v>
      </c>
      <c r="K1699" s="18">
        <v>6.43</v>
      </c>
      <c r="L1699" s="22">
        <v>9</v>
      </c>
    </row>
    <row r="1700" spans="1:12">
      <c r="A1700">
        <v>2</v>
      </c>
      <c r="B1700" s="16" t="s">
        <v>56</v>
      </c>
      <c r="C1700" s="9">
        <v>46023</v>
      </c>
      <c r="D1700">
        <v>42</v>
      </c>
      <c r="E1700" s="16" t="s">
        <v>131</v>
      </c>
      <c r="F1700" s="16" t="s">
        <v>83</v>
      </c>
      <c r="G1700" s="22">
        <v>36</v>
      </c>
      <c r="H1700" s="18">
        <v>237.95</v>
      </c>
      <c r="I1700" s="18">
        <v>6.6097222220000003</v>
      </c>
      <c r="J1700" s="18">
        <v>6.8</v>
      </c>
      <c r="K1700" s="18">
        <v>6.49</v>
      </c>
      <c r="L1700" s="22">
        <v>9</v>
      </c>
    </row>
    <row r="1701" spans="1:12">
      <c r="A1701">
        <v>2</v>
      </c>
      <c r="B1701" s="16" t="s">
        <v>56</v>
      </c>
      <c r="C1701" s="9">
        <v>46054</v>
      </c>
      <c r="D1701">
        <v>42</v>
      </c>
      <c r="E1701" s="16" t="s">
        <v>131</v>
      </c>
      <c r="F1701" s="16" t="s">
        <v>83</v>
      </c>
      <c r="G1701" s="22">
        <v>32.5</v>
      </c>
      <c r="H1701" s="18">
        <v>215.23</v>
      </c>
      <c r="I1701" s="18">
        <v>6.6224615379999996</v>
      </c>
      <c r="J1701" s="18">
        <v>6.78</v>
      </c>
      <c r="K1701" s="18">
        <v>6.48</v>
      </c>
      <c r="L1701" s="22">
        <v>8</v>
      </c>
    </row>
    <row r="1702" spans="1:12">
      <c r="A1702">
        <v>2</v>
      </c>
      <c r="B1702" s="16" t="s">
        <v>56</v>
      </c>
      <c r="C1702" s="9">
        <v>46082</v>
      </c>
      <c r="D1702">
        <v>42</v>
      </c>
      <c r="E1702" s="16" t="s">
        <v>131</v>
      </c>
      <c r="F1702" s="16" t="s">
        <v>83</v>
      </c>
      <c r="G1702" s="22">
        <v>44.5</v>
      </c>
      <c r="H1702" s="18">
        <v>298.23500000000001</v>
      </c>
      <c r="I1702" s="18">
        <v>6.7019101120000002</v>
      </c>
      <c r="J1702" s="18">
        <v>6.84</v>
      </c>
      <c r="K1702" s="18">
        <v>6.57</v>
      </c>
      <c r="L1702" s="22">
        <v>9</v>
      </c>
    </row>
    <row r="1703" spans="1:12">
      <c r="A1703">
        <v>2</v>
      </c>
      <c r="B1703" s="16" t="s">
        <v>56</v>
      </c>
      <c r="C1703" s="9">
        <v>46113</v>
      </c>
      <c r="D1703">
        <v>42</v>
      </c>
      <c r="E1703" s="16" t="s">
        <v>131</v>
      </c>
      <c r="F1703" s="16" t="s">
        <v>83</v>
      </c>
      <c r="G1703" s="22">
        <v>37.5</v>
      </c>
      <c r="H1703" s="18">
        <v>252.07</v>
      </c>
      <c r="I1703" s="18">
        <v>6.7218666669999996</v>
      </c>
      <c r="J1703" s="18">
        <v>7.04</v>
      </c>
      <c r="K1703" s="18">
        <v>6.53</v>
      </c>
      <c r="L1703" s="22">
        <v>9</v>
      </c>
    </row>
    <row r="1704" spans="1:12">
      <c r="A1704">
        <v>2</v>
      </c>
      <c r="B1704" s="16" t="s">
        <v>56</v>
      </c>
      <c r="C1704" s="9">
        <v>46143</v>
      </c>
      <c r="D1704">
        <v>42</v>
      </c>
      <c r="E1704" s="16" t="s">
        <v>131</v>
      </c>
      <c r="F1704" s="16" t="s">
        <v>83</v>
      </c>
      <c r="G1704" s="22">
        <v>42</v>
      </c>
      <c r="H1704" s="18">
        <v>279.84500000000003</v>
      </c>
      <c r="I1704" s="18">
        <v>6.6629761900000002</v>
      </c>
      <c r="J1704" s="18">
        <v>6.79</v>
      </c>
      <c r="K1704" s="18">
        <v>6.57</v>
      </c>
      <c r="L1704" s="22">
        <v>8</v>
      </c>
    </row>
    <row r="1705" spans="1:12">
      <c r="A1705">
        <v>2</v>
      </c>
      <c r="B1705" s="16" t="s">
        <v>56</v>
      </c>
      <c r="C1705" s="9">
        <v>46174</v>
      </c>
      <c r="D1705">
        <v>42</v>
      </c>
      <c r="E1705" s="16" t="s">
        <v>131</v>
      </c>
      <c r="F1705" s="16" t="s">
        <v>83</v>
      </c>
      <c r="G1705" s="22">
        <v>36.5</v>
      </c>
      <c r="H1705" s="18">
        <v>244.655</v>
      </c>
      <c r="I1705" s="18">
        <v>6.7028767120000001</v>
      </c>
      <c r="J1705" s="18">
        <v>6.85</v>
      </c>
      <c r="K1705" s="18">
        <v>6.56</v>
      </c>
      <c r="L1705" s="22">
        <v>9</v>
      </c>
    </row>
    <row r="1706" spans="1:12">
      <c r="A1706">
        <v>2</v>
      </c>
      <c r="B1706" s="16" t="s">
        <v>56</v>
      </c>
      <c r="C1706" s="9">
        <v>46204</v>
      </c>
      <c r="D1706">
        <v>42</v>
      </c>
      <c r="E1706" s="16" t="s">
        <v>131</v>
      </c>
      <c r="F1706" s="16" t="s">
        <v>83</v>
      </c>
      <c r="G1706" s="22">
        <v>38.5</v>
      </c>
      <c r="H1706" s="18">
        <v>258.68</v>
      </c>
      <c r="I1706" s="18">
        <v>6.7189610389999999</v>
      </c>
      <c r="J1706" s="18">
        <v>6.88</v>
      </c>
      <c r="K1706" s="18">
        <v>6.63</v>
      </c>
      <c r="L1706" s="22">
        <v>9</v>
      </c>
    </row>
    <row r="1707" spans="1:12">
      <c r="A1707">
        <v>2</v>
      </c>
      <c r="B1707" s="16" t="s">
        <v>56</v>
      </c>
      <c r="C1707" s="9">
        <v>46235</v>
      </c>
      <c r="D1707">
        <v>42</v>
      </c>
      <c r="E1707" s="16" t="s">
        <v>131</v>
      </c>
      <c r="F1707" s="16" t="s">
        <v>83</v>
      </c>
      <c r="G1707" s="22">
        <v>31.5</v>
      </c>
      <c r="H1707" s="18">
        <v>210.85</v>
      </c>
      <c r="I1707" s="18">
        <v>6.6936507939999998</v>
      </c>
      <c r="J1707" s="18">
        <v>6.82</v>
      </c>
      <c r="K1707" s="18">
        <v>6.61</v>
      </c>
      <c r="L1707" s="22">
        <v>9</v>
      </c>
    </row>
    <row r="1708" spans="1:12">
      <c r="A1708">
        <v>2</v>
      </c>
      <c r="B1708" s="16" t="s">
        <v>56</v>
      </c>
      <c r="C1708" s="9">
        <v>46266</v>
      </c>
      <c r="D1708">
        <v>42</v>
      </c>
      <c r="E1708" s="16" t="s">
        <v>131</v>
      </c>
      <c r="F1708" s="16" t="s">
        <v>83</v>
      </c>
      <c r="G1708" s="22">
        <v>29</v>
      </c>
      <c r="H1708" s="18">
        <v>194.19</v>
      </c>
      <c r="I1708" s="18">
        <v>6.6962068969999997</v>
      </c>
      <c r="J1708" s="18">
        <v>6.81</v>
      </c>
      <c r="K1708" s="18">
        <v>6.53</v>
      </c>
      <c r="L1708" s="22">
        <v>8</v>
      </c>
    </row>
    <row r="1709" spans="1:12">
      <c r="A1709">
        <v>2</v>
      </c>
      <c r="B1709" s="16" t="s">
        <v>56</v>
      </c>
      <c r="C1709" s="9">
        <v>45689</v>
      </c>
      <c r="D1709">
        <v>43</v>
      </c>
      <c r="E1709" s="16" t="s">
        <v>132</v>
      </c>
      <c r="F1709" s="16" t="s">
        <v>90</v>
      </c>
      <c r="G1709" s="22">
        <v>6</v>
      </c>
      <c r="H1709" s="18">
        <v>7.59</v>
      </c>
      <c r="I1709" s="18">
        <v>1.2649999999999999</v>
      </c>
      <c r="J1709" s="18">
        <v>1.29</v>
      </c>
      <c r="K1709" s="18">
        <v>1.24</v>
      </c>
      <c r="L1709" s="22">
        <v>2</v>
      </c>
    </row>
    <row r="1710" spans="1:12">
      <c r="A1710">
        <v>2</v>
      </c>
      <c r="B1710" s="16" t="s">
        <v>56</v>
      </c>
      <c r="C1710" s="9">
        <v>45717</v>
      </c>
      <c r="D1710">
        <v>43</v>
      </c>
      <c r="E1710" s="16" t="s">
        <v>132</v>
      </c>
      <c r="F1710" s="16" t="s">
        <v>90</v>
      </c>
      <c r="G1710" s="22">
        <v>6</v>
      </c>
      <c r="H1710" s="18">
        <v>7.62</v>
      </c>
      <c r="I1710" s="18">
        <v>1.27</v>
      </c>
      <c r="J1710" s="18">
        <v>1.28</v>
      </c>
      <c r="K1710" s="18">
        <v>1.26</v>
      </c>
      <c r="L1710" s="22">
        <v>2</v>
      </c>
    </row>
    <row r="1711" spans="1:12">
      <c r="A1711">
        <v>2</v>
      </c>
      <c r="B1711" s="16" t="s">
        <v>56</v>
      </c>
      <c r="C1711" s="9">
        <v>45748</v>
      </c>
      <c r="D1711">
        <v>43</v>
      </c>
      <c r="E1711" s="16" t="s">
        <v>132</v>
      </c>
      <c r="F1711" s="16" t="s">
        <v>90</v>
      </c>
      <c r="G1711" s="22">
        <v>3</v>
      </c>
      <c r="H1711" s="18">
        <v>3.78</v>
      </c>
      <c r="I1711" s="18">
        <v>1.26</v>
      </c>
      <c r="J1711" s="18">
        <v>1.26</v>
      </c>
      <c r="K1711" s="18">
        <v>1.26</v>
      </c>
      <c r="L1711" s="22">
        <v>1</v>
      </c>
    </row>
    <row r="1712" spans="1:12">
      <c r="A1712">
        <v>2</v>
      </c>
      <c r="B1712" s="16" t="s">
        <v>56</v>
      </c>
      <c r="C1712" s="9">
        <v>45778</v>
      </c>
      <c r="D1712">
        <v>43</v>
      </c>
      <c r="E1712" s="16" t="s">
        <v>132</v>
      </c>
      <c r="F1712" s="16" t="s">
        <v>90</v>
      </c>
      <c r="G1712" s="22">
        <v>6</v>
      </c>
      <c r="H1712" s="18">
        <v>7.5</v>
      </c>
      <c r="I1712" s="18">
        <v>1.25</v>
      </c>
      <c r="J1712" s="18">
        <v>1.25</v>
      </c>
      <c r="K1712" s="18">
        <v>1.25</v>
      </c>
      <c r="L1712" s="22">
        <v>2</v>
      </c>
    </row>
    <row r="1713" spans="1:12">
      <c r="A1713">
        <v>2</v>
      </c>
      <c r="B1713" s="16" t="s">
        <v>56</v>
      </c>
      <c r="C1713" s="9">
        <v>45809</v>
      </c>
      <c r="D1713">
        <v>43</v>
      </c>
      <c r="E1713" s="16" t="s">
        <v>132</v>
      </c>
      <c r="F1713" s="16" t="s">
        <v>90</v>
      </c>
      <c r="G1713" s="22">
        <v>3</v>
      </c>
      <c r="H1713" s="18">
        <v>3.69</v>
      </c>
      <c r="I1713" s="18">
        <v>1.23</v>
      </c>
      <c r="J1713" s="18">
        <v>1.23</v>
      </c>
      <c r="K1713" s="18">
        <v>1.23</v>
      </c>
      <c r="L1713" s="22">
        <v>1</v>
      </c>
    </row>
    <row r="1714" spans="1:12">
      <c r="A1714">
        <v>2</v>
      </c>
      <c r="B1714" s="16" t="s">
        <v>56</v>
      </c>
      <c r="C1714" s="9">
        <v>45839</v>
      </c>
      <c r="D1714">
        <v>43</v>
      </c>
      <c r="E1714" s="16" t="s">
        <v>132</v>
      </c>
      <c r="F1714" s="16" t="s">
        <v>90</v>
      </c>
      <c r="G1714" s="22">
        <v>3</v>
      </c>
      <c r="H1714" s="18">
        <v>3.78</v>
      </c>
      <c r="I1714" s="18">
        <v>1.26</v>
      </c>
      <c r="J1714" s="18">
        <v>1.26</v>
      </c>
      <c r="K1714" s="18">
        <v>1.26</v>
      </c>
      <c r="L1714" s="22">
        <v>1</v>
      </c>
    </row>
    <row r="1715" spans="1:12">
      <c r="A1715">
        <v>2</v>
      </c>
      <c r="B1715" s="16" t="s">
        <v>56</v>
      </c>
      <c r="C1715" s="9">
        <v>45870</v>
      </c>
      <c r="D1715">
        <v>43</v>
      </c>
      <c r="E1715" s="16" t="s">
        <v>132</v>
      </c>
      <c r="F1715" s="16" t="s">
        <v>90</v>
      </c>
      <c r="G1715" s="22">
        <v>6</v>
      </c>
      <c r="H1715" s="18">
        <v>7.53</v>
      </c>
      <c r="I1715" s="18">
        <v>1.2549999999999999</v>
      </c>
      <c r="J1715" s="18">
        <v>1.26</v>
      </c>
      <c r="K1715" s="18">
        <v>1.25</v>
      </c>
      <c r="L1715" s="22">
        <v>2</v>
      </c>
    </row>
    <row r="1716" spans="1:12">
      <c r="A1716">
        <v>2</v>
      </c>
      <c r="B1716" s="16" t="s">
        <v>56</v>
      </c>
      <c r="C1716" s="9">
        <v>45901</v>
      </c>
      <c r="D1716">
        <v>43</v>
      </c>
      <c r="E1716" s="16" t="s">
        <v>132</v>
      </c>
      <c r="F1716" s="16" t="s">
        <v>90</v>
      </c>
      <c r="G1716" s="22">
        <v>3</v>
      </c>
      <c r="H1716" s="18">
        <v>3.72</v>
      </c>
      <c r="I1716" s="18">
        <v>1.24</v>
      </c>
      <c r="J1716" s="18">
        <v>1.24</v>
      </c>
      <c r="K1716" s="18">
        <v>1.24</v>
      </c>
      <c r="L1716" s="22">
        <v>1</v>
      </c>
    </row>
    <row r="1717" spans="1:12">
      <c r="A1717">
        <v>2</v>
      </c>
      <c r="B1717" s="16" t="s">
        <v>56</v>
      </c>
      <c r="C1717" s="9">
        <v>45931</v>
      </c>
      <c r="D1717">
        <v>43</v>
      </c>
      <c r="E1717" s="16" t="s">
        <v>132</v>
      </c>
      <c r="F1717" s="16" t="s">
        <v>90</v>
      </c>
      <c r="G1717" s="22">
        <v>6</v>
      </c>
      <c r="H1717" s="18">
        <v>7.65</v>
      </c>
      <c r="I1717" s="18">
        <v>1.2749999999999999</v>
      </c>
      <c r="J1717" s="18">
        <v>1.29</v>
      </c>
      <c r="K1717" s="18">
        <v>1.26</v>
      </c>
      <c r="L1717" s="22">
        <v>2</v>
      </c>
    </row>
    <row r="1718" spans="1:12">
      <c r="A1718">
        <v>2</v>
      </c>
      <c r="B1718" s="16" t="s">
        <v>56</v>
      </c>
      <c r="C1718" s="9">
        <v>45962</v>
      </c>
      <c r="D1718">
        <v>43</v>
      </c>
      <c r="E1718" s="16" t="s">
        <v>132</v>
      </c>
      <c r="F1718" s="16" t="s">
        <v>90</v>
      </c>
      <c r="G1718" s="22">
        <v>3</v>
      </c>
      <c r="H1718" s="18">
        <v>3.9</v>
      </c>
      <c r="I1718" s="18">
        <v>1.3</v>
      </c>
      <c r="J1718" s="18">
        <v>1.3</v>
      </c>
      <c r="K1718" s="18">
        <v>1.3</v>
      </c>
      <c r="L1718" s="22">
        <v>1</v>
      </c>
    </row>
    <row r="1719" spans="1:12">
      <c r="A1719">
        <v>2</v>
      </c>
      <c r="B1719" s="16" t="s">
        <v>56</v>
      </c>
      <c r="C1719" s="9">
        <v>45992</v>
      </c>
      <c r="D1719">
        <v>43</v>
      </c>
      <c r="E1719" s="16" t="s">
        <v>132</v>
      </c>
      <c r="F1719" s="16" t="s">
        <v>90</v>
      </c>
      <c r="G1719" s="22">
        <v>9</v>
      </c>
      <c r="H1719" s="18">
        <v>11.58</v>
      </c>
      <c r="I1719" s="18">
        <v>1.286666667</v>
      </c>
      <c r="J1719" s="18">
        <v>1.29</v>
      </c>
      <c r="K1719" s="18">
        <v>1.28</v>
      </c>
      <c r="L1719" s="22">
        <v>2</v>
      </c>
    </row>
    <row r="1720" spans="1:12">
      <c r="A1720">
        <v>2</v>
      </c>
      <c r="B1720" s="16" t="s">
        <v>56</v>
      </c>
      <c r="C1720" s="9">
        <v>46023</v>
      </c>
      <c r="D1720">
        <v>43</v>
      </c>
      <c r="E1720" s="16" t="s">
        <v>132</v>
      </c>
      <c r="F1720" s="16" t="s">
        <v>90</v>
      </c>
      <c r="G1720" s="22">
        <v>6</v>
      </c>
      <c r="H1720" s="18">
        <v>7.83</v>
      </c>
      <c r="I1720" s="18">
        <v>1.3049999999999999</v>
      </c>
      <c r="J1720" s="18">
        <v>1.32</v>
      </c>
      <c r="K1720" s="18">
        <v>1.29</v>
      </c>
      <c r="L1720" s="22">
        <v>2</v>
      </c>
    </row>
    <row r="1721" spans="1:12">
      <c r="A1721">
        <v>2</v>
      </c>
      <c r="B1721" s="16" t="s">
        <v>56</v>
      </c>
      <c r="C1721" s="9">
        <v>46054</v>
      </c>
      <c r="D1721">
        <v>43</v>
      </c>
      <c r="E1721" s="16" t="s">
        <v>132</v>
      </c>
      <c r="F1721" s="16" t="s">
        <v>90</v>
      </c>
      <c r="G1721" s="22">
        <v>3</v>
      </c>
      <c r="H1721" s="18">
        <v>4.08</v>
      </c>
      <c r="I1721" s="18">
        <v>1.36</v>
      </c>
      <c r="J1721" s="18">
        <v>1.36</v>
      </c>
      <c r="K1721" s="18">
        <v>1.36</v>
      </c>
      <c r="L1721" s="22">
        <v>1</v>
      </c>
    </row>
    <row r="1722" spans="1:12">
      <c r="A1722">
        <v>2</v>
      </c>
      <c r="B1722" s="16" t="s">
        <v>56</v>
      </c>
      <c r="C1722" s="9">
        <v>46082</v>
      </c>
      <c r="D1722">
        <v>43</v>
      </c>
      <c r="E1722" s="16" t="s">
        <v>132</v>
      </c>
      <c r="F1722" s="16" t="s">
        <v>90</v>
      </c>
      <c r="G1722" s="22">
        <v>6</v>
      </c>
      <c r="H1722" s="18">
        <v>7.98</v>
      </c>
      <c r="I1722" s="18">
        <v>1.33</v>
      </c>
      <c r="J1722" s="18">
        <v>1.34</v>
      </c>
      <c r="K1722" s="18">
        <v>1.32</v>
      </c>
      <c r="L1722" s="22">
        <v>2</v>
      </c>
    </row>
    <row r="1723" spans="1:12">
      <c r="A1723">
        <v>2</v>
      </c>
      <c r="B1723" s="16" t="s">
        <v>56</v>
      </c>
      <c r="C1723" s="9">
        <v>46113</v>
      </c>
      <c r="D1723">
        <v>43</v>
      </c>
      <c r="E1723" s="16" t="s">
        <v>132</v>
      </c>
      <c r="F1723" s="16" t="s">
        <v>90</v>
      </c>
      <c r="G1723" s="22">
        <v>3</v>
      </c>
      <c r="H1723" s="18">
        <v>4.05</v>
      </c>
      <c r="I1723" s="18">
        <v>1.35</v>
      </c>
      <c r="J1723" s="18">
        <v>1.35</v>
      </c>
      <c r="K1723" s="18">
        <v>1.35</v>
      </c>
      <c r="L1723" s="22">
        <v>1</v>
      </c>
    </row>
    <row r="1724" spans="1:12">
      <c r="A1724">
        <v>2</v>
      </c>
      <c r="B1724" s="16" t="s">
        <v>56</v>
      </c>
      <c r="C1724" s="9">
        <v>46143</v>
      </c>
      <c r="D1724">
        <v>43</v>
      </c>
      <c r="E1724" s="16" t="s">
        <v>132</v>
      </c>
      <c r="F1724" s="16" t="s">
        <v>90</v>
      </c>
      <c r="G1724" s="22">
        <v>6</v>
      </c>
      <c r="H1724" s="18">
        <v>7.92</v>
      </c>
      <c r="I1724" s="18">
        <v>1.32</v>
      </c>
      <c r="J1724" s="18">
        <v>1.33</v>
      </c>
      <c r="K1724" s="18">
        <v>1.31</v>
      </c>
      <c r="L1724" s="22">
        <v>2</v>
      </c>
    </row>
    <row r="1725" spans="1:12">
      <c r="A1725">
        <v>2</v>
      </c>
      <c r="B1725" s="16" t="s">
        <v>56</v>
      </c>
      <c r="C1725" s="9">
        <v>46174</v>
      </c>
      <c r="D1725">
        <v>43</v>
      </c>
      <c r="E1725" s="16" t="s">
        <v>132</v>
      </c>
      <c r="F1725" s="16" t="s">
        <v>90</v>
      </c>
      <c r="G1725" s="22">
        <v>6</v>
      </c>
      <c r="H1725" s="18">
        <v>8.07</v>
      </c>
      <c r="I1725" s="18">
        <v>1.345</v>
      </c>
      <c r="J1725" s="18">
        <v>1.36</v>
      </c>
      <c r="K1725" s="18">
        <v>1.33</v>
      </c>
      <c r="L1725" s="22">
        <v>2</v>
      </c>
    </row>
    <row r="1726" spans="1:12">
      <c r="A1726">
        <v>2</v>
      </c>
      <c r="B1726" s="16" t="s">
        <v>56</v>
      </c>
      <c r="C1726" s="9">
        <v>46204</v>
      </c>
      <c r="D1726">
        <v>43</v>
      </c>
      <c r="E1726" s="16" t="s">
        <v>132</v>
      </c>
      <c r="F1726" s="16" t="s">
        <v>90</v>
      </c>
      <c r="G1726" s="22">
        <v>3</v>
      </c>
      <c r="H1726" s="18">
        <v>3.99</v>
      </c>
      <c r="I1726" s="18">
        <v>1.33</v>
      </c>
      <c r="J1726" s="18">
        <v>1.33</v>
      </c>
      <c r="K1726" s="18">
        <v>1.33</v>
      </c>
      <c r="L1726" s="22">
        <v>1</v>
      </c>
    </row>
    <row r="1727" spans="1:12">
      <c r="A1727">
        <v>2</v>
      </c>
      <c r="B1727" s="16" t="s">
        <v>56</v>
      </c>
      <c r="C1727" s="9">
        <v>46235</v>
      </c>
      <c r="D1727">
        <v>43</v>
      </c>
      <c r="E1727" s="16" t="s">
        <v>132</v>
      </c>
      <c r="F1727" s="16" t="s">
        <v>90</v>
      </c>
      <c r="G1727" s="22">
        <v>3</v>
      </c>
      <c r="H1727" s="18">
        <v>4.05</v>
      </c>
      <c r="I1727" s="18">
        <v>1.35</v>
      </c>
      <c r="J1727" s="18">
        <v>1.35</v>
      </c>
      <c r="K1727" s="18">
        <v>1.35</v>
      </c>
      <c r="L1727" s="22">
        <v>1</v>
      </c>
    </row>
    <row r="1728" spans="1:12">
      <c r="A1728">
        <v>2</v>
      </c>
      <c r="B1728" s="16" t="s">
        <v>56</v>
      </c>
      <c r="C1728" s="9">
        <v>46266</v>
      </c>
      <c r="D1728">
        <v>43</v>
      </c>
      <c r="E1728" s="16" t="s">
        <v>132</v>
      </c>
      <c r="F1728" s="16" t="s">
        <v>90</v>
      </c>
      <c r="G1728" s="22">
        <v>6</v>
      </c>
      <c r="H1728" s="18">
        <v>8.25</v>
      </c>
      <c r="I1728" s="18">
        <v>1.375</v>
      </c>
      <c r="J1728" s="18">
        <v>1.4</v>
      </c>
      <c r="K1728" s="18">
        <v>1.35</v>
      </c>
      <c r="L1728" s="22">
        <v>2</v>
      </c>
    </row>
    <row r="1729" spans="1:12">
      <c r="A1729">
        <v>2</v>
      </c>
      <c r="B1729" s="16" t="s">
        <v>56</v>
      </c>
      <c r="C1729" s="9">
        <v>45689</v>
      </c>
      <c r="D1729">
        <v>44</v>
      </c>
      <c r="E1729" s="16" t="s">
        <v>133</v>
      </c>
      <c r="F1729" s="16" t="s">
        <v>90</v>
      </c>
      <c r="G1729" s="22">
        <v>7.5</v>
      </c>
      <c r="H1729" s="18">
        <v>123.52500000000001</v>
      </c>
      <c r="I1729" s="18">
        <v>16.47</v>
      </c>
      <c r="J1729" s="18">
        <v>16.47</v>
      </c>
      <c r="K1729" s="18">
        <v>16.47</v>
      </c>
      <c r="L1729" s="22">
        <v>1</v>
      </c>
    </row>
    <row r="1730" spans="1:12">
      <c r="A1730">
        <v>2</v>
      </c>
      <c r="B1730" s="16" t="s">
        <v>56</v>
      </c>
      <c r="C1730" s="9">
        <v>45717</v>
      </c>
      <c r="D1730">
        <v>44</v>
      </c>
      <c r="E1730" s="16" t="s">
        <v>133</v>
      </c>
      <c r="F1730" s="16" t="s">
        <v>90</v>
      </c>
      <c r="G1730" s="22">
        <v>15</v>
      </c>
      <c r="H1730" s="18">
        <v>250.27500000000001</v>
      </c>
      <c r="I1730" s="18">
        <v>16.684999999999999</v>
      </c>
      <c r="J1730" s="18">
        <v>16.829999999999998</v>
      </c>
      <c r="K1730" s="18">
        <v>16.54</v>
      </c>
      <c r="L1730" s="22">
        <v>2</v>
      </c>
    </row>
    <row r="1731" spans="1:12">
      <c r="A1731">
        <v>2</v>
      </c>
      <c r="B1731" s="16" t="s">
        <v>56</v>
      </c>
      <c r="C1731" s="9">
        <v>45748</v>
      </c>
      <c r="D1731">
        <v>44</v>
      </c>
      <c r="E1731" s="16" t="s">
        <v>133</v>
      </c>
      <c r="F1731" s="16" t="s">
        <v>90</v>
      </c>
      <c r="G1731" s="22">
        <v>7.5</v>
      </c>
      <c r="H1731" s="18">
        <v>124.575</v>
      </c>
      <c r="I1731" s="18">
        <v>16.61</v>
      </c>
      <c r="J1731" s="18">
        <v>16.61</v>
      </c>
      <c r="K1731" s="18">
        <v>16.61</v>
      </c>
      <c r="L1731" s="22">
        <v>1</v>
      </c>
    </row>
    <row r="1732" spans="1:12">
      <c r="A1732">
        <v>2</v>
      </c>
      <c r="B1732" s="16" t="s">
        <v>56</v>
      </c>
      <c r="C1732" s="9">
        <v>45778</v>
      </c>
      <c r="D1732">
        <v>44</v>
      </c>
      <c r="E1732" s="16" t="s">
        <v>133</v>
      </c>
      <c r="F1732" s="16" t="s">
        <v>90</v>
      </c>
      <c r="G1732" s="22">
        <v>15</v>
      </c>
      <c r="H1732" s="18">
        <v>248.17500000000001</v>
      </c>
      <c r="I1732" s="18">
        <v>16.545000000000002</v>
      </c>
      <c r="J1732" s="18">
        <v>16.600000000000001</v>
      </c>
      <c r="K1732" s="18">
        <v>16.489999999999998</v>
      </c>
      <c r="L1732" s="22">
        <v>2</v>
      </c>
    </row>
    <row r="1733" spans="1:12">
      <c r="A1733">
        <v>2</v>
      </c>
      <c r="B1733" s="16" t="s">
        <v>56</v>
      </c>
      <c r="C1733" s="9">
        <v>45809</v>
      </c>
      <c r="D1733">
        <v>44</v>
      </c>
      <c r="E1733" s="16" t="s">
        <v>133</v>
      </c>
      <c r="F1733" s="16" t="s">
        <v>90</v>
      </c>
      <c r="G1733" s="22">
        <v>7.5</v>
      </c>
      <c r="H1733" s="18">
        <v>122.25</v>
      </c>
      <c r="I1733" s="18">
        <v>16.3</v>
      </c>
      <c r="J1733" s="18">
        <v>16.3</v>
      </c>
      <c r="K1733" s="18">
        <v>16.3</v>
      </c>
      <c r="L1733" s="22">
        <v>1</v>
      </c>
    </row>
    <row r="1734" spans="1:12">
      <c r="A1734">
        <v>2</v>
      </c>
      <c r="B1734" s="16" t="s">
        <v>56</v>
      </c>
      <c r="C1734" s="9">
        <v>45839</v>
      </c>
      <c r="D1734">
        <v>44</v>
      </c>
      <c r="E1734" s="16" t="s">
        <v>133</v>
      </c>
      <c r="F1734" s="16" t="s">
        <v>90</v>
      </c>
      <c r="G1734" s="22">
        <v>15</v>
      </c>
      <c r="H1734" s="18">
        <v>253.95</v>
      </c>
      <c r="I1734" s="18">
        <v>16.93</v>
      </c>
      <c r="J1734" s="18">
        <v>17.170000000000002</v>
      </c>
      <c r="K1734" s="18">
        <v>16.690000000000001</v>
      </c>
      <c r="L1734" s="22">
        <v>2</v>
      </c>
    </row>
    <row r="1735" spans="1:12">
      <c r="A1735">
        <v>2</v>
      </c>
      <c r="B1735" s="16" t="s">
        <v>56</v>
      </c>
      <c r="C1735" s="9">
        <v>45870</v>
      </c>
      <c r="D1735">
        <v>44</v>
      </c>
      <c r="E1735" s="16" t="s">
        <v>133</v>
      </c>
      <c r="F1735" s="16" t="s">
        <v>90</v>
      </c>
      <c r="G1735" s="22">
        <v>7.5</v>
      </c>
      <c r="H1735" s="18">
        <v>130.80000000000001</v>
      </c>
      <c r="I1735" s="18">
        <v>17.440000000000001</v>
      </c>
      <c r="J1735" s="18">
        <v>17.440000000000001</v>
      </c>
      <c r="K1735" s="18">
        <v>17.440000000000001</v>
      </c>
      <c r="L1735" s="22">
        <v>1</v>
      </c>
    </row>
    <row r="1736" spans="1:12">
      <c r="A1736">
        <v>2</v>
      </c>
      <c r="B1736" s="16" t="s">
        <v>56</v>
      </c>
      <c r="C1736" s="9">
        <v>45901</v>
      </c>
      <c r="D1736">
        <v>44</v>
      </c>
      <c r="E1736" s="16" t="s">
        <v>133</v>
      </c>
      <c r="F1736" s="16" t="s">
        <v>90</v>
      </c>
      <c r="G1736" s="22">
        <v>15</v>
      </c>
      <c r="H1736" s="18">
        <v>256.95</v>
      </c>
      <c r="I1736" s="18">
        <v>17.13</v>
      </c>
      <c r="J1736" s="18">
        <v>17.16</v>
      </c>
      <c r="K1736" s="18">
        <v>17.100000000000001</v>
      </c>
      <c r="L1736" s="22">
        <v>2</v>
      </c>
    </row>
    <row r="1737" spans="1:12">
      <c r="A1737">
        <v>2</v>
      </c>
      <c r="B1737" s="16" t="s">
        <v>56</v>
      </c>
      <c r="C1737" s="9">
        <v>45931</v>
      </c>
      <c r="D1737">
        <v>44</v>
      </c>
      <c r="E1737" s="16" t="s">
        <v>133</v>
      </c>
      <c r="F1737" s="16" t="s">
        <v>90</v>
      </c>
      <c r="G1737" s="22">
        <v>7.5</v>
      </c>
      <c r="H1737" s="18">
        <v>129.15</v>
      </c>
      <c r="I1737" s="18">
        <v>17.22</v>
      </c>
      <c r="J1737" s="18">
        <v>17.22</v>
      </c>
      <c r="K1737" s="18">
        <v>17.22</v>
      </c>
      <c r="L1737" s="22">
        <v>1</v>
      </c>
    </row>
    <row r="1738" spans="1:12">
      <c r="A1738">
        <v>2</v>
      </c>
      <c r="B1738" s="16" t="s">
        <v>56</v>
      </c>
      <c r="C1738" s="9">
        <v>45962</v>
      </c>
      <c r="D1738">
        <v>44</v>
      </c>
      <c r="E1738" s="16" t="s">
        <v>133</v>
      </c>
      <c r="F1738" s="16" t="s">
        <v>90</v>
      </c>
      <c r="G1738" s="22">
        <v>15</v>
      </c>
      <c r="H1738" s="18">
        <v>254.4</v>
      </c>
      <c r="I1738" s="18">
        <v>16.96</v>
      </c>
      <c r="J1738" s="18">
        <v>17.02</v>
      </c>
      <c r="K1738" s="18">
        <v>16.899999999999999</v>
      </c>
      <c r="L1738" s="22">
        <v>2</v>
      </c>
    </row>
    <row r="1739" spans="1:12">
      <c r="A1739">
        <v>2</v>
      </c>
      <c r="B1739" s="16" t="s">
        <v>56</v>
      </c>
      <c r="C1739" s="9">
        <v>45992</v>
      </c>
      <c r="D1739">
        <v>44</v>
      </c>
      <c r="E1739" s="16" t="s">
        <v>133</v>
      </c>
      <c r="F1739" s="16" t="s">
        <v>90</v>
      </c>
      <c r="G1739" s="22">
        <v>15</v>
      </c>
      <c r="H1739" s="18">
        <v>253.5</v>
      </c>
      <c r="I1739" s="18">
        <v>16.899999999999999</v>
      </c>
      <c r="J1739" s="18">
        <v>16.98</v>
      </c>
      <c r="K1739" s="18">
        <v>16.82</v>
      </c>
      <c r="L1739" s="22">
        <v>2</v>
      </c>
    </row>
    <row r="1740" spans="1:12">
      <c r="A1740">
        <v>2</v>
      </c>
      <c r="B1740" s="16" t="s">
        <v>56</v>
      </c>
      <c r="C1740" s="9">
        <v>46023</v>
      </c>
      <c r="D1740">
        <v>44</v>
      </c>
      <c r="E1740" s="16" t="s">
        <v>133</v>
      </c>
      <c r="F1740" s="16" t="s">
        <v>90</v>
      </c>
      <c r="G1740" s="22">
        <v>7.5</v>
      </c>
      <c r="H1740" s="18">
        <v>127.575</v>
      </c>
      <c r="I1740" s="18">
        <v>17.010000000000002</v>
      </c>
      <c r="J1740" s="18">
        <v>17.010000000000002</v>
      </c>
      <c r="K1740" s="18">
        <v>17.010000000000002</v>
      </c>
      <c r="L1740" s="22">
        <v>1</v>
      </c>
    </row>
    <row r="1741" spans="1:12">
      <c r="A1741">
        <v>2</v>
      </c>
      <c r="B1741" s="16" t="s">
        <v>56</v>
      </c>
      <c r="C1741" s="9">
        <v>46054</v>
      </c>
      <c r="D1741">
        <v>44</v>
      </c>
      <c r="E1741" s="16" t="s">
        <v>133</v>
      </c>
      <c r="F1741" s="16" t="s">
        <v>90</v>
      </c>
      <c r="G1741" s="22">
        <v>7.5</v>
      </c>
      <c r="H1741" s="18">
        <v>128.17500000000001</v>
      </c>
      <c r="I1741" s="18">
        <v>17.09</v>
      </c>
      <c r="J1741" s="18">
        <v>17.09</v>
      </c>
      <c r="K1741" s="18">
        <v>17.09</v>
      </c>
      <c r="L1741" s="22">
        <v>1</v>
      </c>
    </row>
    <row r="1742" spans="1:12">
      <c r="A1742">
        <v>2</v>
      </c>
      <c r="B1742" s="16" t="s">
        <v>56</v>
      </c>
      <c r="C1742" s="9">
        <v>46082</v>
      </c>
      <c r="D1742">
        <v>44</v>
      </c>
      <c r="E1742" s="16" t="s">
        <v>133</v>
      </c>
      <c r="F1742" s="16" t="s">
        <v>90</v>
      </c>
      <c r="G1742" s="22">
        <v>7.5</v>
      </c>
      <c r="H1742" s="18">
        <v>129.67500000000001</v>
      </c>
      <c r="I1742" s="18">
        <v>17.29</v>
      </c>
      <c r="J1742" s="18">
        <v>17.29</v>
      </c>
      <c r="K1742" s="18">
        <v>17.29</v>
      </c>
      <c r="L1742" s="22">
        <v>1</v>
      </c>
    </row>
    <row r="1743" spans="1:12">
      <c r="A1743">
        <v>2</v>
      </c>
      <c r="B1743" s="16" t="s">
        <v>56</v>
      </c>
      <c r="C1743" s="9">
        <v>46113</v>
      </c>
      <c r="D1743">
        <v>44</v>
      </c>
      <c r="E1743" s="16" t="s">
        <v>133</v>
      </c>
      <c r="F1743" s="16" t="s">
        <v>90</v>
      </c>
      <c r="G1743" s="22">
        <v>15</v>
      </c>
      <c r="H1743" s="18">
        <v>251.02500000000001</v>
      </c>
      <c r="I1743" s="18">
        <v>16.734999999999999</v>
      </c>
      <c r="J1743" s="18">
        <v>16.77</v>
      </c>
      <c r="K1743" s="18">
        <v>16.7</v>
      </c>
      <c r="L1743" s="22">
        <v>2</v>
      </c>
    </row>
    <row r="1744" spans="1:12">
      <c r="A1744">
        <v>2</v>
      </c>
      <c r="B1744" s="16" t="s">
        <v>56</v>
      </c>
      <c r="C1744" s="9">
        <v>46143</v>
      </c>
      <c r="D1744">
        <v>44</v>
      </c>
      <c r="E1744" s="16" t="s">
        <v>133</v>
      </c>
      <c r="F1744" s="16" t="s">
        <v>90</v>
      </c>
      <c r="G1744" s="22">
        <v>15</v>
      </c>
      <c r="H1744" s="18">
        <v>249.07499999999999</v>
      </c>
      <c r="I1744" s="18">
        <v>16.605</v>
      </c>
      <c r="J1744" s="18">
        <v>16.690000000000001</v>
      </c>
      <c r="K1744" s="18">
        <v>16.52</v>
      </c>
      <c r="L1744" s="22">
        <v>2</v>
      </c>
    </row>
    <row r="1745" spans="1:12">
      <c r="A1745">
        <v>2</v>
      </c>
      <c r="B1745" s="16" t="s">
        <v>56</v>
      </c>
      <c r="C1745" s="9">
        <v>46174</v>
      </c>
      <c r="D1745">
        <v>44</v>
      </c>
      <c r="E1745" s="16" t="s">
        <v>133</v>
      </c>
      <c r="F1745" s="16" t="s">
        <v>90</v>
      </c>
      <c r="G1745" s="22">
        <v>7.5</v>
      </c>
      <c r="H1745" s="18">
        <v>127.35</v>
      </c>
      <c r="I1745" s="18">
        <v>16.98</v>
      </c>
      <c r="J1745" s="18">
        <v>16.98</v>
      </c>
      <c r="K1745" s="18">
        <v>16.98</v>
      </c>
      <c r="L1745" s="22">
        <v>1</v>
      </c>
    </row>
    <row r="1746" spans="1:12">
      <c r="A1746">
        <v>2</v>
      </c>
      <c r="B1746" s="16" t="s">
        <v>56</v>
      </c>
      <c r="C1746" s="9">
        <v>46204</v>
      </c>
      <c r="D1746">
        <v>44</v>
      </c>
      <c r="E1746" s="16" t="s">
        <v>133</v>
      </c>
      <c r="F1746" s="16" t="s">
        <v>90</v>
      </c>
      <c r="G1746" s="22">
        <v>22.5</v>
      </c>
      <c r="H1746" s="18">
        <v>384.15</v>
      </c>
      <c r="I1746" s="18">
        <v>17.073333333000001</v>
      </c>
      <c r="J1746" s="18">
        <v>17.28</v>
      </c>
      <c r="K1746" s="18">
        <v>16.96</v>
      </c>
      <c r="L1746" s="22">
        <v>3</v>
      </c>
    </row>
    <row r="1747" spans="1:12">
      <c r="A1747">
        <v>2</v>
      </c>
      <c r="B1747" s="16" t="s">
        <v>56</v>
      </c>
      <c r="C1747" s="9">
        <v>46235</v>
      </c>
      <c r="D1747">
        <v>44</v>
      </c>
      <c r="E1747" s="16" t="s">
        <v>133</v>
      </c>
      <c r="F1747" s="16" t="s">
        <v>90</v>
      </c>
      <c r="G1747" s="22">
        <v>7.5</v>
      </c>
      <c r="H1747" s="18">
        <v>127.425</v>
      </c>
      <c r="I1747" s="18">
        <v>16.989999999999998</v>
      </c>
      <c r="J1747" s="18">
        <v>16.989999999999998</v>
      </c>
      <c r="K1747" s="18">
        <v>16.989999999999998</v>
      </c>
      <c r="L1747" s="22">
        <v>1</v>
      </c>
    </row>
    <row r="1748" spans="1:12">
      <c r="A1748">
        <v>2</v>
      </c>
      <c r="B1748" s="16" t="s">
        <v>56</v>
      </c>
      <c r="C1748" s="9">
        <v>46266</v>
      </c>
      <c r="D1748">
        <v>44</v>
      </c>
      <c r="E1748" s="16" t="s">
        <v>133</v>
      </c>
      <c r="F1748" s="16" t="s">
        <v>90</v>
      </c>
      <c r="G1748" s="22">
        <v>7.5</v>
      </c>
      <c r="H1748" s="18">
        <v>124.2</v>
      </c>
      <c r="I1748" s="18">
        <v>16.559999999999999</v>
      </c>
      <c r="J1748" s="18">
        <v>16.559999999999999</v>
      </c>
      <c r="K1748" s="18">
        <v>16.559999999999999</v>
      </c>
      <c r="L1748" s="22">
        <v>1</v>
      </c>
    </row>
    <row r="1749" spans="1:12">
      <c r="A1749">
        <v>2</v>
      </c>
      <c r="B1749" s="16" t="s">
        <v>56</v>
      </c>
      <c r="C1749" s="9">
        <v>45689</v>
      </c>
      <c r="D1749">
        <v>45</v>
      </c>
      <c r="E1749" s="16" t="s">
        <v>134</v>
      </c>
      <c r="F1749" s="16" t="s">
        <v>83</v>
      </c>
      <c r="G1749" s="22">
        <v>18.75</v>
      </c>
      <c r="H1749" s="18">
        <v>22.837499999999999</v>
      </c>
      <c r="I1749" s="18">
        <v>1.218</v>
      </c>
      <c r="J1749" s="18">
        <v>1.27</v>
      </c>
      <c r="K1749" s="18">
        <v>1.19</v>
      </c>
      <c r="L1749" s="22">
        <v>8</v>
      </c>
    </row>
    <row r="1750" spans="1:12">
      <c r="A1750">
        <v>2</v>
      </c>
      <c r="B1750" s="16" t="s">
        <v>56</v>
      </c>
      <c r="C1750" s="9">
        <v>45717</v>
      </c>
      <c r="D1750">
        <v>45</v>
      </c>
      <c r="E1750" s="16" t="s">
        <v>134</v>
      </c>
      <c r="F1750" s="16" t="s">
        <v>83</v>
      </c>
      <c r="G1750" s="22">
        <v>23.75</v>
      </c>
      <c r="H1750" s="18">
        <v>28.625</v>
      </c>
      <c r="I1750" s="18">
        <v>1.2052631579999999</v>
      </c>
      <c r="J1750" s="18">
        <v>1.23</v>
      </c>
      <c r="K1750" s="18">
        <v>1.1599999999999999</v>
      </c>
      <c r="L1750" s="22">
        <v>9</v>
      </c>
    </row>
    <row r="1751" spans="1:12">
      <c r="A1751">
        <v>2</v>
      </c>
      <c r="B1751" s="16" t="s">
        <v>56</v>
      </c>
      <c r="C1751" s="9">
        <v>45748</v>
      </c>
      <c r="D1751">
        <v>45</v>
      </c>
      <c r="E1751" s="16" t="s">
        <v>134</v>
      </c>
      <c r="F1751" s="16" t="s">
        <v>83</v>
      </c>
      <c r="G1751" s="22">
        <v>28.75</v>
      </c>
      <c r="H1751" s="18">
        <v>34.762500000000003</v>
      </c>
      <c r="I1751" s="18">
        <v>1.2091304350000001</v>
      </c>
      <c r="J1751" s="18">
        <v>1.22</v>
      </c>
      <c r="K1751" s="18">
        <v>1.2</v>
      </c>
      <c r="L1751" s="22">
        <v>8</v>
      </c>
    </row>
    <row r="1752" spans="1:12">
      <c r="A1752">
        <v>2</v>
      </c>
      <c r="B1752" s="16" t="s">
        <v>56</v>
      </c>
      <c r="C1752" s="9">
        <v>45778</v>
      </c>
      <c r="D1752">
        <v>45</v>
      </c>
      <c r="E1752" s="16" t="s">
        <v>134</v>
      </c>
      <c r="F1752" s="16" t="s">
        <v>83</v>
      </c>
      <c r="G1752" s="22">
        <v>31.25</v>
      </c>
      <c r="H1752" s="18">
        <v>38.037500000000001</v>
      </c>
      <c r="I1752" s="18">
        <v>1.2172000000000001</v>
      </c>
      <c r="J1752" s="18">
        <v>1.26</v>
      </c>
      <c r="K1752" s="18">
        <v>1.19</v>
      </c>
      <c r="L1752" s="22">
        <v>9</v>
      </c>
    </row>
    <row r="1753" spans="1:12">
      <c r="A1753">
        <v>2</v>
      </c>
      <c r="B1753" s="16" t="s">
        <v>56</v>
      </c>
      <c r="C1753" s="9">
        <v>45809</v>
      </c>
      <c r="D1753">
        <v>45</v>
      </c>
      <c r="E1753" s="16" t="s">
        <v>134</v>
      </c>
      <c r="F1753" s="16" t="s">
        <v>83</v>
      </c>
      <c r="G1753" s="22">
        <v>30</v>
      </c>
      <c r="H1753" s="18">
        <v>36.287500000000001</v>
      </c>
      <c r="I1753" s="18">
        <v>1.2095833330000001</v>
      </c>
      <c r="J1753" s="18">
        <v>1.23</v>
      </c>
      <c r="K1753" s="18">
        <v>1.19</v>
      </c>
      <c r="L1753" s="22">
        <v>9</v>
      </c>
    </row>
    <row r="1754" spans="1:12">
      <c r="A1754">
        <v>2</v>
      </c>
      <c r="B1754" s="16" t="s">
        <v>56</v>
      </c>
      <c r="C1754" s="9">
        <v>45839</v>
      </c>
      <c r="D1754">
        <v>45</v>
      </c>
      <c r="E1754" s="16" t="s">
        <v>134</v>
      </c>
      <c r="F1754" s="16" t="s">
        <v>83</v>
      </c>
      <c r="G1754" s="22">
        <v>31.25</v>
      </c>
      <c r="H1754" s="18">
        <v>38.662500000000001</v>
      </c>
      <c r="I1754" s="18">
        <v>1.2372000000000001</v>
      </c>
      <c r="J1754" s="18">
        <v>1.27</v>
      </c>
      <c r="K1754" s="18">
        <v>1.18</v>
      </c>
      <c r="L1754" s="22">
        <v>9</v>
      </c>
    </row>
    <row r="1755" spans="1:12">
      <c r="A1755">
        <v>2</v>
      </c>
      <c r="B1755" s="16" t="s">
        <v>56</v>
      </c>
      <c r="C1755" s="9">
        <v>45870</v>
      </c>
      <c r="D1755">
        <v>45</v>
      </c>
      <c r="E1755" s="16" t="s">
        <v>134</v>
      </c>
      <c r="F1755" s="16" t="s">
        <v>83</v>
      </c>
      <c r="G1755" s="22">
        <v>23.75</v>
      </c>
      <c r="H1755" s="18">
        <v>29.612500000000001</v>
      </c>
      <c r="I1755" s="18">
        <v>1.246842105</v>
      </c>
      <c r="J1755" s="18">
        <v>1.27</v>
      </c>
      <c r="K1755" s="18">
        <v>1.22</v>
      </c>
      <c r="L1755" s="22">
        <v>8</v>
      </c>
    </row>
    <row r="1756" spans="1:12">
      <c r="A1756">
        <v>2</v>
      </c>
      <c r="B1756" s="16" t="s">
        <v>56</v>
      </c>
      <c r="C1756" s="9">
        <v>45901</v>
      </c>
      <c r="D1756">
        <v>45</v>
      </c>
      <c r="E1756" s="16" t="s">
        <v>134</v>
      </c>
      <c r="F1756" s="16" t="s">
        <v>83</v>
      </c>
      <c r="G1756" s="22">
        <v>30</v>
      </c>
      <c r="H1756" s="18">
        <v>37.200000000000003</v>
      </c>
      <c r="I1756" s="18">
        <v>1.24</v>
      </c>
      <c r="J1756" s="18">
        <v>1.34</v>
      </c>
      <c r="K1756" s="18">
        <v>1.22</v>
      </c>
      <c r="L1756" s="22">
        <v>9</v>
      </c>
    </row>
    <row r="1757" spans="1:12">
      <c r="A1757">
        <v>2</v>
      </c>
      <c r="B1757" s="16" t="s">
        <v>56</v>
      </c>
      <c r="C1757" s="9">
        <v>45931</v>
      </c>
      <c r="D1757">
        <v>45</v>
      </c>
      <c r="E1757" s="16" t="s">
        <v>134</v>
      </c>
      <c r="F1757" s="16" t="s">
        <v>83</v>
      </c>
      <c r="G1757" s="22">
        <v>31.25</v>
      </c>
      <c r="H1757" s="18">
        <v>38.375</v>
      </c>
      <c r="I1757" s="18">
        <v>1.228</v>
      </c>
      <c r="J1757" s="18">
        <v>1.26</v>
      </c>
      <c r="K1757" s="18">
        <v>1.21</v>
      </c>
      <c r="L1757" s="22">
        <v>9</v>
      </c>
    </row>
    <row r="1758" spans="1:12">
      <c r="A1758">
        <v>2</v>
      </c>
      <c r="B1758" s="16" t="s">
        <v>56</v>
      </c>
      <c r="C1758" s="9">
        <v>45962</v>
      </c>
      <c r="D1758">
        <v>45</v>
      </c>
      <c r="E1758" s="16" t="s">
        <v>134</v>
      </c>
      <c r="F1758" s="16" t="s">
        <v>83</v>
      </c>
      <c r="G1758" s="22">
        <v>27.5</v>
      </c>
      <c r="H1758" s="18">
        <v>33.975000000000001</v>
      </c>
      <c r="I1758" s="18">
        <v>1.2354545450000001</v>
      </c>
      <c r="J1758" s="18">
        <v>1.29</v>
      </c>
      <c r="K1758" s="18">
        <v>1.22</v>
      </c>
      <c r="L1758" s="22">
        <v>8</v>
      </c>
    </row>
    <row r="1759" spans="1:12">
      <c r="A1759">
        <v>2</v>
      </c>
      <c r="B1759" s="16" t="s">
        <v>56</v>
      </c>
      <c r="C1759" s="9">
        <v>45992</v>
      </c>
      <c r="D1759">
        <v>45</v>
      </c>
      <c r="E1759" s="16" t="s">
        <v>134</v>
      </c>
      <c r="F1759" s="16" t="s">
        <v>83</v>
      </c>
      <c r="G1759" s="22">
        <v>31.25</v>
      </c>
      <c r="H1759" s="18">
        <v>38.662500000000001</v>
      </c>
      <c r="I1759" s="18">
        <v>1.2372000000000001</v>
      </c>
      <c r="J1759" s="18">
        <v>1.25</v>
      </c>
      <c r="K1759" s="18">
        <v>1.21</v>
      </c>
      <c r="L1759" s="22">
        <v>9</v>
      </c>
    </row>
    <row r="1760" spans="1:12">
      <c r="A1760">
        <v>2</v>
      </c>
      <c r="B1760" s="16" t="s">
        <v>56</v>
      </c>
      <c r="C1760" s="9">
        <v>46023</v>
      </c>
      <c r="D1760">
        <v>45</v>
      </c>
      <c r="E1760" s="16" t="s">
        <v>134</v>
      </c>
      <c r="F1760" s="16" t="s">
        <v>83</v>
      </c>
      <c r="G1760" s="22">
        <v>23.75</v>
      </c>
      <c r="H1760" s="18">
        <v>29.55</v>
      </c>
      <c r="I1760" s="18">
        <v>1.244210526</v>
      </c>
      <c r="J1760" s="18">
        <v>1.28</v>
      </c>
      <c r="K1760" s="18">
        <v>1.22</v>
      </c>
      <c r="L1760" s="22">
        <v>9</v>
      </c>
    </row>
    <row r="1761" spans="1:12">
      <c r="A1761">
        <v>2</v>
      </c>
      <c r="B1761" s="16" t="s">
        <v>56</v>
      </c>
      <c r="C1761" s="9">
        <v>46054</v>
      </c>
      <c r="D1761">
        <v>45</v>
      </c>
      <c r="E1761" s="16" t="s">
        <v>134</v>
      </c>
      <c r="F1761" s="16" t="s">
        <v>83</v>
      </c>
      <c r="G1761" s="22">
        <v>21.25</v>
      </c>
      <c r="H1761" s="18">
        <v>26.462499999999999</v>
      </c>
      <c r="I1761" s="18">
        <v>1.2452941179999999</v>
      </c>
      <c r="J1761" s="18">
        <v>1.27</v>
      </c>
      <c r="K1761" s="18">
        <v>1.22</v>
      </c>
      <c r="L1761" s="22">
        <v>8</v>
      </c>
    </row>
    <row r="1762" spans="1:12">
      <c r="A1762">
        <v>2</v>
      </c>
      <c r="B1762" s="16" t="s">
        <v>56</v>
      </c>
      <c r="C1762" s="9">
        <v>46082</v>
      </c>
      <c r="D1762">
        <v>45</v>
      </c>
      <c r="E1762" s="16" t="s">
        <v>134</v>
      </c>
      <c r="F1762" s="16" t="s">
        <v>83</v>
      </c>
      <c r="G1762" s="22">
        <v>30</v>
      </c>
      <c r="H1762" s="18">
        <v>37.612499999999997</v>
      </c>
      <c r="I1762" s="18">
        <v>1.2537499999999999</v>
      </c>
      <c r="J1762" s="18">
        <v>1.27</v>
      </c>
      <c r="K1762" s="18">
        <v>1.24</v>
      </c>
      <c r="L1762" s="22">
        <v>9</v>
      </c>
    </row>
    <row r="1763" spans="1:12">
      <c r="A1763">
        <v>2</v>
      </c>
      <c r="B1763" s="16" t="s">
        <v>56</v>
      </c>
      <c r="C1763" s="9">
        <v>46113</v>
      </c>
      <c r="D1763">
        <v>45</v>
      </c>
      <c r="E1763" s="16" t="s">
        <v>134</v>
      </c>
      <c r="F1763" s="16" t="s">
        <v>83</v>
      </c>
      <c r="G1763" s="22">
        <v>36.25</v>
      </c>
      <c r="H1763" s="18">
        <v>45.162500000000001</v>
      </c>
      <c r="I1763" s="18">
        <v>1.245862069</v>
      </c>
      <c r="J1763" s="18">
        <v>1.27</v>
      </c>
      <c r="K1763" s="18">
        <v>1.22</v>
      </c>
      <c r="L1763" s="22">
        <v>9</v>
      </c>
    </row>
    <row r="1764" spans="1:12">
      <c r="A1764">
        <v>2</v>
      </c>
      <c r="B1764" s="16" t="s">
        <v>56</v>
      </c>
      <c r="C1764" s="9">
        <v>46143</v>
      </c>
      <c r="D1764">
        <v>45</v>
      </c>
      <c r="E1764" s="16" t="s">
        <v>134</v>
      </c>
      <c r="F1764" s="16" t="s">
        <v>83</v>
      </c>
      <c r="G1764" s="22">
        <v>35</v>
      </c>
      <c r="H1764" s="18">
        <v>43.6</v>
      </c>
      <c r="I1764" s="18">
        <v>1.2457142859999999</v>
      </c>
      <c r="J1764" s="18">
        <v>1.27</v>
      </c>
      <c r="K1764" s="18">
        <v>1.22</v>
      </c>
      <c r="L1764" s="22">
        <v>8</v>
      </c>
    </row>
    <row r="1765" spans="1:12">
      <c r="A1765">
        <v>2</v>
      </c>
      <c r="B1765" s="16" t="s">
        <v>56</v>
      </c>
      <c r="C1765" s="9">
        <v>46174</v>
      </c>
      <c r="D1765">
        <v>45</v>
      </c>
      <c r="E1765" s="16" t="s">
        <v>134</v>
      </c>
      <c r="F1765" s="16" t="s">
        <v>83</v>
      </c>
      <c r="G1765" s="22">
        <v>33.75</v>
      </c>
      <c r="H1765" s="18">
        <v>42.362499999999997</v>
      </c>
      <c r="I1765" s="18">
        <v>1.255185185</v>
      </c>
      <c r="J1765" s="18">
        <v>1.27</v>
      </c>
      <c r="K1765" s="18">
        <v>1.23</v>
      </c>
      <c r="L1765" s="22">
        <v>9</v>
      </c>
    </row>
    <row r="1766" spans="1:12">
      <c r="A1766">
        <v>2</v>
      </c>
      <c r="B1766" s="16" t="s">
        <v>56</v>
      </c>
      <c r="C1766" s="9">
        <v>46204</v>
      </c>
      <c r="D1766">
        <v>45</v>
      </c>
      <c r="E1766" s="16" t="s">
        <v>134</v>
      </c>
      <c r="F1766" s="16" t="s">
        <v>83</v>
      </c>
      <c r="G1766" s="22">
        <v>36.25</v>
      </c>
      <c r="H1766" s="18">
        <v>45.887500000000003</v>
      </c>
      <c r="I1766" s="18">
        <v>1.265862069</v>
      </c>
      <c r="J1766" s="18">
        <v>1.29</v>
      </c>
      <c r="K1766" s="18">
        <v>1.25</v>
      </c>
      <c r="L1766" s="22">
        <v>9</v>
      </c>
    </row>
    <row r="1767" spans="1:12">
      <c r="A1767">
        <v>2</v>
      </c>
      <c r="B1767" s="16" t="s">
        <v>56</v>
      </c>
      <c r="C1767" s="9">
        <v>46235</v>
      </c>
      <c r="D1767">
        <v>45</v>
      </c>
      <c r="E1767" s="16" t="s">
        <v>134</v>
      </c>
      <c r="F1767" s="16" t="s">
        <v>83</v>
      </c>
      <c r="G1767" s="22">
        <v>27.5</v>
      </c>
      <c r="H1767" s="18">
        <v>34.762500000000003</v>
      </c>
      <c r="I1767" s="18">
        <v>1.2640909090000001</v>
      </c>
      <c r="J1767" s="18">
        <v>1.28</v>
      </c>
      <c r="K1767" s="18">
        <v>1.25</v>
      </c>
      <c r="L1767" s="22">
        <v>9</v>
      </c>
    </row>
    <row r="1768" spans="1:12">
      <c r="A1768">
        <v>2</v>
      </c>
      <c r="B1768" s="16" t="s">
        <v>56</v>
      </c>
      <c r="C1768" s="9">
        <v>46266</v>
      </c>
      <c r="D1768">
        <v>45</v>
      </c>
      <c r="E1768" s="16" t="s">
        <v>134</v>
      </c>
      <c r="F1768" s="16" t="s">
        <v>83</v>
      </c>
      <c r="G1768" s="22">
        <v>22.5</v>
      </c>
      <c r="H1768" s="18">
        <v>28.712499999999999</v>
      </c>
      <c r="I1768" s="18">
        <v>1.2761111110000001</v>
      </c>
      <c r="J1768" s="18">
        <v>1.29</v>
      </c>
      <c r="K1768" s="18">
        <v>1.26</v>
      </c>
      <c r="L1768" s="22">
        <v>8</v>
      </c>
    </row>
    <row r="1769" spans="1:12">
      <c r="A1769">
        <v>2</v>
      </c>
      <c r="B1769" s="16" t="s">
        <v>56</v>
      </c>
      <c r="C1769" s="9">
        <v>45689</v>
      </c>
      <c r="D1769">
        <v>46</v>
      </c>
      <c r="E1769" s="16" t="s">
        <v>135</v>
      </c>
      <c r="F1769" s="16" t="s">
        <v>108</v>
      </c>
      <c r="G1769" s="22">
        <v>48</v>
      </c>
      <c r="H1769" s="18">
        <v>106.08</v>
      </c>
      <c r="I1769" s="18">
        <v>2.21</v>
      </c>
      <c r="J1769" s="18">
        <v>2.21</v>
      </c>
      <c r="K1769" s="18">
        <v>2.21</v>
      </c>
      <c r="L1769" s="22">
        <v>1</v>
      </c>
    </row>
    <row r="1770" spans="1:12">
      <c r="A1770">
        <v>2</v>
      </c>
      <c r="B1770" s="16" t="s">
        <v>56</v>
      </c>
      <c r="C1770" s="9">
        <v>45717</v>
      </c>
      <c r="D1770">
        <v>46</v>
      </c>
      <c r="E1770" s="16" t="s">
        <v>135</v>
      </c>
      <c r="F1770" s="16" t="s">
        <v>108</v>
      </c>
      <c r="G1770" s="22">
        <v>32</v>
      </c>
      <c r="H1770" s="18">
        <v>72.959999999999994</v>
      </c>
      <c r="I1770" s="18">
        <v>2.2799999999999998</v>
      </c>
      <c r="J1770" s="18">
        <v>2.2799999999999998</v>
      </c>
      <c r="K1770" s="18">
        <v>2.2799999999999998</v>
      </c>
      <c r="L1770" s="22">
        <v>1</v>
      </c>
    </row>
    <row r="1771" spans="1:12">
      <c r="A1771">
        <v>2</v>
      </c>
      <c r="B1771" s="16" t="s">
        <v>56</v>
      </c>
      <c r="C1771" s="9">
        <v>45748</v>
      </c>
      <c r="D1771">
        <v>46</v>
      </c>
      <c r="E1771" s="16" t="s">
        <v>135</v>
      </c>
      <c r="F1771" s="16" t="s">
        <v>108</v>
      </c>
      <c r="G1771" s="22">
        <v>48</v>
      </c>
      <c r="H1771" s="18">
        <v>107.52</v>
      </c>
      <c r="I1771" s="18">
        <v>2.2400000000000002</v>
      </c>
      <c r="J1771" s="18">
        <v>2.2400000000000002</v>
      </c>
      <c r="K1771" s="18">
        <v>2.2400000000000002</v>
      </c>
      <c r="L1771" s="22">
        <v>1</v>
      </c>
    </row>
    <row r="1772" spans="1:12">
      <c r="A1772">
        <v>2</v>
      </c>
      <c r="B1772" s="16" t="s">
        <v>56</v>
      </c>
      <c r="C1772" s="9">
        <v>45778</v>
      </c>
      <c r="D1772">
        <v>46</v>
      </c>
      <c r="E1772" s="16" t="s">
        <v>135</v>
      </c>
      <c r="F1772" s="16" t="s">
        <v>108</v>
      </c>
      <c r="G1772" s="22">
        <v>32</v>
      </c>
      <c r="H1772" s="18">
        <v>71.36</v>
      </c>
      <c r="I1772" s="18">
        <v>2.23</v>
      </c>
      <c r="J1772" s="18">
        <v>2.23</v>
      </c>
      <c r="K1772" s="18">
        <v>2.23</v>
      </c>
      <c r="L1772" s="22">
        <v>1</v>
      </c>
    </row>
    <row r="1773" spans="1:12">
      <c r="A1773">
        <v>2</v>
      </c>
      <c r="B1773" s="16" t="s">
        <v>56</v>
      </c>
      <c r="C1773" s="9">
        <v>45809</v>
      </c>
      <c r="D1773">
        <v>46</v>
      </c>
      <c r="E1773" s="16" t="s">
        <v>135</v>
      </c>
      <c r="F1773" s="16" t="s">
        <v>108</v>
      </c>
      <c r="G1773" s="22">
        <v>32</v>
      </c>
      <c r="H1773" s="18">
        <v>72.319999999999993</v>
      </c>
      <c r="I1773" s="18">
        <v>2.2599999999999998</v>
      </c>
      <c r="J1773" s="18">
        <v>2.2599999999999998</v>
      </c>
      <c r="K1773" s="18">
        <v>2.2599999999999998</v>
      </c>
      <c r="L1773" s="22">
        <v>1</v>
      </c>
    </row>
    <row r="1774" spans="1:12">
      <c r="A1774">
        <v>2</v>
      </c>
      <c r="B1774" s="16" t="s">
        <v>56</v>
      </c>
      <c r="C1774" s="9">
        <v>45839</v>
      </c>
      <c r="D1774">
        <v>46</v>
      </c>
      <c r="E1774" s="16" t="s">
        <v>135</v>
      </c>
      <c r="F1774" s="16" t="s">
        <v>108</v>
      </c>
      <c r="G1774" s="22">
        <v>32</v>
      </c>
      <c r="H1774" s="18">
        <v>73.28</v>
      </c>
      <c r="I1774" s="18">
        <v>2.29</v>
      </c>
      <c r="J1774" s="18">
        <v>2.29</v>
      </c>
      <c r="K1774" s="18">
        <v>2.29</v>
      </c>
      <c r="L1774" s="22">
        <v>1</v>
      </c>
    </row>
    <row r="1775" spans="1:12">
      <c r="A1775">
        <v>2</v>
      </c>
      <c r="B1775" s="16" t="s">
        <v>56</v>
      </c>
      <c r="C1775" s="9">
        <v>45870</v>
      </c>
      <c r="D1775">
        <v>46</v>
      </c>
      <c r="E1775" s="16" t="s">
        <v>135</v>
      </c>
      <c r="F1775" s="16" t="s">
        <v>108</v>
      </c>
      <c r="G1775" s="22">
        <v>48</v>
      </c>
      <c r="H1775" s="18">
        <v>108.96</v>
      </c>
      <c r="I1775" s="18">
        <v>2.27</v>
      </c>
      <c r="J1775" s="18">
        <v>2.27</v>
      </c>
      <c r="K1775" s="18">
        <v>2.27</v>
      </c>
      <c r="L1775" s="22">
        <v>1</v>
      </c>
    </row>
    <row r="1776" spans="1:12">
      <c r="A1776">
        <v>2</v>
      </c>
      <c r="B1776" s="16" t="s">
        <v>56</v>
      </c>
      <c r="C1776" s="9">
        <v>45901</v>
      </c>
      <c r="D1776">
        <v>46</v>
      </c>
      <c r="E1776" s="16" t="s">
        <v>135</v>
      </c>
      <c r="F1776" s="16" t="s">
        <v>108</v>
      </c>
      <c r="G1776" s="22">
        <v>32</v>
      </c>
      <c r="H1776" s="18">
        <v>75.2</v>
      </c>
      <c r="I1776" s="18">
        <v>2.35</v>
      </c>
      <c r="J1776" s="18">
        <v>2.35</v>
      </c>
      <c r="K1776" s="18">
        <v>2.35</v>
      </c>
      <c r="L1776" s="22">
        <v>1</v>
      </c>
    </row>
    <row r="1777" spans="1:12">
      <c r="A1777">
        <v>2</v>
      </c>
      <c r="B1777" s="16" t="s">
        <v>56</v>
      </c>
      <c r="C1777" s="9">
        <v>45931</v>
      </c>
      <c r="D1777">
        <v>46</v>
      </c>
      <c r="E1777" s="16" t="s">
        <v>135</v>
      </c>
      <c r="F1777" s="16" t="s">
        <v>108</v>
      </c>
      <c r="G1777" s="22">
        <v>48</v>
      </c>
      <c r="H1777" s="18">
        <v>109.92</v>
      </c>
      <c r="I1777" s="18">
        <v>2.29</v>
      </c>
      <c r="J1777" s="18">
        <v>2.29</v>
      </c>
      <c r="K1777" s="18">
        <v>2.29</v>
      </c>
      <c r="L1777" s="22">
        <v>1</v>
      </c>
    </row>
    <row r="1778" spans="1:12">
      <c r="A1778">
        <v>2</v>
      </c>
      <c r="B1778" s="16" t="s">
        <v>56</v>
      </c>
      <c r="C1778" s="9">
        <v>45962</v>
      </c>
      <c r="D1778">
        <v>46</v>
      </c>
      <c r="E1778" s="16" t="s">
        <v>135</v>
      </c>
      <c r="F1778" s="16" t="s">
        <v>108</v>
      </c>
      <c r="G1778" s="22">
        <v>32</v>
      </c>
      <c r="H1778" s="18">
        <v>71.680000000000007</v>
      </c>
      <c r="I1778" s="18">
        <v>2.2400000000000002</v>
      </c>
      <c r="J1778" s="18">
        <v>2.2400000000000002</v>
      </c>
      <c r="K1778" s="18">
        <v>2.2400000000000002</v>
      </c>
      <c r="L1778" s="22">
        <v>1</v>
      </c>
    </row>
    <row r="1779" spans="1:12">
      <c r="A1779">
        <v>2</v>
      </c>
      <c r="B1779" s="16" t="s">
        <v>56</v>
      </c>
      <c r="C1779" s="9">
        <v>45992</v>
      </c>
      <c r="D1779">
        <v>46</v>
      </c>
      <c r="E1779" s="16" t="s">
        <v>135</v>
      </c>
      <c r="F1779" s="16" t="s">
        <v>108</v>
      </c>
      <c r="G1779" s="22">
        <v>80</v>
      </c>
      <c r="H1779" s="18">
        <v>183.04</v>
      </c>
      <c r="I1779" s="18">
        <v>2.2879999999999998</v>
      </c>
      <c r="J1779" s="18">
        <v>2.2999999999999998</v>
      </c>
      <c r="K1779" s="18">
        <v>2.2799999999999998</v>
      </c>
      <c r="L1779" s="22">
        <v>2</v>
      </c>
    </row>
    <row r="1780" spans="1:12">
      <c r="A1780">
        <v>2</v>
      </c>
      <c r="B1780" s="16" t="s">
        <v>56</v>
      </c>
      <c r="C1780" s="9">
        <v>46023</v>
      </c>
      <c r="D1780">
        <v>46</v>
      </c>
      <c r="E1780" s="16" t="s">
        <v>135</v>
      </c>
      <c r="F1780" s="16" t="s">
        <v>108</v>
      </c>
      <c r="G1780" s="22">
        <v>32</v>
      </c>
      <c r="H1780" s="18">
        <v>72.959999999999994</v>
      </c>
      <c r="I1780" s="18">
        <v>2.2799999999999998</v>
      </c>
      <c r="J1780" s="18">
        <v>2.2799999999999998</v>
      </c>
      <c r="K1780" s="18">
        <v>2.2799999999999998</v>
      </c>
      <c r="L1780" s="22">
        <v>1</v>
      </c>
    </row>
    <row r="1781" spans="1:12">
      <c r="A1781">
        <v>2</v>
      </c>
      <c r="B1781" s="16" t="s">
        <v>56</v>
      </c>
      <c r="C1781" s="9">
        <v>46054</v>
      </c>
      <c r="D1781">
        <v>46</v>
      </c>
      <c r="E1781" s="16" t="s">
        <v>135</v>
      </c>
      <c r="F1781" s="16" t="s">
        <v>108</v>
      </c>
      <c r="G1781" s="22">
        <v>48</v>
      </c>
      <c r="H1781" s="18">
        <v>112.8</v>
      </c>
      <c r="I1781" s="18">
        <v>2.35</v>
      </c>
      <c r="J1781" s="18">
        <v>2.35</v>
      </c>
      <c r="K1781" s="18">
        <v>2.35</v>
      </c>
      <c r="L1781" s="22">
        <v>1</v>
      </c>
    </row>
    <row r="1782" spans="1:12">
      <c r="A1782">
        <v>2</v>
      </c>
      <c r="B1782" s="16" t="s">
        <v>56</v>
      </c>
      <c r="C1782" s="9">
        <v>46082</v>
      </c>
      <c r="D1782">
        <v>46</v>
      </c>
      <c r="E1782" s="16" t="s">
        <v>135</v>
      </c>
      <c r="F1782" s="16" t="s">
        <v>108</v>
      </c>
      <c r="G1782" s="22">
        <v>32</v>
      </c>
      <c r="H1782" s="18">
        <v>73.599999999999994</v>
      </c>
      <c r="I1782" s="18">
        <v>2.2999999999999998</v>
      </c>
      <c r="J1782" s="18">
        <v>2.2999999999999998</v>
      </c>
      <c r="K1782" s="18">
        <v>2.2999999999999998</v>
      </c>
      <c r="L1782" s="22">
        <v>1</v>
      </c>
    </row>
    <row r="1783" spans="1:12">
      <c r="A1783">
        <v>2</v>
      </c>
      <c r="B1783" s="16" t="s">
        <v>56</v>
      </c>
      <c r="C1783" s="9">
        <v>46113</v>
      </c>
      <c r="D1783">
        <v>46</v>
      </c>
      <c r="E1783" s="16" t="s">
        <v>135</v>
      </c>
      <c r="F1783" s="16" t="s">
        <v>108</v>
      </c>
      <c r="G1783" s="22">
        <v>48</v>
      </c>
      <c r="H1783" s="18">
        <v>111.36</v>
      </c>
      <c r="I1783" s="18">
        <v>2.3199999999999998</v>
      </c>
      <c r="J1783" s="18">
        <v>2.3199999999999998</v>
      </c>
      <c r="K1783" s="18">
        <v>2.3199999999999998</v>
      </c>
      <c r="L1783" s="22">
        <v>1</v>
      </c>
    </row>
    <row r="1784" spans="1:12">
      <c r="A1784">
        <v>2</v>
      </c>
      <c r="B1784" s="16" t="s">
        <v>56</v>
      </c>
      <c r="C1784" s="9">
        <v>46143</v>
      </c>
      <c r="D1784">
        <v>46</v>
      </c>
      <c r="E1784" s="16" t="s">
        <v>135</v>
      </c>
      <c r="F1784" s="16" t="s">
        <v>108</v>
      </c>
      <c r="G1784" s="22">
        <v>48</v>
      </c>
      <c r="H1784" s="18">
        <v>108</v>
      </c>
      <c r="I1784" s="18">
        <v>2.25</v>
      </c>
      <c r="J1784" s="18">
        <v>2.25</v>
      </c>
      <c r="K1784" s="18">
        <v>2.25</v>
      </c>
      <c r="L1784" s="22">
        <v>1</v>
      </c>
    </row>
    <row r="1785" spans="1:12">
      <c r="A1785">
        <v>2</v>
      </c>
      <c r="B1785" s="16" t="s">
        <v>56</v>
      </c>
      <c r="C1785" s="9">
        <v>46174</v>
      </c>
      <c r="D1785">
        <v>46</v>
      </c>
      <c r="E1785" s="16" t="s">
        <v>135</v>
      </c>
      <c r="F1785" s="16" t="s">
        <v>108</v>
      </c>
      <c r="G1785" s="22">
        <v>32</v>
      </c>
      <c r="H1785" s="18">
        <v>71.36</v>
      </c>
      <c r="I1785" s="18">
        <v>2.23</v>
      </c>
      <c r="J1785" s="18">
        <v>2.23</v>
      </c>
      <c r="K1785" s="18">
        <v>2.23</v>
      </c>
      <c r="L1785" s="22">
        <v>1</v>
      </c>
    </row>
    <row r="1786" spans="1:12">
      <c r="A1786">
        <v>2</v>
      </c>
      <c r="B1786" s="16" t="s">
        <v>56</v>
      </c>
      <c r="C1786" s="9">
        <v>46204</v>
      </c>
      <c r="D1786">
        <v>46</v>
      </c>
      <c r="E1786" s="16" t="s">
        <v>135</v>
      </c>
      <c r="F1786" s="16" t="s">
        <v>108</v>
      </c>
      <c r="G1786" s="22">
        <v>48</v>
      </c>
      <c r="H1786" s="18">
        <v>110.4</v>
      </c>
      <c r="I1786" s="18">
        <v>2.2999999999999998</v>
      </c>
      <c r="J1786" s="18">
        <v>2.2999999999999998</v>
      </c>
      <c r="K1786" s="18">
        <v>2.2999999999999998</v>
      </c>
      <c r="L1786" s="22">
        <v>1</v>
      </c>
    </row>
    <row r="1787" spans="1:12">
      <c r="A1787">
        <v>2</v>
      </c>
      <c r="B1787" s="16" t="s">
        <v>56</v>
      </c>
      <c r="C1787" s="9">
        <v>46235</v>
      </c>
      <c r="D1787">
        <v>46</v>
      </c>
      <c r="E1787" s="16" t="s">
        <v>135</v>
      </c>
      <c r="F1787" s="16" t="s">
        <v>108</v>
      </c>
      <c r="G1787" s="22">
        <v>32</v>
      </c>
      <c r="H1787" s="18">
        <v>73.92</v>
      </c>
      <c r="I1787" s="18">
        <v>2.31</v>
      </c>
      <c r="J1787" s="18">
        <v>2.31</v>
      </c>
      <c r="K1787" s="18">
        <v>2.31</v>
      </c>
      <c r="L1787" s="22">
        <v>1</v>
      </c>
    </row>
    <row r="1788" spans="1:12">
      <c r="A1788">
        <v>2</v>
      </c>
      <c r="B1788" s="16" t="s">
        <v>56</v>
      </c>
      <c r="C1788" s="9">
        <v>46266</v>
      </c>
      <c r="D1788">
        <v>46</v>
      </c>
      <c r="E1788" s="16" t="s">
        <v>135</v>
      </c>
      <c r="F1788" s="16" t="s">
        <v>108</v>
      </c>
      <c r="G1788" s="22">
        <v>32</v>
      </c>
      <c r="H1788" s="18">
        <v>72.64</v>
      </c>
      <c r="I1788" s="18">
        <v>2.27</v>
      </c>
      <c r="J1788" s="18">
        <v>2.27</v>
      </c>
      <c r="K1788" s="18">
        <v>2.27</v>
      </c>
      <c r="L1788" s="22">
        <v>1</v>
      </c>
    </row>
    <row r="1789" spans="1:12">
      <c r="A1789">
        <v>2</v>
      </c>
      <c r="B1789" s="16" t="s">
        <v>56</v>
      </c>
      <c r="C1789" s="9">
        <v>45689</v>
      </c>
      <c r="D1789">
        <v>47</v>
      </c>
      <c r="E1789" s="16" t="s">
        <v>136</v>
      </c>
      <c r="F1789" s="16" t="s">
        <v>92</v>
      </c>
      <c r="G1789" s="22">
        <v>82.5</v>
      </c>
      <c r="H1789" s="18">
        <v>352.03500000000003</v>
      </c>
      <c r="I1789" s="18">
        <v>4.2670909090000002</v>
      </c>
      <c r="J1789" s="18">
        <v>4.37</v>
      </c>
      <c r="K1789" s="18">
        <v>4.22</v>
      </c>
      <c r="L1789" s="22">
        <v>8</v>
      </c>
    </row>
    <row r="1790" spans="1:12">
      <c r="A1790">
        <v>2</v>
      </c>
      <c r="B1790" s="16" t="s">
        <v>56</v>
      </c>
      <c r="C1790" s="9">
        <v>45717</v>
      </c>
      <c r="D1790">
        <v>47</v>
      </c>
      <c r="E1790" s="16" t="s">
        <v>136</v>
      </c>
      <c r="F1790" s="16" t="s">
        <v>92</v>
      </c>
      <c r="G1790" s="22">
        <v>105</v>
      </c>
      <c r="H1790" s="18">
        <v>424.53</v>
      </c>
      <c r="I1790" s="18">
        <v>4.0431428570000003</v>
      </c>
      <c r="J1790" s="18">
        <v>4.08</v>
      </c>
      <c r="K1790" s="18">
        <v>4.01</v>
      </c>
      <c r="L1790" s="22">
        <v>9</v>
      </c>
    </row>
    <row r="1791" spans="1:12">
      <c r="A1791">
        <v>2</v>
      </c>
      <c r="B1791" s="16" t="s">
        <v>56</v>
      </c>
      <c r="C1791" s="9">
        <v>45748</v>
      </c>
      <c r="D1791">
        <v>47</v>
      </c>
      <c r="E1791" s="16" t="s">
        <v>136</v>
      </c>
      <c r="F1791" s="16" t="s">
        <v>92</v>
      </c>
      <c r="G1791" s="22">
        <v>106.5</v>
      </c>
      <c r="H1791" s="18">
        <v>394.30500000000001</v>
      </c>
      <c r="I1791" s="18">
        <v>3.702394366</v>
      </c>
      <c r="J1791" s="18">
        <v>3.79</v>
      </c>
      <c r="K1791" s="18">
        <v>3.62</v>
      </c>
      <c r="L1791" s="22">
        <v>8</v>
      </c>
    </row>
    <row r="1792" spans="1:12">
      <c r="A1792">
        <v>2</v>
      </c>
      <c r="B1792" s="16" t="s">
        <v>56</v>
      </c>
      <c r="C1792" s="9">
        <v>45778</v>
      </c>
      <c r="D1792">
        <v>47</v>
      </c>
      <c r="E1792" s="16" t="s">
        <v>136</v>
      </c>
      <c r="F1792" s="16" t="s">
        <v>92</v>
      </c>
      <c r="G1792" s="22">
        <v>121.5</v>
      </c>
      <c r="H1792" s="18">
        <v>402.10500000000002</v>
      </c>
      <c r="I1792" s="18">
        <v>3.3095061729999999</v>
      </c>
      <c r="J1792" s="18">
        <v>3.38</v>
      </c>
      <c r="K1792" s="18">
        <v>3.25</v>
      </c>
      <c r="L1792" s="22">
        <v>9</v>
      </c>
    </row>
    <row r="1793" spans="1:12">
      <c r="A1793">
        <v>2</v>
      </c>
      <c r="B1793" s="16" t="s">
        <v>56</v>
      </c>
      <c r="C1793" s="9">
        <v>45809</v>
      </c>
      <c r="D1793">
        <v>47</v>
      </c>
      <c r="E1793" s="16" t="s">
        <v>136</v>
      </c>
      <c r="F1793" s="16" t="s">
        <v>92</v>
      </c>
      <c r="G1793" s="22">
        <v>109.5</v>
      </c>
      <c r="H1793" s="18">
        <v>342.01499999999999</v>
      </c>
      <c r="I1793" s="18">
        <v>3.1234246579999998</v>
      </c>
      <c r="J1793" s="18">
        <v>3.17</v>
      </c>
      <c r="K1793" s="18">
        <v>3.08</v>
      </c>
      <c r="L1793" s="22">
        <v>9</v>
      </c>
    </row>
    <row r="1794" spans="1:12">
      <c r="A1794">
        <v>2</v>
      </c>
      <c r="B1794" s="16" t="s">
        <v>56</v>
      </c>
      <c r="C1794" s="9">
        <v>45839</v>
      </c>
      <c r="D1794">
        <v>47</v>
      </c>
      <c r="E1794" s="16" t="s">
        <v>136</v>
      </c>
      <c r="F1794" s="16" t="s">
        <v>92</v>
      </c>
      <c r="G1794" s="22">
        <v>112.5</v>
      </c>
      <c r="H1794" s="18">
        <v>341.92500000000001</v>
      </c>
      <c r="I1794" s="18">
        <v>3.0393333330000001</v>
      </c>
      <c r="J1794" s="18">
        <v>3.19</v>
      </c>
      <c r="K1794" s="18">
        <v>2.94</v>
      </c>
      <c r="L1794" s="22">
        <v>9</v>
      </c>
    </row>
    <row r="1795" spans="1:12">
      <c r="A1795">
        <v>2</v>
      </c>
      <c r="B1795" s="16" t="s">
        <v>56</v>
      </c>
      <c r="C1795" s="9">
        <v>45870</v>
      </c>
      <c r="D1795">
        <v>47</v>
      </c>
      <c r="E1795" s="16" t="s">
        <v>136</v>
      </c>
      <c r="F1795" s="16" t="s">
        <v>92</v>
      </c>
      <c r="G1795" s="22">
        <v>105</v>
      </c>
      <c r="H1795" s="18">
        <v>327.46499999999997</v>
      </c>
      <c r="I1795" s="18">
        <v>3.1187142859999999</v>
      </c>
      <c r="J1795" s="18">
        <v>3.2</v>
      </c>
      <c r="K1795" s="18">
        <v>3.06</v>
      </c>
      <c r="L1795" s="22">
        <v>8</v>
      </c>
    </row>
    <row r="1796" spans="1:12">
      <c r="A1796">
        <v>2</v>
      </c>
      <c r="B1796" s="16" t="s">
        <v>56</v>
      </c>
      <c r="C1796" s="9">
        <v>45901</v>
      </c>
      <c r="D1796">
        <v>47</v>
      </c>
      <c r="E1796" s="16" t="s">
        <v>136</v>
      </c>
      <c r="F1796" s="16" t="s">
        <v>92</v>
      </c>
      <c r="G1796" s="22">
        <v>150</v>
      </c>
      <c r="H1796" s="18">
        <v>505.74</v>
      </c>
      <c r="I1796" s="18">
        <v>3.3715999999999999</v>
      </c>
      <c r="J1796" s="18">
        <v>3.42</v>
      </c>
      <c r="K1796" s="18">
        <v>3.3</v>
      </c>
      <c r="L1796" s="22">
        <v>9</v>
      </c>
    </row>
    <row r="1797" spans="1:12">
      <c r="A1797">
        <v>2</v>
      </c>
      <c r="B1797" s="16" t="s">
        <v>56</v>
      </c>
      <c r="C1797" s="9">
        <v>45931</v>
      </c>
      <c r="D1797">
        <v>47</v>
      </c>
      <c r="E1797" s="16" t="s">
        <v>136</v>
      </c>
      <c r="F1797" s="16" t="s">
        <v>92</v>
      </c>
      <c r="G1797" s="22">
        <v>151.5</v>
      </c>
      <c r="H1797" s="18">
        <v>557.64</v>
      </c>
      <c r="I1797" s="18">
        <v>3.6807920790000002</v>
      </c>
      <c r="J1797" s="18">
        <v>3.79</v>
      </c>
      <c r="K1797" s="18">
        <v>3.59</v>
      </c>
      <c r="L1797" s="22">
        <v>9</v>
      </c>
    </row>
    <row r="1798" spans="1:12">
      <c r="A1798">
        <v>2</v>
      </c>
      <c r="B1798" s="16" t="s">
        <v>56</v>
      </c>
      <c r="C1798" s="9">
        <v>45962</v>
      </c>
      <c r="D1798">
        <v>47</v>
      </c>
      <c r="E1798" s="16" t="s">
        <v>136</v>
      </c>
      <c r="F1798" s="16" t="s">
        <v>92</v>
      </c>
      <c r="G1798" s="22">
        <v>103.5</v>
      </c>
      <c r="H1798" s="18">
        <v>414.66</v>
      </c>
      <c r="I1798" s="18">
        <v>4.0063768120000001</v>
      </c>
      <c r="J1798" s="18">
        <v>4.1100000000000003</v>
      </c>
      <c r="K1798" s="18">
        <v>3.94</v>
      </c>
      <c r="L1798" s="22">
        <v>8</v>
      </c>
    </row>
    <row r="1799" spans="1:12">
      <c r="A1799">
        <v>2</v>
      </c>
      <c r="B1799" s="16" t="s">
        <v>56</v>
      </c>
      <c r="C1799" s="9">
        <v>45992</v>
      </c>
      <c r="D1799">
        <v>47</v>
      </c>
      <c r="E1799" s="16" t="s">
        <v>136</v>
      </c>
      <c r="F1799" s="16" t="s">
        <v>92</v>
      </c>
      <c r="G1799" s="22">
        <v>151.5</v>
      </c>
      <c r="H1799" s="18">
        <v>646.03499999999997</v>
      </c>
      <c r="I1799" s="18">
        <v>4.2642574260000004</v>
      </c>
      <c r="J1799" s="18">
        <v>4.3099999999999996</v>
      </c>
      <c r="K1799" s="18">
        <v>4.1900000000000004</v>
      </c>
      <c r="L1799" s="22">
        <v>9</v>
      </c>
    </row>
    <row r="1800" spans="1:12">
      <c r="A1800">
        <v>2</v>
      </c>
      <c r="B1800" s="16" t="s">
        <v>56</v>
      </c>
      <c r="C1800" s="9">
        <v>46023</v>
      </c>
      <c r="D1800">
        <v>47</v>
      </c>
      <c r="E1800" s="16" t="s">
        <v>136</v>
      </c>
      <c r="F1800" s="16" t="s">
        <v>92</v>
      </c>
      <c r="G1800" s="22">
        <v>96</v>
      </c>
      <c r="H1800" s="18">
        <v>419.73</v>
      </c>
      <c r="I1800" s="18">
        <v>4.3721874999999999</v>
      </c>
      <c r="J1800" s="18">
        <v>4.43</v>
      </c>
      <c r="K1800" s="18">
        <v>4.2699999999999996</v>
      </c>
      <c r="L1800" s="22">
        <v>9</v>
      </c>
    </row>
    <row r="1801" spans="1:12">
      <c r="A1801">
        <v>2</v>
      </c>
      <c r="B1801" s="16" t="s">
        <v>56</v>
      </c>
      <c r="C1801" s="9">
        <v>46054</v>
      </c>
      <c r="D1801">
        <v>47</v>
      </c>
      <c r="E1801" s="16" t="s">
        <v>136</v>
      </c>
      <c r="F1801" s="16" t="s">
        <v>92</v>
      </c>
      <c r="G1801" s="22">
        <v>108</v>
      </c>
      <c r="H1801" s="18">
        <v>458.73</v>
      </c>
      <c r="I1801" s="18">
        <v>4.2474999999999996</v>
      </c>
      <c r="J1801" s="18">
        <v>4.3099999999999996</v>
      </c>
      <c r="K1801" s="18">
        <v>4.1900000000000004</v>
      </c>
      <c r="L1801" s="22">
        <v>8</v>
      </c>
    </row>
    <row r="1802" spans="1:12">
      <c r="A1802">
        <v>2</v>
      </c>
      <c r="B1802" s="16" t="s">
        <v>56</v>
      </c>
      <c r="C1802" s="9">
        <v>46082</v>
      </c>
      <c r="D1802">
        <v>47</v>
      </c>
      <c r="E1802" s="16" t="s">
        <v>136</v>
      </c>
      <c r="F1802" s="16" t="s">
        <v>92</v>
      </c>
      <c r="G1802" s="22">
        <v>121.5</v>
      </c>
      <c r="H1802" s="18">
        <v>489.255</v>
      </c>
      <c r="I1802" s="18">
        <v>4.0267901229999996</v>
      </c>
      <c r="J1802" s="18">
        <v>4.07</v>
      </c>
      <c r="K1802" s="18">
        <v>3.96</v>
      </c>
      <c r="L1802" s="22">
        <v>9</v>
      </c>
    </row>
    <row r="1803" spans="1:12">
      <c r="A1803">
        <v>2</v>
      </c>
      <c r="B1803" s="16" t="s">
        <v>56</v>
      </c>
      <c r="C1803" s="9">
        <v>46113</v>
      </c>
      <c r="D1803">
        <v>47</v>
      </c>
      <c r="E1803" s="16" t="s">
        <v>136</v>
      </c>
      <c r="F1803" s="16" t="s">
        <v>92</v>
      </c>
      <c r="G1803" s="22">
        <v>151.5</v>
      </c>
      <c r="H1803" s="18">
        <v>556.93499999999995</v>
      </c>
      <c r="I1803" s="18">
        <v>3.6761386140000001</v>
      </c>
      <c r="J1803" s="18">
        <v>3.76</v>
      </c>
      <c r="K1803" s="18">
        <v>3.59</v>
      </c>
      <c r="L1803" s="22">
        <v>9</v>
      </c>
    </row>
    <row r="1804" spans="1:12">
      <c r="A1804">
        <v>2</v>
      </c>
      <c r="B1804" s="16" t="s">
        <v>56</v>
      </c>
      <c r="C1804" s="9">
        <v>46143</v>
      </c>
      <c r="D1804">
        <v>47</v>
      </c>
      <c r="E1804" s="16" t="s">
        <v>136</v>
      </c>
      <c r="F1804" s="16" t="s">
        <v>92</v>
      </c>
      <c r="G1804" s="22">
        <v>145.5</v>
      </c>
      <c r="H1804" s="18">
        <v>480.6</v>
      </c>
      <c r="I1804" s="18">
        <v>3.3030927839999999</v>
      </c>
      <c r="J1804" s="18">
        <v>3.38</v>
      </c>
      <c r="K1804" s="18">
        <v>3.23</v>
      </c>
      <c r="L1804" s="22">
        <v>8</v>
      </c>
    </row>
    <row r="1805" spans="1:12">
      <c r="A1805">
        <v>2</v>
      </c>
      <c r="B1805" s="16" t="s">
        <v>56</v>
      </c>
      <c r="C1805" s="9">
        <v>46174</v>
      </c>
      <c r="D1805">
        <v>47</v>
      </c>
      <c r="E1805" s="16" t="s">
        <v>136</v>
      </c>
      <c r="F1805" s="16" t="s">
        <v>92</v>
      </c>
      <c r="G1805" s="22">
        <v>144</v>
      </c>
      <c r="H1805" s="18">
        <v>445.02</v>
      </c>
      <c r="I1805" s="18">
        <v>3.090416667</v>
      </c>
      <c r="J1805" s="18">
        <v>3.14</v>
      </c>
      <c r="K1805" s="18">
        <v>3.02</v>
      </c>
      <c r="L1805" s="22">
        <v>9</v>
      </c>
    </row>
    <row r="1806" spans="1:12">
      <c r="A1806">
        <v>2</v>
      </c>
      <c r="B1806" s="16" t="s">
        <v>56</v>
      </c>
      <c r="C1806" s="9">
        <v>46204</v>
      </c>
      <c r="D1806">
        <v>47</v>
      </c>
      <c r="E1806" s="16" t="s">
        <v>136</v>
      </c>
      <c r="F1806" s="16" t="s">
        <v>92</v>
      </c>
      <c r="G1806" s="22">
        <v>150</v>
      </c>
      <c r="H1806" s="18">
        <v>459.255</v>
      </c>
      <c r="I1806" s="18">
        <v>3.0617000000000001</v>
      </c>
      <c r="J1806" s="18">
        <v>3.23</v>
      </c>
      <c r="K1806" s="18">
        <v>2.97</v>
      </c>
      <c r="L1806" s="22">
        <v>9</v>
      </c>
    </row>
    <row r="1807" spans="1:12">
      <c r="A1807">
        <v>2</v>
      </c>
      <c r="B1807" s="16" t="s">
        <v>56</v>
      </c>
      <c r="C1807" s="9">
        <v>46235</v>
      </c>
      <c r="D1807">
        <v>47</v>
      </c>
      <c r="E1807" s="16" t="s">
        <v>136</v>
      </c>
      <c r="F1807" s="16" t="s">
        <v>92</v>
      </c>
      <c r="G1807" s="22">
        <v>133.5</v>
      </c>
      <c r="H1807" s="18">
        <v>418.66500000000002</v>
      </c>
      <c r="I1807" s="18">
        <v>3.1360674159999999</v>
      </c>
      <c r="J1807" s="18">
        <v>3.18</v>
      </c>
      <c r="K1807" s="18">
        <v>3.09</v>
      </c>
      <c r="L1807" s="22">
        <v>9</v>
      </c>
    </row>
    <row r="1808" spans="1:12">
      <c r="A1808">
        <v>2</v>
      </c>
      <c r="B1808" s="16" t="s">
        <v>56</v>
      </c>
      <c r="C1808" s="9">
        <v>46266</v>
      </c>
      <c r="D1808">
        <v>47</v>
      </c>
      <c r="E1808" s="16" t="s">
        <v>136</v>
      </c>
      <c r="F1808" s="16" t="s">
        <v>92</v>
      </c>
      <c r="G1808" s="22">
        <v>121.5</v>
      </c>
      <c r="H1808" s="18">
        <v>408.91500000000002</v>
      </c>
      <c r="I1808" s="18">
        <v>3.3655555559999999</v>
      </c>
      <c r="J1808" s="18">
        <v>3.48</v>
      </c>
      <c r="K1808" s="18">
        <v>3.32</v>
      </c>
      <c r="L1808" s="22">
        <v>8</v>
      </c>
    </row>
    <row r="1809" spans="1:12">
      <c r="A1809">
        <v>2</v>
      </c>
      <c r="B1809" s="16" t="s">
        <v>56</v>
      </c>
      <c r="C1809" s="9">
        <v>45689</v>
      </c>
      <c r="D1809">
        <v>48</v>
      </c>
      <c r="E1809" s="16" t="s">
        <v>137</v>
      </c>
      <c r="F1809" s="16" t="s">
        <v>138</v>
      </c>
      <c r="G1809" s="22">
        <v>9.75</v>
      </c>
      <c r="H1809" s="18">
        <v>109.485</v>
      </c>
      <c r="I1809" s="18">
        <v>11.229230769000001</v>
      </c>
      <c r="J1809" s="18">
        <v>11.53</v>
      </c>
      <c r="K1809" s="18">
        <v>11.06</v>
      </c>
      <c r="L1809" s="22">
        <v>8</v>
      </c>
    </row>
    <row r="1810" spans="1:12">
      <c r="A1810">
        <v>2</v>
      </c>
      <c r="B1810" s="16" t="s">
        <v>56</v>
      </c>
      <c r="C1810" s="9">
        <v>45717</v>
      </c>
      <c r="D1810">
        <v>48</v>
      </c>
      <c r="E1810" s="16" t="s">
        <v>137</v>
      </c>
      <c r="F1810" s="16" t="s">
        <v>138</v>
      </c>
      <c r="G1810" s="22">
        <v>10.25</v>
      </c>
      <c r="H1810" s="18">
        <v>116.235</v>
      </c>
      <c r="I1810" s="18">
        <v>11.34</v>
      </c>
      <c r="J1810" s="18">
        <v>11.56</v>
      </c>
      <c r="K1810" s="18">
        <v>11.16</v>
      </c>
      <c r="L1810" s="22">
        <v>8</v>
      </c>
    </row>
    <row r="1811" spans="1:12">
      <c r="A1811">
        <v>2</v>
      </c>
      <c r="B1811" s="16" t="s">
        <v>56</v>
      </c>
      <c r="C1811" s="9">
        <v>45748</v>
      </c>
      <c r="D1811">
        <v>48</v>
      </c>
      <c r="E1811" s="16" t="s">
        <v>137</v>
      </c>
      <c r="F1811" s="16" t="s">
        <v>138</v>
      </c>
      <c r="G1811" s="22">
        <v>14.75</v>
      </c>
      <c r="H1811" s="18">
        <v>166.32499999999999</v>
      </c>
      <c r="I1811" s="18">
        <v>11.276271186000001</v>
      </c>
      <c r="J1811" s="18">
        <v>11.5</v>
      </c>
      <c r="K1811" s="18">
        <v>11.08</v>
      </c>
      <c r="L1811" s="22">
        <v>9</v>
      </c>
    </row>
    <row r="1812" spans="1:12">
      <c r="A1812">
        <v>2</v>
      </c>
      <c r="B1812" s="16" t="s">
        <v>56</v>
      </c>
      <c r="C1812" s="9">
        <v>45778</v>
      </c>
      <c r="D1812">
        <v>48</v>
      </c>
      <c r="E1812" s="16" t="s">
        <v>137</v>
      </c>
      <c r="F1812" s="16" t="s">
        <v>138</v>
      </c>
      <c r="G1812" s="22">
        <v>22.5</v>
      </c>
      <c r="H1812" s="18">
        <v>255.495</v>
      </c>
      <c r="I1812" s="18">
        <v>11.355333333000001</v>
      </c>
      <c r="J1812" s="18">
        <v>11.56</v>
      </c>
      <c r="K1812" s="18">
        <v>10.97</v>
      </c>
      <c r="L1812" s="22">
        <v>9</v>
      </c>
    </row>
    <row r="1813" spans="1:12">
      <c r="A1813">
        <v>2</v>
      </c>
      <c r="B1813" s="16" t="s">
        <v>56</v>
      </c>
      <c r="C1813" s="9">
        <v>45809</v>
      </c>
      <c r="D1813">
        <v>48</v>
      </c>
      <c r="E1813" s="16" t="s">
        <v>137</v>
      </c>
      <c r="F1813" s="16" t="s">
        <v>138</v>
      </c>
      <c r="G1813" s="22">
        <v>14.5</v>
      </c>
      <c r="H1813" s="18">
        <v>166.6225</v>
      </c>
      <c r="I1813" s="18">
        <v>11.491206897</v>
      </c>
      <c r="J1813" s="18">
        <v>12.16</v>
      </c>
      <c r="K1813" s="18">
        <v>11.25</v>
      </c>
      <c r="L1813" s="22">
        <v>8</v>
      </c>
    </row>
    <row r="1814" spans="1:12">
      <c r="A1814">
        <v>2</v>
      </c>
      <c r="B1814" s="16" t="s">
        <v>56</v>
      </c>
      <c r="C1814" s="9">
        <v>45839</v>
      </c>
      <c r="D1814">
        <v>48</v>
      </c>
      <c r="E1814" s="16" t="s">
        <v>137</v>
      </c>
      <c r="F1814" s="16" t="s">
        <v>138</v>
      </c>
      <c r="G1814" s="22">
        <v>17.25</v>
      </c>
      <c r="H1814" s="18">
        <v>197.05250000000001</v>
      </c>
      <c r="I1814" s="18">
        <v>11.423333333</v>
      </c>
      <c r="J1814" s="18">
        <v>11.73</v>
      </c>
      <c r="K1814" s="18">
        <v>11.19</v>
      </c>
      <c r="L1814" s="22">
        <v>10</v>
      </c>
    </row>
    <row r="1815" spans="1:12">
      <c r="A1815">
        <v>2</v>
      </c>
      <c r="B1815" s="16" t="s">
        <v>56</v>
      </c>
      <c r="C1815" s="9">
        <v>45870</v>
      </c>
      <c r="D1815">
        <v>48</v>
      </c>
      <c r="E1815" s="16" t="s">
        <v>137</v>
      </c>
      <c r="F1815" s="16" t="s">
        <v>138</v>
      </c>
      <c r="G1815" s="22">
        <v>15.5</v>
      </c>
      <c r="H1815" s="18">
        <v>176.4025</v>
      </c>
      <c r="I1815" s="18">
        <v>11.380806452</v>
      </c>
      <c r="J1815" s="18">
        <v>11.52</v>
      </c>
      <c r="K1815" s="18">
        <v>11.23</v>
      </c>
      <c r="L1815" s="22">
        <v>8</v>
      </c>
    </row>
    <row r="1816" spans="1:12">
      <c r="A1816">
        <v>2</v>
      </c>
      <c r="B1816" s="16" t="s">
        <v>56</v>
      </c>
      <c r="C1816" s="9">
        <v>45901</v>
      </c>
      <c r="D1816">
        <v>48</v>
      </c>
      <c r="E1816" s="16" t="s">
        <v>137</v>
      </c>
      <c r="F1816" s="16" t="s">
        <v>138</v>
      </c>
      <c r="G1816" s="22">
        <v>17.75</v>
      </c>
      <c r="H1816" s="18">
        <v>203.2475</v>
      </c>
      <c r="I1816" s="18">
        <v>11.45056338</v>
      </c>
      <c r="J1816" s="18">
        <v>11.68</v>
      </c>
      <c r="K1816" s="18">
        <v>11.13</v>
      </c>
      <c r="L1816" s="22">
        <v>9</v>
      </c>
    </row>
    <row r="1817" spans="1:12">
      <c r="A1817">
        <v>2</v>
      </c>
      <c r="B1817" s="16" t="s">
        <v>56</v>
      </c>
      <c r="C1817" s="9">
        <v>45931</v>
      </c>
      <c r="D1817">
        <v>48</v>
      </c>
      <c r="E1817" s="16" t="s">
        <v>137</v>
      </c>
      <c r="F1817" s="16" t="s">
        <v>138</v>
      </c>
      <c r="G1817" s="22">
        <v>15</v>
      </c>
      <c r="H1817" s="18">
        <v>170.73</v>
      </c>
      <c r="I1817" s="18">
        <v>11.382</v>
      </c>
      <c r="J1817" s="18">
        <v>11.54</v>
      </c>
      <c r="K1817" s="18">
        <v>11.23</v>
      </c>
      <c r="L1817" s="22">
        <v>9</v>
      </c>
    </row>
    <row r="1818" spans="1:12">
      <c r="A1818">
        <v>2</v>
      </c>
      <c r="B1818" s="16" t="s">
        <v>56</v>
      </c>
      <c r="C1818" s="9">
        <v>45962</v>
      </c>
      <c r="D1818">
        <v>48</v>
      </c>
      <c r="E1818" s="16" t="s">
        <v>137</v>
      </c>
      <c r="F1818" s="16" t="s">
        <v>138</v>
      </c>
      <c r="G1818" s="22">
        <v>10</v>
      </c>
      <c r="H1818" s="18">
        <v>118.7775</v>
      </c>
      <c r="I1818" s="18">
        <v>11.877750000000001</v>
      </c>
      <c r="J1818" s="18">
        <v>12.86</v>
      </c>
      <c r="K1818" s="18">
        <v>11.04</v>
      </c>
      <c r="L1818" s="22">
        <v>8</v>
      </c>
    </row>
    <row r="1819" spans="1:12">
      <c r="A1819">
        <v>2</v>
      </c>
      <c r="B1819" s="16" t="s">
        <v>56</v>
      </c>
      <c r="C1819" s="9">
        <v>45992</v>
      </c>
      <c r="D1819">
        <v>48</v>
      </c>
      <c r="E1819" s="16" t="s">
        <v>137</v>
      </c>
      <c r="F1819" s="16" t="s">
        <v>138</v>
      </c>
      <c r="G1819" s="22">
        <v>11.5</v>
      </c>
      <c r="H1819" s="18">
        <v>146.08000000000001</v>
      </c>
      <c r="I1819" s="18">
        <v>12.702608696</v>
      </c>
      <c r="J1819" s="18">
        <v>13.07</v>
      </c>
      <c r="K1819" s="18">
        <v>12.4</v>
      </c>
      <c r="L1819" s="22">
        <v>9</v>
      </c>
    </row>
    <row r="1820" spans="1:12">
      <c r="A1820">
        <v>2</v>
      </c>
      <c r="B1820" s="16" t="s">
        <v>56</v>
      </c>
      <c r="C1820" s="9">
        <v>46023</v>
      </c>
      <c r="D1820">
        <v>48</v>
      </c>
      <c r="E1820" s="16" t="s">
        <v>137</v>
      </c>
      <c r="F1820" s="16" t="s">
        <v>138</v>
      </c>
      <c r="G1820" s="22">
        <v>6</v>
      </c>
      <c r="H1820" s="18">
        <v>68.947500000000005</v>
      </c>
      <c r="I1820" s="18">
        <v>11.491250000000001</v>
      </c>
      <c r="J1820" s="18">
        <v>11.87</v>
      </c>
      <c r="K1820" s="18">
        <v>11.23</v>
      </c>
      <c r="L1820" s="22">
        <v>7</v>
      </c>
    </row>
    <row r="1821" spans="1:12">
      <c r="A1821">
        <v>2</v>
      </c>
      <c r="B1821" s="16" t="s">
        <v>56</v>
      </c>
      <c r="C1821" s="9">
        <v>46054</v>
      </c>
      <c r="D1821">
        <v>48</v>
      </c>
      <c r="E1821" s="16" t="s">
        <v>137</v>
      </c>
      <c r="F1821" s="16" t="s">
        <v>138</v>
      </c>
      <c r="G1821" s="22">
        <v>7</v>
      </c>
      <c r="H1821" s="18">
        <v>82.362499999999997</v>
      </c>
      <c r="I1821" s="18">
        <v>11.766071429</v>
      </c>
      <c r="J1821" s="18">
        <v>12.24</v>
      </c>
      <c r="K1821" s="18">
        <v>11.35</v>
      </c>
      <c r="L1821" s="22">
        <v>8</v>
      </c>
    </row>
    <row r="1822" spans="1:12">
      <c r="A1822">
        <v>2</v>
      </c>
      <c r="B1822" s="16" t="s">
        <v>56</v>
      </c>
      <c r="C1822" s="9">
        <v>46082</v>
      </c>
      <c r="D1822">
        <v>48</v>
      </c>
      <c r="E1822" s="16" t="s">
        <v>137</v>
      </c>
      <c r="F1822" s="16" t="s">
        <v>138</v>
      </c>
      <c r="G1822" s="22">
        <v>10.5</v>
      </c>
      <c r="H1822" s="18">
        <v>122.54</v>
      </c>
      <c r="I1822" s="18">
        <v>11.67047619</v>
      </c>
      <c r="J1822" s="18">
        <v>11.78</v>
      </c>
      <c r="K1822" s="18">
        <v>11.54</v>
      </c>
      <c r="L1822" s="22">
        <v>8</v>
      </c>
    </row>
    <row r="1823" spans="1:12">
      <c r="A1823">
        <v>2</v>
      </c>
      <c r="B1823" s="16" t="s">
        <v>56</v>
      </c>
      <c r="C1823" s="9">
        <v>46113</v>
      </c>
      <c r="D1823">
        <v>48</v>
      </c>
      <c r="E1823" s="16" t="s">
        <v>137</v>
      </c>
      <c r="F1823" s="16" t="s">
        <v>138</v>
      </c>
      <c r="G1823" s="22">
        <v>15.75</v>
      </c>
      <c r="H1823" s="18">
        <v>186.05</v>
      </c>
      <c r="I1823" s="18">
        <v>11.812698413</v>
      </c>
      <c r="J1823" s="18">
        <v>12.07</v>
      </c>
      <c r="K1823" s="18">
        <v>11.66</v>
      </c>
      <c r="L1823" s="22">
        <v>9</v>
      </c>
    </row>
    <row r="1824" spans="1:12">
      <c r="A1824">
        <v>2</v>
      </c>
      <c r="B1824" s="16" t="s">
        <v>56</v>
      </c>
      <c r="C1824" s="9">
        <v>46143</v>
      </c>
      <c r="D1824">
        <v>48</v>
      </c>
      <c r="E1824" s="16" t="s">
        <v>137</v>
      </c>
      <c r="F1824" s="16" t="s">
        <v>138</v>
      </c>
      <c r="G1824" s="22">
        <v>18</v>
      </c>
      <c r="H1824" s="18">
        <v>215.58500000000001</v>
      </c>
      <c r="I1824" s="18">
        <v>11.976944444000001</v>
      </c>
      <c r="J1824" s="18">
        <v>12.14</v>
      </c>
      <c r="K1824" s="18">
        <v>11.73</v>
      </c>
      <c r="L1824" s="22">
        <v>8</v>
      </c>
    </row>
    <row r="1825" spans="1:12">
      <c r="A1825">
        <v>2</v>
      </c>
      <c r="B1825" s="16" t="s">
        <v>56</v>
      </c>
      <c r="C1825" s="9">
        <v>46174</v>
      </c>
      <c r="D1825">
        <v>48</v>
      </c>
      <c r="E1825" s="16" t="s">
        <v>137</v>
      </c>
      <c r="F1825" s="16" t="s">
        <v>138</v>
      </c>
      <c r="G1825" s="22">
        <v>19.75</v>
      </c>
      <c r="H1825" s="18">
        <v>235.89500000000001</v>
      </c>
      <c r="I1825" s="18">
        <v>11.944050633</v>
      </c>
      <c r="J1825" s="18">
        <v>12.12</v>
      </c>
      <c r="K1825" s="18">
        <v>11.61</v>
      </c>
      <c r="L1825" s="22">
        <v>9</v>
      </c>
    </row>
    <row r="1826" spans="1:12">
      <c r="A1826">
        <v>2</v>
      </c>
      <c r="B1826" s="16" t="s">
        <v>56</v>
      </c>
      <c r="C1826" s="9">
        <v>46204</v>
      </c>
      <c r="D1826">
        <v>48</v>
      </c>
      <c r="E1826" s="16" t="s">
        <v>137</v>
      </c>
      <c r="F1826" s="16" t="s">
        <v>138</v>
      </c>
      <c r="G1826" s="22">
        <v>18.75</v>
      </c>
      <c r="H1826" s="18">
        <v>223.21250000000001</v>
      </c>
      <c r="I1826" s="18">
        <v>11.904666667000001</v>
      </c>
      <c r="J1826" s="18">
        <v>12.17</v>
      </c>
      <c r="K1826" s="18">
        <v>11.63</v>
      </c>
      <c r="L1826" s="22">
        <v>9</v>
      </c>
    </row>
    <row r="1827" spans="1:12">
      <c r="A1827">
        <v>2</v>
      </c>
      <c r="B1827" s="16" t="s">
        <v>56</v>
      </c>
      <c r="C1827" s="9">
        <v>46235</v>
      </c>
      <c r="D1827">
        <v>48</v>
      </c>
      <c r="E1827" s="16" t="s">
        <v>137</v>
      </c>
      <c r="F1827" s="16" t="s">
        <v>138</v>
      </c>
      <c r="G1827" s="22">
        <v>20.5</v>
      </c>
      <c r="H1827" s="18">
        <v>241.51</v>
      </c>
      <c r="I1827" s="18">
        <v>11.78097561</v>
      </c>
      <c r="J1827" s="18">
        <v>12.05</v>
      </c>
      <c r="K1827" s="18">
        <v>11.5</v>
      </c>
      <c r="L1827" s="22">
        <v>8</v>
      </c>
    </row>
    <row r="1828" spans="1:12">
      <c r="A1828">
        <v>2</v>
      </c>
      <c r="B1828" s="16" t="s">
        <v>56</v>
      </c>
      <c r="C1828" s="9">
        <v>46266</v>
      </c>
      <c r="D1828">
        <v>48</v>
      </c>
      <c r="E1828" s="16" t="s">
        <v>137</v>
      </c>
      <c r="F1828" s="16" t="s">
        <v>138</v>
      </c>
      <c r="G1828" s="22">
        <v>13.25</v>
      </c>
      <c r="H1828" s="18">
        <v>157.125</v>
      </c>
      <c r="I1828" s="18">
        <v>11.858490566</v>
      </c>
      <c r="J1828" s="18">
        <v>12.18</v>
      </c>
      <c r="K1828" s="18">
        <v>11.59</v>
      </c>
      <c r="L1828" s="22">
        <v>9</v>
      </c>
    </row>
    <row r="1829" spans="1:12">
      <c r="A1829">
        <v>2</v>
      </c>
      <c r="B1829" s="16" t="s">
        <v>56</v>
      </c>
      <c r="C1829" s="9">
        <v>45689</v>
      </c>
      <c r="D1829">
        <v>49</v>
      </c>
      <c r="E1829" s="16" t="s">
        <v>139</v>
      </c>
      <c r="F1829" s="16" t="s">
        <v>138</v>
      </c>
      <c r="G1829" s="22">
        <v>14</v>
      </c>
      <c r="H1829" s="18">
        <v>88.974999999999994</v>
      </c>
      <c r="I1829" s="18">
        <v>6.355357143</v>
      </c>
      <c r="J1829" s="18">
        <v>6.43</v>
      </c>
      <c r="K1829" s="18">
        <v>6.24</v>
      </c>
      <c r="L1829" s="22">
        <v>8</v>
      </c>
    </row>
    <row r="1830" spans="1:12">
      <c r="A1830">
        <v>2</v>
      </c>
      <c r="B1830" s="16" t="s">
        <v>56</v>
      </c>
      <c r="C1830" s="9">
        <v>45717</v>
      </c>
      <c r="D1830">
        <v>49</v>
      </c>
      <c r="E1830" s="16" t="s">
        <v>139</v>
      </c>
      <c r="F1830" s="16" t="s">
        <v>138</v>
      </c>
      <c r="G1830" s="22">
        <v>14</v>
      </c>
      <c r="H1830" s="18">
        <v>88.625</v>
      </c>
      <c r="I1830" s="18">
        <v>6.3303571429999996</v>
      </c>
      <c r="J1830" s="18">
        <v>6.46</v>
      </c>
      <c r="K1830" s="18">
        <v>6.26</v>
      </c>
      <c r="L1830" s="22">
        <v>8</v>
      </c>
    </row>
    <row r="1831" spans="1:12">
      <c r="A1831">
        <v>2</v>
      </c>
      <c r="B1831" s="16" t="s">
        <v>56</v>
      </c>
      <c r="C1831" s="9">
        <v>45748</v>
      </c>
      <c r="D1831">
        <v>49</v>
      </c>
      <c r="E1831" s="16" t="s">
        <v>139</v>
      </c>
      <c r="F1831" s="16" t="s">
        <v>138</v>
      </c>
      <c r="G1831" s="22">
        <v>21</v>
      </c>
      <c r="H1831" s="18">
        <v>134.08750000000001</v>
      </c>
      <c r="I1831" s="18">
        <v>6.385119048</v>
      </c>
      <c r="J1831" s="18">
        <v>6.51</v>
      </c>
      <c r="K1831" s="18">
        <v>6.27</v>
      </c>
      <c r="L1831" s="22">
        <v>9</v>
      </c>
    </row>
    <row r="1832" spans="1:12">
      <c r="A1832">
        <v>2</v>
      </c>
      <c r="B1832" s="16" t="s">
        <v>56</v>
      </c>
      <c r="C1832" s="9">
        <v>45778</v>
      </c>
      <c r="D1832">
        <v>49</v>
      </c>
      <c r="E1832" s="16" t="s">
        <v>139</v>
      </c>
      <c r="F1832" s="16" t="s">
        <v>138</v>
      </c>
      <c r="G1832" s="22">
        <v>32.25</v>
      </c>
      <c r="H1832" s="18">
        <v>207.53</v>
      </c>
      <c r="I1832" s="18">
        <v>6.4350387600000003</v>
      </c>
      <c r="J1832" s="18">
        <v>6.53</v>
      </c>
      <c r="K1832" s="18">
        <v>6.36</v>
      </c>
      <c r="L1832" s="22">
        <v>9</v>
      </c>
    </row>
    <row r="1833" spans="1:12">
      <c r="A1833">
        <v>2</v>
      </c>
      <c r="B1833" s="16" t="s">
        <v>56</v>
      </c>
      <c r="C1833" s="9">
        <v>45809</v>
      </c>
      <c r="D1833">
        <v>49</v>
      </c>
      <c r="E1833" s="16" t="s">
        <v>139</v>
      </c>
      <c r="F1833" s="16" t="s">
        <v>138</v>
      </c>
      <c r="G1833" s="22">
        <v>20.75</v>
      </c>
      <c r="H1833" s="18">
        <v>133.05250000000001</v>
      </c>
      <c r="I1833" s="18">
        <v>6.4121686750000002</v>
      </c>
      <c r="J1833" s="18">
        <v>6.5</v>
      </c>
      <c r="K1833" s="18">
        <v>6.33</v>
      </c>
      <c r="L1833" s="22">
        <v>8</v>
      </c>
    </row>
    <row r="1834" spans="1:12">
      <c r="A1834">
        <v>2</v>
      </c>
      <c r="B1834" s="16" t="s">
        <v>56</v>
      </c>
      <c r="C1834" s="9">
        <v>45839</v>
      </c>
      <c r="D1834">
        <v>49</v>
      </c>
      <c r="E1834" s="16" t="s">
        <v>139</v>
      </c>
      <c r="F1834" s="16" t="s">
        <v>138</v>
      </c>
      <c r="G1834" s="22">
        <v>25.75</v>
      </c>
      <c r="H1834" s="18">
        <v>164.51499999999999</v>
      </c>
      <c r="I1834" s="18">
        <v>6.3889320390000002</v>
      </c>
      <c r="J1834" s="18">
        <v>6.46</v>
      </c>
      <c r="K1834" s="18">
        <v>6.27</v>
      </c>
      <c r="L1834" s="22">
        <v>10</v>
      </c>
    </row>
    <row r="1835" spans="1:12">
      <c r="A1835">
        <v>2</v>
      </c>
      <c r="B1835" s="16" t="s">
        <v>56</v>
      </c>
      <c r="C1835" s="9">
        <v>45870</v>
      </c>
      <c r="D1835">
        <v>49</v>
      </c>
      <c r="E1835" s="16" t="s">
        <v>139</v>
      </c>
      <c r="F1835" s="16" t="s">
        <v>138</v>
      </c>
      <c r="G1835" s="22">
        <v>22.75</v>
      </c>
      <c r="H1835" s="18">
        <v>144.69499999999999</v>
      </c>
      <c r="I1835" s="18">
        <v>6.3602197800000004</v>
      </c>
      <c r="J1835" s="18">
        <v>6.49</v>
      </c>
      <c r="K1835" s="18">
        <v>6.27</v>
      </c>
      <c r="L1835" s="22">
        <v>8</v>
      </c>
    </row>
    <row r="1836" spans="1:12">
      <c r="A1836">
        <v>2</v>
      </c>
      <c r="B1836" s="16" t="s">
        <v>56</v>
      </c>
      <c r="C1836" s="9">
        <v>45901</v>
      </c>
      <c r="D1836">
        <v>49</v>
      </c>
      <c r="E1836" s="16" t="s">
        <v>139</v>
      </c>
      <c r="F1836" s="16" t="s">
        <v>138</v>
      </c>
      <c r="G1836" s="22">
        <v>26</v>
      </c>
      <c r="H1836" s="18">
        <v>164.2825</v>
      </c>
      <c r="I1836" s="18">
        <v>6.3185576919999997</v>
      </c>
      <c r="J1836" s="18">
        <v>6.41</v>
      </c>
      <c r="K1836" s="18">
        <v>6.26</v>
      </c>
      <c r="L1836" s="22">
        <v>9</v>
      </c>
    </row>
    <row r="1837" spans="1:12">
      <c r="A1837">
        <v>2</v>
      </c>
      <c r="B1837" s="16" t="s">
        <v>56</v>
      </c>
      <c r="C1837" s="9">
        <v>45931</v>
      </c>
      <c r="D1837">
        <v>49</v>
      </c>
      <c r="E1837" s="16" t="s">
        <v>139</v>
      </c>
      <c r="F1837" s="16" t="s">
        <v>138</v>
      </c>
      <c r="G1837" s="22">
        <v>21.5</v>
      </c>
      <c r="H1837" s="18">
        <v>136.92250000000001</v>
      </c>
      <c r="I1837" s="18">
        <v>6.3684883719999998</v>
      </c>
      <c r="J1837" s="18">
        <v>6.44</v>
      </c>
      <c r="K1837" s="18">
        <v>6.26</v>
      </c>
      <c r="L1837" s="22">
        <v>9</v>
      </c>
    </row>
    <row r="1838" spans="1:12">
      <c r="A1838">
        <v>2</v>
      </c>
      <c r="B1838" s="16" t="s">
        <v>56</v>
      </c>
      <c r="C1838" s="9">
        <v>45962</v>
      </c>
      <c r="D1838">
        <v>49</v>
      </c>
      <c r="E1838" s="16" t="s">
        <v>139</v>
      </c>
      <c r="F1838" s="16" t="s">
        <v>138</v>
      </c>
      <c r="G1838" s="22">
        <v>14.25</v>
      </c>
      <c r="H1838" s="18">
        <v>94.717500000000001</v>
      </c>
      <c r="I1838" s="18">
        <v>6.6468421050000002</v>
      </c>
      <c r="J1838" s="18">
        <v>7.25</v>
      </c>
      <c r="K1838" s="18">
        <v>6.21</v>
      </c>
      <c r="L1838" s="22">
        <v>8</v>
      </c>
    </row>
    <row r="1839" spans="1:12">
      <c r="A1839">
        <v>2</v>
      </c>
      <c r="B1839" s="16" t="s">
        <v>56</v>
      </c>
      <c r="C1839" s="9">
        <v>45992</v>
      </c>
      <c r="D1839">
        <v>49</v>
      </c>
      <c r="E1839" s="16" t="s">
        <v>139</v>
      </c>
      <c r="F1839" s="16" t="s">
        <v>138</v>
      </c>
      <c r="G1839" s="22">
        <v>17</v>
      </c>
      <c r="H1839" s="18">
        <v>122.97</v>
      </c>
      <c r="I1839" s="18">
        <v>7.2335294120000002</v>
      </c>
      <c r="J1839" s="18">
        <v>7.72</v>
      </c>
      <c r="K1839" s="18">
        <v>6.99</v>
      </c>
      <c r="L1839" s="22">
        <v>9</v>
      </c>
    </row>
    <row r="1840" spans="1:12">
      <c r="A1840">
        <v>2</v>
      </c>
      <c r="B1840" s="16" t="s">
        <v>56</v>
      </c>
      <c r="C1840" s="9">
        <v>46023</v>
      </c>
      <c r="D1840">
        <v>49</v>
      </c>
      <c r="E1840" s="16" t="s">
        <v>139</v>
      </c>
      <c r="F1840" s="16" t="s">
        <v>138</v>
      </c>
      <c r="G1840" s="22">
        <v>8.75</v>
      </c>
      <c r="H1840" s="18">
        <v>56.6175</v>
      </c>
      <c r="I1840" s="18">
        <v>6.4705714289999996</v>
      </c>
      <c r="J1840" s="18">
        <v>6.91</v>
      </c>
      <c r="K1840" s="18">
        <v>6.24</v>
      </c>
      <c r="L1840" s="22">
        <v>7</v>
      </c>
    </row>
    <row r="1841" spans="1:12">
      <c r="A1841">
        <v>2</v>
      </c>
      <c r="B1841" s="16" t="s">
        <v>56</v>
      </c>
      <c r="C1841" s="9">
        <v>46054</v>
      </c>
      <c r="D1841">
        <v>49</v>
      </c>
      <c r="E1841" s="16" t="s">
        <v>139</v>
      </c>
      <c r="F1841" s="16" t="s">
        <v>138</v>
      </c>
      <c r="G1841" s="22">
        <v>9.25</v>
      </c>
      <c r="H1841" s="18">
        <v>59.8825</v>
      </c>
      <c r="I1841" s="18">
        <v>6.4737837840000001</v>
      </c>
      <c r="J1841" s="18">
        <v>6.61</v>
      </c>
      <c r="K1841" s="18">
        <v>6.29</v>
      </c>
      <c r="L1841" s="22">
        <v>8</v>
      </c>
    </row>
    <row r="1842" spans="1:12">
      <c r="A1842">
        <v>2</v>
      </c>
      <c r="B1842" s="16" t="s">
        <v>56</v>
      </c>
      <c r="C1842" s="9">
        <v>46082</v>
      </c>
      <c r="D1842">
        <v>49</v>
      </c>
      <c r="E1842" s="16" t="s">
        <v>139</v>
      </c>
      <c r="F1842" s="16" t="s">
        <v>138</v>
      </c>
      <c r="G1842" s="22">
        <v>14.5</v>
      </c>
      <c r="H1842" s="18">
        <v>95.077500000000001</v>
      </c>
      <c r="I1842" s="18">
        <v>6.5570689660000001</v>
      </c>
      <c r="J1842" s="18">
        <v>6.71</v>
      </c>
      <c r="K1842" s="18">
        <v>6.44</v>
      </c>
      <c r="L1842" s="22">
        <v>8</v>
      </c>
    </row>
    <row r="1843" spans="1:12">
      <c r="A1843">
        <v>2</v>
      </c>
      <c r="B1843" s="16" t="s">
        <v>56</v>
      </c>
      <c r="C1843" s="9">
        <v>46113</v>
      </c>
      <c r="D1843">
        <v>49</v>
      </c>
      <c r="E1843" s="16" t="s">
        <v>139</v>
      </c>
      <c r="F1843" s="16" t="s">
        <v>138</v>
      </c>
      <c r="G1843" s="22">
        <v>22.5</v>
      </c>
      <c r="H1843" s="18">
        <v>147.44999999999999</v>
      </c>
      <c r="I1843" s="18">
        <v>6.5533333330000003</v>
      </c>
      <c r="J1843" s="18">
        <v>6.69</v>
      </c>
      <c r="K1843" s="18">
        <v>6.4</v>
      </c>
      <c r="L1843" s="22">
        <v>9</v>
      </c>
    </row>
    <row r="1844" spans="1:12">
      <c r="A1844">
        <v>2</v>
      </c>
      <c r="B1844" s="16" t="s">
        <v>56</v>
      </c>
      <c r="C1844" s="9">
        <v>46143</v>
      </c>
      <c r="D1844">
        <v>49</v>
      </c>
      <c r="E1844" s="16" t="s">
        <v>139</v>
      </c>
      <c r="F1844" s="16" t="s">
        <v>138</v>
      </c>
      <c r="G1844" s="22">
        <v>27</v>
      </c>
      <c r="H1844" s="18">
        <v>176.80250000000001</v>
      </c>
      <c r="I1844" s="18">
        <v>6.5482407409999999</v>
      </c>
      <c r="J1844" s="18">
        <v>6.69</v>
      </c>
      <c r="K1844" s="18">
        <v>6.47</v>
      </c>
      <c r="L1844" s="22">
        <v>8</v>
      </c>
    </row>
    <row r="1845" spans="1:12">
      <c r="A1845">
        <v>2</v>
      </c>
      <c r="B1845" s="16" t="s">
        <v>56</v>
      </c>
      <c r="C1845" s="9">
        <v>46174</v>
      </c>
      <c r="D1845">
        <v>49</v>
      </c>
      <c r="E1845" s="16" t="s">
        <v>139</v>
      </c>
      <c r="F1845" s="16" t="s">
        <v>138</v>
      </c>
      <c r="G1845" s="22">
        <v>27.75</v>
      </c>
      <c r="H1845" s="18">
        <v>182.95</v>
      </c>
      <c r="I1845" s="18">
        <v>6.5927927930000001</v>
      </c>
      <c r="J1845" s="18">
        <v>6.73</v>
      </c>
      <c r="K1845" s="18">
        <v>6.54</v>
      </c>
      <c r="L1845" s="22">
        <v>9</v>
      </c>
    </row>
    <row r="1846" spans="1:12">
      <c r="A1846">
        <v>2</v>
      </c>
      <c r="B1846" s="16" t="s">
        <v>56</v>
      </c>
      <c r="C1846" s="9">
        <v>46204</v>
      </c>
      <c r="D1846">
        <v>49</v>
      </c>
      <c r="E1846" s="16" t="s">
        <v>139</v>
      </c>
      <c r="F1846" s="16" t="s">
        <v>138</v>
      </c>
      <c r="G1846" s="22">
        <v>27.75</v>
      </c>
      <c r="H1846" s="18">
        <v>184.86500000000001</v>
      </c>
      <c r="I1846" s="18">
        <v>6.6618018020000003</v>
      </c>
      <c r="J1846" s="18">
        <v>6.81</v>
      </c>
      <c r="K1846" s="18">
        <v>6.44</v>
      </c>
      <c r="L1846" s="22">
        <v>9</v>
      </c>
    </row>
    <row r="1847" spans="1:12">
      <c r="A1847">
        <v>2</v>
      </c>
      <c r="B1847" s="16" t="s">
        <v>56</v>
      </c>
      <c r="C1847" s="9">
        <v>46235</v>
      </c>
      <c r="D1847">
        <v>49</v>
      </c>
      <c r="E1847" s="16" t="s">
        <v>139</v>
      </c>
      <c r="F1847" s="16" t="s">
        <v>138</v>
      </c>
      <c r="G1847" s="22">
        <v>30.25</v>
      </c>
      <c r="H1847" s="18">
        <v>203.97749999999999</v>
      </c>
      <c r="I1847" s="18">
        <v>6.7430578509999997</v>
      </c>
      <c r="J1847" s="18">
        <v>6.85</v>
      </c>
      <c r="K1847" s="18">
        <v>6.63</v>
      </c>
      <c r="L1847" s="22">
        <v>8</v>
      </c>
    </row>
    <row r="1848" spans="1:12">
      <c r="A1848">
        <v>2</v>
      </c>
      <c r="B1848" s="16" t="s">
        <v>56</v>
      </c>
      <c r="C1848" s="9">
        <v>46266</v>
      </c>
      <c r="D1848">
        <v>49</v>
      </c>
      <c r="E1848" s="16" t="s">
        <v>139</v>
      </c>
      <c r="F1848" s="16" t="s">
        <v>138</v>
      </c>
      <c r="G1848" s="22">
        <v>20</v>
      </c>
      <c r="H1848" s="18">
        <v>134.755</v>
      </c>
      <c r="I1848" s="18">
        <v>6.7377500000000001</v>
      </c>
      <c r="J1848" s="18">
        <v>6.89</v>
      </c>
      <c r="K1848" s="18">
        <v>6.58</v>
      </c>
      <c r="L1848" s="22">
        <v>9</v>
      </c>
    </row>
    <row r="1849" spans="1:12">
      <c r="A1849">
        <v>2</v>
      </c>
      <c r="B1849" s="16" t="s">
        <v>56</v>
      </c>
      <c r="C1849" s="9">
        <v>45689</v>
      </c>
      <c r="D1849">
        <v>50</v>
      </c>
      <c r="E1849" s="16" t="s">
        <v>140</v>
      </c>
      <c r="F1849" s="16" t="s">
        <v>138</v>
      </c>
      <c r="G1849" s="22">
        <v>14.5</v>
      </c>
      <c r="H1849" s="18">
        <v>53.767499999999998</v>
      </c>
      <c r="I1849" s="18">
        <v>3.7081034480000001</v>
      </c>
      <c r="J1849" s="18">
        <v>3.76</v>
      </c>
      <c r="K1849" s="18">
        <v>3.63</v>
      </c>
      <c r="L1849" s="22">
        <v>8</v>
      </c>
    </row>
    <row r="1850" spans="1:12">
      <c r="A1850">
        <v>2</v>
      </c>
      <c r="B1850" s="16" t="s">
        <v>56</v>
      </c>
      <c r="C1850" s="9">
        <v>45717</v>
      </c>
      <c r="D1850">
        <v>50</v>
      </c>
      <c r="E1850" s="16" t="s">
        <v>140</v>
      </c>
      <c r="F1850" s="16" t="s">
        <v>138</v>
      </c>
      <c r="G1850" s="22">
        <v>13.75</v>
      </c>
      <c r="H1850" s="18">
        <v>50.505000000000003</v>
      </c>
      <c r="I1850" s="18">
        <v>3.6730909089999999</v>
      </c>
      <c r="J1850" s="18">
        <v>3.75</v>
      </c>
      <c r="K1850" s="18">
        <v>3.62</v>
      </c>
      <c r="L1850" s="22">
        <v>8</v>
      </c>
    </row>
    <row r="1851" spans="1:12">
      <c r="A1851">
        <v>2</v>
      </c>
      <c r="B1851" s="16" t="s">
        <v>56</v>
      </c>
      <c r="C1851" s="9">
        <v>45748</v>
      </c>
      <c r="D1851">
        <v>50</v>
      </c>
      <c r="E1851" s="16" t="s">
        <v>140</v>
      </c>
      <c r="F1851" s="16" t="s">
        <v>138</v>
      </c>
      <c r="G1851" s="22">
        <v>21</v>
      </c>
      <c r="H1851" s="18">
        <v>78.234999999999999</v>
      </c>
      <c r="I1851" s="18">
        <v>3.7254761900000002</v>
      </c>
      <c r="J1851" s="18">
        <v>3.77</v>
      </c>
      <c r="K1851" s="18">
        <v>3.64</v>
      </c>
      <c r="L1851" s="22">
        <v>9</v>
      </c>
    </row>
    <row r="1852" spans="1:12">
      <c r="A1852">
        <v>2</v>
      </c>
      <c r="B1852" s="16" t="s">
        <v>56</v>
      </c>
      <c r="C1852" s="9">
        <v>45778</v>
      </c>
      <c r="D1852">
        <v>50</v>
      </c>
      <c r="E1852" s="16" t="s">
        <v>140</v>
      </c>
      <c r="F1852" s="16" t="s">
        <v>138</v>
      </c>
      <c r="G1852" s="22">
        <v>33</v>
      </c>
      <c r="H1852" s="18">
        <v>123.8625</v>
      </c>
      <c r="I1852" s="18">
        <v>3.753409091</v>
      </c>
      <c r="J1852" s="18">
        <v>3.84</v>
      </c>
      <c r="K1852" s="18">
        <v>3.68</v>
      </c>
      <c r="L1852" s="22">
        <v>9</v>
      </c>
    </row>
    <row r="1853" spans="1:12">
      <c r="A1853">
        <v>2</v>
      </c>
      <c r="B1853" s="16" t="s">
        <v>56</v>
      </c>
      <c r="C1853" s="9">
        <v>45809</v>
      </c>
      <c r="D1853">
        <v>50</v>
      </c>
      <c r="E1853" s="16" t="s">
        <v>140</v>
      </c>
      <c r="F1853" s="16" t="s">
        <v>138</v>
      </c>
      <c r="G1853" s="22">
        <v>21.5</v>
      </c>
      <c r="H1853" s="18">
        <v>80.072500000000005</v>
      </c>
      <c r="I1853" s="18">
        <v>3.7243023260000001</v>
      </c>
      <c r="J1853" s="18">
        <v>3.78</v>
      </c>
      <c r="K1853" s="18">
        <v>3.66</v>
      </c>
      <c r="L1853" s="22">
        <v>8</v>
      </c>
    </row>
    <row r="1854" spans="1:12">
      <c r="A1854">
        <v>2</v>
      </c>
      <c r="B1854" s="16" t="s">
        <v>56</v>
      </c>
      <c r="C1854" s="9">
        <v>45839</v>
      </c>
      <c r="D1854">
        <v>50</v>
      </c>
      <c r="E1854" s="16" t="s">
        <v>140</v>
      </c>
      <c r="F1854" s="16" t="s">
        <v>138</v>
      </c>
      <c r="G1854" s="22">
        <v>25.5</v>
      </c>
      <c r="H1854" s="18">
        <v>96.584999999999994</v>
      </c>
      <c r="I1854" s="18">
        <v>3.7876470590000002</v>
      </c>
      <c r="J1854" s="18">
        <v>3.88</v>
      </c>
      <c r="K1854" s="18">
        <v>3.7</v>
      </c>
      <c r="L1854" s="22">
        <v>10</v>
      </c>
    </row>
    <row r="1855" spans="1:12">
      <c r="A1855">
        <v>2</v>
      </c>
      <c r="B1855" s="16" t="s">
        <v>56</v>
      </c>
      <c r="C1855" s="9">
        <v>45870</v>
      </c>
      <c r="D1855">
        <v>50</v>
      </c>
      <c r="E1855" s="16" t="s">
        <v>140</v>
      </c>
      <c r="F1855" s="16" t="s">
        <v>138</v>
      </c>
      <c r="G1855" s="22">
        <v>23.5</v>
      </c>
      <c r="H1855" s="18">
        <v>89.467500000000001</v>
      </c>
      <c r="I1855" s="18">
        <v>3.8071276599999999</v>
      </c>
      <c r="J1855" s="18">
        <v>3.89</v>
      </c>
      <c r="K1855" s="18">
        <v>3.76</v>
      </c>
      <c r="L1855" s="22">
        <v>8</v>
      </c>
    </row>
    <row r="1856" spans="1:12">
      <c r="A1856">
        <v>2</v>
      </c>
      <c r="B1856" s="16" t="s">
        <v>56</v>
      </c>
      <c r="C1856" s="9">
        <v>45901</v>
      </c>
      <c r="D1856">
        <v>50</v>
      </c>
      <c r="E1856" s="16" t="s">
        <v>140</v>
      </c>
      <c r="F1856" s="16" t="s">
        <v>138</v>
      </c>
      <c r="G1856" s="22">
        <v>26</v>
      </c>
      <c r="H1856" s="18">
        <v>98.57</v>
      </c>
      <c r="I1856" s="18">
        <v>3.7911538459999998</v>
      </c>
      <c r="J1856" s="18">
        <v>3.92</v>
      </c>
      <c r="K1856" s="18">
        <v>3.73</v>
      </c>
      <c r="L1856" s="22">
        <v>9</v>
      </c>
    </row>
    <row r="1857" spans="1:12">
      <c r="A1857">
        <v>2</v>
      </c>
      <c r="B1857" s="16" t="s">
        <v>56</v>
      </c>
      <c r="C1857" s="9">
        <v>45931</v>
      </c>
      <c r="D1857">
        <v>50</v>
      </c>
      <c r="E1857" s="16" t="s">
        <v>140</v>
      </c>
      <c r="F1857" s="16" t="s">
        <v>138</v>
      </c>
      <c r="G1857" s="22">
        <v>22.25</v>
      </c>
      <c r="H1857" s="18">
        <v>85.61</v>
      </c>
      <c r="I1857" s="18">
        <v>3.847640449</v>
      </c>
      <c r="J1857" s="18">
        <v>3.94</v>
      </c>
      <c r="K1857" s="18">
        <v>3.78</v>
      </c>
      <c r="L1857" s="22">
        <v>9</v>
      </c>
    </row>
    <row r="1858" spans="1:12">
      <c r="A1858">
        <v>2</v>
      </c>
      <c r="B1858" s="16" t="s">
        <v>56</v>
      </c>
      <c r="C1858" s="9">
        <v>45962</v>
      </c>
      <c r="D1858">
        <v>50</v>
      </c>
      <c r="E1858" s="16" t="s">
        <v>140</v>
      </c>
      <c r="F1858" s="16" t="s">
        <v>138</v>
      </c>
      <c r="G1858" s="22">
        <v>14.25</v>
      </c>
      <c r="H1858" s="18">
        <v>57.517499999999998</v>
      </c>
      <c r="I1858" s="18">
        <v>4.0363157889999997</v>
      </c>
      <c r="J1858" s="18">
        <v>4.32</v>
      </c>
      <c r="K1858" s="18">
        <v>3.82</v>
      </c>
      <c r="L1858" s="22">
        <v>8</v>
      </c>
    </row>
    <row r="1859" spans="1:12">
      <c r="A1859">
        <v>2</v>
      </c>
      <c r="B1859" s="16" t="s">
        <v>56</v>
      </c>
      <c r="C1859" s="9">
        <v>45992</v>
      </c>
      <c r="D1859">
        <v>50</v>
      </c>
      <c r="E1859" s="16" t="s">
        <v>140</v>
      </c>
      <c r="F1859" s="16" t="s">
        <v>138</v>
      </c>
      <c r="G1859" s="22">
        <v>16.5</v>
      </c>
      <c r="H1859" s="18">
        <v>71.87</v>
      </c>
      <c r="I1859" s="18">
        <v>4.3557575760000002</v>
      </c>
      <c r="J1859" s="18">
        <v>4.51</v>
      </c>
      <c r="K1859" s="18">
        <v>4.2699999999999996</v>
      </c>
      <c r="L1859" s="22">
        <v>9</v>
      </c>
    </row>
    <row r="1860" spans="1:12">
      <c r="A1860">
        <v>2</v>
      </c>
      <c r="B1860" s="16" t="s">
        <v>56</v>
      </c>
      <c r="C1860" s="9">
        <v>46023</v>
      </c>
      <c r="D1860">
        <v>50</v>
      </c>
      <c r="E1860" s="16" t="s">
        <v>140</v>
      </c>
      <c r="F1860" s="16" t="s">
        <v>138</v>
      </c>
      <c r="G1860" s="22">
        <v>8.5</v>
      </c>
      <c r="H1860" s="18">
        <v>33.049999999999997</v>
      </c>
      <c r="I1860" s="18">
        <v>3.8882352939999998</v>
      </c>
      <c r="J1860" s="18">
        <v>3.94</v>
      </c>
      <c r="K1860" s="18">
        <v>3.81</v>
      </c>
      <c r="L1860" s="22">
        <v>7</v>
      </c>
    </row>
    <row r="1861" spans="1:12">
      <c r="A1861">
        <v>2</v>
      </c>
      <c r="B1861" s="16" t="s">
        <v>56</v>
      </c>
      <c r="C1861" s="9">
        <v>46054</v>
      </c>
      <c r="D1861">
        <v>50</v>
      </c>
      <c r="E1861" s="16" t="s">
        <v>140</v>
      </c>
      <c r="F1861" s="16" t="s">
        <v>138</v>
      </c>
      <c r="G1861" s="22">
        <v>9.5</v>
      </c>
      <c r="H1861" s="18">
        <v>36.717500000000001</v>
      </c>
      <c r="I1861" s="18">
        <v>3.8650000000000002</v>
      </c>
      <c r="J1861" s="18">
        <v>4.05</v>
      </c>
      <c r="K1861" s="18">
        <v>3.74</v>
      </c>
      <c r="L1861" s="22">
        <v>8</v>
      </c>
    </row>
    <row r="1862" spans="1:12">
      <c r="A1862">
        <v>2</v>
      </c>
      <c r="B1862" s="16" t="s">
        <v>56</v>
      </c>
      <c r="C1862" s="9">
        <v>46082</v>
      </c>
      <c r="D1862">
        <v>50</v>
      </c>
      <c r="E1862" s="16" t="s">
        <v>140</v>
      </c>
      <c r="F1862" s="16" t="s">
        <v>138</v>
      </c>
      <c r="G1862" s="22">
        <v>14.75</v>
      </c>
      <c r="H1862" s="18">
        <v>57.777500000000003</v>
      </c>
      <c r="I1862" s="18">
        <v>3.9171186439999999</v>
      </c>
      <c r="J1862" s="18">
        <v>4.0999999999999996</v>
      </c>
      <c r="K1862" s="18">
        <v>3.72</v>
      </c>
      <c r="L1862" s="22">
        <v>8</v>
      </c>
    </row>
    <row r="1863" spans="1:12">
      <c r="A1863">
        <v>2</v>
      </c>
      <c r="B1863" s="16" t="s">
        <v>56</v>
      </c>
      <c r="C1863" s="9">
        <v>46113</v>
      </c>
      <c r="D1863">
        <v>50</v>
      </c>
      <c r="E1863" s="16" t="s">
        <v>140</v>
      </c>
      <c r="F1863" s="16" t="s">
        <v>138</v>
      </c>
      <c r="G1863" s="22">
        <v>22.75</v>
      </c>
      <c r="H1863" s="18">
        <v>90.025000000000006</v>
      </c>
      <c r="I1863" s="18">
        <v>3.957142857</v>
      </c>
      <c r="J1863" s="18">
        <v>4.07</v>
      </c>
      <c r="K1863" s="18">
        <v>3.87</v>
      </c>
      <c r="L1863" s="22">
        <v>9</v>
      </c>
    </row>
    <row r="1864" spans="1:12">
      <c r="A1864">
        <v>2</v>
      </c>
      <c r="B1864" s="16" t="s">
        <v>56</v>
      </c>
      <c r="C1864" s="9">
        <v>46143</v>
      </c>
      <c r="D1864">
        <v>50</v>
      </c>
      <c r="E1864" s="16" t="s">
        <v>140</v>
      </c>
      <c r="F1864" s="16" t="s">
        <v>138</v>
      </c>
      <c r="G1864" s="22">
        <v>26.25</v>
      </c>
      <c r="H1864" s="18">
        <v>105.5</v>
      </c>
      <c r="I1864" s="18">
        <v>4.0190476190000002</v>
      </c>
      <c r="J1864" s="18">
        <v>4.07</v>
      </c>
      <c r="K1864" s="18">
        <v>3.96</v>
      </c>
      <c r="L1864" s="22">
        <v>8</v>
      </c>
    </row>
    <row r="1865" spans="1:12">
      <c r="A1865">
        <v>2</v>
      </c>
      <c r="B1865" s="16" t="s">
        <v>56</v>
      </c>
      <c r="C1865" s="9">
        <v>46174</v>
      </c>
      <c r="D1865">
        <v>50</v>
      </c>
      <c r="E1865" s="16" t="s">
        <v>140</v>
      </c>
      <c r="F1865" s="16" t="s">
        <v>138</v>
      </c>
      <c r="G1865" s="22">
        <v>28.5</v>
      </c>
      <c r="H1865" s="18">
        <v>113.10250000000001</v>
      </c>
      <c r="I1865" s="18">
        <v>3.9685087719999999</v>
      </c>
      <c r="J1865" s="18">
        <v>4.09</v>
      </c>
      <c r="K1865" s="18">
        <v>3.9</v>
      </c>
      <c r="L1865" s="22">
        <v>9</v>
      </c>
    </row>
    <row r="1866" spans="1:12">
      <c r="A1866">
        <v>2</v>
      </c>
      <c r="B1866" s="16" t="s">
        <v>56</v>
      </c>
      <c r="C1866" s="9">
        <v>46204</v>
      </c>
      <c r="D1866">
        <v>50</v>
      </c>
      <c r="E1866" s="16" t="s">
        <v>140</v>
      </c>
      <c r="F1866" s="16" t="s">
        <v>138</v>
      </c>
      <c r="G1866" s="22">
        <v>27</v>
      </c>
      <c r="H1866" s="18">
        <v>109.10250000000001</v>
      </c>
      <c r="I1866" s="18">
        <v>4.0408333330000001</v>
      </c>
      <c r="J1866" s="18">
        <v>4.13</v>
      </c>
      <c r="K1866" s="18">
        <v>3.93</v>
      </c>
      <c r="L1866" s="22">
        <v>9</v>
      </c>
    </row>
    <row r="1867" spans="1:12">
      <c r="A1867">
        <v>2</v>
      </c>
      <c r="B1867" s="16" t="s">
        <v>56</v>
      </c>
      <c r="C1867" s="9">
        <v>46235</v>
      </c>
      <c r="D1867">
        <v>50</v>
      </c>
      <c r="E1867" s="16" t="s">
        <v>140</v>
      </c>
      <c r="F1867" s="16" t="s">
        <v>138</v>
      </c>
      <c r="G1867" s="22">
        <v>30.25</v>
      </c>
      <c r="H1867" s="18">
        <v>121.72750000000001</v>
      </c>
      <c r="I1867" s="18">
        <v>4.0240495870000004</v>
      </c>
      <c r="J1867" s="18">
        <v>4.07</v>
      </c>
      <c r="K1867" s="18">
        <v>3.98</v>
      </c>
      <c r="L1867" s="22">
        <v>8</v>
      </c>
    </row>
    <row r="1868" spans="1:12">
      <c r="A1868">
        <v>2</v>
      </c>
      <c r="B1868" s="16" t="s">
        <v>56</v>
      </c>
      <c r="C1868" s="9">
        <v>46266</v>
      </c>
      <c r="D1868">
        <v>50</v>
      </c>
      <c r="E1868" s="16" t="s">
        <v>140</v>
      </c>
      <c r="F1868" s="16" t="s">
        <v>138</v>
      </c>
      <c r="G1868" s="22">
        <v>19.75</v>
      </c>
      <c r="H1868" s="18">
        <v>80.352500000000006</v>
      </c>
      <c r="I1868" s="18">
        <v>4.0684810130000004</v>
      </c>
      <c r="J1868" s="18">
        <v>4.4000000000000004</v>
      </c>
      <c r="K1868" s="18">
        <v>3.95</v>
      </c>
      <c r="L1868" s="22">
        <v>9</v>
      </c>
    </row>
    <row r="1869" spans="1:12">
      <c r="A1869">
        <v>2</v>
      </c>
      <c r="B1869" s="16" t="s">
        <v>56</v>
      </c>
      <c r="C1869" s="9">
        <v>45689</v>
      </c>
      <c r="D1869">
        <v>51</v>
      </c>
      <c r="E1869" s="16" t="s">
        <v>141</v>
      </c>
      <c r="F1869" s="16" t="s">
        <v>81</v>
      </c>
      <c r="G1869" s="22">
        <v>7.5</v>
      </c>
      <c r="H1869" s="18">
        <v>24</v>
      </c>
      <c r="I1869" s="18">
        <v>3.2</v>
      </c>
      <c r="J1869" s="18">
        <v>3.2</v>
      </c>
      <c r="K1869" s="18">
        <v>3.2</v>
      </c>
      <c r="L1869" s="22">
        <v>1</v>
      </c>
    </row>
    <row r="1870" spans="1:12">
      <c r="A1870">
        <v>2</v>
      </c>
      <c r="B1870" s="16" t="s">
        <v>56</v>
      </c>
      <c r="C1870" s="9">
        <v>45717</v>
      </c>
      <c r="D1870">
        <v>51</v>
      </c>
      <c r="E1870" s="16" t="s">
        <v>141</v>
      </c>
      <c r="F1870" s="16" t="s">
        <v>81</v>
      </c>
      <c r="G1870" s="22">
        <v>7.5</v>
      </c>
      <c r="H1870" s="18">
        <v>23.925000000000001</v>
      </c>
      <c r="I1870" s="18">
        <v>3.19</v>
      </c>
      <c r="J1870" s="18">
        <v>3.19</v>
      </c>
      <c r="K1870" s="18">
        <v>3.19</v>
      </c>
      <c r="L1870" s="22">
        <v>1</v>
      </c>
    </row>
    <row r="1871" spans="1:12">
      <c r="A1871">
        <v>2</v>
      </c>
      <c r="B1871" s="16" t="s">
        <v>56</v>
      </c>
      <c r="C1871" s="9">
        <v>45748</v>
      </c>
      <c r="D1871">
        <v>51</v>
      </c>
      <c r="E1871" s="16" t="s">
        <v>141</v>
      </c>
      <c r="F1871" s="16" t="s">
        <v>81</v>
      </c>
      <c r="G1871" s="22">
        <v>15</v>
      </c>
      <c r="H1871" s="18">
        <v>48.3</v>
      </c>
      <c r="I1871" s="18">
        <v>3.22</v>
      </c>
      <c r="J1871" s="18">
        <v>3.25</v>
      </c>
      <c r="K1871" s="18">
        <v>3.19</v>
      </c>
      <c r="L1871" s="22">
        <v>2</v>
      </c>
    </row>
    <row r="1872" spans="1:12">
      <c r="A1872">
        <v>2</v>
      </c>
      <c r="B1872" s="16" t="s">
        <v>56</v>
      </c>
      <c r="C1872" s="9">
        <v>45778</v>
      </c>
      <c r="D1872">
        <v>51</v>
      </c>
      <c r="E1872" s="16" t="s">
        <v>141</v>
      </c>
      <c r="F1872" s="16" t="s">
        <v>81</v>
      </c>
      <c r="G1872" s="22">
        <v>7.5</v>
      </c>
      <c r="H1872" s="18">
        <v>24.524999999999999</v>
      </c>
      <c r="I1872" s="18">
        <v>3.27</v>
      </c>
      <c r="J1872" s="18">
        <v>3.27</v>
      </c>
      <c r="K1872" s="18">
        <v>3.27</v>
      </c>
      <c r="L1872" s="22">
        <v>1</v>
      </c>
    </row>
    <row r="1873" spans="1:12">
      <c r="A1873">
        <v>2</v>
      </c>
      <c r="B1873" s="16" t="s">
        <v>56</v>
      </c>
      <c r="C1873" s="9">
        <v>45809</v>
      </c>
      <c r="D1873">
        <v>51</v>
      </c>
      <c r="E1873" s="16" t="s">
        <v>141</v>
      </c>
      <c r="F1873" s="16" t="s">
        <v>81</v>
      </c>
      <c r="G1873" s="22">
        <v>7.5</v>
      </c>
      <c r="H1873" s="18">
        <v>24.75</v>
      </c>
      <c r="I1873" s="18">
        <v>3.3</v>
      </c>
      <c r="J1873" s="18">
        <v>3.3</v>
      </c>
      <c r="K1873" s="18">
        <v>3.3</v>
      </c>
      <c r="L1873" s="22">
        <v>1</v>
      </c>
    </row>
    <row r="1874" spans="1:12">
      <c r="A1874">
        <v>2</v>
      </c>
      <c r="B1874" s="16" t="s">
        <v>56</v>
      </c>
      <c r="C1874" s="9">
        <v>45839</v>
      </c>
      <c r="D1874">
        <v>51</v>
      </c>
      <c r="E1874" s="16" t="s">
        <v>141</v>
      </c>
      <c r="F1874" s="16" t="s">
        <v>81</v>
      </c>
      <c r="G1874" s="22">
        <v>7.5</v>
      </c>
      <c r="H1874" s="18">
        <v>24</v>
      </c>
      <c r="I1874" s="18">
        <v>3.2</v>
      </c>
      <c r="J1874" s="18">
        <v>3.2</v>
      </c>
      <c r="K1874" s="18">
        <v>3.2</v>
      </c>
      <c r="L1874" s="22">
        <v>1</v>
      </c>
    </row>
    <row r="1875" spans="1:12">
      <c r="A1875">
        <v>2</v>
      </c>
      <c r="B1875" s="16" t="s">
        <v>56</v>
      </c>
      <c r="C1875" s="9">
        <v>45870</v>
      </c>
      <c r="D1875">
        <v>51</v>
      </c>
      <c r="E1875" s="16" t="s">
        <v>141</v>
      </c>
      <c r="F1875" s="16" t="s">
        <v>81</v>
      </c>
      <c r="G1875" s="22">
        <v>7.5</v>
      </c>
      <c r="H1875" s="18">
        <v>23.55</v>
      </c>
      <c r="I1875" s="18">
        <v>3.14</v>
      </c>
      <c r="J1875" s="18">
        <v>3.14</v>
      </c>
      <c r="K1875" s="18">
        <v>3.14</v>
      </c>
      <c r="L1875" s="22">
        <v>1</v>
      </c>
    </row>
    <row r="1876" spans="1:12">
      <c r="A1876">
        <v>2</v>
      </c>
      <c r="B1876" s="16" t="s">
        <v>56</v>
      </c>
      <c r="C1876" s="9">
        <v>45901</v>
      </c>
      <c r="D1876">
        <v>51</v>
      </c>
      <c r="E1876" s="16" t="s">
        <v>141</v>
      </c>
      <c r="F1876" s="16" t="s">
        <v>81</v>
      </c>
      <c r="G1876" s="22">
        <v>7.5</v>
      </c>
      <c r="H1876" s="18">
        <v>23.625</v>
      </c>
      <c r="I1876" s="18">
        <v>3.15</v>
      </c>
      <c r="J1876" s="18">
        <v>3.15</v>
      </c>
      <c r="K1876" s="18">
        <v>3.15</v>
      </c>
      <c r="L1876" s="22">
        <v>1</v>
      </c>
    </row>
    <row r="1877" spans="1:12">
      <c r="A1877">
        <v>2</v>
      </c>
      <c r="B1877" s="16" t="s">
        <v>56</v>
      </c>
      <c r="C1877" s="9">
        <v>45931</v>
      </c>
      <c r="D1877">
        <v>51</v>
      </c>
      <c r="E1877" s="16" t="s">
        <v>141</v>
      </c>
      <c r="F1877" s="16" t="s">
        <v>81</v>
      </c>
      <c r="G1877" s="22">
        <v>7.5</v>
      </c>
      <c r="H1877" s="18">
        <v>24.375</v>
      </c>
      <c r="I1877" s="18">
        <v>3.25</v>
      </c>
      <c r="J1877" s="18">
        <v>3.25</v>
      </c>
      <c r="K1877" s="18">
        <v>3.25</v>
      </c>
      <c r="L1877" s="22">
        <v>1</v>
      </c>
    </row>
    <row r="1878" spans="1:12">
      <c r="A1878">
        <v>2</v>
      </c>
      <c r="B1878" s="16" t="s">
        <v>56</v>
      </c>
      <c r="C1878" s="9">
        <v>45962</v>
      </c>
      <c r="D1878">
        <v>51</v>
      </c>
      <c r="E1878" s="16" t="s">
        <v>141</v>
      </c>
      <c r="F1878" s="16" t="s">
        <v>81</v>
      </c>
      <c r="G1878" s="22">
        <v>15</v>
      </c>
      <c r="H1878" s="18">
        <v>48.45</v>
      </c>
      <c r="I1878" s="18">
        <v>3.23</v>
      </c>
      <c r="J1878" s="18">
        <v>3.24</v>
      </c>
      <c r="K1878" s="18">
        <v>3.22</v>
      </c>
      <c r="L1878" s="22">
        <v>2</v>
      </c>
    </row>
    <row r="1879" spans="1:12">
      <c r="A1879">
        <v>2</v>
      </c>
      <c r="B1879" s="16" t="s">
        <v>56</v>
      </c>
      <c r="C1879" s="9">
        <v>45992</v>
      </c>
      <c r="D1879">
        <v>51</v>
      </c>
      <c r="E1879" s="16" t="s">
        <v>141</v>
      </c>
      <c r="F1879" s="16" t="s">
        <v>81</v>
      </c>
      <c r="G1879" s="22">
        <v>7.5</v>
      </c>
      <c r="H1879" s="18">
        <v>24.75</v>
      </c>
      <c r="I1879" s="18">
        <v>3.3</v>
      </c>
      <c r="J1879" s="18">
        <v>3.3</v>
      </c>
      <c r="K1879" s="18">
        <v>3.3</v>
      </c>
      <c r="L1879" s="22">
        <v>1</v>
      </c>
    </row>
    <row r="1880" spans="1:12">
      <c r="A1880">
        <v>2</v>
      </c>
      <c r="B1880" s="16" t="s">
        <v>56</v>
      </c>
      <c r="C1880" s="9">
        <v>46023</v>
      </c>
      <c r="D1880">
        <v>51</v>
      </c>
      <c r="E1880" s="16" t="s">
        <v>141</v>
      </c>
      <c r="F1880" s="16" t="s">
        <v>81</v>
      </c>
      <c r="G1880" s="22">
        <v>7.5</v>
      </c>
      <c r="H1880" s="18">
        <v>24.824999999999999</v>
      </c>
      <c r="I1880" s="18">
        <v>3.31</v>
      </c>
      <c r="J1880" s="18">
        <v>3.31</v>
      </c>
      <c r="K1880" s="18">
        <v>3.31</v>
      </c>
      <c r="L1880" s="22">
        <v>1</v>
      </c>
    </row>
    <row r="1881" spans="1:12">
      <c r="A1881">
        <v>2</v>
      </c>
      <c r="B1881" s="16" t="s">
        <v>56</v>
      </c>
      <c r="C1881" s="9">
        <v>46054</v>
      </c>
      <c r="D1881">
        <v>51</v>
      </c>
      <c r="E1881" s="16" t="s">
        <v>141</v>
      </c>
      <c r="F1881" s="16" t="s">
        <v>81</v>
      </c>
      <c r="G1881" s="22">
        <v>7.5</v>
      </c>
      <c r="H1881" s="18">
        <v>24.75</v>
      </c>
      <c r="I1881" s="18">
        <v>3.3</v>
      </c>
      <c r="J1881" s="18">
        <v>3.3</v>
      </c>
      <c r="K1881" s="18">
        <v>3.3</v>
      </c>
      <c r="L1881" s="22">
        <v>1</v>
      </c>
    </row>
    <row r="1882" spans="1:12">
      <c r="A1882">
        <v>2</v>
      </c>
      <c r="B1882" s="16" t="s">
        <v>56</v>
      </c>
      <c r="C1882" s="9">
        <v>46082</v>
      </c>
      <c r="D1882">
        <v>51</v>
      </c>
      <c r="E1882" s="16" t="s">
        <v>141</v>
      </c>
      <c r="F1882" s="16" t="s">
        <v>81</v>
      </c>
      <c r="G1882" s="22">
        <v>15</v>
      </c>
      <c r="H1882" s="18">
        <v>49.424999999999997</v>
      </c>
      <c r="I1882" s="18">
        <v>3.2949999999999999</v>
      </c>
      <c r="J1882" s="18">
        <v>3.33</v>
      </c>
      <c r="K1882" s="18">
        <v>3.26</v>
      </c>
      <c r="L1882" s="22">
        <v>2</v>
      </c>
    </row>
    <row r="1883" spans="1:12">
      <c r="A1883">
        <v>2</v>
      </c>
      <c r="B1883" s="16" t="s">
        <v>56</v>
      </c>
      <c r="C1883" s="9">
        <v>46113</v>
      </c>
      <c r="D1883">
        <v>51</v>
      </c>
      <c r="E1883" s="16" t="s">
        <v>141</v>
      </c>
      <c r="F1883" s="16" t="s">
        <v>81</v>
      </c>
      <c r="G1883" s="22">
        <v>7.5</v>
      </c>
      <c r="H1883" s="18">
        <v>25.125</v>
      </c>
      <c r="I1883" s="18">
        <v>3.35</v>
      </c>
      <c r="J1883" s="18">
        <v>3.35</v>
      </c>
      <c r="K1883" s="18">
        <v>3.35</v>
      </c>
      <c r="L1883" s="22">
        <v>1</v>
      </c>
    </row>
    <row r="1884" spans="1:12">
      <c r="A1884">
        <v>2</v>
      </c>
      <c r="B1884" s="16" t="s">
        <v>56</v>
      </c>
      <c r="C1884" s="9">
        <v>46143</v>
      </c>
      <c r="D1884">
        <v>51</v>
      </c>
      <c r="E1884" s="16" t="s">
        <v>141</v>
      </c>
      <c r="F1884" s="16" t="s">
        <v>81</v>
      </c>
      <c r="G1884" s="22">
        <v>7.5</v>
      </c>
      <c r="H1884" s="18">
        <v>25.274999999999999</v>
      </c>
      <c r="I1884" s="18">
        <v>3.37</v>
      </c>
      <c r="J1884" s="18">
        <v>3.37</v>
      </c>
      <c r="K1884" s="18">
        <v>3.37</v>
      </c>
      <c r="L1884" s="22">
        <v>1</v>
      </c>
    </row>
    <row r="1885" spans="1:12">
      <c r="A1885">
        <v>2</v>
      </c>
      <c r="B1885" s="16" t="s">
        <v>56</v>
      </c>
      <c r="C1885" s="9">
        <v>46174</v>
      </c>
      <c r="D1885">
        <v>51</v>
      </c>
      <c r="E1885" s="16" t="s">
        <v>141</v>
      </c>
      <c r="F1885" s="16" t="s">
        <v>81</v>
      </c>
      <c r="G1885" s="22">
        <v>7.5</v>
      </c>
      <c r="H1885" s="18">
        <v>25.35</v>
      </c>
      <c r="I1885" s="18">
        <v>3.38</v>
      </c>
      <c r="J1885" s="18">
        <v>3.38</v>
      </c>
      <c r="K1885" s="18">
        <v>3.38</v>
      </c>
      <c r="L1885" s="22">
        <v>1</v>
      </c>
    </row>
    <row r="1886" spans="1:12">
      <c r="A1886">
        <v>2</v>
      </c>
      <c r="B1886" s="16" t="s">
        <v>56</v>
      </c>
      <c r="C1886" s="9">
        <v>46204</v>
      </c>
      <c r="D1886">
        <v>51</v>
      </c>
      <c r="E1886" s="16" t="s">
        <v>141</v>
      </c>
      <c r="F1886" s="16" t="s">
        <v>81</v>
      </c>
      <c r="G1886" s="22">
        <v>7.5</v>
      </c>
      <c r="H1886" s="18">
        <v>25.65</v>
      </c>
      <c r="I1886" s="18">
        <v>3.42</v>
      </c>
      <c r="J1886" s="18">
        <v>3.42</v>
      </c>
      <c r="K1886" s="18">
        <v>3.42</v>
      </c>
      <c r="L1886" s="22">
        <v>1</v>
      </c>
    </row>
    <row r="1887" spans="1:12">
      <c r="A1887">
        <v>2</v>
      </c>
      <c r="B1887" s="16" t="s">
        <v>56</v>
      </c>
      <c r="C1887" s="9">
        <v>46235</v>
      </c>
      <c r="D1887">
        <v>51</v>
      </c>
      <c r="E1887" s="16" t="s">
        <v>141</v>
      </c>
      <c r="F1887" s="16" t="s">
        <v>81</v>
      </c>
      <c r="G1887" s="22">
        <v>7.5</v>
      </c>
      <c r="H1887" s="18">
        <v>25.95</v>
      </c>
      <c r="I1887" s="18">
        <v>3.46</v>
      </c>
      <c r="J1887" s="18">
        <v>3.46</v>
      </c>
      <c r="K1887" s="18">
        <v>3.46</v>
      </c>
      <c r="L1887" s="22">
        <v>1</v>
      </c>
    </row>
    <row r="1888" spans="1:12">
      <c r="A1888">
        <v>2</v>
      </c>
      <c r="B1888" s="16" t="s">
        <v>56</v>
      </c>
      <c r="C1888" s="9">
        <v>46266</v>
      </c>
      <c r="D1888">
        <v>51</v>
      </c>
      <c r="E1888" s="16" t="s">
        <v>141</v>
      </c>
      <c r="F1888" s="16" t="s">
        <v>81</v>
      </c>
      <c r="G1888" s="22">
        <v>7.5</v>
      </c>
      <c r="H1888" s="18">
        <v>25.5</v>
      </c>
      <c r="I1888" s="18">
        <v>3.4</v>
      </c>
      <c r="J1888" s="18">
        <v>3.4</v>
      </c>
      <c r="K1888" s="18">
        <v>3.4</v>
      </c>
      <c r="L1888" s="22">
        <v>1</v>
      </c>
    </row>
    <row r="1889" spans="1:12">
      <c r="A1889">
        <v>2</v>
      </c>
      <c r="B1889" s="16" t="s">
        <v>56</v>
      </c>
      <c r="C1889" s="9">
        <v>45689</v>
      </c>
      <c r="D1889">
        <v>52</v>
      </c>
      <c r="E1889" s="16" t="s">
        <v>142</v>
      </c>
      <c r="F1889" s="16" t="s">
        <v>108</v>
      </c>
      <c r="G1889" s="22">
        <v>12</v>
      </c>
      <c r="H1889" s="18">
        <v>13.92</v>
      </c>
      <c r="I1889" s="18">
        <v>1.1599999999999999</v>
      </c>
      <c r="J1889" s="18">
        <v>1.1599999999999999</v>
      </c>
      <c r="K1889" s="18">
        <v>1.1599999999999999</v>
      </c>
      <c r="L1889" s="22">
        <v>1</v>
      </c>
    </row>
    <row r="1890" spans="1:12">
      <c r="A1890">
        <v>2</v>
      </c>
      <c r="B1890" s="16" t="s">
        <v>56</v>
      </c>
      <c r="C1890" s="9">
        <v>45748</v>
      </c>
      <c r="D1890">
        <v>52</v>
      </c>
      <c r="E1890" s="16" t="s">
        <v>142</v>
      </c>
      <c r="F1890" s="16" t="s">
        <v>108</v>
      </c>
      <c r="G1890" s="22">
        <v>12</v>
      </c>
      <c r="H1890" s="18">
        <v>13.92</v>
      </c>
      <c r="I1890" s="18">
        <v>1.1599999999999999</v>
      </c>
      <c r="J1890" s="18">
        <v>1.1599999999999999</v>
      </c>
      <c r="K1890" s="18">
        <v>1.1599999999999999</v>
      </c>
      <c r="L1890" s="22">
        <v>1</v>
      </c>
    </row>
    <row r="1891" spans="1:12">
      <c r="A1891">
        <v>2</v>
      </c>
      <c r="B1891" s="16" t="s">
        <v>56</v>
      </c>
      <c r="C1891" s="9">
        <v>45778</v>
      </c>
      <c r="D1891">
        <v>52</v>
      </c>
      <c r="E1891" s="16" t="s">
        <v>142</v>
      </c>
      <c r="F1891" s="16" t="s">
        <v>108</v>
      </c>
      <c r="G1891" s="22">
        <v>12</v>
      </c>
      <c r="H1891" s="18">
        <v>13.68</v>
      </c>
      <c r="I1891" s="18">
        <v>1.1399999999999999</v>
      </c>
      <c r="J1891" s="18">
        <v>1.1399999999999999</v>
      </c>
      <c r="K1891" s="18">
        <v>1.1399999999999999</v>
      </c>
      <c r="L1891" s="22">
        <v>1</v>
      </c>
    </row>
    <row r="1892" spans="1:12">
      <c r="A1892">
        <v>2</v>
      </c>
      <c r="B1892" s="16" t="s">
        <v>56</v>
      </c>
      <c r="C1892" s="9">
        <v>45839</v>
      </c>
      <c r="D1892">
        <v>52</v>
      </c>
      <c r="E1892" s="16" t="s">
        <v>142</v>
      </c>
      <c r="F1892" s="16" t="s">
        <v>108</v>
      </c>
      <c r="G1892" s="22">
        <v>12</v>
      </c>
      <c r="H1892" s="18">
        <v>13.68</v>
      </c>
      <c r="I1892" s="18">
        <v>1.1399999999999999</v>
      </c>
      <c r="J1892" s="18">
        <v>1.1399999999999999</v>
      </c>
      <c r="K1892" s="18">
        <v>1.1399999999999999</v>
      </c>
      <c r="L1892" s="22">
        <v>1</v>
      </c>
    </row>
    <row r="1893" spans="1:12">
      <c r="A1893">
        <v>2</v>
      </c>
      <c r="B1893" s="16" t="s">
        <v>56</v>
      </c>
      <c r="C1893" s="9">
        <v>45901</v>
      </c>
      <c r="D1893">
        <v>52</v>
      </c>
      <c r="E1893" s="16" t="s">
        <v>142</v>
      </c>
      <c r="F1893" s="16" t="s">
        <v>108</v>
      </c>
      <c r="G1893" s="22">
        <v>12</v>
      </c>
      <c r="H1893" s="18">
        <v>14.04</v>
      </c>
      <c r="I1893" s="18">
        <v>1.17</v>
      </c>
      <c r="J1893" s="18">
        <v>1.17</v>
      </c>
      <c r="K1893" s="18">
        <v>1.17</v>
      </c>
      <c r="L1893" s="22">
        <v>1</v>
      </c>
    </row>
    <row r="1894" spans="1:12">
      <c r="A1894">
        <v>2</v>
      </c>
      <c r="B1894" s="16" t="s">
        <v>56</v>
      </c>
      <c r="C1894" s="9">
        <v>45931</v>
      </c>
      <c r="D1894">
        <v>52</v>
      </c>
      <c r="E1894" s="16" t="s">
        <v>142</v>
      </c>
      <c r="F1894" s="16" t="s">
        <v>108</v>
      </c>
      <c r="G1894" s="22">
        <v>12</v>
      </c>
      <c r="H1894" s="18">
        <v>13.8</v>
      </c>
      <c r="I1894" s="18">
        <v>1.1499999999999999</v>
      </c>
      <c r="J1894" s="18">
        <v>1.1499999999999999</v>
      </c>
      <c r="K1894" s="18">
        <v>1.1499999999999999</v>
      </c>
      <c r="L1894" s="22">
        <v>1</v>
      </c>
    </row>
    <row r="1895" spans="1:12">
      <c r="A1895">
        <v>2</v>
      </c>
      <c r="B1895" s="16" t="s">
        <v>56</v>
      </c>
      <c r="C1895" s="9">
        <v>45992</v>
      </c>
      <c r="D1895">
        <v>52</v>
      </c>
      <c r="E1895" s="16" t="s">
        <v>142</v>
      </c>
      <c r="F1895" s="16" t="s">
        <v>108</v>
      </c>
      <c r="G1895" s="22">
        <v>12</v>
      </c>
      <c r="H1895" s="18">
        <v>13.68</v>
      </c>
      <c r="I1895" s="18">
        <v>1.1399999999999999</v>
      </c>
      <c r="J1895" s="18">
        <v>1.1399999999999999</v>
      </c>
      <c r="K1895" s="18">
        <v>1.1399999999999999</v>
      </c>
      <c r="L1895" s="22">
        <v>1</v>
      </c>
    </row>
    <row r="1896" spans="1:12">
      <c r="A1896">
        <v>2</v>
      </c>
      <c r="B1896" s="16" t="s">
        <v>56</v>
      </c>
      <c r="C1896" s="9">
        <v>46054</v>
      </c>
      <c r="D1896">
        <v>52</v>
      </c>
      <c r="E1896" s="16" t="s">
        <v>142</v>
      </c>
      <c r="F1896" s="16" t="s">
        <v>108</v>
      </c>
      <c r="G1896" s="22">
        <v>12</v>
      </c>
      <c r="H1896" s="18">
        <v>13.92</v>
      </c>
      <c r="I1896" s="18">
        <v>1.1599999999999999</v>
      </c>
      <c r="J1896" s="18">
        <v>1.1599999999999999</v>
      </c>
      <c r="K1896" s="18">
        <v>1.1599999999999999</v>
      </c>
      <c r="L1896" s="22">
        <v>1</v>
      </c>
    </row>
    <row r="1897" spans="1:12">
      <c r="A1897">
        <v>2</v>
      </c>
      <c r="B1897" s="16" t="s">
        <v>56</v>
      </c>
      <c r="C1897" s="9">
        <v>46082</v>
      </c>
      <c r="D1897">
        <v>52</v>
      </c>
      <c r="E1897" s="16" t="s">
        <v>142</v>
      </c>
      <c r="F1897" s="16" t="s">
        <v>108</v>
      </c>
      <c r="G1897" s="22">
        <v>12</v>
      </c>
      <c r="H1897" s="18">
        <v>13.8</v>
      </c>
      <c r="I1897" s="18">
        <v>1.1499999999999999</v>
      </c>
      <c r="J1897" s="18">
        <v>1.1499999999999999</v>
      </c>
      <c r="K1897" s="18">
        <v>1.1499999999999999</v>
      </c>
      <c r="L1897" s="22">
        <v>1</v>
      </c>
    </row>
    <row r="1898" spans="1:12">
      <c r="A1898">
        <v>2</v>
      </c>
      <c r="B1898" s="16" t="s">
        <v>56</v>
      </c>
      <c r="C1898" s="9">
        <v>46113</v>
      </c>
      <c r="D1898">
        <v>52</v>
      </c>
      <c r="E1898" s="16" t="s">
        <v>142</v>
      </c>
      <c r="F1898" s="16" t="s">
        <v>108</v>
      </c>
      <c r="G1898" s="22">
        <v>12</v>
      </c>
      <c r="H1898" s="18">
        <v>13.8</v>
      </c>
      <c r="I1898" s="18">
        <v>1.1499999999999999</v>
      </c>
      <c r="J1898" s="18">
        <v>1.1499999999999999</v>
      </c>
      <c r="K1898" s="18">
        <v>1.1499999999999999</v>
      </c>
      <c r="L1898" s="22">
        <v>1</v>
      </c>
    </row>
    <row r="1899" spans="1:12">
      <c r="A1899">
        <v>2</v>
      </c>
      <c r="B1899" s="16" t="s">
        <v>56</v>
      </c>
      <c r="C1899" s="9">
        <v>46174</v>
      </c>
      <c r="D1899">
        <v>52</v>
      </c>
      <c r="E1899" s="16" t="s">
        <v>142</v>
      </c>
      <c r="F1899" s="16" t="s">
        <v>108</v>
      </c>
      <c r="G1899" s="22">
        <v>12</v>
      </c>
      <c r="H1899" s="18">
        <v>13.92</v>
      </c>
      <c r="I1899" s="18">
        <v>1.1599999999999999</v>
      </c>
      <c r="J1899" s="18">
        <v>1.1599999999999999</v>
      </c>
      <c r="K1899" s="18">
        <v>1.1599999999999999</v>
      </c>
      <c r="L1899" s="22">
        <v>1</v>
      </c>
    </row>
    <row r="1900" spans="1:12">
      <c r="A1900">
        <v>2</v>
      </c>
      <c r="B1900" s="16" t="s">
        <v>56</v>
      </c>
      <c r="C1900" s="9">
        <v>46235</v>
      </c>
      <c r="D1900">
        <v>52</v>
      </c>
      <c r="E1900" s="16" t="s">
        <v>142</v>
      </c>
      <c r="F1900" s="16" t="s">
        <v>108</v>
      </c>
      <c r="G1900" s="22">
        <v>12</v>
      </c>
      <c r="H1900" s="18">
        <v>13.68</v>
      </c>
      <c r="I1900" s="18">
        <v>1.1399999999999999</v>
      </c>
      <c r="J1900" s="18">
        <v>1.1399999999999999</v>
      </c>
      <c r="K1900" s="18">
        <v>1.1399999999999999</v>
      </c>
      <c r="L1900" s="22">
        <v>1</v>
      </c>
    </row>
    <row r="1901" spans="1:12">
      <c r="A1901">
        <v>2</v>
      </c>
      <c r="B1901" s="16" t="s">
        <v>56</v>
      </c>
      <c r="C1901" s="9">
        <v>45689</v>
      </c>
      <c r="D1901">
        <v>53</v>
      </c>
      <c r="E1901" s="16" t="s">
        <v>143</v>
      </c>
      <c r="F1901" s="16" t="s">
        <v>103</v>
      </c>
      <c r="G1901" s="22">
        <v>9</v>
      </c>
      <c r="H1901" s="18">
        <v>77.625</v>
      </c>
      <c r="I1901" s="18">
        <v>8.625</v>
      </c>
      <c r="J1901" s="18">
        <v>8.6300000000000008</v>
      </c>
      <c r="K1901" s="18">
        <v>8.6199999999999992</v>
      </c>
      <c r="L1901" s="22">
        <v>2</v>
      </c>
    </row>
    <row r="1902" spans="1:12">
      <c r="A1902">
        <v>2</v>
      </c>
      <c r="B1902" s="16" t="s">
        <v>56</v>
      </c>
      <c r="C1902" s="9">
        <v>45717</v>
      </c>
      <c r="D1902">
        <v>53</v>
      </c>
      <c r="E1902" s="16" t="s">
        <v>143</v>
      </c>
      <c r="F1902" s="16" t="s">
        <v>103</v>
      </c>
      <c r="G1902" s="22">
        <v>9</v>
      </c>
      <c r="H1902" s="18">
        <v>77.355000000000004</v>
      </c>
      <c r="I1902" s="18">
        <v>8.5950000000000006</v>
      </c>
      <c r="J1902" s="18">
        <v>8.64</v>
      </c>
      <c r="K1902" s="18">
        <v>8.5500000000000007</v>
      </c>
      <c r="L1902" s="22">
        <v>2</v>
      </c>
    </row>
    <row r="1903" spans="1:12">
      <c r="A1903">
        <v>2</v>
      </c>
      <c r="B1903" s="16" t="s">
        <v>56</v>
      </c>
      <c r="C1903" s="9">
        <v>45748</v>
      </c>
      <c r="D1903">
        <v>53</v>
      </c>
      <c r="E1903" s="16" t="s">
        <v>143</v>
      </c>
      <c r="F1903" s="16" t="s">
        <v>103</v>
      </c>
      <c r="G1903" s="22">
        <v>9</v>
      </c>
      <c r="H1903" s="18">
        <v>79.605000000000004</v>
      </c>
      <c r="I1903" s="18">
        <v>8.8450000000000006</v>
      </c>
      <c r="J1903" s="18">
        <v>8.9700000000000006</v>
      </c>
      <c r="K1903" s="18">
        <v>8.7200000000000006</v>
      </c>
      <c r="L1903" s="22">
        <v>2</v>
      </c>
    </row>
    <row r="1904" spans="1:12">
      <c r="A1904">
        <v>2</v>
      </c>
      <c r="B1904" s="16" t="s">
        <v>56</v>
      </c>
      <c r="C1904" s="9">
        <v>45778</v>
      </c>
      <c r="D1904">
        <v>53</v>
      </c>
      <c r="E1904" s="16" t="s">
        <v>143</v>
      </c>
      <c r="F1904" s="16" t="s">
        <v>103</v>
      </c>
      <c r="G1904" s="22">
        <v>9</v>
      </c>
      <c r="H1904" s="18">
        <v>79.155000000000001</v>
      </c>
      <c r="I1904" s="18">
        <v>8.7949999999999999</v>
      </c>
      <c r="J1904" s="18">
        <v>8.9</v>
      </c>
      <c r="K1904" s="18">
        <v>8.69</v>
      </c>
      <c r="L1904" s="22">
        <v>2</v>
      </c>
    </row>
    <row r="1905" spans="1:12">
      <c r="A1905">
        <v>2</v>
      </c>
      <c r="B1905" s="16" t="s">
        <v>56</v>
      </c>
      <c r="C1905" s="9">
        <v>45809</v>
      </c>
      <c r="D1905">
        <v>53</v>
      </c>
      <c r="E1905" s="16" t="s">
        <v>143</v>
      </c>
      <c r="F1905" s="16" t="s">
        <v>103</v>
      </c>
      <c r="G1905" s="22">
        <v>4.5</v>
      </c>
      <c r="H1905" s="18">
        <v>40.14</v>
      </c>
      <c r="I1905" s="18">
        <v>8.92</v>
      </c>
      <c r="J1905" s="18">
        <v>8.92</v>
      </c>
      <c r="K1905" s="18">
        <v>8.92</v>
      </c>
      <c r="L1905" s="22">
        <v>1</v>
      </c>
    </row>
    <row r="1906" spans="1:12">
      <c r="A1906">
        <v>2</v>
      </c>
      <c r="B1906" s="16" t="s">
        <v>56</v>
      </c>
      <c r="C1906" s="9">
        <v>45839</v>
      </c>
      <c r="D1906">
        <v>53</v>
      </c>
      <c r="E1906" s="16" t="s">
        <v>143</v>
      </c>
      <c r="F1906" s="16" t="s">
        <v>103</v>
      </c>
      <c r="G1906" s="22">
        <v>9</v>
      </c>
      <c r="H1906" s="18">
        <v>80.819999999999993</v>
      </c>
      <c r="I1906" s="18">
        <v>8.98</v>
      </c>
      <c r="J1906" s="18">
        <v>9.1199999999999992</v>
      </c>
      <c r="K1906" s="18">
        <v>8.84</v>
      </c>
      <c r="L1906" s="22">
        <v>2</v>
      </c>
    </row>
    <row r="1907" spans="1:12">
      <c r="A1907">
        <v>2</v>
      </c>
      <c r="B1907" s="16" t="s">
        <v>56</v>
      </c>
      <c r="C1907" s="9">
        <v>45870</v>
      </c>
      <c r="D1907">
        <v>53</v>
      </c>
      <c r="E1907" s="16" t="s">
        <v>143</v>
      </c>
      <c r="F1907" s="16" t="s">
        <v>103</v>
      </c>
      <c r="G1907" s="22">
        <v>9</v>
      </c>
      <c r="H1907" s="18">
        <v>82.125</v>
      </c>
      <c r="I1907" s="18">
        <v>9.125</v>
      </c>
      <c r="J1907" s="18">
        <v>9.17</v>
      </c>
      <c r="K1907" s="18">
        <v>9.08</v>
      </c>
      <c r="L1907" s="22">
        <v>2</v>
      </c>
    </row>
    <row r="1908" spans="1:12">
      <c r="A1908">
        <v>2</v>
      </c>
      <c r="B1908" s="16" t="s">
        <v>56</v>
      </c>
      <c r="C1908" s="9">
        <v>45901</v>
      </c>
      <c r="D1908">
        <v>53</v>
      </c>
      <c r="E1908" s="16" t="s">
        <v>143</v>
      </c>
      <c r="F1908" s="16" t="s">
        <v>103</v>
      </c>
      <c r="G1908" s="22">
        <v>9</v>
      </c>
      <c r="H1908" s="18">
        <v>82.394999999999996</v>
      </c>
      <c r="I1908" s="18">
        <v>9.1549999999999994</v>
      </c>
      <c r="J1908" s="18">
        <v>9.2100000000000009</v>
      </c>
      <c r="K1908" s="18">
        <v>9.1</v>
      </c>
      <c r="L1908" s="22">
        <v>2</v>
      </c>
    </row>
    <row r="1909" spans="1:12">
      <c r="A1909">
        <v>2</v>
      </c>
      <c r="B1909" s="16" t="s">
        <v>56</v>
      </c>
      <c r="C1909" s="9">
        <v>45931</v>
      </c>
      <c r="D1909">
        <v>53</v>
      </c>
      <c r="E1909" s="16" t="s">
        <v>143</v>
      </c>
      <c r="F1909" s="16" t="s">
        <v>103</v>
      </c>
      <c r="G1909" s="22">
        <v>9</v>
      </c>
      <c r="H1909" s="18">
        <v>84.06</v>
      </c>
      <c r="I1909" s="18">
        <v>9.34</v>
      </c>
      <c r="J1909" s="18">
        <v>9.52</v>
      </c>
      <c r="K1909" s="18">
        <v>9.16</v>
      </c>
      <c r="L1909" s="22">
        <v>2</v>
      </c>
    </row>
    <row r="1910" spans="1:12">
      <c r="A1910">
        <v>2</v>
      </c>
      <c r="B1910" s="16" t="s">
        <v>56</v>
      </c>
      <c r="C1910" s="9">
        <v>45962</v>
      </c>
      <c r="D1910">
        <v>53</v>
      </c>
      <c r="E1910" s="16" t="s">
        <v>143</v>
      </c>
      <c r="F1910" s="16" t="s">
        <v>103</v>
      </c>
      <c r="G1910" s="22">
        <v>4.5</v>
      </c>
      <c r="H1910" s="18">
        <v>42.57</v>
      </c>
      <c r="I1910" s="18">
        <v>9.4600000000000009</v>
      </c>
      <c r="J1910" s="18">
        <v>9.4600000000000009</v>
      </c>
      <c r="K1910" s="18">
        <v>9.4600000000000009</v>
      </c>
      <c r="L1910" s="22">
        <v>1</v>
      </c>
    </row>
    <row r="1911" spans="1:12">
      <c r="A1911">
        <v>2</v>
      </c>
      <c r="B1911" s="16" t="s">
        <v>56</v>
      </c>
      <c r="C1911" s="9">
        <v>45992</v>
      </c>
      <c r="D1911">
        <v>53</v>
      </c>
      <c r="E1911" s="16" t="s">
        <v>143</v>
      </c>
      <c r="F1911" s="16" t="s">
        <v>103</v>
      </c>
      <c r="G1911" s="22">
        <v>18</v>
      </c>
      <c r="H1911" s="18">
        <v>171.22499999999999</v>
      </c>
      <c r="I1911" s="18">
        <v>9.5124999999999993</v>
      </c>
      <c r="J1911" s="18">
        <v>9.6199999999999992</v>
      </c>
      <c r="K1911" s="18">
        <v>9.41</v>
      </c>
      <c r="L1911" s="22">
        <v>3</v>
      </c>
    </row>
    <row r="1912" spans="1:12">
      <c r="A1912">
        <v>2</v>
      </c>
      <c r="B1912" s="16" t="s">
        <v>56</v>
      </c>
      <c r="C1912" s="9">
        <v>46023</v>
      </c>
      <c r="D1912">
        <v>53</v>
      </c>
      <c r="E1912" s="16" t="s">
        <v>143</v>
      </c>
      <c r="F1912" s="16" t="s">
        <v>103</v>
      </c>
      <c r="G1912" s="22">
        <v>4.5</v>
      </c>
      <c r="H1912" s="18">
        <v>43.11</v>
      </c>
      <c r="I1912" s="18">
        <v>9.58</v>
      </c>
      <c r="J1912" s="18">
        <v>9.58</v>
      </c>
      <c r="K1912" s="18">
        <v>9.58</v>
      </c>
      <c r="L1912" s="22">
        <v>1</v>
      </c>
    </row>
    <row r="1913" spans="1:12">
      <c r="A1913">
        <v>2</v>
      </c>
      <c r="B1913" s="16" t="s">
        <v>56</v>
      </c>
      <c r="C1913" s="9">
        <v>46054</v>
      </c>
      <c r="D1913">
        <v>53</v>
      </c>
      <c r="E1913" s="16" t="s">
        <v>143</v>
      </c>
      <c r="F1913" s="16" t="s">
        <v>103</v>
      </c>
      <c r="G1913" s="22">
        <v>9</v>
      </c>
      <c r="H1913" s="18">
        <v>86.22</v>
      </c>
      <c r="I1913" s="18">
        <v>9.58</v>
      </c>
      <c r="J1913" s="18">
        <v>9.65</v>
      </c>
      <c r="K1913" s="18">
        <v>9.51</v>
      </c>
      <c r="L1913" s="22">
        <v>2</v>
      </c>
    </row>
    <row r="1914" spans="1:12">
      <c r="A1914">
        <v>2</v>
      </c>
      <c r="B1914" s="16" t="s">
        <v>56</v>
      </c>
      <c r="C1914" s="9">
        <v>46082</v>
      </c>
      <c r="D1914">
        <v>53</v>
      </c>
      <c r="E1914" s="16" t="s">
        <v>143</v>
      </c>
      <c r="F1914" s="16" t="s">
        <v>103</v>
      </c>
      <c r="G1914" s="22">
        <v>9</v>
      </c>
      <c r="H1914" s="18">
        <v>86.534999999999997</v>
      </c>
      <c r="I1914" s="18">
        <v>9.6150000000000002</v>
      </c>
      <c r="J1914" s="18">
        <v>9.65</v>
      </c>
      <c r="K1914" s="18">
        <v>9.58</v>
      </c>
      <c r="L1914" s="22">
        <v>2</v>
      </c>
    </row>
    <row r="1915" spans="1:12">
      <c r="A1915">
        <v>2</v>
      </c>
      <c r="B1915" s="16" t="s">
        <v>56</v>
      </c>
      <c r="C1915" s="9">
        <v>46113</v>
      </c>
      <c r="D1915">
        <v>53</v>
      </c>
      <c r="E1915" s="16" t="s">
        <v>143</v>
      </c>
      <c r="F1915" s="16" t="s">
        <v>103</v>
      </c>
      <c r="G1915" s="22">
        <v>9</v>
      </c>
      <c r="H1915" s="18">
        <v>85.364999999999995</v>
      </c>
      <c r="I1915" s="18">
        <v>9.4849999999999994</v>
      </c>
      <c r="J1915" s="18">
        <v>9.51</v>
      </c>
      <c r="K1915" s="18">
        <v>9.4600000000000009</v>
      </c>
      <c r="L1915" s="22">
        <v>2</v>
      </c>
    </row>
    <row r="1916" spans="1:12">
      <c r="A1916">
        <v>2</v>
      </c>
      <c r="B1916" s="16" t="s">
        <v>56</v>
      </c>
      <c r="C1916" s="9">
        <v>46143</v>
      </c>
      <c r="D1916">
        <v>53</v>
      </c>
      <c r="E1916" s="16" t="s">
        <v>143</v>
      </c>
      <c r="F1916" s="16" t="s">
        <v>103</v>
      </c>
      <c r="G1916" s="22">
        <v>9</v>
      </c>
      <c r="H1916" s="18">
        <v>85.905000000000001</v>
      </c>
      <c r="I1916" s="18">
        <v>9.5449999999999999</v>
      </c>
      <c r="J1916" s="18">
        <v>9.58</v>
      </c>
      <c r="K1916" s="18">
        <v>9.51</v>
      </c>
      <c r="L1916" s="22">
        <v>2</v>
      </c>
    </row>
    <row r="1917" spans="1:12">
      <c r="A1917">
        <v>2</v>
      </c>
      <c r="B1917" s="16" t="s">
        <v>56</v>
      </c>
      <c r="C1917" s="9">
        <v>46174</v>
      </c>
      <c r="D1917">
        <v>53</v>
      </c>
      <c r="E1917" s="16" t="s">
        <v>143</v>
      </c>
      <c r="F1917" s="16" t="s">
        <v>103</v>
      </c>
      <c r="G1917" s="22">
        <v>9</v>
      </c>
      <c r="H1917" s="18">
        <v>87.03</v>
      </c>
      <c r="I1917" s="18">
        <v>9.67</v>
      </c>
      <c r="J1917" s="18">
        <v>9.75</v>
      </c>
      <c r="K1917" s="18">
        <v>9.59</v>
      </c>
      <c r="L1917" s="22">
        <v>2</v>
      </c>
    </row>
    <row r="1918" spans="1:12">
      <c r="A1918">
        <v>2</v>
      </c>
      <c r="B1918" s="16" t="s">
        <v>56</v>
      </c>
      <c r="C1918" s="9">
        <v>46204</v>
      </c>
      <c r="D1918">
        <v>53</v>
      </c>
      <c r="E1918" s="16" t="s">
        <v>143</v>
      </c>
      <c r="F1918" s="16" t="s">
        <v>103</v>
      </c>
      <c r="G1918" s="22">
        <v>9</v>
      </c>
      <c r="H1918" s="18">
        <v>86.444999999999993</v>
      </c>
      <c r="I1918" s="18">
        <v>9.6050000000000004</v>
      </c>
      <c r="J1918" s="18">
        <v>9.65</v>
      </c>
      <c r="K1918" s="18">
        <v>9.56</v>
      </c>
      <c r="L1918" s="22">
        <v>2</v>
      </c>
    </row>
    <row r="1919" spans="1:12">
      <c r="A1919">
        <v>2</v>
      </c>
      <c r="B1919" s="16" t="s">
        <v>56</v>
      </c>
      <c r="C1919" s="9">
        <v>46235</v>
      </c>
      <c r="D1919">
        <v>53</v>
      </c>
      <c r="E1919" s="16" t="s">
        <v>143</v>
      </c>
      <c r="F1919" s="16" t="s">
        <v>103</v>
      </c>
      <c r="G1919" s="22">
        <v>9</v>
      </c>
      <c r="H1919" s="18">
        <v>86.084999999999994</v>
      </c>
      <c r="I1919" s="18">
        <v>9.5649999999999995</v>
      </c>
      <c r="J1919" s="18">
        <v>9.68</v>
      </c>
      <c r="K1919" s="18">
        <v>9.4499999999999993</v>
      </c>
      <c r="L1919" s="22">
        <v>2</v>
      </c>
    </row>
    <row r="1920" spans="1:12">
      <c r="A1920">
        <v>2</v>
      </c>
      <c r="B1920" s="16" t="s">
        <v>56</v>
      </c>
      <c r="C1920" s="9">
        <v>46266</v>
      </c>
      <c r="D1920">
        <v>53</v>
      </c>
      <c r="E1920" s="16" t="s">
        <v>143</v>
      </c>
      <c r="F1920" s="16" t="s">
        <v>103</v>
      </c>
      <c r="G1920" s="22">
        <v>4.5</v>
      </c>
      <c r="H1920" s="18">
        <v>43.155000000000001</v>
      </c>
      <c r="I1920" s="18">
        <v>9.59</v>
      </c>
      <c r="J1920" s="18">
        <v>9.59</v>
      </c>
      <c r="K1920" s="18">
        <v>9.59</v>
      </c>
      <c r="L1920" s="22">
        <v>1</v>
      </c>
    </row>
    <row r="1921" spans="1:12">
      <c r="A1921">
        <v>2</v>
      </c>
      <c r="B1921" s="16" t="s">
        <v>56</v>
      </c>
      <c r="C1921" s="9">
        <v>45689</v>
      </c>
      <c r="D1921">
        <v>54</v>
      </c>
      <c r="E1921" s="16" t="s">
        <v>144</v>
      </c>
      <c r="F1921" s="16" t="s">
        <v>103</v>
      </c>
      <c r="G1921" s="22">
        <v>2</v>
      </c>
      <c r="H1921" s="18">
        <v>21.42</v>
      </c>
      <c r="I1921" s="18">
        <v>10.71</v>
      </c>
      <c r="J1921" s="18">
        <v>10.87</v>
      </c>
      <c r="K1921" s="18">
        <v>10.55</v>
      </c>
      <c r="L1921" s="22">
        <v>2</v>
      </c>
    </row>
    <row r="1922" spans="1:12">
      <c r="A1922">
        <v>2</v>
      </c>
      <c r="B1922" s="16" t="s">
        <v>56</v>
      </c>
      <c r="C1922" s="9">
        <v>45717</v>
      </c>
      <c r="D1922">
        <v>54</v>
      </c>
      <c r="E1922" s="16" t="s">
        <v>144</v>
      </c>
      <c r="F1922" s="16" t="s">
        <v>103</v>
      </c>
      <c r="G1922" s="22">
        <v>1</v>
      </c>
      <c r="H1922" s="18">
        <v>10.84</v>
      </c>
      <c r="I1922" s="18">
        <v>10.84</v>
      </c>
      <c r="J1922" s="18">
        <v>10.84</v>
      </c>
      <c r="K1922" s="18">
        <v>10.84</v>
      </c>
      <c r="L1922" s="22">
        <v>1</v>
      </c>
    </row>
    <row r="1923" spans="1:12">
      <c r="A1923">
        <v>2</v>
      </c>
      <c r="B1923" s="16" t="s">
        <v>56</v>
      </c>
      <c r="C1923" s="9">
        <v>45748</v>
      </c>
      <c r="D1923">
        <v>54</v>
      </c>
      <c r="E1923" s="16" t="s">
        <v>144</v>
      </c>
      <c r="F1923" s="16" t="s">
        <v>103</v>
      </c>
      <c r="G1923" s="22">
        <v>1</v>
      </c>
      <c r="H1923" s="18">
        <v>11.21</v>
      </c>
      <c r="I1923" s="18">
        <v>11.21</v>
      </c>
      <c r="J1923" s="18">
        <v>11.21</v>
      </c>
      <c r="K1923" s="18">
        <v>11.21</v>
      </c>
      <c r="L1923" s="22">
        <v>1</v>
      </c>
    </row>
    <row r="1924" spans="1:12">
      <c r="A1924">
        <v>2</v>
      </c>
      <c r="B1924" s="16" t="s">
        <v>56</v>
      </c>
      <c r="C1924" s="9">
        <v>45778</v>
      </c>
      <c r="D1924">
        <v>54</v>
      </c>
      <c r="E1924" s="16" t="s">
        <v>144</v>
      </c>
      <c r="F1924" s="16" t="s">
        <v>103</v>
      </c>
      <c r="G1924" s="22">
        <v>1</v>
      </c>
      <c r="H1924" s="18">
        <v>11.15</v>
      </c>
      <c r="I1924" s="18">
        <v>11.15</v>
      </c>
      <c r="J1924" s="18">
        <v>11.15</v>
      </c>
      <c r="K1924" s="18">
        <v>11.15</v>
      </c>
      <c r="L1924" s="22">
        <v>1</v>
      </c>
    </row>
    <row r="1925" spans="1:12">
      <c r="A1925">
        <v>2</v>
      </c>
      <c r="B1925" s="16" t="s">
        <v>56</v>
      </c>
      <c r="C1925" s="9">
        <v>45809</v>
      </c>
      <c r="D1925">
        <v>54</v>
      </c>
      <c r="E1925" s="16" t="s">
        <v>144</v>
      </c>
      <c r="F1925" s="16" t="s">
        <v>103</v>
      </c>
      <c r="G1925" s="22">
        <v>1</v>
      </c>
      <c r="H1925" s="18">
        <v>11.04</v>
      </c>
      <c r="I1925" s="18">
        <v>11.04</v>
      </c>
      <c r="J1925" s="18">
        <v>11.04</v>
      </c>
      <c r="K1925" s="18">
        <v>11.04</v>
      </c>
      <c r="L1925" s="22">
        <v>1</v>
      </c>
    </row>
    <row r="1926" spans="1:12">
      <c r="A1926">
        <v>2</v>
      </c>
      <c r="B1926" s="16" t="s">
        <v>56</v>
      </c>
      <c r="C1926" s="9">
        <v>45839</v>
      </c>
      <c r="D1926">
        <v>54</v>
      </c>
      <c r="E1926" s="16" t="s">
        <v>144</v>
      </c>
      <c r="F1926" s="16" t="s">
        <v>103</v>
      </c>
      <c r="G1926" s="22">
        <v>1</v>
      </c>
      <c r="H1926" s="18">
        <v>11.29</v>
      </c>
      <c r="I1926" s="18">
        <v>11.29</v>
      </c>
      <c r="J1926" s="18">
        <v>11.29</v>
      </c>
      <c r="K1926" s="18">
        <v>11.29</v>
      </c>
      <c r="L1926" s="22">
        <v>1</v>
      </c>
    </row>
    <row r="1927" spans="1:12">
      <c r="A1927">
        <v>2</v>
      </c>
      <c r="B1927" s="16" t="s">
        <v>56</v>
      </c>
      <c r="C1927" s="9">
        <v>45870</v>
      </c>
      <c r="D1927">
        <v>54</v>
      </c>
      <c r="E1927" s="16" t="s">
        <v>144</v>
      </c>
      <c r="F1927" s="16" t="s">
        <v>103</v>
      </c>
      <c r="G1927" s="22">
        <v>1</v>
      </c>
      <c r="H1927" s="18">
        <v>11.79</v>
      </c>
      <c r="I1927" s="18">
        <v>11.79</v>
      </c>
      <c r="J1927" s="18">
        <v>11.79</v>
      </c>
      <c r="K1927" s="18">
        <v>11.79</v>
      </c>
      <c r="L1927" s="22">
        <v>1</v>
      </c>
    </row>
    <row r="1928" spans="1:12">
      <c r="A1928">
        <v>2</v>
      </c>
      <c r="B1928" s="16" t="s">
        <v>56</v>
      </c>
      <c r="C1928" s="9">
        <v>45901</v>
      </c>
      <c r="D1928">
        <v>54</v>
      </c>
      <c r="E1928" s="16" t="s">
        <v>144</v>
      </c>
      <c r="F1928" s="16" t="s">
        <v>103</v>
      </c>
      <c r="G1928" s="22">
        <v>1</v>
      </c>
      <c r="H1928" s="18">
        <v>11.3</v>
      </c>
      <c r="I1928" s="18">
        <v>11.3</v>
      </c>
      <c r="J1928" s="18">
        <v>11.3</v>
      </c>
      <c r="K1928" s="18">
        <v>11.3</v>
      </c>
      <c r="L1928" s="22">
        <v>1</v>
      </c>
    </row>
    <row r="1929" spans="1:12">
      <c r="A1929">
        <v>2</v>
      </c>
      <c r="B1929" s="16" t="s">
        <v>56</v>
      </c>
      <c r="C1929" s="9">
        <v>45931</v>
      </c>
      <c r="D1929">
        <v>54</v>
      </c>
      <c r="E1929" s="16" t="s">
        <v>144</v>
      </c>
      <c r="F1929" s="16" t="s">
        <v>103</v>
      </c>
      <c r="G1929" s="22">
        <v>1</v>
      </c>
      <c r="H1929" s="18">
        <v>11.96</v>
      </c>
      <c r="I1929" s="18">
        <v>11.96</v>
      </c>
      <c r="J1929" s="18">
        <v>11.96</v>
      </c>
      <c r="K1929" s="18">
        <v>11.96</v>
      </c>
      <c r="L1929" s="22">
        <v>1</v>
      </c>
    </row>
    <row r="1930" spans="1:12">
      <c r="A1930">
        <v>2</v>
      </c>
      <c r="B1930" s="16" t="s">
        <v>56</v>
      </c>
      <c r="C1930" s="9">
        <v>45962</v>
      </c>
      <c r="D1930">
        <v>54</v>
      </c>
      <c r="E1930" s="16" t="s">
        <v>144</v>
      </c>
      <c r="F1930" s="16" t="s">
        <v>103</v>
      </c>
      <c r="G1930" s="22">
        <v>2</v>
      </c>
      <c r="H1930" s="18">
        <v>23.74</v>
      </c>
      <c r="I1930" s="18">
        <v>11.87</v>
      </c>
      <c r="J1930" s="18">
        <v>11.9</v>
      </c>
      <c r="K1930" s="18">
        <v>11.84</v>
      </c>
      <c r="L1930" s="22">
        <v>2</v>
      </c>
    </row>
    <row r="1931" spans="1:12">
      <c r="A1931">
        <v>2</v>
      </c>
      <c r="B1931" s="16" t="s">
        <v>56</v>
      </c>
      <c r="C1931" s="9">
        <v>45992</v>
      </c>
      <c r="D1931">
        <v>54</v>
      </c>
      <c r="E1931" s="16" t="s">
        <v>144</v>
      </c>
      <c r="F1931" s="16" t="s">
        <v>103</v>
      </c>
      <c r="G1931" s="22">
        <v>1</v>
      </c>
      <c r="H1931" s="18">
        <v>11.7</v>
      </c>
      <c r="I1931" s="18">
        <v>11.7</v>
      </c>
      <c r="J1931" s="18">
        <v>11.7</v>
      </c>
      <c r="K1931" s="18">
        <v>11.7</v>
      </c>
      <c r="L1931" s="22">
        <v>1</v>
      </c>
    </row>
    <row r="1932" spans="1:12">
      <c r="A1932">
        <v>2</v>
      </c>
      <c r="B1932" s="16" t="s">
        <v>56</v>
      </c>
      <c r="C1932" s="9">
        <v>46023</v>
      </c>
      <c r="D1932">
        <v>54</v>
      </c>
      <c r="E1932" s="16" t="s">
        <v>144</v>
      </c>
      <c r="F1932" s="16" t="s">
        <v>103</v>
      </c>
      <c r="G1932" s="22">
        <v>1</v>
      </c>
      <c r="H1932" s="18">
        <v>11.94</v>
      </c>
      <c r="I1932" s="18">
        <v>11.94</v>
      </c>
      <c r="J1932" s="18">
        <v>11.94</v>
      </c>
      <c r="K1932" s="18">
        <v>11.94</v>
      </c>
      <c r="L1932" s="22">
        <v>1</v>
      </c>
    </row>
    <row r="1933" spans="1:12">
      <c r="A1933">
        <v>2</v>
      </c>
      <c r="B1933" s="16" t="s">
        <v>56</v>
      </c>
      <c r="C1933" s="9">
        <v>46054</v>
      </c>
      <c r="D1933">
        <v>54</v>
      </c>
      <c r="E1933" s="16" t="s">
        <v>144</v>
      </c>
      <c r="F1933" s="16" t="s">
        <v>103</v>
      </c>
      <c r="G1933" s="22">
        <v>1</v>
      </c>
      <c r="H1933" s="18">
        <v>12.07</v>
      </c>
      <c r="I1933" s="18">
        <v>12.07</v>
      </c>
      <c r="J1933" s="18">
        <v>12.07</v>
      </c>
      <c r="K1933" s="18">
        <v>12.07</v>
      </c>
      <c r="L1933" s="22">
        <v>1</v>
      </c>
    </row>
    <row r="1934" spans="1:12">
      <c r="A1934">
        <v>2</v>
      </c>
      <c r="B1934" s="16" t="s">
        <v>56</v>
      </c>
      <c r="C1934" s="9">
        <v>46082</v>
      </c>
      <c r="D1934">
        <v>54</v>
      </c>
      <c r="E1934" s="16" t="s">
        <v>144</v>
      </c>
      <c r="F1934" s="16" t="s">
        <v>103</v>
      </c>
      <c r="G1934" s="22">
        <v>1</v>
      </c>
      <c r="H1934" s="18">
        <v>12.31</v>
      </c>
      <c r="I1934" s="18">
        <v>12.31</v>
      </c>
      <c r="J1934" s="18">
        <v>12.31</v>
      </c>
      <c r="K1934" s="18">
        <v>12.31</v>
      </c>
      <c r="L1934" s="22">
        <v>1</v>
      </c>
    </row>
    <row r="1935" spans="1:12">
      <c r="A1935">
        <v>2</v>
      </c>
      <c r="B1935" s="16" t="s">
        <v>56</v>
      </c>
      <c r="C1935" s="9">
        <v>46113</v>
      </c>
      <c r="D1935">
        <v>54</v>
      </c>
      <c r="E1935" s="16" t="s">
        <v>144</v>
      </c>
      <c r="F1935" s="16" t="s">
        <v>103</v>
      </c>
      <c r="G1935" s="22">
        <v>2</v>
      </c>
      <c r="H1935" s="18">
        <v>24.36</v>
      </c>
      <c r="I1935" s="18">
        <v>12.18</v>
      </c>
      <c r="J1935" s="18">
        <v>12.28</v>
      </c>
      <c r="K1935" s="18">
        <v>12.08</v>
      </c>
      <c r="L1935" s="22">
        <v>2</v>
      </c>
    </row>
    <row r="1936" spans="1:12">
      <c r="A1936">
        <v>2</v>
      </c>
      <c r="B1936" s="16" t="s">
        <v>56</v>
      </c>
      <c r="C1936" s="9">
        <v>46143</v>
      </c>
      <c r="D1936">
        <v>54</v>
      </c>
      <c r="E1936" s="16" t="s">
        <v>144</v>
      </c>
      <c r="F1936" s="16" t="s">
        <v>103</v>
      </c>
      <c r="G1936" s="22">
        <v>1</v>
      </c>
      <c r="H1936" s="18">
        <v>12.19</v>
      </c>
      <c r="I1936" s="18">
        <v>12.19</v>
      </c>
      <c r="J1936" s="18">
        <v>12.19</v>
      </c>
      <c r="K1936" s="18">
        <v>12.19</v>
      </c>
      <c r="L1936" s="22">
        <v>1</v>
      </c>
    </row>
    <row r="1937" spans="1:12">
      <c r="A1937">
        <v>2</v>
      </c>
      <c r="B1937" s="16" t="s">
        <v>56</v>
      </c>
      <c r="C1937" s="9">
        <v>46174</v>
      </c>
      <c r="D1937">
        <v>54</v>
      </c>
      <c r="E1937" s="16" t="s">
        <v>144</v>
      </c>
      <c r="F1937" s="16" t="s">
        <v>103</v>
      </c>
      <c r="G1937" s="22">
        <v>1</v>
      </c>
      <c r="H1937" s="18">
        <v>12.26</v>
      </c>
      <c r="I1937" s="18">
        <v>12.26</v>
      </c>
      <c r="J1937" s="18">
        <v>12.26</v>
      </c>
      <c r="K1937" s="18">
        <v>12.26</v>
      </c>
      <c r="L1937" s="22">
        <v>1</v>
      </c>
    </row>
    <row r="1938" spans="1:12">
      <c r="A1938">
        <v>2</v>
      </c>
      <c r="B1938" s="16" t="s">
        <v>56</v>
      </c>
      <c r="C1938" s="9">
        <v>46204</v>
      </c>
      <c r="D1938">
        <v>54</v>
      </c>
      <c r="E1938" s="16" t="s">
        <v>144</v>
      </c>
      <c r="F1938" s="16" t="s">
        <v>103</v>
      </c>
      <c r="G1938" s="22">
        <v>1</v>
      </c>
      <c r="H1938" s="18">
        <v>12.19</v>
      </c>
      <c r="I1938" s="18">
        <v>12.19</v>
      </c>
      <c r="J1938" s="18">
        <v>12.19</v>
      </c>
      <c r="K1938" s="18">
        <v>12.19</v>
      </c>
      <c r="L1938" s="22">
        <v>1</v>
      </c>
    </row>
    <row r="1939" spans="1:12">
      <c r="A1939">
        <v>2</v>
      </c>
      <c r="B1939" s="16" t="s">
        <v>56</v>
      </c>
      <c r="C1939" s="9">
        <v>46266</v>
      </c>
      <c r="D1939">
        <v>54</v>
      </c>
      <c r="E1939" s="16" t="s">
        <v>144</v>
      </c>
      <c r="F1939" s="16" t="s">
        <v>103</v>
      </c>
      <c r="G1939" s="22">
        <v>2</v>
      </c>
      <c r="H1939" s="18">
        <v>25.07</v>
      </c>
      <c r="I1939" s="18">
        <v>12.535</v>
      </c>
      <c r="J1939" s="18">
        <v>12.61</v>
      </c>
      <c r="K1939" s="18">
        <v>12.46</v>
      </c>
      <c r="L1939" s="22">
        <v>2</v>
      </c>
    </row>
    <row r="1940" spans="1:12">
      <c r="A1940">
        <v>2</v>
      </c>
      <c r="B1940" s="16" t="s">
        <v>56</v>
      </c>
      <c r="C1940" s="9">
        <v>45689</v>
      </c>
      <c r="D1940">
        <v>55</v>
      </c>
      <c r="E1940" s="16" t="s">
        <v>145</v>
      </c>
      <c r="F1940" s="16" t="s">
        <v>83</v>
      </c>
      <c r="G1940" s="22">
        <v>11.5</v>
      </c>
      <c r="H1940" s="18">
        <v>63.49</v>
      </c>
      <c r="I1940" s="18">
        <v>5.5208695649999999</v>
      </c>
      <c r="J1940" s="18">
        <v>5.64</v>
      </c>
      <c r="K1940" s="18">
        <v>5.44</v>
      </c>
      <c r="L1940" s="22">
        <v>8</v>
      </c>
    </row>
    <row r="1941" spans="1:12">
      <c r="A1941">
        <v>2</v>
      </c>
      <c r="B1941" s="16" t="s">
        <v>56</v>
      </c>
      <c r="C1941" s="9">
        <v>45717</v>
      </c>
      <c r="D1941">
        <v>55</v>
      </c>
      <c r="E1941" s="16" t="s">
        <v>145</v>
      </c>
      <c r="F1941" s="16" t="s">
        <v>83</v>
      </c>
      <c r="G1941" s="22">
        <v>16</v>
      </c>
      <c r="H1941" s="18">
        <v>89.12</v>
      </c>
      <c r="I1941" s="18">
        <v>5.57</v>
      </c>
      <c r="J1941" s="18">
        <v>5.92</v>
      </c>
      <c r="K1941" s="18">
        <v>5.48</v>
      </c>
      <c r="L1941" s="22">
        <v>9</v>
      </c>
    </row>
    <row r="1942" spans="1:12">
      <c r="A1942">
        <v>2</v>
      </c>
      <c r="B1942" s="16" t="s">
        <v>56</v>
      </c>
      <c r="C1942" s="9">
        <v>45748</v>
      </c>
      <c r="D1942">
        <v>55</v>
      </c>
      <c r="E1942" s="16" t="s">
        <v>145</v>
      </c>
      <c r="F1942" s="16" t="s">
        <v>83</v>
      </c>
      <c r="G1942" s="22">
        <v>18</v>
      </c>
      <c r="H1942" s="18">
        <v>100.23</v>
      </c>
      <c r="I1942" s="18">
        <v>5.568333333</v>
      </c>
      <c r="J1942" s="18">
        <v>5.68</v>
      </c>
      <c r="K1942" s="18">
        <v>5.46</v>
      </c>
      <c r="L1942" s="22">
        <v>8</v>
      </c>
    </row>
    <row r="1943" spans="1:12">
      <c r="A1943">
        <v>2</v>
      </c>
      <c r="B1943" s="16" t="s">
        <v>56</v>
      </c>
      <c r="C1943" s="9">
        <v>45778</v>
      </c>
      <c r="D1943">
        <v>55</v>
      </c>
      <c r="E1943" s="16" t="s">
        <v>145</v>
      </c>
      <c r="F1943" s="16" t="s">
        <v>83</v>
      </c>
      <c r="G1943" s="22">
        <v>19.5</v>
      </c>
      <c r="H1943" s="18">
        <v>109.825</v>
      </c>
      <c r="I1943" s="18">
        <v>5.6320512819999999</v>
      </c>
      <c r="J1943" s="18">
        <v>5.74</v>
      </c>
      <c r="K1943" s="18">
        <v>5.49</v>
      </c>
      <c r="L1943" s="22">
        <v>9</v>
      </c>
    </row>
    <row r="1944" spans="1:12">
      <c r="A1944">
        <v>2</v>
      </c>
      <c r="B1944" s="16" t="s">
        <v>56</v>
      </c>
      <c r="C1944" s="9">
        <v>45809</v>
      </c>
      <c r="D1944">
        <v>55</v>
      </c>
      <c r="E1944" s="16" t="s">
        <v>145</v>
      </c>
      <c r="F1944" s="16" t="s">
        <v>83</v>
      </c>
      <c r="G1944" s="22">
        <v>17.5</v>
      </c>
      <c r="H1944" s="18">
        <v>98.99</v>
      </c>
      <c r="I1944" s="18">
        <v>5.6565714290000004</v>
      </c>
      <c r="J1944" s="18">
        <v>5.8</v>
      </c>
      <c r="K1944" s="18">
        <v>5.44</v>
      </c>
      <c r="L1944" s="22">
        <v>9</v>
      </c>
    </row>
    <row r="1945" spans="1:12">
      <c r="A1945">
        <v>2</v>
      </c>
      <c r="B1945" s="16" t="s">
        <v>56</v>
      </c>
      <c r="C1945" s="9">
        <v>45839</v>
      </c>
      <c r="D1945">
        <v>55</v>
      </c>
      <c r="E1945" s="16" t="s">
        <v>145</v>
      </c>
      <c r="F1945" s="16" t="s">
        <v>83</v>
      </c>
      <c r="G1945" s="22">
        <v>18.5</v>
      </c>
      <c r="H1945" s="18">
        <v>105.18</v>
      </c>
      <c r="I1945" s="18">
        <v>5.685405405</v>
      </c>
      <c r="J1945" s="18">
        <v>5.76</v>
      </c>
      <c r="K1945" s="18">
        <v>5.58</v>
      </c>
      <c r="L1945" s="22">
        <v>9</v>
      </c>
    </row>
    <row r="1946" spans="1:12">
      <c r="A1946">
        <v>2</v>
      </c>
      <c r="B1946" s="16" t="s">
        <v>56</v>
      </c>
      <c r="C1946" s="9">
        <v>45870</v>
      </c>
      <c r="D1946">
        <v>55</v>
      </c>
      <c r="E1946" s="16" t="s">
        <v>145</v>
      </c>
      <c r="F1946" s="16" t="s">
        <v>83</v>
      </c>
      <c r="G1946" s="22">
        <v>15</v>
      </c>
      <c r="H1946" s="18">
        <v>85.57</v>
      </c>
      <c r="I1946" s="18">
        <v>5.7046666669999997</v>
      </c>
      <c r="J1946" s="18">
        <v>5.77</v>
      </c>
      <c r="K1946" s="18">
        <v>5.58</v>
      </c>
      <c r="L1946" s="22">
        <v>8</v>
      </c>
    </row>
    <row r="1947" spans="1:12">
      <c r="A1947">
        <v>2</v>
      </c>
      <c r="B1947" s="16" t="s">
        <v>56</v>
      </c>
      <c r="C1947" s="9">
        <v>45901</v>
      </c>
      <c r="D1947">
        <v>55</v>
      </c>
      <c r="E1947" s="16" t="s">
        <v>145</v>
      </c>
      <c r="F1947" s="16" t="s">
        <v>83</v>
      </c>
      <c r="G1947" s="22">
        <v>18.5</v>
      </c>
      <c r="H1947" s="18">
        <v>105.45</v>
      </c>
      <c r="I1947" s="18">
        <v>5.7</v>
      </c>
      <c r="J1947" s="18">
        <v>5.85</v>
      </c>
      <c r="K1947" s="18">
        <v>5.63</v>
      </c>
      <c r="L1947" s="22">
        <v>9</v>
      </c>
    </row>
    <row r="1948" spans="1:12">
      <c r="A1948">
        <v>2</v>
      </c>
      <c r="B1948" s="16" t="s">
        <v>56</v>
      </c>
      <c r="C1948" s="9">
        <v>45931</v>
      </c>
      <c r="D1948">
        <v>55</v>
      </c>
      <c r="E1948" s="16" t="s">
        <v>145</v>
      </c>
      <c r="F1948" s="16" t="s">
        <v>83</v>
      </c>
      <c r="G1948" s="22">
        <v>20</v>
      </c>
      <c r="H1948" s="18">
        <v>113.42</v>
      </c>
      <c r="I1948" s="18">
        <v>5.6710000000000003</v>
      </c>
      <c r="J1948" s="18">
        <v>5.83</v>
      </c>
      <c r="K1948" s="18">
        <v>5.49</v>
      </c>
      <c r="L1948" s="22">
        <v>9</v>
      </c>
    </row>
    <row r="1949" spans="1:12">
      <c r="A1949">
        <v>2</v>
      </c>
      <c r="B1949" s="16" t="s">
        <v>56</v>
      </c>
      <c r="C1949" s="9">
        <v>45962</v>
      </c>
      <c r="D1949">
        <v>55</v>
      </c>
      <c r="E1949" s="16" t="s">
        <v>145</v>
      </c>
      <c r="F1949" s="16" t="s">
        <v>83</v>
      </c>
      <c r="G1949" s="22">
        <v>15.5</v>
      </c>
      <c r="H1949" s="18">
        <v>87.53</v>
      </c>
      <c r="I1949" s="18">
        <v>5.6470967740000004</v>
      </c>
      <c r="J1949" s="18">
        <v>5.71</v>
      </c>
      <c r="K1949" s="18">
        <v>5.57</v>
      </c>
      <c r="L1949" s="22">
        <v>8</v>
      </c>
    </row>
    <row r="1950" spans="1:12">
      <c r="A1950">
        <v>2</v>
      </c>
      <c r="B1950" s="16" t="s">
        <v>56</v>
      </c>
      <c r="C1950" s="9">
        <v>45992</v>
      </c>
      <c r="D1950">
        <v>55</v>
      </c>
      <c r="E1950" s="16" t="s">
        <v>145</v>
      </c>
      <c r="F1950" s="16" t="s">
        <v>83</v>
      </c>
      <c r="G1950" s="22">
        <v>19.5</v>
      </c>
      <c r="H1950" s="18">
        <v>112.03</v>
      </c>
      <c r="I1950" s="18">
        <v>5.7451282050000003</v>
      </c>
      <c r="J1950" s="18">
        <v>5.9</v>
      </c>
      <c r="K1950" s="18">
        <v>5.54</v>
      </c>
      <c r="L1950" s="22">
        <v>9</v>
      </c>
    </row>
    <row r="1951" spans="1:12">
      <c r="A1951">
        <v>2</v>
      </c>
      <c r="B1951" s="16" t="s">
        <v>56</v>
      </c>
      <c r="C1951" s="9">
        <v>46023</v>
      </c>
      <c r="D1951">
        <v>55</v>
      </c>
      <c r="E1951" s="16" t="s">
        <v>145</v>
      </c>
      <c r="F1951" s="16" t="s">
        <v>83</v>
      </c>
      <c r="G1951" s="22">
        <v>14.5</v>
      </c>
      <c r="H1951" s="18">
        <v>82.62</v>
      </c>
      <c r="I1951" s="18">
        <v>5.6979310339999998</v>
      </c>
      <c r="J1951" s="18">
        <v>5.81</v>
      </c>
      <c r="K1951" s="18">
        <v>5.62</v>
      </c>
      <c r="L1951" s="22">
        <v>9</v>
      </c>
    </row>
    <row r="1952" spans="1:12">
      <c r="A1952">
        <v>2</v>
      </c>
      <c r="B1952" s="16" t="s">
        <v>56</v>
      </c>
      <c r="C1952" s="9">
        <v>46054</v>
      </c>
      <c r="D1952">
        <v>55</v>
      </c>
      <c r="E1952" s="16" t="s">
        <v>145</v>
      </c>
      <c r="F1952" s="16" t="s">
        <v>83</v>
      </c>
      <c r="G1952" s="22">
        <v>13</v>
      </c>
      <c r="H1952" s="18">
        <v>74.924999999999997</v>
      </c>
      <c r="I1952" s="18">
        <v>5.7634615379999996</v>
      </c>
      <c r="J1952" s="18">
        <v>5.85</v>
      </c>
      <c r="K1952" s="18">
        <v>5.62</v>
      </c>
      <c r="L1952" s="22">
        <v>8</v>
      </c>
    </row>
    <row r="1953" spans="1:12">
      <c r="A1953">
        <v>2</v>
      </c>
      <c r="B1953" s="16" t="s">
        <v>56</v>
      </c>
      <c r="C1953" s="9">
        <v>46082</v>
      </c>
      <c r="D1953">
        <v>55</v>
      </c>
      <c r="E1953" s="16" t="s">
        <v>145</v>
      </c>
      <c r="F1953" s="16" t="s">
        <v>83</v>
      </c>
      <c r="G1953" s="22">
        <v>17.5</v>
      </c>
      <c r="H1953" s="18">
        <v>102.005</v>
      </c>
      <c r="I1953" s="18">
        <v>5.8288571429999996</v>
      </c>
      <c r="J1953" s="18">
        <v>5.91</v>
      </c>
      <c r="K1953" s="18">
        <v>5.74</v>
      </c>
      <c r="L1953" s="22">
        <v>9</v>
      </c>
    </row>
    <row r="1954" spans="1:12">
      <c r="A1954">
        <v>2</v>
      </c>
      <c r="B1954" s="16" t="s">
        <v>56</v>
      </c>
      <c r="C1954" s="9">
        <v>46113</v>
      </c>
      <c r="D1954">
        <v>55</v>
      </c>
      <c r="E1954" s="16" t="s">
        <v>145</v>
      </c>
      <c r="F1954" s="16" t="s">
        <v>83</v>
      </c>
      <c r="G1954" s="22">
        <v>21.5</v>
      </c>
      <c r="H1954" s="18">
        <v>124.52500000000001</v>
      </c>
      <c r="I1954" s="18">
        <v>5.7918604650000001</v>
      </c>
      <c r="J1954" s="18">
        <v>5.89</v>
      </c>
      <c r="K1954" s="18">
        <v>5.73</v>
      </c>
      <c r="L1954" s="22">
        <v>9</v>
      </c>
    </row>
    <row r="1955" spans="1:12">
      <c r="A1955">
        <v>2</v>
      </c>
      <c r="B1955" s="16" t="s">
        <v>56</v>
      </c>
      <c r="C1955" s="9">
        <v>46143</v>
      </c>
      <c r="D1955">
        <v>55</v>
      </c>
      <c r="E1955" s="16" t="s">
        <v>145</v>
      </c>
      <c r="F1955" s="16" t="s">
        <v>83</v>
      </c>
      <c r="G1955" s="22">
        <v>21</v>
      </c>
      <c r="H1955" s="18">
        <v>120.925</v>
      </c>
      <c r="I1955" s="18">
        <v>5.7583333330000004</v>
      </c>
      <c r="J1955" s="18">
        <v>5.84</v>
      </c>
      <c r="K1955" s="18">
        <v>5.69</v>
      </c>
      <c r="L1955" s="22">
        <v>8</v>
      </c>
    </row>
    <row r="1956" spans="1:12">
      <c r="A1956">
        <v>2</v>
      </c>
      <c r="B1956" s="16" t="s">
        <v>56</v>
      </c>
      <c r="C1956" s="9">
        <v>46174</v>
      </c>
      <c r="D1956">
        <v>55</v>
      </c>
      <c r="E1956" s="16" t="s">
        <v>145</v>
      </c>
      <c r="F1956" s="16" t="s">
        <v>83</v>
      </c>
      <c r="G1956" s="22">
        <v>20.5</v>
      </c>
      <c r="H1956" s="18">
        <v>118.395</v>
      </c>
      <c r="I1956" s="18">
        <v>5.7753658540000004</v>
      </c>
      <c r="J1956" s="18">
        <v>5.88</v>
      </c>
      <c r="K1956" s="18">
        <v>5.72</v>
      </c>
      <c r="L1956" s="22">
        <v>9</v>
      </c>
    </row>
    <row r="1957" spans="1:12">
      <c r="A1957">
        <v>2</v>
      </c>
      <c r="B1957" s="16" t="s">
        <v>56</v>
      </c>
      <c r="C1957" s="9">
        <v>46204</v>
      </c>
      <c r="D1957">
        <v>55</v>
      </c>
      <c r="E1957" s="16" t="s">
        <v>145</v>
      </c>
      <c r="F1957" s="16" t="s">
        <v>83</v>
      </c>
      <c r="G1957" s="22">
        <v>21</v>
      </c>
      <c r="H1957" s="18">
        <v>123.26</v>
      </c>
      <c r="I1957" s="18">
        <v>5.8695238099999996</v>
      </c>
      <c r="J1957" s="18">
        <v>6.01</v>
      </c>
      <c r="K1957" s="18">
        <v>5.64</v>
      </c>
      <c r="L1957" s="22">
        <v>9</v>
      </c>
    </row>
    <row r="1958" spans="1:12">
      <c r="A1958">
        <v>2</v>
      </c>
      <c r="B1958" s="16" t="s">
        <v>56</v>
      </c>
      <c r="C1958" s="9">
        <v>46235</v>
      </c>
      <c r="D1958">
        <v>55</v>
      </c>
      <c r="E1958" s="16" t="s">
        <v>145</v>
      </c>
      <c r="F1958" s="16" t="s">
        <v>83</v>
      </c>
      <c r="G1958" s="22">
        <v>16.5</v>
      </c>
      <c r="H1958" s="18">
        <v>98.16</v>
      </c>
      <c r="I1958" s="18">
        <v>5.9490909089999997</v>
      </c>
      <c r="J1958" s="18">
        <v>6.02</v>
      </c>
      <c r="K1958" s="18">
        <v>5.85</v>
      </c>
      <c r="L1958" s="22">
        <v>9</v>
      </c>
    </row>
    <row r="1959" spans="1:12">
      <c r="A1959">
        <v>2</v>
      </c>
      <c r="B1959" s="16" t="s">
        <v>56</v>
      </c>
      <c r="C1959" s="9">
        <v>46266</v>
      </c>
      <c r="D1959">
        <v>55</v>
      </c>
      <c r="E1959" s="16" t="s">
        <v>145</v>
      </c>
      <c r="F1959" s="16" t="s">
        <v>83</v>
      </c>
      <c r="G1959" s="22">
        <v>13.5</v>
      </c>
      <c r="H1959" s="18">
        <v>80.31</v>
      </c>
      <c r="I1959" s="18">
        <v>5.948888889</v>
      </c>
      <c r="J1959" s="18">
        <v>6.12</v>
      </c>
      <c r="K1959" s="18">
        <v>5.87</v>
      </c>
      <c r="L1959" s="22">
        <v>8</v>
      </c>
    </row>
    <row r="1960" spans="1:12">
      <c r="A1960">
        <v>2</v>
      </c>
      <c r="B1960" s="16" t="s">
        <v>56</v>
      </c>
      <c r="C1960" s="9">
        <v>45689</v>
      </c>
      <c r="D1960">
        <v>56</v>
      </c>
      <c r="E1960" s="16" t="s">
        <v>146</v>
      </c>
      <c r="F1960" s="16" t="s">
        <v>138</v>
      </c>
      <c r="G1960" s="22">
        <v>14.75</v>
      </c>
      <c r="H1960" s="18">
        <v>107.7</v>
      </c>
      <c r="I1960" s="18">
        <v>7.3016949149999997</v>
      </c>
      <c r="J1960" s="18">
        <v>7.38</v>
      </c>
      <c r="K1960" s="18">
        <v>7.09</v>
      </c>
      <c r="L1960" s="22">
        <v>8</v>
      </c>
    </row>
    <row r="1961" spans="1:12">
      <c r="A1961">
        <v>2</v>
      </c>
      <c r="B1961" s="16" t="s">
        <v>56</v>
      </c>
      <c r="C1961" s="9">
        <v>45717</v>
      </c>
      <c r="D1961">
        <v>56</v>
      </c>
      <c r="E1961" s="16" t="s">
        <v>146</v>
      </c>
      <c r="F1961" s="16" t="s">
        <v>138</v>
      </c>
      <c r="G1961" s="22">
        <v>13.75</v>
      </c>
      <c r="H1961" s="18">
        <v>100.8775</v>
      </c>
      <c r="I1961" s="18">
        <v>7.3365454550000004</v>
      </c>
      <c r="J1961" s="18">
        <v>7.92</v>
      </c>
      <c r="K1961" s="18">
        <v>7.2</v>
      </c>
      <c r="L1961" s="22">
        <v>8</v>
      </c>
    </row>
    <row r="1962" spans="1:12">
      <c r="A1962">
        <v>2</v>
      </c>
      <c r="B1962" s="16" t="s">
        <v>56</v>
      </c>
      <c r="C1962" s="9">
        <v>45748</v>
      </c>
      <c r="D1962">
        <v>56</v>
      </c>
      <c r="E1962" s="16" t="s">
        <v>146</v>
      </c>
      <c r="F1962" s="16" t="s">
        <v>138</v>
      </c>
      <c r="G1962" s="22">
        <v>21</v>
      </c>
      <c r="H1962" s="18">
        <v>154.42250000000001</v>
      </c>
      <c r="I1962" s="18">
        <v>7.3534523810000003</v>
      </c>
      <c r="J1962" s="18">
        <v>7.55</v>
      </c>
      <c r="K1962" s="18">
        <v>7.17</v>
      </c>
      <c r="L1962" s="22">
        <v>9</v>
      </c>
    </row>
    <row r="1963" spans="1:12">
      <c r="A1963">
        <v>2</v>
      </c>
      <c r="B1963" s="16" t="s">
        <v>56</v>
      </c>
      <c r="C1963" s="9">
        <v>45778</v>
      </c>
      <c r="D1963">
        <v>56</v>
      </c>
      <c r="E1963" s="16" t="s">
        <v>146</v>
      </c>
      <c r="F1963" s="16" t="s">
        <v>138</v>
      </c>
      <c r="G1963" s="22">
        <v>33</v>
      </c>
      <c r="H1963" s="18">
        <v>245.45249999999999</v>
      </c>
      <c r="I1963" s="18">
        <v>7.4379545450000002</v>
      </c>
      <c r="J1963" s="18">
        <v>7.53</v>
      </c>
      <c r="K1963" s="18">
        <v>7.36</v>
      </c>
      <c r="L1963" s="22">
        <v>9</v>
      </c>
    </row>
    <row r="1964" spans="1:12">
      <c r="A1964">
        <v>2</v>
      </c>
      <c r="B1964" s="16" t="s">
        <v>56</v>
      </c>
      <c r="C1964" s="9">
        <v>45809</v>
      </c>
      <c r="D1964">
        <v>56</v>
      </c>
      <c r="E1964" s="16" t="s">
        <v>146</v>
      </c>
      <c r="F1964" s="16" t="s">
        <v>138</v>
      </c>
      <c r="G1964" s="22">
        <v>21.5</v>
      </c>
      <c r="H1964" s="18">
        <v>159.4975</v>
      </c>
      <c r="I1964" s="18">
        <v>7.4184883719999997</v>
      </c>
      <c r="J1964" s="18">
        <v>7.58</v>
      </c>
      <c r="K1964" s="18">
        <v>7.25</v>
      </c>
      <c r="L1964" s="22">
        <v>8</v>
      </c>
    </row>
    <row r="1965" spans="1:12">
      <c r="A1965">
        <v>2</v>
      </c>
      <c r="B1965" s="16" t="s">
        <v>56</v>
      </c>
      <c r="C1965" s="9">
        <v>45839</v>
      </c>
      <c r="D1965">
        <v>56</v>
      </c>
      <c r="E1965" s="16" t="s">
        <v>146</v>
      </c>
      <c r="F1965" s="16" t="s">
        <v>138</v>
      </c>
      <c r="G1965" s="22">
        <v>25.5</v>
      </c>
      <c r="H1965" s="18">
        <v>193.3075</v>
      </c>
      <c r="I1965" s="18">
        <v>7.5806862749999997</v>
      </c>
      <c r="J1965" s="18">
        <v>7.74</v>
      </c>
      <c r="K1965" s="18">
        <v>7.4</v>
      </c>
      <c r="L1965" s="22">
        <v>10</v>
      </c>
    </row>
    <row r="1966" spans="1:12">
      <c r="A1966">
        <v>2</v>
      </c>
      <c r="B1966" s="16" t="s">
        <v>56</v>
      </c>
      <c r="C1966" s="9">
        <v>45870</v>
      </c>
      <c r="D1966">
        <v>56</v>
      </c>
      <c r="E1966" s="16" t="s">
        <v>146</v>
      </c>
      <c r="F1966" s="16" t="s">
        <v>138</v>
      </c>
      <c r="G1966" s="22">
        <v>23.25</v>
      </c>
      <c r="H1966" s="18">
        <v>178.2775</v>
      </c>
      <c r="I1966" s="18">
        <v>7.6678494620000004</v>
      </c>
      <c r="J1966" s="18">
        <v>7.9</v>
      </c>
      <c r="K1966" s="18">
        <v>7.49</v>
      </c>
      <c r="L1966" s="22">
        <v>8</v>
      </c>
    </row>
    <row r="1967" spans="1:12">
      <c r="A1967">
        <v>2</v>
      </c>
      <c r="B1967" s="16" t="s">
        <v>56</v>
      </c>
      <c r="C1967" s="9">
        <v>45901</v>
      </c>
      <c r="D1967">
        <v>56</v>
      </c>
      <c r="E1967" s="16" t="s">
        <v>146</v>
      </c>
      <c r="F1967" s="16" t="s">
        <v>138</v>
      </c>
      <c r="G1967" s="22">
        <v>26.75</v>
      </c>
      <c r="H1967" s="18">
        <v>203.58750000000001</v>
      </c>
      <c r="I1967" s="18">
        <v>7.6107476639999998</v>
      </c>
      <c r="J1967" s="18">
        <v>7.72</v>
      </c>
      <c r="K1967" s="18">
        <v>7.51</v>
      </c>
      <c r="L1967" s="22">
        <v>9</v>
      </c>
    </row>
    <row r="1968" spans="1:12">
      <c r="A1968">
        <v>2</v>
      </c>
      <c r="B1968" s="16" t="s">
        <v>56</v>
      </c>
      <c r="C1968" s="9">
        <v>45931</v>
      </c>
      <c r="D1968">
        <v>56</v>
      </c>
      <c r="E1968" s="16" t="s">
        <v>146</v>
      </c>
      <c r="F1968" s="16" t="s">
        <v>138</v>
      </c>
      <c r="G1968" s="22">
        <v>21.25</v>
      </c>
      <c r="H1968" s="18">
        <v>161.95500000000001</v>
      </c>
      <c r="I1968" s="18">
        <v>7.6214117650000004</v>
      </c>
      <c r="J1968" s="18">
        <v>7.74</v>
      </c>
      <c r="K1968" s="18">
        <v>7.53</v>
      </c>
      <c r="L1968" s="22">
        <v>9</v>
      </c>
    </row>
    <row r="1969" spans="1:12">
      <c r="A1969">
        <v>2</v>
      </c>
      <c r="B1969" s="16" t="s">
        <v>56</v>
      </c>
      <c r="C1969" s="9">
        <v>45962</v>
      </c>
      <c r="D1969">
        <v>56</v>
      </c>
      <c r="E1969" s="16" t="s">
        <v>146</v>
      </c>
      <c r="F1969" s="16" t="s">
        <v>138</v>
      </c>
      <c r="G1969" s="22">
        <v>13.75</v>
      </c>
      <c r="H1969" s="18">
        <v>109.85250000000001</v>
      </c>
      <c r="I1969" s="18">
        <v>7.9892727270000004</v>
      </c>
      <c r="J1969" s="18">
        <v>8.85</v>
      </c>
      <c r="K1969" s="18">
        <v>7.56</v>
      </c>
      <c r="L1969" s="22">
        <v>8</v>
      </c>
    </row>
    <row r="1970" spans="1:12">
      <c r="A1970">
        <v>2</v>
      </c>
      <c r="B1970" s="16" t="s">
        <v>56</v>
      </c>
      <c r="C1970" s="9">
        <v>45992</v>
      </c>
      <c r="D1970">
        <v>56</v>
      </c>
      <c r="E1970" s="16" t="s">
        <v>146</v>
      </c>
      <c r="F1970" s="16" t="s">
        <v>138</v>
      </c>
      <c r="G1970" s="22">
        <v>16.5</v>
      </c>
      <c r="H1970" s="18">
        <v>141.38249999999999</v>
      </c>
      <c r="I1970" s="18">
        <v>8.5686363639999996</v>
      </c>
      <c r="J1970" s="18">
        <v>8.66</v>
      </c>
      <c r="K1970" s="18">
        <v>8.4</v>
      </c>
      <c r="L1970" s="22">
        <v>9</v>
      </c>
    </row>
    <row r="1971" spans="1:12">
      <c r="A1971">
        <v>2</v>
      </c>
      <c r="B1971" s="16" t="s">
        <v>56</v>
      </c>
      <c r="C1971" s="9">
        <v>46023</v>
      </c>
      <c r="D1971">
        <v>56</v>
      </c>
      <c r="E1971" s="16" t="s">
        <v>146</v>
      </c>
      <c r="F1971" s="16" t="s">
        <v>138</v>
      </c>
      <c r="G1971" s="22">
        <v>8.5</v>
      </c>
      <c r="H1971" s="18">
        <v>64.992500000000007</v>
      </c>
      <c r="I1971" s="18">
        <v>7.6461764710000004</v>
      </c>
      <c r="J1971" s="18">
        <v>7.86</v>
      </c>
      <c r="K1971" s="18">
        <v>7.56</v>
      </c>
      <c r="L1971" s="22">
        <v>7</v>
      </c>
    </row>
    <row r="1972" spans="1:12">
      <c r="A1972">
        <v>2</v>
      </c>
      <c r="B1972" s="16" t="s">
        <v>56</v>
      </c>
      <c r="C1972" s="9">
        <v>46054</v>
      </c>
      <c r="D1972">
        <v>56</v>
      </c>
      <c r="E1972" s="16" t="s">
        <v>146</v>
      </c>
      <c r="F1972" s="16" t="s">
        <v>138</v>
      </c>
      <c r="G1972" s="22">
        <v>9.25</v>
      </c>
      <c r="H1972" s="18">
        <v>70.677499999999995</v>
      </c>
      <c r="I1972" s="18">
        <v>7.6408108109999997</v>
      </c>
      <c r="J1972" s="18">
        <v>7.73</v>
      </c>
      <c r="K1972" s="18">
        <v>7.56</v>
      </c>
      <c r="L1972" s="22">
        <v>8</v>
      </c>
    </row>
    <row r="1973" spans="1:12">
      <c r="A1973">
        <v>2</v>
      </c>
      <c r="B1973" s="16" t="s">
        <v>56</v>
      </c>
      <c r="C1973" s="9">
        <v>46082</v>
      </c>
      <c r="D1973">
        <v>56</v>
      </c>
      <c r="E1973" s="16" t="s">
        <v>146</v>
      </c>
      <c r="F1973" s="16" t="s">
        <v>138</v>
      </c>
      <c r="G1973" s="22">
        <v>14.75</v>
      </c>
      <c r="H1973" s="18">
        <v>114.1</v>
      </c>
      <c r="I1973" s="18">
        <v>7.7355932200000002</v>
      </c>
      <c r="J1973" s="18">
        <v>8.14</v>
      </c>
      <c r="K1973" s="18">
        <v>7.62</v>
      </c>
      <c r="L1973" s="22">
        <v>8</v>
      </c>
    </row>
    <row r="1974" spans="1:12">
      <c r="A1974">
        <v>2</v>
      </c>
      <c r="B1974" s="16" t="s">
        <v>56</v>
      </c>
      <c r="C1974" s="9">
        <v>46113</v>
      </c>
      <c r="D1974">
        <v>56</v>
      </c>
      <c r="E1974" s="16" t="s">
        <v>146</v>
      </c>
      <c r="F1974" s="16" t="s">
        <v>138</v>
      </c>
      <c r="G1974" s="22">
        <v>22.5</v>
      </c>
      <c r="H1974" s="18">
        <v>176.79750000000001</v>
      </c>
      <c r="I1974" s="18">
        <v>7.8576666670000002</v>
      </c>
      <c r="J1974" s="18">
        <v>8.0399999999999991</v>
      </c>
      <c r="K1974" s="18">
        <v>7.65</v>
      </c>
      <c r="L1974" s="22">
        <v>9</v>
      </c>
    </row>
    <row r="1975" spans="1:12">
      <c r="A1975">
        <v>2</v>
      </c>
      <c r="B1975" s="16" t="s">
        <v>56</v>
      </c>
      <c r="C1975" s="9">
        <v>46143</v>
      </c>
      <c r="D1975">
        <v>56</v>
      </c>
      <c r="E1975" s="16" t="s">
        <v>146</v>
      </c>
      <c r="F1975" s="16" t="s">
        <v>138</v>
      </c>
      <c r="G1975" s="22">
        <v>27</v>
      </c>
      <c r="H1975" s="18">
        <v>213.35249999999999</v>
      </c>
      <c r="I1975" s="18">
        <v>7.9019444439999997</v>
      </c>
      <c r="J1975" s="18">
        <v>8.02</v>
      </c>
      <c r="K1975" s="18">
        <v>7.76</v>
      </c>
      <c r="L1975" s="22">
        <v>8</v>
      </c>
    </row>
    <row r="1976" spans="1:12">
      <c r="A1976">
        <v>2</v>
      </c>
      <c r="B1976" s="16" t="s">
        <v>56</v>
      </c>
      <c r="C1976" s="9">
        <v>46174</v>
      </c>
      <c r="D1976">
        <v>56</v>
      </c>
      <c r="E1976" s="16" t="s">
        <v>146</v>
      </c>
      <c r="F1976" s="16" t="s">
        <v>138</v>
      </c>
      <c r="G1976" s="22">
        <v>28.25</v>
      </c>
      <c r="H1976" s="18">
        <v>226.3425</v>
      </c>
      <c r="I1976" s="18">
        <v>8.0121238940000001</v>
      </c>
      <c r="J1976" s="18">
        <v>8.4</v>
      </c>
      <c r="K1976" s="18">
        <v>7.83</v>
      </c>
      <c r="L1976" s="22">
        <v>9</v>
      </c>
    </row>
    <row r="1977" spans="1:12">
      <c r="A1977">
        <v>2</v>
      </c>
      <c r="B1977" s="16" t="s">
        <v>56</v>
      </c>
      <c r="C1977" s="9">
        <v>46204</v>
      </c>
      <c r="D1977">
        <v>56</v>
      </c>
      <c r="E1977" s="16" t="s">
        <v>146</v>
      </c>
      <c r="F1977" s="16" t="s">
        <v>138</v>
      </c>
      <c r="G1977" s="22">
        <v>27</v>
      </c>
      <c r="H1977" s="18">
        <v>217.1575</v>
      </c>
      <c r="I1977" s="18">
        <v>8.0428703699999993</v>
      </c>
      <c r="J1977" s="18">
        <v>8.18</v>
      </c>
      <c r="K1977" s="18">
        <v>7.86</v>
      </c>
      <c r="L1977" s="22">
        <v>9</v>
      </c>
    </row>
    <row r="1978" spans="1:12">
      <c r="A1978">
        <v>2</v>
      </c>
      <c r="B1978" s="16" t="s">
        <v>56</v>
      </c>
      <c r="C1978" s="9">
        <v>46235</v>
      </c>
      <c r="D1978">
        <v>56</v>
      </c>
      <c r="E1978" s="16" t="s">
        <v>146</v>
      </c>
      <c r="F1978" s="16" t="s">
        <v>138</v>
      </c>
      <c r="G1978" s="22">
        <v>30.25</v>
      </c>
      <c r="H1978" s="18">
        <v>245.24250000000001</v>
      </c>
      <c r="I1978" s="18">
        <v>8.1071900830000008</v>
      </c>
      <c r="J1978" s="18">
        <v>8.34</v>
      </c>
      <c r="K1978" s="18">
        <v>7.89</v>
      </c>
      <c r="L1978" s="22">
        <v>8</v>
      </c>
    </row>
    <row r="1979" spans="1:12">
      <c r="A1979">
        <v>2</v>
      </c>
      <c r="B1979" s="16" t="s">
        <v>56</v>
      </c>
      <c r="C1979" s="9">
        <v>46266</v>
      </c>
      <c r="D1979">
        <v>56</v>
      </c>
      <c r="E1979" s="16" t="s">
        <v>146</v>
      </c>
      <c r="F1979" s="16" t="s">
        <v>138</v>
      </c>
      <c r="G1979" s="22">
        <v>19.75</v>
      </c>
      <c r="H1979" s="18">
        <v>159.86250000000001</v>
      </c>
      <c r="I1979" s="18">
        <v>8.0943037970000002</v>
      </c>
      <c r="J1979" s="18">
        <v>8.2100000000000009</v>
      </c>
      <c r="K1979" s="18">
        <v>7.92</v>
      </c>
      <c r="L1979" s="22">
        <v>9</v>
      </c>
    </row>
    <row r="1980" spans="1:12">
      <c r="A1980">
        <v>3</v>
      </c>
      <c r="B1980" s="16" t="s">
        <v>58</v>
      </c>
      <c r="C1980" s="9">
        <v>45689</v>
      </c>
      <c r="D1980">
        <v>1</v>
      </c>
      <c r="E1980" s="16" t="s">
        <v>80</v>
      </c>
      <c r="F1980" s="16" t="s">
        <v>81</v>
      </c>
      <c r="G1980" s="22">
        <v>12</v>
      </c>
      <c r="H1980" s="18">
        <v>138.36000000000001</v>
      </c>
      <c r="I1980" s="18">
        <v>11.53</v>
      </c>
      <c r="J1980" s="18">
        <v>11.53</v>
      </c>
      <c r="K1980" s="18">
        <v>11.53</v>
      </c>
      <c r="L1980" s="22">
        <v>1</v>
      </c>
    </row>
    <row r="1981" spans="1:12">
      <c r="A1981">
        <v>3</v>
      </c>
      <c r="B1981" s="16" t="s">
        <v>58</v>
      </c>
      <c r="C1981" s="9">
        <v>45717</v>
      </c>
      <c r="D1981">
        <v>1</v>
      </c>
      <c r="E1981" s="16" t="s">
        <v>80</v>
      </c>
      <c r="F1981" s="16" t="s">
        <v>81</v>
      </c>
      <c r="G1981" s="22">
        <v>12</v>
      </c>
      <c r="H1981" s="18">
        <v>167.52</v>
      </c>
      <c r="I1981" s="18">
        <v>13.96</v>
      </c>
      <c r="J1981" s="18">
        <v>13.96</v>
      </c>
      <c r="K1981" s="18">
        <v>13.96</v>
      </c>
      <c r="L1981" s="22">
        <v>1</v>
      </c>
    </row>
    <row r="1982" spans="1:12">
      <c r="A1982">
        <v>3</v>
      </c>
      <c r="B1982" s="16" t="s">
        <v>58</v>
      </c>
      <c r="C1982" s="9">
        <v>45748</v>
      </c>
      <c r="D1982">
        <v>1</v>
      </c>
      <c r="E1982" s="16" t="s">
        <v>80</v>
      </c>
      <c r="F1982" s="16" t="s">
        <v>81</v>
      </c>
      <c r="G1982" s="22">
        <v>12</v>
      </c>
      <c r="H1982" s="18">
        <v>163.56</v>
      </c>
      <c r="I1982" s="18">
        <v>13.63</v>
      </c>
      <c r="J1982" s="18">
        <v>13.63</v>
      </c>
      <c r="K1982" s="18">
        <v>13.63</v>
      </c>
      <c r="L1982" s="22">
        <v>1</v>
      </c>
    </row>
    <row r="1983" spans="1:12">
      <c r="A1983">
        <v>3</v>
      </c>
      <c r="B1983" s="16" t="s">
        <v>58</v>
      </c>
      <c r="C1983" s="9">
        <v>45778</v>
      </c>
      <c r="D1983">
        <v>1</v>
      </c>
      <c r="E1983" s="16" t="s">
        <v>80</v>
      </c>
      <c r="F1983" s="16" t="s">
        <v>81</v>
      </c>
      <c r="G1983" s="22">
        <v>24</v>
      </c>
      <c r="H1983" s="18">
        <v>328.08</v>
      </c>
      <c r="I1983" s="18">
        <v>13.67</v>
      </c>
      <c r="J1983" s="18">
        <v>13.73</v>
      </c>
      <c r="K1983" s="18">
        <v>13.61</v>
      </c>
      <c r="L1983" s="22">
        <v>2</v>
      </c>
    </row>
    <row r="1984" spans="1:12">
      <c r="A1984">
        <v>3</v>
      </c>
      <c r="B1984" s="16" t="s">
        <v>58</v>
      </c>
      <c r="C1984" s="9">
        <v>45809</v>
      </c>
      <c r="D1984">
        <v>1</v>
      </c>
      <c r="E1984" s="16" t="s">
        <v>80</v>
      </c>
      <c r="F1984" s="16" t="s">
        <v>81</v>
      </c>
      <c r="G1984" s="22">
        <v>12</v>
      </c>
      <c r="H1984" s="18">
        <v>177.96</v>
      </c>
      <c r="I1984" s="18">
        <v>14.83</v>
      </c>
      <c r="J1984" s="18">
        <v>14.83</v>
      </c>
      <c r="K1984" s="18">
        <v>14.83</v>
      </c>
      <c r="L1984" s="22">
        <v>1</v>
      </c>
    </row>
    <row r="1985" spans="1:12">
      <c r="A1985">
        <v>3</v>
      </c>
      <c r="B1985" s="16" t="s">
        <v>58</v>
      </c>
      <c r="C1985" s="9">
        <v>45839</v>
      </c>
      <c r="D1985">
        <v>1</v>
      </c>
      <c r="E1985" s="16" t="s">
        <v>80</v>
      </c>
      <c r="F1985" s="16" t="s">
        <v>81</v>
      </c>
      <c r="G1985" s="22">
        <v>24</v>
      </c>
      <c r="H1985" s="18">
        <v>288.60000000000002</v>
      </c>
      <c r="I1985" s="18">
        <v>12.025</v>
      </c>
      <c r="J1985" s="18">
        <v>12.27</v>
      </c>
      <c r="K1985" s="18">
        <v>11.78</v>
      </c>
      <c r="L1985" s="22">
        <v>2</v>
      </c>
    </row>
    <row r="1986" spans="1:12">
      <c r="A1986">
        <v>3</v>
      </c>
      <c r="B1986" s="16" t="s">
        <v>58</v>
      </c>
      <c r="C1986" s="9">
        <v>45870</v>
      </c>
      <c r="D1986">
        <v>1</v>
      </c>
      <c r="E1986" s="16" t="s">
        <v>80</v>
      </c>
      <c r="F1986" s="16" t="s">
        <v>81</v>
      </c>
      <c r="G1986" s="22">
        <v>12</v>
      </c>
      <c r="H1986" s="18">
        <v>140.63999999999999</v>
      </c>
      <c r="I1986" s="18">
        <v>11.72</v>
      </c>
      <c r="J1986" s="18">
        <v>11.72</v>
      </c>
      <c r="K1986" s="18">
        <v>11.72</v>
      </c>
      <c r="L1986" s="22">
        <v>1</v>
      </c>
    </row>
    <row r="1987" spans="1:12">
      <c r="A1987">
        <v>3</v>
      </c>
      <c r="B1987" s="16" t="s">
        <v>58</v>
      </c>
      <c r="C1987" s="9">
        <v>45901</v>
      </c>
      <c r="D1987">
        <v>1</v>
      </c>
      <c r="E1987" s="16" t="s">
        <v>80</v>
      </c>
      <c r="F1987" s="16" t="s">
        <v>81</v>
      </c>
      <c r="G1987" s="22">
        <v>12</v>
      </c>
      <c r="H1987" s="18">
        <v>141</v>
      </c>
      <c r="I1987" s="18">
        <v>11.75</v>
      </c>
      <c r="J1987" s="18">
        <v>11.75</v>
      </c>
      <c r="K1987" s="18">
        <v>11.75</v>
      </c>
      <c r="L1987" s="22">
        <v>1</v>
      </c>
    </row>
    <row r="1988" spans="1:12">
      <c r="A1988">
        <v>3</v>
      </c>
      <c r="B1988" s="16" t="s">
        <v>58</v>
      </c>
      <c r="C1988" s="9">
        <v>45931</v>
      </c>
      <c r="D1988">
        <v>1</v>
      </c>
      <c r="E1988" s="16" t="s">
        <v>80</v>
      </c>
      <c r="F1988" s="16" t="s">
        <v>81</v>
      </c>
      <c r="G1988" s="22">
        <v>12</v>
      </c>
      <c r="H1988" s="18">
        <v>142.80000000000001</v>
      </c>
      <c r="I1988" s="18">
        <v>11.9</v>
      </c>
      <c r="J1988" s="18">
        <v>11.9</v>
      </c>
      <c r="K1988" s="18">
        <v>11.9</v>
      </c>
      <c r="L1988" s="22">
        <v>1</v>
      </c>
    </row>
    <row r="1989" spans="1:12">
      <c r="A1989">
        <v>3</v>
      </c>
      <c r="B1989" s="16" t="s">
        <v>58</v>
      </c>
      <c r="C1989" s="9">
        <v>45962</v>
      </c>
      <c r="D1989">
        <v>1</v>
      </c>
      <c r="E1989" s="16" t="s">
        <v>80</v>
      </c>
      <c r="F1989" s="16" t="s">
        <v>81</v>
      </c>
      <c r="G1989" s="22">
        <v>12</v>
      </c>
      <c r="H1989" s="18">
        <v>140.63999999999999</v>
      </c>
      <c r="I1989" s="18">
        <v>11.72</v>
      </c>
      <c r="J1989" s="18">
        <v>11.72</v>
      </c>
      <c r="K1989" s="18">
        <v>11.72</v>
      </c>
      <c r="L1989" s="22">
        <v>1</v>
      </c>
    </row>
    <row r="1990" spans="1:12">
      <c r="A1990">
        <v>3</v>
      </c>
      <c r="B1990" s="16" t="s">
        <v>58</v>
      </c>
      <c r="C1990" s="9">
        <v>45992</v>
      </c>
      <c r="D1990">
        <v>1</v>
      </c>
      <c r="E1990" s="16" t="s">
        <v>80</v>
      </c>
      <c r="F1990" s="16" t="s">
        <v>81</v>
      </c>
      <c r="G1990" s="22">
        <v>12</v>
      </c>
      <c r="H1990" s="18">
        <v>141.36000000000001</v>
      </c>
      <c r="I1990" s="18">
        <v>11.78</v>
      </c>
      <c r="J1990" s="18">
        <v>11.78</v>
      </c>
      <c r="K1990" s="18">
        <v>11.78</v>
      </c>
      <c r="L1990" s="22">
        <v>1</v>
      </c>
    </row>
    <row r="1991" spans="1:12">
      <c r="A1991">
        <v>3</v>
      </c>
      <c r="B1991" s="16" t="s">
        <v>58</v>
      </c>
      <c r="C1991" s="9">
        <v>46023</v>
      </c>
      <c r="D1991">
        <v>1</v>
      </c>
      <c r="E1991" s="16" t="s">
        <v>80</v>
      </c>
      <c r="F1991" s="16" t="s">
        <v>81</v>
      </c>
      <c r="G1991" s="22">
        <v>12</v>
      </c>
      <c r="H1991" s="18">
        <v>142.56</v>
      </c>
      <c r="I1991" s="18">
        <v>11.88</v>
      </c>
      <c r="J1991" s="18">
        <v>11.88</v>
      </c>
      <c r="K1991" s="18">
        <v>11.88</v>
      </c>
      <c r="L1991" s="22">
        <v>1</v>
      </c>
    </row>
    <row r="1992" spans="1:12">
      <c r="A1992">
        <v>3</v>
      </c>
      <c r="B1992" s="16" t="s">
        <v>58</v>
      </c>
      <c r="C1992" s="9">
        <v>46054</v>
      </c>
      <c r="D1992">
        <v>1</v>
      </c>
      <c r="E1992" s="16" t="s">
        <v>80</v>
      </c>
      <c r="F1992" s="16" t="s">
        <v>81</v>
      </c>
      <c r="G1992" s="22">
        <v>12</v>
      </c>
      <c r="H1992" s="18">
        <v>138.84</v>
      </c>
      <c r="I1992" s="18">
        <v>11.57</v>
      </c>
      <c r="J1992" s="18">
        <v>11.57</v>
      </c>
      <c r="K1992" s="18">
        <v>11.57</v>
      </c>
      <c r="L1992" s="22">
        <v>1</v>
      </c>
    </row>
    <row r="1993" spans="1:12">
      <c r="A1993">
        <v>3</v>
      </c>
      <c r="B1993" s="16" t="s">
        <v>58</v>
      </c>
      <c r="C1993" s="9">
        <v>46082</v>
      </c>
      <c r="D1993">
        <v>1</v>
      </c>
      <c r="E1993" s="16" t="s">
        <v>80</v>
      </c>
      <c r="F1993" s="16" t="s">
        <v>81</v>
      </c>
      <c r="G1993" s="22">
        <v>12</v>
      </c>
      <c r="H1993" s="18">
        <v>166.2</v>
      </c>
      <c r="I1993" s="18">
        <v>13.85</v>
      </c>
      <c r="J1993" s="18">
        <v>13.85</v>
      </c>
      <c r="K1993" s="18">
        <v>13.85</v>
      </c>
      <c r="L1993" s="22">
        <v>1</v>
      </c>
    </row>
    <row r="1994" spans="1:12">
      <c r="A1994">
        <v>3</v>
      </c>
      <c r="B1994" s="16" t="s">
        <v>58</v>
      </c>
      <c r="C1994" s="9">
        <v>46113</v>
      </c>
      <c r="D1994">
        <v>1</v>
      </c>
      <c r="E1994" s="16" t="s">
        <v>80</v>
      </c>
      <c r="F1994" s="16" t="s">
        <v>81</v>
      </c>
      <c r="G1994" s="22">
        <v>12</v>
      </c>
      <c r="H1994" s="18">
        <v>167.28</v>
      </c>
      <c r="I1994" s="18">
        <v>13.94</v>
      </c>
      <c r="J1994" s="18">
        <v>13.94</v>
      </c>
      <c r="K1994" s="18">
        <v>13.94</v>
      </c>
      <c r="L1994" s="22">
        <v>1</v>
      </c>
    </row>
    <row r="1995" spans="1:12">
      <c r="A1995">
        <v>3</v>
      </c>
      <c r="B1995" s="16" t="s">
        <v>58</v>
      </c>
      <c r="C1995" s="9">
        <v>46143</v>
      </c>
      <c r="D1995">
        <v>1</v>
      </c>
      <c r="E1995" s="16" t="s">
        <v>80</v>
      </c>
      <c r="F1995" s="16" t="s">
        <v>81</v>
      </c>
      <c r="G1995" s="22">
        <v>24</v>
      </c>
      <c r="H1995" s="18">
        <v>327.96</v>
      </c>
      <c r="I1995" s="18">
        <v>13.664999999999999</v>
      </c>
      <c r="J1995" s="18">
        <v>13.76</v>
      </c>
      <c r="K1995" s="18">
        <v>13.57</v>
      </c>
      <c r="L1995" s="22">
        <v>2</v>
      </c>
    </row>
    <row r="1996" spans="1:12">
      <c r="A1996">
        <v>3</v>
      </c>
      <c r="B1996" s="16" t="s">
        <v>58</v>
      </c>
      <c r="C1996" s="9">
        <v>46174</v>
      </c>
      <c r="D1996">
        <v>1</v>
      </c>
      <c r="E1996" s="16" t="s">
        <v>80</v>
      </c>
      <c r="F1996" s="16" t="s">
        <v>81</v>
      </c>
      <c r="G1996" s="22">
        <v>24</v>
      </c>
      <c r="H1996" s="18">
        <v>329.52</v>
      </c>
      <c r="I1996" s="18">
        <v>13.73</v>
      </c>
      <c r="J1996" s="18">
        <v>13.83</v>
      </c>
      <c r="K1996" s="18">
        <v>13.63</v>
      </c>
      <c r="L1996" s="22">
        <v>2</v>
      </c>
    </row>
    <row r="1997" spans="1:12">
      <c r="A1997">
        <v>3</v>
      </c>
      <c r="B1997" s="16" t="s">
        <v>58</v>
      </c>
      <c r="C1997" s="9">
        <v>46204</v>
      </c>
      <c r="D1997">
        <v>1</v>
      </c>
      <c r="E1997" s="16" t="s">
        <v>80</v>
      </c>
      <c r="F1997" s="16" t="s">
        <v>81</v>
      </c>
      <c r="G1997" s="22">
        <v>12</v>
      </c>
      <c r="H1997" s="18">
        <v>132.47999999999999</v>
      </c>
      <c r="I1997" s="18">
        <v>11.04</v>
      </c>
      <c r="J1997" s="18">
        <v>11.04</v>
      </c>
      <c r="K1997" s="18">
        <v>11.04</v>
      </c>
      <c r="L1997" s="22">
        <v>1</v>
      </c>
    </row>
    <row r="1998" spans="1:12">
      <c r="A1998">
        <v>3</v>
      </c>
      <c r="B1998" s="16" t="s">
        <v>58</v>
      </c>
      <c r="C1998" s="9">
        <v>46235</v>
      </c>
      <c r="D1998">
        <v>1</v>
      </c>
      <c r="E1998" s="16" t="s">
        <v>80</v>
      </c>
      <c r="F1998" s="16" t="s">
        <v>81</v>
      </c>
      <c r="G1998" s="22">
        <v>12</v>
      </c>
      <c r="H1998" s="18">
        <v>132.6</v>
      </c>
      <c r="I1998" s="18">
        <v>11.05</v>
      </c>
      <c r="J1998" s="18">
        <v>11.05</v>
      </c>
      <c r="K1998" s="18">
        <v>11.05</v>
      </c>
      <c r="L1998" s="22">
        <v>1</v>
      </c>
    </row>
    <row r="1999" spans="1:12">
      <c r="A1999">
        <v>3</v>
      </c>
      <c r="B1999" s="16" t="s">
        <v>58</v>
      </c>
      <c r="C1999" s="9">
        <v>46266</v>
      </c>
      <c r="D1999">
        <v>1</v>
      </c>
      <c r="E1999" s="16" t="s">
        <v>80</v>
      </c>
      <c r="F1999" s="16" t="s">
        <v>81</v>
      </c>
      <c r="G1999" s="22">
        <v>12</v>
      </c>
      <c r="H1999" s="18">
        <v>136.32</v>
      </c>
      <c r="I1999" s="18">
        <v>11.36</v>
      </c>
      <c r="J1999" s="18">
        <v>11.36</v>
      </c>
      <c r="K1999" s="18">
        <v>11.36</v>
      </c>
      <c r="L1999" s="22">
        <v>1</v>
      </c>
    </row>
    <row r="2000" spans="1:12">
      <c r="A2000">
        <v>3</v>
      </c>
      <c r="B2000" s="16" t="s">
        <v>58</v>
      </c>
      <c r="C2000" s="9">
        <v>45689</v>
      </c>
      <c r="D2000">
        <v>2</v>
      </c>
      <c r="E2000" s="16" t="s">
        <v>82</v>
      </c>
      <c r="F2000" s="16" t="s">
        <v>83</v>
      </c>
      <c r="G2000" s="22">
        <v>12.5</v>
      </c>
      <c r="H2000" s="18">
        <v>209.35</v>
      </c>
      <c r="I2000" s="18">
        <v>16.748000000000001</v>
      </c>
      <c r="J2000" s="18">
        <v>17.04</v>
      </c>
      <c r="K2000" s="18">
        <v>16.510000000000002</v>
      </c>
      <c r="L2000" s="22">
        <v>8</v>
      </c>
    </row>
    <row r="2001" spans="1:12">
      <c r="A2001">
        <v>3</v>
      </c>
      <c r="B2001" s="16" t="s">
        <v>58</v>
      </c>
      <c r="C2001" s="9">
        <v>45717</v>
      </c>
      <c r="D2001">
        <v>2</v>
      </c>
      <c r="E2001" s="16" t="s">
        <v>82</v>
      </c>
      <c r="F2001" s="16" t="s">
        <v>83</v>
      </c>
      <c r="G2001" s="22">
        <v>9.5</v>
      </c>
      <c r="H2001" s="18">
        <v>159.42500000000001</v>
      </c>
      <c r="I2001" s="18">
        <v>16.781578947</v>
      </c>
      <c r="J2001" s="18">
        <v>17.04</v>
      </c>
      <c r="K2001" s="18">
        <v>16.46</v>
      </c>
      <c r="L2001" s="22">
        <v>8</v>
      </c>
    </row>
    <row r="2002" spans="1:12">
      <c r="A2002">
        <v>3</v>
      </c>
      <c r="B2002" s="16" t="s">
        <v>58</v>
      </c>
      <c r="C2002" s="9">
        <v>45748</v>
      </c>
      <c r="D2002">
        <v>2</v>
      </c>
      <c r="E2002" s="16" t="s">
        <v>82</v>
      </c>
      <c r="F2002" s="16" t="s">
        <v>83</v>
      </c>
      <c r="G2002" s="22">
        <v>13</v>
      </c>
      <c r="H2002" s="18">
        <v>219.27500000000001</v>
      </c>
      <c r="I2002" s="18">
        <v>16.867307692000001</v>
      </c>
      <c r="J2002" s="18">
        <v>17.13</v>
      </c>
      <c r="K2002" s="18">
        <v>16.57</v>
      </c>
      <c r="L2002" s="22">
        <v>9</v>
      </c>
    </row>
    <row r="2003" spans="1:12">
      <c r="A2003">
        <v>3</v>
      </c>
      <c r="B2003" s="16" t="s">
        <v>58</v>
      </c>
      <c r="C2003" s="9">
        <v>45778</v>
      </c>
      <c r="D2003">
        <v>2</v>
      </c>
      <c r="E2003" s="16" t="s">
        <v>82</v>
      </c>
      <c r="F2003" s="16" t="s">
        <v>83</v>
      </c>
      <c r="G2003" s="22">
        <v>12.5</v>
      </c>
      <c r="H2003" s="18">
        <v>210.76</v>
      </c>
      <c r="I2003" s="18">
        <v>16.860800000000001</v>
      </c>
      <c r="J2003" s="18">
        <v>17.12</v>
      </c>
      <c r="K2003" s="18">
        <v>16.5</v>
      </c>
      <c r="L2003" s="22">
        <v>9</v>
      </c>
    </row>
    <row r="2004" spans="1:12">
      <c r="A2004">
        <v>3</v>
      </c>
      <c r="B2004" s="16" t="s">
        <v>58</v>
      </c>
      <c r="C2004" s="9">
        <v>45809</v>
      </c>
      <c r="D2004">
        <v>2</v>
      </c>
      <c r="E2004" s="16" t="s">
        <v>82</v>
      </c>
      <c r="F2004" s="16" t="s">
        <v>83</v>
      </c>
      <c r="G2004" s="22">
        <v>8.5</v>
      </c>
      <c r="H2004" s="18">
        <v>143.58000000000001</v>
      </c>
      <c r="I2004" s="18">
        <v>16.891764706</v>
      </c>
      <c r="J2004" s="18">
        <v>17.149999999999999</v>
      </c>
      <c r="K2004" s="18">
        <v>16.63</v>
      </c>
      <c r="L2004" s="22">
        <v>8</v>
      </c>
    </row>
    <row r="2005" spans="1:12">
      <c r="A2005">
        <v>3</v>
      </c>
      <c r="B2005" s="16" t="s">
        <v>58</v>
      </c>
      <c r="C2005" s="9">
        <v>45839</v>
      </c>
      <c r="D2005">
        <v>2</v>
      </c>
      <c r="E2005" s="16" t="s">
        <v>82</v>
      </c>
      <c r="F2005" s="16" t="s">
        <v>83</v>
      </c>
      <c r="G2005" s="22">
        <v>10</v>
      </c>
      <c r="H2005" s="18">
        <v>182.70500000000001</v>
      </c>
      <c r="I2005" s="18">
        <v>18.270499999999998</v>
      </c>
      <c r="J2005" s="18">
        <v>18.670000000000002</v>
      </c>
      <c r="K2005" s="18">
        <v>17.64</v>
      </c>
      <c r="L2005" s="22">
        <v>9</v>
      </c>
    </row>
    <row r="2006" spans="1:12">
      <c r="A2006">
        <v>3</v>
      </c>
      <c r="B2006" s="16" t="s">
        <v>58</v>
      </c>
      <c r="C2006" s="9">
        <v>45870</v>
      </c>
      <c r="D2006">
        <v>2</v>
      </c>
      <c r="E2006" s="16" t="s">
        <v>82</v>
      </c>
      <c r="F2006" s="16" t="s">
        <v>83</v>
      </c>
      <c r="G2006" s="22">
        <v>9.5</v>
      </c>
      <c r="H2006" s="18">
        <v>178.27</v>
      </c>
      <c r="I2006" s="18">
        <v>18.765263158</v>
      </c>
      <c r="J2006" s="18">
        <v>19.47</v>
      </c>
      <c r="K2006" s="18">
        <v>18.420000000000002</v>
      </c>
      <c r="L2006" s="22">
        <v>9</v>
      </c>
    </row>
    <row r="2007" spans="1:12">
      <c r="A2007">
        <v>3</v>
      </c>
      <c r="B2007" s="16" t="s">
        <v>58</v>
      </c>
      <c r="C2007" s="9">
        <v>45901</v>
      </c>
      <c r="D2007">
        <v>2</v>
      </c>
      <c r="E2007" s="16" t="s">
        <v>82</v>
      </c>
      <c r="F2007" s="16" t="s">
        <v>83</v>
      </c>
      <c r="G2007" s="22">
        <v>11</v>
      </c>
      <c r="H2007" s="18">
        <v>205.03</v>
      </c>
      <c r="I2007" s="18">
        <v>18.639090909</v>
      </c>
      <c r="J2007" s="18">
        <v>18.86</v>
      </c>
      <c r="K2007" s="18">
        <v>18.420000000000002</v>
      </c>
      <c r="L2007" s="22">
        <v>9</v>
      </c>
    </row>
    <row r="2008" spans="1:12">
      <c r="A2008">
        <v>3</v>
      </c>
      <c r="B2008" s="16" t="s">
        <v>58</v>
      </c>
      <c r="C2008" s="9">
        <v>45931</v>
      </c>
      <c r="D2008">
        <v>2</v>
      </c>
      <c r="E2008" s="16" t="s">
        <v>82</v>
      </c>
      <c r="F2008" s="16" t="s">
        <v>83</v>
      </c>
      <c r="G2008" s="22">
        <v>11</v>
      </c>
      <c r="H2008" s="18">
        <v>207.39</v>
      </c>
      <c r="I2008" s="18">
        <v>18.853636364</v>
      </c>
      <c r="J2008" s="18">
        <v>19.8</v>
      </c>
      <c r="K2008" s="18">
        <v>18.440000000000001</v>
      </c>
      <c r="L2008" s="22">
        <v>9</v>
      </c>
    </row>
    <row r="2009" spans="1:12">
      <c r="A2009">
        <v>3</v>
      </c>
      <c r="B2009" s="16" t="s">
        <v>58</v>
      </c>
      <c r="C2009" s="9">
        <v>45962</v>
      </c>
      <c r="D2009">
        <v>2</v>
      </c>
      <c r="E2009" s="16" t="s">
        <v>82</v>
      </c>
      <c r="F2009" s="16" t="s">
        <v>83</v>
      </c>
      <c r="G2009" s="22">
        <v>10</v>
      </c>
      <c r="H2009" s="18">
        <v>190.98500000000001</v>
      </c>
      <c r="I2009" s="18">
        <v>19.098500000000001</v>
      </c>
      <c r="J2009" s="18">
        <v>19.32</v>
      </c>
      <c r="K2009" s="18">
        <v>18.68</v>
      </c>
      <c r="L2009" s="22">
        <v>8</v>
      </c>
    </row>
    <row r="2010" spans="1:12">
      <c r="A2010">
        <v>3</v>
      </c>
      <c r="B2010" s="16" t="s">
        <v>58</v>
      </c>
      <c r="C2010" s="9">
        <v>45992</v>
      </c>
      <c r="D2010">
        <v>2</v>
      </c>
      <c r="E2010" s="16" t="s">
        <v>82</v>
      </c>
      <c r="F2010" s="16" t="s">
        <v>83</v>
      </c>
      <c r="G2010" s="22">
        <v>15</v>
      </c>
      <c r="H2010" s="18">
        <v>285.875</v>
      </c>
      <c r="I2010" s="18">
        <v>19.058333333</v>
      </c>
      <c r="J2010" s="18">
        <v>19.25</v>
      </c>
      <c r="K2010" s="18">
        <v>18.649999999999999</v>
      </c>
      <c r="L2010" s="22">
        <v>9</v>
      </c>
    </row>
    <row r="2011" spans="1:12">
      <c r="A2011">
        <v>3</v>
      </c>
      <c r="B2011" s="16" t="s">
        <v>58</v>
      </c>
      <c r="C2011" s="9">
        <v>46023</v>
      </c>
      <c r="D2011">
        <v>2</v>
      </c>
      <c r="E2011" s="16" t="s">
        <v>82</v>
      </c>
      <c r="F2011" s="16" t="s">
        <v>83</v>
      </c>
      <c r="G2011" s="22">
        <v>15</v>
      </c>
      <c r="H2011" s="18">
        <v>267.69</v>
      </c>
      <c r="I2011" s="18">
        <v>17.846</v>
      </c>
      <c r="J2011" s="18">
        <v>18.02</v>
      </c>
      <c r="K2011" s="18">
        <v>17.57</v>
      </c>
      <c r="L2011" s="22">
        <v>9</v>
      </c>
    </row>
    <row r="2012" spans="1:12">
      <c r="A2012">
        <v>3</v>
      </c>
      <c r="B2012" s="16" t="s">
        <v>58</v>
      </c>
      <c r="C2012" s="9">
        <v>46054</v>
      </c>
      <c r="D2012">
        <v>2</v>
      </c>
      <c r="E2012" s="16" t="s">
        <v>82</v>
      </c>
      <c r="F2012" s="16" t="s">
        <v>83</v>
      </c>
      <c r="G2012" s="22">
        <v>10.5</v>
      </c>
      <c r="H2012" s="18">
        <v>189</v>
      </c>
      <c r="I2012" s="18">
        <v>18</v>
      </c>
      <c r="J2012" s="18">
        <v>18.2</v>
      </c>
      <c r="K2012" s="18">
        <v>17.75</v>
      </c>
      <c r="L2012" s="22">
        <v>8</v>
      </c>
    </row>
    <row r="2013" spans="1:12">
      <c r="A2013">
        <v>3</v>
      </c>
      <c r="B2013" s="16" t="s">
        <v>58</v>
      </c>
      <c r="C2013" s="9">
        <v>46082</v>
      </c>
      <c r="D2013">
        <v>2</v>
      </c>
      <c r="E2013" s="16" t="s">
        <v>82</v>
      </c>
      <c r="F2013" s="16" t="s">
        <v>83</v>
      </c>
      <c r="G2013" s="22">
        <v>13</v>
      </c>
      <c r="H2013" s="18">
        <v>233.83500000000001</v>
      </c>
      <c r="I2013" s="18">
        <v>17.987307692000002</v>
      </c>
      <c r="J2013" s="18">
        <v>18.23</v>
      </c>
      <c r="K2013" s="18">
        <v>17.73</v>
      </c>
      <c r="L2013" s="22">
        <v>9</v>
      </c>
    </row>
    <row r="2014" spans="1:12">
      <c r="A2014">
        <v>3</v>
      </c>
      <c r="B2014" s="16" t="s">
        <v>58</v>
      </c>
      <c r="C2014" s="9">
        <v>46113</v>
      </c>
      <c r="D2014">
        <v>2</v>
      </c>
      <c r="E2014" s="16" t="s">
        <v>82</v>
      </c>
      <c r="F2014" s="16" t="s">
        <v>83</v>
      </c>
      <c r="G2014" s="22">
        <v>11.5</v>
      </c>
      <c r="H2014" s="18">
        <v>208.72499999999999</v>
      </c>
      <c r="I2014" s="18">
        <v>18.149999999999999</v>
      </c>
      <c r="J2014" s="18">
        <v>18.39</v>
      </c>
      <c r="K2014" s="18">
        <v>18.010000000000002</v>
      </c>
      <c r="L2014" s="22">
        <v>8</v>
      </c>
    </row>
    <row r="2015" spans="1:12">
      <c r="A2015">
        <v>3</v>
      </c>
      <c r="B2015" s="16" t="s">
        <v>58</v>
      </c>
      <c r="C2015" s="9">
        <v>46143</v>
      </c>
      <c r="D2015">
        <v>2</v>
      </c>
      <c r="E2015" s="16" t="s">
        <v>82</v>
      </c>
      <c r="F2015" s="16" t="s">
        <v>83</v>
      </c>
      <c r="G2015" s="22">
        <v>13</v>
      </c>
      <c r="H2015" s="18">
        <v>238.23500000000001</v>
      </c>
      <c r="I2015" s="18">
        <v>18.325769230999999</v>
      </c>
      <c r="J2015" s="18">
        <v>18.61</v>
      </c>
      <c r="K2015" s="18">
        <v>17.829999999999998</v>
      </c>
      <c r="L2015" s="22">
        <v>9</v>
      </c>
    </row>
    <row r="2016" spans="1:12">
      <c r="A2016">
        <v>3</v>
      </c>
      <c r="B2016" s="16" t="s">
        <v>58</v>
      </c>
      <c r="C2016" s="9">
        <v>46174</v>
      </c>
      <c r="D2016">
        <v>2</v>
      </c>
      <c r="E2016" s="16" t="s">
        <v>82</v>
      </c>
      <c r="F2016" s="16" t="s">
        <v>83</v>
      </c>
      <c r="G2016" s="22">
        <v>12</v>
      </c>
      <c r="H2016" s="18">
        <v>221.32499999999999</v>
      </c>
      <c r="I2016" s="18">
        <v>18.443750000000001</v>
      </c>
      <c r="J2016" s="18">
        <v>18.649999999999999</v>
      </c>
      <c r="K2016" s="18">
        <v>18.21</v>
      </c>
      <c r="L2016" s="22">
        <v>9</v>
      </c>
    </row>
    <row r="2017" spans="1:12">
      <c r="A2017">
        <v>3</v>
      </c>
      <c r="B2017" s="16" t="s">
        <v>58</v>
      </c>
      <c r="C2017" s="9">
        <v>46204</v>
      </c>
      <c r="D2017">
        <v>2</v>
      </c>
      <c r="E2017" s="16" t="s">
        <v>82</v>
      </c>
      <c r="F2017" s="16" t="s">
        <v>83</v>
      </c>
      <c r="G2017" s="22">
        <v>11</v>
      </c>
      <c r="H2017" s="18">
        <v>216.89500000000001</v>
      </c>
      <c r="I2017" s="18">
        <v>19.717727273000001</v>
      </c>
      <c r="J2017" s="18">
        <v>19.96</v>
      </c>
      <c r="K2017" s="18">
        <v>19.16</v>
      </c>
      <c r="L2017" s="22">
        <v>9</v>
      </c>
    </row>
    <row r="2018" spans="1:12">
      <c r="A2018">
        <v>3</v>
      </c>
      <c r="B2018" s="16" t="s">
        <v>58</v>
      </c>
      <c r="C2018" s="9">
        <v>46235</v>
      </c>
      <c r="D2018">
        <v>2</v>
      </c>
      <c r="E2018" s="16" t="s">
        <v>82</v>
      </c>
      <c r="F2018" s="16" t="s">
        <v>83</v>
      </c>
      <c r="G2018" s="22">
        <v>9.5</v>
      </c>
      <c r="H2018" s="18">
        <v>187.125</v>
      </c>
      <c r="I2018" s="18">
        <v>19.697368421</v>
      </c>
      <c r="J2018" s="18">
        <v>20.07</v>
      </c>
      <c r="K2018" s="18">
        <v>19.329999999999998</v>
      </c>
      <c r="L2018" s="22">
        <v>8</v>
      </c>
    </row>
    <row r="2019" spans="1:12">
      <c r="A2019">
        <v>3</v>
      </c>
      <c r="B2019" s="16" t="s">
        <v>58</v>
      </c>
      <c r="C2019" s="9">
        <v>46266</v>
      </c>
      <c r="D2019">
        <v>2</v>
      </c>
      <c r="E2019" s="16" t="s">
        <v>82</v>
      </c>
      <c r="F2019" s="16" t="s">
        <v>83</v>
      </c>
      <c r="G2019" s="22">
        <v>10</v>
      </c>
      <c r="H2019" s="18">
        <v>197.96</v>
      </c>
      <c r="I2019" s="18">
        <v>19.795999999999999</v>
      </c>
      <c r="J2019" s="18">
        <v>20.07</v>
      </c>
      <c r="K2019" s="18">
        <v>19.63</v>
      </c>
      <c r="L2019" s="22">
        <v>9</v>
      </c>
    </row>
    <row r="2020" spans="1:12">
      <c r="A2020">
        <v>3</v>
      </c>
      <c r="B2020" s="16" t="s">
        <v>58</v>
      </c>
      <c r="C2020" s="9">
        <v>45689</v>
      </c>
      <c r="D2020">
        <v>3</v>
      </c>
      <c r="E2020" s="16" t="s">
        <v>84</v>
      </c>
      <c r="F2020" s="16" t="s">
        <v>85</v>
      </c>
      <c r="G2020" s="22">
        <v>150</v>
      </c>
      <c r="H2020" s="18">
        <v>97.5</v>
      </c>
      <c r="I2020" s="18">
        <v>0.65</v>
      </c>
      <c r="J2020" s="18">
        <v>0.65</v>
      </c>
      <c r="K2020" s="18">
        <v>0.65</v>
      </c>
      <c r="L2020" s="22">
        <v>2</v>
      </c>
    </row>
    <row r="2021" spans="1:12">
      <c r="A2021">
        <v>3</v>
      </c>
      <c r="B2021" s="16" t="s">
        <v>58</v>
      </c>
      <c r="C2021" s="9">
        <v>45717</v>
      </c>
      <c r="D2021">
        <v>3</v>
      </c>
      <c r="E2021" s="16" t="s">
        <v>84</v>
      </c>
      <c r="F2021" s="16" t="s">
        <v>85</v>
      </c>
      <c r="G2021" s="22">
        <v>150</v>
      </c>
      <c r="H2021" s="18">
        <v>97</v>
      </c>
      <c r="I2021" s="18">
        <v>0.64666666699999997</v>
      </c>
      <c r="J2021" s="18">
        <v>0.66</v>
      </c>
      <c r="K2021" s="18">
        <v>0.64</v>
      </c>
      <c r="L2021" s="22">
        <v>2</v>
      </c>
    </row>
    <row r="2022" spans="1:12">
      <c r="A2022">
        <v>3</v>
      </c>
      <c r="B2022" s="16" t="s">
        <v>58</v>
      </c>
      <c r="C2022" s="9">
        <v>45748</v>
      </c>
      <c r="D2022">
        <v>3</v>
      </c>
      <c r="E2022" s="16" t="s">
        <v>84</v>
      </c>
      <c r="F2022" s="16" t="s">
        <v>85</v>
      </c>
      <c r="G2022" s="22">
        <v>150</v>
      </c>
      <c r="H2022" s="18">
        <v>96.5</v>
      </c>
      <c r="I2022" s="18">
        <v>0.64333333299999995</v>
      </c>
      <c r="J2022" s="18">
        <v>0.65</v>
      </c>
      <c r="K2022" s="18">
        <v>0.64</v>
      </c>
      <c r="L2022" s="22">
        <v>2</v>
      </c>
    </row>
    <row r="2023" spans="1:12">
      <c r="A2023">
        <v>3</v>
      </c>
      <c r="B2023" s="16" t="s">
        <v>58</v>
      </c>
      <c r="C2023" s="9">
        <v>45778</v>
      </c>
      <c r="D2023">
        <v>3</v>
      </c>
      <c r="E2023" s="16" t="s">
        <v>84</v>
      </c>
      <c r="F2023" s="16" t="s">
        <v>85</v>
      </c>
      <c r="G2023" s="22">
        <v>150</v>
      </c>
      <c r="H2023" s="18">
        <v>99</v>
      </c>
      <c r="I2023" s="18">
        <v>0.66</v>
      </c>
      <c r="J2023" s="18">
        <v>0.66</v>
      </c>
      <c r="K2023" s="18">
        <v>0.66</v>
      </c>
      <c r="L2023" s="22">
        <v>2</v>
      </c>
    </row>
    <row r="2024" spans="1:12">
      <c r="A2024">
        <v>3</v>
      </c>
      <c r="B2024" s="16" t="s">
        <v>58</v>
      </c>
      <c r="C2024" s="9">
        <v>45809</v>
      </c>
      <c r="D2024">
        <v>3</v>
      </c>
      <c r="E2024" s="16" t="s">
        <v>84</v>
      </c>
      <c r="F2024" s="16" t="s">
        <v>85</v>
      </c>
      <c r="G2024" s="22">
        <v>150</v>
      </c>
      <c r="H2024" s="18">
        <v>97.5</v>
      </c>
      <c r="I2024" s="18">
        <v>0.65</v>
      </c>
      <c r="J2024" s="18">
        <v>0.65</v>
      </c>
      <c r="K2024" s="18">
        <v>0.65</v>
      </c>
      <c r="L2024" s="22">
        <v>2</v>
      </c>
    </row>
    <row r="2025" spans="1:12">
      <c r="A2025">
        <v>3</v>
      </c>
      <c r="B2025" s="16" t="s">
        <v>58</v>
      </c>
      <c r="C2025" s="9">
        <v>45839</v>
      </c>
      <c r="D2025">
        <v>3</v>
      </c>
      <c r="E2025" s="16" t="s">
        <v>84</v>
      </c>
      <c r="F2025" s="16" t="s">
        <v>85</v>
      </c>
      <c r="G2025" s="22">
        <v>200</v>
      </c>
      <c r="H2025" s="18">
        <v>127</v>
      </c>
      <c r="I2025" s="18">
        <v>0.63500000000000001</v>
      </c>
      <c r="J2025" s="18">
        <v>0.65</v>
      </c>
      <c r="K2025" s="18">
        <v>0.63</v>
      </c>
      <c r="L2025" s="22">
        <v>3</v>
      </c>
    </row>
    <row r="2026" spans="1:12">
      <c r="A2026">
        <v>3</v>
      </c>
      <c r="B2026" s="16" t="s">
        <v>58</v>
      </c>
      <c r="C2026" s="9">
        <v>45870</v>
      </c>
      <c r="D2026">
        <v>3</v>
      </c>
      <c r="E2026" s="16" t="s">
        <v>84</v>
      </c>
      <c r="F2026" s="16" t="s">
        <v>85</v>
      </c>
      <c r="G2026" s="22">
        <v>100</v>
      </c>
      <c r="H2026" s="18">
        <v>64.5</v>
      </c>
      <c r="I2026" s="18">
        <v>0.64500000000000002</v>
      </c>
      <c r="J2026" s="18">
        <v>0.65</v>
      </c>
      <c r="K2026" s="18">
        <v>0.64</v>
      </c>
      <c r="L2026" s="22">
        <v>2</v>
      </c>
    </row>
    <row r="2027" spans="1:12">
      <c r="A2027">
        <v>3</v>
      </c>
      <c r="B2027" s="16" t="s">
        <v>58</v>
      </c>
      <c r="C2027" s="9">
        <v>45901</v>
      </c>
      <c r="D2027">
        <v>3</v>
      </c>
      <c r="E2027" s="16" t="s">
        <v>84</v>
      </c>
      <c r="F2027" s="16" t="s">
        <v>85</v>
      </c>
      <c r="G2027" s="22">
        <v>150</v>
      </c>
      <c r="H2027" s="18">
        <v>96.5</v>
      </c>
      <c r="I2027" s="18">
        <v>0.64333333299999995</v>
      </c>
      <c r="J2027" s="18">
        <v>0.65</v>
      </c>
      <c r="K2027" s="18">
        <v>0.64</v>
      </c>
      <c r="L2027" s="22">
        <v>2</v>
      </c>
    </row>
    <row r="2028" spans="1:12">
      <c r="A2028">
        <v>3</v>
      </c>
      <c r="B2028" s="16" t="s">
        <v>58</v>
      </c>
      <c r="C2028" s="9">
        <v>45931</v>
      </c>
      <c r="D2028">
        <v>3</v>
      </c>
      <c r="E2028" s="16" t="s">
        <v>84</v>
      </c>
      <c r="F2028" s="16" t="s">
        <v>85</v>
      </c>
      <c r="G2028" s="22">
        <v>100</v>
      </c>
      <c r="H2028" s="18">
        <v>66</v>
      </c>
      <c r="I2028" s="18">
        <v>0.66</v>
      </c>
      <c r="J2028" s="18">
        <v>0.67</v>
      </c>
      <c r="K2028" s="18">
        <v>0.65</v>
      </c>
      <c r="L2028" s="22">
        <v>2</v>
      </c>
    </row>
    <row r="2029" spans="1:12">
      <c r="A2029">
        <v>3</v>
      </c>
      <c r="B2029" s="16" t="s">
        <v>58</v>
      </c>
      <c r="C2029" s="9">
        <v>45962</v>
      </c>
      <c r="D2029">
        <v>3</v>
      </c>
      <c r="E2029" s="16" t="s">
        <v>84</v>
      </c>
      <c r="F2029" s="16" t="s">
        <v>85</v>
      </c>
      <c r="G2029" s="22">
        <v>150</v>
      </c>
      <c r="H2029" s="18">
        <v>101</v>
      </c>
      <c r="I2029" s="18">
        <v>0.67333333299999998</v>
      </c>
      <c r="J2029" s="18">
        <v>0.68</v>
      </c>
      <c r="K2029" s="18">
        <v>0.67</v>
      </c>
      <c r="L2029" s="22">
        <v>2</v>
      </c>
    </row>
    <row r="2030" spans="1:12">
      <c r="A2030">
        <v>3</v>
      </c>
      <c r="B2030" s="16" t="s">
        <v>58</v>
      </c>
      <c r="C2030" s="9">
        <v>45992</v>
      </c>
      <c r="D2030">
        <v>3</v>
      </c>
      <c r="E2030" s="16" t="s">
        <v>84</v>
      </c>
      <c r="F2030" s="16" t="s">
        <v>85</v>
      </c>
      <c r="G2030" s="22">
        <v>250</v>
      </c>
      <c r="H2030" s="18">
        <v>168</v>
      </c>
      <c r="I2030" s="18">
        <v>0.67200000000000004</v>
      </c>
      <c r="J2030" s="18">
        <v>0.68</v>
      </c>
      <c r="K2030" s="18">
        <v>0.66</v>
      </c>
      <c r="L2030" s="22">
        <v>3</v>
      </c>
    </row>
    <row r="2031" spans="1:12">
      <c r="A2031">
        <v>3</v>
      </c>
      <c r="B2031" s="16" t="s">
        <v>58</v>
      </c>
      <c r="C2031" s="9">
        <v>46023</v>
      </c>
      <c r="D2031">
        <v>3</v>
      </c>
      <c r="E2031" s="16" t="s">
        <v>84</v>
      </c>
      <c r="F2031" s="16" t="s">
        <v>85</v>
      </c>
      <c r="G2031" s="22">
        <v>150</v>
      </c>
      <c r="H2031" s="18">
        <v>102</v>
      </c>
      <c r="I2031" s="18">
        <v>0.68</v>
      </c>
      <c r="J2031" s="18">
        <v>0.68</v>
      </c>
      <c r="K2031" s="18">
        <v>0.68</v>
      </c>
      <c r="L2031" s="22">
        <v>2</v>
      </c>
    </row>
    <row r="2032" spans="1:12">
      <c r="A2032">
        <v>3</v>
      </c>
      <c r="B2032" s="16" t="s">
        <v>58</v>
      </c>
      <c r="C2032" s="9">
        <v>46054</v>
      </c>
      <c r="D2032">
        <v>3</v>
      </c>
      <c r="E2032" s="16" t="s">
        <v>84</v>
      </c>
      <c r="F2032" s="16" t="s">
        <v>85</v>
      </c>
      <c r="G2032" s="22">
        <v>150</v>
      </c>
      <c r="H2032" s="18">
        <v>103</v>
      </c>
      <c r="I2032" s="18">
        <v>0.68666666700000001</v>
      </c>
      <c r="J2032" s="18">
        <v>0.69</v>
      </c>
      <c r="K2032" s="18">
        <v>0.68</v>
      </c>
      <c r="L2032" s="22">
        <v>2</v>
      </c>
    </row>
    <row r="2033" spans="1:12">
      <c r="A2033">
        <v>3</v>
      </c>
      <c r="B2033" s="16" t="s">
        <v>58</v>
      </c>
      <c r="C2033" s="9">
        <v>46082</v>
      </c>
      <c r="D2033">
        <v>3</v>
      </c>
      <c r="E2033" s="16" t="s">
        <v>84</v>
      </c>
      <c r="F2033" s="16" t="s">
        <v>85</v>
      </c>
      <c r="G2033" s="22">
        <v>150</v>
      </c>
      <c r="H2033" s="18">
        <v>102.5</v>
      </c>
      <c r="I2033" s="18">
        <v>0.68333333299999999</v>
      </c>
      <c r="J2033" s="18">
        <v>0.69</v>
      </c>
      <c r="K2033" s="18">
        <v>0.68</v>
      </c>
      <c r="L2033" s="22">
        <v>2</v>
      </c>
    </row>
    <row r="2034" spans="1:12">
      <c r="A2034">
        <v>3</v>
      </c>
      <c r="B2034" s="16" t="s">
        <v>58</v>
      </c>
      <c r="C2034" s="9">
        <v>46113</v>
      </c>
      <c r="D2034">
        <v>3</v>
      </c>
      <c r="E2034" s="16" t="s">
        <v>84</v>
      </c>
      <c r="F2034" s="16" t="s">
        <v>85</v>
      </c>
      <c r="G2034" s="22">
        <v>150</v>
      </c>
      <c r="H2034" s="18">
        <v>104.5</v>
      </c>
      <c r="I2034" s="18">
        <v>0.69666666700000002</v>
      </c>
      <c r="J2034" s="18">
        <v>0.7</v>
      </c>
      <c r="K2034" s="18">
        <v>0.69</v>
      </c>
      <c r="L2034" s="22">
        <v>2</v>
      </c>
    </row>
    <row r="2035" spans="1:12">
      <c r="A2035">
        <v>3</v>
      </c>
      <c r="B2035" s="16" t="s">
        <v>58</v>
      </c>
      <c r="C2035" s="9">
        <v>46143</v>
      </c>
      <c r="D2035">
        <v>3</v>
      </c>
      <c r="E2035" s="16" t="s">
        <v>84</v>
      </c>
      <c r="F2035" s="16" t="s">
        <v>85</v>
      </c>
      <c r="G2035" s="22">
        <v>150</v>
      </c>
      <c r="H2035" s="18">
        <v>101.5</v>
      </c>
      <c r="I2035" s="18">
        <v>0.676666667</v>
      </c>
      <c r="J2035" s="18">
        <v>0.69</v>
      </c>
      <c r="K2035" s="18">
        <v>0.67</v>
      </c>
      <c r="L2035" s="22">
        <v>2</v>
      </c>
    </row>
    <row r="2036" spans="1:12">
      <c r="A2036">
        <v>3</v>
      </c>
      <c r="B2036" s="16" t="s">
        <v>58</v>
      </c>
      <c r="C2036" s="9">
        <v>46174</v>
      </c>
      <c r="D2036">
        <v>3</v>
      </c>
      <c r="E2036" s="16" t="s">
        <v>84</v>
      </c>
      <c r="F2036" s="16" t="s">
        <v>85</v>
      </c>
      <c r="G2036" s="22">
        <v>150</v>
      </c>
      <c r="H2036" s="18">
        <v>105</v>
      </c>
      <c r="I2036" s="18">
        <v>0.7</v>
      </c>
      <c r="J2036" s="18">
        <v>0.7</v>
      </c>
      <c r="K2036" s="18">
        <v>0.7</v>
      </c>
      <c r="L2036" s="22">
        <v>2</v>
      </c>
    </row>
    <row r="2037" spans="1:12">
      <c r="A2037">
        <v>3</v>
      </c>
      <c r="B2037" s="16" t="s">
        <v>58</v>
      </c>
      <c r="C2037" s="9">
        <v>46204</v>
      </c>
      <c r="D2037">
        <v>3</v>
      </c>
      <c r="E2037" s="16" t="s">
        <v>84</v>
      </c>
      <c r="F2037" s="16" t="s">
        <v>85</v>
      </c>
      <c r="G2037" s="22">
        <v>200</v>
      </c>
      <c r="H2037" s="18">
        <v>139</v>
      </c>
      <c r="I2037" s="18">
        <v>0.69499999999999995</v>
      </c>
      <c r="J2037" s="18">
        <v>0.7</v>
      </c>
      <c r="K2037" s="18">
        <v>0.69</v>
      </c>
      <c r="L2037" s="22">
        <v>3</v>
      </c>
    </row>
    <row r="2038" spans="1:12">
      <c r="A2038">
        <v>3</v>
      </c>
      <c r="B2038" s="16" t="s">
        <v>58</v>
      </c>
      <c r="C2038" s="9">
        <v>46235</v>
      </c>
      <c r="D2038">
        <v>3</v>
      </c>
      <c r="E2038" s="16" t="s">
        <v>84</v>
      </c>
      <c r="F2038" s="16" t="s">
        <v>85</v>
      </c>
      <c r="G2038" s="22">
        <v>150</v>
      </c>
      <c r="H2038" s="18">
        <v>103.5</v>
      </c>
      <c r="I2038" s="18">
        <v>0.69</v>
      </c>
      <c r="J2038" s="18">
        <v>0.69</v>
      </c>
      <c r="K2038" s="18">
        <v>0.69</v>
      </c>
      <c r="L2038" s="22">
        <v>2</v>
      </c>
    </row>
    <row r="2039" spans="1:12">
      <c r="A2039">
        <v>3</v>
      </c>
      <c r="B2039" s="16" t="s">
        <v>58</v>
      </c>
      <c r="C2039" s="9">
        <v>46266</v>
      </c>
      <c r="D2039">
        <v>3</v>
      </c>
      <c r="E2039" s="16" t="s">
        <v>84</v>
      </c>
      <c r="F2039" s="16" t="s">
        <v>85</v>
      </c>
      <c r="G2039" s="22">
        <v>100</v>
      </c>
      <c r="H2039" s="18">
        <v>69.5</v>
      </c>
      <c r="I2039" s="18">
        <v>0.69499999999999995</v>
      </c>
      <c r="J2039" s="18">
        <v>0.7</v>
      </c>
      <c r="K2039" s="18">
        <v>0.69</v>
      </c>
      <c r="L2039" s="22">
        <v>2</v>
      </c>
    </row>
    <row r="2040" spans="1:12">
      <c r="A2040">
        <v>3</v>
      </c>
      <c r="B2040" s="16" t="s">
        <v>58</v>
      </c>
      <c r="C2040" s="9">
        <v>45689</v>
      </c>
      <c r="D2040">
        <v>4</v>
      </c>
      <c r="E2040" s="16" t="s">
        <v>86</v>
      </c>
      <c r="F2040" s="16" t="s">
        <v>87</v>
      </c>
      <c r="G2040" s="22">
        <v>28.75</v>
      </c>
      <c r="H2040" s="18">
        <v>472.32249999999999</v>
      </c>
      <c r="I2040" s="18">
        <v>16.428608696000001</v>
      </c>
      <c r="J2040" s="18">
        <v>17.05</v>
      </c>
      <c r="K2040" s="18">
        <v>16.09</v>
      </c>
      <c r="L2040" s="22">
        <v>8</v>
      </c>
    </row>
    <row r="2041" spans="1:12">
      <c r="A2041">
        <v>3</v>
      </c>
      <c r="B2041" s="16" t="s">
        <v>58</v>
      </c>
      <c r="C2041" s="9">
        <v>45717</v>
      </c>
      <c r="D2041">
        <v>4</v>
      </c>
      <c r="E2041" s="16" t="s">
        <v>86</v>
      </c>
      <c r="F2041" s="16" t="s">
        <v>87</v>
      </c>
      <c r="G2041" s="22">
        <v>32.75</v>
      </c>
      <c r="H2041" s="18">
        <v>536.32249999999999</v>
      </c>
      <c r="I2041" s="18">
        <v>16.376259542</v>
      </c>
      <c r="J2041" s="18">
        <v>16.53</v>
      </c>
      <c r="K2041" s="18">
        <v>16.2</v>
      </c>
      <c r="L2041" s="22">
        <v>9</v>
      </c>
    </row>
    <row r="2042" spans="1:12">
      <c r="A2042">
        <v>3</v>
      </c>
      <c r="B2042" s="16" t="s">
        <v>58</v>
      </c>
      <c r="C2042" s="9">
        <v>45748</v>
      </c>
      <c r="D2042">
        <v>4</v>
      </c>
      <c r="E2042" s="16" t="s">
        <v>86</v>
      </c>
      <c r="F2042" s="16" t="s">
        <v>87</v>
      </c>
      <c r="G2042" s="22">
        <v>38.75</v>
      </c>
      <c r="H2042" s="18">
        <v>636.29999999999995</v>
      </c>
      <c r="I2042" s="18">
        <v>16.420645160999999</v>
      </c>
      <c r="J2042" s="18">
        <v>16.66</v>
      </c>
      <c r="K2042" s="18">
        <v>16.25</v>
      </c>
      <c r="L2042" s="22">
        <v>8</v>
      </c>
    </row>
    <row r="2043" spans="1:12">
      <c r="A2043">
        <v>3</v>
      </c>
      <c r="B2043" s="16" t="s">
        <v>58</v>
      </c>
      <c r="C2043" s="9">
        <v>45778</v>
      </c>
      <c r="D2043">
        <v>4</v>
      </c>
      <c r="E2043" s="16" t="s">
        <v>86</v>
      </c>
      <c r="F2043" s="16" t="s">
        <v>87</v>
      </c>
      <c r="G2043" s="22">
        <v>34.75</v>
      </c>
      <c r="H2043" s="18">
        <v>563.01750000000004</v>
      </c>
      <c r="I2043" s="18">
        <v>16.201942446</v>
      </c>
      <c r="J2043" s="18">
        <v>16.579999999999998</v>
      </c>
      <c r="K2043" s="18">
        <v>15.97</v>
      </c>
      <c r="L2043" s="22">
        <v>9</v>
      </c>
    </row>
    <row r="2044" spans="1:12">
      <c r="A2044">
        <v>3</v>
      </c>
      <c r="B2044" s="16" t="s">
        <v>58</v>
      </c>
      <c r="C2044" s="9">
        <v>45809</v>
      </c>
      <c r="D2044">
        <v>4</v>
      </c>
      <c r="E2044" s="16" t="s">
        <v>86</v>
      </c>
      <c r="F2044" s="16" t="s">
        <v>87</v>
      </c>
      <c r="G2044" s="22">
        <v>30.75</v>
      </c>
      <c r="H2044" s="18">
        <v>495.45249999999999</v>
      </c>
      <c r="I2044" s="18">
        <v>16.112276423000001</v>
      </c>
      <c r="J2044" s="18">
        <v>16.66</v>
      </c>
      <c r="K2044" s="18">
        <v>15.84</v>
      </c>
      <c r="L2044" s="22">
        <v>9</v>
      </c>
    </row>
    <row r="2045" spans="1:12">
      <c r="A2045">
        <v>3</v>
      </c>
      <c r="B2045" s="16" t="s">
        <v>58</v>
      </c>
      <c r="C2045" s="9">
        <v>45839</v>
      </c>
      <c r="D2045">
        <v>4</v>
      </c>
      <c r="E2045" s="16" t="s">
        <v>86</v>
      </c>
      <c r="F2045" s="16" t="s">
        <v>87</v>
      </c>
      <c r="G2045" s="22">
        <v>39.25</v>
      </c>
      <c r="H2045" s="18">
        <v>639.91750000000002</v>
      </c>
      <c r="I2045" s="18">
        <v>16.303630573</v>
      </c>
      <c r="J2045" s="18">
        <v>16.440000000000001</v>
      </c>
      <c r="K2045" s="18">
        <v>16</v>
      </c>
      <c r="L2045" s="22">
        <v>9</v>
      </c>
    </row>
    <row r="2046" spans="1:12">
      <c r="A2046">
        <v>3</v>
      </c>
      <c r="B2046" s="16" t="s">
        <v>58</v>
      </c>
      <c r="C2046" s="9">
        <v>45870</v>
      </c>
      <c r="D2046">
        <v>4</v>
      </c>
      <c r="E2046" s="16" t="s">
        <v>86</v>
      </c>
      <c r="F2046" s="16" t="s">
        <v>87</v>
      </c>
      <c r="G2046" s="22">
        <v>30.5</v>
      </c>
      <c r="H2046" s="18">
        <v>499.25</v>
      </c>
      <c r="I2046" s="18">
        <v>16.368852458999999</v>
      </c>
      <c r="J2046" s="18">
        <v>16.690000000000001</v>
      </c>
      <c r="K2046" s="18">
        <v>16.149999999999999</v>
      </c>
      <c r="L2046" s="22">
        <v>8</v>
      </c>
    </row>
    <row r="2047" spans="1:12">
      <c r="A2047">
        <v>3</v>
      </c>
      <c r="B2047" s="16" t="s">
        <v>58</v>
      </c>
      <c r="C2047" s="9">
        <v>45901</v>
      </c>
      <c r="D2047">
        <v>4</v>
      </c>
      <c r="E2047" s="16" t="s">
        <v>86</v>
      </c>
      <c r="F2047" s="16" t="s">
        <v>87</v>
      </c>
      <c r="G2047" s="22">
        <v>38</v>
      </c>
      <c r="H2047" s="18">
        <v>616.23749999999995</v>
      </c>
      <c r="I2047" s="18">
        <v>16.216776316000001</v>
      </c>
      <c r="J2047" s="18">
        <v>16.52</v>
      </c>
      <c r="K2047" s="18">
        <v>15.94</v>
      </c>
      <c r="L2047" s="22">
        <v>9</v>
      </c>
    </row>
    <row r="2048" spans="1:12">
      <c r="A2048">
        <v>3</v>
      </c>
      <c r="B2048" s="16" t="s">
        <v>58</v>
      </c>
      <c r="C2048" s="9">
        <v>45931</v>
      </c>
      <c r="D2048">
        <v>4</v>
      </c>
      <c r="E2048" s="16" t="s">
        <v>86</v>
      </c>
      <c r="F2048" s="16" t="s">
        <v>87</v>
      </c>
      <c r="G2048" s="22">
        <v>32.25</v>
      </c>
      <c r="H2048" s="18">
        <v>529.18499999999995</v>
      </c>
      <c r="I2048" s="18">
        <v>16.408837209000001</v>
      </c>
      <c r="J2048" s="18">
        <v>16.79</v>
      </c>
      <c r="K2048" s="18">
        <v>16.14</v>
      </c>
      <c r="L2048" s="22">
        <v>9</v>
      </c>
    </row>
    <row r="2049" spans="1:12">
      <c r="A2049">
        <v>3</v>
      </c>
      <c r="B2049" s="16" t="s">
        <v>58</v>
      </c>
      <c r="C2049" s="9">
        <v>45962</v>
      </c>
      <c r="D2049">
        <v>4</v>
      </c>
      <c r="E2049" s="16" t="s">
        <v>86</v>
      </c>
      <c r="F2049" s="16" t="s">
        <v>87</v>
      </c>
      <c r="G2049" s="22">
        <v>30.5</v>
      </c>
      <c r="H2049" s="18">
        <v>500.44749999999999</v>
      </c>
      <c r="I2049" s="18">
        <v>16.408114754</v>
      </c>
      <c r="J2049" s="18">
        <v>16.7</v>
      </c>
      <c r="K2049" s="18">
        <v>16.059999999999999</v>
      </c>
      <c r="L2049" s="22">
        <v>8</v>
      </c>
    </row>
    <row r="2050" spans="1:12">
      <c r="A2050">
        <v>3</v>
      </c>
      <c r="B2050" s="16" t="s">
        <v>58</v>
      </c>
      <c r="C2050" s="9">
        <v>45992</v>
      </c>
      <c r="D2050">
        <v>4</v>
      </c>
      <c r="E2050" s="16" t="s">
        <v>86</v>
      </c>
      <c r="F2050" s="16" t="s">
        <v>87</v>
      </c>
      <c r="G2050" s="22">
        <v>34.75</v>
      </c>
      <c r="H2050" s="18">
        <v>572.93499999999995</v>
      </c>
      <c r="I2050" s="18">
        <v>16.487338129000001</v>
      </c>
      <c r="J2050" s="18">
        <v>16.690000000000001</v>
      </c>
      <c r="K2050" s="18">
        <v>16.260000000000002</v>
      </c>
      <c r="L2050" s="22">
        <v>9</v>
      </c>
    </row>
    <row r="2051" spans="1:12">
      <c r="A2051">
        <v>3</v>
      </c>
      <c r="B2051" s="16" t="s">
        <v>58</v>
      </c>
      <c r="C2051" s="9">
        <v>46023</v>
      </c>
      <c r="D2051">
        <v>4</v>
      </c>
      <c r="E2051" s="16" t="s">
        <v>86</v>
      </c>
      <c r="F2051" s="16" t="s">
        <v>87</v>
      </c>
      <c r="G2051" s="22">
        <v>33.5</v>
      </c>
      <c r="H2051" s="18">
        <v>561.92250000000001</v>
      </c>
      <c r="I2051" s="18">
        <v>16.773805970000002</v>
      </c>
      <c r="J2051" s="18">
        <v>16.989999999999998</v>
      </c>
      <c r="K2051" s="18">
        <v>16.3</v>
      </c>
      <c r="L2051" s="22">
        <v>9</v>
      </c>
    </row>
    <row r="2052" spans="1:12">
      <c r="A2052">
        <v>3</v>
      </c>
      <c r="B2052" s="16" t="s">
        <v>58</v>
      </c>
      <c r="C2052" s="9">
        <v>46054</v>
      </c>
      <c r="D2052">
        <v>4</v>
      </c>
      <c r="E2052" s="16" t="s">
        <v>86</v>
      </c>
      <c r="F2052" s="16" t="s">
        <v>87</v>
      </c>
      <c r="G2052" s="22">
        <v>33.25</v>
      </c>
      <c r="H2052" s="18">
        <v>553.37750000000005</v>
      </c>
      <c r="I2052" s="18">
        <v>16.642932331000001</v>
      </c>
      <c r="J2052" s="18">
        <v>16.989999999999998</v>
      </c>
      <c r="K2052" s="18">
        <v>16.39</v>
      </c>
      <c r="L2052" s="22">
        <v>8</v>
      </c>
    </row>
    <row r="2053" spans="1:12">
      <c r="A2053">
        <v>3</v>
      </c>
      <c r="B2053" s="16" t="s">
        <v>58</v>
      </c>
      <c r="C2053" s="9">
        <v>46082</v>
      </c>
      <c r="D2053">
        <v>4</v>
      </c>
      <c r="E2053" s="16" t="s">
        <v>86</v>
      </c>
      <c r="F2053" s="16" t="s">
        <v>87</v>
      </c>
      <c r="G2053" s="22">
        <v>32.75</v>
      </c>
      <c r="H2053" s="18">
        <v>547.74249999999995</v>
      </c>
      <c r="I2053" s="18">
        <v>16.724961832000002</v>
      </c>
      <c r="J2053" s="18">
        <v>16.940000000000001</v>
      </c>
      <c r="K2053" s="18">
        <v>16.48</v>
      </c>
      <c r="L2053" s="22">
        <v>9</v>
      </c>
    </row>
    <row r="2054" spans="1:12">
      <c r="A2054">
        <v>3</v>
      </c>
      <c r="B2054" s="16" t="s">
        <v>58</v>
      </c>
      <c r="C2054" s="9">
        <v>46113</v>
      </c>
      <c r="D2054">
        <v>4</v>
      </c>
      <c r="E2054" s="16" t="s">
        <v>86</v>
      </c>
      <c r="F2054" s="16" t="s">
        <v>87</v>
      </c>
      <c r="G2054" s="22">
        <v>40.5</v>
      </c>
      <c r="H2054" s="18">
        <v>675.23</v>
      </c>
      <c r="I2054" s="18">
        <v>16.672345678999999</v>
      </c>
      <c r="J2054" s="18">
        <v>17</v>
      </c>
      <c r="K2054" s="18">
        <v>16.39</v>
      </c>
      <c r="L2054" s="22">
        <v>9</v>
      </c>
    </row>
    <row r="2055" spans="1:12">
      <c r="A2055">
        <v>3</v>
      </c>
      <c r="B2055" s="16" t="s">
        <v>58</v>
      </c>
      <c r="C2055" s="9">
        <v>46143</v>
      </c>
      <c r="D2055">
        <v>4</v>
      </c>
      <c r="E2055" s="16" t="s">
        <v>86</v>
      </c>
      <c r="F2055" s="16" t="s">
        <v>87</v>
      </c>
      <c r="G2055" s="22">
        <v>35</v>
      </c>
      <c r="H2055" s="18">
        <v>593.36749999999995</v>
      </c>
      <c r="I2055" s="18">
        <v>16.953357143000002</v>
      </c>
      <c r="J2055" s="18">
        <v>17.36</v>
      </c>
      <c r="K2055" s="18">
        <v>16.66</v>
      </c>
      <c r="L2055" s="22">
        <v>8</v>
      </c>
    </row>
    <row r="2056" spans="1:12">
      <c r="A2056">
        <v>3</v>
      </c>
      <c r="B2056" s="16" t="s">
        <v>58</v>
      </c>
      <c r="C2056" s="9">
        <v>46174</v>
      </c>
      <c r="D2056">
        <v>4</v>
      </c>
      <c r="E2056" s="16" t="s">
        <v>86</v>
      </c>
      <c r="F2056" s="16" t="s">
        <v>87</v>
      </c>
      <c r="G2056" s="22">
        <v>38</v>
      </c>
      <c r="H2056" s="18">
        <v>643.41499999999996</v>
      </c>
      <c r="I2056" s="18">
        <v>16.931973683999999</v>
      </c>
      <c r="J2056" s="18">
        <v>17.25</v>
      </c>
      <c r="K2056" s="18">
        <v>16.64</v>
      </c>
      <c r="L2056" s="22">
        <v>9</v>
      </c>
    </row>
    <row r="2057" spans="1:12">
      <c r="A2057">
        <v>3</v>
      </c>
      <c r="B2057" s="16" t="s">
        <v>58</v>
      </c>
      <c r="C2057" s="9">
        <v>46204</v>
      </c>
      <c r="D2057">
        <v>4</v>
      </c>
      <c r="E2057" s="16" t="s">
        <v>86</v>
      </c>
      <c r="F2057" s="16" t="s">
        <v>87</v>
      </c>
      <c r="G2057" s="22">
        <v>37.25</v>
      </c>
      <c r="H2057" s="18">
        <v>635.49249999999995</v>
      </c>
      <c r="I2057" s="18">
        <v>17.060201341999999</v>
      </c>
      <c r="J2057" s="18">
        <v>17.510000000000002</v>
      </c>
      <c r="K2057" s="18">
        <v>16.55</v>
      </c>
      <c r="L2057" s="22">
        <v>9</v>
      </c>
    </row>
    <row r="2058" spans="1:12">
      <c r="A2058">
        <v>3</v>
      </c>
      <c r="B2058" s="16" t="s">
        <v>58</v>
      </c>
      <c r="C2058" s="9">
        <v>46235</v>
      </c>
      <c r="D2058">
        <v>4</v>
      </c>
      <c r="E2058" s="16" t="s">
        <v>86</v>
      </c>
      <c r="F2058" s="16" t="s">
        <v>87</v>
      </c>
      <c r="G2058" s="22">
        <v>28</v>
      </c>
      <c r="H2058" s="18">
        <v>480.11250000000001</v>
      </c>
      <c r="I2058" s="18">
        <v>17.146875000000001</v>
      </c>
      <c r="J2058" s="18">
        <v>17.309999999999999</v>
      </c>
      <c r="K2058" s="18">
        <v>16.89</v>
      </c>
      <c r="L2058" s="22">
        <v>9</v>
      </c>
    </row>
    <row r="2059" spans="1:12">
      <c r="A2059">
        <v>3</v>
      </c>
      <c r="B2059" s="16" t="s">
        <v>58</v>
      </c>
      <c r="C2059" s="9">
        <v>46266</v>
      </c>
      <c r="D2059">
        <v>4</v>
      </c>
      <c r="E2059" s="16" t="s">
        <v>86</v>
      </c>
      <c r="F2059" s="16" t="s">
        <v>87</v>
      </c>
      <c r="G2059" s="22">
        <v>29</v>
      </c>
      <c r="H2059" s="18">
        <v>490.51749999999998</v>
      </c>
      <c r="I2059" s="18">
        <v>16.914396551999999</v>
      </c>
      <c r="J2059" s="18">
        <v>17.12</v>
      </c>
      <c r="K2059" s="18">
        <v>16.760000000000002</v>
      </c>
      <c r="L2059" s="22">
        <v>8</v>
      </c>
    </row>
    <row r="2060" spans="1:12">
      <c r="A2060">
        <v>3</v>
      </c>
      <c r="B2060" s="16" t="s">
        <v>58</v>
      </c>
      <c r="C2060" s="9">
        <v>45689</v>
      </c>
      <c r="D2060">
        <v>5</v>
      </c>
      <c r="E2060" s="16" t="s">
        <v>88</v>
      </c>
      <c r="F2060" s="16" t="s">
        <v>83</v>
      </c>
      <c r="G2060" s="22">
        <v>348</v>
      </c>
      <c r="H2060" s="18">
        <v>126.84</v>
      </c>
      <c r="I2060" s="18">
        <v>0.36448275899999999</v>
      </c>
      <c r="J2060" s="18">
        <v>0.37</v>
      </c>
      <c r="K2060" s="18">
        <v>0.36</v>
      </c>
      <c r="L2060" s="22">
        <v>8</v>
      </c>
    </row>
    <row r="2061" spans="1:12">
      <c r="A2061">
        <v>3</v>
      </c>
      <c r="B2061" s="16" t="s">
        <v>58</v>
      </c>
      <c r="C2061" s="9">
        <v>45717</v>
      </c>
      <c r="D2061">
        <v>5</v>
      </c>
      <c r="E2061" s="16" t="s">
        <v>88</v>
      </c>
      <c r="F2061" s="16" t="s">
        <v>83</v>
      </c>
      <c r="G2061" s="22">
        <v>354</v>
      </c>
      <c r="H2061" s="18">
        <v>128.28</v>
      </c>
      <c r="I2061" s="18">
        <v>0.36237288099999998</v>
      </c>
      <c r="J2061" s="18">
        <v>0.37</v>
      </c>
      <c r="K2061" s="18">
        <v>0.36</v>
      </c>
      <c r="L2061" s="22">
        <v>9</v>
      </c>
    </row>
    <row r="2062" spans="1:12">
      <c r="A2062">
        <v>3</v>
      </c>
      <c r="B2062" s="16" t="s">
        <v>58</v>
      </c>
      <c r="C2062" s="9">
        <v>45748</v>
      </c>
      <c r="D2062">
        <v>5</v>
      </c>
      <c r="E2062" s="16" t="s">
        <v>88</v>
      </c>
      <c r="F2062" s="16" t="s">
        <v>83</v>
      </c>
      <c r="G2062" s="22">
        <v>420</v>
      </c>
      <c r="H2062" s="18">
        <v>156.84</v>
      </c>
      <c r="I2062" s="18">
        <v>0.37342857099999999</v>
      </c>
      <c r="J2062" s="18">
        <v>0.38</v>
      </c>
      <c r="K2062" s="18">
        <v>0.36</v>
      </c>
      <c r="L2062" s="22">
        <v>8</v>
      </c>
    </row>
    <row r="2063" spans="1:12">
      <c r="A2063">
        <v>3</v>
      </c>
      <c r="B2063" s="16" t="s">
        <v>58</v>
      </c>
      <c r="C2063" s="9">
        <v>45778</v>
      </c>
      <c r="D2063">
        <v>5</v>
      </c>
      <c r="E2063" s="16" t="s">
        <v>88</v>
      </c>
      <c r="F2063" s="16" t="s">
        <v>83</v>
      </c>
      <c r="G2063" s="22">
        <v>438</v>
      </c>
      <c r="H2063" s="18">
        <v>166.08</v>
      </c>
      <c r="I2063" s="18">
        <v>0.37917808200000003</v>
      </c>
      <c r="J2063" s="18">
        <v>0.38</v>
      </c>
      <c r="K2063" s="18">
        <v>0.37</v>
      </c>
      <c r="L2063" s="22">
        <v>9</v>
      </c>
    </row>
    <row r="2064" spans="1:12">
      <c r="A2064">
        <v>3</v>
      </c>
      <c r="B2064" s="16" t="s">
        <v>58</v>
      </c>
      <c r="C2064" s="9">
        <v>45809</v>
      </c>
      <c r="D2064">
        <v>5</v>
      </c>
      <c r="E2064" s="16" t="s">
        <v>88</v>
      </c>
      <c r="F2064" s="16" t="s">
        <v>83</v>
      </c>
      <c r="G2064" s="22">
        <v>390</v>
      </c>
      <c r="H2064" s="18">
        <v>148.08000000000001</v>
      </c>
      <c r="I2064" s="18">
        <v>0.37969230799999998</v>
      </c>
      <c r="J2064" s="18">
        <v>0.39</v>
      </c>
      <c r="K2064" s="18">
        <v>0.37</v>
      </c>
      <c r="L2064" s="22">
        <v>9</v>
      </c>
    </row>
    <row r="2065" spans="1:12">
      <c r="A2065">
        <v>3</v>
      </c>
      <c r="B2065" s="16" t="s">
        <v>58</v>
      </c>
      <c r="C2065" s="9">
        <v>45839</v>
      </c>
      <c r="D2065">
        <v>5</v>
      </c>
      <c r="E2065" s="16" t="s">
        <v>88</v>
      </c>
      <c r="F2065" s="16" t="s">
        <v>83</v>
      </c>
      <c r="G2065" s="22">
        <v>480</v>
      </c>
      <c r="H2065" s="18">
        <v>183.24</v>
      </c>
      <c r="I2065" s="18">
        <v>0.38174999999999998</v>
      </c>
      <c r="J2065" s="18">
        <v>0.39</v>
      </c>
      <c r="K2065" s="18">
        <v>0.38</v>
      </c>
      <c r="L2065" s="22">
        <v>9</v>
      </c>
    </row>
    <row r="2066" spans="1:12">
      <c r="A2066">
        <v>3</v>
      </c>
      <c r="B2066" s="16" t="s">
        <v>58</v>
      </c>
      <c r="C2066" s="9">
        <v>45870</v>
      </c>
      <c r="D2066">
        <v>5</v>
      </c>
      <c r="E2066" s="16" t="s">
        <v>88</v>
      </c>
      <c r="F2066" s="16" t="s">
        <v>83</v>
      </c>
      <c r="G2066" s="22">
        <v>396</v>
      </c>
      <c r="H2066" s="18">
        <v>149.63999999999999</v>
      </c>
      <c r="I2066" s="18">
        <v>0.37787878800000002</v>
      </c>
      <c r="J2066" s="18">
        <v>0.38</v>
      </c>
      <c r="K2066" s="18">
        <v>0.37</v>
      </c>
      <c r="L2066" s="22">
        <v>8</v>
      </c>
    </row>
    <row r="2067" spans="1:12">
      <c r="A2067">
        <v>3</v>
      </c>
      <c r="B2067" s="16" t="s">
        <v>58</v>
      </c>
      <c r="C2067" s="9">
        <v>45901</v>
      </c>
      <c r="D2067">
        <v>5</v>
      </c>
      <c r="E2067" s="16" t="s">
        <v>88</v>
      </c>
      <c r="F2067" s="16" t="s">
        <v>83</v>
      </c>
      <c r="G2067" s="22">
        <v>408</v>
      </c>
      <c r="H2067" s="18">
        <v>156.12</v>
      </c>
      <c r="I2067" s="18">
        <v>0.38264705900000001</v>
      </c>
      <c r="J2067" s="18">
        <v>0.39</v>
      </c>
      <c r="K2067" s="18">
        <v>0.38</v>
      </c>
      <c r="L2067" s="22">
        <v>9</v>
      </c>
    </row>
    <row r="2068" spans="1:12">
      <c r="A2068">
        <v>3</v>
      </c>
      <c r="B2068" s="16" t="s">
        <v>58</v>
      </c>
      <c r="C2068" s="9">
        <v>45931</v>
      </c>
      <c r="D2068">
        <v>5</v>
      </c>
      <c r="E2068" s="16" t="s">
        <v>88</v>
      </c>
      <c r="F2068" s="16" t="s">
        <v>83</v>
      </c>
      <c r="G2068" s="22">
        <v>408</v>
      </c>
      <c r="H2068" s="18">
        <v>157.38</v>
      </c>
      <c r="I2068" s="18">
        <v>0.38573529400000001</v>
      </c>
      <c r="J2068" s="18">
        <v>0.4</v>
      </c>
      <c r="K2068" s="18">
        <v>0.38</v>
      </c>
      <c r="L2068" s="22">
        <v>9</v>
      </c>
    </row>
    <row r="2069" spans="1:12">
      <c r="A2069">
        <v>3</v>
      </c>
      <c r="B2069" s="16" t="s">
        <v>58</v>
      </c>
      <c r="C2069" s="9">
        <v>45962</v>
      </c>
      <c r="D2069">
        <v>5</v>
      </c>
      <c r="E2069" s="16" t="s">
        <v>88</v>
      </c>
      <c r="F2069" s="16" t="s">
        <v>83</v>
      </c>
      <c r="G2069" s="22">
        <v>294</v>
      </c>
      <c r="H2069" s="18">
        <v>113.34</v>
      </c>
      <c r="I2069" s="18">
        <v>0.38551020400000002</v>
      </c>
      <c r="J2069" s="18">
        <v>0.39</v>
      </c>
      <c r="K2069" s="18">
        <v>0.38</v>
      </c>
      <c r="L2069" s="22">
        <v>8</v>
      </c>
    </row>
    <row r="2070" spans="1:12">
      <c r="A2070">
        <v>3</v>
      </c>
      <c r="B2070" s="16" t="s">
        <v>58</v>
      </c>
      <c r="C2070" s="9">
        <v>45992</v>
      </c>
      <c r="D2070">
        <v>5</v>
      </c>
      <c r="E2070" s="16" t="s">
        <v>88</v>
      </c>
      <c r="F2070" s="16" t="s">
        <v>83</v>
      </c>
      <c r="G2070" s="22">
        <v>366</v>
      </c>
      <c r="H2070" s="18">
        <v>141.6</v>
      </c>
      <c r="I2070" s="18">
        <v>0.38688524600000002</v>
      </c>
      <c r="J2070" s="18">
        <v>0.39</v>
      </c>
      <c r="K2070" s="18">
        <v>0.38</v>
      </c>
      <c r="L2070" s="22">
        <v>9</v>
      </c>
    </row>
    <row r="2071" spans="1:12">
      <c r="A2071">
        <v>3</v>
      </c>
      <c r="B2071" s="16" t="s">
        <v>58</v>
      </c>
      <c r="C2071" s="9">
        <v>46023</v>
      </c>
      <c r="D2071">
        <v>5</v>
      </c>
      <c r="E2071" s="16" t="s">
        <v>88</v>
      </c>
      <c r="F2071" s="16" t="s">
        <v>83</v>
      </c>
      <c r="G2071" s="22">
        <v>384</v>
      </c>
      <c r="H2071" s="18">
        <v>148.5</v>
      </c>
      <c r="I2071" s="18">
        <v>0.38671875</v>
      </c>
      <c r="J2071" s="18">
        <v>0.39</v>
      </c>
      <c r="K2071" s="18">
        <v>0.38</v>
      </c>
      <c r="L2071" s="22">
        <v>9</v>
      </c>
    </row>
    <row r="2072" spans="1:12">
      <c r="A2072">
        <v>3</v>
      </c>
      <c r="B2072" s="16" t="s">
        <v>58</v>
      </c>
      <c r="C2072" s="9">
        <v>46054</v>
      </c>
      <c r="D2072">
        <v>5</v>
      </c>
      <c r="E2072" s="16" t="s">
        <v>88</v>
      </c>
      <c r="F2072" s="16" t="s">
        <v>83</v>
      </c>
      <c r="G2072" s="22">
        <v>348</v>
      </c>
      <c r="H2072" s="18">
        <v>134.82</v>
      </c>
      <c r="I2072" s="18">
        <v>0.38741379300000001</v>
      </c>
      <c r="J2072" s="18">
        <v>0.39</v>
      </c>
      <c r="K2072" s="18">
        <v>0.38</v>
      </c>
      <c r="L2072" s="22">
        <v>8</v>
      </c>
    </row>
    <row r="2073" spans="1:12">
      <c r="A2073">
        <v>3</v>
      </c>
      <c r="B2073" s="16" t="s">
        <v>58</v>
      </c>
      <c r="C2073" s="9">
        <v>46082</v>
      </c>
      <c r="D2073">
        <v>5</v>
      </c>
      <c r="E2073" s="16" t="s">
        <v>88</v>
      </c>
      <c r="F2073" s="16" t="s">
        <v>83</v>
      </c>
      <c r="G2073" s="22">
        <v>360</v>
      </c>
      <c r="H2073" s="18">
        <v>140.1</v>
      </c>
      <c r="I2073" s="18">
        <v>0.38916666700000002</v>
      </c>
      <c r="J2073" s="18">
        <v>0.39</v>
      </c>
      <c r="K2073" s="18">
        <v>0.38</v>
      </c>
      <c r="L2073" s="22">
        <v>9</v>
      </c>
    </row>
    <row r="2074" spans="1:12">
      <c r="A2074">
        <v>3</v>
      </c>
      <c r="B2074" s="16" t="s">
        <v>58</v>
      </c>
      <c r="C2074" s="9">
        <v>46113</v>
      </c>
      <c r="D2074">
        <v>5</v>
      </c>
      <c r="E2074" s="16" t="s">
        <v>88</v>
      </c>
      <c r="F2074" s="16" t="s">
        <v>83</v>
      </c>
      <c r="G2074" s="22">
        <v>462</v>
      </c>
      <c r="H2074" s="18">
        <v>179.16</v>
      </c>
      <c r="I2074" s="18">
        <v>0.38779220800000003</v>
      </c>
      <c r="J2074" s="18">
        <v>0.39</v>
      </c>
      <c r="K2074" s="18">
        <v>0.38</v>
      </c>
      <c r="L2074" s="22">
        <v>9</v>
      </c>
    </row>
    <row r="2075" spans="1:12">
      <c r="A2075">
        <v>3</v>
      </c>
      <c r="B2075" s="16" t="s">
        <v>58</v>
      </c>
      <c r="C2075" s="9">
        <v>46143</v>
      </c>
      <c r="D2075">
        <v>5</v>
      </c>
      <c r="E2075" s="16" t="s">
        <v>88</v>
      </c>
      <c r="F2075" s="16" t="s">
        <v>83</v>
      </c>
      <c r="G2075" s="22">
        <v>402</v>
      </c>
      <c r="H2075" s="18">
        <v>157.13999999999999</v>
      </c>
      <c r="I2075" s="18">
        <v>0.390895522</v>
      </c>
      <c r="J2075" s="18">
        <v>0.4</v>
      </c>
      <c r="K2075" s="18">
        <v>0.38</v>
      </c>
      <c r="L2075" s="22">
        <v>8</v>
      </c>
    </row>
    <row r="2076" spans="1:12">
      <c r="A2076">
        <v>3</v>
      </c>
      <c r="B2076" s="16" t="s">
        <v>58</v>
      </c>
      <c r="C2076" s="9">
        <v>46174</v>
      </c>
      <c r="D2076">
        <v>5</v>
      </c>
      <c r="E2076" s="16" t="s">
        <v>88</v>
      </c>
      <c r="F2076" s="16" t="s">
        <v>83</v>
      </c>
      <c r="G2076" s="22">
        <v>486</v>
      </c>
      <c r="H2076" s="18">
        <v>189.9</v>
      </c>
      <c r="I2076" s="18">
        <v>0.390740741</v>
      </c>
      <c r="J2076" s="18">
        <v>0.4</v>
      </c>
      <c r="K2076" s="18">
        <v>0.39</v>
      </c>
      <c r="L2076" s="22">
        <v>9</v>
      </c>
    </row>
    <row r="2077" spans="1:12">
      <c r="A2077">
        <v>3</v>
      </c>
      <c r="B2077" s="16" t="s">
        <v>58</v>
      </c>
      <c r="C2077" s="9">
        <v>46204</v>
      </c>
      <c r="D2077">
        <v>5</v>
      </c>
      <c r="E2077" s="16" t="s">
        <v>88</v>
      </c>
      <c r="F2077" s="16" t="s">
        <v>83</v>
      </c>
      <c r="G2077" s="22">
        <v>474</v>
      </c>
      <c r="H2077" s="18">
        <v>185.52</v>
      </c>
      <c r="I2077" s="18">
        <v>0.391392405</v>
      </c>
      <c r="J2077" s="18">
        <v>0.4</v>
      </c>
      <c r="K2077" s="18">
        <v>0.39</v>
      </c>
      <c r="L2077" s="22">
        <v>9</v>
      </c>
    </row>
    <row r="2078" spans="1:12">
      <c r="A2078">
        <v>3</v>
      </c>
      <c r="B2078" s="16" t="s">
        <v>58</v>
      </c>
      <c r="C2078" s="9">
        <v>46235</v>
      </c>
      <c r="D2078">
        <v>5</v>
      </c>
      <c r="E2078" s="16" t="s">
        <v>88</v>
      </c>
      <c r="F2078" s="16" t="s">
        <v>83</v>
      </c>
      <c r="G2078" s="22">
        <v>384</v>
      </c>
      <c r="H2078" s="18">
        <v>151.38</v>
      </c>
      <c r="I2078" s="18">
        <v>0.39421875000000001</v>
      </c>
      <c r="J2078" s="18">
        <v>0.4</v>
      </c>
      <c r="K2078" s="18">
        <v>0.38</v>
      </c>
      <c r="L2078" s="22">
        <v>9</v>
      </c>
    </row>
    <row r="2079" spans="1:12">
      <c r="A2079">
        <v>3</v>
      </c>
      <c r="B2079" s="16" t="s">
        <v>58</v>
      </c>
      <c r="C2079" s="9">
        <v>46266</v>
      </c>
      <c r="D2079">
        <v>5</v>
      </c>
      <c r="E2079" s="16" t="s">
        <v>88</v>
      </c>
      <c r="F2079" s="16" t="s">
        <v>83</v>
      </c>
      <c r="G2079" s="22">
        <v>336</v>
      </c>
      <c r="H2079" s="18">
        <v>131.88</v>
      </c>
      <c r="I2079" s="18">
        <v>0.39250000000000002</v>
      </c>
      <c r="J2079" s="18">
        <v>0.4</v>
      </c>
      <c r="K2079" s="18">
        <v>0.39</v>
      </c>
      <c r="L2079" s="22">
        <v>8</v>
      </c>
    </row>
    <row r="2080" spans="1:12">
      <c r="A2080">
        <v>3</v>
      </c>
      <c r="B2080" s="16" t="s">
        <v>58</v>
      </c>
      <c r="C2080" s="9">
        <v>45689</v>
      </c>
      <c r="D2080">
        <v>6</v>
      </c>
      <c r="E2080" s="16" t="s">
        <v>89</v>
      </c>
      <c r="F2080" s="16" t="s">
        <v>90</v>
      </c>
      <c r="G2080" s="22">
        <v>18</v>
      </c>
      <c r="H2080" s="18">
        <v>474.26</v>
      </c>
      <c r="I2080" s="18">
        <v>26.347777778000001</v>
      </c>
      <c r="J2080" s="18">
        <v>26.92</v>
      </c>
      <c r="K2080" s="18">
        <v>25.89</v>
      </c>
      <c r="L2080" s="22">
        <v>2</v>
      </c>
    </row>
    <row r="2081" spans="1:12">
      <c r="A2081">
        <v>3</v>
      </c>
      <c r="B2081" s="16" t="s">
        <v>58</v>
      </c>
      <c r="C2081" s="9">
        <v>45717</v>
      </c>
      <c r="D2081">
        <v>6</v>
      </c>
      <c r="E2081" s="16" t="s">
        <v>89</v>
      </c>
      <c r="F2081" s="16" t="s">
        <v>90</v>
      </c>
      <c r="G2081" s="22">
        <v>18</v>
      </c>
      <c r="H2081" s="18">
        <v>475.34</v>
      </c>
      <c r="I2081" s="18">
        <v>26.407777778</v>
      </c>
      <c r="J2081" s="18">
        <v>26.51</v>
      </c>
      <c r="K2081" s="18">
        <v>26.28</v>
      </c>
      <c r="L2081" s="22">
        <v>2</v>
      </c>
    </row>
    <row r="2082" spans="1:12">
      <c r="A2082">
        <v>3</v>
      </c>
      <c r="B2082" s="16" t="s">
        <v>58</v>
      </c>
      <c r="C2082" s="9">
        <v>45748</v>
      </c>
      <c r="D2082">
        <v>6</v>
      </c>
      <c r="E2082" s="16" t="s">
        <v>89</v>
      </c>
      <c r="F2082" s="16" t="s">
        <v>90</v>
      </c>
      <c r="G2082" s="22">
        <v>22</v>
      </c>
      <c r="H2082" s="18">
        <v>571.64</v>
      </c>
      <c r="I2082" s="18">
        <v>25.983636363999999</v>
      </c>
      <c r="J2082" s="18">
        <v>26.48</v>
      </c>
      <c r="K2082" s="18">
        <v>25.57</v>
      </c>
      <c r="L2082" s="22">
        <v>2</v>
      </c>
    </row>
    <row r="2083" spans="1:12">
      <c r="A2083">
        <v>3</v>
      </c>
      <c r="B2083" s="16" t="s">
        <v>58</v>
      </c>
      <c r="C2083" s="9">
        <v>45778</v>
      </c>
      <c r="D2083">
        <v>6</v>
      </c>
      <c r="E2083" s="16" t="s">
        <v>89</v>
      </c>
      <c r="F2083" s="16" t="s">
        <v>90</v>
      </c>
      <c r="G2083" s="22">
        <v>18</v>
      </c>
      <c r="H2083" s="18">
        <v>468.58</v>
      </c>
      <c r="I2083" s="18">
        <v>26.032222222000001</v>
      </c>
      <c r="J2083" s="18">
        <v>26.09</v>
      </c>
      <c r="K2083" s="18">
        <v>25.96</v>
      </c>
      <c r="L2083" s="22">
        <v>2</v>
      </c>
    </row>
    <row r="2084" spans="1:12">
      <c r="A2084">
        <v>3</v>
      </c>
      <c r="B2084" s="16" t="s">
        <v>58</v>
      </c>
      <c r="C2084" s="9">
        <v>45809</v>
      </c>
      <c r="D2084">
        <v>6</v>
      </c>
      <c r="E2084" s="16" t="s">
        <v>89</v>
      </c>
      <c r="F2084" s="16" t="s">
        <v>90</v>
      </c>
      <c r="G2084" s="22">
        <v>16</v>
      </c>
      <c r="H2084" s="18">
        <v>414.84</v>
      </c>
      <c r="I2084" s="18">
        <v>25.927499999999998</v>
      </c>
      <c r="J2084" s="18">
        <v>26.13</v>
      </c>
      <c r="K2084" s="18">
        <v>25.59</v>
      </c>
      <c r="L2084" s="22">
        <v>2</v>
      </c>
    </row>
    <row r="2085" spans="1:12">
      <c r="A2085">
        <v>3</v>
      </c>
      <c r="B2085" s="16" t="s">
        <v>58</v>
      </c>
      <c r="C2085" s="9">
        <v>45839</v>
      </c>
      <c r="D2085">
        <v>6</v>
      </c>
      <c r="E2085" s="16" t="s">
        <v>89</v>
      </c>
      <c r="F2085" s="16" t="s">
        <v>90</v>
      </c>
      <c r="G2085" s="22">
        <v>24</v>
      </c>
      <c r="H2085" s="18">
        <v>629.04</v>
      </c>
      <c r="I2085" s="18">
        <v>26.21</v>
      </c>
      <c r="J2085" s="18">
        <v>26.45</v>
      </c>
      <c r="K2085" s="18">
        <v>25.87</v>
      </c>
      <c r="L2085" s="22">
        <v>3</v>
      </c>
    </row>
    <row r="2086" spans="1:12">
      <c r="A2086">
        <v>3</v>
      </c>
      <c r="B2086" s="16" t="s">
        <v>58</v>
      </c>
      <c r="C2086" s="9">
        <v>45870</v>
      </c>
      <c r="D2086">
        <v>6</v>
      </c>
      <c r="E2086" s="16" t="s">
        <v>89</v>
      </c>
      <c r="F2086" s="16" t="s">
        <v>90</v>
      </c>
      <c r="G2086" s="22">
        <v>16</v>
      </c>
      <c r="H2086" s="18">
        <v>416.96</v>
      </c>
      <c r="I2086" s="18">
        <v>26.06</v>
      </c>
      <c r="J2086" s="18">
        <v>26.12</v>
      </c>
      <c r="K2086" s="18">
        <v>26</v>
      </c>
      <c r="L2086" s="22">
        <v>2</v>
      </c>
    </row>
    <row r="2087" spans="1:12">
      <c r="A2087">
        <v>3</v>
      </c>
      <c r="B2087" s="16" t="s">
        <v>58</v>
      </c>
      <c r="C2087" s="9">
        <v>45901</v>
      </c>
      <c r="D2087">
        <v>6</v>
      </c>
      <c r="E2087" s="16" t="s">
        <v>89</v>
      </c>
      <c r="F2087" s="16" t="s">
        <v>90</v>
      </c>
      <c r="G2087" s="22">
        <v>18</v>
      </c>
      <c r="H2087" s="18">
        <v>472.62</v>
      </c>
      <c r="I2087" s="18">
        <v>26.256666667000001</v>
      </c>
      <c r="J2087" s="18">
        <v>26.51</v>
      </c>
      <c r="K2087" s="18">
        <v>25.94</v>
      </c>
      <c r="L2087" s="22">
        <v>2</v>
      </c>
    </row>
    <row r="2088" spans="1:12">
      <c r="A2088">
        <v>3</v>
      </c>
      <c r="B2088" s="16" t="s">
        <v>58</v>
      </c>
      <c r="C2088" s="9">
        <v>45931</v>
      </c>
      <c r="D2088">
        <v>6</v>
      </c>
      <c r="E2088" s="16" t="s">
        <v>89</v>
      </c>
      <c r="F2088" s="16" t="s">
        <v>90</v>
      </c>
      <c r="G2088" s="22">
        <v>16</v>
      </c>
      <c r="H2088" s="18">
        <v>412.32</v>
      </c>
      <c r="I2088" s="18">
        <v>25.77</v>
      </c>
      <c r="J2088" s="18">
        <v>26.49</v>
      </c>
      <c r="K2088" s="18">
        <v>25.05</v>
      </c>
      <c r="L2088" s="22">
        <v>2</v>
      </c>
    </row>
    <row r="2089" spans="1:12">
      <c r="A2089">
        <v>3</v>
      </c>
      <c r="B2089" s="16" t="s">
        <v>58</v>
      </c>
      <c r="C2089" s="9">
        <v>45962</v>
      </c>
      <c r="D2089">
        <v>6</v>
      </c>
      <c r="E2089" s="16" t="s">
        <v>89</v>
      </c>
      <c r="F2089" s="16" t="s">
        <v>90</v>
      </c>
      <c r="G2089" s="22">
        <v>18</v>
      </c>
      <c r="H2089" s="18">
        <v>471.86</v>
      </c>
      <c r="I2089" s="18">
        <v>26.214444444000002</v>
      </c>
      <c r="J2089" s="18">
        <v>26.47</v>
      </c>
      <c r="K2089" s="18">
        <v>26.01</v>
      </c>
      <c r="L2089" s="22">
        <v>2</v>
      </c>
    </row>
    <row r="2090" spans="1:12">
      <c r="A2090">
        <v>3</v>
      </c>
      <c r="B2090" s="16" t="s">
        <v>58</v>
      </c>
      <c r="C2090" s="9">
        <v>45992</v>
      </c>
      <c r="D2090">
        <v>6</v>
      </c>
      <c r="E2090" s="16" t="s">
        <v>89</v>
      </c>
      <c r="F2090" s="16" t="s">
        <v>90</v>
      </c>
      <c r="G2090" s="22">
        <v>30</v>
      </c>
      <c r="H2090" s="18">
        <v>774.2</v>
      </c>
      <c r="I2090" s="18">
        <v>25.806666666999998</v>
      </c>
      <c r="J2090" s="18">
        <v>26</v>
      </c>
      <c r="K2090" s="18">
        <v>25.44</v>
      </c>
      <c r="L2090" s="22">
        <v>3</v>
      </c>
    </row>
    <row r="2091" spans="1:12">
      <c r="A2091">
        <v>3</v>
      </c>
      <c r="B2091" s="16" t="s">
        <v>58</v>
      </c>
      <c r="C2091" s="9">
        <v>46023</v>
      </c>
      <c r="D2091">
        <v>6</v>
      </c>
      <c r="E2091" s="16" t="s">
        <v>89</v>
      </c>
      <c r="F2091" s="16" t="s">
        <v>90</v>
      </c>
      <c r="G2091" s="22">
        <v>18</v>
      </c>
      <c r="H2091" s="18">
        <v>466.54</v>
      </c>
      <c r="I2091" s="18">
        <v>25.918888889000002</v>
      </c>
      <c r="J2091" s="18">
        <v>25.98</v>
      </c>
      <c r="K2091" s="18">
        <v>25.87</v>
      </c>
      <c r="L2091" s="22">
        <v>2</v>
      </c>
    </row>
    <row r="2092" spans="1:12">
      <c r="A2092">
        <v>3</v>
      </c>
      <c r="B2092" s="16" t="s">
        <v>58</v>
      </c>
      <c r="C2092" s="9">
        <v>46054</v>
      </c>
      <c r="D2092">
        <v>6</v>
      </c>
      <c r="E2092" s="16" t="s">
        <v>89</v>
      </c>
      <c r="F2092" s="16" t="s">
        <v>90</v>
      </c>
      <c r="G2092" s="22">
        <v>20</v>
      </c>
      <c r="H2092" s="18">
        <v>523.79999999999995</v>
      </c>
      <c r="I2092" s="18">
        <v>26.19</v>
      </c>
      <c r="J2092" s="18">
        <v>26.25</v>
      </c>
      <c r="K2092" s="18">
        <v>26.13</v>
      </c>
      <c r="L2092" s="22">
        <v>2</v>
      </c>
    </row>
    <row r="2093" spans="1:12">
      <c r="A2093">
        <v>3</v>
      </c>
      <c r="B2093" s="16" t="s">
        <v>58</v>
      </c>
      <c r="C2093" s="9">
        <v>46082</v>
      </c>
      <c r="D2093">
        <v>6</v>
      </c>
      <c r="E2093" s="16" t="s">
        <v>89</v>
      </c>
      <c r="F2093" s="16" t="s">
        <v>90</v>
      </c>
      <c r="G2093" s="22">
        <v>20</v>
      </c>
      <c r="H2093" s="18">
        <v>517.1</v>
      </c>
      <c r="I2093" s="18">
        <v>25.855</v>
      </c>
      <c r="J2093" s="18">
        <v>25.97</v>
      </c>
      <c r="K2093" s="18">
        <v>25.74</v>
      </c>
      <c r="L2093" s="22">
        <v>2</v>
      </c>
    </row>
    <row r="2094" spans="1:12">
      <c r="A2094">
        <v>3</v>
      </c>
      <c r="B2094" s="16" t="s">
        <v>58</v>
      </c>
      <c r="C2094" s="9">
        <v>46113</v>
      </c>
      <c r="D2094">
        <v>6</v>
      </c>
      <c r="E2094" s="16" t="s">
        <v>89</v>
      </c>
      <c r="F2094" s="16" t="s">
        <v>90</v>
      </c>
      <c r="G2094" s="22">
        <v>18</v>
      </c>
      <c r="H2094" s="18">
        <v>468.9</v>
      </c>
      <c r="I2094" s="18">
        <v>26.05</v>
      </c>
      <c r="J2094" s="18">
        <v>26.49</v>
      </c>
      <c r="K2094" s="18">
        <v>25.5</v>
      </c>
      <c r="L2094" s="22">
        <v>2</v>
      </c>
    </row>
    <row r="2095" spans="1:12">
      <c r="A2095">
        <v>3</v>
      </c>
      <c r="B2095" s="16" t="s">
        <v>58</v>
      </c>
      <c r="C2095" s="9">
        <v>46143</v>
      </c>
      <c r="D2095">
        <v>6</v>
      </c>
      <c r="E2095" s="16" t="s">
        <v>89</v>
      </c>
      <c r="F2095" s="16" t="s">
        <v>90</v>
      </c>
      <c r="G2095" s="22">
        <v>18</v>
      </c>
      <c r="H2095" s="18">
        <v>471.16</v>
      </c>
      <c r="I2095" s="18">
        <v>26.175555555999999</v>
      </c>
      <c r="J2095" s="18">
        <v>26.7</v>
      </c>
      <c r="K2095" s="18">
        <v>25.52</v>
      </c>
      <c r="L2095" s="22">
        <v>2</v>
      </c>
    </row>
    <row r="2096" spans="1:12">
      <c r="A2096">
        <v>3</v>
      </c>
      <c r="B2096" s="16" t="s">
        <v>58</v>
      </c>
      <c r="C2096" s="9">
        <v>46174</v>
      </c>
      <c r="D2096">
        <v>6</v>
      </c>
      <c r="E2096" s="16" t="s">
        <v>89</v>
      </c>
      <c r="F2096" s="16" t="s">
        <v>90</v>
      </c>
      <c r="G2096" s="22">
        <v>26</v>
      </c>
      <c r="H2096" s="18">
        <v>686.1</v>
      </c>
      <c r="I2096" s="18">
        <v>26.388461538000001</v>
      </c>
      <c r="J2096" s="18">
        <v>26.52</v>
      </c>
      <c r="K2096" s="18">
        <v>26.28</v>
      </c>
      <c r="L2096" s="22">
        <v>3</v>
      </c>
    </row>
    <row r="2097" spans="1:12">
      <c r="A2097">
        <v>3</v>
      </c>
      <c r="B2097" s="16" t="s">
        <v>58</v>
      </c>
      <c r="C2097" s="9">
        <v>46204</v>
      </c>
      <c r="D2097">
        <v>6</v>
      </c>
      <c r="E2097" s="16" t="s">
        <v>89</v>
      </c>
      <c r="F2097" s="16" t="s">
        <v>90</v>
      </c>
      <c r="G2097" s="22">
        <v>16</v>
      </c>
      <c r="H2097" s="18">
        <v>419.44</v>
      </c>
      <c r="I2097" s="18">
        <v>26.215</v>
      </c>
      <c r="J2097" s="18">
        <v>26.46</v>
      </c>
      <c r="K2097" s="18">
        <v>25.97</v>
      </c>
      <c r="L2097" s="22">
        <v>2</v>
      </c>
    </row>
    <row r="2098" spans="1:12">
      <c r="A2098">
        <v>3</v>
      </c>
      <c r="B2098" s="16" t="s">
        <v>58</v>
      </c>
      <c r="C2098" s="9">
        <v>46235</v>
      </c>
      <c r="D2098">
        <v>6</v>
      </c>
      <c r="E2098" s="16" t="s">
        <v>89</v>
      </c>
      <c r="F2098" s="16" t="s">
        <v>90</v>
      </c>
      <c r="G2098" s="22">
        <v>14</v>
      </c>
      <c r="H2098" s="18">
        <v>355.52</v>
      </c>
      <c r="I2098" s="18">
        <v>25.394285713999999</v>
      </c>
      <c r="J2098" s="18">
        <v>25.68</v>
      </c>
      <c r="K2098" s="18">
        <v>25.18</v>
      </c>
      <c r="L2098" s="22">
        <v>2</v>
      </c>
    </row>
    <row r="2099" spans="1:12">
      <c r="A2099">
        <v>3</v>
      </c>
      <c r="B2099" s="16" t="s">
        <v>58</v>
      </c>
      <c r="C2099" s="9">
        <v>46266</v>
      </c>
      <c r="D2099">
        <v>6</v>
      </c>
      <c r="E2099" s="16" t="s">
        <v>89</v>
      </c>
      <c r="F2099" s="16" t="s">
        <v>90</v>
      </c>
      <c r="G2099" s="22">
        <v>16</v>
      </c>
      <c r="H2099" s="18">
        <v>409.76</v>
      </c>
      <c r="I2099" s="18">
        <v>25.61</v>
      </c>
      <c r="J2099" s="18">
        <v>25.9</v>
      </c>
      <c r="K2099" s="18">
        <v>25.32</v>
      </c>
      <c r="L2099" s="22">
        <v>2</v>
      </c>
    </row>
    <row r="2100" spans="1:12">
      <c r="A2100">
        <v>3</v>
      </c>
      <c r="B2100" s="16" t="s">
        <v>58</v>
      </c>
      <c r="C2100" s="9">
        <v>45689</v>
      </c>
      <c r="D2100">
        <v>7</v>
      </c>
      <c r="E2100" s="16" t="s">
        <v>91</v>
      </c>
      <c r="F2100" s="16" t="s">
        <v>92</v>
      </c>
      <c r="G2100" s="22">
        <v>164</v>
      </c>
      <c r="H2100" s="18">
        <v>113.4</v>
      </c>
      <c r="I2100" s="18">
        <v>0.69146341499999997</v>
      </c>
      <c r="J2100" s="18">
        <v>0.7</v>
      </c>
      <c r="K2100" s="18">
        <v>0.68</v>
      </c>
      <c r="L2100" s="22">
        <v>8</v>
      </c>
    </row>
    <row r="2101" spans="1:12">
      <c r="A2101">
        <v>3</v>
      </c>
      <c r="B2101" s="16" t="s">
        <v>58</v>
      </c>
      <c r="C2101" s="9">
        <v>45717</v>
      </c>
      <c r="D2101">
        <v>7</v>
      </c>
      <c r="E2101" s="16" t="s">
        <v>91</v>
      </c>
      <c r="F2101" s="16" t="s">
        <v>92</v>
      </c>
      <c r="G2101" s="22">
        <v>188</v>
      </c>
      <c r="H2101" s="18">
        <v>124.56</v>
      </c>
      <c r="I2101" s="18">
        <v>0.66255319099999999</v>
      </c>
      <c r="J2101" s="18">
        <v>0.67</v>
      </c>
      <c r="K2101" s="18">
        <v>0.65</v>
      </c>
      <c r="L2101" s="22">
        <v>9</v>
      </c>
    </row>
    <row r="2102" spans="1:12">
      <c r="A2102">
        <v>3</v>
      </c>
      <c r="B2102" s="16" t="s">
        <v>58</v>
      </c>
      <c r="C2102" s="9">
        <v>45748</v>
      </c>
      <c r="D2102">
        <v>7</v>
      </c>
      <c r="E2102" s="16" t="s">
        <v>91</v>
      </c>
      <c r="F2102" s="16" t="s">
        <v>92</v>
      </c>
      <c r="G2102" s="22">
        <v>226</v>
      </c>
      <c r="H2102" s="18">
        <v>140.4</v>
      </c>
      <c r="I2102" s="18">
        <v>0.62123893799999996</v>
      </c>
      <c r="J2102" s="18">
        <v>0.64</v>
      </c>
      <c r="K2102" s="18">
        <v>0.61</v>
      </c>
      <c r="L2102" s="22">
        <v>8</v>
      </c>
    </row>
    <row r="2103" spans="1:12">
      <c r="A2103">
        <v>3</v>
      </c>
      <c r="B2103" s="16" t="s">
        <v>58</v>
      </c>
      <c r="C2103" s="9">
        <v>45778</v>
      </c>
      <c r="D2103">
        <v>7</v>
      </c>
      <c r="E2103" s="16" t="s">
        <v>91</v>
      </c>
      <c r="F2103" s="16" t="s">
        <v>92</v>
      </c>
      <c r="G2103" s="22">
        <v>256</v>
      </c>
      <c r="H2103" s="18">
        <v>148.22</v>
      </c>
      <c r="I2103" s="18">
        <v>0.578984375</v>
      </c>
      <c r="J2103" s="18">
        <v>0.6</v>
      </c>
      <c r="K2103" s="18">
        <v>0.56000000000000005</v>
      </c>
      <c r="L2103" s="22">
        <v>9</v>
      </c>
    </row>
    <row r="2104" spans="1:12">
      <c r="A2104">
        <v>3</v>
      </c>
      <c r="B2104" s="16" t="s">
        <v>58</v>
      </c>
      <c r="C2104" s="9">
        <v>45809</v>
      </c>
      <c r="D2104">
        <v>7</v>
      </c>
      <c r="E2104" s="16" t="s">
        <v>91</v>
      </c>
      <c r="F2104" s="16" t="s">
        <v>92</v>
      </c>
      <c r="G2104" s="22">
        <v>218</v>
      </c>
      <c r="H2104" s="18">
        <v>120.94</v>
      </c>
      <c r="I2104" s="18">
        <v>0.55477064200000004</v>
      </c>
      <c r="J2104" s="18">
        <v>0.56000000000000005</v>
      </c>
      <c r="K2104" s="18">
        <v>0.54</v>
      </c>
      <c r="L2104" s="22">
        <v>9</v>
      </c>
    </row>
    <row r="2105" spans="1:12">
      <c r="A2105">
        <v>3</v>
      </c>
      <c r="B2105" s="16" t="s">
        <v>58</v>
      </c>
      <c r="C2105" s="9">
        <v>45839</v>
      </c>
      <c r="D2105">
        <v>7</v>
      </c>
      <c r="E2105" s="16" t="s">
        <v>91</v>
      </c>
      <c r="F2105" s="16" t="s">
        <v>92</v>
      </c>
      <c r="G2105" s="22">
        <v>248</v>
      </c>
      <c r="H2105" s="18">
        <v>137.16</v>
      </c>
      <c r="I2105" s="18">
        <v>0.55306451599999995</v>
      </c>
      <c r="J2105" s="18">
        <v>0.56000000000000005</v>
      </c>
      <c r="K2105" s="18">
        <v>0.54</v>
      </c>
      <c r="L2105" s="22">
        <v>9</v>
      </c>
    </row>
    <row r="2106" spans="1:12">
      <c r="A2106">
        <v>3</v>
      </c>
      <c r="B2106" s="16" t="s">
        <v>58</v>
      </c>
      <c r="C2106" s="9">
        <v>45870</v>
      </c>
      <c r="D2106">
        <v>7</v>
      </c>
      <c r="E2106" s="16" t="s">
        <v>91</v>
      </c>
      <c r="F2106" s="16" t="s">
        <v>92</v>
      </c>
      <c r="G2106" s="22">
        <v>196</v>
      </c>
      <c r="H2106" s="18">
        <v>110.7</v>
      </c>
      <c r="I2106" s="18">
        <v>0.56479591799999995</v>
      </c>
      <c r="J2106" s="18">
        <v>0.57999999999999996</v>
      </c>
      <c r="K2106" s="18">
        <v>0.56000000000000005</v>
      </c>
      <c r="L2106" s="22">
        <v>8</v>
      </c>
    </row>
    <row r="2107" spans="1:12">
      <c r="A2107">
        <v>3</v>
      </c>
      <c r="B2107" s="16" t="s">
        <v>58</v>
      </c>
      <c r="C2107" s="9">
        <v>45901</v>
      </c>
      <c r="D2107">
        <v>7</v>
      </c>
      <c r="E2107" s="16" t="s">
        <v>91</v>
      </c>
      <c r="F2107" s="16" t="s">
        <v>92</v>
      </c>
      <c r="G2107" s="22">
        <v>198</v>
      </c>
      <c r="H2107" s="18">
        <v>118.7</v>
      </c>
      <c r="I2107" s="18">
        <v>0.599494949</v>
      </c>
      <c r="J2107" s="18">
        <v>0.64</v>
      </c>
      <c r="K2107" s="18">
        <v>0.59</v>
      </c>
      <c r="L2107" s="22">
        <v>9</v>
      </c>
    </row>
    <row r="2108" spans="1:12">
      <c r="A2108">
        <v>3</v>
      </c>
      <c r="B2108" s="16" t="s">
        <v>58</v>
      </c>
      <c r="C2108" s="9">
        <v>45931</v>
      </c>
      <c r="D2108">
        <v>7</v>
      </c>
      <c r="E2108" s="16" t="s">
        <v>91</v>
      </c>
      <c r="F2108" s="16" t="s">
        <v>92</v>
      </c>
      <c r="G2108" s="22">
        <v>204</v>
      </c>
      <c r="H2108" s="18">
        <v>129.38</v>
      </c>
      <c r="I2108" s="18">
        <v>0.634215686</v>
      </c>
      <c r="J2108" s="18">
        <v>0.64</v>
      </c>
      <c r="K2108" s="18">
        <v>0.63</v>
      </c>
      <c r="L2108" s="22">
        <v>9</v>
      </c>
    </row>
    <row r="2109" spans="1:12">
      <c r="A2109">
        <v>3</v>
      </c>
      <c r="B2109" s="16" t="s">
        <v>58</v>
      </c>
      <c r="C2109" s="9">
        <v>45962</v>
      </c>
      <c r="D2109">
        <v>7</v>
      </c>
      <c r="E2109" s="16" t="s">
        <v>91</v>
      </c>
      <c r="F2109" s="16" t="s">
        <v>92</v>
      </c>
      <c r="G2109" s="22">
        <v>158</v>
      </c>
      <c r="H2109" s="18">
        <v>106.92</v>
      </c>
      <c r="I2109" s="18">
        <v>0.67670886100000005</v>
      </c>
      <c r="J2109" s="18">
        <v>0.69</v>
      </c>
      <c r="K2109" s="18">
        <v>0.66</v>
      </c>
      <c r="L2109" s="22">
        <v>8</v>
      </c>
    </row>
    <row r="2110" spans="1:12">
      <c r="A2110">
        <v>3</v>
      </c>
      <c r="B2110" s="16" t="s">
        <v>58</v>
      </c>
      <c r="C2110" s="9">
        <v>45992</v>
      </c>
      <c r="D2110">
        <v>7</v>
      </c>
      <c r="E2110" s="16" t="s">
        <v>91</v>
      </c>
      <c r="F2110" s="16" t="s">
        <v>92</v>
      </c>
      <c r="G2110" s="22">
        <v>200</v>
      </c>
      <c r="H2110" s="18">
        <v>140.18</v>
      </c>
      <c r="I2110" s="18">
        <v>0.70089999999999997</v>
      </c>
      <c r="J2110" s="18">
        <v>0.71</v>
      </c>
      <c r="K2110" s="18">
        <v>0.69</v>
      </c>
      <c r="L2110" s="22">
        <v>9</v>
      </c>
    </row>
    <row r="2111" spans="1:12">
      <c r="A2111">
        <v>3</v>
      </c>
      <c r="B2111" s="16" t="s">
        <v>58</v>
      </c>
      <c r="C2111" s="9">
        <v>46023</v>
      </c>
      <c r="D2111">
        <v>7</v>
      </c>
      <c r="E2111" s="16" t="s">
        <v>91</v>
      </c>
      <c r="F2111" s="16" t="s">
        <v>92</v>
      </c>
      <c r="G2111" s="22">
        <v>206</v>
      </c>
      <c r="H2111" s="18">
        <v>149.74</v>
      </c>
      <c r="I2111" s="18">
        <v>0.72689320400000001</v>
      </c>
      <c r="J2111" s="18">
        <v>0.76</v>
      </c>
      <c r="K2111" s="18">
        <v>0.7</v>
      </c>
      <c r="L2111" s="22">
        <v>9</v>
      </c>
    </row>
    <row r="2112" spans="1:12">
      <c r="A2112">
        <v>3</v>
      </c>
      <c r="B2112" s="16" t="s">
        <v>58</v>
      </c>
      <c r="C2112" s="9">
        <v>46054</v>
      </c>
      <c r="D2112">
        <v>7</v>
      </c>
      <c r="E2112" s="16" t="s">
        <v>91</v>
      </c>
      <c r="F2112" s="16" t="s">
        <v>92</v>
      </c>
      <c r="G2112" s="22">
        <v>172</v>
      </c>
      <c r="H2112" s="18">
        <v>120.82</v>
      </c>
      <c r="I2112" s="18">
        <v>0.70244185999999997</v>
      </c>
      <c r="J2112" s="18">
        <v>0.72</v>
      </c>
      <c r="K2112" s="18">
        <v>0.69</v>
      </c>
      <c r="L2112" s="22">
        <v>8</v>
      </c>
    </row>
    <row r="2113" spans="1:12">
      <c r="A2113">
        <v>3</v>
      </c>
      <c r="B2113" s="16" t="s">
        <v>58</v>
      </c>
      <c r="C2113" s="9">
        <v>46082</v>
      </c>
      <c r="D2113">
        <v>7</v>
      </c>
      <c r="E2113" s="16" t="s">
        <v>91</v>
      </c>
      <c r="F2113" s="16" t="s">
        <v>92</v>
      </c>
      <c r="G2113" s="22">
        <v>198</v>
      </c>
      <c r="H2113" s="18">
        <v>135.19999999999999</v>
      </c>
      <c r="I2113" s="18">
        <v>0.68282828299999998</v>
      </c>
      <c r="J2113" s="18">
        <v>0.69</v>
      </c>
      <c r="K2113" s="18">
        <v>0.67</v>
      </c>
      <c r="L2113" s="22">
        <v>9</v>
      </c>
    </row>
    <row r="2114" spans="1:12">
      <c r="A2114">
        <v>3</v>
      </c>
      <c r="B2114" s="16" t="s">
        <v>58</v>
      </c>
      <c r="C2114" s="9">
        <v>46113</v>
      </c>
      <c r="D2114">
        <v>7</v>
      </c>
      <c r="E2114" s="16" t="s">
        <v>91</v>
      </c>
      <c r="F2114" s="16" t="s">
        <v>92</v>
      </c>
      <c r="G2114" s="22">
        <v>224</v>
      </c>
      <c r="H2114" s="18">
        <v>142.32</v>
      </c>
      <c r="I2114" s="18">
        <v>0.63535714300000001</v>
      </c>
      <c r="J2114" s="18">
        <v>0.65</v>
      </c>
      <c r="K2114" s="18">
        <v>0.62</v>
      </c>
      <c r="L2114" s="22">
        <v>9</v>
      </c>
    </row>
    <row r="2115" spans="1:12">
      <c r="A2115">
        <v>3</v>
      </c>
      <c r="B2115" s="16" t="s">
        <v>58</v>
      </c>
      <c r="C2115" s="9">
        <v>46143</v>
      </c>
      <c r="D2115">
        <v>7</v>
      </c>
      <c r="E2115" s="16" t="s">
        <v>91</v>
      </c>
      <c r="F2115" s="16" t="s">
        <v>92</v>
      </c>
      <c r="G2115" s="22">
        <v>210</v>
      </c>
      <c r="H2115" s="18">
        <v>125.9</v>
      </c>
      <c r="I2115" s="18">
        <v>0.59952380999999999</v>
      </c>
      <c r="J2115" s="18">
        <v>0.61</v>
      </c>
      <c r="K2115" s="18">
        <v>0.59</v>
      </c>
      <c r="L2115" s="22">
        <v>8</v>
      </c>
    </row>
    <row r="2116" spans="1:12">
      <c r="A2116">
        <v>3</v>
      </c>
      <c r="B2116" s="16" t="s">
        <v>58</v>
      </c>
      <c r="C2116" s="9">
        <v>46174</v>
      </c>
      <c r="D2116">
        <v>7</v>
      </c>
      <c r="E2116" s="16" t="s">
        <v>91</v>
      </c>
      <c r="F2116" s="16" t="s">
        <v>92</v>
      </c>
      <c r="G2116" s="22">
        <v>252</v>
      </c>
      <c r="H2116" s="18">
        <v>143.88</v>
      </c>
      <c r="I2116" s="18">
        <v>0.57095238100000001</v>
      </c>
      <c r="J2116" s="18">
        <v>0.57999999999999996</v>
      </c>
      <c r="K2116" s="18">
        <v>0.56000000000000005</v>
      </c>
      <c r="L2116" s="22">
        <v>9</v>
      </c>
    </row>
    <row r="2117" spans="1:12">
      <c r="A2117">
        <v>3</v>
      </c>
      <c r="B2117" s="16" t="s">
        <v>58</v>
      </c>
      <c r="C2117" s="9">
        <v>46204</v>
      </c>
      <c r="D2117">
        <v>7</v>
      </c>
      <c r="E2117" s="16" t="s">
        <v>91</v>
      </c>
      <c r="F2117" s="16" t="s">
        <v>92</v>
      </c>
      <c r="G2117" s="22">
        <v>254</v>
      </c>
      <c r="H2117" s="18">
        <v>142.47999999999999</v>
      </c>
      <c r="I2117" s="18">
        <v>0.56094488200000003</v>
      </c>
      <c r="J2117" s="18">
        <v>0.56999999999999995</v>
      </c>
      <c r="K2117" s="18">
        <v>0.55000000000000004</v>
      </c>
      <c r="L2117" s="22">
        <v>9</v>
      </c>
    </row>
    <row r="2118" spans="1:12">
      <c r="A2118">
        <v>3</v>
      </c>
      <c r="B2118" s="16" t="s">
        <v>58</v>
      </c>
      <c r="C2118" s="9">
        <v>46235</v>
      </c>
      <c r="D2118">
        <v>7</v>
      </c>
      <c r="E2118" s="16" t="s">
        <v>91</v>
      </c>
      <c r="F2118" s="16" t="s">
        <v>92</v>
      </c>
      <c r="G2118" s="22">
        <v>220</v>
      </c>
      <c r="H2118" s="18">
        <v>128.18</v>
      </c>
      <c r="I2118" s="18">
        <v>0.58263636399999996</v>
      </c>
      <c r="J2118" s="18">
        <v>0.59</v>
      </c>
      <c r="K2118" s="18">
        <v>0.56999999999999995</v>
      </c>
      <c r="L2118" s="22">
        <v>9</v>
      </c>
    </row>
    <row r="2119" spans="1:12">
      <c r="A2119">
        <v>3</v>
      </c>
      <c r="B2119" s="16" t="s">
        <v>58</v>
      </c>
      <c r="C2119" s="9">
        <v>46266</v>
      </c>
      <c r="D2119">
        <v>7</v>
      </c>
      <c r="E2119" s="16" t="s">
        <v>91</v>
      </c>
      <c r="F2119" s="16" t="s">
        <v>92</v>
      </c>
      <c r="G2119" s="22">
        <v>198</v>
      </c>
      <c r="H2119" s="18">
        <v>121.66</v>
      </c>
      <c r="I2119" s="18">
        <v>0.61444444399999998</v>
      </c>
      <c r="J2119" s="18">
        <v>0.63</v>
      </c>
      <c r="K2119" s="18">
        <v>0.61</v>
      </c>
      <c r="L2119" s="22">
        <v>8</v>
      </c>
    </row>
    <row r="2120" spans="1:12">
      <c r="A2120">
        <v>3</v>
      </c>
      <c r="B2120" s="16" t="s">
        <v>58</v>
      </c>
      <c r="C2120" s="9">
        <v>45689</v>
      </c>
      <c r="D2120">
        <v>8</v>
      </c>
      <c r="E2120" s="16" t="s">
        <v>93</v>
      </c>
      <c r="F2120" s="16" t="s">
        <v>83</v>
      </c>
      <c r="G2120" s="22">
        <v>116.25</v>
      </c>
      <c r="H2120" s="18">
        <v>2168.1875</v>
      </c>
      <c r="I2120" s="18">
        <v>18.651075269</v>
      </c>
      <c r="J2120" s="18">
        <v>18.86</v>
      </c>
      <c r="K2120" s="18">
        <v>18.32</v>
      </c>
      <c r="L2120" s="22">
        <v>8</v>
      </c>
    </row>
    <row r="2121" spans="1:12">
      <c r="A2121">
        <v>3</v>
      </c>
      <c r="B2121" s="16" t="s">
        <v>58</v>
      </c>
      <c r="C2121" s="9">
        <v>45717</v>
      </c>
      <c r="D2121">
        <v>8</v>
      </c>
      <c r="E2121" s="16" t="s">
        <v>93</v>
      </c>
      <c r="F2121" s="16" t="s">
        <v>83</v>
      </c>
      <c r="G2121" s="22">
        <v>111.25</v>
      </c>
      <c r="H2121" s="18">
        <v>2083.5374999999999</v>
      </c>
      <c r="I2121" s="18">
        <v>18.728426966000001</v>
      </c>
      <c r="J2121" s="18">
        <v>19.059999999999999</v>
      </c>
      <c r="K2121" s="18">
        <v>18.45</v>
      </c>
      <c r="L2121" s="22">
        <v>8</v>
      </c>
    </row>
    <row r="2122" spans="1:12">
      <c r="A2122">
        <v>3</v>
      </c>
      <c r="B2122" s="16" t="s">
        <v>58</v>
      </c>
      <c r="C2122" s="9">
        <v>45748</v>
      </c>
      <c r="D2122">
        <v>8</v>
      </c>
      <c r="E2122" s="16" t="s">
        <v>93</v>
      </c>
      <c r="F2122" s="16" t="s">
        <v>83</v>
      </c>
      <c r="G2122" s="22">
        <v>155</v>
      </c>
      <c r="H2122" s="18">
        <v>2942.375</v>
      </c>
      <c r="I2122" s="18">
        <v>18.983064515999999</v>
      </c>
      <c r="J2122" s="18">
        <v>19.34</v>
      </c>
      <c r="K2122" s="18">
        <v>18.600000000000001</v>
      </c>
      <c r="L2122" s="22">
        <v>9</v>
      </c>
    </row>
    <row r="2123" spans="1:12">
      <c r="A2123">
        <v>3</v>
      </c>
      <c r="B2123" s="16" t="s">
        <v>58</v>
      </c>
      <c r="C2123" s="9">
        <v>45778</v>
      </c>
      <c r="D2123">
        <v>8</v>
      </c>
      <c r="E2123" s="16" t="s">
        <v>93</v>
      </c>
      <c r="F2123" s="16" t="s">
        <v>83</v>
      </c>
      <c r="G2123" s="22">
        <v>166.25</v>
      </c>
      <c r="H2123" s="18">
        <v>3120.125</v>
      </c>
      <c r="I2123" s="18">
        <v>18.767669173000002</v>
      </c>
      <c r="J2123" s="18">
        <v>19.22</v>
      </c>
      <c r="K2123" s="18">
        <v>18.559999999999999</v>
      </c>
      <c r="L2123" s="22">
        <v>9</v>
      </c>
    </row>
    <row r="2124" spans="1:12">
      <c r="A2124">
        <v>3</v>
      </c>
      <c r="B2124" s="16" t="s">
        <v>58</v>
      </c>
      <c r="C2124" s="9">
        <v>45809</v>
      </c>
      <c r="D2124">
        <v>8</v>
      </c>
      <c r="E2124" s="16" t="s">
        <v>93</v>
      </c>
      <c r="F2124" s="16" t="s">
        <v>83</v>
      </c>
      <c r="G2124" s="22">
        <v>136.25</v>
      </c>
      <c r="H2124" s="18">
        <v>2588.0124999999998</v>
      </c>
      <c r="I2124" s="18">
        <v>18.994587156000001</v>
      </c>
      <c r="J2124" s="18">
        <v>19.41</v>
      </c>
      <c r="K2124" s="18">
        <v>18.66</v>
      </c>
      <c r="L2124" s="22">
        <v>8</v>
      </c>
    </row>
    <row r="2125" spans="1:12">
      <c r="A2125">
        <v>3</v>
      </c>
      <c r="B2125" s="16" t="s">
        <v>58</v>
      </c>
      <c r="C2125" s="9">
        <v>45839</v>
      </c>
      <c r="D2125">
        <v>8</v>
      </c>
      <c r="E2125" s="16" t="s">
        <v>93</v>
      </c>
      <c r="F2125" s="16" t="s">
        <v>83</v>
      </c>
      <c r="G2125" s="22">
        <v>168.75</v>
      </c>
      <c r="H2125" s="18">
        <v>3198.0625</v>
      </c>
      <c r="I2125" s="18">
        <v>18.951481480999998</v>
      </c>
      <c r="J2125" s="18">
        <v>19.22</v>
      </c>
      <c r="K2125" s="18">
        <v>18.72</v>
      </c>
      <c r="L2125" s="22">
        <v>10</v>
      </c>
    </row>
    <row r="2126" spans="1:12">
      <c r="A2126">
        <v>3</v>
      </c>
      <c r="B2126" s="16" t="s">
        <v>58</v>
      </c>
      <c r="C2126" s="9">
        <v>45870</v>
      </c>
      <c r="D2126">
        <v>8</v>
      </c>
      <c r="E2126" s="16" t="s">
        <v>93</v>
      </c>
      <c r="F2126" s="16" t="s">
        <v>83</v>
      </c>
      <c r="G2126" s="22">
        <v>131.25</v>
      </c>
      <c r="H2126" s="18">
        <v>2494.7125000000001</v>
      </c>
      <c r="I2126" s="18">
        <v>19.007333332999998</v>
      </c>
      <c r="J2126" s="18">
        <v>19.39</v>
      </c>
      <c r="K2126" s="18">
        <v>18.32</v>
      </c>
      <c r="L2126" s="22">
        <v>8</v>
      </c>
    </row>
    <row r="2127" spans="1:12">
      <c r="A2127">
        <v>3</v>
      </c>
      <c r="B2127" s="16" t="s">
        <v>58</v>
      </c>
      <c r="C2127" s="9">
        <v>45901</v>
      </c>
      <c r="D2127">
        <v>8</v>
      </c>
      <c r="E2127" s="16" t="s">
        <v>93</v>
      </c>
      <c r="F2127" s="16" t="s">
        <v>83</v>
      </c>
      <c r="G2127" s="22">
        <v>135</v>
      </c>
      <c r="H2127" s="18">
        <v>2543.2874999999999</v>
      </c>
      <c r="I2127" s="18">
        <v>18.839166667000001</v>
      </c>
      <c r="J2127" s="18">
        <v>19.27</v>
      </c>
      <c r="K2127" s="18">
        <v>18.43</v>
      </c>
      <c r="L2127" s="22">
        <v>9</v>
      </c>
    </row>
    <row r="2128" spans="1:12">
      <c r="A2128">
        <v>3</v>
      </c>
      <c r="B2128" s="16" t="s">
        <v>58</v>
      </c>
      <c r="C2128" s="9">
        <v>45931</v>
      </c>
      <c r="D2128">
        <v>8</v>
      </c>
      <c r="E2128" s="16" t="s">
        <v>93</v>
      </c>
      <c r="F2128" s="16" t="s">
        <v>83</v>
      </c>
      <c r="G2128" s="22">
        <v>137.5</v>
      </c>
      <c r="H2128" s="18">
        <v>2626.35</v>
      </c>
      <c r="I2128" s="18">
        <v>19.100727273</v>
      </c>
      <c r="J2128" s="18">
        <v>19.46</v>
      </c>
      <c r="K2128" s="18">
        <v>18.73</v>
      </c>
      <c r="L2128" s="22">
        <v>9</v>
      </c>
    </row>
    <row r="2129" spans="1:12">
      <c r="A2129">
        <v>3</v>
      </c>
      <c r="B2129" s="16" t="s">
        <v>58</v>
      </c>
      <c r="C2129" s="9">
        <v>45962</v>
      </c>
      <c r="D2129">
        <v>8</v>
      </c>
      <c r="E2129" s="16" t="s">
        <v>93</v>
      </c>
      <c r="F2129" s="16" t="s">
        <v>83</v>
      </c>
      <c r="G2129" s="22">
        <v>112.5</v>
      </c>
      <c r="H2129" s="18">
        <v>2157.875</v>
      </c>
      <c r="I2129" s="18">
        <v>19.181111111</v>
      </c>
      <c r="J2129" s="18">
        <v>19.600000000000001</v>
      </c>
      <c r="K2129" s="18">
        <v>18.64</v>
      </c>
      <c r="L2129" s="22">
        <v>8</v>
      </c>
    </row>
    <row r="2130" spans="1:12">
      <c r="A2130">
        <v>3</v>
      </c>
      <c r="B2130" s="16" t="s">
        <v>58</v>
      </c>
      <c r="C2130" s="9">
        <v>45992</v>
      </c>
      <c r="D2130">
        <v>8</v>
      </c>
      <c r="E2130" s="16" t="s">
        <v>93</v>
      </c>
      <c r="F2130" s="16" t="s">
        <v>83</v>
      </c>
      <c r="G2130" s="22">
        <v>141.25</v>
      </c>
      <c r="H2130" s="18">
        <v>2732.4124999999999</v>
      </c>
      <c r="I2130" s="18">
        <v>19.344513274000001</v>
      </c>
      <c r="J2130" s="18">
        <v>19.809999999999999</v>
      </c>
      <c r="K2130" s="18">
        <v>19.11</v>
      </c>
      <c r="L2130" s="22">
        <v>9</v>
      </c>
    </row>
    <row r="2131" spans="1:12">
      <c r="A2131">
        <v>3</v>
      </c>
      <c r="B2131" s="16" t="s">
        <v>58</v>
      </c>
      <c r="C2131" s="9">
        <v>46023</v>
      </c>
      <c r="D2131">
        <v>8</v>
      </c>
      <c r="E2131" s="16" t="s">
        <v>93</v>
      </c>
      <c r="F2131" s="16" t="s">
        <v>83</v>
      </c>
      <c r="G2131" s="22">
        <v>152.5</v>
      </c>
      <c r="H2131" s="18">
        <v>2981.9124999999999</v>
      </c>
      <c r="I2131" s="18">
        <v>19.553524589999999</v>
      </c>
      <c r="J2131" s="18">
        <v>19.87</v>
      </c>
      <c r="K2131" s="18">
        <v>19.11</v>
      </c>
      <c r="L2131" s="22">
        <v>9</v>
      </c>
    </row>
    <row r="2132" spans="1:12">
      <c r="A2132">
        <v>3</v>
      </c>
      <c r="B2132" s="16" t="s">
        <v>58</v>
      </c>
      <c r="C2132" s="9">
        <v>46054</v>
      </c>
      <c r="D2132">
        <v>8</v>
      </c>
      <c r="E2132" s="16" t="s">
        <v>93</v>
      </c>
      <c r="F2132" s="16" t="s">
        <v>83</v>
      </c>
      <c r="G2132" s="22">
        <v>122.5</v>
      </c>
      <c r="H2132" s="18">
        <v>2425.6125000000002</v>
      </c>
      <c r="I2132" s="18">
        <v>19.800918367000001</v>
      </c>
      <c r="J2132" s="18">
        <v>20.12</v>
      </c>
      <c r="K2132" s="18">
        <v>19.54</v>
      </c>
      <c r="L2132" s="22">
        <v>8</v>
      </c>
    </row>
    <row r="2133" spans="1:12">
      <c r="A2133">
        <v>3</v>
      </c>
      <c r="B2133" s="16" t="s">
        <v>58</v>
      </c>
      <c r="C2133" s="9">
        <v>46082</v>
      </c>
      <c r="D2133">
        <v>8</v>
      </c>
      <c r="E2133" s="16" t="s">
        <v>93</v>
      </c>
      <c r="F2133" s="16" t="s">
        <v>83</v>
      </c>
      <c r="G2133" s="22">
        <v>137.5</v>
      </c>
      <c r="H2133" s="18">
        <v>2712.3375000000001</v>
      </c>
      <c r="I2133" s="18">
        <v>19.726090909</v>
      </c>
      <c r="J2133" s="18">
        <v>20.170000000000002</v>
      </c>
      <c r="K2133" s="18">
        <v>19.37</v>
      </c>
      <c r="L2133" s="22">
        <v>9</v>
      </c>
    </row>
    <row r="2134" spans="1:12">
      <c r="A2134">
        <v>3</v>
      </c>
      <c r="B2134" s="16" t="s">
        <v>58</v>
      </c>
      <c r="C2134" s="9">
        <v>46113</v>
      </c>
      <c r="D2134">
        <v>8</v>
      </c>
      <c r="E2134" s="16" t="s">
        <v>93</v>
      </c>
      <c r="F2134" s="16" t="s">
        <v>83</v>
      </c>
      <c r="G2134" s="22">
        <v>160</v>
      </c>
      <c r="H2134" s="18">
        <v>3149.9749999999999</v>
      </c>
      <c r="I2134" s="18">
        <v>19.68734375</v>
      </c>
      <c r="J2134" s="18">
        <v>20.07</v>
      </c>
      <c r="K2134" s="18">
        <v>19.510000000000002</v>
      </c>
      <c r="L2134" s="22">
        <v>9</v>
      </c>
    </row>
    <row r="2135" spans="1:12">
      <c r="A2135">
        <v>3</v>
      </c>
      <c r="B2135" s="16" t="s">
        <v>58</v>
      </c>
      <c r="C2135" s="9">
        <v>46143</v>
      </c>
      <c r="D2135">
        <v>8</v>
      </c>
      <c r="E2135" s="16" t="s">
        <v>93</v>
      </c>
      <c r="F2135" s="16" t="s">
        <v>83</v>
      </c>
      <c r="G2135" s="22">
        <v>131.25</v>
      </c>
      <c r="H2135" s="18">
        <v>2621.5625</v>
      </c>
      <c r="I2135" s="18">
        <v>19.973809524</v>
      </c>
      <c r="J2135" s="18">
        <v>21.31</v>
      </c>
      <c r="K2135" s="18">
        <v>19.25</v>
      </c>
      <c r="L2135" s="22">
        <v>8</v>
      </c>
    </row>
    <row r="2136" spans="1:12">
      <c r="A2136">
        <v>3</v>
      </c>
      <c r="B2136" s="16" t="s">
        <v>58</v>
      </c>
      <c r="C2136" s="9">
        <v>46174</v>
      </c>
      <c r="D2136">
        <v>8</v>
      </c>
      <c r="E2136" s="16" t="s">
        <v>93</v>
      </c>
      <c r="F2136" s="16" t="s">
        <v>83</v>
      </c>
      <c r="G2136" s="22">
        <v>158.75</v>
      </c>
      <c r="H2136" s="18">
        <v>3112.7</v>
      </c>
      <c r="I2136" s="18">
        <v>19.607559054999999</v>
      </c>
      <c r="J2136" s="18">
        <v>20.04</v>
      </c>
      <c r="K2136" s="18">
        <v>19.350000000000001</v>
      </c>
      <c r="L2136" s="22">
        <v>9</v>
      </c>
    </row>
    <row r="2137" spans="1:12">
      <c r="A2137">
        <v>3</v>
      </c>
      <c r="B2137" s="16" t="s">
        <v>58</v>
      </c>
      <c r="C2137" s="9">
        <v>46204</v>
      </c>
      <c r="D2137">
        <v>8</v>
      </c>
      <c r="E2137" s="16" t="s">
        <v>93</v>
      </c>
      <c r="F2137" s="16" t="s">
        <v>83</v>
      </c>
      <c r="G2137" s="22">
        <v>157.5</v>
      </c>
      <c r="H2137" s="18">
        <v>3093.7375000000002</v>
      </c>
      <c r="I2137" s="18">
        <v>19.642777777999999</v>
      </c>
      <c r="J2137" s="18">
        <v>20.04</v>
      </c>
      <c r="K2137" s="18">
        <v>19.3</v>
      </c>
      <c r="L2137" s="22">
        <v>9</v>
      </c>
    </row>
    <row r="2138" spans="1:12">
      <c r="A2138">
        <v>3</v>
      </c>
      <c r="B2138" s="16" t="s">
        <v>58</v>
      </c>
      <c r="C2138" s="9">
        <v>46235</v>
      </c>
      <c r="D2138">
        <v>8</v>
      </c>
      <c r="E2138" s="16" t="s">
        <v>93</v>
      </c>
      <c r="F2138" s="16" t="s">
        <v>83</v>
      </c>
      <c r="G2138" s="22">
        <v>117.5</v>
      </c>
      <c r="H2138" s="18">
        <v>2288.625</v>
      </c>
      <c r="I2138" s="18">
        <v>19.477659574</v>
      </c>
      <c r="J2138" s="18">
        <v>19.940000000000001</v>
      </c>
      <c r="K2138" s="18">
        <v>19.12</v>
      </c>
      <c r="L2138" s="22">
        <v>8</v>
      </c>
    </row>
    <row r="2139" spans="1:12">
      <c r="A2139">
        <v>3</v>
      </c>
      <c r="B2139" s="16" t="s">
        <v>58</v>
      </c>
      <c r="C2139" s="9">
        <v>46266</v>
      </c>
      <c r="D2139">
        <v>8</v>
      </c>
      <c r="E2139" s="16" t="s">
        <v>93</v>
      </c>
      <c r="F2139" s="16" t="s">
        <v>83</v>
      </c>
      <c r="G2139" s="22">
        <v>137.5</v>
      </c>
      <c r="H2139" s="18">
        <v>2673.8</v>
      </c>
      <c r="I2139" s="18">
        <v>19.445818182</v>
      </c>
      <c r="J2139" s="18">
        <v>19.97</v>
      </c>
      <c r="K2139" s="18">
        <v>19.27</v>
      </c>
      <c r="L2139" s="22">
        <v>9</v>
      </c>
    </row>
    <row r="2140" spans="1:12">
      <c r="A2140">
        <v>3</v>
      </c>
      <c r="B2140" s="16" t="s">
        <v>58</v>
      </c>
      <c r="C2140" s="9">
        <v>45689</v>
      </c>
      <c r="D2140">
        <v>10</v>
      </c>
      <c r="E2140" s="16" t="s">
        <v>95</v>
      </c>
      <c r="F2140" s="16" t="s">
        <v>83</v>
      </c>
      <c r="G2140" s="22">
        <v>30</v>
      </c>
      <c r="H2140" s="18">
        <v>445</v>
      </c>
      <c r="I2140" s="18">
        <v>14.833333333000001</v>
      </c>
      <c r="J2140" s="18">
        <v>15.55</v>
      </c>
      <c r="K2140" s="18">
        <v>14.51</v>
      </c>
      <c r="L2140" s="22">
        <v>6</v>
      </c>
    </row>
    <row r="2141" spans="1:12">
      <c r="A2141">
        <v>3</v>
      </c>
      <c r="B2141" s="16" t="s">
        <v>58</v>
      </c>
      <c r="C2141" s="9">
        <v>45717</v>
      </c>
      <c r="D2141">
        <v>10</v>
      </c>
      <c r="E2141" s="16" t="s">
        <v>95</v>
      </c>
      <c r="F2141" s="16" t="s">
        <v>83</v>
      </c>
      <c r="G2141" s="22">
        <v>25</v>
      </c>
      <c r="H2141" s="18">
        <v>370.05</v>
      </c>
      <c r="I2141" s="18">
        <v>14.802</v>
      </c>
      <c r="J2141" s="18">
        <v>15.03</v>
      </c>
      <c r="K2141" s="18">
        <v>14.53</v>
      </c>
      <c r="L2141" s="22">
        <v>5</v>
      </c>
    </row>
    <row r="2142" spans="1:12">
      <c r="A2142">
        <v>3</v>
      </c>
      <c r="B2142" s="16" t="s">
        <v>58</v>
      </c>
      <c r="C2142" s="9">
        <v>45748</v>
      </c>
      <c r="D2142">
        <v>10</v>
      </c>
      <c r="E2142" s="16" t="s">
        <v>95</v>
      </c>
      <c r="F2142" s="16" t="s">
        <v>83</v>
      </c>
      <c r="G2142" s="22">
        <v>40</v>
      </c>
      <c r="H2142" s="18">
        <v>590.9</v>
      </c>
      <c r="I2142" s="18">
        <v>14.772500000000001</v>
      </c>
      <c r="J2142" s="18">
        <v>14.92</v>
      </c>
      <c r="K2142" s="18">
        <v>14.55</v>
      </c>
      <c r="L2142" s="22">
        <v>7</v>
      </c>
    </row>
    <row r="2143" spans="1:12">
      <c r="A2143">
        <v>3</v>
      </c>
      <c r="B2143" s="16" t="s">
        <v>58</v>
      </c>
      <c r="C2143" s="9">
        <v>45778</v>
      </c>
      <c r="D2143">
        <v>10</v>
      </c>
      <c r="E2143" s="16" t="s">
        <v>95</v>
      </c>
      <c r="F2143" s="16" t="s">
        <v>83</v>
      </c>
      <c r="G2143" s="22">
        <v>35</v>
      </c>
      <c r="H2143" s="18">
        <v>524.95000000000005</v>
      </c>
      <c r="I2143" s="18">
        <v>14.998571429</v>
      </c>
      <c r="J2143" s="18">
        <v>15.18</v>
      </c>
      <c r="K2143" s="18">
        <v>14.81</v>
      </c>
      <c r="L2143" s="22">
        <v>7</v>
      </c>
    </row>
    <row r="2144" spans="1:12">
      <c r="A2144">
        <v>3</v>
      </c>
      <c r="B2144" s="16" t="s">
        <v>58</v>
      </c>
      <c r="C2144" s="9">
        <v>45809</v>
      </c>
      <c r="D2144">
        <v>10</v>
      </c>
      <c r="E2144" s="16" t="s">
        <v>95</v>
      </c>
      <c r="F2144" s="16" t="s">
        <v>83</v>
      </c>
      <c r="G2144" s="22">
        <v>30</v>
      </c>
      <c r="H2144" s="18">
        <v>449.75</v>
      </c>
      <c r="I2144" s="18">
        <v>14.991666667000001</v>
      </c>
      <c r="J2144" s="18">
        <v>15.17</v>
      </c>
      <c r="K2144" s="18">
        <v>14.7</v>
      </c>
      <c r="L2144" s="22">
        <v>6</v>
      </c>
    </row>
    <row r="2145" spans="1:12">
      <c r="A2145">
        <v>3</v>
      </c>
      <c r="B2145" s="16" t="s">
        <v>58</v>
      </c>
      <c r="C2145" s="9">
        <v>45839</v>
      </c>
      <c r="D2145">
        <v>10</v>
      </c>
      <c r="E2145" s="16" t="s">
        <v>95</v>
      </c>
      <c r="F2145" s="16" t="s">
        <v>83</v>
      </c>
      <c r="G2145" s="22">
        <v>30</v>
      </c>
      <c r="H2145" s="18">
        <v>482.1</v>
      </c>
      <c r="I2145" s="18">
        <v>16.07</v>
      </c>
      <c r="J2145" s="18">
        <v>16.399999999999999</v>
      </c>
      <c r="K2145" s="18">
        <v>15.77</v>
      </c>
      <c r="L2145" s="22">
        <v>6</v>
      </c>
    </row>
    <row r="2146" spans="1:12">
      <c r="A2146">
        <v>3</v>
      </c>
      <c r="B2146" s="16" t="s">
        <v>58</v>
      </c>
      <c r="C2146" s="9">
        <v>45870</v>
      </c>
      <c r="D2146">
        <v>10</v>
      </c>
      <c r="E2146" s="16" t="s">
        <v>95</v>
      </c>
      <c r="F2146" s="16" t="s">
        <v>83</v>
      </c>
      <c r="G2146" s="22">
        <v>35</v>
      </c>
      <c r="H2146" s="18">
        <v>562.79999999999995</v>
      </c>
      <c r="I2146" s="18">
        <v>16.079999999999998</v>
      </c>
      <c r="J2146" s="18">
        <v>16.36</v>
      </c>
      <c r="K2146" s="18">
        <v>15.78</v>
      </c>
      <c r="L2146" s="22">
        <v>7</v>
      </c>
    </row>
    <row r="2147" spans="1:12">
      <c r="A2147">
        <v>3</v>
      </c>
      <c r="B2147" s="16" t="s">
        <v>58</v>
      </c>
      <c r="C2147" s="9">
        <v>45901</v>
      </c>
      <c r="D2147">
        <v>10</v>
      </c>
      <c r="E2147" s="16" t="s">
        <v>95</v>
      </c>
      <c r="F2147" s="16" t="s">
        <v>83</v>
      </c>
      <c r="G2147" s="22">
        <v>40</v>
      </c>
      <c r="H2147" s="18">
        <v>647.95000000000005</v>
      </c>
      <c r="I2147" s="18">
        <v>16.19875</v>
      </c>
      <c r="J2147" s="18">
        <v>17.27</v>
      </c>
      <c r="K2147" s="18">
        <v>15.6</v>
      </c>
      <c r="L2147" s="22">
        <v>8</v>
      </c>
    </row>
    <row r="2148" spans="1:12">
      <c r="A2148">
        <v>3</v>
      </c>
      <c r="B2148" s="16" t="s">
        <v>58</v>
      </c>
      <c r="C2148" s="9">
        <v>45931</v>
      </c>
      <c r="D2148">
        <v>10</v>
      </c>
      <c r="E2148" s="16" t="s">
        <v>95</v>
      </c>
      <c r="F2148" s="16" t="s">
        <v>83</v>
      </c>
      <c r="G2148" s="22">
        <v>30</v>
      </c>
      <c r="H2148" s="18">
        <v>491.25</v>
      </c>
      <c r="I2148" s="18">
        <v>16.375</v>
      </c>
      <c r="J2148" s="18">
        <v>16.55</v>
      </c>
      <c r="K2148" s="18">
        <v>16.11</v>
      </c>
      <c r="L2148" s="22">
        <v>6</v>
      </c>
    </row>
    <row r="2149" spans="1:12">
      <c r="A2149">
        <v>3</v>
      </c>
      <c r="B2149" s="16" t="s">
        <v>58</v>
      </c>
      <c r="C2149" s="9">
        <v>45962</v>
      </c>
      <c r="D2149">
        <v>10</v>
      </c>
      <c r="E2149" s="16" t="s">
        <v>95</v>
      </c>
      <c r="F2149" s="16" t="s">
        <v>83</v>
      </c>
      <c r="G2149" s="22">
        <v>30</v>
      </c>
      <c r="H2149" s="18">
        <v>486.55</v>
      </c>
      <c r="I2149" s="18">
        <v>16.218333333</v>
      </c>
      <c r="J2149" s="18">
        <v>16.27</v>
      </c>
      <c r="K2149" s="18">
        <v>16.12</v>
      </c>
      <c r="L2149" s="22">
        <v>6</v>
      </c>
    </row>
    <row r="2150" spans="1:12">
      <c r="A2150">
        <v>3</v>
      </c>
      <c r="B2150" s="16" t="s">
        <v>58</v>
      </c>
      <c r="C2150" s="9">
        <v>45992</v>
      </c>
      <c r="D2150">
        <v>10</v>
      </c>
      <c r="E2150" s="16" t="s">
        <v>95</v>
      </c>
      <c r="F2150" s="16" t="s">
        <v>83</v>
      </c>
      <c r="G2150" s="22">
        <v>40</v>
      </c>
      <c r="H2150" s="18">
        <v>654.35</v>
      </c>
      <c r="I2150" s="18">
        <v>16.358750000000001</v>
      </c>
      <c r="J2150" s="18">
        <v>16.77</v>
      </c>
      <c r="K2150" s="18">
        <v>16.14</v>
      </c>
      <c r="L2150" s="22">
        <v>8</v>
      </c>
    </row>
    <row r="2151" spans="1:12">
      <c r="A2151">
        <v>3</v>
      </c>
      <c r="B2151" s="16" t="s">
        <v>58</v>
      </c>
      <c r="C2151" s="9">
        <v>46023</v>
      </c>
      <c r="D2151">
        <v>10</v>
      </c>
      <c r="E2151" s="16" t="s">
        <v>95</v>
      </c>
      <c r="F2151" s="16" t="s">
        <v>83</v>
      </c>
      <c r="G2151" s="22">
        <v>35</v>
      </c>
      <c r="H2151" s="18">
        <v>527.1</v>
      </c>
      <c r="I2151" s="18">
        <v>15.06</v>
      </c>
      <c r="J2151" s="18">
        <v>15.34</v>
      </c>
      <c r="K2151" s="18">
        <v>14.85</v>
      </c>
      <c r="L2151" s="22">
        <v>7</v>
      </c>
    </row>
    <row r="2152" spans="1:12">
      <c r="A2152">
        <v>3</v>
      </c>
      <c r="B2152" s="16" t="s">
        <v>58</v>
      </c>
      <c r="C2152" s="9">
        <v>46054</v>
      </c>
      <c r="D2152">
        <v>10</v>
      </c>
      <c r="E2152" s="16" t="s">
        <v>95</v>
      </c>
      <c r="F2152" s="16" t="s">
        <v>83</v>
      </c>
      <c r="G2152" s="22">
        <v>30</v>
      </c>
      <c r="H2152" s="18">
        <v>452.35</v>
      </c>
      <c r="I2152" s="18">
        <v>15.078333333</v>
      </c>
      <c r="J2152" s="18">
        <v>15.14</v>
      </c>
      <c r="K2152" s="18">
        <v>14.98</v>
      </c>
      <c r="L2152" s="22">
        <v>6</v>
      </c>
    </row>
    <row r="2153" spans="1:12">
      <c r="A2153">
        <v>3</v>
      </c>
      <c r="B2153" s="16" t="s">
        <v>58</v>
      </c>
      <c r="C2153" s="9">
        <v>46082</v>
      </c>
      <c r="D2153">
        <v>10</v>
      </c>
      <c r="E2153" s="16" t="s">
        <v>95</v>
      </c>
      <c r="F2153" s="16" t="s">
        <v>83</v>
      </c>
      <c r="G2153" s="22">
        <v>35</v>
      </c>
      <c r="H2153" s="18">
        <v>522.75</v>
      </c>
      <c r="I2153" s="18">
        <v>14.935714286</v>
      </c>
      <c r="J2153" s="18">
        <v>15.34</v>
      </c>
      <c r="K2153" s="18">
        <v>14.65</v>
      </c>
      <c r="L2153" s="22">
        <v>6</v>
      </c>
    </row>
    <row r="2154" spans="1:12">
      <c r="A2154">
        <v>3</v>
      </c>
      <c r="B2154" s="16" t="s">
        <v>58</v>
      </c>
      <c r="C2154" s="9">
        <v>46113</v>
      </c>
      <c r="D2154">
        <v>10</v>
      </c>
      <c r="E2154" s="16" t="s">
        <v>95</v>
      </c>
      <c r="F2154" s="16" t="s">
        <v>83</v>
      </c>
      <c r="G2154" s="22">
        <v>35</v>
      </c>
      <c r="H2154" s="18">
        <v>525.1</v>
      </c>
      <c r="I2154" s="18">
        <v>15.002857143</v>
      </c>
      <c r="J2154" s="18">
        <v>15.31</v>
      </c>
      <c r="K2154" s="18">
        <v>14.81</v>
      </c>
      <c r="L2154" s="22">
        <v>6</v>
      </c>
    </row>
    <row r="2155" spans="1:12">
      <c r="A2155">
        <v>3</v>
      </c>
      <c r="B2155" s="16" t="s">
        <v>58</v>
      </c>
      <c r="C2155" s="9">
        <v>46143</v>
      </c>
      <c r="D2155">
        <v>10</v>
      </c>
      <c r="E2155" s="16" t="s">
        <v>95</v>
      </c>
      <c r="F2155" s="16" t="s">
        <v>83</v>
      </c>
      <c r="G2155" s="22">
        <v>40</v>
      </c>
      <c r="H2155" s="18">
        <v>599.79999999999995</v>
      </c>
      <c r="I2155" s="18">
        <v>14.994999999999999</v>
      </c>
      <c r="J2155" s="18">
        <v>15.28</v>
      </c>
      <c r="K2155" s="18">
        <v>14.64</v>
      </c>
      <c r="L2155" s="22">
        <v>6</v>
      </c>
    </row>
    <row r="2156" spans="1:12">
      <c r="A2156">
        <v>3</v>
      </c>
      <c r="B2156" s="16" t="s">
        <v>58</v>
      </c>
      <c r="C2156" s="9">
        <v>46174</v>
      </c>
      <c r="D2156">
        <v>10</v>
      </c>
      <c r="E2156" s="16" t="s">
        <v>95</v>
      </c>
      <c r="F2156" s="16" t="s">
        <v>83</v>
      </c>
      <c r="G2156" s="22">
        <v>35</v>
      </c>
      <c r="H2156" s="18">
        <v>525.54999999999995</v>
      </c>
      <c r="I2156" s="18">
        <v>15.015714286</v>
      </c>
      <c r="J2156" s="18">
        <v>15.18</v>
      </c>
      <c r="K2156" s="18">
        <v>14.85</v>
      </c>
      <c r="L2156" s="22">
        <v>6</v>
      </c>
    </row>
    <row r="2157" spans="1:12">
      <c r="A2157">
        <v>3</v>
      </c>
      <c r="B2157" s="16" t="s">
        <v>58</v>
      </c>
      <c r="C2157" s="9">
        <v>46204</v>
      </c>
      <c r="D2157">
        <v>10</v>
      </c>
      <c r="E2157" s="16" t="s">
        <v>95</v>
      </c>
      <c r="F2157" s="16" t="s">
        <v>83</v>
      </c>
      <c r="G2157" s="22">
        <v>35</v>
      </c>
      <c r="H2157" s="18">
        <v>559.70000000000005</v>
      </c>
      <c r="I2157" s="18">
        <v>15.991428571</v>
      </c>
      <c r="J2157" s="18">
        <v>16.52</v>
      </c>
      <c r="K2157" s="18">
        <v>15.58</v>
      </c>
      <c r="L2157" s="22">
        <v>6</v>
      </c>
    </row>
    <row r="2158" spans="1:12">
      <c r="A2158">
        <v>3</v>
      </c>
      <c r="B2158" s="16" t="s">
        <v>58</v>
      </c>
      <c r="C2158" s="9">
        <v>46235</v>
      </c>
      <c r="D2158">
        <v>10</v>
      </c>
      <c r="E2158" s="16" t="s">
        <v>95</v>
      </c>
      <c r="F2158" s="16" t="s">
        <v>83</v>
      </c>
      <c r="G2158" s="22">
        <v>30</v>
      </c>
      <c r="H2158" s="18">
        <v>474.2</v>
      </c>
      <c r="I2158" s="18">
        <v>15.806666667</v>
      </c>
      <c r="J2158" s="18">
        <v>15.93</v>
      </c>
      <c r="K2158" s="18">
        <v>15.68</v>
      </c>
      <c r="L2158" s="22">
        <v>6</v>
      </c>
    </row>
    <row r="2159" spans="1:12">
      <c r="A2159">
        <v>3</v>
      </c>
      <c r="B2159" s="16" t="s">
        <v>58</v>
      </c>
      <c r="C2159" s="9">
        <v>46266</v>
      </c>
      <c r="D2159">
        <v>10</v>
      </c>
      <c r="E2159" s="16" t="s">
        <v>95</v>
      </c>
      <c r="F2159" s="16" t="s">
        <v>83</v>
      </c>
      <c r="G2159" s="22">
        <v>30</v>
      </c>
      <c r="H2159" s="18">
        <v>482.1</v>
      </c>
      <c r="I2159" s="18">
        <v>16.07</v>
      </c>
      <c r="J2159" s="18">
        <v>16.239999999999998</v>
      </c>
      <c r="K2159" s="18">
        <v>15.83</v>
      </c>
      <c r="L2159" s="22">
        <v>6</v>
      </c>
    </row>
    <row r="2160" spans="1:12">
      <c r="A2160">
        <v>3</v>
      </c>
      <c r="B2160" s="16" t="s">
        <v>58</v>
      </c>
      <c r="C2160" s="9">
        <v>45689</v>
      </c>
      <c r="D2160">
        <v>13</v>
      </c>
      <c r="E2160" s="16" t="s">
        <v>97</v>
      </c>
      <c r="F2160" s="16" t="s">
        <v>98</v>
      </c>
      <c r="G2160" s="22">
        <v>100</v>
      </c>
      <c r="H2160" s="18">
        <v>208.6</v>
      </c>
      <c r="I2160" s="18">
        <v>2.0859999999999999</v>
      </c>
      <c r="J2160" s="18">
        <v>2.11</v>
      </c>
      <c r="K2160" s="18">
        <v>2.0699999999999998</v>
      </c>
      <c r="L2160" s="22">
        <v>2</v>
      </c>
    </row>
    <row r="2161" spans="1:12">
      <c r="A2161">
        <v>3</v>
      </c>
      <c r="B2161" s="16" t="s">
        <v>58</v>
      </c>
      <c r="C2161" s="9">
        <v>45717</v>
      </c>
      <c r="D2161">
        <v>13</v>
      </c>
      <c r="E2161" s="16" t="s">
        <v>97</v>
      </c>
      <c r="F2161" s="16" t="s">
        <v>98</v>
      </c>
      <c r="G2161" s="22">
        <v>80</v>
      </c>
      <c r="H2161" s="18">
        <v>170</v>
      </c>
      <c r="I2161" s="18">
        <v>2.125</v>
      </c>
      <c r="J2161" s="18">
        <v>2.14</v>
      </c>
      <c r="K2161" s="18">
        <v>2.11</v>
      </c>
      <c r="L2161" s="22">
        <v>2</v>
      </c>
    </row>
    <row r="2162" spans="1:12">
      <c r="A2162">
        <v>3</v>
      </c>
      <c r="B2162" s="16" t="s">
        <v>58</v>
      </c>
      <c r="C2162" s="9">
        <v>45748</v>
      </c>
      <c r="D2162">
        <v>13</v>
      </c>
      <c r="E2162" s="16" t="s">
        <v>97</v>
      </c>
      <c r="F2162" s="16" t="s">
        <v>98</v>
      </c>
      <c r="G2162" s="22">
        <v>140</v>
      </c>
      <c r="H2162" s="18">
        <v>290.60000000000002</v>
      </c>
      <c r="I2162" s="18">
        <v>2.0757142860000002</v>
      </c>
      <c r="J2162" s="18">
        <v>2.09</v>
      </c>
      <c r="K2162" s="18">
        <v>2.0699999999999998</v>
      </c>
      <c r="L2162" s="22">
        <v>3</v>
      </c>
    </row>
    <row r="2163" spans="1:12">
      <c r="A2163">
        <v>3</v>
      </c>
      <c r="B2163" s="16" t="s">
        <v>58</v>
      </c>
      <c r="C2163" s="9">
        <v>45778</v>
      </c>
      <c r="D2163">
        <v>13</v>
      </c>
      <c r="E2163" s="16" t="s">
        <v>97</v>
      </c>
      <c r="F2163" s="16" t="s">
        <v>98</v>
      </c>
      <c r="G2163" s="22">
        <v>120</v>
      </c>
      <c r="H2163" s="18">
        <v>249.6</v>
      </c>
      <c r="I2163" s="18">
        <v>2.08</v>
      </c>
      <c r="J2163" s="18">
        <v>2.1</v>
      </c>
      <c r="K2163" s="18">
        <v>2.06</v>
      </c>
      <c r="L2163" s="22">
        <v>2</v>
      </c>
    </row>
    <row r="2164" spans="1:12">
      <c r="A2164">
        <v>3</v>
      </c>
      <c r="B2164" s="16" t="s">
        <v>58</v>
      </c>
      <c r="C2164" s="9">
        <v>45809</v>
      </c>
      <c r="D2164">
        <v>13</v>
      </c>
      <c r="E2164" s="16" t="s">
        <v>97</v>
      </c>
      <c r="F2164" s="16" t="s">
        <v>98</v>
      </c>
      <c r="G2164" s="22">
        <v>80</v>
      </c>
      <c r="H2164" s="18">
        <v>166.8</v>
      </c>
      <c r="I2164" s="18">
        <v>2.085</v>
      </c>
      <c r="J2164" s="18">
        <v>2.1</v>
      </c>
      <c r="K2164" s="18">
        <v>2.0699999999999998</v>
      </c>
      <c r="L2164" s="22">
        <v>2</v>
      </c>
    </row>
    <row r="2165" spans="1:12">
      <c r="A2165">
        <v>3</v>
      </c>
      <c r="B2165" s="16" t="s">
        <v>58</v>
      </c>
      <c r="C2165" s="9">
        <v>45839</v>
      </c>
      <c r="D2165">
        <v>13</v>
      </c>
      <c r="E2165" s="16" t="s">
        <v>97</v>
      </c>
      <c r="F2165" s="16" t="s">
        <v>98</v>
      </c>
      <c r="G2165" s="22">
        <v>120</v>
      </c>
      <c r="H2165" s="18">
        <v>252.6</v>
      </c>
      <c r="I2165" s="18">
        <v>2.105</v>
      </c>
      <c r="J2165" s="18">
        <v>2.11</v>
      </c>
      <c r="K2165" s="18">
        <v>2.1</v>
      </c>
      <c r="L2165" s="22">
        <v>2</v>
      </c>
    </row>
    <row r="2166" spans="1:12">
      <c r="A2166">
        <v>3</v>
      </c>
      <c r="B2166" s="16" t="s">
        <v>58</v>
      </c>
      <c r="C2166" s="9">
        <v>45870</v>
      </c>
      <c r="D2166">
        <v>13</v>
      </c>
      <c r="E2166" s="16" t="s">
        <v>97</v>
      </c>
      <c r="F2166" s="16" t="s">
        <v>98</v>
      </c>
      <c r="G2166" s="22">
        <v>100</v>
      </c>
      <c r="H2166" s="18">
        <v>206.8</v>
      </c>
      <c r="I2166" s="18">
        <v>2.0680000000000001</v>
      </c>
      <c r="J2166" s="18">
        <v>2.08</v>
      </c>
      <c r="K2166" s="18">
        <v>2.0499999999999998</v>
      </c>
      <c r="L2166" s="22">
        <v>2</v>
      </c>
    </row>
    <row r="2167" spans="1:12">
      <c r="A2167">
        <v>3</v>
      </c>
      <c r="B2167" s="16" t="s">
        <v>58</v>
      </c>
      <c r="C2167" s="9">
        <v>45901</v>
      </c>
      <c r="D2167">
        <v>13</v>
      </c>
      <c r="E2167" s="16" t="s">
        <v>97</v>
      </c>
      <c r="F2167" s="16" t="s">
        <v>98</v>
      </c>
      <c r="G2167" s="22">
        <v>100</v>
      </c>
      <c r="H2167" s="18">
        <v>210.8</v>
      </c>
      <c r="I2167" s="18">
        <v>2.1080000000000001</v>
      </c>
      <c r="J2167" s="18">
        <v>2.12</v>
      </c>
      <c r="K2167" s="18">
        <v>2.09</v>
      </c>
      <c r="L2167" s="22">
        <v>2</v>
      </c>
    </row>
    <row r="2168" spans="1:12">
      <c r="A2168">
        <v>3</v>
      </c>
      <c r="B2168" s="16" t="s">
        <v>58</v>
      </c>
      <c r="C2168" s="9">
        <v>45931</v>
      </c>
      <c r="D2168">
        <v>13</v>
      </c>
      <c r="E2168" s="16" t="s">
        <v>97</v>
      </c>
      <c r="F2168" s="16" t="s">
        <v>98</v>
      </c>
      <c r="G2168" s="22">
        <v>120</v>
      </c>
      <c r="H2168" s="18">
        <v>250</v>
      </c>
      <c r="I2168" s="18">
        <v>2.0833333330000001</v>
      </c>
      <c r="J2168" s="18">
        <v>2.09</v>
      </c>
      <c r="K2168" s="18">
        <v>2.0699999999999998</v>
      </c>
      <c r="L2168" s="22">
        <v>3</v>
      </c>
    </row>
    <row r="2169" spans="1:12">
      <c r="A2169">
        <v>3</v>
      </c>
      <c r="B2169" s="16" t="s">
        <v>58</v>
      </c>
      <c r="C2169" s="9">
        <v>45962</v>
      </c>
      <c r="D2169">
        <v>13</v>
      </c>
      <c r="E2169" s="16" t="s">
        <v>97</v>
      </c>
      <c r="F2169" s="16" t="s">
        <v>98</v>
      </c>
      <c r="G2169" s="22">
        <v>100</v>
      </c>
      <c r="H2169" s="18">
        <v>206.6</v>
      </c>
      <c r="I2169" s="18">
        <v>2.0659999999999998</v>
      </c>
      <c r="J2169" s="18">
        <v>2.0699999999999998</v>
      </c>
      <c r="K2169" s="18">
        <v>2.06</v>
      </c>
      <c r="L2169" s="22">
        <v>2</v>
      </c>
    </row>
    <row r="2170" spans="1:12">
      <c r="A2170">
        <v>3</v>
      </c>
      <c r="B2170" s="16" t="s">
        <v>58</v>
      </c>
      <c r="C2170" s="9">
        <v>45992</v>
      </c>
      <c r="D2170">
        <v>13</v>
      </c>
      <c r="E2170" s="16" t="s">
        <v>97</v>
      </c>
      <c r="F2170" s="16" t="s">
        <v>98</v>
      </c>
      <c r="G2170" s="22">
        <v>80</v>
      </c>
      <c r="H2170" s="18">
        <v>168</v>
      </c>
      <c r="I2170" s="18">
        <v>2.1</v>
      </c>
      <c r="J2170" s="18">
        <v>2.11</v>
      </c>
      <c r="K2170" s="18">
        <v>2.09</v>
      </c>
      <c r="L2170" s="22">
        <v>2</v>
      </c>
    </row>
    <row r="2171" spans="1:12">
      <c r="A2171">
        <v>3</v>
      </c>
      <c r="B2171" s="16" t="s">
        <v>58</v>
      </c>
      <c r="C2171" s="9">
        <v>46023</v>
      </c>
      <c r="D2171">
        <v>13</v>
      </c>
      <c r="E2171" s="16" t="s">
        <v>97</v>
      </c>
      <c r="F2171" s="16" t="s">
        <v>98</v>
      </c>
      <c r="G2171" s="22">
        <v>80</v>
      </c>
      <c r="H2171" s="18">
        <v>169.2</v>
      </c>
      <c r="I2171" s="18">
        <v>2.1150000000000002</v>
      </c>
      <c r="J2171" s="18">
        <v>2.15</v>
      </c>
      <c r="K2171" s="18">
        <v>2.08</v>
      </c>
      <c r="L2171" s="22">
        <v>2</v>
      </c>
    </row>
    <row r="2172" spans="1:12">
      <c r="A2172">
        <v>3</v>
      </c>
      <c r="B2172" s="16" t="s">
        <v>58</v>
      </c>
      <c r="C2172" s="9">
        <v>46054</v>
      </c>
      <c r="D2172">
        <v>13</v>
      </c>
      <c r="E2172" s="16" t="s">
        <v>97</v>
      </c>
      <c r="F2172" s="16" t="s">
        <v>98</v>
      </c>
      <c r="G2172" s="22">
        <v>80</v>
      </c>
      <c r="H2172" s="18">
        <v>168</v>
      </c>
      <c r="I2172" s="18">
        <v>2.1</v>
      </c>
      <c r="J2172" s="18">
        <v>2.11</v>
      </c>
      <c r="K2172" s="18">
        <v>2.09</v>
      </c>
      <c r="L2172" s="22">
        <v>2</v>
      </c>
    </row>
    <row r="2173" spans="1:12">
      <c r="A2173">
        <v>3</v>
      </c>
      <c r="B2173" s="16" t="s">
        <v>58</v>
      </c>
      <c r="C2173" s="9">
        <v>46082</v>
      </c>
      <c r="D2173">
        <v>13</v>
      </c>
      <c r="E2173" s="16" t="s">
        <v>97</v>
      </c>
      <c r="F2173" s="16" t="s">
        <v>98</v>
      </c>
      <c r="G2173" s="22">
        <v>80</v>
      </c>
      <c r="H2173" s="18">
        <v>168</v>
      </c>
      <c r="I2173" s="18">
        <v>2.1</v>
      </c>
      <c r="J2173" s="18">
        <v>2.17</v>
      </c>
      <c r="K2173" s="18">
        <v>2.0299999999999998</v>
      </c>
      <c r="L2173" s="22">
        <v>2</v>
      </c>
    </row>
    <row r="2174" spans="1:12">
      <c r="A2174">
        <v>3</v>
      </c>
      <c r="B2174" s="16" t="s">
        <v>58</v>
      </c>
      <c r="C2174" s="9">
        <v>46113</v>
      </c>
      <c r="D2174">
        <v>13</v>
      </c>
      <c r="E2174" s="16" t="s">
        <v>97</v>
      </c>
      <c r="F2174" s="16" t="s">
        <v>98</v>
      </c>
      <c r="G2174" s="22">
        <v>160</v>
      </c>
      <c r="H2174" s="18">
        <v>332.8</v>
      </c>
      <c r="I2174" s="18">
        <v>2.08</v>
      </c>
      <c r="J2174" s="18">
        <v>2.12</v>
      </c>
      <c r="K2174" s="18">
        <v>2.0499999999999998</v>
      </c>
      <c r="L2174" s="22">
        <v>3</v>
      </c>
    </row>
    <row r="2175" spans="1:12">
      <c r="A2175">
        <v>3</v>
      </c>
      <c r="B2175" s="16" t="s">
        <v>58</v>
      </c>
      <c r="C2175" s="9">
        <v>46143</v>
      </c>
      <c r="D2175">
        <v>13</v>
      </c>
      <c r="E2175" s="16" t="s">
        <v>97</v>
      </c>
      <c r="F2175" s="16" t="s">
        <v>98</v>
      </c>
      <c r="G2175" s="22">
        <v>120</v>
      </c>
      <c r="H2175" s="18">
        <v>251.4</v>
      </c>
      <c r="I2175" s="18">
        <v>2.0950000000000002</v>
      </c>
      <c r="J2175" s="18">
        <v>2.12</v>
      </c>
      <c r="K2175" s="18">
        <v>2.0699999999999998</v>
      </c>
      <c r="L2175" s="22">
        <v>2</v>
      </c>
    </row>
    <row r="2176" spans="1:12">
      <c r="A2176">
        <v>3</v>
      </c>
      <c r="B2176" s="16" t="s">
        <v>58</v>
      </c>
      <c r="C2176" s="9">
        <v>46174</v>
      </c>
      <c r="D2176">
        <v>13</v>
      </c>
      <c r="E2176" s="16" t="s">
        <v>97</v>
      </c>
      <c r="F2176" s="16" t="s">
        <v>98</v>
      </c>
      <c r="G2176" s="22">
        <v>100</v>
      </c>
      <c r="H2176" s="18">
        <v>207</v>
      </c>
      <c r="I2176" s="18">
        <v>2.0699999999999998</v>
      </c>
      <c r="J2176" s="18">
        <v>2.0699999999999998</v>
      </c>
      <c r="K2176" s="18">
        <v>2.0699999999999998</v>
      </c>
      <c r="L2176" s="22">
        <v>2</v>
      </c>
    </row>
    <row r="2177" spans="1:12">
      <c r="A2177">
        <v>3</v>
      </c>
      <c r="B2177" s="16" t="s">
        <v>58</v>
      </c>
      <c r="C2177" s="9">
        <v>46204</v>
      </c>
      <c r="D2177">
        <v>13</v>
      </c>
      <c r="E2177" s="16" t="s">
        <v>97</v>
      </c>
      <c r="F2177" s="16" t="s">
        <v>98</v>
      </c>
      <c r="G2177" s="22">
        <v>120</v>
      </c>
      <c r="H2177" s="18">
        <v>250.8</v>
      </c>
      <c r="I2177" s="18">
        <v>2.09</v>
      </c>
      <c r="J2177" s="18">
        <v>2.12</v>
      </c>
      <c r="K2177" s="18">
        <v>2.06</v>
      </c>
      <c r="L2177" s="22">
        <v>2</v>
      </c>
    </row>
    <row r="2178" spans="1:12">
      <c r="A2178">
        <v>3</v>
      </c>
      <c r="B2178" s="16" t="s">
        <v>58</v>
      </c>
      <c r="C2178" s="9">
        <v>46235</v>
      </c>
      <c r="D2178">
        <v>13</v>
      </c>
      <c r="E2178" s="16" t="s">
        <v>97</v>
      </c>
      <c r="F2178" s="16" t="s">
        <v>98</v>
      </c>
      <c r="G2178" s="22">
        <v>100</v>
      </c>
      <c r="H2178" s="18">
        <v>209</v>
      </c>
      <c r="I2178" s="18">
        <v>2.09</v>
      </c>
      <c r="J2178" s="18">
        <v>2.12</v>
      </c>
      <c r="K2178" s="18">
        <v>2.0699999999999998</v>
      </c>
      <c r="L2178" s="22">
        <v>2</v>
      </c>
    </row>
    <row r="2179" spans="1:12">
      <c r="A2179">
        <v>3</v>
      </c>
      <c r="B2179" s="16" t="s">
        <v>58</v>
      </c>
      <c r="C2179" s="9">
        <v>46266</v>
      </c>
      <c r="D2179">
        <v>13</v>
      </c>
      <c r="E2179" s="16" t="s">
        <v>97</v>
      </c>
      <c r="F2179" s="16" t="s">
        <v>98</v>
      </c>
      <c r="G2179" s="22">
        <v>120</v>
      </c>
      <c r="H2179" s="18">
        <v>249.6</v>
      </c>
      <c r="I2179" s="18">
        <v>2.08</v>
      </c>
      <c r="J2179" s="18">
        <v>2.1</v>
      </c>
      <c r="K2179" s="18">
        <v>2.06</v>
      </c>
      <c r="L2179" s="22">
        <v>3</v>
      </c>
    </row>
    <row r="2180" spans="1:12">
      <c r="A2180">
        <v>3</v>
      </c>
      <c r="B2180" s="16" t="s">
        <v>58</v>
      </c>
      <c r="C2180" s="9">
        <v>45689</v>
      </c>
      <c r="D2180">
        <v>14</v>
      </c>
      <c r="E2180" s="16" t="s">
        <v>99</v>
      </c>
      <c r="F2180" s="16" t="s">
        <v>90</v>
      </c>
      <c r="G2180" s="22">
        <v>3</v>
      </c>
      <c r="H2180" s="18">
        <v>56.79</v>
      </c>
      <c r="I2180" s="18">
        <v>18.93</v>
      </c>
      <c r="J2180" s="18">
        <v>19.11</v>
      </c>
      <c r="K2180" s="18">
        <v>18.75</v>
      </c>
      <c r="L2180" s="22">
        <v>2</v>
      </c>
    </row>
    <row r="2181" spans="1:12">
      <c r="A2181">
        <v>3</v>
      </c>
      <c r="B2181" s="16" t="s">
        <v>58</v>
      </c>
      <c r="C2181" s="9">
        <v>45717</v>
      </c>
      <c r="D2181">
        <v>14</v>
      </c>
      <c r="E2181" s="16" t="s">
        <v>99</v>
      </c>
      <c r="F2181" s="16" t="s">
        <v>90</v>
      </c>
      <c r="G2181" s="22">
        <v>1.5</v>
      </c>
      <c r="H2181" s="18">
        <v>28.395</v>
      </c>
      <c r="I2181" s="18">
        <v>18.93</v>
      </c>
      <c r="J2181" s="18">
        <v>18.93</v>
      </c>
      <c r="K2181" s="18">
        <v>18.93</v>
      </c>
      <c r="L2181" s="22">
        <v>1</v>
      </c>
    </row>
    <row r="2182" spans="1:12">
      <c r="A2182">
        <v>3</v>
      </c>
      <c r="B2182" s="16" t="s">
        <v>58</v>
      </c>
      <c r="C2182" s="9">
        <v>45748</v>
      </c>
      <c r="D2182">
        <v>14</v>
      </c>
      <c r="E2182" s="16" t="s">
        <v>99</v>
      </c>
      <c r="F2182" s="16" t="s">
        <v>90</v>
      </c>
      <c r="G2182" s="22">
        <v>1.5</v>
      </c>
      <c r="H2182" s="18">
        <v>28.934999999999999</v>
      </c>
      <c r="I2182" s="18">
        <v>19.29</v>
      </c>
      <c r="J2182" s="18">
        <v>19.29</v>
      </c>
      <c r="K2182" s="18">
        <v>19.29</v>
      </c>
      <c r="L2182" s="22">
        <v>1</v>
      </c>
    </row>
    <row r="2183" spans="1:12">
      <c r="A2183">
        <v>3</v>
      </c>
      <c r="B2183" s="16" t="s">
        <v>58</v>
      </c>
      <c r="C2183" s="9">
        <v>45778</v>
      </c>
      <c r="D2183">
        <v>14</v>
      </c>
      <c r="E2183" s="16" t="s">
        <v>99</v>
      </c>
      <c r="F2183" s="16" t="s">
        <v>90</v>
      </c>
      <c r="G2183" s="22">
        <v>3</v>
      </c>
      <c r="H2183" s="18">
        <v>57.6</v>
      </c>
      <c r="I2183" s="18">
        <v>19.2</v>
      </c>
      <c r="J2183" s="18">
        <v>19.39</v>
      </c>
      <c r="K2183" s="18">
        <v>19.010000000000002</v>
      </c>
      <c r="L2183" s="22">
        <v>2</v>
      </c>
    </row>
    <row r="2184" spans="1:12">
      <c r="A2184">
        <v>3</v>
      </c>
      <c r="B2184" s="16" t="s">
        <v>58</v>
      </c>
      <c r="C2184" s="9">
        <v>45809</v>
      </c>
      <c r="D2184">
        <v>14</v>
      </c>
      <c r="E2184" s="16" t="s">
        <v>99</v>
      </c>
      <c r="F2184" s="16" t="s">
        <v>90</v>
      </c>
      <c r="G2184" s="22">
        <v>1.5</v>
      </c>
      <c r="H2184" s="18">
        <v>28.454999999999998</v>
      </c>
      <c r="I2184" s="18">
        <v>18.97</v>
      </c>
      <c r="J2184" s="18">
        <v>18.97</v>
      </c>
      <c r="K2184" s="18">
        <v>18.97</v>
      </c>
      <c r="L2184" s="22">
        <v>1</v>
      </c>
    </row>
    <row r="2185" spans="1:12">
      <c r="A2185">
        <v>3</v>
      </c>
      <c r="B2185" s="16" t="s">
        <v>58</v>
      </c>
      <c r="C2185" s="9">
        <v>45839</v>
      </c>
      <c r="D2185">
        <v>14</v>
      </c>
      <c r="E2185" s="16" t="s">
        <v>99</v>
      </c>
      <c r="F2185" s="16" t="s">
        <v>90</v>
      </c>
      <c r="G2185" s="22">
        <v>3</v>
      </c>
      <c r="H2185" s="18">
        <v>56.534999999999997</v>
      </c>
      <c r="I2185" s="18">
        <v>18.844999999999999</v>
      </c>
      <c r="J2185" s="18">
        <v>18.91</v>
      </c>
      <c r="K2185" s="18">
        <v>18.78</v>
      </c>
      <c r="L2185" s="22">
        <v>2</v>
      </c>
    </row>
    <row r="2186" spans="1:12">
      <c r="A2186">
        <v>3</v>
      </c>
      <c r="B2186" s="16" t="s">
        <v>58</v>
      </c>
      <c r="C2186" s="9">
        <v>45870</v>
      </c>
      <c r="D2186">
        <v>14</v>
      </c>
      <c r="E2186" s="16" t="s">
        <v>99</v>
      </c>
      <c r="F2186" s="16" t="s">
        <v>90</v>
      </c>
      <c r="G2186" s="22">
        <v>1.5</v>
      </c>
      <c r="H2186" s="18">
        <v>29.28</v>
      </c>
      <c r="I2186" s="18">
        <v>19.52</v>
      </c>
      <c r="J2186" s="18">
        <v>19.52</v>
      </c>
      <c r="K2186" s="18">
        <v>19.52</v>
      </c>
      <c r="L2186" s="22">
        <v>1</v>
      </c>
    </row>
    <row r="2187" spans="1:12">
      <c r="A2187">
        <v>3</v>
      </c>
      <c r="B2187" s="16" t="s">
        <v>58</v>
      </c>
      <c r="C2187" s="9">
        <v>45901</v>
      </c>
      <c r="D2187">
        <v>14</v>
      </c>
      <c r="E2187" s="16" t="s">
        <v>99</v>
      </c>
      <c r="F2187" s="16" t="s">
        <v>90</v>
      </c>
      <c r="G2187" s="22">
        <v>3</v>
      </c>
      <c r="H2187" s="18">
        <v>58.155000000000001</v>
      </c>
      <c r="I2187" s="18">
        <v>19.385000000000002</v>
      </c>
      <c r="J2187" s="18">
        <v>19.440000000000001</v>
      </c>
      <c r="K2187" s="18">
        <v>19.329999999999998</v>
      </c>
      <c r="L2187" s="22">
        <v>2</v>
      </c>
    </row>
    <row r="2188" spans="1:12">
      <c r="A2188">
        <v>3</v>
      </c>
      <c r="B2188" s="16" t="s">
        <v>58</v>
      </c>
      <c r="C2188" s="9">
        <v>45931</v>
      </c>
      <c r="D2188">
        <v>14</v>
      </c>
      <c r="E2188" s="16" t="s">
        <v>99</v>
      </c>
      <c r="F2188" s="16" t="s">
        <v>90</v>
      </c>
      <c r="G2188" s="22">
        <v>1.5</v>
      </c>
      <c r="H2188" s="18">
        <v>28.454999999999998</v>
      </c>
      <c r="I2188" s="18">
        <v>18.97</v>
      </c>
      <c r="J2188" s="18">
        <v>18.97</v>
      </c>
      <c r="K2188" s="18">
        <v>18.97</v>
      </c>
      <c r="L2188" s="22">
        <v>1</v>
      </c>
    </row>
    <row r="2189" spans="1:12">
      <c r="A2189">
        <v>3</v>
      </c>
      <c r="B2189" s="16" t="s">
        <v>58</v>
      </c>
      <c r="C2189" s="9">
        <v>45962</v>
      </c>
      <c r="D2189">
        <v>14</v>
      </c>
      <c r="E2189" s="16" t="s">
        <v>99</v>
      </c>
      <c r="F2189" s="16" t="s">
        <v>90</v>
      </c>
      <c r="G2189" s="22">
        <v>1.5</v>
      </c>
      <c r="H2189" s="18">
        <v>29.175000000000001</v>
      </c>
      <c r="I2189" s="18">
        <v>19.45</v>
      </c>
      <c r="J2189" s="18">
        <v>19.45</v>
      </c>
      <c r="K2189" s="18">
        <v>19.45</v>
      </c>
      <c r="L2189" s="22">
        <v>1</v>
      </c>
    </row>
    <row r="2190" spans="1:12">
      <c r="A2190">
        <v>3</v>
      </c>
      <c r="B2190" s="16" t="s">
        <v>58</v>
      </c>
      <c r="C2190" s="9">
        <v>45992</v>
      </c>
      <c r="D2190">
        <v>14</v>
      </c>
      <c r="E2190" s="16" t="s">
        <v>99</v>
      </c>
      <c r="F2190" s="16" t="s">
        <v>90</v>
      </c>
      <c r="G2190" s="22">
        <v>3</v>
      </c>
      <c r="H2190" s="18">
        <v>57.375</v>
      </c>
      <c r="I2190" s="18">
        <v>19.125</v>
      </c>
      <c r="J2190" s="18">
        <v>19.170000000000002</v>
      </c>
      <c r="K2190" s="18">
        <v>19.079999999999998</v>
      </c>
      <c r="L2190" s="22">
        <v>2</v>
      </c>
    </row>
    <row r="2191" spans="1:12">
      <c r="A2191">
        <v>3</v>
      </c>
      <c r="B2191" s="16" t="s">
        <v>58</v>
      </c>
      <c r="C2191" s="9">
        <v>46023</v>
      </c>
      <c r="D2191">
        <v>14</v>
      </c>
      <c r="E2191" s="16" t="s">
        <v>99</v>
      </c>
      <c r="F2191" s="16" t="s">
        <v>90</v>
      </c>
      <c r="G2191" s="22">
        <v>1.5</v>
      </c>
      <c r="H2191" s="18">
        <v>28.95</v>
      </c>
      <c r="I2191" s="18">
        <v>19.3</v>
      </c>
      <c r="J2191" s="18">
        <v>19.3</v>
      </c>
      <c r="K2191" s="18">
        <v>19.3</v>
      </c>
      <c r="L2191" s="22">
        <v>1</v>
      </c>
    </row>
    <row r="2192" spans="1:12">
      <c r="A2192">
        <v>3</v>
      </c>
      <c r="B2192" s="16" t="s">
        <v>58</v>
      </c>
      <c r="C2192" s="9">
        <v>46054</v>
      </c>
      <c r="D2192">
        <v>14</v>
      </c>
      <c r="E2192" s="16" t="s">
        <v>99</v>
      </c>
      <c r="F2192" s="16" t="s">
        <v>90</v>
      </c>
      <c r="G2192" s="22">
        <v>1.5</v>
      </c>
      <c r="H2192" s="18">
        <v>28.754999999999999</v>
      </c>
      <c r="I2192" s="18">
        <v>19.170000000000002</v>
      </c>
      <c r="J2192" s="18">
        <v>19.170000000000002</v>
      </c>
      <c r="K2192" s="18">
        <v>19.170000000000002</v>
      </c>
      <c r="L2192" s="22">
        <v>1</v>
      </c>
    </row>
    <row r="2193" spans="1:12">
      <c r="A2193">
        <v>3</v>
      </c>
      <c r="B2193" s="16" t="s">
        <v>58</v>
      </c>
      <c r="C2193" s="9">
        <v>46082</v>
      </c>
      <c r="D2193">
        <v>14</v>
      </c>
      <c r="E2193" s="16" t="s">
        <v>99</v>
      </c>
      <c r="F2193" s="16" t="s">
        <v>90</v>
      </c>
      <c r="G2193" s="22">
        <v>1.5</v>
      </c>
      <c r="H2193" s="18">
        <v>27.69</v>
      </c>
      <c r="I2193" s="18">
        <v>18.46</v>
      </c>
      <c r="J2193" s="18">
        <v>18.46</v>
      </c>
      <c r="K2193" s="18">
        <v>18.46</v>
      </c>
      <c r="L2193" s="22">
        <v>1</v>
      </c>
    </row>
    <row r="2194" spans="1:12">
      <c r="A2194">
        <v>3</v>
      </c>
      <c r="B2194" s="16" t="s">
        <v>58</v>
      </c>
      <c r="C2194" s="9">
        <v>46113</v>
      </c>
      <c r="D2194">
        <v>14</v>
      </c>
      <c r="E2194" s="16" t="s">
        <v>99</v>
      </c>
      <c r="F2194" s="16" t="s">
        <v>90</v>
      </c>
      <c r="G2194" s="22">
        <v>3</v>
      </c>
      <c r="H2194" s="18">
        <v>57.51</v>
      </c>
      <c r="I2194" s="18">
        <v>19.170000000000002</v>
      </c>
      <c r="J2194" s="18">
        <v>19.21</v>
      </c>
      <c r="K2194" s="18">
        <v>19.13</v>
      </c>
      <c r="L2194" s="22">
        <v>2</v>
      </c>
    </row>
    <row r="2195" spans="1:12">
      <c r="A2195">
        <v>3</v>
      </c>
      <c r="B2195" s="16" t="s">
        <v>58</v>
      </c>
      <c r="C2195" s="9">
        <v>46143</v>
      </c>
      <c r="D2195">
        <v>14</v>
      </c>
      <c r="E2195" s="16" t="s">
        <v>99</v>
      </c>
      <c r="F2195" s="16" t="s">
        <v>90</v>
      </c>
      <c r="G2195" s="22">
        <v>1.5</v>
      </c>
      <c r="H2195" s="18">
        <v>28.83</v>
      </c>
      <c r="I2195" s="18">
        <v>19.22</v>
      </c>
      <c r="J2195" s="18">
        <v>19.22</v>
      </c>
      <c r="K2195" s="18">
        <v>19.22</v>
      </c>
      <c r="L2195" s="22">
        <v>1</v>
      </c>
    </row>
    <row r="2196" spans="1:12">
      <c r="A2196">
        <v>3</v>
      </c>
      <c r="B2196" s="16" t="s">
        <v>58</v>
      </c>
      <c r="C2196" s="9">
        <v>46174</v>
      </c>
      <c r="D2196">
        <v>14</v>
      </c>
      <c r="E2196" s="16" t="s">
        <v>99</v>
      </c>
      <c r="F2196" s="16" t="s">
        <v>90</v>
      </c>
      <c r="G2196" s="22">
        <v>3</v>
      </c>
      <c r="H2196" s="18">
        <v>57.465000000000003</v>
      </c>
      <c r="I2196" s="18">
        <v>19.155000000000001</v>
      </c>
      <c r="J2196" s="18">
        <v>19.2</v>
      </c>
      <c r="K2196" s="18">
        <v>19.11</v>
      </c>
      <c r="L2196" s="22">
        <v>2</v>
      </c>
    </row>
    <row r="2197" spans="1:12">
      <c r="A2197">
        <v>3</v>
      </c>
      <c r="B2197" s="16" t="s">
        <v>58</v>
      </c>
      <c r="C2197" s="9">
        <v>46204</v>
      </c>
      <c r="D2197">
        <v>14</v>
      </c>
      <c r="E2197" s="16" t="s">
        <v>99</v>
      </c>
      <c r="F2197" s="16" t="s">
        <v>90</v>
      </c>
      <c r="G2197" s="22">
        <v>1.5</v>
      </c>
      <c r="H2197" s="18">
        <v>28.83</v>
      </c>
      <c r="I2197" s="18">
        <v>19.22</v>
      </c>
      <c r="J2197" s="18">
        <v>19.22</v>
      </c>
      <c r="K2197" s="18">
        <v>19.22</v>
      </c>
      <c r="L2197" s="22">
        <v>1</v>
      </c>
    </row>
    <row r="2198" spans="1:12">
      <c r="A2198">
        <v>3</v>
      </c>
      <c r="B2198" s="16" t="s">
        <v>58</v>
      </c>
      <c r="C2198" s="9">
        <v>46235</v>
      </c>
      <c r="D2198">
        <v>14</v>
      </c>
      <c r="E2198" s="16" t="s">
        <v>99</v>
      </c>
      <c r="F2198" s="16" t="s">
        <v>90</v>
      </c>
      <c r="G2198" s="22">
        <v>1.5</v>
      </c>
      <c r="H2198" s="18">
        <v>28.56</v>
      </c>
      <c r="I2198" s="18">
        <v>19.04</v>
      </c>
      <c r="J2198" s="18">
        <v>19.04</v>
      </c>
      <c r="K2198" s="18">
        <v>19.04</v>
      </c>
      <c r="L2198" s="22">
        <v>1</v>
      </c>
    </row>
    <row r="2199" spans="1:12">
      <c r="A2199">
        <v>3</v>
      </c>
      <c r="B2199" s="16" t="s">
        <v>58</v>
      </c>
      <c r="C2199" s="9">
        <v>46266</v>
      </c>
      <c r="D2199">
        <v>14</v>
      </c>
      <c r="E2199" s="16" t="s">
        <v>99</v>
      </c>
      <c r="F2199" s="16" t="s">
        <v>90</v>
      </c>
      <c r="G2199" s="22">
        <v>3</v>
      </c>
      <c r="H2199" s="18">
        <v>58.784999999999997</v>
      </c>
      <c r="I2199" s="18">
        <v>19.594999999999999</v>
      </c>
      <c r="J2199" s="18">
        <v>19.8</v>
      </c>
      <c r="K2199" s="18">
        <v>19.39</v>
      </c>
      <c r="L2199" s="22">
        <v>2</v>
      </c>
    </row>
    <row r="2200" spans="1:12">
      <c r="A2200">
        <v>3</v>
      </c>
      <c r="B2200" s="16" t="s">
        <v>58</v>
      </c>
      <c r="C2200" s="9">
        <v>45689</v>
      </c>
      <c r="D2200">
        <v>15</v>
      </c>
      <c r="E2200" s="16" t="s">
        <v>100</v>
      </c>
      <c r="F2200" s="16" t="s">
        <v>92</v>
      </c>
      <c r="G2200" s="22">
        <v>246</v>
      </c>
      <c r="H2200" s="18">
        <v>56.79</v>
      </c>
      <c r="I2200" s="18">
        <v>0.23085365899999999</v>
      </c>
      <c r="J2200" s="18">
        <v>0.24</v>
      </c>
      <c r="K2200" s="18">
        <v>0.23</v>
      </c>
      <c r="L2200" s="22">
        <v>8</v>
      </c>
    </row>
    <row r="2201" spans="1:12">
      <c r="A2201">
        <v>3</v>
      </c>
      <c r="B2201" s="16" t="s">
        <v>58</v>
      </c>
      <c r="C2201" s="9">
        <v>45717</v>
      </c>
      <c r="D2201">
        <v>15</v>
      </c>
      <c r="E2201" s="16" t="s">
        <v>100</v>
      </c>
      <c r="F2201" s="16" t="s">
        <v>92</v>
      </c>
      <c r="G2201" s="22">
        <v>252</v>
      </c>
      <c r="H2201" s="18">
        <v>56.04</v>
      </c>
      <c r="I2201" s="18">
        <v>0.22238095199999999</v>
      </c>
      <c r="J2201" s="18">
        <v>0.23</v>
      </c>
      <c r="K2201" s="18">
        <v>0.22</v>
      </c>
      <c r="L2201" s="22">
        <v>9</v>
      </c>
    </row>
    <row r="2202" spans="1:12">
      <c r="A2202">
        <v>3</v>
      </c>
      <c r="B2202" s="16" t="s">
        <v>58</v>
      </c>
      <c r="C2202" s="9">
        <v>45748</v>
      </c>
      <c r="D2202">
        <v>15</v>
      </c>
      <c r="E2202" s="16" t="s">
        <v>100</v>
      </c>
      <c r="F2202" s="16" t="s">
        <v>92</v>
      </c>
      <c r="G2202" s="22">
        <v>327</v>
      </c>
      <c r="H2202" s="18">
        <v>71.16</v>
      </c>
      <c r="I2202" s="18">
        <v>0.21761467900000001</v>
      </c>
      <c r="J2202" s="18">
        <v>0.22</v>
      </c>
      <c r="K2202" s="18">
        <v>0.21</v>
      </c>
      <c r="L2202" s="22">
        <v>8</v>
      </c>
    </row>
    <row r="2203" spans="1:12">
      <c r="A2203">
        <v>3</v>
      </c>
      <c r="B2203" s="16" t="s">
        <v>58</v>
      </c>
      <c r="C2203" s="9">
        <v>45778</v>
      </c>
      <c r="D2203">
        <v>15</v>
      </c>
      <c r="E2203" s="16" t="s">
        <v>100</v>
      </c>
      <c r="F2203" s="16" t="s">
        <v>92</v>
      </c>
      <c r="G2203" s="22">
        <v>330</v>
      </c>
      <c r="H2203" s="18">
        <v>68.849999999999994</v>
      </c>
      <c r="I2203" s="18">
        <v>0.20863636399999999</v>
      </c>
      <c r="J2203" s="18">
        <v>0.21</v>
      </c>
      <c r="K2203" s="18">
        <v>0.2</v>
      </c>
      <c r="L2203" s="22">
        <v>9</v>
      </c>
    </row>
    <row r="2204" spans="1:12">
      <c r="A2204">
        <v>3</v>
      </c>
      <c r="B2204" s="16" t="s">
        <v>58</v>
      </c>
      <c r="C2204" s="9">
        <v>45809</v>
      </c>
      <c r="D2204">
        <v>15</v>
      </c>
      <c r="E2204" s="16" t="s">
        <v>100</v>
      </c>
      <c r="F2204" s="16" t="s">
        <v>92</v>
      </c>
      <c r="G2204" s="22">
        <v>309</v>
      </c>
      <c r="H2204" s="18">
        <v>61.8</v>
      </c>
      <c r="I2204" s="18">
        <v>0.2</v>
      </c>
      <c r="J2204" s="18">
        <v>0.2</v>
      </c>
      <c r="K2204" s="18">
        <v>0.2</v>
      </c>
      <c r="L2204" s="22">
        <v>9</v>
      </c>
    </row>
    <row r="2205" spans="1:12">
      <c r="A2205">
        <v>3</v>
      </c>
      <c r="B2205" s="16" t="s">
        <v>58</v>
      </c>
      <c r="C2205" s="9">
        <v>45839</v>
      </c>
      <c r="D2205">
        <v>15</v>
      </c>
      <c r="E2205" s="16" t="s">
        <v>100</v>
      </c>
      <c r="F2205" s="16" t="s">
        <v>92</v>
      </c>
      <c r="G2205" s="22">
        <v>375</v>
      </c>
      <c r="H2205" s="18">
        <v>75</v>
      </c>
      <c r="I2205" s="18">
        <v>0.2</v>
      </c>
      <c r="J2205" s="18">
        <v>0.2</v>
      </c>
      <c r="K2205" s="18">
        <v>0.2</v>
      </c>
      <c r="L2205" s="22">
        <v>9</v>
      </c>
    </row>
    <row r="2206" spans="1:12">
      <c r="A2206">
        <v>3</v>
      </c>
      <c r="B2206" s="16" t="s">
        <v>58</v>
      </c>
      <c r="C2206" s="9">
        <v>45870</v>
      </c>
      <c r="D2206">
        <v>15</v>
      </c>
      <c r="E2206" s="16" t="s">
        <v>100</v>
      </c>
      <c r="F2206" s="16" t="s">
        <v>92</v>
      </c>
      <c r="G2206" s="22">
        <v>315</v>
      </c>
      <c r="H2206" s="18">
        <v>63.51</v>
      </c>
      <c r="I2206" s="18">
        <v>0.201619048</v>
      </c>
      <c r="J2206" s="18">
        <v>0.21</v>
      </c>
      <c r="K2206" s="18">
        <v>0.2</v>
      </c>
      <c r="L2206" s="22">
        <v>8</v>
      </c>
    </row>
    <row r="2207" spans="1:12">
      <c r="A2207">
        <v>3</v>
      </c>
      <c r="B2207" s="16" t="s">
        <v>58</v>
      </c>
      <c r="C2207" s="9">
        <v>45901</v>
      </c>
      <c r="D2207">
        <v>15</v>
      </c>
      <c r="E2207" s="16" t="s">
        <v>100</v>
      </c>
      <c r="F2207" s="16" t="s">
        <v>92</v>
      </c>
      <c r="G2207" s="22">
        <v>297</v>
      </c>
      <c r="H2207" s="18">
        <v>62.37</v>
      </c>
      <c r="I2207" s="18">
        <v>0.21</v>
      </c>
      <c r="J2207" s="18">
        <v>0.21</v>
      </c>
      <c r="K2207" s="18">
        <v>0.21</v>
      </c>
      <c r="L2207" s="22">
        <v>9</v>
      </c>
    </row>
    <row r="2208" spans="1:12">
      <c r="A2208">
        <v>3</v>
      </c>
      <c r="B2208" s="16" t="s">
        <v>58</v>
      </c>
      <c r="C2208" s="9">
        <v>45931</v>
      </c>
      <c r="D2208">
        <v>15</v>
      </c>
      <c r="E2208" s="16" t="s">
        <v>100</v>
      </c>
      <c r="F2208" s="16" t="s">
        <v>92</v>
      </c>
      <c r="G2208" s="22">
        <v>288</v>
      </c>
      <c r="H2208" s="18">
        <v>62.13</v>
      </c>
      <c r="I2208" s="18">
        <v>0.215729167</v>
      </c>
      <c r="J2208" s="18">
        <v>0.22</v>
      </c>
      <c r="K2208" s="18">
        <v>0.21</v>
      </c>
      <c r="L2208" s="22">
        <v>9</v>
      </c>
    </row>
    <row r="2209" spans="1:12">
      <c r="A2209">
        <v>3</v>
      </c>
      <c r="B2209" s="16" t="s">
        <v>58</v>
      </c>
      <c r="C2209" s="9">
        <v>45962</v>
      </c>
      <c r="D2209">
        <v>15</v>
      </c>
      <c r="E2209" s="16" t="s">
        <v>100</v>
      </c>
      <c r="F2209" s="16" t="s">
        <v>92</v>
      </c>
      <c r="G2209" s="22">
        <v>216</v>
      </c>
      <c r="H2209" s="18">
        <v>48.99</v>
      </c>
      <c r="I2209" s="18">
        <v>0.22680555599999999</v>
      </c>
      <c r="J2209" s="18">
        <v>0.23</v>
      </c>
      <c r="K2209" s="18">
        <v>0.22</v>
      </c>
      <c r="L2209" s="22">
        <v>8</v>
      </c>
    </row>
    <row r="2210" spans="1:12">
      <c r="A2210">
        <v>3</v>
      </c>
      <c r="B2210" s="16" t="s">
        <v>58</v>
      </c>
      <c r="C2210" s="9">
        <v>45992</v>
      </c>
      <c r="D2210">
        <v>15</v>
      </c>
      <c r="E2210" s="16" t="s">
        <v>100</v>
      </c>
      <c r="F2210" s="16" t="s">
        <v>92</v>
      </c>
      <c r="G2210" s="22">
        <v>255</v>
      </c>
      <c r="H2210" s="18">
        <v>59.76</v>
      </c>
      <c r="I2210" s="18">
        <v>0.23435294100000001</v>
      </c>
      <c r="J2210" s="18">
        <v>0.24</v>
      </c>
      <c r="K2210" s="18">
        <v>0.23</v>
      </c>
      <c r="L2210" s="22">
        <v>9</v>
      </c>
    </row>
    <row r="2211" spans="1:12">
      <c r="A2211">
        <v>3</v>
      </c>
      <c r="B2211" s="16" t="s">
        <v>58</v>
      </c>
      <c r="C2211" s="9">
        <v>46023</v>
      </c>
      <c r="D2211">
        <v>15</v>
      </c>
      <c r="E2211" s="16" t="s">
        <v>100</v>
      </c>
      <c r="F2211" s="16" t="s">
        <v>92</v>
      </c>
      <c r="G2211" s="22">
        <v>270</v>
      </c>
      <c r="H2211" s="18">
        <v>64.44</v>
      </c>
      <c r="I2211" s="18">
        <v>0.238666667</v>
      </c>
      <c r="J2211" s="18">
        <v>0.24</v>
      </c>
      <c r="K2211" s="18">
        <v>0.23</v>
      </c>
      <c r="L2211" s="22">
        <v>9</v>
      </c>
    </row>
    <row r="2212" spans="1:12">
      <c r="A2212">
        <v>3</v>
      </c>
      <c r="B2212" s="16" t="s">
        <v>58</v>
      </c>
      <c r="C2212" s="9">
        <v>46054</v>
      </c>
      <c r="D2212">
        <v>15</v>
      </c>
      <c r="E2212" s="16" t="s">
        <v>100</v>
      </c>
      <c r="F2212" s="16" t="s">
        <v>92</v>
      </c>
      <c r="G2212" s="22">
        <v>240</v>
      </c>
      <c r="H2212" s="18">
        <v>57.21</v>
      </c>
      <c r="I2212" s="18">
        <v>0.238375</v>
      </c>
      <c r="J2212" s="18">
        <v>0.24</v>
      </c>
      <c r="K2212" s="18">
        <v>0.23</v>
      </c>
      <c r="L2212" s="22">
        <v>8</v>
      </c>
    </row>
    <row r="2213" spans="1:12">
      <c r="A2213">
        <v>3</v>
      </c>
      <c r="B2213" s="16" t="s">
        <v>58</v>
      </c>
      <c r="C2213" s="9">
        <v>46082</v>
      </c>
      <c r="D2213">
        <v>15</v>
      </c>
      <c r="E2213" s="16" t="s">
        <v>100</v>
      </c>
      <c r="F2213" s="16" t="s">
        <v>92</v>
      </c>
      <c r="G2213" s="22">
        <v>258</v>
      </c>
      <c r="H2213" s="18">
        <v>59.52</v>
      </c>
      <c r="I2213" s="18">
        <v>0.23069767399999999</v>
      </c>
      <c r="J2213" s="18">
        <v>0.24</v>
      </c>
      <c r="K2213" s="18">
        <v>0.23</v>
      </c>
      <c r="L2213" s="22">
        <v>9</v>
      </c>
    </row>
    <row r="2214" spans="1:12">
      <c r="A2214">
        <v>3</v>
      </c>
      <c r="B2214" s="16" t="s">
        <v>58</v>
      </c>
      <c r="C2214" s="9">
        <v>46113</v>
      </c>
      <c r="D2214">
        <v>15</v>
      </c>
      <c r="E2214" s="16" t="s">
        <v>100</v>
      </c>
      <c r="F2214" s="16" t="s">
        <v>92</v>
      </c>
      <c r="G2214" s="22">
        <v>309</v>
      </c>
      <c r="H2214" s="18">
        <v>68.31</v>
      </c>
      <c r="I2214" s="18">
        <v>0.22106796100000001</v>
      </c>
      <c r="J2214" s="18">
        <v>0.23</v>
      </c>
      <c r="K2214" s="18">
        <v>0.22</v>
      </c>
      <c r="L2214" s="22">
        <v>9</v>
      </c>
    </row>
    <row r="2215" spans="1:12">
      <c r="A2215">
        <v>3</v>
      </c>
      <c r="B2215" s="16" t="s">
        <v>58</v>
      </c>
      <c r="C2215" s="9">
        <v>46143</v>
      </c>
      <c r="D2215">
        <v>15</v>
      </c>
      <c r="E2215" s="16" t="s">
        <v>100</v>
      </c>
      <c r="F2215" s="16" t="s">
        <v>92</v>
      </c>
      <c r="G2215" s="22">
        <v>279</v>
      </c>
      <c r="H2215" s="18">
        <v>60.03</v>
      </c>
      <c r="I2215" s="18">
        <v>0.21516129000000001</v>
      </c>
      <c r="J2215" s="18">
        <v>0.22</v>
      </c>
      <c r="K2215" s="18">
        <v>0.21</v>
      </c>
      <c r="L2215" s="22">
        <v>8</v>
      </c>
    </row>
    <row r="2216" spans="1:12">
      <c r="A2216">
        <v>3</v>
      </c>
      <c r="B2216" s="16" t="s">
        <v>58</v>
      </c>
      <c r="C2216" s="9">
        <v>46174</v>
      </c>
      <c r="D2216">
        <v>15</v>
      </c>
      <c r="E2216" s="16" t="s">
        <v>100</v>
      </c>
      <c r="F2216" s="16" t="s">
        <v>92</v>
      </c>
      <c r="G2216" s="22">
        <v>336</v>
      </c>
      <c r="H2216" s="18">
        <v>69.81</v>
      </c>
      <c r="I2216" s="18">
        <v>0.207767857</v>
      </c>
      <c r="J2216" s="18">
        <v>0.21</v>
      </c>
      <c r="K2216" s="18">
        <v>0.2</v>
      </c>
      <c r="L2216" s="22">
        <v>9</v>
      </c>
    </row>
    <row r="2217" spans="1:12">
      <c r="A2217">
        <v>3</v>
      </c>
      <c r="B2217" s="16" t="s">
        <v>58</v>
      </c>
      <c r="C2217" s="9">
        <v>46204</v>
      </c>
      <c r="D2217">
        <v>15</v>
      </c>
      <c r="E2217" s="16" t="s">
        <v>100</v>
      </c>
      <c r="F2217" s="16" t="s">
        <v>92</v>
      </c>
      <c r="G2217" s="22">
        <v>342</v>
      </c>
      <c r="H2217" s="18">
        <v>70.83</v>
      </c>
      <c r="I2217" s="18">
        <v>0.20710526300000001</v>
      </c>
      <c r="J2217" s="18">
        <v>0.21</v>
      </c>
      <c r="K2217" s="18">
        <v>0.2</v>
      </c>
      <c r="L2217" s="22">
        <v>9</v>
      </c>
    </row>
    <row r="2218" spans="1:12">
      <c r="A2218">
        <v>3</v>
      </c>
      <c r="B2218" s="16" t="s">
        <v>58</v>
      </c>
      <c r="C2218" s="9">
        <v>46235</v>
      </c>
      <c r="D2218">
        <v>15</v>
      </c>
      <c r="E2218" s="16" t="s">
        <v>100</v>
      </c>
      <c r="F2218" s="16" t="s">
        <v>92</v>
      </c>
      <c r="G2218" s="22">
        <v>279</v>
      </c>
      <c r="H2218" s="18">
        <v>58.47</v>
      </c>
      <c r="I2218" s="18">
        <v>0.20956989200000001</v>
      </c>
      <c r="J2218" s="18">
        <v>0.21</v>
      </c>
      <c r="K2218" s="18">
        <v>0.2</v>
      </c>
      <c r="L2218" s="22">
        <v>9</v>
      </c>
    </row>
    <row r="2219" spans="1:12">
      <c r="A2219">
        <v>3</v>
      </c>
      <c r="B2219" s="16" t="s">
        <v>58</v>
      </c>
      <c r="C2219" s="9">
        <v>46266</v>
      </c>
      <c r="D2219">
        <v>15</v>
      </c>
      <c r="E2219" s="16" t="s">
        <v>100</v>
      </c>
      <c r="F2219" s="16" t="s">
        <v>92</v>
      </c>
      <c r="G2219" s="22">
        <v>231</v>
      </c>
      <c r="H2219" s="18">
        <v>49.98</v>
      </c>
      <c r="I2219" s="18">
        <v>0.216363636</v>
      </c>
      <c r="J2219" s="18">
        <v>0.22</v>
      </c>
      <c r="K2219" s="18">
        <v>0.21</v>
      </c>
      <c r="L2219" s="22">
        <v>8</v>
      </c>
    </row>
    <row r="2220" spans="1:12">
      <c r="A2220">
        <v>3</v>
      </c>
      <c r="B2220" s="16" t="s">
        <v>58</v>
      </c>
      <c r="C2220" s="9">
        <v>45689</v>
      </c>
      <c r="D2220">
        <v>16</v>
      </c>
      <c r="E2220" s="16" t="s">
        <v>101</v>
      </c>
      <c r="F2220" s="16" t="s">
        <v>92</v>
      </c>
      <c r="G2220" s="22">
        <v>13.5</v>
      </c>
      <c r="H2220" s="18">
        <v>8.4</v>
      </c>
      <c r="I2220" s="18">
        <v>0.62222222199999999</v>
      </c>
      <c r="J2220" s="18">
        <v>0.64</v>
      </c>
      <c r="K2220" s="18">
        <v>0.61</v>
      </c>
      <c r="L2220" s="22">
        <v>6</v>
      </c>
    </row>
    <row r="2221" spans="1:12">
      <c r="A2221">
        <v>3</v>
      </c>
      <c r="B2221" s="16" t="s">
        <v>58</v>
      </c>
      <c r="C2221" s="9">
        <v>45717</v>
      </c>
      <c r="D2221">
        <v>16</v>
      </c>
      <c r="E2221" s="16" t="s">
        <v>101</v>
      </c>
      <c r="F2221" s="16" t="s">
        <v>92</v>
      </c>
      <c r="G2221" s="22">
        <v>12</v>
      </c>
      <c r="H2221" s="18">
        <v>7.23</v>
      </c>
      <c r="I2221" s="18">
        <v>0.60250000000000004</v>
      </c>
      <c r="J2221" s="18">
        <v>0.61</v>
      </c>
      <c r="K2221" s="18">
        <v>0.6</v>
      </c>
      <c r="L2221" s="22">
        <v>7</v>
      </c>
    </row>
    <row r="2222" spans="1:12">
      <c r="A2222">
        <v>3</v>
      </c>
      <c r="B2222" s="16" t="s">
        <v>58</v>
      </c>
      <c r="C2222" s="9">
        <v>45748</v>
      </c>
      <c r="D2222">
        <v>16</v>
      </c>
      <c r="E2222" s="16" t="s">
        <v>101</v>
      </c>
      <c r="F2222" s="16" t="s">
        <v>92</v>
      </c>
      <c r="G2222" s="22">
        <v>15</v>
      </c>
      <c r="H2222" s="18">
        <v>8.73</v>
      </c>
      <c r="I2222" s="18">
        <v>0.58199999999999996</v>
      </c>
      <c r="J2222" s="18">
        <v>0.6</v>
      </c>
      <c r="K2222" s="18">
        <v>0.56999999999999995</v>
      </c>
      <c r="L2222" s="22">
        <v>7</v>
      </c>
    </row>
    <row r="2223" spans="1:12">
      <c r="A2223">
        <v>3</v>
      </c>
      <c r="B2223" s="16" t="s">
        <v>58</v>
      </c>
      <c r="C2223" s="9">
        <v>45778</v>
      </c>
      <c r="D2223">
        <v>16</v>
      </c>
      <c r="E2223" s="16" t="s">
        <v>101</v>
      </c>
      <c r="F2223" s="16" t="s">
        <v>92</v>
      </c>
      <c r="G2223" s="22">
        <v>12</v>
      </c>
      <c r="H2223" s="18">
        <v>6.66</v>
      </c>
      <c r="I2223" s="18">
        <v>0.55500000000000005</v>
      </c>
      <c r="J2223" s="18">
        <v>0.56000000000000005</v>
      </c>
      <c r="K2223" s="18">
        <v>0.55000000000000004</v>
      </c>
      <c r="L2223" s="22">
        <v>7</v>
      </c>
    </row>
    <row r="2224" spans="1:12">
      <c r="A2224">
        <v>3</v>
      </c>
      <c r="B2224" s="16" t="s">
        <v>58</v>
      </c>
      <c r="C2224" s="9">
        <v>45809</v>
      </c>
      <c r="D2224">
        <v>16</v>
      </c>
      <c r="E2224" s="16" t="s">
        <v>101</v>
      </c>
      <c r="F2224" s="16" t="s">
        <v>92</v>
      </c>
      <c r="G2224" s="22">
        <v>10.5</v>
      </c>
      <c r="H2224" s="18">
        <v>5.7</v>
      </c>
      <c r="I2224" s="18">
        <v>0.54285714299999999</v>
      </c>
      <c r="J2224" s="18">
        <v>0.55000000000000004</v>
      </c>
      <c r="K2224" s="18">
        <v>0.54</v>
      </c>
      <c r="L2224" s="22">
        <v>6</v>
      </c>
    </row>
    <row r="2225" spans="1:12">
      <c r="A2225">
        <v>3</v>
      </c>
      <c r="B2225" s="16" t="s">
        <v>58</v>
      </c>
      <c r="C2225" s="9">
        <v>45839</v>
      </c>
      <c r="D2225">
        <v>16</v>
      </c>
      <c r="E2225" s="16" t="s">
        <v>101</v>
      </c>
      <c r="F2225" s="16" t="s">
        <v>92</v>
      </c>
      <c r="G2225" s="22">
        <v>9</v>
      </c>
      <c r="H2225" s="18">
        <v>4.8150000000000004</v>
      </c>
      <c r="I2225" s="18">
        <v>0.53500000000000003</v>
      </c>
      <c r="J2225" s="18">
        <v>0.54</v>
      </c>
      <c r="K2225" s="18">
        <v>0.53</v>
      </c>
      <c r="L2225" s="22">
        <v>6</v>
      </c>
    </row>
    <row r="2226" spans="1:12">
      <c r="A2226">
        <v>3</v>
      </c>
      <c r="B2226" s="16" t="s">
        <v>58</v>
      </c>
      <c r="C2226" s="9">
        <v>45870</v>
      </c>
      <c r="D2226">
        <v>16</v>
      </c>
      <c r="E2226" s="16" t="s">
        <v>101</v>
      </c>
      <c r="F2226" s="16" t="s">
        <v>92</v>
      </c>
      <c r="G2226" s="22">
        <v>10.5</v>
      </c>
      <c r="H2226" s="18">
        <v>5.7</v>
      </c>
      <c r="I2226" s="18">
        <v>0.54285714299999999</v>
      </c>
      <c r="J2226" s="18">
        <v>0.55000000000000004</v>
      </c>
      <c r="K2226" s="18">
        <v>0.54</v>
      </c>
      <c r="L2226" s="22">
        <v>6</v>
      </c>
    </row>
    <row r="2227" spans="1:12">
      <c r="A2227">
        <v>3</v>
      </c>
      <c r="B2227" s="16" t="s">
        <v>58</v>
      </c>
      <c r="C2227" s="9">
        <v>45901</v>
      </c>
      <c r="D2227">
        <v>16</v>
      </c>
      <c r="E2227" s="16" t="s">
        <v>101</v>
      </c>
      <c r="F2227" s="16" t="s">
        <v>92</v>
      </c>
      <c r="G2227" s="22">
        <v>12</v>
      </c>
      <c r="H2227" s="18">
        <v>6.81</v>
      </c>
      <c r="I2227" s="18">
        <v>0.5675</v>
      </c>
      <c r="J2227" s="18">
        <v>0.57999999999999996</v>
      </c>
      <c r="K2227" s="18">
        <v>0.56000000000000005</v>
      </c>
      <c r="L2227" s="22">
        <v>8</v>
      </c>
    </row>
    <row r="2228" spans="1:12">
      <c r="A2228">
        <v>3</v>
      </c>
      <c r="B2228" s="16" t="s">
        <v>58</v>
      </c>
      <c r="C2228" s="9">
        <v>45931</v>
      </c>
      <c r="D2228">
        <v>16</v>
      </c>
      <c r="E2228" s="16" t="s">
        <v>101</v>
      </c>
      <c r="F2228" s="16" t="s">
        <v>92</v>
      </c>
      <c r="G2228" s="22">
        <v>15</v>
      </c>
      <c r="H2228" s="18">
        <v>8.85</v>
      </c>
      <c r="I2228" s="18">
        <v>0.59</v>
      </c>
      <c r="J2228" s="18">
        <v>0.6</v>
      </c>
      <c r="K2228" s="18">
        <v>0.57999999999999996</v>
      </c>
      <c r="L2228" s="22">
        <v>7</v>
      </c>
    </row>
    <row r="2229" spans="1:12">
      <c r="A2229">
        <v>3</v>
      </c>
      <c r="B2229" s="16" t="s">
        <v>58</v>
      </c>
      <c r="C2229" s="9">
        <v>45962</v>
      </c>
      <c r="D2229">
        <v>16</v>
      </c>
      <c r="E2229" s="16" t="s">
        <v>101</v>
      </c>
      <c r="F2229" s="16" t="s">
        <v>92</v>
      </c>
      <c r="G2229" s="22">
        <v>10.5</v>
      </c>
      <c r="H2229" s="18">
        <v>6.4349999999999996</v>
      </c>
      <c r="I2229" s="18">
        <v>0.61285714300000005</v>
      </c>
      <c r="J2229" s="18">
        <v>0.62</v>
      </c>
      <c r="K2229" s="18">
        <v>0.61</v>
      </c>
      <c r="L2229" s="22">
        <v>6</v>
      </c>
    </row>
    <row r="2230" spans="1:12">
      <c r="A2230">
        <v>3</v>
      </c>
      <c r="B2230" s="16" t="s">
        <v>58</v>
      </c>
      <c r="C2230" s="9">
        <v>45992</v>
      </c>
      <c r="D2230">
        <v>16</v>
      </c>
      <c r="E2230" s="16" t="s">
        <v>101</v>
      </c>
      <c r="F2230" s="16" t="s">
        <v>92</v>
      </c>
      <c r="G2230" s="22">
        <v>15</v>
      </c>
      <c r="H2230" s="18">
        <v>9.4499999999999993</v>
      </c>
      <c r="I2230" s="18">
        <v>0.63</v>
      </c>
      <c r="J2230" s="18">
        <v>0.64</v>
      </c>
      <c r="K2230" s="18">
        <v>0.61</v>
      </c>
      <c r="L2230" s="22">
        <v>6</v>
      </c>
    </row>
    <row r="2231" spans="1:12">
      <c r="A2231">
        <v>3</v>
      </c>
      <c r="B2231" s="16" t="s">
        <v>58</v>
      </c>
      <c r="C2231" s="9">
        <v>46023</v>
      </c>
      <c r="D2231">
        <v>16</v>
      </c>
      <c r="E2231" s="16" t="s">
        <v>101</v>
      </c>
      <c r="F2231" s="16" t="s">
        <v>92</v>
      </c>
      <c r="G2231" s="22">
        <v>16.5</v>
      </c>
      <c r="H2231" s="18">
        <v>10.695</v>
      </c>
      <c r="I2231" s="18">
        <v>0.64818181799999997</v>
      </c>
      <c r="J2231" s="18">
        <v>0.66</v>
      </c>
      <c r="K2231" s="18">
        <v>0.64</v>
      </c>
      <c r="L2231" s="22">
        <v>7</v>
      </c>
    </row>
    <row r="2232" spans="1:12">
      <c r="A2232">
        <v>3</v>
      </c>
      <c r="B2232" s="16" t="s">
        <v>58</v>
      </c>
      <c r="C2232" s="9">
        <v>46054</v>
      </c>
      <c r="D2232">
        <v>16</v>
      </c>
      <c r="E2232" s="16" t="s">
        <v>101</v>
      </c>
      <c r="F2232" s="16" t="s">
        <v>92</v>
      </c>
      <c r="G2232" s="22">
        <v>10.5</v>
      </c>
      <c r="H2232" s="18">
        <v>6.7949999999999999</v>
      </c>
      <c r="I2232" s="18">
        <v>0.64714285699999996</v>
      </c>
      <c r="J2232" s="18">
        <v>0.68</v>
      </c>
      <c r="K2232" s="18">
        <v>0.63</v>
      </c>
      <c r="L2232" s="22">
        <v>6</v>
      </c>
    </row>
    <row r="2233" spans="1:12">
      <c r="A2233">
        <v>3</v>
      </c>
      <c r="B2233" s="16" t="s">
        <v>58</v>
      </c>
      <c r="C2233" s="9">
        <v>46082</v>
      </c>
      <c r="D2233">
        <v>16</v>
      </c>
      <c r="E2233" s="16" t="s">
        <v>101</v>
      </c>
      <c r="F2233" s="16" t="s">
        <v>92</v>
      </c>
      <c r="G2233" s="22">
        <v>12</v>
      </c>
      <c r="H2233" s="18">
        <v>7.5</v>
      </c>
      <c r="I2233" s="18">
        <v>0.625</v>
      </c>
      <c r="J2233" s="18">
        <v>0.64</v>
      </c>
      <c r="K2233" s="18">
        <v>0.61</v>
      </c>
      <c r="L2233" s="22">
        <v>7</v>
      </c>
    </row>
    <row r="2234" spans="1:12">
      <c r="A2234">
        <v>3</v>
      </c>
      <c r="B2234" s="16" t="s">
        <v>58</v>
      </c>
      <c r="C2234" s="9">
        <v>46113</v>
      </c>
      <c r="D2234">
        <v>16</v>
      </c>
      <c r="E2234" s="16" t="s">
        <v>101</v>
      </c>
      <c r="F2234" s="16" t="s">
        <v>92</v>
      </c>
      <c r="G2234" s="22">
        <v>13.5</v>
      </c>
      <c r="H2234" s="18">
        <v>8.0399999999999991</v>
      </c>
      <c r="I2234" s="18">
        <v>0.59555555599999999</v>
      </c>
      <c r="J2234" s="18">
        <v>0.62</v>
      </c>
      <c r="K2234" s="18">
        <v>0.57999999999999996</v>
      </c>
      <c r="L2234" s="22">
        <v>6</v>
      </c>
    </row>
    <row r="2235" spans="1:12">
      <c r="A2235">
        <v>3</v>
      </c>
      <c r="B2235" s="16" t="s">
        <v>58</v>
      </c>
      <c r="C2235" s="9">
        <v>46143</v>
      </c>
      <c r="D2235">
        <v>16</v>
      </c>
      <c r="E2235" s="16" t="s">
        <v>101</v>
      </c>
      <c r="F2235" s="16" t="s">
        <v>92</v>
      </c>
      <c r="G2235" s="22">
        <v>9</v>
      </c>
      <c r="H2235" s="18">
        <v>5.07</v>
      </c>
      <c r="I2235" s="18">
        <v>0.56333333299999999</v>
      </c>
      <c r="J2235" s="18">
        <v>0.57999999999999996</v>
      </c>
      <c r="K2235" s="18">
        <v>0.55000000000000004</v>
      </c>
      <c r="L2235" s="22">
        <v>5</v>
      </c>
    </row>
    <row r="2236" spans="1:12">
      <c r="A2236">
        <v>3</v>
      </c>
      <c r="B2236" s="16" t="s">
        <v>58</v>
      </c>
      <c r="C2236" s="9">
        <v>46174</v>
      </c>
      <c r="D2236">
        <v>16</v>
      </c>
      <c r="E2236" s="16" t="s">
        <v>101</v>
      </c>
      <c r="F2236" s="16" t="s">
        <v>92</v>
      </c>
      <c r="G2236" s="22">
        <v>9</v>
      </c>
      <c r="H2236" s="18">
        <v>4.9649999999999999</v>
      </c>
      <c r="I2236" s="18">
        <v>0.551666667</v>
      </c>
      <c r="J2236" s="18">
        <v>0.56000000000000005</v>
      </c>
      <c r="K2236" s="18">
        <v>0.54</v>
      </c>
      <c r="L2236" s="22">
        <v>6</v>
      </c>
    </row>
    <row r="2237" spans="1:12">
      <c r="A2237">
        <v>3</v>
      </c>
      <c r="B2237" s="16" t="s">
        <v>58</v>
      </c>
      <c r="C2237" s="9">
        <v>46204</v>
      </c>
      <c r="D2237">
        <v>16</v>
      </c>
      <c r="E2237" s="16" t="s">
        <v>101</v>
      </c>
      <c r="F2237" s="16" t="s">
        <v>92</v>
      </c>
      <c r="G2237" s="22">
        <v>10.5</v>
      </c>
      <c r="H2237" s="18">
        <v>5.64</v>
      </c>
      <c r="I2237" s="18">
        <v>0.53714285699999997</v>
      </c>
      <c r="J2237" s="18">
        <v>0.56000000000000005</v>
      </c>
      <c r="K2237" s="18">
        <v>0.52</v>
      </c>
      <c r="L2237" s="22">
        <v>6</v>
      </c>
    </row>
    <row r="2238" spans="1:12">
      <c r="A2238">
        <v>3</v>
      </c>
      <c r="B2238" s="16" t="s">
        <v>58</v>
      </c>
      <c r="C2238" s="9">
        <v>46235</v>
      </c>
      <c r="D2238">
        <v>16</v>
      </c>
      <c r="E2238" s="16" t="s">
        <v>101</v>
      </c>
      <c r="F2238" s="16" t="s">
        <v>92</v>
      </c>
      <c r="G2238" s="22">
        <v>9</v>
      </c>
      <c r="H2238" s="18">
        <v>4.875</v>
      </c>
      <c r="I2238" s="18">
        <v>0.54166666699999999</v>
      </c>
      <c r="J2238" s="18">
        <v>0.55000000000000004</v>
      </c>
      <c r="K2238" s="18">
        <v>0.53</v>
      </c>
      <c r="L2238" s="22">
        <v>6</v>
      </c>
    </row>
    <row r="2239" spans="1:12">
      <c r="A2239">
        <v>3</v>
      </c>
      <c r="B2239" s="16" t="s">
        <v>58</v>
      </c>
      <c r="C2239" s="9">
        <v>46266</v>
      </c>
      <c r="D2239">
        <v>16</v>
      </c>
      <c r="E2239" s="16" t="s">
        <v>101</v>
      </c>
      <c r="F2239" s="16" t="s">
        <v>92</v>
      </c>
      <c r="G2239" s="22">
        <v>9</v>
      </c>
      <c r="H2239" s="18">
        <v>5.085</v>
      </c>
      <c r="I2239" s="18">
        <v>0.56499999999999995</v>
      </c>
      <c r="J2239" s="18">
        <v>0.56999999999999995</v>
      </c>
      <c r="K2239" s="18">
        <v>0.56000000000000005</v>
      </c>
      <c r="L2239" s="22">
        <v>6</v>
      </c>
    </row>
    <row r="2240" spans="1:12">
      <c r="A2240">
        <v>3</v>
      </c>
      <c r="B2240" s="16" t="s">
        <v>58</v>
      </c>
      <c r="C2240" s="9">
        <v>45689</v>
      </c>
      <c r="D2240">
        <v>17</v>
      </c>
      <c r="E2240" s="16" t="s">
        <v>102</v>
      </c>
      <c r="F2240" s="16" t="s">
        <v>103</v>
      </c>
      <c r="G2240" s="22">
        <v>2.25</v>
      </c>
      <c r="H2240" s="18">
        <v>22.635000000000002</v>
      </c>
      <c r="I2240" s="18">
        <v>10.06</v>
      </c>
      <c r="J2240" s="18">
        <v>10.06</v>
      </c>
      <c r="K2240" s="18">
        <v>10.06</v>
      </c>
      <c r="L2240" s="22">
        <v>1</v>
      </c>
    </row>
    <row r="2241" spans="1:12">
      <c r="A2241">
        <v>3</v>
      </c>
      <c r="B2241" s="16" t="s">
        <v>58</v>
      </c>
      <c r="C2241" s="9">
        <v>45717</v>
      </c>
      <c r="D2241">
        <v>17</v>
      </c>
      <c r="E2241" s="16" t="s">
        <v>102</v>
      </c>
      <c r="F2241" s="16" t="s">
        <v>103</v>
      </c>
      <c r="G2241" s="22">
        <v>4.5</v>
      </c>
      <c r="H2241" s="18">
        <v>44.865000000000002</v>
      </c>
      <c r="I2241" s="18">
        <v>9.9700000000000006</v>
      </c>
      <c r="J2241" s="18">
        <v>10.02</v>
      </c>
      <c r="K2241" s="18">
        <v>9.92</v>
      </c>
      <c r="L2241" s="22">
        <v>2</v>
      </c>
    </row>
    <row r="2242" spans="1:12">
      <c r="A2242">
        <v>3</v>
      </c>
      <c r="B2242" s="16" t="s">
        <v>58</v>
      </c>
      <c r="C2242" s="9">
        <v>45748</v>
      </c>
      <c r="D2242">
        <v>17</v>
      </c>
      <c r="E2242" s="16" t="s">
        <v>102</v>
      </c>
      <c r="F2242" s="16" t="s">
        <v>103</v>
      </c>
      <c r="G2242" s="22">
        <v>2.25</v>
      </c>
      <c r="H2242" s="18">
        <v>23.355</v>
      </c>
      <c r="I2242" s="18">
        <v>10.38</v>
      </c>
      <c r="J2242" s="18">
        <v>10.38</v>
      </c>
      <c r="K2242" s="18">
        <v>10.38</v>
      </c>
      <c r="L2242" s="22">
        <v>1</v>
      </c>
    </row>
    <row r="2243" spans="1:12">
      <c r="A2243">
        <v>3</v>
      </c>
      <c r="B2243" s="16" t="s">
        <v>58</v>
      </c>
      <c r="C2243" s="9">
        <v>45778</v>
      </c>
      <c r="D2243">
        <v>17</v>
      </c>
      <c r="E2243" s="16" t="s">
        <v>102</v>
      </c>
      <c r="F2243" s="16" t="s">
        <v>103</v>
      </c>
      <c r="G2243" s="22">
        <v>2.25</v>
      </c>
      <c r="H2243" s="18">
        <v>22.8825</v>
      </c>
      <c r="I2243" s="18">
        <v>10.17</v>
      </c>
      <c r="J2243" s="18">
        <v>10.17</v>
      </c>
      <c r="K2243" s="18">
        <v>10.17</v>
      </c>
      <c r="L2243" s="22">
        <v>1</v>
      </c>
    </row>
    <row r="2244" spans="1:12">
      <c r="A2244">
        <v>3</v>
      </c>
      <c r="B2244" s="16" t="s">
        <v>58</v>
      </c>
      <c r="C2244" s="9">
        <v>45809</v>
      </c>
      <c r="D2244">
        <v>17</v>
      </c>
      <c r="E2244" s="16" t="s">
        <v>102</v>
      </c>
      <c r="F2244" s="16" t="s">
        <v>103</v>
      </c>
      <c r="G2244" s="22">
        <v>2.25</v>
      </c>
      <c r="H2244" s="18">
        <v>23.557500000000001</v>
      </c>
      <c r="I2244" s="18">
        <v>10.47</v>
      </c>
      <c r="J2244" s="18">
        <v>10.47</v>
      </c>
      <c r="K2244" s="18">
        <v>10.47</v>
      </c>
      <c r="L2244" s="22">
        <v>1</v>
      </c>
    </row>
    <row r="2245" spans="1:12">
      <c r="A2245">
        <v>3</v>
      </c>
      <c r="B2245" s="16" t="s">
        <v>58</v>
      </c>
      <c r="C2245" s="9">
        <v>45839</v>
      </c>
      <c r="D2245">
        <v>17</v>
      </c>
      <c r="E2245" s="16" t="s">
        <v>102</v>
      </c>
      <c r="F2245" s="16" t="s">
        <v>103</v>
      </c>
      <c r="G2245" s="22">
        <v>4.5</v>
      </c>
      <c r="H2245" s="18">
        <v>47.024999999999999</v>
      </c>
      <c r="I2245" s="18">
        <v>10.45</v>
      </c>
      <c r="J2245" s="18">
        <v>10.77</v>
      </c>
      <c r="K2245" s="18">
        <v>10.130000000000001</v>
      </c>
      <c r="L2245" s="22">
        <v>2</v>
      </c>
    </row>
    <row r="2246" spans="1:12">
      <c r="A2246">
        <v>3</v>
      </c>
      <c r="B2246" s="16" t="s">
        <v>58</v>
      </c>
      <c r="C2246" s="9">
        <v>45870</v>
      </c>
      <c r="D2246">
        <v>17</v>
      </c>
      <c r="E2246" s="16" t="s">
        <v>102</v>
      </c>
      <c r="F2246" s="16" t="s">
        <v>103</v>
      </c>
      <c r="G2246" s="22">
        <v>2.25</v>
      </c>
      <c r="H2246" s="18">
        <v>23.94</v>
      </c>
      <c r="I2246" s="18">
        <v>10.64</v>
      </c>
      <c r="J2246" s="18">
        <v>10.64</v>
      </c>
      <c r="K2246" s="18">
        <v>10.64</v>
      </c>
      <c r="L2246" s="22">
        <v>1</v>
      </c>
    </row>
    <row r="2247" spans="1:12">
      <c r="A2247">
        <v>3</v>
      </c>
      <c r="B2247" s="16" t="s">
        <v>58</v>
      </c>
      <c r="C2247" s="9">
        <v>45901</v>
      </c>
      <c r="D2247">
        <v>17</v>
      </c>
      <c r="E2247" s="16" t="s">
        <v>102</v>
      </c>
      <c r="F2247" s="16" t="s">
        <v>103</v>
      </c>
      <c r="G2247" s="22">
        <v>2.25</v>
      </c>
      <c r="H2247" s="18">
        <v>23.827500000000001</v>
      </c>
      <c r="I2247" s="18">
        <v>10.59</v>
      </c>
      <c r="J2247" s="18">
        <v>10.59</v>
      </c>
      <c r="K2247" s="18">
        <v>10.59</v>
      </c>
      <c r="L2247" s="22">
        <v>1</v>
      </c>
    </row>
    <row r="2248" spans="1:12">
      <c r="A2248">
        <v>3</v>
      </c>
      <c r="B2248" s="16" t="s">
        <v>58</v>
      </c>
      <c r="C2248" s="9">
        <v>45931</v>
      </c>
      <c r="D2248">
        <v>17</v>
      </c>
      <c r="E2248" s="16" t="s">
        <v>102</v>
      </c>
      <c r="F2248" s="16" t="s">
        <v>103</v>
      </c>
      <c r="G2248" s="22">
        <v>2.25</v>
      </c>
      <c r="H2248" s="18">
        <v>24.524999999999999</v>
      </c>
      <c r="I2248" s="18">
        <v>10.9</v>
      </c>
      <c r="J2248" s="18">
        <v>10.9</v>
      </c>
      <c r="K2248" s="18">
        <v>10.9</v>
      </c>
      <c r="L2248" s="22">
        <v>1</v>
      </c>
    </row>
    <row r="2249" spans="1:12">
      <c r="A2249">
        <v>3</v>
      </c>
      <c r="B2249" s="16" t="s">
        <v>58</v>
      </c>
      <c r="C2249" s="9">
        <v>45962</v>
      </c>
      <c r="D2249">
        <v>17</v>
      </c>
      <c r="E2249" s="16" t="s">
        <v>102</v>
      </c>
      <c r="F2249" s="16" t="s">
        <v>103</v>
      </c>
      <c r="G2249" s="22">
        <v>2.25</v>
      </c>
      <c r="H2249" s="18">
        <v>24.434999999999999</v>
      </c>
      <c r="I2249" s="18">
        <v>10.86</v>
      </c>
      <c r="J2249" s="18">
        <v>10.86</v>
      </c>
      <c r="K2249" s="18">
        <v>10.86</v>
      </c>
      <c r="L2249" s="22">
        <v>1</v>
      </c>
    </row>
    <row r="2250" spans="1:12">
      <c r="A2250">
        <v>3</v>
      </c>
      <c r="B2250" s="16" t="s">
        <v>58</v>
      </c>
      <c r="C2250" s="9">
        <v>45992</v>
      </c>
      <c r="D2250">
        <v>17</v>
      </c>
      <c r="E2250" s="16" t="s">
        <v>102</v>
      </c>
      <c r="F2250" s="16" t="s">
        <v>103</v>
      </c>
      <c r="G2250" s="22">
        <v>6.75</v>
      </c>
      <c r="H2250" s="18">
        <v>75.487499999999997</v>
      </c>
      <c r="I2250" s="18">
        <v>11.183333333</v>
      </c>
      <c r="J2250" s="18">
        <v>11.29</v>
      </c>
      <c r="K2250" s="18">
        <v>11.09</v>
      </c>
      <c r="L2250" s="22">
        <v>3</v>
      </c>
    </row>
    <row r="2251" spans="1:12">
      <c r="A2251">
        <v>3</v>
      </c>
      <c r="B2251" s="16" t="s">
        <v>58</v>
      </c>
      <c r="C2251" s="9">
        <v>46023</v>
      </c>
      <c r="D2251">
        <v>17</v>
      </c>
      <c r="E2251" s="16" t="s">
        <v>102</v>
      </c>
      <c r="F2251" s="16" t="s">
        <v>103</v>
      </c>
      <c r="G2251" s="22">
        <v>2.25</v>
      </c>
      <c r="H2251" s="18">
        <v>24.885000000000002</v>
      </c>
      <c r="I2251" s="18">
        <v>11.06</v>
      </c>
      <c r="J2251" s="18">
        <v>11.06</v>
      </c>
      <c r="K2251" s="18">
        <v>11.06</v>
      </c>
      <c r="L2251" s="22">
        <v>1</v>
      </c>
    </row>
    <row r="2252" spans="1:12">
      <c r="A2252">
        <v>3</v>
      </c>
      <c r="B2252" s="16" t="s">
        <v>58</v>
      </c>
      <c r="C2252" s="9">
        <v>46054</v>
      </c>
      <c r="D2252">
        <v>17</v>
      </c>
      <c r="E2252" s="16" t="s">
        <v>102</v>
      </c>
      <c r="F2252" s="16" t="s">
        <v>103</v>
      </c>
      <c r="G2252" s="22">
        <v>2.25</v>
      </c>
      <c r="H2252" s="18">
        <v>25.065000000000001</v>
      </c>
      <c r="I2252" s="18">
        <v>11.14</v>
      </c>
      <c r="J2252" s="18">
        <v>11.14</v>
      </c>
      <c r="K2252" s="18">
        <v>11.14</v>
      </c>
      <c r="L2252" s="22">
        <v>1</v>
      </c>
    </row>
    <row r="2253" spans="1:12">
      <c r="A2253">
        <v>3</v>
      </c>
      <c r="B2253" s="16" t="s">
        <v>58</v>
      </c>
      <c r="C2253" s="9">
        <v>46082</v>
      </c>
      <c r="D2253">
        <v>17</v>
      </c>
      <c r="E2253" s="16" t="s">
        <v>102</v>
      </c>
      <c r="F2253" s="16" t="s">
        <v>103</v>
      </c>
      <c r="G2253" s="22">
        <v>2.25</v>
      </c>
      <c r="H2253" s="18">
        <v>25.38</v>
      </c>
      <c r="I2253" s="18">
        <v>11.28</v>
      </c>
      <c r="J2253" s="18">
        <v>11.28</v>
      </c>
      <c r="K2253" s="18">
        <v>11.28</v>
      </c>
      <c r="L2253" s="22">
        <v>1</v>
      </c>
    </row>
    <row r="2254" spans="1:12">
      <c r="A2254">
        <v>3</v>
      </c>
      <c r="B2254" s="16" t="s">
        <v>58</v>
      </c>
      <c r="C2254" s="9">
        <v>46113</v>
      </c>
      <c r="D2254">
        <v>17</v>
      </c>
      <c r="E2254" s="16" t="s">
        <v>102</v>
      </c>
      <c r="F2254" s="16" t="s">
        <v>103</v>
      </c>
      <c r="G2254" s="22">
        <v>4.5</v>
      </c>
      <c r="H2254" s="18">
        <v>51.052500000000002</v>
      </c>
      <c r="I2254" s="18">
        <v>11.345000000000001</v>
      </c>
      <c r="J2254" s="18">
        <v>11.41</v>
      </c>
      <c r="K2254" s="18">
        <v>11.28</v>
      </c>
      <c r="L2254" s="22">
        <v>2</v>
      </c>
    </row>
    <row r="2255" spans="1:12">
      <c r="A2255">
        <v>3</v>
      </c>
      <c r="B2255" s="16" t="s">
        <v>58</v>
      </c>
      <c r="C2255" s="9">
        <v>46143</v>
      </c>
      <c r="D2255">
        <v>17</v>
      </c>
      <c r="E2255" s="16" t="s">
        <v>102</v>
      </c>
      <c r="F2255" s="16" t="s">
        <v>103</v>
      </c>
      <c r="G2255" s="22">
        <v>2.25</v>
      </c>
      <c r="H2255" s="18">
        <v>25.335000000000001</v>
      </c>
      <c r="I2255" s="18">
        <v>11.26</v>
      </c>
      <c r="J2255" s="18">
        <v>11.26</v>
      </c>
      <c r="K2255" s="18">
        <v>11.26</v>
      </c>
      <c r="L2255" s="22">
        <v>1</v>
      </c>
    </row>
    <row r="2256" spans="1:12">
      <c r="A2256">
        <v>3</v>
      </c>
      <c r="B2256" s="16" t="s">
        <v>58</v>
      </c>
      <c r="C2256" s="9">
        <v>46174</v>
      </c>
      <c r="D2256">
        <v>17</v>
      </c>
      <c r="E2256" s="16" t="s">
        <v>102</v>
      </c>
      <c r="F2256" s="16" t="s">
        <v>103</v>
      </c>
      <c r="G2256" s="22">
        <v>2.25</v>
      </c>
      <c r="H2256" s="18">
        <v>25.852499999999999</v>
      </c>
      <c r="I2256" s="18">
        <v>11.49</v>
      </c>
      <c r="J2256" s="18">
        <v>11.49</v>
      </c>
      <c r="K2256" s="18">
        <v>11.49</v>
      </c>
      <c r="L2256" s="22">
        <v>1</v>
      </c>
    </row>
    <row r="2257" spans="1:12">
      <c r="A2257">
        <v>3</v>
      </c>
      <c r="B2257" s="16" t="s">
        <v>58</v>
      </c>
      <c r="C2257" s="9">
        <v>46204</v>
      </c>
      <c r="D2257">
        <v>17</v>
      </c>
      <c r="E2257" s="16" t="s">
        <v>102</v>
      </c>
      <c r="F2257" s="16" t="s">
        <v>103</v>
      </c>
      <c r="G2257" s="22">
        <v>2.25</v>
      </c>
      <c r="H2257" s="18">
        <v>25.965</v>
      </c>
      <c r="I2257" s="18">
        <v>11.54</v>
      </c>
      <c r="J2257" s="18">
        <v>11.54</v>
      </c>
      <c r="K2257" s="18">
        <v>11.54</v>
      </c>
      <c r="L2257" s="22">
        <v>1</v>
      </c>
    </row>
    <row r="2258" spans="1:12">
      <c r="A2258">
        <v>3</v>
      </c>
      <c r="B2258" s="16" t="s">
        <v>58</v>
      </c>
      <c r="C2258" s="9">
        <v>46235</v>
      </c>
      <c r="D2258">
        <v>17</v>
      </c>
      <c r="E2258" s="16" t="s">
        <v>102</v>
      </c>
      <c r="F2258" s="16" t="s">
        <v>103</v>
      </c>
      <c r="G2258" s="22">
        <v>2.25</v>
      </c>
      <c r="H2258" s="18">
        <v>25.987500000000001</v>
      </c>
      <c r="I2258" s="18">
        <v>11.55</v>
      </c>
      <c r="J2258" s="18">
        <v>11.55</v>
      </c>
      <c r="K2258" s="18">
        <v>11.55</v>
      </c>
      <c r="L2258" s="22">
        <v>1</v>
      </c>
    </row>
    <row r="2259" spans="1:12">
      <c r="A2259">
        <v>3</v>
      </c>
      <c r="B2259" s="16" t="s">
        <v>58</v>
      </c>
      <c r="C2259" s="9">
        <v>46266</v>
      </c>
      <c r="D2259">
        <v>17</v>
      </c>
      <c r="E2259" s="16" t="s">
        <v>102</v>
      </c>
      <c r="F2259" s="16" t="s">
        <v>103</v>
      </c>
      <c r="G2259" s="22">
        <v>2.25</v>
      </c>
      <c r="H2259" s="18">
        <v>25.47</v>
      </c>
      <c r="I2259" s="18">
        <v>11.32</v>
      </c>
      <c r="J2259" s="18">
        <v>11.32</v>
      </c>
      <c r="K2259" s="18">
        <v>11.32</v>
      </c>
      <c r="L2259" s="22">
        <v>1</v>
      </c>
    </row>
    <row r="2260" spans="1:12">
      <c r="A2260">
        <v>3</v>
      </c>
      <c r="B2260" s="16" t="s">
        <v>58</v>
      </c>
      <c r="C2260" s="9">
        <v>45689</v>
      </c>
      <c r="D2260">
        <v>18</v>
      </c>
      <c r="E2260" s="16" t="s">
        <v>104</v>
      </c>
      <c r="F2260" s="16" t="s">
        <v>103</v>
      </c>
      <c r="G2260" s="22">
        <v>3</v>
      </c>
      <c r="H2260" s="18">
        <v>28.65</v>
      </c>
      <c r="I2260" s="18">
        <v>9.5500000000000007</v>
      </c>
      <c r="J2260" s="18">
        <v>9.5500000000000007</v>
      </c>
      <c r="K2260" s="18">
        <v>9.5500000000000007</v>
      </c>
      <c r="L2260" s="22">
        <v>1</v>
      </c>
    </row>
    <row r="2261" spans="1:12">
      <c r="A2261">
        <v>3</v>
      </c>
      <c r="B2261" s="16" t="s">
        <v>58</v>
      </c>
      <c r="C2261" s="9">
        <v>45717</v>
      </c>
      <c r="D2261">
        <v>18</v>
      </c>
      <c r="E2261" s="16" t="s">
        <v>104</v>
      </c>
      <c r="F2261" s="16" t="s">
        <v>103</v>
      </c>
      <c r="G2261" s="22">
        <v>6</v>
      </c>
      <c r="H2261" s="18">
        <v>58.26</v>
      </c>
      <c r="I2261" s="18">
        <v>9.7100000000000009</v>
      </c>
      <c r="J2261" s="18">
        <v>9.83</v>
      </c>
      <c r="K2261" s="18">
        <v>9.59</v>
      </c>
      <c r="L2261" s="22">
        <v>2</v>
      </c>
    </row>
    <row r="2262" spans="1:12">
      <c r="A2262">
        <v>3</v>
      </c>
      <c r="B2262" s="16" t="s">
        <v>58</v>
      </c>
      <c r="C2262" s="9">
        <v>45748</v>
      </c>
      <c r="D2262">
        <v>18</v>
      </c>
      <c r="E2262" s="16" t="s">
        <v>104</v>
      </c>
      <c r="F2262" s="16" t="s">
        <v>103</v>
      </c>
      <c r="G2262" s="22">
        <v>3</v>
      </c>
      <c r="H2262" s="18">
        <v>29.19</v>
      </c>
      <c r="I2262" s="18">
        <v>9.73</v>
      </c>
      <c r="J2262" s="18">
        <v>9.73</v>
      </c>
      <c r="K2262" s="18">
        <v>9.73</v>
      </c>
      <c r="L2262" s="22">
        <v>1</v>
      </c>
    </row>
    <row r="2263" spans="1:12">
      <c r="A2263">
        <v>3</v>
      </c>
      <c r="B2263" s="16" t="s">
        <v>58</v>
      </c>
      <c r="C2263" s="9">
        <v>45778</v>
      </c>
      <c r="D2263">
        <v>18</v>
      </c>
      <c r="E2263" s="16" t="s">
        <v>104</v>
      </c>
      <c r="F2263" s="16" t="s">
        <v>103</v>
      </c>
      <c r="G2263" s="22">
        <v>6</v>
      </c>
      <c r="H2263" s="18">
        <v>58.59</v>
      </c>
      <c r="I2263" s="18">
        <v>9.7650000000000006</v>
      </c>
      <c r="J2263" s="18">
        <v>9.77</v>
      </c>
      <c r="K2263" s="18">
        <v>9.76</v>
      </c>
      <c r="L2263" s="22">
        <v>2</v>
      </c>
    </row>
    <row r="2264" spans="1:12">
      <c r="A2264">
        <v>3</v>
      </c>
      <c r="B2264" s="16" t="s">
        <v>58</v>
      </c>
      <c r="C2264" s="9">
        <v>45809</v>
      </c>
      <c r="D2264">
        <v>18</v>
      </c>
      <c r="E2264" s="16" t="s">
        <v>104</v>
      </c>
      <c r="F2264" s="16" t="s">
        <v>103</v>
      </c>
      <c r="G2264" s="22">
        <v>3</v>
      </c>
      <c r="H2264" s="18">
        <v>29.79</v>
      </c>
      <c r="I2264" s="18">
        <v>9.93</v>
      </c>
      <c r="J2264" s="18">
        <v>9.93</v>
      </c>
      <c r="K2264" s="18">
        <v>9.93</v>
      </c>
      <c r="L2264" s="22">
        <v>1</v>
      </c>
    </row>
    <row r="2265" spans="1:12">
      <c r="A2265">
        <v>3</v>
      </c>
      <c r="B2265" s="16" t="s">
        <v>58</v>
      </c>
      <c r="C2265" s="9">
        <v>45839</v>
      </c>
      <c r="D2265">
        <v>18</v>
      </c>
      <c r="E2265" s="16" t="s">
        <v>104</v>
      </c>
      <c r="F2265" s="16" t="s">
        <v>103</v>
      </c>
      <c r="G2265" s="22">
        <v>6</v>
      </c>
      <c r="H2265" s="18">
        <v>59.43</v>
      </c>
      <c r="I2265" s="18">
        <v>9.9049999999999994</v>
      </c>
      <c r="J2265" s="18">
        <v>9.9600000000000009</v>
      </c>
      <c r="K2265" s="18">
        <v>9.85</v>
      </c>
      <c r="L2265" s="22">
        <v>2</v>
      </c>
    </row>
    <row r="2266" spans="1:12">
      <c r="A2266">
        <v>3</v>
      </c>
      <c r="B2266" s="16" t="s">
        <v>58</v>
      </c>
      <c r="C2266" s="9">
        <v>45870</v>
      </c>
      <c r="D2266">
        <v>18</v>
      </c>
      <c r="E2266" s="16" t="s">
        <v>104</v>
      </c>
      <c r="F2266" s="16" t="s">
        <v>103</v>
      </c>
      <c r="G2266" s="22">
        <v>3</v>
      </c>
      <c r="H2266" s="18">
        <v>29.76</v>
      </c>
      <c r="I2266" s="18">
        <v>9.92</v>
      </c>
      <c r="J2266" s="18">
        <v>9.92</v>
      </c>
      <c r="K2266" s="18">
        <v>9.92</v>
      </c>
      <c r="L2266" s="22">
        <v>1</v>
      </c>
    </row>
    <row r="2267" spans="1:12">
      <c r="A2267">
        <v>3</v>
      </c>
      <c r="B2267" s="16" t="s">
        <v>58</v>
      </c>
      <c r="C2267" s="9">
        <v>45901</v>
      </c>
      <c r="D2267">
        <v>18</v>
      </c>
      <c r="E2267" s="16" t="s">
        <v>104</v>
      </c>
      <c r="F2267" s="16" t="s">
        <v>103</v>
      </c>
      <c r="G2267" s="22">
        <v>6</v>
      </c>
      <c r="H2267" s="18">
        <v>57.96</v>
      </c>
      <c r="I2267" s="18">
        <v>9.66</v>
      </c>
      <c r="J2267" s="18">
        <v>9.73</v>
      </c>
      <c r="K2267" s="18">
        <v>9.59</v>
      </c>
      <c r="L2267" s="22">
        <v>2</v>
      </c>
    </row>
    <row r="2268" spans="1:12">
      <c r="A2268">
        <v>3</v>
      </c>
      <c r="B2268" s="16" t="s">
        <v>58</v>
      </c>
      <c r="C2268" s="9">
        <v>45931</v>
      </c>
      <c r="D2268">
        <v>18</v>
      </c>
      <c r="E2268" s="16" t="s">
        <v>104</v>
      </c>
      <c r="F2268" s="16" t="s">
        <v>103</v>
      </c>
      <c r="G2268" s="22">
        <v>3</v>
      </c>
      <c r="H2268" s="18">
        <v>29.79</v>
      </c>
      <c r="I2268" s="18">
        <v>9.93</v>
      </c>
      <c r="J2268" s="18">
        <v>9.93</v>
      </c>
      <c r="K2268" s="18">
        <v>9.93</v>
      </c>
      <c r="L2268" s="22">
        <v>1</v>
      </c>
    </row>
    <row r="2269" spans="1:12">
      <c r="A2269">
        <v>3</v>
      </c>
      <c r="B2269" s="16" t="s">
        <v>58</v>
      </c>
      <c r="C2269" s="9">
        <v>45962</v>
      </c>
      <c r="D2269">
        <v>18</v>
      </c>
      <c r="E2269" s="16" t="s">
        <v>104</v>
      </c>
      <c r="F2269" s="16" t="s">
        <v>103</v>
      </c>
      <c r="G2269" s="22">
        <v>3</v>
      </c>
      <c r="H2269" s="18">
        <v>29.52</v>
      </c>
      <c r="I2269" s="18">
        <v>9.84</v>
      </c>
      <c r="J2269" s="18">
        <v>9.84</v>
      </c>
      <c r="K2269" s="18">
        <v>9.84</v>
      </c>
      <c r="L2269" s="22">
        <v>1</v>
      </c>
    </row>
    <row r="2270" spans="1:12">
      <c r="A2270">
        <v>3</v>
      </c>
      <c r="B2270" s="16" t="s">
        <v>58</v>
      </c>
      <c r="C2270" s="9">
        <v>45992</v>
      </c>
      <c r="D2270">
        <v>18</v>
      </c>
      <c r="E2270" s="16" t="s">
        <v>104</v>
      </c>
      <c r="F2270" s="16" t="s">
        <v>103</v>
      </c>
      <c r="G2270" s="22">
        <v>6</v>
      </c>
      <c r="H2270" s="18">
        <v>58.86</v>
      </c>
      <c r="I2270" s="18">
        <v>9.81</v>
      </c>
      <c r="J2270" s="18">
        <v>9.81</v>
      </c>
      <c r="K2270" s="18">
        <v>9.81</v>
      </c>
      <c r="L2270" s="22">
        <v>2</v>
      </c>
    </row>
    <row r="2271" spans="1:12">
      <c r="A2271">
        <v>3</v>
      </c>
      <c r="B2271" s="16" t="s">
        <v>58</v>
      </c>
      <c r="C2271" s="9">
        <v>46023</v>
      </c>
      <c r="D2271">
        <v>18</v>
      </c>
      <c r="E2271" s="16" t="s">
        <v>104</v>
      </c>
      <c r="F2271" s="16" t="s">
        <v>103</v>
      </c>
      <c r="G2271" s="22">
        <v>6</v>
      </c>
      <c r="H2271" s="18">
        <v>59.1</v>
      </c>
      <c r="I2271" s="18">
        <v>9.85</v>
      </c>
      <c r="J2271" s="18">
        <v>9.8800000000000008</v>
      </c>
      <c r="K2271" s="18">
        <v>9.82</v>
      </c>
      <c r="L2271" s="22">
        <v>2</v>
      </c>
    </row>
    <row r="2272" spans="1:12">
      <c r="A2272">
        <v>3</v>
      </c>
      <c r="B2272" s="16" t="s">
        <v>58</v>
      </c>
      <c r="C2272" s="9">
        <v>46054</v>
      </c>
      <c r="D2272">
        <v>18</v>
      </c>
      <c r="E2272" s="16" t="s">
        <v>104</v>
      </c>
      <c r="F2272" s="16" t="s">
        <v>103</v>
      </c>
      <c r="G2272" s="22">
        <v>3</v>
      </c>
      <c r="H2272" s="18">
        <v>29.61</v>
      </c>
      <c r="I2272" s="18">
        <v>9.8699999999999992</v>
      </c>
      <c r="J2272" s="18">
        <v>9.8699999999999992</v>
      </c>
      <c r="K2272" s="18">
        <v>9.8699999999999992</v>
      </c>
      <c r="L2272" s="22">
        <v>1</v>
      </c>
    </row>
    <row r="2273" spans="1:12">
      <c r="A2273">
        <v>3</v>
      </c>
      <c r="B2273" s="16" t="s">
        <v>58</v>
      </c>
      <c r="C2273" s="9">
        <v>46082</v>
      </c>
      <c r="D2273">
        <v>18</v>
      </c>
      <c r="E2273" s="16" t="s">
        <v>104</v>
      </c>
      <c r="F2273" s="16" t="s">
        <v>103</v>
      </c>
      <c r="G2273" s="22">
        <v>6</v>
      </c>
      <c r="H2273" s="18">
        <v>60</v>
      </c>
      <c r="I2273" s="18">
        <v>10</v>
      </c>
      <c r="J2273" s="18">
        <v>10.029999999999999</v>
      </c>
      <c r="K2273" s="18">
        <v>9.9700000000000006</v>
      </c>
      <c r="L2273" s="22">
        <v>2</v>
      </c>
    </row>
    <row r="2274" spans="1:12">
      <c r="A2274">
        <v>3</v>
      </c>
      <c r="B2274" s="16" t="s">
        <v>58</v>
      </c>
      <c r="C2274" s="9">
        <v>46113</v>
      </c>
      <c r="D2274">
        <v>18</v>
      </c>
      <c r="E2274" s="16" t="s">
        <v>104</v>
      </c>
      <c r="F2274" s="16" t="s">
        <v>103</v>
      </c>
      <c r="G2274" s="22">
        <v>3</v>
      </c>
      <c r="H2274" s="18">
        <v>29.79</v>
      </c>
      <c r="I2274" s="18">
        <v>9.93</v>
      </c>
      <c r="J2274" s="18">
        <v>9.93</v>
      </c>
      <c r="K2274" s="18">
        <v>9.93</v>
      </c>
      <c r="L2274" s="22">
        <v>1</v>
      </c>
    </row>
    <row r="2275" spans="1:12">
      <c r="A2275">
        <v>3</v>
      </c>
      <c r="B2275" s="16" t="s">
        <v>58</v>
      </c>
      <c r="C2275" s="9">
        <v>46143</v>
      </c>
      <c r="D2275">
        <v>18</v>
      </c>
      <c r="E2275" s="16" t="s">
        <v>104</v>
      </c>
      <c r="F2275" s="16" t="s">
        <v>103</v>
      </c>
      <c r="G2275" s="22">
        <v>3</v>
      </c>
      <c r="H2275" s="18">
        <v>28.92</v>
      </c>
      <c r="I2275" s="18">
        <v>9.64</v>
      </c>
      <c r="J2275" s="18">
        <v>9.64</v>
      </c>
      <c r="K2275" s="18">
        <v>9.64</v>
      </c>
      <c r="L2275" s="22">
        <v>1</v>
      </c>
    </row>
    <row r="2276" spans="1:12">
      <c r="A2276">
        <v>3</v>
      </c>
      <c r="B2276" s="16" t="s">
        <v>58</v>
      </c>
      <c r="C2276" s="9">
        <v>46174</v>
      </c>
      <c r="D2276">
        <v>18</v>
      </c>
      <c r="E2276" s="16" t="s">
        <v>104</v>
      </c>
      <c r="F2276" s="16" t="s">
        <v>103</v>
      </c>
      <c r="G2276" s="22">
        <v>6</v>
      </c>
      <c r="H2276" s="18">
        <v>60.57</v>
      </c>
      <c r="I2276" s="18">
        <v>10.095000000000001</v>
      </c>
      <c r="J2276" s="18">
        <v>10.119999999999999</v>
      </c>
      <c r="K2276" s="18">
        <v>10.07</v>
      </c>
      <c r="L2276" s="22">
        <v>2</v>
      </c>
    </row>
    <row r="2277" spans="1:12">
      <c r="A2277">
        <v>3</v>
      </c>
      <c r="B2277" s="16" t="s">
        <v>58</v>
      </c>
      <c r="C2277" s="9">
        <v>46204</v>
      </c>
      <c r="D2277">
        <v>18</v>
      </c>
      <c r="E2277" s="16" t="s">
        <v>104</v>
      </c>
      <c r="F2277" s="16" t="s">
        <v>103</v>
      </c>
      <c r="G2277" s="22">
        <v>6</v>
      </c>
      <c r="H2277" s="18">
        <v>60.78</v>
      </c>
      <c r="I2277" s="18">
        <v>10.130000000000001</v>
      </c>
      <c r="J2277" s="18">
        <v>10.14</v>
      </c>
      <c r="K2277" s="18">
        <v>10.119999999999999</v>
      </c>
      <c r="L2277" s="22">
        <v>2</v>
      </c>
    </row>
    <row r="2278" spans="1:12">
      <c r="A2278">
        <v>3</v>
      </c>
      <c r="B2278" s="16" t="s">
        <v>58</v>
      </c>
      <c r="C2278" s="9">
        <v>46235</v>
      </c>
      <c r="D2278">
        <v>18</v>
      </c>
      <c r="E2278" s="16" t="s">
        <v>104</v>
      </c>
      <c r="F2278" s="16" t="s">
        <v>103</v>
      </c>
      <c r="G2278" s="22">
        <v>3</v>
      </c>
      <c r="H2278" s="18">
        <v>30.69</v>
      </c>
      <c r="I2278" s="18">
        <v>10.23</v>
      </c>
      <c r="J2278" s="18">
        <v>10.23</v>
      </c>
      <c r="K2278" s="18">
        <v>10.23</v>
      </c>
      <c r="L2278" s="22">
        <v>1</v>
      </c>
    </row>
    <row r="2279" spans="1:12">
      <c r="A2279">
        <v>3</v>
      </c>
      <c r="B2279" s="16" t="s">
        <v>58</v>
      </c>
      <c r="C2279" s="9">
        <v>46266</v>
      </c>
      <c r="D2279">
        <v>18</v>
      </c>
      <c r="E2279" s="16" t="s">
        <v>104</v>
      </c>
      <c r="F2279" s="16" t="s">
        <v>103</v>
      </c>
      <c r="G2279" s="22">
        <v>3</v>
      </c>
      <c r="H2279" s="18">
        <v>30.06</v>
      </c>
      <c r="I2279" s="18">
        <v>10.02</v>
      </c>
      <c r="J2279" s="18">
        <v>10.02</v>
      </c>
      <c r="K2279" s="18">
        <v>10.02</v>
      </c>
      <c r="L2279" s="22">
        <v>1</v>
      </c>
    </row>
    <row r="2280" spans="1:12">
      <c r="A2280">
        <v>3</v>
      </c>
      <c r="B2280" s="16" t="s">
        <v>58</v>
      </c>
      <c r="C2280" s="9">
        <v>45689</v>
      </c>
      <c r="D2280">
        <v>19</v>
      </c>
      <c r="E2280" s="16" t="s">
        <v>105</v>
      </c>
      <c r="F2280" s="16" t="s">
        <v>106</v>
      </c>
      <c r="G2280" s="22">
        <v>32</v>
      </c>
      <c r="H2280" s="18">
        <v>28.48</v>
      </c>
      <c r="I2280" s="18">
        <v>0.89</v>
      </c>
      <c r="J2280" s="18">
        <v>0.9</v>
      </c>
      <c r="K2280" s="18">
        <v>0.88</v>
      </c>
      <c r="L2280" s="22">
        <v>2</v>
      </c>
    </row>
    <row r="2281" spans="1:12">
      <c r="A2281">
        <v>3</v>
      </c>
      <c r="B2281" s="16" t="s">
        <v>58</v>
      </c>
      <c r="C2281" s="9">
        <v>45717</v>
      </c>
      <c r="D2281">
        <v>19</v>
      </c>
      <c r="E2281" s="16" t="s">
        <v>105</v>
      </c>
      <c r="F2281" s="16" t="s">
        <v>106</v>
      </c>
      <c r="G2281" s="22">
        <v>32</v>
      </c>
      <c r="H2281" s="18">
        <v>28.64</v>
      </c>
      <c r="I2281" s="18">
        <v>0.89500000000000002</v>
      </c>
      <c r="J2281" s="18">
        <v>0.9</v>
      </c>
      <c r="K2281" s="18">
        <v>0.89</v>
      </c>
      <c r="L2281" s="22">
        <v>2</v>
      </c>
    </row>
    <row r="2282" spans="1:12">
      <c r="A2282">
        <v>3</v>
      </c>
      <c r="B2282" s="16" t="s">
        <v>58</v>
      </c>
      <c r="C2282" s="9">
        <v>45748</v>
      </c>
      <c r="D2282">
        <v>19</v>
      </c>
      <c r="E2282" s="16" t="s">
        <v>105</v>
      </c>
      <c r="F2282" s="16" t="s">
        <v>106</v>
      </c>
      <c r="G2282" s="22">
        <v>32</v>
      </c>
      <c r="H2282" s="18">
        <v>28.8</v>
      </c>
      <c r="I2282" s="18">
        <v>0.9</v>
      </c>
      <c r="J2282" s="18">
        <v>0.9</v>
      </c>
      <c r="K2282" s="18">
        <v>0.9</v>
      </c>
      <c r="L2282" s="22">
        <v>2</v>
      </c>
    </row>
    <row r="2283" spans="1:12">
      <c r="A2283">
        <v>3</v>
      </c>
      <c r="B2283" s="16" t="s">
        <v>58</v>
      </c>
      <c r="C2283" s="9">
        <v>45778</v>
      </c>
      <c r="D2283">
        <v>19</v>
      </c>
      <c r="E2283" s="16" t="s">
        <v>105</v>
      </c>
      <c r="F2283" s="16" t="s">
        <v>106</v>
      </c>
      <c r="G2283" s="22">
        <v>48</v>
      </c>
      <c r="H2283" s="18">
        <v>42.88</v>
      </c>
      <c r="I2283" s="18">
        <v>0.89333333299999995</v>
      </c>
      <c r="J2283" s="18">
        <v>0.9</v>
      </c>
      <c r="K2283" s="18">
        <v>0.89</v>
      </c>
      <c r="L2283" s="22">
        <v>2</v>
      </c>
    </row>
    <row r="2284" spans="1:12">
      <c r="A2284">
        <v>3</v>
      </c>
      <c r="B2284" s="16" t="s">
        <v>58</v>
      </c>
      <c r="C2284" s="9">
        <v>45809</v>
      </c>
      <c r="D2284">
        <v>19</v>
      </c>
      <c r="E2284" s="16" t="s">
        <v>105</v>
      </c>
      <c r="F2284" s="16" t="s">
        <v>106</v>
      </c>
      <c r="G2284" s="22">
        <v>32</v>
      </c>
      <c r="H2284" s="18">
        <v>28.32</v>
      </c>
      <c r="I2284" s="18">
        <v>0.88500000000000001</v>
      </c>
      <c r="J2284" s="18">
        <v>0.9</v>
      </c>
      <c r="K2284" s="18">
        <v>0.87</v>
      </c>
      <c r="L2284" s="22">
        <v>2</v>
      </c>
    </row>
    <row r="2285" spans="1:12">
      <c r="A2285">
        <v>3</v>
      </c>
      <c r="B2285" s="16" t="s">
        <v>58</v>
      </c>
      <c r="C2285" s="9">
        <v>45839</v>
      </c>
      <c r="D2285">
        <v>19</v>
      </c>
      <c r="E2285" s="16" t="s">
        <v>105</v>
      </c>
      <c r="F2285" s="16" t="s">
        <v>106</v>
      </c>
      <c r="G2285" s="22">
        <v>48</v>
      </c>
      <c r="H2285" s="18">
        <v>43.84</v>
      </c>
      <c r="I2285" s="18">
        <v>0.91333333299999997</v>
      </c>
      <c r="J2285" s="18">
        <v>0.92</v>
      </c>
      <c r="K2285" s="18">
        <v>0.91</v>
      </c>
      <c r="L2285" s="22">
        <v>3</v>
      </c>
    </row>
    <row r="2286" spans="1:12">
      <c r="A2286">
        <v>3</v>
      </c>
      <c r="B2286" s="16" t="s">
        <v>58</v>
      </c>
      <c r="C2286" s="9">
        <v>45870</v>
      </c>
      <c r="D2286">
        <v>19</v>
      </c>
      <c r="E2286" s="16" t="s">
        <v>105</v>
      </c>
      <c r="F2286" s="16" t="s">
        <v>106</v>
      </c>
      <c r="G2286" s="22">
        <v>32</v>
      </c>
      <c r="H2286" s="18">
        <v>29.28</v>
      </c>
      <c r="I2286" s="18">
        <v>0.91500000000000004</v>
      </c>
      <c r="J2286" s="18">
        <v>0.92</v>
      </c>
      <c r="K2286" s="18">
        <v>0.91</v>
      </c>
      <c r="L2286" s="22">
        <v>2</v>
      </c>
    </row>
    <row r="2287" spans="1:12">
      <c r="A2287">
        <v>3</v>
      </c>
      <c r="B2287" s="16" t="s">
        <v>58</v>
      </c>
      <c r="C2287" s="9">
        <v>45901</v>
      </c>
      <c r="D2287">
        <v>19</v>
      </c>
      <c r="E2287" s="16" t="s">
        <v>105</v>
      </c>
      <c r="F2287" s="16" t="s">
        <v>106</v>
      </c>
      <c r="G2287" s="22">
        <v>32</v>
      </c>
      <c r="H2287" s="18">
        <v>29.12</v>
      </c>
      <c r="I2287" s="18">
        <v>0.91</v>
      </c>
      <c r="J2287" s="18">
        <v>0.91</v>
      </c>
      <c r="K2287" s="18">
        <v>0.91</v>
      </c>
      <c r="L2287" s="22">
        <v>2</v>
      </c>
    </row>
    <row r="2288" spans="1:12">
      <c r="A2288">
        <v>3</v>
      </c>
      <c r="B2288" s="16" t="s">
        <v>58</v>
      </c>
      <c r="C2288" s="9">
        <v>45931</v>
      </c>
      <c r="D2288">
        <v>19</v>
      </c>
      <c r="E2288" s="16" t="s">
        <v>105</v>
      </c>
      <c r="F2288" s="16" t="s">
        <v>106</v>
      </c>
      <c r="G2288" s="22">
        <v>32</v>
      </c>
      <c r="H2288" s="18">
        <v>29.12</v>
      </c>
      <c r="I2288" s="18">
        <v>0.91</v>
      </c>
      <c r="J2288" s="18">
        <v>0.93</v>
      </c>
      <c r="K2288" s="18">
        <v>0.89</v>
      </c>
      <c r="L2288" s="22">
        <v>2</v>
      </c>
    </row>
    <row r="2289" spans="1:12">
      <c r="A2289">
        <v>3</v>
      </c>
      <c r="B2289" s="16" t="s">
        <v>58</v>
      </c>
      <c r="C2289" s="9">
        <v>45962</v>
      </c>
      <c r="D2289">
        <v>19</v>
      </c>
      <c r="E2289" s="16" t="s">
        <v>105</v>
      </c>
      <c r="F2289" s="16" t="s">
        <v>106</v>
      </c>
      <c r="G2289" s="22">
        <v>32</v>
      </c>
      <c r="H2289" s="18">
        <v>29.44</v>
      </c>
      <c r="I2289" s="18">
        <v>0.92</v>
      </c>
      <c r="J2289" s="18">
        <v>0.92</v>
      </c>
      <c r="K2289" s="18">
        <v>0.92</v>
      </c>
      <c r="L2289" s="22">
        <v>2</v>
      </c>
    </row>
    <row r="2290" spans="1:12">
      <c r="A2290">
        <v>3</v>
      </c>
      <c r="B2290" s="16" t="s">
        <v>58</v>
      </c>
      <c r="C2290" s="9">
        <v>45992</v>
      </c>
      <c r="D2290">
        <v>19</v>
      </c>
      <c r="E2290" s="16" t="s">
        <v>105</v>
      </c>
      <c r="F2290" s="16" t="s">
        <v>106</v>
      </c>
      <c r="G2290" s="22">
        <v>64</v>
      </c>
      <c r="H2290" s="18">
        <v>58.88</v>
      </c>
      <c r="I2290" s="18">
        <v>0.92</v>
      </c>
      <c r="J2290" s="18">
        <v>0.93</v>
      </c>
      <c r="K2290" s="18">
        <v>0.91</v>
      </c>
      <c r="L2290" s="22">
        <v>3</v>
      </c>
    </row>
    <row r="2291" spans="1:12">
      <c r="A2291">
        <v>3</v>
      </c>
      <c r="B2291" s="16" t="s">
        <v>58</v>
      </c>
      <c r="C2291" s="9">
        <v>46023</v>
      </c>
      <c r="D2291">
        <v>19</v>
      </c>
      <c r="E2291" s="16" t="s">
        <v>105</v>
      </c>
      <c r="F2291" s="16" t="s">
        <v>106</v>
      </c>
      <c r="G2291" s="22">
        <v>32</v>
      </c>
      <c r="H2291" s="18">
        <v>29.44</v>
      </c>
      <c r="I2291" s="18">
        <v>0.92</v>
      </c>
      <c r="J2291" s="18">
        <v>0.93</v>
      </c>
      <c r="K2291" s="18">
        <v>0.91</v>
      </c>
      <c r="L2291" s="22">
        <v>2</v>
      </c>
    </row>
    <row r="2292" spans="1:12">
      <c r="A2292">
        <v>3</v>
      </c>
      <c r="B2292" s="16" t="s">
        <v>58</v>
      </c>
      <c r="C2292" s="9">
        <v>46054</v>
      </c>
      <c r="D2292">
        <v>19</v>
      </c>
      <c r="E2292" s="16" t="s">
        <v>105</v>
      </c>
      <c r="F2292" s="16" t="s">
        <v>106</v>
      </c>
      <c r="G2292" s="22">
        <v>32</v>
      </c>
      <c r="H2292" s="18">
        <v>29.6</v>
      </c>
      <c r="I2292" s="18">
        <v>0.92500000000000004</v>
      </c>
      <c r="J2292" s="18">
        <v>0.93</v>
      </c>
      <c r="K2292" s="18">
        <v>0.92</v>
      </c>
      <c r="L2292" s="22">
        <v>2</v>
      </c>
    </row>
    <row r="2293" spans="1:12">
      <c r="A2293">
        <v>3</v>
      </c>
      <c r="B2293" s="16" t="s">
        <v>58</v>
      </c>
      <c r="C2293" s="9">
        <v>46082</v>
      </c>
      <c r="D2293">
        <v>19</v>
      </c>
      <c r="E2293" s="16" t="s">
        <v>105</v>
      </c>
      <c r="F2293" s="16" t="s">
        <v>106</v>
      </c>
      <c r="G2293" s="22">
        <v>32</v>
      </c>
      <c r="H2293" s="18">
        <v>30.08</v>
      </c>
      <c r="I2293" s="18">
        <v>0.94</v>
      </c>
      <c r="J2293" s="18">
        <v>0.95</v>
      </c>
      <c r="K2293" s="18">
        <v>0.93</v>
      </c>
      <c r="L2293" s="22">
        <v>2</v>
      </c>
    </row>
    <row r="2294" spans="1:12">
      <c r="A2294">
        <v>3</v>
      </c>
      <c r="B2294" s="16" t="s">
        <v>58</v>
      </c>
      <c r="C2294" s="9">
        <v>46113</v>
      </c>
      <c r="D2294">
        <v>19</v>
      </c>
      <c r="E2294" s="16" t="s">
        <v>105</v>
      </c>
      <c r="F2294" s="16" t="s">
        <v>106</v>
      </c>
      <c r="G2294" s="22">
        <v>48</v>
      </c>
      <c r="H2294" s="18">
        <v>44.48</v>
      </c>
      <c r="I2294" s="18">
        <v>0.926666667</v>
      </c>
      <c r="J2294" s="18">
        <v>0.93</v>
      </c>
      <c r="K2294" s="18">
        <v>0.92</v>
      </c>
      <c r="L2294" s="22">
        <v>2</v>
      </c>
    </row>
    <row r="2295" spans="1:12">
      <c r="A2295">
        <v>3</v>
      </c>
      <c r="B2295" s="16" t="s">
        <v>58</v>
      </c>
      <c r="C2295" s="9">
        <v>46143</v>
      </c>
      <c r="D2295">
        <v>19</v>
      </c>
      <c r="E2295" s="16" t="s">
        <v>105</v>
      </c>
      <c r="F2295" s="16" t="s">
        <v>106</v>
      </c>
      <c r="G2295" s="22">
        <v>32</v>
      </c>
      <c r="H2295" s="18">
        <v>29.44</v>
      </c>
      <c r="I2295" s="18">
        <v>0.92</v>
      </c>
      <c r="J2295" s="18">
        <v>0.93</v>
      </c>
      <c r="K2295" s="18">
        <v>0.91</v>
      </c>
      <c r="L2295" s="22">
        <v>2</v>
      </c>
    </row>
    <row r="2296" spans="1:12">
      <c r="A2296">
        <v>3</v>
      </c>
      <c r="B2296" s="16" t="s">
        <v>58</v>
      </c>
      <c r="C2296" s="9">
        <v>46174</v>
      </c>
      <c r="D2296">
        <v>19</v>
      </c>
      <c r="E2296" s="16" t="s">
        <v>105</v>
      </c>
      <c r="F2296" s="16" t="s">
        <v>106</v>
      </c>
      <c r="G2296" s="22">
        <v>32</v>
      </c>
      <c r="H2296" s="18">
        <v>29.92</v>
      </c>
      <c r="I2296" s="18">
        <v>0.93500000000000005</v>
      </c>
      <c r="J2296" s="18">
        <v>0.94</v>
      </c>
      <c r="K2296" s="18">
        <v>0.93</v>
      </c>
      <c r="L2296" s="22">
        <v>2</v>
      </c>
    </row>
    <row r="2297" spans="1:12">
      <c r="A2297">
        <v>3</v>
      </c>
      <c r="B2297" s="16" t="s">
        <v>58</v>
      </c>
      <c r="C2297" s="9">
        <v>46204</v>
      </c>
      <c r="D2297">
        <v>19</v>
      </c>
      <c r="E2297" s="16" t="s">
        <v>105</v>
      </c>
      <c r="F2297" s="16" t="s">
        <v>106</v>
      </c>
      <c r="G2297" s="22">
        <v>48</v>
      </c>
      <c r="H2297" s="18">
        <v>46.24</v>
      </c>
      <c r="I2297" s="18">
        <v>0.96333333300000001</v>
      </c>
      <c r="J2297" s="18">
        <v>0.98</v>
      </c>
      <c r="K2297" s="18">
        <v>0.94</v>
      </c>
      <c r="L2297" s="22">
        <v>3</v>
      </c>
    </row>
    <row r="2298" spans="1:12">
      <c r="A2298">
        <v>3</v>
      </c>
      <c r="B2298" s="16" t="s">
        <v>58</v>
      </c>
      <c r="C2298" s="9">
        <v>46235</v>
      </c>
      <c r="D2298">
        <v>19</v>
      </c>
      <c r="E2298" s="16" t="s">
        <v>105</v>
      </c>
      <c r="F2298" s="16" t="s">
        <v>106</v>
      </c>
      <c r="G2298" s="22">
        <v>32</v>
      </c>
      <c r="H2298" s="18">
        <v>30.88</v>
      </c>
      <c r="I2298" s="18">
        <v>0.96499999999999997</v>
      </c>
      <c r="J2298" s="18">
        <v>0.97</v>
      </c>
      <c r="K2298" s="18">
        <v>0.96</v>
      </c>
      <c r="L2298" s="22">
        <v>2</v>
      </c>
    </row>
    <row r="2299" spans="1:12">
      <c r="A2299">
        <v>3</v>
      </c>
      <c r="B2299" s="16" t="s">
        <v>58</v>
      </c>
      <c r="C2299" s="9">
        <v>46266</v>
      </c>
      <c r="D2299">
        <v>19</v>
      </c>
      <c r="E2299" s="16" t="s">
        <v>105</v>
      </c>
      <c r="F2299" s="16" t="s">
        <v>106</v>
      </c>
      <c r="G2299" s="22">
        <v>32</v>
      </c>
      <c r="H2299" s="18">
        <v>30.56</v>
      </c>
      <c r="I2299" s="18">
        <v>0.95499999999999996</v>
      </c>
      <c r="J2299" s="18">
        <v>0.96</v>
      </c>
      <c r="K2299" s="18">
        <v>0.95</v>
      </c>
      <c r="L2299" s="22">
        <v>2</v>
      </c>
    </row>
    <row r="2300" spans="1:12">
      <c r="A2300">
        <v>3</v>
      </c>
      <c r="B2300" s="16" t="s">
        <v>58</v>
      </c>
      <c r="C2300" s="9">
        <v>45689</v>
      </c>
      <c r="D2300">
        <v>21</v>
      </c>
      <c r="E2300" s="16" t="s">
        <v>109</v>
      </c>
      <c r="F2300" s="16" t="s">
        <v>83</v>
      </c>
      <c r="G2300" s="22">
        <v>5</v>
      </c>
      <c r="H2300" s="18">
        <v>21.75</v>
      </c>
      <c r="I2300" s="18">
        <v>4.3499999999999996</v>
      </c>
      <c r="J2300" s="18">
        <v>4.3499999999999996</v>
      </c>
      <c r="K2300" s="18">
        <v>4.3499999999999996</v>
      </c>
      <c r="L2300" s="22">
        <v>1</v>
      </c>
    </row>
    <row r="2301" spans="1:12">
      <c r="A2301">
        <v>3</v>
      </c>
      <c r="B2301" s="16" t="s">
        <v>58</v>
      </c>
      <c r="C2301" s="9">
        <v>45748</v>
      </c>
      <c r="D2301">
        <v>21</v>
      </c>
      <c r="E2301" s="16" t="s">
        <v>109</v>
      </c>
      <c r="F2301" s="16" t="s">
        <v>83</v>
      </c>
      <c r="G2301" s="22">
        <v>10</v>
      </c>
      <c r="H2301" s="18">
        <v>43.35</v>
      </c>
      <c r="I2301" s="18">
        <v>4.335</v>
      </c>
      <c r="J2301" s="18">
        <v>4.3600000000000003</v>
      </c>
      <c r="K2301" s="18">
        <v>4.3099999999999996</v>
      </c>
      <c r="L2301" s="22">
        <v>2</v>
      </c>
    </row>
    <row r="2302" spans="1:12">
      <c r="A2302">
        <v>3</v>
      </c>
      <c r="B2302" s="16" t="s">
        <v>58</v>
      </c>
      <c r="C2302" s="9">
        <v>45778</v>
      </c>
      <c r="D2302">
        <v>21</v>
      </c>
      <c r="E2302" s="16" t="s">
        <v>109</v>
      </c>
      <c r="F2302" s="16" t="s">
        <v>83</v>
      </c>
      <c r="G2302" s="22">
        <v>5</v>
      </c>
      <c r="H2302" s="18">
        <v>22.15</v>
      </c>
      <c r="I2302" s="18">
        <v>4.43</v>
      </c>
      <c r="J2302" s="18">
        <v>4.43</v>
      </c>
      <c r="K2302" s="18">
        <v>4.43</v>
      </c>
      <c r="L2302" s="22">
        <v>1</v>
      </c>
    </row>
    <row r="2303" spans="1:12">
      <c r="A2303">
        <v>3</v>
      </c>
      <c r="B2303" s="16" t="s">
        <v>58</v>
      </c>
      <c r="C2303" s="9">
        <v>45809</v>
      </c>
      <c r="D2303">
        <v>21</v>
      </c>
      <c r="E2303" s="16" t="s">
        <v>109</v>
      </c>
      <c r="F2303" s="16" t="s">
        <v>83</v>
      </c>
      <c r="G2303" s="22">
        <v>5</v>
      </c>
      <c r="H2303" s="18">
        <v>21.95</v>
      </c>
      <c r="I2303" s="18">
        <v>4.3899999999999997</v>
      </c>
      <c r="J2303" s="18">
        <v>4.3899999999999997</v>
      </c>
      <c r="K2303" s="18">
        <v>4.3899999999999997</v>
      </c>
      <c r="L2303" s="22">
        <v>1</v>
      </c>
    </row>
    <row r="2304" spans="1:12">
      <c r="A2304">
        <v>3</v>
      </c>
      <c r="B2304" s="16" t="s">
        <v>58</v>
      </c>
      <c r="C2304" s="9">
        <v>45839</v>
      </c>
      <c r="D2304">
        <v>21</v>
      </c>
      <c r="E2304" s="16" t="s">
        <v>109</v>
      </c>
      <c r="F2304" s="16" t="s">
        <v>83</v>
      </c>
      <c r="G2304" s="22">
        <v>5</v>
      </c>
      <c r="H2304" s="18">
        <v>22.05</v>
      </c>
      <c r="I2304" s="18">
        <v>4.41</v>
      </c>
      <c r="J2304" s="18">
        <v>4.41</v>
      </c>
      <c r="K2304" s="18">
        <v>4.41</v>
      </c>
      <c r="L2304" s="22">
        <v>1</v>
      </c>
    </row>
    <row r="2305" spans="1:12">
      <c r="A2305">
        <v>3</v>
      </c>
      <c r="B2305" s="16" t="s">
        <v>58</v>
      </c>
      <c r="C2305" s="9">
        <v>45870</v>
      </c>
      <c r="D2305">
        <v>21</v>
      </c>
      <c r="E2305" s="16" t="s">
        <v>109</v>
      </c>
      <c r="F2305" s="16" t="s">
        <v>83</v>
      </c>
      <c r="G2305" s="22">
        <v>5</v>
      </c>
      <c r="H2305" s="18">
        <v>22.2</v>
      </c>
      <c r="I2305" s="18">
        <v>4.4400000000000004</v>
      </c>
      <c r="J2305" s="18">
        <v>4.4400000000000004</v>
      </c>
      <c r="K2305" s="18">
        <v>4.4400000000000004</v>
      </c>
      <c r="L2305" s="22">
        <v>1</v>
      </c>
    </row>
    <row r="2306" spans="1:12">
      <c r="A2306">
        <v>3</v>
      </c>
      <c r="B2306" s="16" t="s">
        <v>58</v>
      </c>
      <c r="C2306" s="9">
        <v>45901</v>
      </c>
      <c r="D2306">
        <v>21</v>
      </c>
      <c r="E2306" s="16" t="s">
        <v>109</v>
      </c>
      <c r="F2306" s="16" t="s">
        <v>83</v>
      </c>
      <c r="G2306" s="22">
        <v>5</v>
      </c>
      <c r="H2306" s="18">
        <v>22</v>
      </c>
      <c r="I2306" s="18">
        <v>4.4000000000000004</v>
      </c>
      <c r="J2306" s="18">
        <v>4.4000000000000004</v>
      </c>
      <c r="K2306" s="18">
        <v>4.4000000000000004</v>
      </c>
      <c r="L2306" s="22">
        <v>1</v>
      </c>
    </row>
    <row r="2307" spans="1:12">
      <c r="A2307">
        <v>3</v>
      </c>
      <c r="B2307" s="16" t="s">
        <v>58</v>
      </c>
      <c r="C2307" s="9">
        <v>45931</v>
      </c>
      <c r="D2307">
        <v>21</v>
      </c>
      <c r="E2307" s="16" t="s">
        <v>109</v>
      </c>
      <c r="F2307" s="16" t="s">
        <v>83</v>
      </c>
      <c r="G2307" s="22">
        <v>5</v>
      </c>
      <c r="H2307" s="18">
        <v>24.45</v>
      </c>
      <c r="I2307" s="18">
        <v>4.8899999999999997</v>
      </c>
      <c r="J2307" s="18">
        <v>4.8899999999999997</v>
      </c>
      <c r="K2307" s="18">
        <v>4.8899999999999997</v>
      </c>
      <c r="L2307" s="22">
        <v>1</v>
      </c>
    </row>
    <row r="2308" spans="1:12">
      <c r="A2308">
        <v>3</v>
      </c>
      <c r="B2308" s="16" t="s">
        <v>58</v>
      </c>
      <c r="C2308" s="9">
        <v>45962</v>
      </c>
      <c r="D2308">
        <v>21</v>
      </c>
      <c r="E2308" s="16" t="s">
        <v>109</v>
      </c>
      <c r="F2308" s="16" t="s">
        <v>83</v>
      </c>
      <c r="G2308" s="22">
        <v>5</v>
      </c>
      <c r="H2308" s="18">
        <v>25.75</v>
      </c>
      <c r="I2308" s="18">
        <v>5.15</v>
      </c>
      <c r="J2308" s="18">
        <v>5.15</v>
      </c>
      <c r="K2308" s="18">
        <v>5.15</v>
      </c>
      <c r="L2308" s="22">
        <v>1</v>
      </c>
    </row>
    <row r="2309" spans="1:12">
      <c r="A2309">
        <v>3</v>
      </c>
      <c r="B2309" s="16" t="s">
        <v>58</v>
      </c>
      <c r="C2309" s="9">
        <v>45992</v>
      </c>
      <c r="D2309">
        <v>21</v>
      </c>
      <c r="E2309" s="16" t="s">
        <v>109</v>
      </c>
      <c r="F2309" s="16" t="s">
        <v>83</v>
      </c>
      <c r="G2309" s="22">
        <v>5</v>
      </c>
      <c r="H2309" s="18">
        <v>24.95</v>
      </c>
      <c r="I2309" s="18">
        <v>4.99</v>
      </c>
      <c r="J2309" s="18">
        <v>4.99</v>
      </c>
      <c r="K2309" s="18">
        <v>4.99</v>
      </c>
      <c r="L2309" s="22">
        <v>1</v>
      </c>
    </row>
    <row r="2310" spans="1:12">
      <c r="A2310">
        <v>3</v>
      </c>
      <c r="B2310" s="16" t="s">
        <v>58</v>
      </c>
      <c r="C2310" s="9">
        <v>46023</v>
      </c>
      <c r="D2310">
        <v>21</v>
      </c>
      <c r="E2310" s="16" t="s">
        <v>109</v>
      </c>
      <c r="F2310" s="16" t="s">
        <v>83</v>
      </c>
      <c r="G2310" s="22">
        <v>5</v>
      </c>
      <c r="H2310" s="18">
        <v>22.1</v>
      </c>
      <c r="I2310" s="18">
        <v>4.42</v>
      </c>
      <c r="J2310" s="18">
        <v>4.42</v>
      </c>
      <c r="K2310" s="18">
        <v>4.42</v>
      </c>
      <c r="L2310" s="22">
        <v>1</v>
      </c>
    </row>
    <row r="2311" spans="1:12">
      <c r="A2311">
        <v>3</v>
      </c>
      <c r="B2311" s="16" t="s">
        <v>58</v>
      </c>
      <c r="C2311" s="9">
        <v>46054</v>
      </c>
      <c r="D2311">
        <v>21</v>
      </c>
      <c r="E2311" s="16" t="s">
        <v>109</v>
      </c>
      <c r="F2311" s="16" t="s">
        <v>83</v>
      </c>
      <c r="G2311" s="22">
        <v>5</v>
      </c>
      <c r="H2311" s="18">
        <v>21.85</v>
      </c>
      <c r="I2311" s="18">
        <v>4.37</v>
      </c>
      <c r="J2311" s="18">
        <v>4.37</v>
      </c>
      <c r="K2311" s="18">
        <v>4.37</v>
      </c>
      <c r="L2311" s="22">
        <v>1</v>
      </c>
    </row>
    <row r="2312" spans="1:12">
      <c r="A2312">
        <v>3</v>
      </c>
      <c r="B2312" s="16" t="s">
        <v>58</v>
      </c>
      <c r="C2312" s="9">
        <v>46082</v>
      </c>
      <c r="D2312">
        <v>21</v>
      </c>
      <c r="E2312" s="16" t="s">
        <v>109</v>
      </c>
      <c r="F2312" s="16" t="s">
        <v>83</v>
      </c>
      <c r="G2312" s="22">
        <v>5</v>
      </c>
      <c r="H2312" s="18">
        <v>21.6</v>
      </c>
      <c r="I2312" s="18">
        <v>4.32</v>
      </c>
      <c r="J2312" s="18">
        <v>4.32</v>
      </c>
      <c r="K2312" s="18">
        <v>4.32</v>
      </c>
      <c r="L2312" s="22">
        <v>1</v>
      </c>
    </row>
    <row r="2313" spans="1:12">
      <c r="A2313">
        <v>3</v>
      </c>
      <c r="B2313" s="16" t="s">
        <v>58</v>
      </c>
      <c r="C2313" s="9">
        <v>46113</v>
      </c>
      <c r="D2313">
        <v>21</v>
      </c>
      <c r="E2313" s="16" t="s">
        <v>109</v>
      </c>
      <c r="F2313" s="16" t="s">
        <v>83</v>
      </c>
      <c r="G2313" s="22">
        <v>5</v>
      </c>
      <c r="H2313" s="18">
        <v>22.05</v>
      </c>
      <c r="I2313" s="18">
        <v>4.41</v>
      </c>
      <c r="J2313" s="18">
        <v>4.41</v>
      </c>
      <c r="K2313" s="18">
        <v>4.41</v>
      </c>
      <c r="L2313" s="22">
        <v>1</v>
      </c>
    </row>
    <row r="2314" spans="1:12">
      <c r="A2314">
        <v>3</v>
      </c>
      <c r="B2314" s="16" t="s">
        <v>58</v>
      </c>
      <c r="C2314" s="9">
        <v>46143</v>
      </c>
      <c r="D2314">
        <v>21</v>
      </c>
      <c r="E2314" s="16" t="s">
        <v>109</v>
      </c>
      <c r="F2314" s="16" t="s">
        <v>83</v>
      </c>
      <c r="G2314" s="22">
        <v>5</v>
      </c>
      <c r="H2314" s="18">
        <v>22.5</v>
      </c>
      <c r="I2314" s="18">
        <v>4.5</v>
      </c>
      <c r="J2314" s="18">
        <v>4.5</v>
      </c>
      <c r="K2314" s="18">
        <v>4.5</v>
      </c>
      <c r="L2314" s="22">
        <v>1</v>
      </c>
    </row>
    <row r="2315" spans="1:12">
      <c r="A2315">
        <v>3</v>
      </c>
      <c r="B2315" s="16" t="s">
        <v>58</v>
      </c>
      <c r="C2315" s="9">
        <v>46174</v>
      </c>
      <c r="D2315">
        <v>21</v>
      </c>
      <c r="E2315" s="16" t="s">
        <v>109</v>
      </c>
      <c r="F2315" s="16" t="s">
        <v>83</v>
      </c>
      <c r="G2315" s="22">
        <v>5</v>
      </c>
      <c r="H2315" s="18">
        <v>21.85</v>
      </c>
      <c r="I2315" s="18">
        <v>4.37</v>
      </c>
      <c r="J2315" s="18">
        <v>4.37</v>
      </c>
      <c r="K2315" s="18">
        <v>4.37</v>
      </c>
      <c r="L2315" s="22">
        <v>1</v>
      </c>
    </row>
    <row r="2316" spans="1:12">
      <c r="A2316">
        <v>3</v>
      </c>
      <c r="B2316" s="16" t="s">
        <v>58</v>
      </c>
      <c r="C2316" s="9">
        <v>46204</v>
      </c>
      <c r="D2316">
        <v>21</v>
      </c>
      <c r="E2316" s="16" t="s">
        <v>109</v>
      </c>
      <c r="F2316" s="16" t="s">
        <v>83</v>
      </c>
      <c r="G2316" s="22">
        <v>5</v>
      </c>
      <c r="H2316" s="18">
        <v>21.45</v>
      </c>
      <c r="I2316" s="18">
        <v>4.29</v>
      </c>
      <c r="J2316" s="18">
        <v>4.29</v>
      </c>
      <c r="K2316" s="18">
        <v>4.29</v>
      </c>
      <c r="L2316" s="22">
        <v>1</v>
      </c>
    </row>
    <row r="2317" spans="1:12">
      <c r="A2317">
        <v>3</v>
      </c>
      <c r="B2317" s="16" t="s">
        <v>58</v>
      </c>
      <c r="C2317" s="9">
        <v>46235</v>
      </c>
      <c r="D2317">
        <v>21</v>
      </c>
      <c r="E2317" s="16" t="s">
        <v>109</v>
      </c>
      <c r="F2317" s="16" t="s">
        <v>83</v>
      </c>
      <c r="G2317" s="22">
        <v>5</v>
      </c>
      <c r="H2317" s="18">
        <v>21</v>
      </c>
      <c r="I2317" s="18">
        <v>4.2</v>
      </c>
      <c r="J2317" s="18">
        <v>4.2</v>
      </c>
      <c r="K2317" s="18">
        <v>4.2</v>
      </c>
      <c r="L2317" s="22">
        <v>1</v>
      </c>
    </row>
    <row r="2318" spans="1:12">
      <c r="A2318">
        <v>3</v>
      </c>
      <c r="B2318" s="16" t="s">
        <v>58</v>
      </c>
      <c r="C2318" s="9">
        <v>46266</v>
      </c>
      <c r="D2318">
        <v>21</v>
      </c>
      <c r="E2318" s="16" t="s">
        <v>109</v>
      </c>
      <c r="F2318" s="16" t="s">
        <v>83</v>
      </c>
      <c r="G2318" s="22">
        <v>5</v>
      </c>
      <c r="H2318" s="18">
        <v>22</v>
      </c>
      <c r="I2318" s="18">
        <v>4.4000000000000004</v>
      </c>
      <c r="J2318" s="18">
        <v>4.4000000000000004</v>
      </c>
      <c r="K2318" s="18">
        <v>4.4000000000000004</v>
      </c>
      <c r="L2318" s="22">
        <v>1</v>
      </c>
    </row>
    <row r="2319" spans="1:12">
      <c r="A2319">
        <v>3</v>
      </c>
      <c r="B2319" s="16" t="s">
        <v>58</v>
      </c>
      <c r="C2319" s="9">
        <v>45689</v>
      </c>
      <c r="D2319">
        <v>22</v>
      </c>
      <c r="E2319" s="16" t="s">
        <v>110</v>
      </c>
      <c r="F2319" s="16" t="s">
        <v>90</v>
      </c>
      <c r="G2319" s="22">
        <v>11</v>
      </c>
      <c r="H2319" s="18">
        <v>43.84</v>
      </c>
      <c r="I2319" s="18">
        <v>3.9854545450000001</v>
      </c>
      <c r="J2319" s="18">
        <v>3.99</v>
      </c>
      <c r="K2319" s="18">
        <v>3.98</v>
      </c>
      <c r="L2319" s="22">
        <v>2</v>
      </c>
    </row>
    <row r="2320" spans="1:12">
      <c r="A2320">
        <v>3</v>
      </c>
      <c r="B2320" s="16" t="s">
        <v>58</v>
      </c>
      <c r="C2320" s="9">
        <v>45717</v>
      </c>
      <c r="D2320">
        <v>22</v>
      </c>
      <c r="E2320" s="16" t="s">
        <v>110</v>
      </c>
      <c r="F2320" s="16" t="s">
        <v>90</v>
      </c>
      <c r="G2320" s="22">
        <v>8.5</v>
      </c>
      <c r="H2320" s="18">
        <v>33.984999999999999</v>
      </c>
      <c r="I2320" s="18">
        <v>3.9982352940000001</v>
      </c>
      <c r="J2320" s="18">
        <v>4.03</v>
      </c>
      <c r="K2320" s="18">
        <v>3.97</v>
      </c>
      <c r="L2320" s="22">
        <v>2</v>
      </c>
    </row>
    <row r="2321" spans="1:12">
      <c r="A2321">
        <v>3</v>
      </c>
      <c r="B2321" s="16" t="s">
        <v>58</v>
      </c>
      <c r="C2321" s="9">
        <v>45748</v>
      </c>
      <c r="D2321">
        <v>22</v>
      </c>
      <c r="E2321" s="16" t="s">
        <v>110</v>
      </c>
      <c r="F2321" s="16" t="s">
        <v>90</v>
      </c>
      <c r="G2321" s="22">
        <v>11</v>
      </c>
      <c r="H2321" s="18">
        <v>44.13</v>
      </c>
      <c r="I2321" s="18">
        <v>4.0118181819999998</v>
      </c>
      <c r="J2321" s="18">
        <v>4.05</v>
      </c>
      <c r="K2321" s="18">
        <v>3.98</v>
      </c>
      <c r="L2321" s="22">
        <v>2</v>
      </c>
    </row>
    <row r="2322" spans="1:12">
      <c r="A2322">
        <v>3</v>
      </c>
      <c r="B2322" s="16" t="s">
        <v>58</v>
      </c>
      <c r="C2322" s="9">
        <v>45778</v>
      </c>
      <c r="D2322">
        <v>22</v>
      </c>
      <c r="E2322" s="16" t="s">
        <v>110</v>
      </c>
      <c r="F2322" s="16" t="s">
        <v>90</v>
      </c>
      <c r="G2322" s="22">
        <v>9</v>
      </c>
      <c r="H2322" s="18">
        <v>37.215000000000003</v>
      </c>
      <c r="I2322" s="18">
        <v>4.1349999999999998</v>
      </c>
      <c r="J2322" s="18">
        <v>4.1500000000000004</v>
      </c>
      <c r="K2322" s="18">
        <v>4.12</v>
      </c>
      <c r="L2322" s="22">
        <v>2</v>
      </c>
    </row>
    <row r="2323" spans="1:12">
      <c r="A2323">
        <v>3</v>
      </c>
      <c r="B2323" s="16" t="s">
        <v>58</v>
      </c>
      <c r="C2323" s="9">
        <v>45809</v>
      </c>
      <c r="D2323">
        <v>22</v>
      </c>
      <c r="E2323" s="16" t="s">
        <v>110</v>
      </c>
      <c r="F2323" s="16" t="s">
        <v>90</v>
      </c>
      <c r="G2323" s="22">
        <v>6</v>
      </c>
      <c r="H2323" s="18">
        <v>24.715</v>
      </c>
      <c r="I2323" s="18">
        <v>4.119166667</v>
      </c>
      <c r="J2323" s="18">
        <v>4.1399999999999997</v>
      </c>
      <c r="K2323" s="18">
        <v>4.09</v>
      </c>
      <c r="L2323" s="22">
        <v>2</v>
      </c>
    </row>
    <row r="2324" spans="1:12">
      <c r="A2324">
        <v>3</v>
      </c>
      <c r="B2324" s="16" t="s">
        <v>58</v>
      </c>
      <c r="C2324" s="9">
        <v>45839</v>
      </c>
      <c r="D2324">
        <v>22</v>
      </c>
      <c r="E2324" s="16" t="s">
        <v>110</v>
      </c>
      <c r="F2324" s="16" t="s">
        <v>90</v>
      </c>
      <c r="G2324" s="22">
        <v>10</v>
      </c>
      <c r="H2324" s="18">
        <v>40.619999999999997</v>
      </c>
      <c r="I2324" s="18">
        <v>4.0620000000000003</v>
      </c>
      <c r="J2324" s="18">
        <v>4.12</v>
      </c>
      <c r="K2324" s="18">
        <v>3.97</v>
      </c>
      <c r="L2324" s="22">
        <v>3</v>
      </c>
    </row>
    <row r="2325" spans="1:12">
      <c r="A2325">
        <v>3</v>
      </c>
      <c r="B2325" s="16" t="s">
        <v>58</v>
      </c>
      <c r="C2325" s="9">
        <v>45870</v>
      </c>
      <c r="D2325">
        <v>22</v>
      </c>
      <c r="E2325" s="16" t="s">
        <v>110</v>
      </c>
      <c r="F2325" s="16" t="s">
        <v>90</v>
      </c>
      <c r="G2325" s="22">
        <v>8</v>
      </c>
      <c r="H2325" s="18">
        <v>32.479999999999997</v>
      </c>
      <c r="I2325" s="18">
        <v>4.0599999999999996</v>
      </c>
      <c r="J2325" s="18">
        <v>4.08</v>
      </c>
      <c r="K2325" s="18">
        <v>4.04</v>
      </c>
      <c r="L2325" s="22">
        <v>2</v>
      </c>
    </row>
    <row r="2326" spans="1:12">
      <c r="A2326">
        <v>3</v>
      </c>
      <c r="B2326" s="16" t="s">
        <v>58</v>
      </c>
      <c r="C2326" s="9">
        <v>45901</v>
      </c>
      <c r="D2326">
        <v>22</v>
      </c>
      <c r="E2326" s="16" t="s">
        <v>110</v>
      </c>
      <c r="F2326" s="16" t="s">
        <v>90</v>
      </c>
      <c r="G2326" s="22">
        <v>8.5</v>
      </c>
      <c r="H2326" s="18">
        <v>34.905000000000001</v>
      </c>
      <c r="I2326" s="18">
        <v>4.1064705879999996</v>
      </c>
      <c r="J2326" s="18">
        <v>4.13</v>
      </c>
      <c r="K2326" s="18">
        <v>4.08</v>
      </c>
      <c r="L2326" s="22">
        <v>2</v>
      </c>
    </row>
    <row r="2327" spans="1:12">
      <c r="A2327">
        <v>3</v>
      </c>
      <c r="B2327" s="16" t="s">
        <v>58</v>
      </c>
      <c r="C2327" s="9">
        <v>45931</v>
      </c>
      <c r="D2327">
        <v>22</v>
      </c>
      <c r="E2327" s="16" t="s">
        <v>110</v>
      </c>
      <c r="F2327" s="16" t="s">
        <v>90</v>
      </c>
      <c r="G2327" s="22">
        <v>8.5</v>
      </c>
      <c r="H2327" s="18">
        <v>34.53</v>
      </c>
      <c r="I2327" s="18">
        <v>4.0623529410000003</v>
      </c>
      <c r="J2327" s="18">
        <v>4.08</v>
      </c>
      <c r="K2327" s="18">
        <v>4.03</v>
      </c>
      <c r="L2327" s="22">
        <v>2</v>
      </c>
    </row>
    <row r="2328" spans="1:12">
      <c r="A2328">
        <v>3</v>
      </c>
      <c r="B2328" s="16" t="s">
        <v>58</v>
      </c>
      <c r="C2328" s="9">
        <v>45962</v>
      </c>
      <c r="D2328">
        <v>22</v>
      </c>
      <c r="E2328" s="16" t="s">
        <v>110</v>
      </c>
      <c r="F2328" s="16" t="s">
        <v>90</v>
      </c>
      <c r="G2328" s="22">
        <v>8.5</v>
      </c>
      <c r="H2328" s="18">
        <v>33.445</v>
      </c>
      <c r="I2328" s="18">
        <v>3.9347058819999998</v>
      </c>
      <c r="J2328" s="18">
        <v>3.97</v>
      </c>
      <c r="K2328" s="18">
        <v>3.92</v>
      </c>
      <c r="L2328" s="22">
        <v>2</v>
      </c>
    </row>
    <row r="2329" spans="1:12">
      <c r="A2329">
        <v>3</v>
      </c>
      <c r="B2329" s="16" t="s">
        <v>58</v>
      </c>
      <c r="C2329" s="9">
        <v>45992</v>
      </c>
      <c r="D2329">
        <v>22</v>
      </c>
      <c r="E2329" s="16" t="s">
        <v>110</v>
      </c>
      <c r="F2329" s="16" t="s">
        <v>90</v>
      </c>
      <c r="G2329" s="22">
        <v>11.5</v>
      </c>
      <c r="H2329" s="18">
        <v>45.92</v>
      </c>
      <c r="I2329" s="18">
        <v>3.9930434780000001</v>
      </c>
      <c r="J2329" s="18">
        <v>4.0599999999999996</v>
      </c>
      <c r="K2329" s="18">
        <v>3.92</v>
      </c>
      <c r="L2329" s="22">
        <v>2</v>
      </c>
    </row>
    <row r="2330" spans="1:12">
      <c r="A2330">
        <v>3</v>
      </c>
      <c r="B2330" s="16" t="s">
        <v>58</v>
      </c>
      <c r="C2330" s="9">
        <v>46023</v>
      </c>
      <c r="D2330">
        <v>22</v>
      </c>
      <c r="E2330" s="16" t="s">
        <v>110</v>
      </c>
      <c r="F2330" s="16" t="s">
        <v>90</v>
      </c>
      <c r="G2330" s="22">
        <v>14</v>
      </c>
      <c r="H2330" s="18">
        <v>54.835000000000001</v>
      </c>
      <c r="I2330" s="18">
        <v>3.916785714</v>
      </c>
      <c r="J2330" s="18">
        <v>3.93</v>
      </c>
      <c r="K2330" s="18">
        <v>3.9</v>
      </c>
      <c r="L2330" s="22">
        <v>3</v>
      </c>
    </row>
    <row r="2331" spans="1:12">
      <c r="A2331">
        <v>3</v>
      </c>
      <c r="B2331" s="16" t="s">
        <v>58</v>
      </c>
      <c r="C2331" s="9">
        <v>46054</v>
      </c>
      <c r="D2331">
        <v>22</v>
      </c>
      <c r="E2331" s="16" t="s">
        <v>110</v>
      </c>
      <c r="F2331" s="16" t="s">
        <v>90</v>
      </c>
      <c r="G2331" s="22">
        <v>9.5</v>
      </c>
      <c r="H2331" s="18">
        <v>37.594999999999999</v>
      </c>
      <c r="I2331" s="18">
        <v>3.957368421</v>
      </c>
      <c r="J2331" s="18">
        <v>3.97</v>
      </c>
      <c r="K2331" s="18">
        <v>3.94</v>
      </c>
      <c r="L2331" s="22">
        <v>2</v>
      </c>
    </row>
    <row r="2332" spans="1:12">
      <c r="A2332">
        <v>3</v>
      </c>
      <c r="B2332" s="16" t="s">
        <v>58</v>
      </c>
      <c r="C2332" s="9">
        <v>46082</v>
      </c>
      <c r="D2332">
        <v>22</v>
      </c>
      <c r="E2332" s="16" t="s">
        <v>110</v>
      </c>
      <c r="F2332" s="16" t="s">
        <v>90</v>
      </c>
      <c r="G2332" s="22">
        <v>7.5</v>
      </c>
      <c r="H2332" s="18">
        <v>30.03</v>
      </c>
      <c r="I2332" s="18">
        <v>4.0039999999999996</v>
      </c>
      <c r="J2332" s="18">
        <v>4.01</v>
      </c>
      <c r="K2332" s="18">
        <v>4</v>
      </c>
      <c r="L2332" s="22">
        <v>2</v>
      </c>
    </row>
    <row r="2333" spans="1:12">
      <c r="A2333">
        <v>3</v>
      </c>
      <c r="B2333" s="16" t="s">
        <v>58</v>
      </c>
      <c r="C2333" s="9">
        <v>46113</v>
      </c>
      <c r="D2333">
        <v>22</v>
      </c>
      <c r="E2333" s="16" t="s">
        <v>110</v>
      </c>
      <c r="F2333" s="16" t="s">
        <v>90</v>
      </c>
      <c r="G2333" s="22">
        <v>8</v>
      </c>
      <c r="H2333" s="18">
        <v>32.115000000000002</v>
      </c>
      <c r="I2333" s="18">
        <v>4.0143750000000002</v>
      </c>
      <c r="J2333" s="18">
        <v>4.03</v>
      </c>
      <c r="K2333" s="18">
        <v>3.98</v>
      </c>
      <c r="L2333" s="22">
        <v>2</v>
      </c>
    </row>
    <row r="2334" spans="1:12">
      <c r="A2334">
        <v>3</v>
      </c>
      <c r="B2334" s="16" t="s">
        <v>58</v>
      </c>
      <c r="C2334" s="9">
        <v>46143</v>
      </c>
      <c r="D2334">
        <v>22</v>
      </c>
      <c r="E2334" s="16" t="s">
        <v>110</v>
      </c>
      <c r="F2334" s="16" t="s">
        <v>90</v>
      </c>
      <c r="G2334" s="22">
        <v>7.5</v>
      </c>
      <c r="H2334" s="18">
        <v>29.385000000000002</v>
      </c>
      <c r="I2334" s="18">
        <v>3.9180000000000001</v>
      </c>
      <c r="J2334" s="18">
        <v>3.95</v>
      </c>
      <c r="K2334" s="18">
        <v>3.87</v>
      </c>
      <c r="L2334" s="22">
        <v>2</v>
      </c>
    </row>
    <row r="2335" spans="1:12">
      <c r="A2335">
        <v>3</v>
      </c>
      <c r="B2335" s="16" t="s">
        <v>58</v>
      </c>
      <c r="C2335" s="9">
        <v>46174</v>
      </c>
      <c r="D2335">
        <v>22</v>
      </c>
      <c r="E2335" s="16" t="s">
        <v>110</v>
      </c>
      <c r="F2335" s="16" t="s">
        <v>90</v>
      </c>
      <c r="G2335" s="22">
        <v>7</v>
      </c>
      <c r="H2335" s="18">
        <v>27.56</v>
      </c>
      <c r="I2335" s="18">
        <v>3.937142857</v>
      </c>
      <c r="J2335" s="18">
        <v>3.98</v>
      </c>
      <c r="K2335" s="18">
        <v>3.92</v>
      </c>
      <c r="L2335" s="22">
        <v>2</v>
      </c>
    </row>
    <row r="2336" spans="1:12">
      <c r="A2336">
        <v>3</v>
      </c>
      <c r="B2336" s="16" t="s">
        <v>58</v>
      </c>
      <c r="C2336" s="9">
        <v>46204</v>
      </c>
      <c r="D2336">
        <v>22</v>
      </c>
      <c r="E2336" s="16" t="s">
        <v>110</v>
      </c>
      <c r="F2336" s="16" t="s">
        <v>90</v>
      </c>
      <c r="G2336" s="22">
        <v>9</v>
      </c>
      <c r="H2336" s="18">
        <v>35.854999999999997</v>
      </c>
      <c r="I2336" s="18">
        <v>3.9838888890000002</v>
      </c>
      <c r="J2336" s="18">
        <v>4.0199999999999996</v>
      </c>
      <c r="K2336" s="18">
        <v>3.96</v>
      </c>
      <c r="L2336" s="22">
        <v>3</v>
      </c>
    </row>
    <row r="2337" spans="1:12">
      <c r="A2337">
        <v>3</v>
      </c>
      <c r="B2337" s="16" t="s">
        <v>58</v>
      </c>
      <c r="C2337" s="9">
        <v>46235</v>
      </c>
      <c r="D2337">
        <v>22</v>
      </c>
      <c r="E2337" s="16" t="s">
        <v>110</v>
      </c>
      <c r="F2337" s="16" t="s">
        <v>90</v>
      </c>
      <c r="G2337" s="22">
        <v>7</v>
      </c>
      <c r="H2337" s="18">
        <v>27.61</v>
      </c>
      <c r="I2337" s="18">
        <v>3.9442857139999998</v>
      </c>
      <c r="J2337" s="18">
        <v>4</v>
      </c>
      <c r="K2337" s="18">
        <v>3.87</v>
      </c>
      <c r="L2337" s="22">
        <v>2</v>
      </c>
    </row>
    <row r="2338" spans="1:12">
      <c r="A2338">
        <v>3</v>
      </c>
      <c r="B2338" s="16" t="s">
        <v>58</v>
      </c>
      <c r="C2338" s="9">
        <v>46266</v>
      </c>
      <c r="D2338">
        <v>22</v>
      </c>
      <c r="E2338" s="16" t="s">
        <v>110</v>
      </c>
      <c r="F2338" s="16" t="s">
        <v>90</v>
      </c>
      <c r="G2338" s="22">
        <v>7</v>
      </c>
      <c r="H2338" s="18">
        <v>27.61</v>
      </c>
      <c r="I2338" s="18">
        <v>3.9442857139999998</v>
      </c>
      <c r="J2338" s="18">
        <v>3.99</v>
      </c>
      <c r="K2338" s="18">
        <v>3.91</v>
      </c>
      <c r="L2338" s="22">
        <v>2</v>
      </c>
    </row>
    <row r="2339" spans="1:12">
      <c r="A2339">
        <v>3</v>
      </c>
      <c r="B2339" s="16" t="s">
        <v>58</v>
      </c>
      <c r="C2339" s="9">
        <v>45689</v>
      </c>
      <c r="D2339">
        <v>24</v>
      </c>
      <c r="E2339" s="16" t="s">
        <v>112</v>
      </c>
      <c r="F2339" s="16" t="s">
        <v>83</v>
      </c>
      <c r="G2339" s="22">
        <v>20</v>
      </c>
      <c r="H2339" s="18">
        <v>182.62</v>
      </c>
      <c r="I2339" s="18">
        <v>9.1310000000000002</v>
      </c>
      <c r="J2339" s="18">
        <v>9.2799999999999994</v>
      </c>
      <c r="K2339" s="18">
        <v>9.0299999999999994</v>
      </c>
      <c r="L2339" s="22">
        <v>8</v>
      </c>
    </row>
    <row r="2340" spans="1:12">
      <c r="A2340">
        <v>3</v>
      </c>
      <c r="B2340" s="16" t="s">
        <v>58</v>
      </c>
      <c r="C2340" s="9">
        <v>45717</v>
      </c>
      <c r="D2340">
        <v>24</v>
      </c>
      <c r="E2340" s="16" t="s">
        <v>112</v>
      </c>
      <c r="F2340" s="16" t="s">
        <v>83</v>
      </c>
      <c r="G2340" s="22">
        <v>17</v>
      </c>
      <c r="H2340" s="18">
        <v>154.73500000000001</v>
      </c>
      <c r="I2340" s="18">
        <v>9.1020588240000002</v>
      </c>
      <c r="J2340" s="18">
        <v>9.2799999999999994</v>
      </c>
      <c r="K2340" s="18">
        <v>8.94</v>
      </c>
      <c r="L2340" s="22">
        <v>8</v>
      </c>
    </row>
    <row r="2341" spans="1:12">
      <c r="A2341">
        <v>3</v>
      </c>
      <c r="B2341" s="16" t="s">
        <v>58</v>
      </c>
      <c r="C2341" s="9">
        <v>45748</v>
      </c>
      <c r="D2341">
        <v>24</v>
      </c>
      <c r="E2341" s="16" t="s">
        <v>112</v>
      </c>
      <c r="F2341" s="16" t="s">
        <v>83</v>
      </c>
      <c r="G2341" s="22">
        <v>24</v>
      </c>
      <c r="H2341" s="18">
        <v>219.88499999999999</v>
      </c>
      <c r="I2341" s="18">
        <v>9.1618750000000002</v>
      </c>
      <c r="J2341" s="18">
        <v>9.3000000000000007</v>
      </c>
      <c r="K2341" s="18">
        <v>8.9499999999999993</v>
      </c>
      <c r="L2341" s="22">
        <v>9</v>
      </c>
    </row>
    <row r="2342" spans="1:12">
      <c r="A2342">
        <v>3</v>
      </c>
      <c r="B2342" s="16" t="s">
        <v>58</v>
      </c>
      <c r="C2342" s="9">
        <v>45778</v>
      </c>
      <c r="D2342">
        <v>24</v>
      </c>
      <c r="E2342" s="16" t="s">
        <v>112</v>
      </c>
      <c r="F2342" s="16" t="s">
        <v>83</v>
      </c>
      <c r="G2342" s="22">
        <v>23</v>
      </c>
      <c r="H2342" s="18">
        <v>210.80500000000001</v>
      </c>
      <c r="I2342" s="18">
        <v>9.1654347830000003</v>
      </c>
      <c r="J2342" s="18">
        <v>9.34</v>
      </c>
      <c r="K2342" s="18">
        <v>8.9600000000000009</v>
      </c>
      <c r="L2342" s="22">
        <v>9</v>
      </c>
    </row>
    <row r="2343" spans="1:12">
      <c r="A2343">
        <v>3</v>
      </c>
      <c r="B2343" s="16" t="s">
        <v>58</v>
      </c>
      <c r="C2343" s="9">
        <v>45809</v>
      </c>
      <c r="D2343">
        <v>24</v>
      </c>
      <c r="E2343" s="16" t="s">
        <v>112</v>
      </c>
      <c r="F2343" s="16" t="s">
        <v>83</v>
      </c>
      <c r="G2343" s="22">
        <v>19.5</v>
      </c>
      <c r="H2343" s="18">
        <v>179.75</v>
      </c>
      <c r="I2343" s="18">
        <v>9.2179487180000006</v>
      </c>
      <c r="J2343" s="18">
        <v>9.43</v>
      </c>
      <c r="K2343" s="18">
        <v>9.06</v>
      </c>
      <c r="L2343" s="22">
        <v>8</v>
      </c>
    </row>
    <row r="2344" spans="1:12">
      <c r="A2344">
        <v>3</v>
      </c>
      <c r="B2344" s="16" t="s">
        <v>58</v>
      </c>
      <c r="C2344" s="9">
        <v>45839</v>
      </c>
      <c r="D2344">
        <v>24</v>
      </c>
      <c r="E2344" s="16" t="s">
        <v>112</v>
      </c>
      <c r="F2344" s="16" t="s">
        <v>83</v>
      </c>
      <c r="G2344" s="22">
        <v>22</v>
      </c>
      <c r="H2344" s="18">
        <v>202.75</v>
      </c>
      <c r="I2344" s="18">
        <v>9.2159090910000003</v>
      </c>
      <c r="J2344" s="18">
        <v>9.48</v>
      </c>
      <c r="K2344" s="18">
        <v>9.0399999999999991</v>
      </c>
      <c r="L2344" s="22">
        <v>10</v>
      </c>
    </row>
    <row r="2345" spans="1:12">
      <c r="A2345">
        <v>3</v>
      </c>
      <c r="B2345" s="16" t="s">
        <v>58</v>
      </c>
      <c r="C2345" s="9">
        <v>45870</v>
      </c>
      <c r="D2345">
        <v>24</v>
      </c>
      <c r="E2345" s="16" t="s">
        <v>112</v>
      </c>
      <c r="F2345" s="16" t="s">
        <v>83</v>
      </c>
      <c r="G2345" s="22">
        <v>18</v>
      </c>
      <c r="H2345" s="18">
        <v>167.38499999999999</v>
      </c>
      <c r="I2345" s="18">
        <v>9.2991666669999997</v>
      </c>
      <c r="J2345" s="18">
        <v>9.4700000000000006</v>
      </c>
      <c r="K2345" s="18">
        <v>9.0399999999999991</v>
      </c>
      <c r="L2345" s="22">
        <v>8</v>
      </c>
    </row>
    <row r="2346" spans="1:12">
      <c r="A2346">
        <v>3</v>
      </c>
      <c r="B2346" s="16" t="s">
        <v>58</v>
      </c>
      <c r="C2346" s="9">
        <v>45901</v>
      </c>
      <c r="D2346">
        <v>24</v>
      </c>
      <c r="E2346" s="16" t="s">
        <v>112</v>
      </c>
      <c r="F2346" s="16" t="s">
        <v>83</v>
      </c>
      <c r="G2346" s="22">
        <v>19.5</v>
      </c>
      <c r="H2346" s="18">
        <v>181.88</v>
      </c>
      <c r="I2346" s="18">
        <v>9.3271794870000004</v>
      </c>
      <c r="J2346" s="18">
        <v>9.5</v>
      </c>
      <c r="K2346" s="18">
        <v>9.1</v>
      </c>
      <c r="L2346" s="22">
        <v>9</v>
      </c>
    </row>
    <row r="2347" spans="1:12">
      <c r="A2347">
        <v>3</v>
      </c>
      <c r="B2347" s="16" t="s">
        <v>58</v>
      </c>
      <c r="C2347" s="9">
        <v>45931</v>
      </c>
      <c r="D2347">
        <v>24</v>
      </c>
      <c r="E2347" s="16" t="s">
        <v>112</v>
      </c>
      <c r="F2347" s="16" t="s">
        <v>83</v>
      </c>
      <c r="G2347" s="22">
        <v>24</v>
      </c>
      <c r="H2347" s="18">
        <v>225.715</v>
      </c>
      <c r="I2347" s="18">
        <v>9.4047916669999996</v>
      </c>
      <c r="J2347" s="18">
        <v>9.68</v>
      </c>
      <c r="K2347" s="18">
        <v>9.2799999999999994</v>
      </c>
      <c r="L2347" s="22">
        <v>9</v>
      </c>
    </row>
    <row r="2348" spans="1:12">
      <c r="A2348">
        <v>3</v>
      </c>
      <c r="B2348" s="16" t="s">
        <v>58</v>
      </c>
      <c r="C2348" s="9">
        <v>45962</v>
      </c>
      <c r="D2348">
        <v>24</v>
      </c>
      <c r="E2348" s="16" t="s">
        <v>112</v>
      </c>
      <c r="F2348" s="16" t="s">
        <v>83</v>
      </c>
      <c r="G2348" s="22">
        <v>15</v>
      </c>
      <c r="H2348" s="18">
        <v>142.32499999999999</v>
      </c>
      <c r="I2348" s="18">
        <v>9.4883333329999999</v>
      </c>
      <c r="J2348" s="18">
        <v>10.1</v>
      </c>
      <c r="K2348" s="18">
        <v>9.41</v>
      </c>
      <c r="L2348" s="22">
        <v>8</v>
      </c>
    </row>
    <row r="2349" spans="1:12">
      <c r="A2349">
        <v>3</v>
      </c>
      <c r="B2349" s="16" t="s">
        <v>58</v>
      </c>
      <c r="C2349" s="9">
        <v>45992</v>
      </c>
      <c r="D2349">
        <v>24</v>
      </c>
      <c r="E2349" s="16" t="s">
        <v>112</v>
      </c>
      <c r="F2349" s="16" t="s">
        <v>83</v>
      </c>
      <c r="G2349" s="22">
        <v>19</v>
      </c>
      <c r="H2349" s="18">
        <v>180.96</v>
      </c>
      <c r="I2349" s="18">
        <v>9.5242105259999992</v>
      </c>
      <c r="J2349" s="18">
        <v>9.7100000000000009</v>
      </c>
      <c r="K2349" s="18">
        <v>9.2799999999999994</v>
      </c>
      <c r="L2349" s="22">
        <v>9</v>
      </c>
    </row>
    <row r="2350" spans="1:12">
      <c r="A2350">
        <v>3</v>
      </c>
      <c r="B2350" s="16" t="s">
        <v>58</v>
      </c>
      <c r="C2350" s="9">
        <v>46023</v>
      </c>
      <c r="D2350">
        <v>24</v>
      </c>
      <c r="E2350" s="16" t="s">
        <v>112</v>
      </c>
      <c r="F2350" s="16" t="s">
        <v>83</v>
      </c>
      <c r="G2350" s="22">
        <v>26.5</v>
      </c>
      <c r="H2350" s="18">
        <v>249.23</v>
      </c>
      <c r="I2350" s="18">
        <v>9.4049056600000007</v>
      </c>
      <c r="J2350" s="18">
        <v>9.5</v>
      </c>
      <c r="K2350" s="18">
        <v>9.3000000000000007</v>
      </c>
      <c r="L2350" s="22">
        <v>9</v>
      </c>
    </row>
    <row r="2351" spans="1:12">
      <c r="A2351">
        <v>3</v>
      </c>
      <c r="B2351" s="16" t="s">
        <v>58</v>
      </c>
      <c r="C2351" s="9">
        <v>46054</v>
      </c>
      <c r="D2351">
        <v>24</v>
      </c>
      <c r="E2351" s="16" t="s">
        <v>112</v>
      </c>
      <c r="F2351" s="16" t="s">
        <v>83</v>
      </c>
      <c r="G2351" s="22">
        <v>20</v>
      </c>
      <c r="H2351" s="18">
        <v>188.41</v>
      </c>
      <c r="I2351" s="18">
        <v>9.4205000000000005</v>
      </c>
      <c r="J2351" s="18">
        <v>9.56</v>
      </c>
      <c r="K2351" s="18">
        <v>9.34</v>
      </c>
      <c r="L2351" s="22">
        <v>8</v>
      </c>
    </row>
    <row r="2352" spans="1:12">
      <c r="A2352">
        <v>3</v>
      </c>
      <c r="B2352" s="16" t="s">
        <v>58</v>
      </c>
      <c r="C2352" s="9">
        <v>46082</v>
      </c>
      <c r="D2352">
        <v>24</v>
      </c>
      <c r="E2352" s="16" t="s">
        <v>112</v>
      </c>
      <c r="F2352" s="16" t="s">
        <v>83</v>
      </c>
      <c r="G2352" s="22">
        <v>18</v>
      </c>
      <c r="H2352" s="18">
        <v>169.345</v>
      </c>
      <c r="I2352" s="18">
        <v>9.4080555560000008</v>
      </c>
      <c r="J2352" s="18">
        <v>9.59</v>
      </c>
      <c r="K2352" s="18">
        <v>9.26</v>
      </c>
      <c r="L2352" s="22">
        <v>8</v>
      </c>
    </row>
    <row r="2353" spans="1:12">
      <c r="A2353">
        <v>3</v>
      </c>
      <c r="B2353" s="16" t="s">
        <v>58</v>
      </c>
      <c r="C2353" s="9">
        <v>46113</v>
      </c>
      <c r="D2353">
        <v>24</v>
      </c>
      <c r="E2353" s="16" t="s">
        <v>112</v>
      </c>
      <c r="F2353" s="16" t="s">
        <v>83</v>
      </c>
      <c r="G2353" s="22">
        <v>24</v>
      </c>
      <c r="H2353" s="18">
        <v>228.01499999999999</v>
      </c>
      <c r="I2353" s="18">
        <v>9.5006249999999994</v>
      </c>
      <c r="J2353" s="18">
        <v>9.6300000000000008</v>
      </c>
      <c r="K2353" s="18">
        <v>9.41</v>
      </c>
      <c r="L2353" s="22">
        <v>9</v>
      </c>
    </row>
    <row r="2354" spans="1:12">
      <c r="A2354">
        <v>3</v>
      </c>
      <c r="B2354" s="16" t="s">
        <v>58</v>
      </c>
      <c r="C2354" s="9">
        <v>46143</v>
      </c>
      <c r="D2354">
        <v>24</v>
      </c>
      <c r="E2354" s="16" t="s">
        <v>112</v>
      </c>
      <c r="F2354" s="16" t="s">
        <v>83</v>
      </c>
      <c r="G2354" s="22">
        <v>14.5</v>
      </c>
      <c r="H2354" s="18">
        <v>137.33500000000001</v>
      </c>
      <c r="I2354" s="18">
        <v>9.4713793099999997</v>
      </c>
      <c r="J2354" s="18">
        <v>9.75</v>
      </c>
      <c r="K2354" s="18">
        <v>9.18</v>
      </c>
      <c r="L2354" s="22">
        <v>8</v>
      </c>
    </row>
    <row r="2355" spans="1:12">
      <c r="A2355">
        <v>3</v>
      </c>
      <c r="B2355" s="16" t="s">
        <v>58</v>
      </c>
      <c r="C2355" s="9">
        <v>46174</v>
      </c>
      <c r="D2355">
        <v>24</v>
      </c>
      <c r="E2355" s="16" t="s">
        <v>112</v>
      </c>
      <c r="F2355" s="16" t="s">
        <v>83</v>
      </c>
      <c r="G2355" s="22">
        <v>20.5</v>
      </c>
      <c r="H2355" s="18">
        <v>196.15</v>
      </c>
      <c r="I2355" s="18">
        <v>9.5682926829999992</v>
      </c>
      <c r="J2355" s="18">
        <v>10.11</v>
      </c>
      <c r="K2355" s="18">
        <v>9.4600000000000009</v>
      </c>
      <c r="L2355" s="22">
        <v>9</v>
      </c>
    </row>
    <row r="2356" spans="1:12">
      <c r="A2356">
        <v>3</v>
      </c>
      <c r="B2356" s="16" t="s">
        <v>58</v>
      </c>
      <c r="C2356" s="9">
        <v>46204</v>
      </c>
      <c r="D2356">
        <v>24</v>
      </c>
      <c r="E2356" s="16" t="s">
        <v>112</v>
      </c>
      <c r="F2356" s="16" t="s">
        <v>83</v>
      </c>
      <c r="G2356" s="22">
        <v>21.5</v>
      </c>
      <c r="H2356" s="18">
        <v>206.65</v>
      </c>
      <c r="I2356" s="18">
        <v>9.6116279070000008</v>
      </c>
      <c r="J2356" s="18">
        <v>9.69</v>
      </c>
      <c r="K2356" s="18">
        <v>9.42</v>
      </c>
      <c r="L2356" s="22">
        <v>9</v>
      </c>
    </row>
    <row r="2357" spans="1:12">
      <c r="A2357">
        <v>3</v>
      </c>
      <c r="B2357" s="16" t="s">
        <v>58</v>
      </c>
      <c r="C2357" s="9">
        <v>46235</v>
      </c>
      <c r="D2357">
        <v>24</v>
      </c>
      <c r="E2357" s="16" t="s">
        <v>112</v>
      </c>
      <c r="F2357" s="16" t="s">
        <v>83</v>
      </c>
      <c r="G2357" s="22">
        <v>15</v>
      </c>
      <c r="H2357" s="18">
        <v>143.74</v>
      </c>
      <c r="I2357" s="18">
        <v>9.5826666669999998</v>
      </c>
      <c r="J2357" s="18">
        <v>9.65</v>
      </c>
      <c r="K2357" s="18">
        <v>9.49</v>
      </c>
      <c r="L2357" s="22">
        <v>8</v>
      </c>
    </row>
    <row r="2358" spans="1:12">
      <c r="A2358">
        <v>3</v>
      </c>
      <c r="B2358" s="16" t="s">
        <v>58</v>
      </c>
      <c r="C2358" s="9">
        <v>46266</v>
      </c>
      <c r="D2358">
        <v>24</v>
      </c>
      <c r="E2358" s="16" t="s">
        <v>112</v>
      </c>
      <c r="F2358" s="16" t="s">
        <v>83</v>
      </c>
      <c r="G2358" s="22">
        <v>15.5</v>
      </c>
      <c r="H2358" s="18">
        <v>150.905</v>
      </c>
      <c r="I2358" s="18">
        <v>9.7358064520000003</v>
      </c>
      <c r="J2358" s="18">
        <v>9.82</v>
      </c>
      <c r="K2358" s="18">
        <v>9.5500000000000007</v>
      </c>
      <c r="L2358" s="22">
        <v>9</v>
      </c>
    </row>
    <row r="2359" spans="1:12">
      <c r="A2359">
        <v>3</v>
      </c>
      <c r="B2359" s="16" t="s">
        <v>58</v>
      </c>
      <c r="C2359" s="9">
        <v>45689</v>
      </c>
      <c r="D2359">
        <v>25</v>
      </c>
      <c r="E2359" s="16" t="s">
        <v>113</v>
      </c>
      <c r="F2359" s="16" t="s">
        <v>114</v>
      </c>
      <c r="G2359" s="22">
        <v>450</v>
      </c>
      <c r="H2359" s="18">
        <v>119</v>
      </c>
      <c r="I2359" s="18">
        <v>0.264444444</v>
      </c>
      <c r="J2359" s="18">
        <v>0.27</v>
      </c>
      <c r="K2359" s="18">
        <v>0.26</v>
      </c>
      <c r="L2359" s="22">
        <v>5</v>
      </c>
    </row>
    <row r="2360" spans="1:12">
      <c r="A2360">
        <v>3</v>
      </c>
      <c r="B2360" s="16" t="s">
        <v>58</v>
      </c>
      <c r="C2360" s="9">
        <v>45717</v>
      </c>
      <c r="D2360">
        <v>25</v>
      </c>
      <c r="E2360" s="16" t="s">
        <v>113</v>
      </c>
      <c r="F2360" s="16" t="s">
        <v>114</v>
      </c>
      <c r="G2360" s="22">
        <v>350</v>
      </c>
      <c r="H2360" s="18">
        <v>94.5</v>
      </c>
      <c r="I2360" s="18">
        <v>0.27</v>
      </c>
      <c r="J2360" s="18">
        <v>0.27</v>
      </c>
      <c r="K2360" s="18">
        <v>0.27</v>
      </c>
      <c r="L2360" s="22">
        <v>4</v>
      </c>
    </row>
    <row r="2361" spans="1:12">
      <c r="A2361">
        <v>3</v>
      </c>
      <c r="B2361" s="16" t="s">
        <v>58</v>
      </c>
      <c r="C2361" s="9">
        <v>45748</v>
      </c>
      <c r="D2361">
        <v>25</v>
      </c>
      <c r="E2361" s="16" t="s">
        <v>113</v>
      </c>
      <c r="F2361" s="16" t="s">
        <v>114</v>
      </c>
      <c r="G2361" s="22">
        <v>550</v>
      </c>
      <c r="H2361" s="18">
        <v>149.5</v>
      </c>
      <c r="I2361" s="18">
        <v>0.27181818200000002</v>
      </c>
      <c r="J2361" s="18">
        <v>0.28999999999999998</v>
      </c>
      <c r="K2361" s="18">
        <v>0.26</v>
      </c>
      <c r="L2361" s="22">
        <v>7</v>
      </c>
    </row>
    <row r="2362" spans="1:12">
      <c r="A2362">
        <v>3</v>
      </c>
      <c r="B2362" s="16" t="s">
        <v>58</v>
      </c>
      <c r="C2362" s="9">
        <v>45778</v>
      </c>
      <c r="D2362">
        <v>25</v>
      </c>
      <c r="E2362" s="16" t="s">
        <v>113</v>
      </c>
      <c r="F2362" s="16" t="s">
        <v>114</v>
      </c>
      <c r="G2362" s="22">
        <v>500</v>
      </c>
      <c r="H2362" s="18">
        <v>134</v>
      </c>
      <c r="I2362" s="18">
        <v>0.26800000000000002</v>
      </c>
      <c r="J2362" s="18">
        <v>0.28000000000000003</v>
      </c>
      <c r="K2362" s="18">
        <v>0.26</v>
      </c>
      <c r="L2362" s="22">
        <v>6</v>
      </c>
    </row>
    <row r="2363" spans="1:12">
      <c r="A2363">
        <v>3</v>
      </c>
      <c r="B2363" s="16" t="s">
        <v>58</v>
      </c>
      <c r="C2363" s="9">
        <v>45809</v>
      </c>
      <c r="D2363">
        <v>25</v>
      </c>
      <c r="E2363" s="16" t="s">
        <v>113</v>
      </c>
      <c r="F2363" s="16" t="s">
        <v>114</v>
      </c>
      <c r="G2363" s="22">
        <v>450</v>
      </c>
      <c r="H2363" s="18">
        <v>119</v>
      </c>
      <c r="I2363" s="18">
        <v>0.264444444</v>
      </c>
      <c r="J2363" s="18">
        <v>0.27</v>
      </c>
      <c r="K2363" s="18">
        <v>0.26</v>
      </c>
      <c r="L2363" s="22">
        <v>5</v>
      </c>
    </row>
    <row r="2364" spans="1:12">
      <c r="A2364">
        <v>3</v>
      </c>
      <c r="B2364" s="16" t="s">
        <v>58</v>
      </c>
      <c r="C2364" s="9">
        <v>45839</v>
      </c>
      <c r="D2364">
        <v>25</v>
      </c>
      <c r="E2364" s="16" t="s">
        <v>113</v>
      </c>
      <c r="F2364" s="16" t="s">
        <v>114</v>
      </c>
      <c r="G2364" s="22">
        <v>500</v>
      </c>
      <c r="H2364" s="18">
        <v>135.5</v>
      </c>
      <c r="I2364" s="18">
        <v>0.27100000000000002</v>
      </c>
      <c r="J2364" s="18">
        <v>0.28000000000000003</v>
      </c>
      <c r="K2364" s="18">
        <v>0.27</v>
      </c>
      <c r="L2364" s="22">
        <v>7</v>
      </c>
    </row>
    <row r="2365" spans="1:12">
      <c r="A2365">
        <v>3</v>
      </c>
      <c r="B2365" s="16" t="s">
        <v>58</v>
      </c>
      <c r="C2365" s="9">
        <v>45870</v>
      </c>
      <c r="D2365">
        <v>25</v>
      </c>
      <c r="E2365" s="16" t="s">
        <v>113</v>
      </c>
      <c r="F2365" s="16" t="s">
        <v>114</v>
      </c>
      <c r="G2365" s="22">
        <v>400</v>
      </c>
      <c r="H2365" s="18">
        <v>109.5</v>
      </c>
      <c r="I2365" s="18">
        <v>0.27374999999999999</v>
      </c>
      <c r="J2365" s="18">
        <v>0.28000000000000003</v>
      </c>
      <c r="K2365" s="18">
        <v>0.27</v>
      </c>
      <c r="L2365" s="22">
        <v>5</v>
      </c>
    </row>
    <row r="2366" spans="1:12">
      <c r="A2366">
        <v>3</v>
      </c>
      <c r="B2366" s="16" t="s">
        <v>58</v>
      </c>
      <c r="C2366" s="9">
        <v>45901</v>
      </c>
      <c r="D2366">
        <v>25</v>
      </c>
      <c r="E2366" s="16" t="s">
        <v>113</v>
      </c>
      <c r="F2366" s="16" t="s">
        <v>114</v>
      </c>
      <c r="G2366" s="22">
        <v>450</v>
      </c>
      <c r="H2366" s="18">
        <v>123.5</v>
      </c>
      <c r="I2366" s="18">
        <v>0.27444444400000001</v>
      </c>
      <c r="J2366" s="18">
        <v>0.28999999999999998</v>
      </c>
      <c r="K2366" s="18">
        <v>0.27</v>
      </c>
      <c r="L2366" s="22">
        <v>7</v>
      </c>
    </row>
    <row r="2367" spans="1:12">
      <c r="A2367">
        <v>3</v>
      </c>
      <c r="B2367" s="16" t="s">
        <v>58</v>
      </c>
      <c r="C2367" s="9">
        <v>45931</v>
      </c>
      <c r="D2367">
        <v>25</v>
      </c>
      <c r="E2367" s="16" t="s">
        <v>113</v>
      </c>
      <c r="F2367" s="16" t="s">
        <v>114</v>
      </c>
      <c r="G2367" s="22">
        <v>500</v>
      </c>
      <c r="H2367" s="18">
        <v>135</v>
      </c>
      <c r="I2367" s="18">
        <v>0.27</v>
      </c>
      <c r="J2367" s="18">
        <v>0.27</v>
      </c>
      <c r="K2367" s="18">
        <v>0.27</v>
      </c>
      <c r="L2367" s="22">
        <v>6</v>
      </c>
    </row>
    <row r="2368" spans="1:12">
      <c r="A2368">
        <v>3</v>
      </c>
      <c r="B2368" s="16" t="s">
        <v>58</v>
      </c>
      <c r="C2368" s="9">
        <v>45962</v>
      </c>
      <c r="D2368">
        <v>25</v>
      </c>
      <c r="E2368" s="16" t="s">
        <v>113</v>
      </c>
      <c r="F2368" s="16" t="s">
        <v>114</v>
      </c>
      <c r="G2368" s="22">
        <v>350</v>
      </c>
      <c r="H2368" s="18">
        <v>94.5</v>
      </c>
      <c r="I2368" s="18">
        <v>0.27</v>
      </c>
      <c r="J2368" s="18">
        <v>0.27</v>
      </c>
      <c r="K2368" s="18">
        <v>0.27</v>
      </c>
      <c r="L2368" s="22">
        <v>7</v>
      </c>
    </row>
    <row r="2369" spans="1:12">
      <c r="A2369">
        <v>3</v>
      </c>
      <c r="B2369" s="16" t="s">
        <v>58</v>
      </c>
      <c r="C2369" s="9">
        <v>45992</v>
      </c>
      <c r="D2369">
        <v>25</v>
      </c>
      <c r="E2369" s="16" t="s">
        <v>113</v>
      </c>
      <c r="F2369" s="16" t="s">
        <v>114</v>
      </c>
      <c r="G2369" s="22">
        <v>400</v>
      </c>
      <c r="H2369" s="18">
        <v>108.5</v>
      </c>
      <c r="I2369" s="18">
        <v>0.27124999999999999</v>
      </c>
      <c r="J2369" s="18">
        <v>0.28000000000000003</v>
      </c>
      <c r="K2369" s="18">
        <v>0.27</v>
      </c>
      <c r="L2369" s="22">
        <v>5</v>
      </c>
    </row>
    <row r="2370" spans="1:12">
      <c r="A2370">
        <v>3</v>
      </c>
      <c r="B2370" s="16" t="s">
        <v>58</v>
      </c>
      <c r="C2370" s="9">
        <v>46023</v>
      </c>
      <c r="D2370">
        <v>25</v>
      </c>
      <c r="E2370" s="16" t="s">
        <v>113</v>
      </c>
      <c r="F2370" s="16" t="s">
        <v>114</v>
      </c>
      <c r="G2370" s="22">
        <v>600</v>
      </c>
      <c r="H2370" s="18">
        <v>165.5</v>
      </c>
      <c r="I2370" s="18">
        <v>0.27583333300000001</v>
      </c>
      <c r="J2370" s="18">
        <v>0.28000000000000003</v>
      </c>
      <c r="K2370" s="18">
        <v>0.27</v>
      </c>
      <c r="L2370" s="22">
        <v>7</v>
      </c>
    </row>
    <row r="2371" spans="1:12">
      <c r="A2371">
        <v>3</v>
      </c>
      <c r="B2371" s="16" t="s">
        <v>58</v>
      </c>
      <c r="C2371" s="9">
        <v>46054</v>
      </c>
      <c r="D2371">
        <v>25</v>
      </c>
      <c r="E2371" s="16" t="s">
        <v>113</v>
      </c>
      <c r="F2371" s="16" t="s">
        <v>114</v>
      </c>
      <c r="G2371" s="22">
        <v>450</v>
      </c>
      <c r="H2371" s="18">
        <v>124.5</v>
      </c>
      <c r="I2371" s="18">
        <v>0.27666666699999998</v>
      </c>
      <c r="J2371" s="18">
        <v>0.28000000000000003</v>
      </c>
      <c r="K2371" s="18">
        <v>0.27</v>
      </c>
      <c r="L2371" s="22">
        <v>5</v>
      </c>
    </row>
    <row r="2372" spans="1:12">
      <c r="A2372">
        <v>3</v>
      </c>
      <c r="B2372" s="16" t="s">
        <v>58</v>
      </c>
      <c r="C2372" s="9">
        <v>46082</v>
      </c>
      <c r="D2372">
        <v>25</v>
      </c>
      <c r="E2372" s="16" t="s">
        <v>113</v>
      </c>
      <c r="F2372" s="16" t="s">
        <v>114</v>
      </c>
      <c r="G2372" s="22">
        <v>400</v>
      </c>
      <c r="H2372" s="18">
        <v>109.5</v>
      </c>
      <c r="I2372" s="18">
        <v>0.27374999999999999</v>
      </c>
      <c r="J2372" s="18">
        <v>0.28000000000000003</v>
      </c>
      <c r="K2372" s="18">
        <v>0.27</v>
      </c>
      <c r="L2372" s="22">
        <v>6</v>
      </c>
    </row>
    <row r="2373" spans="1:12">
      <c r="A2373">
        <v>3</v>
      </c>
      <c r="B2373" s="16" t="s">
        <v>58</v>
      </c>
      <c r="C2373" s="9">
        <v>46113</v>
      </c>
      <c r="D2373">
        <v>25</v>
      </c>
      <c r="E2373" s="16" t="s">
        <v>113</v>
      </c>
      <c r="F2373" s="16" t="s">
        <v>114</v>
      </c>
      <c r="G2373" s="22">
        <v>550</v>
      </c>
      <c r="H2373" s="18">
        <v>150.5</v>
      </c>
      <c r="I2373" s="18">
        <v>0.27363636400000002</v>
      </c>
      <c r="J2373" s="18">
        <v>0.28000000000000003</v>
      </c>
      <c r="K2373" s="18">
        <v>0.27</v>
      </c>
      <c r="L2373" s="22">
        <v>6</v>
      </c>
    </row>
    <row r="2374" spans="1:12">
      <c r="A2374">
        <v>3</v>
      </c>
      <c r="B2374" s="16" t="s">
        <v>58</v>
      </c>
      <c r="C2374" s="9">
        <v>46143</v>
      </c>
      <c r="D2374">
        <v>25</v>
      </c>
      <c r="E2374" s="16" t="s">
        <v>113</v>
      </c>
      <c r="F2374" s="16" t="s">
        <v>114</v>
      </c>
      <c r="G2374" s="22">
        <v>300</v>
      </c>
      <c r="H2374" s="18">
        <v>84</v>
      </c>
      <c r="I2374" s="18">
        <v>0.28000000000000003</v>
      </c>
      <c r="J2374" s="18">
        <v>0.28000000000000003</v>
      </c>
      <c r="K2374" s="18">
        <v>0.28000000000000003</v>
      </c>
      <c r="L2374" s="22">
        <v>4</v>
      </c>
    </row>
    <row r="2375" spans="1:12">
      <c r="A2375">
        <v>3</v>
      </c>
      <c r="B2375" s="16" t="s">
        <v>58</v>
      </c>
      <c r="C2375" s="9">
        <v>46174</v>
      </c>
      <c r="D2375">
        <v>25</v>
      </c>
      <c r="E2375" s="16" t="s">
        <v>113</v>
      </c>
      <c r="F2375" s="16" t="s">
        <v>114</v>
      </c>
      <c r="G2375" s="22">
        <v>450</v>
      </c>
      <c r="H2375" s="18">
        <v>125</v>
      </c>
      <c r="I2375" s="18">
        <v>0.27777777799999998</v>
      </c>
      <c r="J2375" s="18">
        <v>0.28000000000000003</v>
      </c>
      <c r="K2375" s="18">
        <v>0.27</v>
      </c>
      <c r="L2375" s="22">
        <v>5</v>
      </c>
    </row>
    <row r="2376" spans="1:12">
      <c r="A2376">
        <v>3</v>
      </c>
      <c r="B2376" s="16" t="s">
        <v>58</v>
      </c>
      <c r="C2376" s="9">
        <v>46204</v>
      </c>
      <c r="D2376">
        <v>25</v>
      </c>
      <c r="E2376" s="16" t="s">
        <v>113</v>
      </c>
      <c r="F2376" s="16" t="s">
        <v>114</v>
      </c>
      <c r="G2376" s="22">
        <v>500</v>
      </c>
      <c r="H2376" s="18">
        <v>139.5</v>
      </c>
      <c r="I2376" s="18">
        <v>0.27900000000000003</v>
      </c>
      <c r="J2376" s="18">
        <v>0.28000000000000003</v>
      </c>
      <c r="K2376" s="18">
        <v>0.27</v>
      </c>
      <c r="L2376" s="22">
        <v>7</v>
      </c>
    </row>
    <row r="2377" spans="1:12">
      <c r="A2377">
        <v>3</v>
      </c>
      <c r="B2377" s="16" t="s">
        <v>58</v>
      </c>
      <c r="C2377" s="9">
        <v>46235</v>
      </c>
      <c r="D2377">
        <v>25</v>
      </c>
      <c r="E2377" s="16" t="s">
        <v>113</v>
      </c>
      <c r="F2377" s="16" t="s">
        <v>114</v>
      </c>
      <c r="G2377" s="22">
        <v>350</v>
      </c>
      <c r="H2377" s="18">
        <v>98.5</v>
      </c>
      <c r="I2377" s="18">
        <v>0.28142857100000002</v>
      </c>
      <c r="J2377" s="18">
        <v>0.3</v>
      </c>
      <c r="K2377" s="18">
        <v>0.27</v>
      </c>
      <c r="L2377" s="22">
        <v>5</v>
      </c>
    </row>
    <row r="2378" spans="1:12">
      <c r="A2378">
        <v>3</v>
      </c>
      <c r="B2378" s="16" t="s">
        <v>58</v>
      </c>
      <c r="C2378" s="9">
        <v>46266</v>
      </c>
      <c r="D2378">
        <v>25</v>
      </c>
      <c r="E2378" s="16" t="s">
        <v>113</v>
      </c>
      <c r="F2378" s="16" t="s">
        <v>114</v>
      </c>
      <c r="G2378" s="22">
        <v>350</v>
      </c>
      <c r="H2378" s="18">
        <v>97</v>
      </c>
      <c r="I2378" s="18">
        <v>0.27714285700000002</v>
      </c>
      <c r="J2378" s="18">
        <v>0.28999999999999998</v>
      </c>
      <c r="K2378" s="18">
        <v>0.27</v>
      </c>
      <c r="L2378" s="22">
        <v>5</v>
      </c>
    </row>
    <row r="2379" spans="1:12">
      <c r="A2379">
        <v>3</v>
      </c>
      <c r="B2379" s="16" t="s">
        <v>58</v>
      </c>
      <c r="C2379" s="9">
        <v>45689</v>
      </c>
      <c r="D2379">
        <v>26</v>
      </c>
      <c r="E2379" s="16" t="s">
        <v>115</v>
      </c>
      <c r="F2379" s="16" t="s">
        <v>90</v>
      </c>
      <c r="G2379" s="22">
        <v>3.75</v>
      </c>
      <c r="H2379" s="18">
        <v>24.55</v>
      </c>
      <c r="I2379" s="18">
        <v>6.5466666670000002</v>
      </c>
      <c r="J2379" s="18">
        <v>6.55</v>
      </c>
      <c r="K2379" s="18">
        <v>6.54</v>
      </c>
      <c r="L2379" s="22">
        <v>2</v>
      </c>
    </row>
    <row r="2380" spans="1:12">
      <c r="A2380">
        <v>3</v>
      </c>
      <c r="B2380" s="16" t="s">
        <v>58</v>
      </c>
      <c r="C2380" s="9">
        <v>45717</v>
      </c>
      <c r="D2380">
        <v>26</v>
      </c>
      <c r="E2380" s="16" t="s">
        <v>115</v>
      </c>
      <c r="F2380" s="16" t="s">
        <v>90</v>
      </c>
      <c r="G2380" s="22">
        <v>2.5</v>
      </c>
      <c r="H2380" s="18">
        <v>16.3</v>
      </c>
      <c r="I2380" s="18">
        <v>6.52</v>
      </c>
      <c r="J2380" s="18">
        <v>6.57</v>
      </c>
      <c r="K2380" s="18">
        <v>6.47</v>
      </c>
      <c r="L2380" s="22">
        <v>2</v>
      </c>
    </row>
    <row r="2381" spans="1:12">
      <c r="A2381">
        <v>3</v>
      </c>
      <c r="B2381" s="16" t="s">
        <v>58</v>
      </c>
      <c r="C2381" s="9">
        <v>45748</v>
      </c>
      <c r="D2381">
        <v>26</v>
      </c>
      <c r="E2381" s="16" t="s">
        <v>115</v>
      </c>
      <c r="F2381" s="16" t="s">
        <v>90</v>
      </c>
      <c r="G2381" s="22">
        <v>3.75</v>
      </c>
      <c r="H2381" s="18">
        <v>24.4375</v>
      </c>
      <c r="I2381" s="18">
        <v>6.516666667</v>
      </c>
      <c r="J2381" s="18">
        <v>6.57</v>
      </c>
      <c r="K2381" s="18">
        <v>6.47</v>
      </c>
      <c r="L2381" s="22">
        <v>3</v>
      </c>
    </row>
    <row r="2382" spans="1:12">
      <c r="A2382">
        <v>3</v>
      </c>
      <c r="B2382" s="16" t="s">
        <v>58</v>
      </c>
      <c r="C2382" s="9">
        <v>45778</v>
      </c>
      <c r="D2382">
        <v>26</v>
      </c>
      <c r="E2382" s="16" t="s">
        <v>115</v>
      </c>
      <c r="F2382" s="16" t="s">
        <v>90</v>
      </c>
      <c r="G2382" s="22">
        <v>2.5</v>
      </c>
      <c r="H2382" s="18">
        <v>16.1875</v>
      </c>
      <c r="I2382" s="18">
        <v>6.4749999999999996</v>
      </c>
      <c r="J2382" s="18">
        <v>6.51</v>
      </c>
      <c r="K2382" s="18">
        <v>6.44</v>
      </c>
      <c r="L2382" s="22">
        <v>2</v>
      </c>
    </row>
    <row r="2383" spans="1:12">
      <c r="A2383">
        <v>3</v>
      </c>
      <c r="B2383" s="16" t="s">
        <v>58</v>
      </c>
      <c r="C2383" s="9">
        <v>45809</v>
      </c>
      <c r="D2383">
        <v>26</v>
      </c>
      <c r="E2383" s="16" t="s">
        <v>115</v>
      </c>
      <c r="F2383" s="16" t="s">
        <v>90</v>
      </c>
      <c r="G2383" s="22">
        <v>2.5</v>
      </c>
      <c r="H2383" s="18">
        <v>16.162500000000001</v>
      </c>
      <c r="I2383" s="18">
        <v>6.4649999999999999</v>
      </c>
      <c r="J2383" s="18">
        <v>6.52</v>
      </c>
      <c r="K2383" s="18">
        <v>6.41</v>
      </c>
      <c r="L2383" s="22">
        <v>2</v>
      </c>
    </row>
    <row r="2384" spans="1:12">
      <c r="A2384">
        <v>3</v>
      </c>
      <c r="B2384" s="16" t="s">
        <v>58</v>
      </c>
      <c r="C2384" s="9">
        <v>45839</v>
      </c>
      <c r="D2384">
        <v>26</v>
      </c>
      <c r="E2384" s="16" t="s">
        <v>115</v>
      </c>
      <c r="F2384" s="16" t="s">
        <v>90</v>
      </c>
      <c r="G2384" s="22">
        <v>2.5</v>
      </c>
      <c r="H2384" s="18">
        <v>15.975</v>
      </c>
      <c r="I2384" s="18">
        <v>6.39</v>
      </c>
      <c r="J2384" s="18">
        <v>6.4</v>
      </c>
      <c r="K2384" s="18">
        <v>6.38</v>
      </c>
      <c r="L2384" s="22">
        <v>2</v>
      </c>
    </row>
    <row r="2385" spans="1:12">
      <c r="A2385">
        <v>3</v>
      </c>
      <c r="B2385" s="16" t="s">
        <v>58</v>
      </c>
      <c r="C2385" s="9">
        <v>45870</v>
      </c>
      <c r="D2385">
        <v>26</v>
      </c>
      <c r="E2385" s="16" t="s">
        <v>115</v>
      </c>
      <c r="F2385" s="16" t="s">
        <v>90</v>
      </c>
      <c r="G2385" s="22">
        <v>2.5</v>
      </c>
      <c r="H2385" s="18">
        <v>16.2</v>
      </c>
      <c r="I2385" s="18">
        <v>6.48</v>
      </c>
      <c r="J2385" s="18">
        <v>6.54</v>
      </c>
      <c r="K2385" s="18">
        <v>6.42</v>
      </c>
      <c r="L2385" s="22">
        <v>2</v>
      </c>
    </row>
    <row r="2386" spans="1:12">
      <c r="A2386">
        <v>3</v>
      </c>
      <c r="B2386" s="16" t="s">
        <v>58</v>
      </c>
      <c r="C2386" s="9">
        <v>45901</v>
      </c>
      <c r="D2386">
        <v>26</v>
      </c>
      <c r="E2386" s="16" t="s">
        <v>115</v>
      </c>
      <c r="F2386" s="16" t="s">
        <v>90</v>
      </c>
      <c r="G2386" s="22">
        <v>2.5</v>
      </c>
      <c r="H2386" s="18">
        <v>16.3125</v>
      </c>
      <c r="I2386" s="18">
        <v>6.5250000000000004</v>
      </c>
      <c r="J2386" s="18">
        <v>6.58</v>
      </c>
      <c r="K2386" s="18">
        <v>6.47</v>
      </c>
      <c r="L2386" s="22">
        <v>2</v>
      </c>
    </row>
    <row r="2387" spans="1:12">
      <c r="A2387">
        <v>3</v>
      </c>
      <c r="B2387" s="16" t="s">
        <v>58</v>
      </c>
      <c r="C2387" s="9">
        <v>45931</v>
      </c>
      <c r="D2387">
        <v>26</v>
      </c>
      <c r="E2387" s="16" t="s">
        <v>115</v>
      </c>
      <c r="F2387" s="16" t="s">
        <v>90</v>
      </c>
      <c r="G2387" s="22">
        <v>3.75</v>
      </c>
      <c r="H2387" s="18">
        <v>24.512499999999999</v>
      </c>
      <c r="I2387" s="18">
        <v>6.5366666670000004</v>
      </c>
      <c r="J2387" s="18">
        <v>6.6</v>
      </c>
      <c r="K2387" s="18">
        <v>6.47</v>
      </c>
      <c r="L2387" s="22">
        <v>3</v>
      </c>
    </row>
    <row r="2388" spans="1:12">
      <c r="A2388">
        <v>3</v>
      </c>
      <c r="B2388" s="16" t="s">
        <v>58</v>
      </c>
      <c r="C2388" s="9">
        <v>45962</v>
      </c>
      <c r="D2388">
        <v>26</v>
      </c>
      <c r="E2388" s="16" t="s">
        <v>115</v>
      </c>
      <c r="F2388" s="16" t="s">
        <v>90</v>
      </c>
      <c r="G2388" s="22">
        <v>2.5</v>
      </c>
      <c r="H2388" s="18">
        <v>16.3</v>
      </c>
      <c r="I2388" s="18">
        <v>6.52</v>
      </c>
      <c r="J2388" s="18">
        <v>6.62</v>
      </c>
      <c r="K2388" s="18">
        <v>6.42</v>
      </c>
      <c r="L2388" s="22">
        <v>2</v>
      </c>
    </row>
    <row r="2389" spans="1:12">
      <c r="A2389">
        <v>3</v>
      </c>
      <c r="B2389" s="16" t="s">
        <v>58</v>
      </c>
      <c r="C2389" s="9">
        <v>45992</v>
      </c>
      <c r="D2389">
        <v>26</v>
      </c>
      <c r="E2389" s="16" t="s">
        <v>115</v>
      </c>
      <c r="F2389" s="16" t="s">
        <v>90</v>
      </c>
      <c r="G2389" s="22">
        <v>2.5</v>
      </c>
      <c r="H2389" s="18">
        <v>16.487500000000001</v>
      </c>
      <c r="I2389" s="18">
        <v>6.5949999999999998</v>
      </c>
      <c r="J2389" s="18">
        <v>6.63</v>
      </c>
      <c r="K2389" s="18">
        <v>6.56</v>
      </c>
      <c r="L2389" s="22">
        <v>2</v>
      </c>
    </row>
    <row r="2390" spans="1:12">
      <c r="A2390">
        <v>3</v>
      </c>
      <c r="B2390" s="16" t="s">
        <v>58</v>
      </c>
      <c r="C2390" s="9">
        <v>46023</v>
      </c>
      <c r="D2390">
        <v>26</v>
      </c>
      <c r="E2390" s="16" t="s">
        <v>115</v>
      </c>
      <c r="F2390" s="16" t="s">
        <v>90</v>
      </c>
      <c r="G2390" s="22">
        <v>3.75</v>
      </c>
      <c r="H2390" s="18">
        <v>24.475000000000001</v>
      </c>
      <c r="I2390" s="18">
        <v>6.5266666669999998</v>
      </c>
      <c r="J2390" s="18">
        <v>6.62</v>
      </c>
      <c r="K2390" s="18">
        <v>6.48</v>
      </c>
      <c r="L2390" s="22">
        <v>2</v>
      </c>
    </row>
    <row r="2391" spans="1:12">
      <c r="A2391">
        <v>3</v>
      </c>
      <c r="B2391" s="16" t="s">
        <v>58</v>
      </c>
      <c r="C2391" s="9">
        <v>46054</v>
      </c>
      <c r="D2391">
        <v>26</v>
      </c>
      <c r="E2391" s="16" t="s">
        <v>115</v>
      </c>
      <c r="F2391" s="16" t="s">
        <v>90</v>
      </c>
      <c r="G2391" s="22">
        <v>2.5</v>
      </c>
      <c r="H2391" s="18">
        <v>16.4375</v>
      </c>
      <c r="I2391" s="18">
        <v>6.5750000000000002</v>
      </c>
      <c r="J2391" s="18">
        <v>6.58</v>
      </c>
      <c r="K2391" s="18">
        <v>6.57</v>
      </c>
      <c r="L2391" s="22">
        <v>2</v>
      </c>
    </row>
    <row r="2392" spans="1:12">
      <c r="A2392">
        <v>3</v>
      </c>
      <c r="B2392" s="16" t="s">
        <v>58</v>
      </c>
      <c r="C2392" s="9">
        <v>46082</v>
      </c>
      <c r="D2392">
        <v>26</v>
      </c>
      <c r="E2392" s="16" t="s">
        <v>115</v>
      </c>
      <c r="F2392" s="16" t="s">
        <v>90</v>
      </c>
      <c r="G2392" s="22">
        <v>2.5</v>
      </c>
      <c r="H2392" s="18">
        <v>16.425000000000001</v>
      </c>
      <c r="I2392" s="18">
        <v>6.57</v>
      </c>
      <c r="J2392" s="18">
        <v>6.58</v>
      </c>
      <c r="K2392" s="18">
        <v>6.56</v>
      </c>
      <c r="L2392" s="22">
        <v>2</v>
      </c>
    </row>
    <row r="2393" spans="1:12">
      <c r="A2393">
        <v>3</v>
      </c>
      <c r="B2393" s="16" t="s">
        <v>58</v>
      </c>
      <c r="C2393" s="9">
        <v>46113</v>
      </c>
      <c r="D2393">
        <v>26</v>
      </c>
      <c r="E2393" s="16" t="s">
        <v>115</v>
      </c>
      <c r="F2393" s="16" t="s">
        <v>90</v>
      </c>
      <c r="G2393" s="22">
        <v>3.75</v>
      </c>
      <c r="H2393" s="18">
        <v>24.337499999999999</v>
      </c>
      <c r="I2393" s="18">
        <v>6.49</v>
      </c>
      <c r="J2393" s="18">
        <v>6.59</v>
      </c>
      <c r="K2393" s="18">
        <v>6.42</v>
      </c>
      <c r="L2393" s="22">
        <v>3</v>
      </c>
    </row>
    <row r="2394" spans="1:12">
      <c r="A2394">
        <v>3</v>
      </c>
      <c r="B2394" s="16" t="s">
        <v>58</v>
      </c>
      <c r="C2394" s="9">
        <v>46143</v>
      </c>
      <c r="D2394">
        <v>26</v>
      </c>
      <c r="E2394" s="16" t="s">
        <v>115</v>
      </c>
      <c r="F2394" s="16" t="s">
        <v>90</v>
      </c>
      <c r="G2394" s="22">
        <v>1.25</v>
      </c>
      <c r="H2394" s="18">
        <v>8.1624999999999996</v>
      </c>
      <c r="I2394" s="18">
        <v>6.53</v>
      </c>
      <c r="J2394" s="18">
        <v>6.53</v>
      </c>
      <c r="K2394" s="18">
        <v>6.53</v>
      </c>
      <c r="L2394" s="22">
        <v>1</v>
      </c>
    </row>
    <row r="2395" spans="1:12">
      <c r="A2395">
        <v>3</v>
      </c>
      <c r="B2395" s="16" t="s">
        <v>58</v>
      </c>
      <c r="C2395" s="9">
        <v>46174</v>
      </c>
      <c r="D2395">
        <v>26</v>
      </c>
      <c r="E2395" s="16" t="s">
        <v>115</v>
      </c>
      <c r="F2395" s="16" t="s">
        <v>90</v>
      </c>
      <c r="G2395" s="22">
        <v>2.5</v>
      </c>
      <c r="H2395" s="18">
        <v>16.425000000000001</v>
      </c>
      <c r="I2395" s="18">
        <v>6.57</v>
      </c>
      <c r="J2395" s="18">
        <v>6.63</v>
      </c>
      <c r="K2395" s="18">
        <v>6.51</v>
      </c>
      <c r="L2395" s="22">
        <v>2</v>
      </c>
    </row>
    <row r="2396" spans="1:12">
      <c r="A2396">
        <v>3</v>
      </c>
      <c r="B2396" s="16" t="s">
        <v>58</v>
      </c>
      <c r="C2396" s="9">
        <v>46204</v>
      </c>
      <c r="D2396">
        <v>26</v>
      </c>
      <c r="E2396" s="16" t="s">
        <v>115</v>
      </c>
      <c r="F2396" s="16" t="s">
        <v>90</v>
      </c>
      <c r="G2396" s="22">
        <v>2.5</v>
      </c>
      <c r="H2396" s="18">
        <v>16.412500000000001</v>
      </c>
      <c r="I2396" s="18">
        <v>6.5650000000000004</v>
      </c>
      <c r="J2396" s="18">
        <v>6.58</v>
      </c>
      <c r="K2396" s="18">
        <v>6.55</v>
      </c>
      <c r="L2396" s="22">
        <v>2</v>
      </c>
    </row>
    <row r="2397" spans="1:12">
      <c r="A2397">
        <v>3</v>
      </c>
      <c r="B2397" s="16" t="s">
        <v>58</v>
      </c>
      <c r="C2397" s="9">
        <v>46235</v>
      </c>
      <c r="D2397">
        <v>26</v>
      </c>
      <c r="E2397" s="16" t="s">
        <v>115</v>
      </c>
      <c r="F2397" s="16" t="s">
        <v>90</v>
      </c>
      <c r="G2397" s="22">
        <v>2.5</v>
      </c>
      <c r="H2397" s="18">
        <v>16.2</v>
      </c>
      <c r="I2397" s="18">
        <v>6.48</v>
      </c>
      <c r="J2397" s="18">
        <v>6.55</v>
      </c>
      <c r="K2397" s="18">
        <v>6.41</v>
      </c>
      <c r="L2397" s="22">
        <v>2</v>
      </c>
    </row>
    <row r="2398" spans="1:12">
      <c r="A2398">
        <v>3</v>
      </c>
      <c r="B2398" s="16" t="s">
        <v>58</v>
      </c>
      <c r="C2398" s="9">
        <v>46266</v>
      </c>
      <c r="D2398">
        <v>26</v>
      </c>
      <c r="E2398" s="16" t="s">
        <v>115</v>
      </c>
      <c r="F2398" s="16" t="s">
        <v>90</v>
      </c>
      <c r="G2398" s="22">
        <v>2.5</v>
      </c>
      <c r="H2398" s="18">
        <v>16.2</v>
      </c>
      <c r="I2398" s="18">
        <v>6.48</v>
      </c>
      <c r="J2398" s="18">
        <v>6.49</v>
      </c>
      <c r="K2398" s="18">
        <v>6.47</v>
      </c>
      <c r="L2398" s="22">
        <v>2</v>
      </c>
    </row>
    <row r="2399" spans="1:12">
      <c r="A2399">
        <v>3</v>
      </c>
      <c r="B2399" s="16" t="s">
        <v>58</v>
      </c>
      <c r="C2399" s="9">
        <v>45689</v>
      </c>
      <c r="D2399">
        <v>27</v>
      </c>
      <c r="E2399" s="16" t="s">
        <v>116</v>
      </c>
      <c r="F2399" s="16" t="s">
        <v>90</v>
      </c>
      <c r="G2399" s="22">
        <v>12.5</v>
      </c>
      <c r="H2399" s="18">
        <v>10.5</v>
      </c>
      <c r="I2399" s="18">
        <v>0.84</v>
      </c>
      <c r="J2399" s="18">
        <v>0.84</v>
      </c>
      <c r="K2399" s="18">
        <v>0.84</v>
      </c>
      <c r="L2399" s="22">
        <v>1</v>
      </c>
    </row>
    <row r="2400" spans="1:12">
      <c r="A2400">
        <v>3</v>
      </c>
      <c r="B2400" s="16" t="s">
        <v>58</v>
      </c>
      <c r="C2400" s="9">
        <v>45717</v>
      </c>
      <c r="D2400">
        <v>27</v>
      </c>
      <c r="E2400" s="16" t="s">
        <v>116</v>
      </c>
      <c r="F2400" s="16" t="s">
        <v>90</v>
      </c>
      <c r="G2400" s="22">
        <v>12.5</v>
      </c>
      <c r="H2400" s="18">
        <v>10.5</v>
      </c>
      <c r="I2400" s="18">
        <v>0.84</v>
      </c>
      <c r="J2400" s="18">
        <v>0.84</v>
      </c>
      <c r="K2400" s="18">
        <v>0.84</v>
      </c>
      <c r="L2400" s="22">
        <v>1</v>
      </c>
    </row>
    <row r="2401" spans="1:12">
      <c r="A2401">
        <v>3</v>
      </c>
      <c r="B2401" s="16" t="s">
        <v>58</v>
      </c>
      <c r="C2401" s="9">
        <v>45748</v>
      </c>
      <c r="D2401">
        <v>27</v>
      </c>
      <c r="E2401" s="16" t="s">
        <v>116</v>
      </c>
      <c r="F2401" s="16" t="s">
        <v>90</v>
      </c>
      <c r="G2401" s="22">
        <v>25</v>
      </c>
      <c r="H2401" s="18">
        <v>21.5</v>
      </c>
      <c r="I2401" s="18">
        <v>0.86</v>
      </c>
      <c r="J2401" s="18">
        <v>0.9</v>
      </c>
      <c r="K2401" s="18">
        <v>0.82</v>
      </c>
      <c r="L2401" s="22">
        <v>2</v>
      </c>
    </row>
    <row r="2402" spans="1:12">
      <c r="A2402">
        <v>3</v>
      </c>
      <c r="B2402" s="16" t="s">
        <v>58</v>
      </c>
      <c r="C2402" s="9">
        <v>45778</v>
      </c>
      <c r="D2402">
        <v>27</v>
      </c>
      <c r="E2402" s="16" t="s">
        <v>116</v>
      </c>
      <c r="F2402" s="16" t="s">
        <v>90</v>
      </c>
      <c r="G2402" s="22">
        <v>12.5</v>
      </c>
      <c r="H2402" s="18">
        <v>10.375</v>
      </c>
      <c r="I2402" s="18">
        <v>0.83</v>
      </c>
      <c r="J2402" s="18">
        <v>0.83</v>
      </c>
      <c r="K2402" s="18">
        <v>0.83</v>
      </c>
      <c r="L2402" s="22">
        <v>1</v>
      </c>
    </row>
    <row r="2403" spans="1:12">
      <c r="A2403">
        <v>3</v>
      </c>
      <c r="B2403" s="16" t="s">
        <v>58</v>
      </c>
      <c r="C2403" s="9">
        <v>45809</v>
      </c>
      <c r="D2403">
        <v>27</v>
      </c>
      <c r="E2403" s="16" t="s">
        <v>116</v>
      </c>
      <c r="F2403" s="16" t="s">
        <v>90</v>
      </c>
      <c r="G2403" s="22">
        <v>12.5</v>
      </c>
      <c r="H2403" s="18">
        <v>10.875</v>
      </c>
      <c r="I2403" s="18">
        <v>0.87</v>
      </c>
      <c r="J2403" s="18">
        <v>0.87</v>
      </c>
      <c r="K2403" s="18">
        <v>0.87</v>
      </c>
      <c r="L2403" s="22">
        <v>1</v>
      </c>
    </row>
    <row r="2404" spans="1:12">
      <c r="A2404">
        <v>3</v>
      </c>
      <c r="B2404" s="16" t="s">
        <v>58</v>
      </c>
      <c r="C2404" s="9">
        <v>45839</v>
      </c>
      <c r="D2404">
        <v>27</v>
      </c>
      <c r="E2404" s="16" t="s">
        <v>116</v>
      </c>
      <c r="F2404" s="16" t="s">
        <v>90</v>
      </c>
      <c r="G2404" s="22">
        <v>12.5</v>
      </c>
      <c r="H2404" s="18">
        <v>10.375</v>
      </c>
      <c r="I2404" s="18">
        <v>0.83</v>
      </c>
      <c r="J2404" s="18">
        <v>0.83</v>
      </c>
      <c r="K2404" s="18">
        <v>0.83</v>
      </c>
      <c r="L2404" s="22">
        <v>1</v>
      </c>
    </row>
    <row r="2405" spans="1:12">
      <c r="A2405">
        <v>3</v>
      </c>
      <c r="B2405" s="16" t="s">
        <v>58</v>
      </c>
      <c r="C2405" s="9">
        <v>45870</v>
      </c>
      <c r="D2405">
        <v>27</v>
      </c>
      <c r="E2405" s="16" t="s">
        <v>116</v>
      </c>
      <c r="F2405" s="16" t="s">
        <v>90</v>
      </c>
      <c r="G2405" s="22">
        <v>12.5</v>
      </c>
      <c r="H2405" s="18">
        <v>10.625</v>
      </c>
      <c r="I2405" s="18">
        <v>0.85</v>
      </c>
      <c r="J2405" s="18">
        <v>0.85</v>
      </c>
      <c r="K2405" s="18">
        <v>0.85</v>
      </c>
      <c r="L2405" s="22">
        <v>1</v>
      </c>
    </row>
    <row r="2406" spans="1:12">
      <c r="A2406">
        <v>3</v>
      </c>
      <c r="B2406" s="16" t="s">
        <v>58</v>
      </c>
      <c r="C2406" s="9">
        <v>45901</v>
      </c>
      <c r="D2406">
        <v>27</v>
      </c>
      <c r="E2406" s="16" t="s">
        <v>116</v>
      </c>
      <c r="F2406" s="16" t="s">
        <v>90</v>
      </c>
      <c r="G2406" s="22">
        <v>12.5</v>
      </c>
      <c r="H2406" s="18">
        <v>10</v>
      </c>
      <c r="I2406" s="18">
        <v>0.8</v>
      </c>
      <c r="J2406" s="18">
        <v>0.8</v>
      </c>
      <c r="K2406" s="18">
        <v>0.8</v>
      </c>
      <c r="L2406" s="22">
        <v>1</v>
      </c>
    </row>
    <row r="2407" spans="1:12">
      <c r="A2407">
        <v>3</v>
      </c>
      <c r="B2407" s="16" t="s">
        <v>58</v>
      </c>
      <c r="C2407" s="9">
        <v>45931</v>
      </c>
      <c r="D2407">
        <v>27</v>
      </c>
      <c r="E2407" s="16" t="s">
        <v>116</v>
      </c>
      <c r="F2407" s="16" t="s">
        <v>90</v>
      </c>
      <c r="G2407" s="22">
        <v>25</v>
      </c>
      <c r="H2407" s="18">
        <v>20.75</v>
      </c>
      <c r="I2407" s="18">
        <v>0.83</v>
      </c>
      <c r="J2407" s="18">
        <v>0.84</v>
      </c>
      <c r="K2407" s="18">
        <v>0.82</v>
      </c>
      <c r="L2407" s="22">
        <v>2</v>
      </c>
    </row>
    <row r="2408" spans="1:12">
      <c r="A2408">
        <v>3</v>
      </c>
      <c r="B2408" s="16" t="s">
        <v>58</v>
      </c>
      <c r="C2408" s="9">
        <v>45962</v>
      </c>
      <c r="D2408">
        <v>27</v>
      </c>
      <c r="E2408" s="16" t="s">
        <v>116</v>
      </c>
      <c r="F2408" s="16" t="s">
        <v>90</v>
      </c>
      <c r="G2408" s="22">
        <v>12.5</v>
      </c>
      <c r="H2408" s="18">
        <v>10</v>
      </c>
      <c r="I2408" s="18">
        <v>0.8</v>
      </c>
      <c r="J2408" s="18">
        <v>0.8</v>
      </c>
      <c r="K2408" s="18">
        <v>0.8</v>
      </c>
      <c r="L2408" s="22">
        <v>1</v>
      </c>
    </row>
    <row r="2409" spans="1:12">
      <c r="A2409">
        <v>3</v>
      </c>
      <c r="B2409" s="16" t="s">
        <v>58</v>
      </c>
      <c r="C2409" s="9">
        <v>45992</v>
      </c>
      <c r="D2409">
        <v>27</v>
      </c>
      <c r="E2409" s="16" t="s">
        <v>116</v>
      </c>
      <c r="F2409" s="16" t="s">
        <v>90</v>
      </c>
      <c r="G2409" s="22">
        <v>12.5</v>
      </c>
      <c r="H2409" s="18">
        <v>10.375</v>
      </c>
      <c r="I2409" s="18">
        <v>0.83</v>
      </c>
      <c r="J2409" s="18">
        <v>0.83</v>
      </c>
      <c r="K2409" s="18">
        <v>0.83</v>
      </c>
      <c r="L2409" s="22">
        <v>1</v>
      </c>
    </row>
    <row r="2410" spans="1:12">
      <c r="A2410">
        <v>3</v>
      </c>
      <c r="B2410" s="16" t="s">
        <v>58</v>
      </c>
      <c r="C2410" s="9">
        <v>46023</v>
      </c>
      <c r="D2410">
        <v>27</v>
      </c>
      <c r="E2410" s="16" t="s">
        <v>116</v>
      </c>
      <c r="F2410" s="16" t="s">
        <v>90</v>
      </c>
      <c r="G2410" s="22">
        <v>12.5</v>
      </c>
      <c r="H2410" s="18">
        <v>10.375</v>
      </c>
      <c r="I2410" s="18">
        <v>0.83</v>
      </c>
      <c r="J2410" s="18">
        <v>0.83</v>
      </c>
      <c r="K2410" s="18">
        <v>0.83</v>
      </c>
      <c r="L2410" s="22">
        <v>1</v>
      </c>
    </row>
    <row r="2411" spans="1:12">
      <c r="A2411">
        <v>3</v>
      </c>
      <c r="B2411" s="16" t="s">
        <v>58</v>
      </c>
      <c r="C2411" s="9">
        <v>46054</v>
      </c>
      <c r="D2411">
        <v>27</v>
      </c>
      <c r="E2411" s="16" t="s">
        <v>116</v>
      </c>
      <c r="F2411" s="16" t="s">
        <v>90</v>
      </c>
      <c r="G2411" s="22">
        <v>12.5</v>
      </c>
      <c r="H2411" s="18">
        <v>10.375</v>
      </c>
      <c r="I2411" s="18">
        <v>0.83</v>
      </c>
      <c r="J2411" s="18">
        <v>0.83</v>
      </c>
      <c r="K2411" s="18">
        <v>0.83</v>
      </c>
      <c r="L2411" s="22">
        <v>1</v>
      </c>
    </row>
    <row r="2412" spans="1:12">
      <c r="A2412">
        <v>3</v>
      </c>
      <c r="B2412" s="16" t="s">
        <v>58</v>
      </c>
      <c r="C2412" s="9">
        <v>46082</v>
      </c>
      <c r="D2412">
        <v>27</v>
      </c>
      <c r="E2412" s="16" t="s">
        <v>116</v>
      </c>
      <c r="F2412" s="16" t="s">
        <v>90</v>
      </c>
      <c r="G2412" s="22">
        <v>12.5</v>
      </c>
      <c r="H2412" s="18">
        <v>10.25</v>
      </c>
      <c r="I2412" s="18">
        <v>0.82</v>
      </c>
      <c r="J2412" s="18">
        <v>0.82</v>
      </c>
      <c r="K2412" s="18">
        <v>0.82</v>
      </c>
      <c r="L2412" s="22">
        <v>1</v>
      </c>
    </row>
    <row r="2413" spans="1:12">
      <c r="A2413">
        <v>3</v>
      </c>
      <c r="B2413" s="16" t="s">
        <v>58</v>
      </c>
      <c r="C2413" s="9">
        <v>46113</v>
      </c>
      <c r="D2413">
        <v>27</v>
      </c>
      <c r="E2413" s="16" t="s">
        <v>116</v>
      </c>
      <c r="F2413" s="16" t="s">
        <v>90</v>
      </c>
      <c r="G2413" s="22">
        <v>12.5</v>
      </c>
      <c r="H2413" s="18">
        <v>10.125</v>
      </c>
      <c r="I2413" s="18">
        <v>0.81</v>
      </c>
      <c r="J2413" s="18">
        <v>0.81</v>
      </c>
      <c r="K2413" s="18">
        <v>0.81</v>
      </c>
      <c r="L2413" s="22">
        <v>1</v>
      </c>
    </row>
    <row r="2414" spans="1:12">
      <c r="A2414">
        <v>3</v>
      </c>
      <c r="B2414" s="16" t="s">
        <v>58</v>
      </c>
      <c r="C2414" s="9">
        <v>46143</v>
      </c>
      <c r="D2414">
        <v>27</v>
      </c>
      <c r="E2414" s="16" t="s">
        <v>116</v>
      </c>
      <c r="F2414" s="16" t="s">
        <v>90</v>
      </c>
      <c r="G2414" s="22">
        <v>12.5</v>
      </c>
      <c r="H2414" s="18">
        <v>10.125</v>
      </c>
      <c r="I2414" s="18">
        <v>0.81</v>
      </c>
      <c r="J2414" s="18">
        <v>0.81</v>
      </c>
      <c r="K2414" s="18">
        <v>0.81</v>
      </c>
      <c r="L2414" s="22">
        <v>1</v>
      </c>
    </row>
    <row r="2415" spans="1:12">
      <c r="A2415">
        <v>3</v>
      </c>
      <c r="B2415" s="16" t="s">
        <v>58</v>
      </c>
      <c r="C2415" s="9">
        <v>46174</v>
      </c>
      <c r="D2415">
        <v>27</v>
      </c>
      <c r="E2415" s="16" t="s">
        <v>116</v>
      </c>
      <c r="F2415" s="16" t="s">
        <v>90</v>
      </c>
      <c r="G2415" s="22">
        <v>25</v>
      </c>
      <c r="H2415" s="18">
        <v>20.375</v>
      </c>
      <c r="I2415" s="18">
        <v>0.81499999999999995</v>
      </c>
      <c r="J2415" s="18">
        <v>0.82</v>
      </c>
      <c r="K2415" s="18">
        <v>0.81</v>
      </c>
      <c r="L2415" s="22">
        <v>2</v>
      </c>
    </row>
    <row r="2416" spans="1:12">
      <c r="A2416">
        <v>3</v>
      </c>
      <c r="B2416" s="16" t="s">
        <v>58</v>
      </c>
      <c r="C2416" s="9">
        <v>46204</v>
      </c>
      <c r="D2416">
        <v>27</v>
      </c>
      <c r="E2416" s="16" t="s">
        <v>116</v>
      </c>
      <c r="F2416" s="16" t="s">
        <v>90</v>
      </c>
      <c r="G2416" s="22">
        <v>12.5</v>
      </c>
      <c r="H2416" s="18">
        <v>10</v>
      </c>
      <c r="I2416" s="18">
        <v>0.8</v>
      </c>
      <c r="J2416" s="18">
        <v>0.8</v>
      </c>
      <c r="K2416" s="18">
        <v>0.8</v>
      </c>
      <c r="L2416" s="22">
        <v>1</v>
      </c>
    </row>
    <row r="2417" spans="1:12">
      <c r="A2417">
        <v>3</v>
      </c>
      <c r="B2417" s="16" t="s">
        <v>58</v>
      </c>
      <c r="C2417" s="9">
        <v>46235</v>
      </c>
      <c r="D2417">
        <v>27</v>
      </c>
      <c r="E2417" s="16" t="s">
        <v>116</v>
      </c>
      <c r="F2417" s="16" t="s">
        <v>90</v>
      </c>
      <c r="G2417" s="22">
        <v>12.5</v>
      </c>
      <c r="H2417" s="18">
        <v>10</v>
      </c>
      <c r="I2417" s="18">
        <v>0.8</v>
      </c>
      <c r="J2417" s="18">
        <v>0.8</v>
      </c>
      <c r="K2417" s="18">
        <v>0.8</v>
      </c>
      <c r="L2417" s="22">
        <v>1</v>
      </c>
    </row>
    <row r="2418" spans="1:12">
      <c r="A2418">
        <v>3</v>
      </c>
      <c r="B2418" s="16" t="s">
        <v>58</v>
      </c>
      <c r="C2418" s="9">
        <v>46266</v>
      </c>
      <c r="D2418">
        <v>27</v>
      </c>
      <c r="E2418" s="16" t="s">
        <v>116</v>
      </c>
      <c r="F2418" s="16" t="s">
        <v>90</v>
      </c>
      <c r="G2418" s="22">
        <v>12.5</v>
      </c>
      <c r="H2418" s="18">
        <v>10.375</v>
      </c>
      <c r="I2418" s="18">
        <v>0.83</v>
      </c>
      <c r="J2418" s="18">
        <v>0.83</v>
      </c>
      <c r="K2418" s="18">
        <v>0.83</v>
      </c>
      <c r="L2418" s="22">
        <v>1</v>
      </c>
    </row>
    <row r="2419" spans="1:12">
      <c r="A2419">
        <v>3</v>
      </c>
      <c r="B2419" s="16" t="s">
        <v>58</v>
      </c>
      <c r="C2419" s="9">
        <v>45689</v>
      </c>
      <c r="D2419">
        <v>28</v>
      </c>
      <c r="E2419" s="16" t="s">
        <v>117</v>
      </c>
      <c r="F2419" s="16" t="s">
        <v>92</v>
      </c>
      <c r="G2419" s="22">
        <v>17.5</v>
      </c>
      <c r="H2419" s="18">
        <v>22.805</v>
      </c>
      <c r="I2419" s="18">
        <v>1.3031428570000001</v>
      </c>
      <c r="J2419" s="18">
        <v>1.33</v>
      </c>
      <c r="K2419" s="18">
        <v>1.27</v>
      </c>
      <c r="L2419" s="22">
        <v>8</v>
      </c>
    </row>
    <row r="2420" spans="1:12">
      <c r="A2420">
        <v>3</v>
      </c>
      <c r="B2420" s="16" t="s">
        <v>58</v>
      </c>
      <c r="C2420" s="9">
        <v>45717</v>
      </c>
      <c r="D2420">
        <v>28</v>
      </c>
      <c r="E2420" s="16" t="s">
        <v>117</v>
      </c>
      <c r="F2420" s="16" t="s">
        <v>92</v>
      </c>
      <c r="G2420" s="22">
        <v>19</v>
      </c>
      <c r="H2420" s="18">
        <v>24.21</v>
      </c>
      <c r="I2420" s="18">
        <v>1.2742105260000001</v>
      </c>
      <c r="J2420" s="18">
        <v>1.29</v>
      </c>
      <c r="K2420" s="18">
        <v>1.26</v>
      </c>
      <c r="L2420" s="22">
        <v>9</v>
      </c>
    </row>
    <row r="2421" spans="1:12">
      <c r="A2421">
        <v>3</v>
      </c>
      <c r="B2421" s="16" t="s">
        <v>58</v>
      </c>
      <c r="C2421" s="9">
        <v>45748</v>
      </c>
      <c r="D2421">
        <v>28</v>
      </c>
      <c r="E2421" s="16" t="s">
        <v>117</v>
      </c>
      <c r="F2421" s="16" t="s">
        <v>92</v>
      </c>
      <c r="G2421" s="22">
        <v>22.5</v>
      </c>
      <c r="H2421" s="18">
        <v>26.9</v>
      </c>
      <c r="I2421" s="18">
        <v>1.195555556</v>
      </c>
      <c r="J2421" s="18">
        <v>1.25</v>
      </c>
      <c r="K2421" s="18">
        <v>1.1599999999999999</v>
      </c>
      <c r="L2421" s="22">
        <v>8</v>
      </c>
    </row>
    <row r="2422" spans="1:12">
      <c r="A2422">
        <v>3</v>
      </c>
      <c r="B2422" s="16" t="s">
        <v>58</v>
      </c>
      <c r="C2422" s="9">
        <v>45778</v>
      </c>
      <c r="D2422">
        <v>28</v>
      </c>
      <c r="E2422" s="16" t="s">
        <v>117</v>
      </c>
      <c r="F2422" s="16" t="s">
        <v>92</v>
      </c>
      <c r="G2422" s="22">
        <v>21</v>
      </c>
      <c r="H2422" s="18">
        <v>24.114999999999998</v>
      </c>
      <c r="I2422" s="18">
        <v>1.1483333330000001</v>
      </c>
      <c r="J2422" s="18">
        <v>1.17</v>
      </c>
      <c r="K2422" s="18">
        <v>1.1299999999999999</v>
      </c>
      <c r="L2422" s="22">
        <v>9</v>
      </c>
    </row>
    <row r="2423" spans="1:12">
      <c r="A2423">
        <v>3</v>
      </c>
      <c r="B2423" s="16" t="s">
        <v>58</v>
      </c>
      <c r="C2423" s="9">
        <v>45809</v>
      </c>
      <c r="D2423">
        <v>28</v>
      </c>
      <c r="E2423" s="16" t="s">
        <v>117</v>
      </c>
      <c r="F2423" s="16" t="s">
        <v>92</v>
      </c>
      <c r="G2423" s="22">
        <v>17</v>
      </c>
      <c r="H2423" s="18">
        <v>19</v>
      </c>
      <c r="I2423" s="18">
        <v>1.1176470590000001</v>
      </c>
      <c r="J2423" s="18">
        <v>1.1399999999999999</v>
      </c>
      <c r="K2423" s="18">
        <v>1.1100000000000001</v>
      </c>
      <c r="L2423" s="22">
        <v>9</v>
      </c>
    </row>
    <row r="2424" spans="1:12">
      <c r="A2424">
        <v>3</v>
      </c>
      <c r="B2424" s="16" t="s">
        <v>58</v>
      </c>
      <c r="C2424" s="9">
        <v>45839</v>
      </c>
      <c r="D2424">
        <v>28</v>
      </c>
      <c r="E2424" s="16" t="s">
        <v>117</v>
      </c>
      <c r="F2424" s="16" t="s">
        <v>92</v>
      </c>
      <c r="G2424" s="22">
        <v>19</v>
      </c>
      <c r="H2424" s="18">
        <v>21.24</v>
      </c>
      <c r="I2424" s="18">
        <v>1.1178947370000001</v>
      </c>
      <c r="J2424" s="18">
        <v>1.1399999999999999</v>
      </c>
      <c r="K2424" s="18">
        <v>1.08</v>
      </c>
      <c r="L2424" s="22">
        <v>9</v>
      </c>
    </row>
    <row r="2425" spans="1:12">
      <c r="A2425">
        <v>3</v>
      </c>
      <c r="B2425" s="16" t="s">
        <v>58</v>
      </c>
      <c r="C2425" s="9">
        <v>45870</v>
      </c>
      <c r="D2425">
        <v>28</v>
      </c>
      <c r="E2425" s="16" t="s">
        <v>117</v>
      </c>
      <c r="F2425" s="16" t="s">
        <v>92</v>
      </c>
      <c r="G2425" s="22">
        <v>17.5</v>
      </c>
      <c r="H2425" s="18">
        <v>20.125</v>
      </c>
      <c r="I2425" s="18">
        <v>1.1499999999999999</v>
      </c>
      <c r="J2425" s="18">
        <v>1.17</v>
      </c>
      <c r="K2425" s="18">
        <v>1.1299999999999999</v>
      </c>
      <c r="L2425" s="22">
        <v>8</v>
      </c>
    </row>
    <row r="2426" spans="1:12">
      <c r="A2426">
        <v>3</v>
      </c>
      <c r="B2426" s="16" t="s">
        <v>58</v>
      </c>
      <c r="C2426" s="9">
        <v>45901</v>
      </c>
      <c r="D2426">
        <v>28</v>
      </c>
      <c r="E2426" s="16" t="s">
        <v>117</v>
      </c>
      <c r="F2426" s="16" t="s">
        <v>92</v>
      </c>
      <c r="G2426" s="22">
        <v>19.5</v>
      </c>
      <c r="H2426" s="18">
        <v>23.145</v>
      </c>
      <c r="I2426" s="18">
        <v>1.1869230770000001</v>
      </c>
      <c r="J2426" s="18">
        <v>1.2</v>
      </c>
      <c r="K2426" s="18">
        <v>1.18</v>
      </c>
      <c r="L2426" s="22">
        <v>9</v>
      </c>
    </row>
    <row r="2427" spans="1:12">
      <c r="A2427">
        <v>3</v>
      </c>
      <c r="B2427" s="16" t="s">
        <v>58</v>
      </c>
      <c r="C2427" s="9">
        <v>45931</v>
      </c>
      <c r="D2427">
        <v>28</v>
      </c>
      <c r="E2427" s="16" t="s">
        <v>117</v>
      </c>
      <c r="F2427" s="16" t="s">
        <v>92</v>
      </c>
      <c r="G2427" s="22">
        <v>20.5</v>
      </c>
      <c r="H2427" s="18">
        <v>25.36</v>
      </c>
      <c r="I2427" s="18">
        <v>1.237073171</v>
      </c>
      <c r="J2427" s="18">
        <v>1.26</v>
      </c>
      <c r="K2427" s="18">
        <v>1.21</v>
      </c>
      <c r="L2427" s="22">
        <v>9</v>
      </c>
    </row>
    <row r="2428" spans="1:12">
      <c r="A2428">
        <v>3</v>
      </c>
      <c r="B2428" s="16" t="s">
        <v>58</v>
      </c>
      <c r="C2428" s="9">
        <v>45962</v>
      </c>
      <c r="D2428">
        <v>28</v>
      </c>
      <c r="E2428" s="16" t="s">
        <v>117</v>
      </c>
      <c r="F2428" s="16" t="s">
        <v>92</v>
      </c>
      <c r="G2428" s="22">
        <v>16</v>
      </c>
      <c r="H2428" s="18">
        <v>20.805</v>
      </c>
      <c r="I2428" s="18">
        <v>1.3003125</v>
      </c>
      <c r="J2428" s="18">
        <v>1.33</v>
      </c>
      <c r="K2428" s="18">
        <v>1.28</v>
      </c>
      <c r="L2428" s="22">
        <v>8</v>
      </c>
    </row>
    <row r="2429" spans="1:12">
      <c r="A2429">
        <v>3</v>
      </c>
      <c r="B2429" s="16" t="s">
        <v>58</v>
      </c>
      <c r="C2429" s="9">
        <v>45992</v>
      </c>
      <c r="D2429">
        <v>28</v>
      </c>
      <c r="E2429" s="16" t="s">
        <v>117</v>
      </c>
      <c r="F2429" s="16" t="s">
        <v>92</v>
      </c>
      <c r="G2429" s="22">
        <v>19.5</v>
      </c>
      <c r="H2429" s="18">
        <v>26.265000000000001</v>
      </c>
      <c r="I2429" s="18">
        <v>1.346923077</v>
      </c>
      <c r="J2429" s="18">
        <v>1.36</v>
      </c>
      <c r="K2429" s="18">
        <v>1.33</v>
      </c>
      <c r="L2429" s="22">
        <v>9</v>
      </c>
    </row>
    <row r="2430" spans="1:12">
      <c r="A2430">
        <v>3</v>
      </c>
      <c r="B2430" s="16" t="s">
        <v>58</v>
      </c>
      <c r="C2430" s="9">
        <v>46023</v>
      </c>
      <c r="D2430">
        <v>28</v>
      </c>
      <c r="E2430" s="16" t="s">
        <v>117</v>
      </c>
      <c r="F2430" s="16" t="s">
        <v>92</v>
      </c>
      <c r="G2430" s="22">
        <v>19</v>
      </c>
      <c r="H2430" s="18">
        <v>25.545000000000002</v>
      </c>
      <c r="I2430" s="18">
        <v>1.344473684</v>
      </c>
      <c r="J2430" s="18">
        <v>1.37</v>
      </c>
      <c r="K2430" s="18">
        <v>1.31</v>
      </c>
      <c r="L2430" s="22">
        <v>9</v>
      </c>
    </row>
    <row r="2431" spans="1:12">
      <c r="A2431">
        <v>3</v>
      </c>
      <c r="B2431" s="16" t="s">
        <v>58</v>
      </c>
      <c r="C2431" s="9">
        <v>46054</v>
      </c>
      <c r="D2431">
        <v>28</v>
      </c>
      <c r="E2431" s="16" t="s">
        <v>117</v>
      </c>
      <c r="F2431" s="16" t="s">
        <v>92</v>
      </c>
      <c r="G2431" s="22">
        <v>18.5</v>
      </c>
      <c r="H2431" s="18">
        <v>24.58</v>
      </c>
      <c r="I2431" s="18">
        <v>1.328648649</v>
      </c>
      <c r="J2431" s="18">
        <v>1.35</v>
      </c>
      <c r="K2431" s="18">
        <v>1.29</v>
      </c>
      <c r="L2431" s="22">
        <v>8</v>
      </c>
    </row>
    <row r="2432" spans="1:12">
      <c r="A2432">
        <v>3</v>
      </c>
      <c r="B2432" s="16" t="s">
        <v>58</v>
      </c>
      <c r="C2432" s="9">
        <v>46082</v>
      </c>
      <c r="D2432">
        <v>28</v>
      </c>
      <c r="E2432" s="16" t="s">
        <v>117</v>
      </c>
      <c r="F2432" s="16" t="s">
        <v>92</v>
      </c>
      <c r="G2432" s="22">
        <v>17.5</v>
      </c>
      <c r="H2432" s="18">
        <v>22.57</v>
      </c>
      <c r="I2432" s="18">
        <v>1.2897142859999999</v>
      </c>
      <c r="J2432" s="18">
        <v>1.31</v>
      </c>
      <c r="K2432" s="18">
        <v>1.27</v>
      </c>
      <c r="L2432" s="22">
        <v>9</v>
      </c>
    </row>
    <row r="2433" spans="1:12">
      <c r="A2433">
        <v>3</v>
      </c>
      <c r="B2433" s="16" t="s">
        <v>58</v>
      </c>
      <c r="C2433" s="9">
        <v>46113</v>
      </c>
      <c r="D2433">
        <v>28</v>
      </c>
      <c r="E2433" s="16" t="s">
        <v>117</v>
      </c>
      <c r="F2433" s="16" t="s">
        <v>92</v>
      </c>
      <c r="G2433" s="22">
        <v>21.5</v>
      </c>
      <c r="H2433" s="18">
        <v>26.875</v>
      </c>
      <c r="I2433" s="18">
        <v>1.25</v>
      </c>
      <c r="J2433" s="18">
        <v>1.27</v>
      </c>
      <c r="K2433" s="18">
        <v>1.23</v>
      </c>
      <c r="L2433" s="22">
        <v>9</v>
      </c>
    </row>
    <row r="2434" spans="1:12">
      <c r="A2434">
        <v>3</v>
      </c>
      <c r="B2434" s="16" t="s">
        <v>58</v>
      </c>
      <c r="C2434" s="9">
        <v>46143</v>
      </c>
      <c r="D2434">
        <v>28</v>
      </c>
      <c r="E2434" s="16" t="s">
        <v>117</v>
      </c>
      <c r="F2434" s="16" t="s">
        <v>92</v>
      </c>
      <c r="G2434" s="22">
        <v>16.5</v>
      </c>
      <c r="H2434" s="18">
        <v>19.844999999999999</v>
      </c>
      <c r="I2434" s="18">
        <v>1.202727273</v>
      </c>
      <c r="J2434" s="18">
        <v>1.21</v>
      </c>
      <c r="K2434" s="18">
        <v>1.18</v>
      </c>
      <c r="L2434" s="22">
        <v>8</v>
      </c>
    </row>
    <row r="2435" spans="1:12">
      <c r="A2435">
        <v>3</v>
      </c>
      <c r="B2435" s="16" t="s">
        <v>58</v>
      </c>
      <c r="C2435" s="9">
        <v>46174</v>
      </c>
      <c r="D2435">
        <v>28</v>
      </c>
      <c r="E2435" s="16" t="s">
        <v>117</v>
      </c>
      <c r="F2435" s="16" t="s">
        <v>92</v>
      </c>
      <c r="G2435" s="22">
        <v>19.5</v>
      </c>
      <c r="H2435" s="18">
        <v>22.975000000000001</v>
      </c>
      <c r="I2435" s="18">
        <v>1.1782051280000001</v>
      </c>
      <c r="J2435" s="18">
        <v>1.19</v>
      </c>
      <c r="K2435" s="18">
        <v>1.1599999999999999</v>
      </c>
      <c r="L2435" s="22">
        <v>9</v>
      </c>
    </row>
    <row r="2436" spans="1:12">
      <c r="A2436">
        <v>3</v>
      </c>
      <c r="B2436" s="16" t="s">
        <v>58</v>
      </c>
      <c r="C2436" s="9">
        <v>46204</v>
      </c>
      <c r="D2436">
        <v>28</v>
      </c>
      <c r="E2436" s="16" t="s">
        <v>117</v>
      </c>
      <c r="F2436" s="16" t="s">
        <v>92</v>
      </c>
      <c r="G2436" s="22">
        <v>19.5</v>
      </c>
      <c r="H2436" s="18">
        <v>22.55</v>
      </c>
      <c r="I2436" s="18">
        <v>1.156410256</v>
      </c>
      <c r="J2436" s="18">
        <v>1.18</v>
      </c>
      <c r="K2436" s="18">
        <v>1.1399999999999999</v>
      </c>
      <c r="L2436" s="22">
        <v>9</v>
      </c>
    </row>
    <row r="2437" spans="1:12">
      <c r="A2437">
        <v>3</v>
      </c>
      <c r="B2437" s="16" t="s">
        <v>58</v>
      </c>
      <c r="C2437" s="9">
        <v>46235</v>
      </c>
      <c r="D2437">
        <v>28</v>
      </c>
      <c r="E2437" s="16" t="s">
        <v>117</v>
      </c>
      <c r="F2437" s="16" t="s">
        <v>92</v>
      </c>
      <c r="G2437" s="22">
        <v>17.5</v>
      </c>
      <c r="H2437" s="18">
        <v>20.515000000000001</v>
      </c>
      <c r="I2437" s="18">
        <v>1.172285714</v>
      </c>
      <c r="J2437" s="18">
        <v>1.2</v>
      </c>
      <c r="K2437" s="18">
        <v>1.1499999999999999</v>
      </c>
      <c r="L2437" s="22">
        <v>9</v>
      </c>
    </row>
    <row r="2438" spans="1:12">
      <c r="A2438">
        <v>3</v>
      </c>
      <c r="B2438" s="16" t="s">
        <v>58</v>
      </c>
      <c r="C2438" s="9">
        <v>46266</v>
      </c>
      <c r="D2438">
        <v>28</v>
      </c>
      <c r="E2438" s="16" t="s">
        <v>117</v>
      </c>
      <c r="F2438" s="16" t="s">
        <v>92</v>
      </c>
      <c r="G2438" s="22">
        <v>14</v>
      </c>
      <c r="H2438" s="18">
        <v>17.074999999999999</v>
      </c>
      <c r="I2438" s="18">
        <v>1.219642857</v>
      </c>
      <c r="J2438" s="18">
        <v>1.24</v>
      </c>
      <c r="K2438" s="18">
        <v>1.2</v>
      </c>
      <c r="L2438" s="22">
        <v>8</v>
      </c>
    </row>
    <row r="2439" spans="1:12">
      <c r="A2439">
        <v>3</v>
      </c>
      <c r="B2439" s="16" t="s">
        <v>58</v>
      </c>
      <c r="C2439" s="9">
        <v>45689</v>
      </c>
      <c r="D2439">
        <v>29</v>
      </c>
      <c r="E2439" s="16" t="s">
        <v>118</v>
      </c>
      <c r="F2439" s="16" t="s">
        <v>87</v>
      </c>
      <c r="G2439" s="22">
        <v>64.5</v>
      </c>
      <c r="H2439" s="18">
        <v>896.22500000000002</v>
      </c>
      <c r="I2439" s="18">
        <v>13.894961240000001</v>
      </c>
      <c r="J2439" s="18">
        <v>14.28</v>
      </c>
      <c r="K2439" s="18">
        <v>13.49</v>
      </c>
      <c r="L2439" s="22">
        <v>8</v>
      </c>
    </row>
    <row r="2440" spans="1:12">
      <c r="A2440">
        <v>3</v>
      </c>
      <c r="B2440" s="16" t="s">
        <v>58</v>
      </c>
      <c r="C2440" s="9">
        <v>45717</v>
      </c>
      <c r="D2440">
        <v>29</v>
      </c>
      <c r="E2440" s="16" t="s">
        <v>118</v>
      </c>
      <c r="F2440" s="16" t="s">
        <v>87</v>
      </c>
      <c r="G2440" s="22">
        <v>50.25</v>
      </c>
      <c r="H2440" s="18">
        <v>707.36</v>
      </c>
      <c r="I2440" s="18">
        <v>14.07681592</v>
      </c>
      <c r="J2440" s="18">
        <v>14.34</v>
      </c>
      <c r="K2440" s="18">
        <v>13.7</v>
      </c>
      <c r="L2440" s="22">
        <v>9</v>
      </c>
    </row>
    <row r="2441" spans="1:12">
      <c r="A2441">
        <v>3</v>
      </c>
      <c r="B2441" s="16" t="s">
        <v>58</v>
      </c>
      <c r="C2441" s="9">
        <v>45748</v>
      </c>
      <c r="D2441">
        <v>29</v>
      </c>
      <c r="E2441" s="16" t="s">
        <v>118</v>
      </c>
      <c r="F2441" s="16" t="s">
        <v>87</v>
      </c>
      <c r="G2441" s="22">
        <v>63.5</v>
      </c>
      <c r="H2441" s="18">
        <v>887.45749999999998</v>
      </c>
      <c r="I2441" s="18">
        <v>13.975708661000001</v>
      </c>
      <c r="J2441" s="18">
        <v>14.39</v>
      </c>
      <c r="K2441" s="18">
        <v>13.77</v>
      </c>
      <c r="L2441" s="22">
        <v>8</v>
      </c>
    </row>
    <row r="2442" spans="1:12">
      <c r="A2442">
        <v>3</v>
      </c>
      <c r="B2442" s="16" t="s">
        <v>58</v>
      </c>
      <c r="C2442" s="9">
        <v>45778</v>
      </c>
      <c r="D2442">
        <v>29</v>
      </c>
      <c r="E2442" s="16" t="s">
        <v>118</v>
      </c>
      <c r="F2442" s="16" t="s">
        <v>87</v>
      </c>
      <c r="G2442" s="22">
        <v>55.25</v>
      </c>
      <c r="H2442" s="18">
        <v>782.35249999999996</v>
      </c>
      <c r="I2442" s="18">
        <v>14.160226244</v>
      </c>
      <c r="J2442" s="18">
        <v>14.44</v>
      </c>
      <c r="K2442" s="18">
        <v>13.83</v>
      </c>
      <c r="L2442" s="22">
        <v>9</v>
      </c>
    </row>
    <row r="2443" spans="1:12">
      <c r="A2443">
        <v>3</v>
      </c>
      <c r="B2443" s="16" t="s">
        <v>58</v>
      </c>
      <c r="C2443" s="9">
        <v>45809</v>
      </c>
      <c r="D2443">
        <v>29</v>
      </c>
      <c r="E2443" s="16" t="s">
        <v>118</v>
      </c>
      <c r="F2443" s="16" t="s">
        <v>87</v>
      </c>
      <c r="G2443" s="22">
        <v>38.75</v>
      </c>
      <c r="H2443" s="18">
        <v>548.33249999999998</v>
      </c>
      <c r="I2443" s="18">
        <v>14.150516129</v>
      </c>
      <c r="J2443" s="18">
        <v>14.29</v>
      </c>
      <c r="K2443" s="18">
        <v>14.01</v>
      </c>
      <c r="L2443" s="22">
        <v>9</v>
      </c>
    </row>
    <row r="2444" spans="1:12">
      <c r="A2444">
        <v>3</v>
      </c>
      <c r="B2444" s="16" t="s">
        <v>58</v>
      </c>
      <c r="C2444" s="9">
        <v>45839</v>
      </c>
      <c r="D2444">
        <v>29</v>
      </c>
      <c r="E2444" s="16" t="s">
        <v>118</v>
      </c>
      <c r="F2444" s="16" t="s">
        <v>87</v>
      </c>
      <c r="G2444" s="22">
        <v>39.25</v>
      </c>
      <c r="H2444" s="18">
        <v>555.45500000000004</v>
      </c>
      <c r="I2444" s="18">
        <v>14.151719744999999</v>
      </c>
      <c r="J2444" s="18">
        <v>14.53</v>
      </c>
      <c r="K2444" s="18">
        <v>13.88</v>
      </c>
      <c r="L2444" s="22">
        <v>9</v>
      </c>
    </row>
    <row r="2445" spans="1:12">
      <c r="A2445">
        <v>3</v>
      </c>
      <c r="B2445" s="16" t="s">
        <v>58</v>
      </c>
      <c r="C2445" s="9">
        <v>45870</v>
      </c>
      <c r="D2445">
        <v>29</v>
      </c>
      <c r="E2445" s="16" t="s">
        <v>118</v>
      </c>
      <c r="F2445" s="16" t="s">
        <v>87</v>
      </c>
      <c r="G2445" s="22">
        <v>44.5</v>
      </c>
      <c r="H2445" s="18">
        <v>632.66</v>
      </c>
      <c r="I2445" s="18">
        <v>14.217078652</v>
      </c>
      <c r="J2445" s="18">
        <v>14.44</v>
      </c>
      <c r="K2445" s="18">
        <v>13.96</v>
      </c>
      <c r="L2445" s="22">
        <v>8</v>
      </c>
    </row>
    <row r="2446" spans="1:12">
      <c r="A2446">
        <v>3</v>
      </c>
      <c r="B2446" s="16" t="s">
        <v>58</v>
      </c>
      <c r="C2446" s="9">
        <v>45901</v>
      </c>
      <c r="D2446">
        <v>29</v>
      </c>
      <c r="E2446" s="16" t="s">
        <v>118</v>
      </c>
      <c r="F2446" s="16" t="s">
        <v>87</v>
      </c>
      <c r="G2446" s="22">
        <v>50.5</v>
      </c>
      <c r="H2446" s="18">
        <v>721.00250000000005</v>
      </c>
      <c r="I2446" s="18">
        <v>14.277277228000001</v>
      </c>
      <c r="J2446" s="18">
        <v>14.56</v>
      </c>
      <c r="K2446" s="18">
        <v>14.11</v>
      </c>
      <c r="L2446" s="22">
        <v>9</v>
      </c>
    </row>
    <row r="2447" spans="1:12">
      <c r="A2447">
        <v>3</v>
      </c>
      <c r="B2447" s="16" t="s">
        <v>58</v>
      </c>
      <c r="C2447" s="9">
        <v>45931</v>
      </c>
      <c r="D2447">
        <v>29</v>
      </c>
      <c r="E2447" s="16" t="s">
        <v>118</v>
      </c>
      <c r="F2447" s="16" t="s">
        <v>87</v>
      </c>
      <c r="G2447" s="22">
        <v>60.75</v>
      </c>
      <c r="H2447" s="18">
        <v>871.11749999999995</v>
      </c>
      <c r="I2447" s="18">
        <v>14.339382715999999</v>
      </c>
      <c r="J2447" s="18">
        <v>14.6</v>
      </c>
      <c r="K2447" s="18">
        <v>14.12</v>
      </c>
      <c r="L2447" s="22">
        <v>9</v>
      </c>
    </row>
    <row r="2448" spans="1:12">
      <c r="A2448">
        <v>3</v>
      </c>
      <c r="B2448" s="16" t="s">
        <v>58</v>
      </c>
      <c r="C2448" s="9">
        <v>45962</v>
      </c>
      <c r="D2448">
        <v>29</v>
      </c>
      <c r="E2448" s="16" t="s">
        <v>118</v>
      </c>
      <c r="F2448" s="16" t="s">
        <v>87</v>
      </c>
      <c r="G2448" s="22">
        <v>44</v>
      </c>
      <c r="H2448" s="18">
        <v>636.32500000000005</v>
      </c>
      <c r="I2448" s="18">
        <v>14.461931818</v>
      </c>
      <c r="J2448" s="18">
        <v>15.3</v>
      </c>
      <c r="K2448" s="18">
        <v>14.12</v>
      </c>
      <c r="L2448" s="22">
        <v>8</v>
      </c>
    </row>
    <row r="2449" spans="1:12">
      <c r="A2449">
        <v>3</v>
      </c>
      <c r="B2449" s="16" t="s">
        <v>58</v>
      </c>
      <c r="C2449" s="9">
        <v>45992</v>
      </c>
      <c r="D2449">
        <v>29</v>
      </c>
      <c r="E2449" s="16" t="s">
        <v>118</v>
      </c>
      <c r="F2449" s="16" t="s">
        <v>87</v>
      </c>
      <c r="G2449" s="22">
        <v>70.5</v>
      </c>
      <c r="H2449" s="18">
        <v>1032.1125</v>
      </c>
      <c r="I2449" s="18">
        <v>14.639893617</v>
      </c>
      <c r="J2449" s="18">
        <v>14.81</v>
      </c>
      <c r="K2449" s="18">
        <v>14.45</v>
      </c>
      <c r="L2449" s="22">
        <v>9</v>
      </c>
    </row>
    <row r="2450" spans="1:12">
      <c r="A2450">
        <v>3</v>
      </c>
      <c r="B2450" s="16" t="s">
        <v>58</v>
      </c>
      <c r="C2450" s="9">
        <v>46023</v>
      </c>
      <c r="D2450">
        <v>29</v>
      </c>
      <c r="E2450" s="16" t="s">
        <v>118</v>
      </c>
      <c r="F2450" s="16" t="s">
        <v>87</v>
      </c>
      <c r="G2450" s="22">
        <v>67.75</v>
      </c>
      <c r="H2450" s="18">
        <v>991.9</v>
      </c>
      <c r="I2450" s="18">
        <v>14.640590405999999</v>
      </c>
      <c r="J2450" s="18">
        <v>15.02</v>
      </c>
      <c r="K2450" s="18">
        <v>14.24</v>
      </c>
      <c r="L2450" s="22">
        <v>9</v>
      </c>
    </row>
    <row r="2451" spans="1:12">
      <c r="A2451">
        <v>3</v>
      </c>
      <c r="B2451" s="16" t="s">
        <v>58</v>
      </c>
      <c r="C2451" s="9">
        <v>46054</v>
      </c>
      <c r="D2451">
        <v>29</v>
      </c>
      <c r="E2451" s="16" t="s">
        <v>118</v>
      </c>
      <c r="F2451" s="16" t="s">
        <v>87</v>
      </c>
      <c r="G2451" s="22">
        <v>47</v>
      </c>
      <c r="H2451" s="18">
        <v>700.30499999999995</v>
      </c>
      <c r="I2451" s="18">
        <v>14.900106383000001</v>
      </c>
      <c r="J2451" s="18">
        <v>15.22</v>
      </c>
      <c r="K2451" s="18">
        <v>14.74</v>
      </c>
      <c r="L2451" s="22">
        <v>8</v>
      </c>
    </row>
    <row r="2452" spans="1:12">
      <c r="A2452">
        <v>3</v>
      </c>
      <c r="B2452" s="16" t="s">
        <v>58</v>
      </c>
      <c r="C2452" s="9">
        <v>46082</v>
      </c>
      <c r="D2452">
        <v>29</v>
      </c>
      <c r="E2452" s="16" t="s">
        <v>118</v>
      </c>
      <c r="F2452" s="16" t="s">
        <v>87</v>
      </c>
      <c r="G2452" s="22">
        <v>50</v>
      </c>
      <c r="H2452" s="18">
        <v>739.94749999999999</v>
      </c>
      <c r="I2452" s="18">
        <v>14.79895</v>
      </c>
      <c r="J2452" s="18">
        <v>14.97</v>
      </c>
      <c r="K2452" s="18">
        <v>14.55</v>
      </c>
      <c r="L2452" s="22">
        <v>9</v>
      </c>
    </row>
    <row r="2453" spans="1:12">
      <c r="A2453">
        <v>3</v>
      </c>
      <c r="B2453" s="16" t="s">
        <v>58</v>
      </c>
      <c r="C2453" s="9">
        <v>46113</v>
      </c>
      <c r="D2453">
        <v>29</v>
      </c>
      <c r="E2453" s="16" t="s">
        <v>118</v>
      </c>
      <c r="F2453" s="16" t="s">
        <v>87</v>
      </c>
      <c r="G2453" s="22">
        <v>54.75</v>
      </c>
      <c r="H2453" s="18">
        <v>820.95500000000004</v>
      </c>
      <c r="I2453" s="18">
        <v>14.994611872</v>
      </c>
      <c r="J2453" s="18">
        <v>15.41</v>
      </c>
      <c r="K2453" s="18">
        <v>14.73</v>
      </c>
      <c r="L2453" s="22">
        <v>9</v>
      </c>
    </row>
    <row r="2454" spans="1:12">
      <c r="A2454">
        <v>3</v>
      </c>
      <c r="B2454" s="16" t="s">
        <v>58</v>
      </c>
      <c r="C2454" s="9">
        <v>46143</v>
      </c>
      <c r="D2454">
        <v>29</v>
      </c>
      <c r="E2454" s="16" t="s">
        <v>118</v>
      </c>
      <c r="F2454" s="16" t="s">
        <v>87</v>
      </c>
      <c r="G2454" s="22">
        <v>40</v>
      </c>
      <c r="H2454" s="18">
        <v>592.87</v>
      </c>
      <c r="I2454" s="18">
        <v>14.82175</v>
      </c>
      <c r="J2454" s="18">
        <v>15.01</v>
      </c>
      <c r="K2454" s="18">
        <v>14.57</v>
      </c>
      <c r="L2454" s="22">
        <v>7</v>
      </c>
    </row>
    <row r="2455" spans="1:12">
      <c r="A2455">
        <v>3</v>
      </c>
      <c r="B2455" s="16" t="s">
        <v>58</v>
      </c>
      <c r="C2455" s="9">
        <v>46174</v>
      </c>
      <c r="D2455">
        <v>29</v>
      </c>
      <c r="E2455" s="16" t="s">
        <v>118</v>
      </c>
      <c r="F2455" s="16" t="s">
        <v>87</v>
      </c>
      <c r="G2455" s="22">
        <v>38.25</v>
      </c>
      <c r="H2455" s="18">
        <v>573.85749999999996</v>
      </c>
      <c r="I2455" s="18">
        <v>15.002810458000001</v>
      </c>
      <c r="J2455" s="18">
        <v>15.19</v>
      </c>
      <c r="K2455" s="18">
        <v>14.76</v>
      </c>
      <c r="L2455" s="22">
        <v>9</v>
      </c>
    </row>
    <row r="2456" spans="1:12">
      <c r="A2456">
        <v>3</v>
      </c>
      <c r="B2456" s="16" t="s">
        <v>58</v>
      </c>
      <c r="C2456" s="9">
        <v>46204</v>
      </c>
      <c r="D2456">
        <v>29</v>
      </c>
      <c r="E2456" s="16" t="s">
        <v>118</v>
      </c>
      <c r="F2456" s="16" t="s">
        <v>87</v>
      </c>
      <c r="G2456" s="22">
        <v>40.75</v>
      </c>
      <c r="H2456" s="18">
        <v>611.17499999999995</v>
      </c>
      <c r="I2456" s="18">
        <v>14.998159509000001</v>
      </c>
      <c r="J2456" s="18">
        <v>15.3</v>
      </c>
      <c r="K2456" s="18">
        <v>14.69</v>
      </c>
      <c r="L2456" s="22">
        <v>9</v>
      </c>
    </row>
    <row r="2457" spans="1:12">
      <c r="A2457">
        <v>3</v>
      </c>
      <c r="B2457" s="16" t="s">
        <v>58</v>
      </c>
      <c r="C2457" s="9">
        <v>46235</v>
      </c>
      <c r="D2457">
        <v>29</v>
      </c>
      <c r="E2457" s="16" t="s">
        <v>118</v>
      </c>
      <c r="F2457" s="16" t="s">
        <v>87</v>
      </c>
      <c r="G2457" s="22">
        <v>36.75</v>
      </c>
      <c r="H2457" s="18">
        <v>549.77750000000003</v>
      </c>
      <c r="I2457" s="18">
        <v>14.959931973</v>
      </c>
      <c r="J2457" s="18">
        <v>15.57</v>
      </c>
      <c r="K2457" s="18">
        <v>14.62</v>
      </c>
      <c r="L2457" s="22">
        <v>8</v>
      </c>
    </row>
    <row r="2458" spans="1:12">
      <c r="A2458">
        <v>3</v>
      </c>
      <c r="B2458" s="16" t="s">
        <v>58</v>
      </c>
      <c r="C2458" s="9">
        <v>46266</v>
      </c>
      <c r="D2458">
        <v>29</v>
      </c>
      <c r="E2458" s="16" t="s">
        <v>118</v>
      </c>
      <c r="F2458" s="16" t="s">
        <v>87</v>
      </c>
      <c r="G2458" s="22">
        <v>40</v>
      </c>
      <c r="H2458" s="18">
        <v>605.16499999999996</v>
      </c>
      <c r="I2458" s="18">
        <v>15.129125</v>
      </c>
      <c r="J2458" s="18">
        <v>15.37</v>
      </c>
      <c r="K2458" s="18">
        <v>14.63</v>
      </c>
      <c r="L2458" s="22">
        <v>8</v>
      </c>
    </row>
    <row r="2459" spans="1:12">
      <c r="A2459">
        <v>3</v>
      </c>
      <c r="B2459" s="16" t="s">
        <v>58</v>
      </c>
      <c r="C2459" s="9">
        <v>45689</v>
      </c>
      <c r="D2459">
        <v>30</v>
      </c>
      <c r="E2459" s="16" t="s">
        <v>119</v>
      </c>
      <c r="F2459" s="16" t="s">
        <v>92</v>
      </c>
      <c r="G2459" s="22">
        <v>7.5</v>
      </c>
      <c r="H2459" s="18">
        <v>5.3375000000000004</v>
      </c>
      <c r="I2459" s="18">
        <v>0.71166666700000003</v>
      </c>
      <c r="J2459" s="18">
        <v>0.72</v>
      </c>
      <c r="K2459" s="18">
        <v>0.7</v>
      </c>
      <c r="L2459" s="22">
        <v>6</v>
      </c>
    </row>
    <row r="2460" spans="1:12">
      <c r="A2460">
        <v>3</v>
      </c>
      <c r="B2460" s="16" t="s">
        <v>58</v>
      </c>
      <c r="C2460" s="9">
        <v>45717</v>
      </c>
      <c r="D2460">
        <v>30</v>
      </c>
      <c r="E2460" s="16" t="s">
        <v>119</v>
      </c>
      <c r="F2460" s="16" t="s">
        <v>92</v>
      </c>
      <c r="G2460" s="22">
        <v>6.25</v>
      </c>
      <c r="H2460" s="18">
        <v>4.375</v>
      </c>
      <c r="I2460" s="18">
        <v>0.7</v>
      </c>
      <c r="J2460" s="18">
        <v>0.71</v>
      </c>
      <c r="K2460" s="18">
        <v>0.69</v>
      </c>
      <c r="L2460" s="22">
        <v>5</v>
      </c>
    </row>
    <row r="2461" spans="1:12">
      <c r="A2461">
        <v>3</v>
      </c>
      <c r="B2461" s="16" t="s">
        <v>58</v>
      </c>
      <c r="C2461" s="9">
        <v>45748</v>
      </c>
      <c r="D2461">
        <v>30</v>
      </c>
      <c r="E2461" s="16" t="s">
        <v>119</v>
      </c>
      <c r="F2461" s="16" t="s">
        <v>92</v>
      </c>
      <c r="G2461" s="22">
        <v>6.25</v>
      </c>
      <c r="H2461" s="18">
        <v>4.2125000000000004</v>
      </c>
      <c r="I2461" s="18">
        <v>0.67400000000000004</v>
      </c>
      <c r="J2461" s="18">
        <v>0.68</v>
      </c>
      <c r="K2461" s="18">
        <v>0.67</v>
      </c>
      <c r="L2461" s="22">
        <v>5</v>
      </c>
    </row>
    <row r="2462" spans="1:12">
      <c r="A2462">
        <v>3</v>
      </c>
      <c r="B2462" s="16" t="s">
        <v>58</v>
      </c>
      <c r="C2462" s="9">
        <v>45778</v>
      </c>
      <c r="D2462">
        <v>30</v>
      </c>
      <c r="E2462" s="16" t="s">
        <v>119</v>
      </c>
      <c r="F2462" s="16" t="s">
        <v>92</v>
      </c>
      <c r="G2462" s="22">
        <v>7.5</v>
      </c>
      <c r="H2462" s="18">
        <v>4.9000000000000004</v>
      </c>
      <c r="I2462" s="18">
        <v>0.65333333299999996</v>
      </c>
      <c r="J2462" s="18">
        <v>0.67</v>
      </c>
      <c r="K2462" s="18">
        <v>0.64</v>
      </c>
      <c r="L2462" s="22">
        <v>6</v>
      </c>
    </row>
    <row r="2463" spans="1:12">
      <c r="A2463">
        <v>3</v>
      </c>
      <c r="B2463" s="16" t="s">
        <v>58</v>
      </c>
      <c r="C2463" s="9">
        <v>45809</v>
      </c>
      <c r="D2463">
        <v>30</v>
      </c>
      <c r="E2463" s="16" t="s">
        <v>119</v>
      </c>
      <c r="F2463" s="16" t="s">
        <v>92</v>
      </c>
      <c r="G2463" s="22">
        <v>5</v>
      </c>
      <c r="H2463" s="18">
        <v>3.1625000000000001</v>
      </c>
      <c r="I2463" s="18">
        <v>0.63249999999999995</v>
      </c>
      <c r="J2463" s="18">
        <v>0.65</v>
      </c>
      <c r="K2463" s="18">
        <v>0.62</v>
      </c>
      <c r="L2463" s="22">
        <v>4</v>
      </c>
    </row>
    <row r="2464" spans="1:12">
      <c r="A2464">
        <v>3</v>
      </c>
      <c r="B2464" s="16" t="s">
        <v>58</v>
      </c>
      <c r="C2464" s="9">
        <v>45839</v>
      </c>
      <c r="D2464">
        <v>30</v>
      </c>
      <c r="E2464" s="16" t="s">
        <v>119</v>
      </c>
      <c r="F2464" s="16" t="s">
        <v>92</v>
      </c>
      <c r="G2464" s="22">
        <v>5</v>
      </c>
      <c r="H2464" s="18">
        <v>3.15</v>
      </c>
      <c r="I2464" s="18">
        <v>0.63</v>
      </c>
      <c r="J2464" s="18">
        <v>0.64</v>
      </c>
      <c r="K2464" s="18">
        <v>0.62</v>
      </c>
      <c r="L2464" s="22">
        <v>4</v>
      </c>
    </row>
    <row r="2465" spans="1:12">
      <c r="A2465">
        <v>3</v>
      </c>
      <c r="B2465" s="16" t="s">
        <v>58</v>
      </c>
      <c r="C2465" s="9">
        <v>45870</v>
      </c>
      <c r="D2465">
        <v>30</v>
      </c>
      <c r="E2465" s="16" t="s">
        <v>119</v>
      </c>
      <c r="F2465" s="16" t="s">
        <v>92</v>
      </c>
      <c r="G2465" s="22">
        <v>6.25</v>
      </c>
      <c r="H2465" s="18">
        <v>4.0374999999999996</v>
      </c>
      <c r="I2465" s="18">
        <v>0.64600000000000002</v>
      </c>
      <c r="J2465" s="18">
        <v>0.67</v>
      </c>
      <c r="K2465" s="18">
        <v>0.63</v>
      </c>
      <c r="L2465" s="22">
        <v>5</v>
      </c>
    </row>
    <row r="2466" spans="1:12">
      <c r="A2466">
        <v>3</v>
      </c>
      <c r="B2466" s="16" t="s">
        <v>58</v>
      </c>
      <c r="C2466" s="9">
        <v>45901</v>
      </c>
      <c r="D2466">
        <v>30</v>
      </c>
      <c r="E2466" s="16" t="s">
        <v>119</v>
      </c>
      <c r="F2466" s="16" t="s">
        <v>92</v>
      </c>
      <c r="G2466" s="22">
        <v>6.25</v>
      </c>
      <c r="H2466" s="18">
        <v>4.125</v>
      </c>
      <c r="I2466" s="18">
        <v>0.66</v>
      </c>
      <c r="J2466" s="18">
        <v>0.67</v>
      </c>
      <c r="K2466" s="18">
        <v>0.65</v>
      </c>
      <c r="L2466" s="22">
        <v>5</v>
      </c>
    </row>
    <row r="2467" spans="1:12">
      <c r="A2467">
        <v>3</v>
      </c>
      <c r="B2467" s="16" t="s">
        <v>58</v>
      </c>
      <c r="C2467" s="9">
        <v>45931</v>
      </c>
      <c r="D2467">
        <v>30</v>
      </c>
      <c r="E2467" s="16" t="s">
        <v>119</v>
      </c>
      <c r="F2467" s="16" t="s">
        <v>92</v>
      </c>
      <c r="G2467" s="22">
        <v>6.25</v>
      </c>
      <c r="H2467" s="18">
        <v>4.2874999999999996</v>
      </c>
      <c r="I2467" s="18">
        <v>0.68600000000000005</v>
      </c>
      <c r="J2467" s="18">
        <v>0.7</v>
      </c>
      <c r="K2467" s="18">
        <v>0.68</v>
      </c>
      <c r="L2467" s="22">
        <v>5</v>
      </c>
    </row>
    <row r="2468" spans="1:12">
      <c r="A2468">
        <v>3</v>
      </c>
      <c r="B2468" s="16" t="s">
        <v>58</v>
      </c>
      <c r="C2468" s="9">
        <v>45962</v>
      </c>
      <c r="D2468">
        <v>30</v>
      </c>
      <c r="E2468" s="16" t="s">
        <v>119</v>
      </c>
      <c r="F2468" s="16" t="s">
        <v>92</v>
      </c>
      <c r="G2468" s="22">
        <v>6.25</v>
      </c>
      <c r="H2468" s="18">
        <v>4.5250000000000004</v>
      </c>
      <c r="I2468" s="18">
        <v>0.72399999999999998</v>
      </c>
      <c r="J2468" s="18">
        <v>0.73</v>
      </c>
      <c r="K2468" s="18">
        <v>0.72</v>
      </c>
      <c r="L2468" s="22">
        <v>5</v>
      </c>
    </row>
    <row r="2469" spans="1:12">
      <c r="A2469">
        <v>3</v>
      </c>
      <c r="B2469" s="16" t="s">
        <v>58</v>
      </c>
      <c r="C2469" s="9">
        <v>45992</v>
      </c>
      <c r="D2469">
        <v>30</v>
      </c>
      <c r="E2469" s="16" t="s">
        <v>119</v>
      </c>
      <c r="F2469" s="16" t="s">
        <v>92</v>
      </c>
      <c r="G2469" s="22">
        <v>7.5</v>
      </c>
      <c r="H2469" s="18">
        <v>5.5125000000000002</v>
      </c>
      <c r="I2469" s="18">
        <v>0.73499999999999999</v>
      </c>
      <c r="J2469" s="18">
        <v>0.74</v>
      </c>
      <c r="K2469" s="18">
        <v>0.73</v>
      </c>
      <c r="L2469" s="22">
        <v>6</v>
      </c>
    </row>
    <row r="2470" spans="1:12">
      <c r="A2470">
        <v>3</v>
      </c>
      <c r="B2470" s="16" t="s">
        <v>58</v>
      </c>
      <c r="C2470" s="9">
        <v>46023</v>
      </c>
      <c r="D2470">
        <v>30</v>
      </c>
      <c r="E2470" s="16" t="s">
        <v>119</v>
      </c>
      <c r="F2470" s="16" t="s">
        <v>92</v>
      </c>
      <c r="G2470" s="22">
        <v>8.75</v>
      </c>
      <c r="H2470" s="18">
        <v>6.4749999999999996</v>
      </c>
      <c r="I2470" s="18">
        <v>0.74</v>
      </c>
      <c r="J2470" s="18">
        <v>0.76</v>
      </c>
      <c r="K2470" s="18">
        <v>0.72</v>
      </c>
      <c r="L2470" s="22">
        <v>6</v>
      </c>
    </row>
    <row r="2471" spans="1:12">
      <c r="A2471">
        <v>3</v>
      </c>
      <c r="B2471" s="16" t="s">
        <v>58</v>
      </c>
      <c r="C2471" s="9">
        <v>46054</v>
      </c>
      <c r="D2471">
        <v>30</v>
      </c>
      <c r="E2471" s="16" t="s">
        <v>119</v>
      </c>
      <c r="F2471" s="16" t="s">
        <v>92</v>
      </c>
      <c r="G2471" s="22">
        <v>5</v>
      </c>
      <c r="H2471" s="18">
        <v>3.6625000000000001</v>
      </c>
      <c r="I2471" s="18">
        <v>0.73250000000000004</v>
      </c>
      <c r="J2471" s="18">
        <v>0.75</v>
      </c>
      <c r="K2471" s="18">
        <v>0.72</v>
      </c>
      <c r="L2471" s="22">
        <v>4</v>
      </c>
    </row>
    <row r="2472" spans="1:12">
      <c r="A2472">
        <v>3</v>
      </c>
      <c r="B2472" s="16" t="s">
        <v>58</v>
      </c>
      <c r="C2472" s="9">
        <v>46082</v>
      </c>
      <c r="D2472">
        <v>30</v>
      </c>
      <c r="E2472" s="16" t="s">
        <v>119</v>
      </c>
      <c r="F2472" s="16" t="s">
        <v>92</v>
      </c>
      <c r="G2472" s="22">
        <v>6.25</v>
      </c>
      <c r="H2472" s="18">
        <v>4.4249999999999998</v>
      </c>
      <c r="I2472" s="18">
        <v>0.70799999999999996</v>
      </c>
      <c r="J2472" s="18">
        <v>0.72</v>
      </c>
      <c r="K2472" s="18">
        <v>0.69</v>
      </c>
      <c r="L2472" s="22">
        <v>5</v>
      </c>
    </row>
    <row r="2473" spans="1:12">
      <c r="A2473">
        <v>3</v>
      </c>
      <c r="B2473" s="16" t="s">
        <v>58</v>
      </c>
      <c r="C2473" s="9">
        <v>46113</v>
      </c>
      <c r="D2473">
        <v>30</v>
      </c>
      <c r="E2473" s="16" t="s">
        <v>119</v>
      </c>
      <c r="F2473" s="16" t="s">
        <v>92</v>
      </c>
      <c r="G2473" s="22">
        <v>7.5</v>
      </c>
      <c r="H2473" s="18">
        <v>5.0750000000000002</v>
      </c>
      <c r="I2473" s="18">
        <v>0.676666667</v>
      </c>
      <c r="J2473" s="18">
        <v>0.68</v>
      </c>
      <c r="K2473" s="18">
        <v>0.67</v>
      </c>
      <c r="L2473" s="22">
        <v>5</v>
      </c>
    </row>
    <row r="2474" spans="1:12">
      <c r="A2474">
        <v>3</v>
      </c>
      <c r="B2474" s="16" t="s">
        <v>58</v>
      </c>
      <c r="C2474" s="9">
        <v>46143</v>
      </c>
      <c r="D2474">
        <v>30</v>
      </c>
      <c r="E2474" s="16" t="s">
        <v>119</v>
      </c>
      <c r="F2474" s="16" t="s">
        <v>92</v>
      </c>
      <c r="G2474" s="22">
        <v>3.75</v>
      </c>
      <c r="H2474" s="18">
        <v>2.5125000000000002</v>
      </c>
      <c r="I2474" s="18">
        <v>0.67</v>
      </c>
      <c r="J2474" s="18">
        <v>0.67</v>
      </c>
      <c r="K2474" s="18">
        <v>0.67</v>
      </c>
      <c r="L2474" s="22">
        <v>3</v>
      </c>
    </row>
    <row r="2475" spans="1:12">
      <c r="A2475">
        <v>3</v>
      </c>
      <c r="B2475" s="16" t="s">
        <v>58</v>
      </c>
      <c r="C2475" s="9">
        <v>46174</v>
      </c>
      <c r="D2475">
        <v>30</v>
      </c>
      <c r="E2475" s="16" t="s">
        <v>119</v>
      </c>
      <c r="F2475" s="16" t="s">
        <v>92</v>
      </c>
      <c r="G2475" s="22">
        <v>6.25</v>
      </c>
      <c r="H2475" s="18">
        <v>4.0125000000000002</v>
      </c>
      <c r="I2475" s="18">
        <v>0.64200000000000002</v>
      </c>
      <c r="J2475" s="18">
        <v>0.65</v>
      </c>
      <c r="K2475" s="18">
        <v>0.63</v>
      </c>
      <c r="L2475" s="22">
        <v>5</v>
      </c>
    </row>
    <row r="2476" spans="1:12">
      <c r="A2476">
        <v>3</v>
      </c>
      <c r="B2476" s="16" t="s">
        <v>58</v>
      </c>
      <c r="C2476" s="9">
        <v>46204</v>
      </c>
      <c r="D2476">
        <v>30</v>
      </c>
      <c r="E2476" s="16" t="s">
        <v>119</v>
      </c>
      <c r="F2476" s="16" t="s">
        <v>92</v>
      </c>
      <c r="G2476" s="22">
        <v>5</v>
      </c>
      <c r="H2476" s="18">
        <v>3.1124999999999998</v>
      </c>
      <c r="I2476" s="18">
        <v>0.62250000000000005</v>
      </c>
      <c r="J2476" s="18">
        <v>0.63</v>
      </c>
      <c r="K2476" s="18">
        <v>0.62</v>
      </c>
      <c r="L2476" s="22">
        <v>4</v>
      </c>
    </row>
    <row r="2477" spans="1:12">
      <c r="A2477">
        <v>3</v>
      </c>
      <c r="B2477" s="16" t="s">
        <v>58</v>
      </c>
      <c r="C2477" s="9">
        <v>46235</v>
      </c>
      <c r="D2477">
        <v>30</v>
      </c>
      <c r="E2477" s="16" t="s">
        <v>119</v>
      </c>
      <c r="F2477" s="16" t="s">
        <v>92</v>
      </c>
      <c r="G2477" s="22">
        <v>5</v>
      </c>
      <c r="H2477" s="18">
        <v>3.125</v>
      </c>
      <c r="I2477" s="18">
        <v>0.625</v>
      </c>
      <c r="J2477" s="18">
        <v>0.63</v>
      </c>
      <c r="K2477" s="18">
        <v>0.62</v>
      </c>
      <c r="L2477" s="22">
        <v>4</v>
      </c>
    </row>
    <row r="2478" spans="1:12">
      <c r="A2478">
        <v>3</v>
      </c>
      <c r="B2478" s="16" t="s">
        <v>58</v>
      </c>
      <c r="C2478" s="9">
        <v>46266</v>
      </c>
      <c r="D2478">
        <v>30</v>
      </c>
      <c r="E2478" s="16" t="s">
        <v>119</v>
      </c>
      <c r="F2478" s="16" t="s">
        <v>92</v>
      </c>
      <c r="G2478" s="22">
        <v>5</v>
      </c>
      <c r="H2478" s="18">
        <v>3.2374999999999998</v>
      </c>
      <c r="I2478" s="18">
        <v>0.64749999999999996</v>
      </c>
      <c r="J2478" s="18">
        <v>0.65</v>
      </c>
      <c r="K2478" s="18">
        <v>0.64</v>
      </c>
      <c r="L2478" s="22">
        <v>4</v>
      </c>
    </row>
    <row r="2479" spans="1:12">
      <c r="A2479">
        <v>3</v>
      </c>
      <c r="B2479" s="16" t="s">
        <v>58</v>
      </c>
      <c r="C2479" s="9">
        <v>45689</v>
      </c>
      <c r="D2479">
        <v>31</v>
      </c>
      <c r="E2479" s="16" t="s">
        <v>120</v>
      </c>
      <c r="F2479" s="16" t="s">
        <v>92</v>
      </c>
      <c r="G2479" s="22">
        <v>9</v>
      </c>
      <c r="H2479" s="18">
        <v>9.5325000000000006</v>
      </c>
      <c r="I2479" s="18">
        <v>1.059166667</v>
      </c>
      <c r="J2479" s="18">
        <v>1.08</v>
      </c>
      <c r="K2479" s="18">
        <v>1.04</v>
      </c>
      <c r="L2479" s="22">
        <v>8</v>
      </c>
    </row>
    <row r="2480" spans="1:12">
      <c r="A2480">
        <v>3</v>
      </c>
      <c r="B2480" s="16" t="s">
        <v>58</v>
      </c>
      <c r="C2480" s="9">
        <v>45717</v>
      </c>
      <c r="D2480">
        <v>31</v>
      </c>
      <c r="E2480" s="16" t="s">
        <v>120</v>
      </c>
      <c r="F2480" s="16" t="s">
        <v>92</v>
      </c>
      <c r="G2480" s="22">
        <v>9.75</v>
      </c>
      <c r="H2480" s="18">
        <v>10.154999999999999</v>
      </c>
      <c r="I2480" s="18">
        <v>1.0415384620000001</v>
      </c>
      <c r="J2480" s="18">
        <v>1.05</v>
      </c>
      <c r="K2480" s="18">
        <v>1.03</v>
      </c>
      <c r="L2480" s="22">
        <v>9</v>
      </c>
    </row>
    <row r="2481" spans="1:12">
      <c r="A2481">
        <v>3</v>
      </c>
      <c r="B2481" s="16" t="s">
        <v>58</v>
      </c>
      <c r="C2481" s="9">
        <v>45748</v>
      </c>
      <c r="D2481">
        <v>31</v>
      </c>
      <c r="E2481" s="16" t="s">
        <v>120</v>
      </c>
      <c r="F2481" s="16" t="s">
        <v>92</v>
      </c>
      <c r="G2481" s="22">
        <v>11.25</v>
      </c>
      <c r="H2481" s="18">
        <v>11.1525</v>
      </c>
      <c r="I2481" s="18">
        <v>0.99133333300000004</v>
      </c>
      <c r="J2481" s="18">
        <v>1.01</v>
      </c>
      <c r="K2481" s="18">
        <v>0.98</v>
      </c>
      <c r="L2481" s="22">
        <v>8</v>
      </c>
    </row>
    <row r="2482" spans="1:12">
      <c r="A2482">
        <v>3</v>
      </c>
      <c r="B2482" s="16" t="s">
        <v>58</v>
      </c>
      <c r="C2482" s="9">
        <v>45778</v>
      </c>
      <c r="D2482">
        <v>31</v>
      </c>
      <c r="E2482" s="16" t="s">
        <v>120</v>
      </c>
      <c r="F2482" s="16" t="s">
        <v>92</v>
      </c>
      <c r="G2482" s="22">
        <v>12</v>
      </c>
      <c r="H2482" s="18">
        <v>11.362500000000001</v>
      </c>
      <c r="I2482" s="18">
        <v>0.94687500000000002</v>
      </c>
      <c r="J2482" s="18">
        <v>0.96</v>
      </c>
      <c r="K2482" s="18">
        <v>0.93</v>
      </c>
      <c r="L2482" s="22">
        <v>9</v>
      </c>
    </row>
    <row r="2483" spans="1:12">
      <c r="A2483">
        <v>3</v>
      </c>
      <c r="B2483" s="16" t="s">
        <v>58</v>
      </c>
      <c r="C2483" s="9">
        <v>45809</v>
      </c>
      <c r="D2483">
        <v>31</v>
      </c>
      <c r="E2483" s="16" t="s">
        <v>120</v>
      </c>
      <c r="F2483" s="16" t="s">
        <v>92</v>
      </c>
      <c r="G2483" s="22">
        <v>13.5</v>
      </c>
      <c r="H2483" s="18">
        <v>12.39</v>
      </c>
      <c r="I2483" s="18">
        <v>0.91777777800000004</v>
      </c>
      <c r="J2483" s="18">
        <v>0.93</v>
      </c>
      <c r="K2483" s="18">
        <v>0.91</v>
      </c>
      <c r="L2483" s="22">
        <v>9</v>
      </c>
    </row>
    <row r="2484" spans="1:12">
      <c r="A2484">
        <v>3</v>
      </c>
      <c r="B2484" s="16" t="s">
        <v>58</v>
      </c>
      <c r="C2484" s="9">
        <v>45839</v>
      </c>
      <c r="D2484">
        <v>31</v>
      </c>
      <c r="E2484" s="16" t="s">
        <v>120</v>
      </c>
      <c r="F2484" s="16" t="s">
        <v>92</v>
      </c>
      <c r="G2484" s="22">
        <v>15.75</v>
      </c>
      <c r="H2484" s="18">
        <v>14.13</v>
      </c>
      <c r="I2484" s="18">
        <v>0.89714285699999996</v>
      </c>
      <c r="J2484" s="18">
        <v>0.93</v>
      </c>
      <c r="K2484" s="18">
        <v>0.88</v>
      </c>
      <c r="L2484" s="22">
        <v>9</v>
      </c>
    </row>
    <row r="2485" spans="1:12">
      <c r="A2485">
        <v>3</v>
      </c>
      <c r="B2485" s="16" t="s">
        <v>58</v>
      </c>
      <c r="C2485" s="9">
        <v>45870</v>
      </c>
      <c r="D2485">
        <v>31</v>
      </c>
      <c r="E2485" s="16" t="s">
        <v>120</v>
      </c>
      <c r="F2485" s="16" t="s">
        <v>92</v>
      </c>
      <c r="G2485" s="22">
        <v>12.75</v>
      </c>
      <c r="H2485" s="18">
        <v>11.64</v>
      </c>
      <c r="I2485" s="18">
        <v>0.91294117600000002</v>
      </c>
      <c r="J2485" s="18">
        <v>0.94</v>
      </c>
      <c r="K2485" s="18">
        <v>0.89</v>
      </c>
      <c r="L2485" s="22">
        <v>8</v>
      </c>
    </row>
    <row r="2486" spans="1:12">
      <c r="A2486">
        <v>3</v>
      </c>
      <c r="B2486" s="16" t="s">
        <v>58</v>
      </c>
      <c r="C2486" s="9">
        <v>45901</v>
      </c>
      <c r="D2486">
        <v>31</v>
      </c>
      <c r="E2486" s="16" t="s">
        <v>120</v>
      </c>
      <c r="F2486" s="16" t="s">
        <v>92</v>
      </c>
      <c r="G2486" s="22">
        <v>12</v>
      </c>
      <c r="H2486" s="18">
        <v>11.265000000000001</v>
      </c>
      <c r="I2486" s="18">
        <v>0.93874999999999997</v>
      </c>
      <c r="J2486" s="18">
        <v>0.95</v>
      </c>
      <c r="K2486" s="18">
        <v>0.93</v>
      </c>
      <c r="L2486" s="22">
        <v>9</v>
      </c>
    </row>
    <row r="2487" spans="1:12">
      <c r="A2487">
        <v>3</v>
      </c>
      <c r="B2487" s="16" t="s">
        <v>58</v>
      </c>
      <c r="C2487" s="9">
        <v>45931</v>
      </c>
      <c r="D2487">
        <v>31</v>
      </c>
      <c r="E2487" s="16" t="s">
        <v>120</v>
      </c>
      <c r="F2487" s="16" t="s">
        <v>92</v>
      </c>
      <c r="G2487" s="22">
        <v>10.5</v>
      </c>
      <c r="H2487" s="18">
        <v>10.199999999999999</v>
      </c>
      <c r="I2487" s="18">
        <v>0.97142857100000002</v>
      </c>
      <c r="J2487" s="18">
        <v>0.99</v>
      </c>
      <c r="K2487" s="18">
        <v>0.95</v>
      </c>
      <c r="L2487" s="22">
        <v>9</v>
      </c>
    </row>
    <row r="2488" spans="1:12">
      <c r="A2488">
        <v>3</v>
      </c>
      <c r="B2488" s="16" t="s">
        <v>58</v>
      </c>
      <c r="C2488" s="9">
        <v>45962</v>
      </c>
      <c r="D2488">
        <v>31</v>
      </c>
      <c r="E2488" s="16" t="s">
        <v>120</v>
      </c>
      <c r="F2488" s="16" t="s">
        <v>92</v>
      </c>
      <c r="G2488" s="22">
        <v>8.25</v>
      </c>
      <c r="H2488" s="18">
        <v>8.3849999999999998</v>
      </c>
      <c r="I2488" s="18">
        <v>1.0163636359999999</v>
      </c>
      <c r="J2488" s="18">
        <v>1.06</v>
      </c>
      <c r="K2488" s="18">
        <v>0.98</v>
      </c>
      <c r="L2488" s="22">
        <v>8</v>
      </c>
    </row>
    <row r="2489" spans="1:12">
      <c r="A2489">
        <v>3</v>
      </c>
      <c r="B2489" s="16" t="s">
        <v>58</v>
      </c>
      <c r="C2489" s="9">
        <v>45992</v>
      </c>
      <c r="D2489">
        <v>31</v>
      </c>
      <c r="E2489" s="16" t="s">
        <v>120</v>
      </c>
      <c r="F2489" s="16" t="s">
        <v>92</v>
      </c>
      <c r="G2489" s="22">
        <v>9</v>
      </c>
      <c r="H2489" s="18">
        <v>9.4049999999999994</v>
      </c>
      <c r="I2489" s="18">
        <v>1.0449999999999999</v>
      </c>
      <c r="J2489" s="18">
        <v>1.06</v>
      </c>
      <c r="K2489" s="18">
        <v>1.02</v>
      </c>
      <c r="L2489" s="22">
        <v>8</v>
      </c>
    </row>
    <row r="2490" spans="1:12">
      <c r="A2490">
        <v>3</v>
      </c>
      <c r="B2490" s="16" t="s">
        <v>58</v>
      </c>
      <c r="C2490" s="9">
        <v>46023</v>
      </c>
      <c r="D2490">
        <v>31</v>
      </c>
      <c r="E2490" s="16" t="s">
        <v>120</v>
      </c>
      <c r="F2490" s="16" t="s">
        <v>92</v>
      </c>
      <c r="G2490" s="22">
        <v>10.5</v>
      </c>
      <c r="H2490" s="18">
        <v>11.13</v>
      </c>
      <c r="I2490" s="18">
        <v>1.06</v>
      </c>
      <c r="J2490" s="18">
        <v>1.08</v>
      </c>
      <c r="K2490" s="18">
        <v>1.04</v>
      </c>
      <c r="L2490" s="22">
        <v>9</v>
      </c>
    </row>
    <row r="2491" spans="1:12">
      <c r="A2491">
        <v>3</v>
      </c>
      <c r="B2491" s="16" t="s">
        <v>58</v>
      </c>
      <c r="C2491" s="9">
        <v>46054</v>
      </c>
      <c r="D2491">
        <v>31</v>
      </c>
      <c r="E2491" s="16" t="s">
        <v>120</v>
      </c>
      <c r="F2491" s="16" t="s">
        <v>92</v>
      </c>
      <c r="G2491" s="22">
        <v>9</v>
      </c>
      <c r="H2491" s="18">
        <v>9.4875000000000007</v>
      </c>
      <c r="I2491" s="18">
        <v>1.0541666670000001</v>
      </c>
      <c r="J2491" s="18">
        <v>1.07</v>
      </c>
      <c r="K2491" s="18">
        <v>1.04</v>
      </c>
      <c r="L2491" s="22">
        <v>8</v>
      </c>
    </row>
    <row r="2492" spans="1:12">
      <c r="A2492">
        <v>3</v>
      </c>
      <c r="B2492" s="16" t="s">
        <v>58</v>
      </c>
      <c r="C2492" s="9">
        <v>46082</v>
      </c>
      <c r="D2492">
        <v>31</v>
      </c>
      <c r="E2492" s="16" t="s">
        <v>120</v>
      </c>
      <c r="F2492" s="16" t="s">
        <v>92</v>
      </c>
      <c r="G2492" s="22">
        <v>9.75</v>
      </c>
      <c r="H2492" s="18">
        <v>9.9824999999999999</v>
      </c>
      <c r="I2492" s="18">
        <v>1.0238461539999999</v>
      </c>
      <c r="J2492" s="18">
        <v>1.04</v>
      </c>
      <c r="K2492" s="18">
        <v>1.01</v>
      </c>
      <c r="L2492" s="22">
        <v>9</v>
      </c>
    </row>
    <row r="2493" spans="1:12">
      <c r="A2493">
        <v>3</v>
      </c>
      <c r="B2493" s="16" t="s">
        <v>58</v>
      </c>
      <c r="C2493" s="9">
        <v>46113</v>
      </c>
      <c r="D2493">
        <v>31</v>
      </c>
      <c r="E2493" s="16" t="s">
        <v>120</v>
      </c>
      <c r="F2493" s="16" t="s">
        <v>92</v>
      </c>
      <c r="G2493" s="22">
        <v>11.25</v>
      </c>
      <c r="H2493" s="18">
        <v>11.0025</v>
      </c>
      <c r="I2493" s="18">
        <v>0.97799999999999998</v>
      </c>
      <c r="J2493" s="18">
        <v>1</v>
      </c>
      <c r="K2493" s="18">
        <v>0.96</v>
      </c>
      <c r="L2493" s="22">
        <v>9</v>
      </c>
    </row>
    <row r="2494" spans="1:12">
      <c r="A2494">
        <v>3</v>
      </c>
      <c r="B2494" s="16" t="s">
        <v>58</v>
      </c>
      <c r="C2494" s="9">
        <v>46143</v>
      </c>
      <c r="D2494">
        <v>31</v>
      </c>
      <c r="E2494" s="16" t="s">
        <v>120</v>
      </c>
      <c r="F2494" s="16" t="s">
        <v>92</v>
      </c>
      <c r="G2494" s="22">
        <v>9.75</v>
      </c>
      <c r="H2494" s="18">
        <v>9.2025000000000006</v>
      </c>
      <c r="I2494" s="18">
        <v>0.94384615400000005</v>
      </c>
      <c r="J2494" s="18">
        <v>0.95</v>
      </c>
      <c r="K2494" s="18">
        <v>0.93</v>
      </c>
      <c r="L2494" s="22">
        <v>8</v>
      </c>
    </row>
    <row r="2495" spans="1:12">
      <c r="A2495">
        <v>3</v>
      </c>
      <c r="B2495" s="16" t="s">
        <v>58</v>
      </c>
      <c r="C2495" s="9">
        <v>46174</v>
      </c>
      <c r="D2495">
        <v>31</v>
      </c>
      <c r="E2495" s="16" t="s">
        <v>120</v>
      </c>
      <c r="F2495" s="16" t="s">
        <v>92</v>
      </c>
      <c r="G2495" s="22">
        <v>12.75</v>
      </c>
      <c r="H2495" s="18">
        <v>11.7075</v>
      </c>
      <c r="I2495" s="18">
        <v>0.91823529400000004</v>
      </c>
      <c r="J2495" s="18">
        <v>0.94</v>
      </c>
      <c r="K2495" s="18">
        <v>0.89</v>
      </c>
      <c r="L2495" s="22">
        <v>9</v>
      </c>
    </row>
    <row r="2496" spans="1:12">
      <c r="A2496">
        <v>3</v>
      </c>
      <c r="B2496" s="16" t="s">
        <v>58</v>
      </c>
      <c r="C2496" s="9">
        <v>46204</v>
      </c>
      <c r="D2496">
        <v>31</v>
      </c>
      <c r="E2496" s="16" t="s">
        <v>120</v>
      </c>
      <c r="F2496" s="16" t="s">
        <v>92</v>
      </c>
      <c r="G2496" s="22">
        <v>12</v>
      </c>
      <c r="H2496" s="18">
        <v>11.16</v>
      </c>
      <c r="I2496" s="18">
        <v>0.93</v>
      </c>
      <c r="J2496" s="18">
        <v>0.96</v>
      </c>
      <c r="K2496" s="18">
        <v>0.9</v>
      </c>
      <c r="L2496" s="22">
        <v>9</v>
      </c>
    </row>
    <row r="2497" spans="1:12">
      <c r="A2497">
        <v>3</v>
      </c>
      <c r="B2497" s="16" t="s">
        <v>58</v>
      </c>
      <c r="C2497" s="9">
        <v>46235</v>
      </c>
      <c r="D2497">
        <v>31</v>
      </c>
      <c r="E2497" s="16" t="s">
        <v>120</v>
      </c>
      <c r="F2497" s="16" t="s">
        <v>92</v>
      </c>
      <c r="G2497" s="22">
        <v>10.5</v>
      </c>
      <c r="H2497" s="18">
        <v>9.93</v>
      </c>
      <c r="I2497" s="18">
        <v>0.94571428599999996</v>
      </c>
      <c r="J2497" s="18">
        <v>0.96</v>
      </c>
      <c r="K2497" s="18">
        <v>0.93</v>
      </c>
      <c r="L2497" s="22">
        <v>9</v>
      </c>
    </row>
    <row r="2498" spans="1:12">
      <c r="A2498">
        <v>3</v>
      </c>
      <c r="B2498" s="16" t="s">
        <v>58</v>
      </c>
      <c r="C2498" s="9">
        <v>46266</v>
      </c>
      <c r="D2498">
        <v>31</v>
      </c>
      <c r="E2498" s="16" t="s">
        <v>120</v>
      </c>
      <c r="F2498" s="16" t="s">
        <v>92</v>
      </c>
      <c r="G2498" s="22">
        <v>9</v>
      </c>
      <c r="H2498" s="18">
        <v>8.7899999999999991</v>
      </c>
      <c r="I2498" s="18">
        <v>0.97666666700000004</v>
      </c>
      <c r="J2498" s="18">
        <v>1</v>
      </c>
      <c r="K2498" s="18">
        <v>0.97</v>
      </c>
      <c r="L2498" s="22">
        <v>8</v>
      </c>
    </row>
    <row r="2499" spans="1:12">
      <c r="A2499">
        <v>3</v>
      </c>
      <c r="B2499" s="16" t="s">
        <v>58</v>
      </c>
      <c r="C2499" s="9">
        <v>45689</v>
      </c>
      <c r="D2499">
        <v>32</v>
      </c>
      <c r="E2499" s="16" t="s">
        <v>121</v>
      </c>
      <c r="F2499" s="16" t="s">
        <v>92</v>
      </c>
      <c r="G2499" s="22">
        <v>20</v>
      </c>
      <c r="H2499" s="18">
        <v>10.64</v>
      </c>
      <c r="I2499" s="18">
        <v>0.53200000000000003</v>
      </c>
      <c r="J2499" s="18">
        <v>0.56000000000000005</v>
      </c>
      <c r="K2499" s="18">
        <v>0.52</v>
      </c>
      <c r="L2499" s="22">
        <v>8</v>
      </c>
    </row>
    <row r="2500" spans="1:12">
      <c r="A2500">
        <v>3</v>
      </c>
      <c r="B2500" s="16" t="s">
        <v>58</v>
      </c>
      <c r="C2500" s="9">
        <v>45717</v>
      </c>
      <c r="D2500">
        <v>32</v>
      </c>
      <c r="E2500" s="16" t="s">
        <v>121</v>
      </c>
      <c r="F2500" s="16" t="s">
        <v>92</v>
      </c>
      <c r="G2500" s="22">
        <v>21.5</v>
      </c>
      <c r="H2500" s="18">
        <v>11.12</v>
      </c>
      <c r="I2500" s="18">
        <v>0.51720930200000004</v>
      </c>
      <c r="J2500" s="18">
        <v>0.54</v>
      </c>
      <c r="K2500" s="18">
        <v>0.51</v>
      </c>
      <c r="L2500" s="22">
        <v>9</v>
      </c>
    </row>
    <row r="2501" spans="1:12">
      <c r="A2501">
        <v>3</v>
      </c>
      <c r="B2501" s="16" t="s">
        <v>58</v>
      </c>
      <c r="C2501" s="9">
        <v>45748</v>
      </c>
      <c r="D2501">
        <v>32</v>
      </c>
      <c r="E2501" s="16" t="s">
        <v>121</v>
      </c>
      <c r="F2501" s="16" t="s">
        <v>92</v>
      </c>
      <c r="G2501" s="22">
        <v>28.5</v>
      </c>
      <c r="H2501" s="18">
        <v>14.125</v>
      </c>
      <c r="I2501" s="18">
        <v>0.49561403500000001</v>
      </c>
      <c r="J2501" s="18">
        <v>0.5</v>
      </c>
      <c r="K2501" s="18">
        <v>0.48</v>
      </c>
      <c r="L2501" s="22">
        <v>8</v>
      </c>
    </row>
    <row r="2502" spans="1:12">
      <c r="A2502">
        <v>3</v>
      </c>
      <c r="B2502" s="16" t="s">
        <v>58</v>
      </c>
      <c r="C2502" s="9">
        <v>45778</v>
      </c>
      <c r="D2502">
        <v>32</v>
      </c>
      <c r="E2502" s="16" t="s">
        <v>121</v>
      </c>
      <c r="F2502" s="16" t="s">
        <v>92</v>
      </c>
      <c r="G2502" s="22">
        <v>29.5</v>
      </c>
      <c r="H2502" s="18">
        <v>13.49</v>
      </c>
      <c r="I2502" s="18">
        <v>0.45728813600000001</v>
      </c>
      <c r="J2502" s="18">
        <v>0.46</v>
      </c>
      <c r="K2502" s="18">
        <v>0.45</v>
      </c>
      <c r="L2502" s="22">
        <v>9</v>
      </c>
    </row>
    <row r="2503" spans="1:12">
      <c r="A2503">
        <v>3</v>
      </c>
      <c r="B2503" s="16" t="s">
        <v>58</v>
      </c>
      <c r="C2503" s="9">
        <v>45809</v>
      </c>
      <c r="D2503">
        <v>32</v>
      </c>
      <c r="E2503" s="16" t="s">
        <v>121</v>
      </c>
      <c r="F2503" s="16" t="s">
        <v>92</v>
      </c>
      <c r="G2503" s="22">
        <v>36</v>
      </c>
      <c r="H2503" s="18">
        <v>15.89</v>
      </c>
      <c r="I2503" s="18">
        <v>0.44138888900000001</v>
      </c>
      <c r="J2503" s="18">
        <v>0.45</v>
      </c>
      <c r="K2503" s="18">
        <v>0.43</v>
      </c>
      <c r="L2503" s="22">
        <v>9</v>
      </c>
    </row>
    <row r="2504" spans="1:12">
      <c r="A2504">
        <v>3</v>
      </c>
      <c r="B2504" s="16" t="s">
        <v>58</v>
      </c>
      <c r="C2504" s="9">
        <v>45839</v>
      </c>
      <c r="D2504">
        <v>32</v>
      </c>
      <c r="E2504" s="16" t="s">
        <v>121</v>
      </c>
      <c r="F2504" s="16" t="s">
        <v>92</v>
      </c>
      <c r="G2504" s="22">
        <v>45.5</v>
      </c>
      <c r="H2504" s="18">
        <v>19.75</v>
      </c>
      <c r="I2504" s="18">
        <v>0.43406593399999999</v>
      </c>
      <c r="J2504" s="18">
        <v>0.44</v>
      </c>
      <c r="K2504" s="18">
        <v>0.43</v>
      </c>
      <c r="L2504" s="22">
        <v>9</v>
      </c>
    </row>
    <row r="2505" spans="1:12">
      <c r="A2505">
        <v>3</v>
      </c>
      <c r="B2505" s="16" t="s">
        <v>58</v>
      </c>
      <c r="C2505" s="9">
        <v>45870</v>
      </c>
      <c r="D2505">
        <v>32</v>
      </c>
      <c r="E2505" s="16" t="s">
        <v>121</v>
      </c>
      <c r="F2505" s="16" t="s">
        <v>92</v>
      </c>
      <c r="G2505" s="22">
        <v>37.5</v>
      </c>
      <c r="H2505" s="18">
        <v>16.46</v>
      </c>
      <c r="I2505" s="18">
        <v>0.43893333299999998</v>
      </c>
      <c r="J2505" s="18">
        <v>0.44</v>
      </c>
      <c r="K2505" s="18">
        <v>0.43</v>
      </c>
      <c r="L2505" s="22">
        <v>8</v>
      </c>
    </row>
    <row r="2506" spans="1:12">
      <c r="A2506">
        <v>3</v>
      </c>
      <c r="B2506" s="16" t="s">
        <v>58</v>
      </c>
      <c r="C2506" s="9">
        <v>45901</v>
      </c>
      <c r="D2506">
        <v>32</v>
      </c>
      <c r="E2506" s="16" t="s">
        <v>121</v>
      </c>
      <c r="F2506" s="16" t="s">
        <v>92</v>
      </c>
      <c r="G2506" s="22">
        <v>30</v>
      </c>
      <c r="H2506" s="18">
        <v>13.605</v>
      </c>
      <c r="I2506" s="18">
        <v>0.45350000000000001</v>
      </c>
      <c r="J2506" s="18">
        <v>0.46</v>
      </c>
      <c r="K2506" s="18">
        <v>0.44</v>
      </c>
      <c r="L2506" s="22">
        <v>9</v>
      </c>
    </row>
    <row r="2507" spans="1:12">
      <c r="A2507">
        <v>3</v>
      </c>
      <c r="B2507" s="16" t="s">
        <v>58</v>
      </c>
      <c r="C2507" s="9">
        <v>45931</v>
      </c>
      <c r="D2507">
        <v>32</v>
      </c>
      <c r="E2507" s="16" t="s">
        <v>121</v>
      </c>
      <c r="F2507" s="16" t="s">
        <v>92</v>
      </c>
      <c r="G2507" s="22">
        <v>25</v>
      </c>
      <c r="H2507" s="18">
        <v>11.935</v>
      </c>
      <c r="I2507" s="18">
        <v>0.47739999999999999</v>
      </c>
      <c r="J2507" s="18">
        <v>0.48</v>
      </c>
      <c r="K2507" s="18">
        <v>0.47</v>
      </c>
      <c r="L2507" s="22">
        <v>9</v>
      </c>
    </row>
    <row r="2508" spans="1:12">
      <c r="A2508">
        <v>3</v>
      </c>
      <c r="B2508" s="16" t="s">
        <v>58</v>
      </c>
      <c r="C2508" s="9">
        <v>45962</v>
      </c>
      <c r="D2508">
        <v>32</v>
      </c>
      <c r="E2508" s="16" t="s">
        <v>121</v>
      </c>
      <c r="F2508" s="16" t="s">
        <v>92</v>
      </c>
      <c r="G2508" s="22">
        <v>18</v>
      </c>
      <c r="H2508" s="18">
        <v>9.0649999999999995</v>
      </c>
      <c r="I2508" s="18">
        <v>0.503611111</v>
      </c>
      <c r="J2508" s="18">
        <v>0.51</v>
      </c>
      <c r="K2508" s="18">
        <v>0.49</v>
      </c>
      <c r="L2508" s="22">
        <v>8</v>
      </c>
    </row>
    <row r="2509" spans="1:12">
      <c r="A2509">
        <v>3</v>
      </c>
      <c r="B2509" s="16" t="s">
        <v>58</v>
      </c>
      <c r="C2509" s="9">
        <v>45992</v>
      </c>
      <c r="D2509">
        <v>32</v>
      </c>
      <c r="E2509" s="16" t="s">
        <v>121</v>
      </c>
      <c r="F2509" s="16" t="s">
        <v>92</v>
      </c>
      <c r="G2509" s="22">
        <v>19</v>
      </c>
      <c r="H2509" s="18">
        <v>10.01</v>
      </c>
      <c r="I2509" s="18">
        <v>0.52684210499999995</v>
      </c>
      <c r="J2509" s="18">
        <v>0.56999999999999995</v>
      </c>
      <c r="K2509" s="18">
        <v>0.52</v>
      </c>
      <c r="L2509" s="22">
        <v>9</v>
      </c>
    </row>
    <row r="2510" spans="1:12">
      <c r="A2510">
        <v>3</v>
      </c>
      <c r="B2510" s="16" t="s">
        <v>58</v>
      </c>
      <c r="C2510" s="9">
        <v>46023</v>
      </c>
      <c r="D2510">
        <v>32</v>
      </c>
      <c r="E2510" s="16" t="s">
        <v>121</v>
      </c>
      <c r="F2510" s="16" t="s">
        <v>92</v>
      </c>
      <c r="G2510" s="22">
        <v>22</v>
      </c>
      <c r="H2510" s="18">
        <v>11.65</v>
      </c>
      <c r="I2510" s="18">
        <v>0.52954545500000005</v>
      </c>
      <c r="J2510" s="18">
        <v>0.54</v>
      </c>
      <c r="K2510" s="18">
        <v>0.52</v>
      </c>
      <c r="L2510" s="22">
        <v>9</v>
      </c>
    </row>
    <row r="2511" spans="1:12">
      <c r="A2511">
        <v>3</v>
      </c>
      <c r="B2511" s="16" t="s">
        <v>58</v>
      </c>
      <c r="C2511" s="9">
        <v>46054</v>
      </c>
      <c r="D2511">
        <v>32</v>
      </c>
      <c r="E2511" s="16" t="s">
        <v>121</v>
      </c>
      <c r="F2511" s="16" t="s">
        <v>92</v>
      </c>
      <c r="G2511" s="22">
        <v>19.5</v>
      </c>
      <c r="H2511" s="18">
        <v>10.265000000000001</v>
      </c>
      <c r="I2511" s="18">
        <v>0.52641025600000002</v>
      </c>
      <c r="J2511" s="18">
        <v>0.53</v>
      </c>
      <c r="K2511" s="18">
        <v>0.52</v>
      </c>
      <c r="L2511" s="22">
        <v>8</v>
      </c>
    </row>
    <row r="2512" spans="1:12">
      <c r="A2512">
        <v>3</v>
      </c>
      <c r="B2512" s="16" t="s">
        <v>58</v>
      </c>
      <c r="C2512" s="9">
        <v>46082</v>
      </c>
      <c r="D2512">
        <v>32</v>
      </c>
      <c r="E2512" s="16" t="s">
        <v>121</v>
      </c>
      <c r="F2512" s="16" t="s">
        <v>92</v>
      </c>
      <c r="G2512" s="22">
        <v>21</v>
      </c>
      <c r="H2512" s="18">
        <v>10.695</v>
      </c>
      <c r="I2512" s="18">
        <v>0.509285714</v>
      </c>
      <c r="J2512" s="18">
        <v>0.51</v>
      </c>
      <c r="K2512" s="18">
        <v>0.5</v>
      </c>
      <c r="L2512" s="22">
        <v>9</v>
      </c>
    </row>
    <row r="2513" spans="1:12">
      <c r="A2513">
        <v>3</v>
      </c>
      <c r="B2513" s="16" t="s">
        <v>58</v>
      </c>
      <c r="C2513" s="9">
        <v>46113</v>
      </c>
      <c r="D2513">
        <v>32</v>
      </c>
      <c r="E2513" s="16" t="s">
        <v>121</v>
      </c>
      <c r="F2513" s="16" t="s">
        <v>92</v>
      </c>
      <c r="G2513" s="22">
        <v>26.5</v>
      </c>
      <c r="H2513" s="18">
        <v>12.8</v>
      </c>
      <c r="I2513" s="18">
        <v>0.48301886799999999</v>
      </c>
      <c r="J2513" s="18">
        <v>0.49</v>
      </c>
      <c r="K2513" s="18">
        <v>0.47</v>
      </c>
      <c r="L2513" s="22">
        <v>9</v>
      </c>
    </row>
    <row r="2514" spans="1:12">
      <c r="A2514">
        <v>3</v>
      </c>
      <c r="B2514" s="16" t="s">
        <v>58</v>
      </c>
      <c r="C2514" s="9">
        <v>46143</v>
      </c>
      <c r="D2514">
        <v>32</v>
      </c>
      <c r="E2514" s="16" t="s">
        <v>121</v>
      </c>
      <c r="F2514" s="16" t="s">
        <v>92</v>
      </c>
      <c r="G2514" s="22">
        <v>27</v>
      </c>
      <c r="H2514" s="18">
        <v>12.49</v>
      </c>
      <c r="I2514" s="18">
        <v>0.462592593</v>
      </c>
      <c r="J2514" s="18">
        <v>0.47</v>
      </c>
      <c r="K2514" s="18">
        <v>0.45</v>
      </c>
      <c r="L2514" s="22">
        <v>8</v>
      </c>
    </row>
    <row r="2515" spans="1:12">
      <c r="A2515">
        <v>3</v>
      </c>
      <c r="B2515" s="16" t="s">
        <v>58</v>
      </c>
      <c r="C2515" s="9">
        <v>46174</v>
      </c>
      <c r="D2515">
        <v>32</v>
      </c>
      <c r="E2515" s="16" t="s">
        <v>121</v>
      </c>
      <c r="F2515" s="16" t="s">
        <v>92</v>
      </c>
      <c r="G2515" s="22">
        <v>32.5</v>
      </c>
      <c r="H2515" s="18">
        <v>14.46</v>
      </c>
      <c r="I2515" s="18">
        <v>0.444923077</v>
      </c>
      <c r="J2515" s="18">
        <v>0.46</v>
      </c>
      <c r="K2515" s="18">
        <v>0.43</v>
      </c>
      <c r="L2515" s="22">
        <v>9</v>
      </c>
    </row>
    <row r="2516" spans="1:12">
      <c r="A2516">
        <v>3</v>
      </c>
      <c r="B2516" s="16" t="s">
        <v>58</v>
      </c>
      <c r="C2516" s="9">
        <v>46204</v>
      </c>
      <c r="D2516">
        <v>32</v>
      </c>
      <c r="E2516" s="16" t="s">
        <v>121</v>
      </c>
      <c r="F2516" s="16" t="s">
        <v>92</v>
      </c>
      <c r="G2516" s="22">
        <v>32</v>
      </c>
      <c r="H2516" s="18">
        <v>14.085000000000001</v>
      </c>
      <c r="I2516" s="18">
        <v>0.44015625000000003</v>
      </c>
      <c r="J2516" s="18">
        <v>0.45</v>
      </c>
      <c r="K2516" s="18">
        <v>0.43</v>
      </c>
      <c r="L2516" s="22">
        <v>9</v>
      </c>
    </row>
    <row r="2517" spans="1:12">
      <c r="A2517">
        <v>3</v>
      </c>
      <c r="B2517" s="16" t="s">
        <v>58</v>
      </c>
      <c r="C2517" s="9">
        <v>46235</v>
      </c>
      <c r="D2517">
        <v>32</v>
      </c>
      <c r="E2517" s="16" t="s">
        <v>121</v>
      </c>
      <c r="F2517" s="16" t="s">
        <v>92</v>
      </c>
      <c r="G2517" s="22">
        <v>28</v>
      </c>
      <c r="H2517" s="18">
        <v>12.48</v>
      </c>
      <c r="I2517" s="18">
        <v>0.44571428600000002</v>
      </c>
      <c r="J2517" s="18">
        <v>0.45</v>
      </c>
      <c r="K2517" s="18">
        <v>0.44</v>
      </c>
      <c r="L2517" s="22">
        <v>9</v>
      </c>
    </row>
    <row r="2518" spans="1:12">
      <c r="A2518">
        <v>3</v>
      </c>
      <c r="B2518" s="16" t="s">
        <v>58</v>
      </c>
      <c r="C2518" s="9">
        <v>46266</v>
      </c>
      <c r="D2518">
        <v>32</v>
      </c>
      <c r="E2518" s="16" t="s">
        <v>121</v>
      </c>
      <c r="F2518" s="16" t="s">
        <v>92</v>
      </c>
      <c r="G2518" s="22">
        <v>21.5</v>
      </c>
      <c r="H2518" s="18">
        <v>10.210000000000001</v>
      </c>
      <c r="I2518" s="18">
        <v>0.47488372099999998</v>
      </c>
      <c r="J2518" s="18">
        <v>0.5</v>
      </c>
      <c r="K2518" s="18">
        <v>0.46</v>
      </c>
      <c r="L2518" s="22">
        <v>8</v>
      </c>
    </row>
    <row r="2519" spans="1:12">
      <c r="A2519">
        <v>3</v>
      </c>
      <c r="B2519" s="16" t="s">
        <v>58</v>
      </c>
      <c r="C2519" s="9">
        <v>45689</v>
      </c>
      <c r="D2519">
        <v>33</v>
      </c>
      <c r="E2519" s="16" t="s">
        <v>122</v>
      </c>
      <c r="F2519" s="16" t="s">
        <v>92</v>
      </c>
      <c r="G2519" s="22">
        <v>96</v>
      </c>
      <c r="H2519" s="18">
        <v>72.36</v>
      </c>
      <c r="I2519" s="18">
        <v>0.75375000000000003</v>
      </c>
      <c r="J2519" s="18">
        <v>0.76</v>
      </c>
      <c r="K2519" s="18">
        <v>0.75</v>
      </c>
      <c r="L2519" s="22">
        <v>8</v>
      </c>
    </row>
    <row r="2520" spans="1:12">
      <c r="A2520">
        <v>3</v>
      </c>
      <c r="B2520" s="16" t="s">
        <v>58</v>
      </c>
      <c r="C2520" s="9">
        <v>45717</v>
      </c>
      <c r="D2520">
        <v>33</v>
      </c>
      <c r="E2520" s="16" t="s">
        <v>122</v>
      </c>
      <c r="F2520" s="16" t="s">
        <v>92</v>
      </c>
      <c r="G2520" s="22">
        <v>100</v>
      </c>
      <c r="H2520" s="18">
        <v>74</v>
      </c>
      <c r="I2520" s="18">
        <v>0.74</v>
      </c>
      <c r="J2520" s="18">
        <v>0.76</v>
      </c>
      <c r="K2520" s="18">
        <v>0.73</v>
      </c>
      <c r="L2520" s="22">
        <v>9</v>
      </c>
    </row>
    <row r="2521" spans="1:12">
      <c r="A2521">
        <v>3</v>
      </c>
      <c r="B2521" s="16" t="s">
        <v>58</v>
      </c>
      <c r="C2521" s="9">
        <v>45748</v>
      </c>
      <c r="D2521">
        <v>33</v>
      </c>
      <c r="E2521" s="16" t="s">
        <v>122</v>
      </c>
      <c r="F2521" s="16" t="s">
        <v>92</v>
      </c>
      <c r="G2521" s="22">
        <v>136</v>
      </c>
      <c r="H2521" s="18">
        <v>96.52</v>
      </c>
      <c r="I2521" s="18">
        <v>0.70970588199999995</v>
      </c>
      <c r="J2521" s="18">
        <v>0.73</v>
      </c>
      <c r="K2521" s="18">
        <v>0.7</v>
      </c>
      <c r="L2521" s="22">
        <v>8</v>
      </c>
    </row>
    <row r="2522" spans="1:12">
      <c r="A2522">
        <v>3</v>
      </c>
      <c r="B2522" s="16" t="s">
        <v>58</v>
      </c>
      <c r="C2522" s="9">
        <v>45778</v>
      </c>
      <c r="D2522">
        <v>33</v>
      </c>
      <c r="E2522" s="16" t="s">
        <v>122</v>
      </c>
      <c r="F2522" s="16" t="s">
        <v>92</v>
      </c>
      <c r="G2522" s="22">
        <v>140</v>
      </c>
      <c r="H2522" s="18">
        <v>96.14</v>
      </c>
      <c r="I2522" s="18">
        <v>0.68671428599999995</v>
      </c>
      <c r="J2522" s="18">
        <v>0.7</v>
      </c>
      <c r="K2522" s="18">
        <v>0.68</v>
      </c>
      <c r="L2522" s="22">
        <v>9</v>
      </c>
    </row>
    <row r="2523" spans="1:12">
      <c r="A2523">
        <v>3</v>
      </c>
      <c r="B2523" s="16" t="s">
        <v>58</v>
      </c>
      <c r="C2523" s="9">
        <v>45809</v>
      </c>
      <c r="D2523">
        <v>33</v>
      </c>
      <c r="E2523" s="16" t="s">
        <v>122</v>
      </c>
      <c r="F2523" s="16" t="s">
        <v>92</v>
      </c>
      <c r="G2523" s="22">
        <v>156</v>
      </c>
      <c r="H2523" s="18">
        <v>104.8</v>
      </c>
      <c r="I2523" s="18">
        <v>0.67179487199999999</v>
      </c>
      <c r="J2523" s="18">
        <v>0.69</v>
      </c>
      <c r="K2523" s="18">
        <v>0.65</v>
      </c>
      <c r="L2523" s="22">
        <v>9</v>
      </c>
    </row>
    <row r="2524" spans="1:12">
      <c r="A2524">
        <v>3</v>
      </c>
      <c r="B2524" s="16" t="s">
        <v>58</v>
      </c>
      <c r="C2524" s="9">
        <v>45839</v>
      </c>
      <c r="D2524">
        <v>33</v>
      </c>
      <c r="E2524" s="16" t="s">
        <v>122</v>
      </c>
      <c r="F2524" s="16" t="s">
        <v>92</v>
      </c>
      <c r="G2524" s="22">
        <v>196</v>
      </c>
      <c r="H2524" s="18">
        <v>130.4</v>
      </c>
      <c r="I2524" s="18">
        <v>0.66530612200000006</v>
      </c>
      <c r="J2524" s="18">
        <v>0.68</v>
      </c>
      <c r="K2524" s="18">
        <v>0.66</v>
      </c>
      <c r="L2524" s="22">
        <v>9</v>
      </c>
    </row>
    <row r="2525" spans="1:12">
      <c r="A2525">
        <v>3</v>
      </c>
      <c r="B2525" s="16" t="s">
        <v>58</v>
      </c>
      <c r="C2525" s="9">
        <v>45870</v>
      </c>
      <c r="D2525">
        <v>33</v>
      </c>
      <c r="E2525" s="16" t="s">
        <v>122</v>
      </c>
      <c r="F2525" s="16" t="s">
        <v>92</v>
      </c>
      <c r="G2525" s="22">
        <v>164</v>
      </c>
      <c r="H2525" s="18">
        <v>110.28</v>
      </c>
      <c r="I2525" s="18">
        <v>0.672439024</v>
      </c>
      <c r="J2525" s="18">
        <v>0.69</v>
      </c>
      <c r="K2525" s="18">
        <v>0.66</v>
      </c>
      <c r="L2525" s="22">
        <v>8</v>
      </c>
    </row>
    <row r="2526" spans="1:12">
      <c r="A2526">
        <v>3</v>
      </c>
      <c r="B2526" s="16" t="s">
        <v>58</v>
      </c>
      <c r="C2526" s="9">
        <v>45901</v>
      </c>
      <c r="D2526">
        <v>33</v>
      </c>
      <c r="E2526" s="16" t="s">
        <v>122</v>
      </c>
      <c r="F2526" s="16" t="s">
        <v>92</v>
      </c>
      <c r="G2526" s="22">
        <v>136</v>
      </c>
      <c r="H2526" s="18">
        <v>94.6</v>
      </c>
      <c r="I2526" s="18">
        <v>0.695588235</v>
      </c>
      <c r="J2526" s="18">
        <v>0.72</v>
      </c>
      <c r="K2526" s="18">
        <v>0.68</v>
      </c>
      <c r="L2526" s="22">
        <v>9</v>
      </c>
    </row>
    <row r="2527" spans="1:12">
      <c r="A2527">
        <v>3</v>
      </c>
      <c r="B2527" s="16" t="s">
        <v>58</v>
      </c>
      <c r="C2527" s="9">
        <v>45931</v>
      </c>
      <c r="D2527">
        <v>33</v>
      </c>
      <c r="E2527" s="16" t="s">
        <v>122</v>
      </c>
      <c r="F2527" s="16" t="s">
        <v>92</v>
      </c>
      <c r="G2527" s="22">
        <v>120</v>
      </c>
      <c r="H2527" s="18">
        <v>86.78</v>
      </c>
      <c r="I2527" s="18">
        <v>0.72316666699999999</v>
      </c>
      <c r="J2527" s="18">
        <v>0.74</v>
      </c>
      <c r="K2527" s="18">
        <v>0.7</v>
      </c>
      <c r="L2527" s="22">
        <v>9</v>
      </c>
    </row>
    <row r="2528" spans="1:12">
      <c r="A2528">
        <v>3</v>
      </c>
      <c r="B2528" s="16" t="s">
        <v>58</v>
      </c>
      <c r="C2528" s="9">
        <v>45962</v>
      </c>
      <c r="D2528">
        <v>33</v>
      </c>
      <c r="E2528" s="16" t="s">
        <v>122</v>
      </c>
      <c r="F2528" s="16" t="s">
        <v>92</v>
      </c>
      <c r="G2528" s="22">
        <v>86</v>
      </c>
      <c r="H2528" s="18">
        <v>64.28</v>
      </c>
      <c r="I2528" s="18">
        <v>0.74744186000000001</v>
      </c>
      <c r="J2528" s="18">
        <v>0.76</v>
      </c>
      <c r="K2528" s="18">
        <v>0.74</v>
      </c>
      <c r="L2528" s="22">
        <v>8</v>
      </c>
    </row>
    <row r="2529" spans="1:12">
      <c r="A2529">
        <v>3</v>
      </c>
      <c r="B2529" s="16" t="s">
        <v>58</v>
      </c>
      <c r="C2529" s="9">
        <v>45992</v>
      </c>
      <c r="D2529">
        <v>33</v>
      </c>
      <c r="E2529" s="16" t="s">
        <v>122</v>
      </c>
      <c r="F2529" s="16" t="s">
        <v>92</v>
      </c>
      <c r="G2529" s="22">
        <v>90</v>
      </c>
      <c r="H2529" s="18">
        <v>70.180000000000007</v>
      </c>
      <c r="I2529" s="18">
        <v>0.77977777800000003</v>
      </c>
      <c r="J2529" s="18">
        <v>0.79</v>
      </c>
      <c r="K2529" s="18">
        <v>0.77</v>
      </c>
      <c r="L2529" s="22">
        <v>9</v>
      </c>
    </row>
    <row r="2530" spans="1:12">
      <c r="A2530">
        <v>3</v>
      </c>
      <c r="B2530" s="16" t="s">
        <v>58</v>
      </c>
      <c r="C2530" s="9">
        <v>46023</v>
      </c>
      <c r="D2530">
        <v>33</v>
      </c>
      <c r="E2530" s="16" t="s">
        <v>122</v>
      </c>
      <c r="F2530" s="16" t="s">
        <v>92</v>
      </c>
      <c r="G2530" s="22">
        <v>100</v>
      </c>
      <c r="H2530" s="18">
        <v>78.680000000000007</v>
      </c>
      <c r="I2530" s="18">
        <v>0.78680000000000005</v>
      </c>
      <c r="J2530" s="18">
        <v>0.8</v>
      </c>
      <c r="K2530" s="18">
        <v>0.77</v>
      </c>
      <c r="L2530" s="22">
        <v>9</v>
      </c>
    </row>
    <row r="2531" spans="1:12">
      <c r="A2531">
        <v>3</v>
      </c>
      <c r="B2531" s="16" t="s">
        <v>58</v>
      </c>
      <c r="C2531" s="9">
        <v>46054</v>
      </c>
      <c r="D2531">
        <v>33</v>
      </c>
      <c r="E2531" s="16" t="s">
        <v>122</v>
      </c>
      <c r="F2531" s="16" t="s">
        <v>92</v>
      </c>
      <c r="G2531" s="22">
        <v>96</v>
      </c>
      <c r="H2531" s="18">
        <v>74.459999999999994</v>
      </c>
      <c r="I2531" s="18">
        <v>0.77562500000000001</v>
      </c>
      <c r="J2531" s="18">
        <v>0.79</v>
      </c>
      <c r="K2531" s="18">
        <v>0.76</v>
      </c>
      <c r="L2531" s="22">
        <v>8</v>
      </c>
    </row>
    <row r="2532" spans="1:12">
      <c r="A2532">
        <v>3</v>
      </c>
      <c r="B2532" s="16" t="s">
        <v>58</v>
      </c>
      <c r="C2532" s="9">
        <v>46082</v>
      </c>
      <c r="D2532">
        <v>33</v>
      </c>
      <c r="E2532" s="16" t="s">
        <v>122</v>
      </c>
      <c r="F2532" s="16" t="s">
        <v>92</v>
      </c>
      <c r="G2532" s="22">
        <v>100</v>
      </c>
      <c r="H2532" s="18">
        <v>75.98</v>
      </c>
      <c r="I2532" s="18">
        <v>0.75980000000000003</v>
      </c>
      <c r="J2532" s="18">
        <v>0.78</v>
      </c>
      <c r="K2532" s="18">
        <v>0.74</v>
      </c>
      <c r="L2532" s="22">
        <v>9</v>
      </c>
    </row>
    <row r="2533" spans="1:12">
      <c r="A2533">
        <v>3</v>
      </c>
      <c r="B2533" s="16" t="s">
        <v>58</v>
      </c>
      <c r="C2533" s="9">
        <v>46113</v>
      </c>
      <c r="D2533">
        <v>33</v>
      </c>
      <c r="E2533" s="16" t="s">
        <v>122</v>
      </c>
      <c r="F2533" s="16" t="s">
        <v>92</v>
      </c>
      <c r="G2533" s="22">
        <v>128</v>
      </c>
      <c r="H2533" s="18">
        <v>94.14</v>
      </c>
      <c r="I2533" s="18">
        <v>0.73546875</v>
      </c>
      <c r="J2533" s="18">
        <v>0.75</v>
      </c>
      <c r="K2533" s="18">
        <v>0.72</v>
      </c>
      <c r="L2533" s="22">
        <v>9</v>
      </c>
    </row>
    <row r="2534" spans="1:12">
      <c r="A2534">
        <v>3</v>
      </c>
      <c r="B2534" s="16" t="s">
        <v>58</v>
      </c>
      <c r="C2534" s="9">
        <v>46143</v>
      </c>
      <c r="D2534">
        <v>33</v>
      </c>
      <c r="E2534" s="16" t="s">
        <v>122</v>
      </c>
      <c r="F2534" s="16" t="s">
        <v>92</v>
      </c>
      <c r="G2534" s="22">
        <v>120</v>
      </c>
      <c r="H2534" s="18">
        <v>84.34</v>
      </c>
      <c r="I2534" s="18">
        <v>0.70283333299999995</v>
      </c>
      <c r="J2534" s="18">
        <v>0.72</v>
      </c>
      <c r="K2534" s="18">
        <v>0.69</v>
      </c>
      <c r="L2534" s="22">
        <v>8</v>
      </c>
    </row>
    <row r="2535" spans="1:12">
      <c r="A2535">
        <v>3</v>
      </c>
      <c r="B2535" s="16" t="s">
        <v>58</v>
      </c>
      <c r="C2535" s="9">
        <v>46174</v>
      </c>
      <c r="D2535">
        <v>33</v>
      </c>
      <c r="E2535" s="16" t="s">
        <v>122</v>
      </c>
      <c r="F2535" s="16" t="s">
        <v>92</v>
      </c>
      <c r="G2535" s="22">
        <v>154</v>
      </c>
      <c r="H2535" s="18">
        <v>105.52</v>
      </c>
      <c r="I2535" s="18">
        <v>0.68519480499999996</v>
      </c>
      <c r="J2535" s="18">
        <v>0.7</v>
      </c>
      <c r="K2535" s="18">
        <v>0.67</v>
      </c>
      <c r="L2535" s="22">
        <v>9</v>
      </c>
    </row>
    <row r="2536" spans="1:12">
      <c r="A2536">
        <v>3</v>
      </c>
      <c r="B2536" s="16" t="s">
        <v>58</v>
      </c>
      <c r="C2536" s="9">
        <v>46204</v>
      </c>
      <c r="D2536">
        <v>33</v>
      </c>
      <c r="E2536" s="16" t="s">
        <v>122</v>
      </c>
      <c r="F2536" s="16" t="s">
        <v>92</v>
      </c>
      <c r="G2536" s="22">
        <v>150</v>
      </c>
      <c r="H2536" s="18">
        <v>102.64</v>
      </c>
      <c r="I2536" s="18">
        <v>0.68426666700000005</v>
      </c>
      <c r="J2536" s="18">
        <v>0.69</v>
      </c>
      <c r="K2536" s="18">
        <v>0.68</v>
      </c>
      <c r="L2536" s="22">
        <v>9</v>
      </c>
    </row>
    <row r="2537" spans="1:12">
      <c r="A2537">
        <v>3</v>
      </c>
      <c r="B2537" s="16" t="s">
        <v>58</v>
      </c>
      <c r="C2537" s="9">
        <v>46235</v>
      </c>
      <c r="D2537">
        <v>33</v>
      </c>
      <c r="E2537" s="16" t="s">
        <v>122</v>
      </c>
      <c r="F2537" s="16" t="s">
        <v>92</v>
      </c>
      <c r="G2537" s="22">
        <v>128</v>
      </c>
      <c r="H2537" s="18">
        <v>88.52</v>
      </c>
      <c r="I2537" s="18">
        <v>0.69156249999999997</v>
      </c>
      <c r="J2537" s="18">
        <v>0.72</v>
      </c>
      <c r="K2537" s="18">
        <v>0.68</v>
      </c>
      <c r="L2537" s="22">
        <v>9</v>
      </c>
    </row>
    <row r="2538" spans="1:12">
      <c r="A2538">
        <v>3</v>
      </c>
      <c r="B2538" s="16" t="s">
        <v>58</v>
      </c>
      <c r="C2538" s="9">
        <v>46266</v>
      </c>
      <c r="D2538">
        <v>33</v>
      </c>
      <c r="E2538" s="16" t="s">
        <v>122</v>
      </c>
      <c r="F2538" s="16" t="s">
        <v>92</v>
      </c>
      <c r="G2538" s="22">
        <v>96</v>
      </c>
      <c r="H2538" s="18">
        <v>68.28</v>
      </c>
      <c r="I2538" s="18">
        <v>0.71125000000000005</v>
      </c>
      <c r="J2538" s="18">
        <v>0.72</v>
      </c>
      <c r="K2538" s="18">
        <v>0.7</v>
      </c>
      <c r="L2538" s="22">
        <v>8</v>
      </c>
    </row>
    <row r="2539" spans="1:12">
      <c r="A2539">
        <v>3</v>
      </c>
      <c r="B2539" s="16" t="s">
        <v>58</v>
      </c>
      <c r="C2539" s="9">
        <v>45689</v>
      </c>
      <c r="D2539">
        <v>36</v>
      </c>
      <c r="E2539" s="16" t="s">
        <v>125</v>
      </c>
      <c r="F2539" s="16" t="s">
        <v>98</v>
      </c>
      <c r="G2539" s="22">
        <v>20</v>
      </c>
      <c r="H2539" s="18">
        <v>45</v>
      </c>
      <c r="I2539" s="18">
        <v>2.25</v>
      </c>
      <c r="J2539" s="18">
        <v>2.25</v>
      </c>
      <c r="K2539" s="18">
        <v>2.25</v>
      </c>
      <c r="L2539" s="22">
        <v>1</v>
      </c>
    </row>
    <row r="2540" spans="1:12">
      <c r="A2540">
        <v>3</v>
      </c>
      <c r="B2540" s="16" t="s">
        <v>58</v>
      </c>
      <c r="C2540" s="9">
        <v>45717</v>
      </c>
      <c r="D2540">
        <v>36</v>
      </c>
      <c r="E2540" s="16" t="s">
        <v>125</v>
      </c>
      <c r="F2540" s="16" t="s">
        <v>98</v>
      </c>
      <c r="G2540" s="22">
        <v>20</v>
      </c>
      <c r="H2540" s="18">
        <v>45.6</v>
      </c>
      <c r="I2540" s="18">
        <v>2.2799999999999998</v>
      </c>
      <c r="J2540" s="18">
        <v>2.2799999999999998</v>
      </c>
      <c r="K2540" s="18">
        <v>2.2799999999999998</v>
      </c>
      <c r="L2540" s="22">
        <v>1</v>
      </c>
    </row>
    <row r="2541" spans="1:12">
      <c r="A2541">
        <v>3</v>
      </c>
      <c r="B2541" s="16" t="s">
        <v>58</v>
      </c>
      <c r="C2541" s="9">
        <v>45748</v>
      </c>
      <c r="D2541">
        <v>36</v>
      </c>
      <c r="E2541" s="16" t="s">
        <v>125</v>
      </c>
      <c r="F2541" s="16" t="s">
        <v>98</v>
      </c>
      <c r="G2541" s="22">
        <v>60</v>
      </c>
      <c r="H2541" s="18">
        <v>136.6</v>
      </c>
      <c r="I2541" s="18">
        <v>2.2766666670000002</v>
      </c>
      <c r="J2541" s="18">
        <v>2.2999999999999998</v>
      </c>
      <c r="K2541" s="18">
        <v>2.2599999999999998</v>
      </c>
      <c r="L2541" s="22">
        <v>3</v>
      </c>
    </row>
    <row r="2542" spans="1:12">
      <c r="A2542">
        <v>3</v>
      </c>
      <c r="B2542" s="16" t="s">
        <v>58</v>
      </c>
      <c r="C2542" s="9">
        <v>45778</v>
      </c>
      <c r="D2542">
        <v>36</v>
      </c>
      <c r="E2542" s="16" t="s">
        <v>125</v>
      </c>
      <c r="F2542" s="16" t="s">
        <v>98</v>
      </c>
      <c r="G2542" s="22">
        <v>20</v>
      </c>
      <c r="H2542" s="18">
        <v>47.6</v>
      </c>
      <c r="I2542" s="18">
        <v>2.38</v>
      </c>
      <c r="J2542" s="18">
        <v>2.38</v>
      </c>
      <c r="K2542" s="18">
        <v>2.38</v>
      </c>
      <c r="L2542" s="22">
        <v>1</v>
      </c>
    </row>
    <row r="2543" spans="1:12">
      <c r="A2543">
        <v>3</v>
      </c>
      <c r="B2543" s="16" t="s">
        <v>58</v>
      </c>
      <c r="C2543" s="9">
        <v>45809</v>
      </c>
      <c r="D2543">
        <v>36</v>
      </c>
      <c r="E2543" s="16" t="s">
        <v>125</v>
      </c>
      <c r="F2543" s="16" t="s">
        <v>98</v>
      </c>
      <c r="G2543" s="22">
        <v>20</v>
      </c>
      <c r="H2543" s="18">
        <v>47.2</v>
      </c>
      <c r="I2543" s="18">
        <v>2.36</v>
      </c>
      <c r="J2543" s="18">
        <v>2.36</v>
      </c>
      <c r="K2543" s="18">
        <v>2.36</v>
      </c>
      <c r="L2543" s="22">
        <v>1</v>
      </c>
    </row>
    <row r="2544" spans="1:12">
      <c r="A2544">
        <v>3</v>
      </c>
      <c r="B2544" s="16" t="s">
        <v>58</v>
      </c>
      <c r="C2544" s="9">
        <v>45839</v>
      </c>
      <c r="D2544">
        <v>36</v>
      </c>
      <c r="E2544" s="16" t="s">
        <v>125</v>
      </c>
      <c r="F2544" s="16" t="s">
        <v>98</v>
      </c>
      <c r="G2544" s="22">
        <v>20</v>
      </c>
      <c r="H2544" s="18">
        <v>46.6</v>
      </c>
      <c r="I2544" s="18">
        <v>2.33</v>
      </c>
      <c r="J2544" s="18">
        <v>2.33</v>
      </c>
      <c r="K2544" s="18">
        <v>2.33</v>
      </c>
      <c r="L2544" s="22">
        <v>1</v>
      </c>
    </row>
    <row r="2545" spans="1:12">
      <c r="A2545">
        <v>3</v>
      </c>
      <c r="B2545" s="16" t="s">
        <v>58</v>
      </c>
      <c r="C2545" s="9">
        <v>45870</v>
      </c>
      <c r="D2545">
        <v>36</v>
      </c>
      <c r="E2545" s="16" t="s">
        <v>125</v>
      </c>
      <c r="F2545" s="16" t="s">
        <v>98</v>
      </c>
      <c r="G2545" s="22">
        <v>20</v>
      </c>
      <c r="H2545" s="18">
        <v>45.8</v>
      </c>
      <c r="I2545" s="18">
        <v>2.29</v>
      </c>
      <c r="J2545" s="18">
        <v>2.29</v>
      </c>
      <c r="K2545" s="18">
        <v>2.29</v>
      </c>
      <c r="L2545" s="22">
        <v>1</v>
      </c>
    </row>
    <row r="2546" spans="1:12">
      <c r="A2546">
        <v>3</v>
      </c>
      <c r="B2546" s="16" t="s">
        <v>58</v>
      </c>
      <c r="C2546" s="9">
        <v>45901</v>
      </c>
      <c r="D2546">
        <v>36</v>
      </c>
      <c r="E2546" s="16" t="s">
        <v>125</v>
      </c>
      <c r="F2546" s="16" t="s">
        <v>98</v>
      </c>
      <c r="G2546" s="22">
        <v>40</v>
      </c>
      <c r="H2546" s="18">
        <v>92.2</v>
      </c>
      <c r="I2546" s="18">
        <v>2.3050000000000002</v>
      </c>
      <c r="J2546" s="18">
        <v>2.3199999999999998</v>
      </c>
      <c r="K2546" s="18">
        <v>2.29</v>
      </c>
      <c r="L2546" s="22">
        <v>2</v>
      </c>
    </row>
    <row r="2547" spans="1:12">
      <c r="A2547">
        <v>3</v>
      </c>
      <c r="B2547" s="16" t="s">
        <v>58</v>
      </c>
      <c r="C2547" s="9">
        <v>45931</v>
      </c>
      <c r="D2547">
        <v>36</v>
      </c>
      <c r="E2547" s="16" t="s">
        <v>125</v>
      </c>
      <c r="F2547" s="16" t="s">
        <v>98</v>
      </c>
      <c r="G2547" s="22">
        <v>20</v>
      </c>
      <c r="H2547" s="18">
        <v>46</v>
      </c>
      <c r="I2547" s="18">
        <v>2.2999999999999998</v>
      </c>
      <c r="J2547" s="18">
        <v>2.2999999999999998</v>
      </c>
      <c r="K2547" s="18">
        <v>2.2999999999999998</v>
      </c>
      <c r="L2547" s="22">
        <v>1</v>
      </c>
    </row>
    <row r="2548" spans="1:12">
      <c r="A2548">
        <v>3</v>
      </c>
      <c r="B2548" s="16" t="s">
        <v>58</v>
      </c>
      <c r="C2548" s="9">
        <v>45962</v>
      </c>
      <c r="D2548">
        <v>36</v>
      </c>
      <c r="E2548" s="16" t="s">
        <v>125</v>
      </c>
      <c r="F2548" s="16" t="s">
        <v>98</v>
      </c>
      <c r="G2548" s="22">
        <v>40</v>
      </c>
      <c r="H2548" s="18">
        <v>93.8</v>
      </c>
      <c r="I2548" s="18">
        <v>2.3450000000000002</v>
      </c>
      <c r="J2548" s="18">
        <v>2.35</v>
      </c>
      <c r="K2548" s="18">
        <v>2.34</v>
      </c>
      <c r="L2548" s="22">
        <v>2</v>
      </c>
    </row>
    <row r="2549" spans="1:12">
      <c r="A2549">
        <v>3</v>
      </c>
      <c r="B2549" s="16" t="s">
        <v>58</v>
      </c>
      <c r="C2549" s="9">
        <v>45992</v>
      </c>
      <c r="D2549">
        <v>36</v>
      </c>
      <c r="E2549" s="16" t="s">
        <v>125</v>
      </c>
      <c r="F2549" s="16" t="s">
        <v>98</v>
      </c>
      <c r="G2549" s="22">
        <v>40</v>
      </c>
      <c r="H2549" s="18">
        <v>95.2</v>
      </c>
      <c r="I2549" s="18">
        <v>2.38</v>
      </c>
      <c r="J2549" s="18">
        <v>2.39</v>
      </c>
      <c r="K2549" s="18">
        <v>2.37</v>
      </c>
      <c r="L2549" s="22">
        <v>2</v>
      </c>
    </row>
    <row r="2550" spans="1:12">
      <c r="A2550">
        <v>3</v>
      </c>
      <c r="B2550" s="16" t="s">
        <v>58</v>
      </c>
      <c r="C2550" s="9">
        <v>46023</v>
      </c>
      <c r="D2550">
        <v>36</v>
      </c>
      <c r="E2550" s="16" t="s">
        <v>125</v>
      </c>
      <c r="F2550" s="16" t="s">
        <v>98</v>
      </c>
      <c r="G2550" s="22">
        <v>20</v>
      </c>
      <c r="H2550" s="18">
        <v>47.2</v>
      </c>
      <c r="I2550" s="18">
        <v>2.36</v>
      </c>
      <c r="J2550" s="18">
        <v>2.36</v>
      </c>
      <c r="K2550" s="18">
        <v>2.36</v>
      </c>
      <c r="L2550" s="22">
        <v>1</v>
      </c>
    </row>
    <row r="2551" spans="1:12">
      <c r="A2551">
        <v>3</v>
      </c>
      <c r="B2551" s="16" t="s">
        <v>58</v>
      </c>
      <c r="C2551" s="9">
        <v>46054</v>
      </c>
      <c r="D2551">
        <v>36</v>
      </c>
      <c r="E2551" s="16" t="s">
        <v>125</v>
      </c>
      <c r="F2551" s="16" t="s">
        <v>98</v>
      </c>
      <c r="G2551" s="22">
        <v>40</v>
      </c>
      <c r="H2551" s="18">
        <v>93.8</v>
      </c>
      <c r="I2551" s="18">
        <v>2.3450000000000002</v>
      </c>
      <c r="J2551" s="18">
        <v>2.36</v>
      </c>
      <c r="K2551" s="18">
        <v>2.33</v>
      </c>
      <c r="L2551" s="22">
        <v>2</v>
      </c>
    </row>
    <row r="2552" spans="1:12">
      <c r="A2552">
        <v>3</v>
      </c>
      <c r="B2552" s="16" t="s">
        <v>58</v>
      </c>
      <c r="C2552" s="9">
        <v>46082</v>
      </c>
      <c r="D2552">
        <v>36</v>
      </c>
      <c r="E2552" s="16" t="s">
        <v>125</v>
      </c>
      <c r="F2552" s="16" t="s">
        <v>98</v>
      </c>
      <c r="G2552" s="22">
        <v>40</v>
      </c>
      <c r="H2552" s="18">
        <v>96</v>
      </c>
      <c r="I2552" s="18">
        <v>2.4</v>
      </c>
      <c r="J2552" s="18">
        <v>2.4</v>
      </c>
      <c r="K2552" s="18">
        <v>2.4</v>
      </c>
      <c r="L2552" s="22">
        <v>2</v>
      </c>
    </row>
    <row r="2553" spans="1:12">
      <c r="A2553">
        <v>3</v>
      </c>
      <c r="B2553" s="16" t="s">
        <v>58</v>
      </c>
      <c r="C2553" s="9">
        <v>46113</v>
      </c>
      <c r="D2553">
        <v>36</v>
      </c>
      <c r="E2553" s="16" t="s">
        <v>125</v>
      </c>
      <c r="F2553" s="16" t="s">
        <v>98</v>
      </c>
      <c r="G2553" s="22">
        <v>40</v>
      </c>
      <c r="H2553" s="18">
        <v>96.8</v>
      </c>
      <c r="I2553" s="18">
        <v>2.42</v>
      </c>
      <c r="J2553" s="18">
        <v>2.4300000000000002</v>
      </c>
      <c r="K2553" s="18">
        <v>2.41</v>
      </c>
      <c r="L2553" s="22">
        <v>2</v>
      </c>
    </row>
    <row r="2554" spans="1:12">
      <c r="A2554">
        <v>3</v>
      </c>
      <c r="B2554" s="16" t="s">
        <v>58</v>
      </c>
      <c r="C2554" s="9">
        <v>46143</v>
      </c>
      <c r="D2554">
        <v>36</v>
      </c>
      <c r="E2554" s="16" t="s">
        <v>125</v>
      </c>
      <c r="F2554" s="16" t="s">
        <v>98</v>
      </c>
      <c r="G2554" s="22">
        <v>20</v>
      </c>
      <c r="H2554" s="18">
        <v>49.2</v>
      </c>
      <c r="I2554" s="18">
        <v>2.46</v>
      </c>
      <c r="J2554" s="18">
        <v>2.46</v>
      </c>
      <c r="K2554" s="18">
        <v>2.46</v>
      </c>
      <c r="L2554" s="22">
        <v>1</v>
      </c>
    </row>
    <row r="2555" spans="1:12">
      <c r="A2555">
        <v>3</v>
      </c>
      <c r="B2555" s="16" t="s">
        <v>58</v>
      </c>
      <c r="C2555" s="9">
        <v>46174</v>
      </c>
      <c r="D2555">
        <v>36</v>
      </c>
      <c r="E2555" s="16" t="s">
        <v>125</v>
      </c>
      <c r="F2555" s="16" t="s">
        <v>98</v>
      </c>
      <c r="G2555" s="22">
        <v>20</v>
      </c>
      <c r="H2555" s="18">
        <v>48.6</v>
      </c>
      <c r="I2555" s="18">
        <v>2.4300000000000002</v>
      </c>
      <c r="J2555" s="18">
        <v>2.4300000000000002</v>
      </c>
      <c r="K2555" s="18">
        <v>2.4300000000000002</v>
      </c>
      <c r="L2555" s="22">
        <v>1</v>
      </c>
    </row>
    <row r="2556" spans="1:12">
      <c r="A2556">
        <v>3</v>
      </c>
      <c r="B2556" s="16" t="s">
        <v>58</v>
      </c>
      <c r="C2556" s="9">
        <v>46204</v>
      </c>
      <c r="D2556">
        <v>36</v>
      </c>
      <c r="E2556" s="16" t="s">
        <v>125</v>
      </c>
      <c r="F2556" s="16" t="s">
        <v>98</v>
      </c>
      <c r="G2556" s="22">
        <v>20</v>
      </c>
      <c r="H2556" s="18">
        <v>48.6</v>
      </c>
      <c r="I2556" s="18">
        <v>2.4300000000000002</v>
      </c>
      <c r="J2556" s="18">
        <v>2.4300000000000002</v>
      </c>
      <c r="K2556" s="18">
        <v>2.4300000000000002</v>
      </c>
      <c r="L2556" s="22">
        <v>1</v>
      </c>
    </row>
    <row r="2557" spans="1:12">
      <c r="A2557">
        <v>3</v>
      </c>
      <c r="B2557" s="16" t="s">
        <v>58</v>
      </c>
      <c r="C2557" s="9">
        <v>46235</v>
      </c>
      <c r="D2557">
        <v>36</v>
      </c>
      <c r="E2557" s="16" t="s">
        <v>125</v>
      </c>
      <c r="F2557" s="16" t="s">
        <v>98</v>
      </c>
      <c r="G2557" s="22">
        <v>20</v>
      </c>
      <c r="H2557" s="18">
        <v>49.4</v>
      </c>
      <c r="I2557" s="18">
        <v>2.4700000000000002</v>
      </c>
      <c r="J2557" s="18">
        <v>2.4700000000000002</v>
      </c>
      <c r="K2557" s="18">
        <v>2.4700000000000002</v>
      </c>
      <c r="L2557" s="22">
        <v>1</v>
      </c>
    </row>
    <row r="2558" spans="1:12">
      <c r="A2558">
        <v>3</v>
      </c>
      <c r="B2558" s="16" t="s">
        <v>58</v>
      </c>
      <c r="C2558" s="9">
        <v>46266</v>
      </c>
      <c r="D2558">
        <v>36</v>
      </c>
      <c r="E2558" s="16" t="s">
        <v>125</v>
      </c>
      <c r="F2558" s="16" t="s">
        <v>98</v>
      </c>
      <c r="G2558" s="22">
        <v>20</v>
      </c>
      <c r="H2558" s="18">
        <v>47.8</v>
      </c>
      <c r="I2558" s="18">
        <v>2.39</v>
      </c>
      <c r="J2558" s="18">
        <v>2.39</v>
      </c>
      <c r="K2558" s="18">
        <v>2.39</v>
      </c>
      <c r="L2558" s="22">
        <v>1</v>
      </c>
    </row>
    <row r="2559" spans="1:12">
      <c r="A2559">
        <v>3</v>
      </c>
      <c r="B2559" s="16" t="s">
        <v>58</v>
      </c>
      <c r="C2559" s="9">
        <v>45689</v>
      </c>
      <c r="D2559">
        <v>37</v>
      </c>
      <c r="E2559" s="16" t="s">
        <v>126</v>
      </c>
      <c r="F2559" s="16" t="s">
        <v>90</v>
      </c>
      <c r="G2559" s="22">
        <v>64</v>
      </c>
      <c r="H2559" s="18">
        <v>84.8</v>
      </c>
      <c r="I2559" s="18">
        <v>1.325</v>
      </c>
      <c r="J2559" s="18">
        <v>1.33</v>
      </c>
      <c r="K2559" s="18">
        <v>1.32</v>
      </c>
      <c r="L2559" s="22">
        <v>2</v>
      </c>
    </row>
    <row r="2560" spans="1:12">
      <c r="A2560">
        <v>3</v>
      </c>
      <c r="B2560" s="16" t="s">
        <v>58</v>
      </c>
      <c r="C2560" s="9">
        <v>45717</v>
      </c>
      <c r="D2560">
        <v>37</v>
      </c>
      <c r="E2560" s="16" t="s">
        <v>126</v>
      </c>
      <c r="F2560" s="16" t="s">
        <v>90</v>
      </c>
      <c r="G2560" s="22">
        <v>32</v>
      </c>
      <c r="H2560" s="18">
        <v>42.24</v>
      </c>
      <c r="I2560" s="18">
        <v>1.32</v>
      </c>
      <c r="J2560" s="18">
        <v>1.32</v>
      </c>
      <c r="K2560" s="18">
        <v>1.32</v>
      </c>
      <c r="L2560" s="22">
        <v>1</v>
      </c>
    </row>
    <row r="2561" spans="1:12">
      <c r="A2561">
        <v>3</v>
      </c>
      <c r="B2561" s="16" t="s">
        <v>58</v>
      </c>
      <c r="C2561" s="9">
        <v>45748</v>
      </c>
      <c r="D2561">
        <v>37</v>
      </c>
      <c r="E2561" s="16" t="s">
        <v>126</v>
      </c>
      <c r="F2561" s="16" t="s">
        <v>90</v>
      </c>
      <c r="G2561" s="22">
        <v>96</v>
      </c>
      <c r="H2561" s="18">
        <v>128.32</v>
      </c>
      <c r="I2561" s="18">
        <v>1.336666667</v>
      </c>
      <c r="J2561" s="18">
        <v>1.36</v>
      </c>
      <c r="K2561" s="18">
        <v>1.32</v>
      </c>
      <c r="L2561" s="22">
        <v>3</v>
      </c>
    </row>
    <row r="2562" spans="1:12">
      <c r="A2562">
        <v>3</v>
      </c>
      <c r="B2562" s="16" t="s">
        <v>58</v>
      </c>
      <c r="C2562" s="9">
        <v>45778</v>
      </c>
      <c r="D2562">
        <v>37</v>
      </c>
      <c r="E2562" s="16" t="s">
        <v>126</v>
      </c>
      <c r="F2562" s="16" t="s">
        <v>90</v>
      </c>
      <c r="G2562" s="22">
        <v>64</v>
      </c>
      <c r="H2562" s="18">
        <v>85.76</v>
      </c>
      <c r="I2562" s="18">
        <v>1.34</v>
      </c>
      <c r="J2562" s="18">
        <v>1.37</v>
      </c>
      <c r="K2562" s="18">
        <v>1.31</v>
      </c>
      <c r="L2562" s="22">
        <v>2</v>
      </c>
    </row>
    <row r="2563" spans="1:12">
      <c r="A2563">
        <v>3</v>
      </c>
      <c r="B2563" s="16" t="s">
        <v>58</v>
      </c>
      <c r="C2563" s="9">
        <v>45809</v>
      </c>
      <c r="D2563">
        <v>37</v>
      </c>
      <c r="E2563" s="16" t="s">
        <v>126</v>
      </c>
      <c r="F2563" s="16" t="s">
        <v>90</v>
      </c>
      <c r="G2563" s="22">
        <v>64</v>
      </c>
      <c r="H2563" s="18">
        <v>86.72</v>
      </c>
      <c r="I2563" s="18">
        <v>1.355</v>
      </c>
      <c r="J2563" s="18">
        <v>1.36</v>
      </c>
      <c r="K2563" s="18">
        <v>1.35</v>
      </c>
      <c r="L2563" s="22">
        <v>2</v>
      </c>
    </row>
    <row r="2564" spans="1:12">
      <c r="A2564">
        <v>3</v>
      </c>
      <c r="B2564" s="16" t="s">
        <v>58</v>
      </c>
      <c r="C2564" s="9">
        <v>45839</v>
      </c>
      <c r="D2564">
        <v>37</v>
      </c>
      <c r="E2564" s="16" t="s">
        <v>126</v>
      </c>
      <c r="F2564" s="16" t="s">
        <v>90</v>
      </c>
      <c r="G2564" s="22">
        <v>32</v>
      </c>
      <c r="H2564" s="18">
        <v>42.56</v>
      </c>
      <c r="I2564" s="18">
        <v>1.33</v>
      </c>
      <c r="J2564" s="18">
        <v>1.33</v>
      </c>
      <c r="K2564" s="18">
        <v>1.33</v>
      </c>
      <c r="L2564" s="22">
        <v>1</v>
      </c>
    </row>
    <row r="2565" spans="1:12">
      <c r="A2565">
        <v>3</v>
      </c>
      <c r="B2565" s="16" t="s">
        <v>58</v>
      </c>
      <c r="C2565" s="9">
        <v>45870</v>
      </c>
      <c r="D2565">
        <v>37</v>
      </c>
      <c r="E2565" s="16" t="s">
        <v>126</v>
      </c>
      <c r="F2565" s="16" t="s">
        <v>90</v>
      </c>
      <c r="G2565" s="22">
        <v>64</v>
      </c>
      <c r="H2565" s="18">
        <v>85.44</v>
      </c>
      <c r="I2565" s="18">
        <v>1.335</v>
      </c>
      <c r="J2565" s="18">
        <v>1.34</v>
      </c>
      <c r="K2565" s="18">
        <v>1.33</v>
      </c>
      <c r="L2565" s="22">
        <v>2</v>
      </c>
    </row>
    <row r="2566" spans="1:12">
      <c r="A2566">
        <v>3</v>
      </c>
      <c r="B2566" s="16" t="s">
        <v>58</v>
      </c>
      <c r="C2566" s="9">
        <v>45901</v>
      </c>
      <c r="D2566">
        <v>37</v>
      </c>
      <c r="E2566" s="16" t="s">
        <v>126</v>
      </c>
      <c r="F2566" s="16" t="s">
        <v>90</v>
      </c>
      <c r="G2566" s="22">
        <v>64</v>
      </c>
      <c r="H2566" s="18">
        <v>85.12</v>
      </c>
      <c r="I2566" s="18">
        <v>1.33</v>
      </c>
      <c r="J2566" s="18">
        <v>1.33</v>
      </c>
      <c r="K2566" s="18">
        <v>1.33</v>
      </c>
      <c r="L2566" s="22">
        <v>2</v>
      </c>
    </row>
    <row r="2567" spans="1:12">
      <c r="A2567">
        <v>3</v>
      </c>
      <c r="B2567" s="16" t="s">
        <v>58</v>
      </c>
      <c r="C2567" s="9">
        <v>45931</v>
      </c>
      <c r="D2567">
        <v>37</v>
      </c>
      <c r="E2567" s="16" t="s">
        <v>126</v>
      </c>
      <c r="F2567" s="16" t="s">
        <v>90</v>
      </c>
      <c r="G2567" s="22">
        <v>32</v>
      </c>
      <c r="H2567" s="18">
        <v>42.88</v>
      </c>
      <c r="I2567" s="18">
        <v>1.34</v>
      </c>
      <c r="J2567" s="18">
        <v>1.34</v>
      </c>
      <c r="K2567" s="18">
        <v>1.34</v>
      </c>
      <c r="L2567" s="22">
        <v>1</v>
      </c>
    </row>
    <row r="2568" spans="1:12">
      <c r="A2568">
        <v>3</v>
      </c>
      <c r="B2568" s="16" t="s">
        <v>58</v>
      </c>
      <c r="C2568" s="9">
        <v>45962</v>
      </c>
      <c r="D2568">
        <v>37</v>
      </c>
      <c r="E2568" s="16" t="s">
        <v>126</v>
      </c>
      <c r="F2568" s="16" t="s">
        <v>90</v>
      </c>
      <c r="G2568" s="22">
        <v>64</v>
      </c>
      <c r="H2568" s="18">
        <v>87.68</v>
      </c>
      <c r="I2568" s="18">
        <v>1.37</v>
      </c>
      <c r="J2568" s="18">
        <v>1.37</v>
      </c>
      <c r="K2568" s="18">
        <v>1.37</v>
      </c>
      <c r="L2568" s="22">
        <v>2</v>
      </c>
    </row>
    <row r="2569" spans="1:12">
      <c r="A2569">
        <v>3</v>
      </c>
      <c r="B2569" s="16" t="s">
        <v>58</v>
      </c>
      <c r="C2569" s="9">
        <v>45992</v>
      </c>
      <c r="D2569">
        <v>37</v>
      </c>
      <c r="E2569" s="16" t="s">
        <v>126</v>
      </c>
      <c r="F2569" s="16" t="s">
        <v>90</v>
      </c>
      <c r="G2569" s="22">
        <v>32</v>
      </c>
      <c r="H2569" s="18">
        <v>41.6</v>
      </c>
      <c r="I2569" s="18">
        <v>1.3</v>
      </c>
      <c r="J2569" s="18">
        <v>1.3</v>
      </c>
      <c r="K2569" s="18">
        <v>1.3</v>
      </c>
      <c r="L2569" s="22">
        <v>1</v>
      </c>
    </row>
    <row r="2570" spans="1:12">
      <c r="A2570">
        <v>3</v>
      </c>
      <c r="B2570" s="16" t="s">
        <v>58</v>
      </c>
      <c r="C2570" s="9">
        <v>46023</v>
      </c>
      <c r="D2570">
        <v>37</v>
      </c>
      <c r="E2570" s="16" t="s">
        <v>126</v>
      </c>
      <c r="F2570" s="16" t="s">
        <v>90</v>
      </c>
      <c r="G2570" s="22">
        <v>64</v>
      </c>
      <c r="H2570" s="18">
        <v>86.4</v>
      </c>
      <c r="I2570" s="18">
        <v>1.35</v>
      </c>
      <c r="J2570" s="18">
        <v>1.36</v>
      </c>
      <c r="K2570" s="18">
        <v>1.34</v>
      </c>
      <c r="L2570" s="22">
        <v>2</v>
      </c>
    </row>
    <row r="2571" spans="1:12">
      <c r="A2571">
        <v>3</v>
      </c>
      <c r="B2571" s="16" t="s">
        <v>58</v>
      </c>
      <c r="C2571" s="9">
        <v>46054</v>
      </c>
      <c r="D2571">
        <v>37</v>
      </c>
      <c r="E2571" s="16" t="s">
        <v>126</v>
      </c>
      <c r="F2571" s="16" t="s">
        <v>90</v>
      </c>
      <c r="G2571" s="22">
        <v>32</v>
      </c>
      <c r="H2571" s="18">
        <v>43.52</v>
      </c>
      <c r="I2571" s="18">
        <v>1.36</v>
      </c>
      <c r="J2571" s="18">
        <v>1.36</v>
      </c>
      <c r="K2571" s="18">
        <v>1.36</v>
      </c>
      <c r="L2571" s="22">
        <v>1</v>
      </c>
    </row>
    <row r="2572" spans="1:12">
      <c r="A2572">
        <v>3</v>
      </c>
      <c r="B2572" s="16" t="s">
        <v>58</v>
      </c>
      <c r="C2572" s="9">
        <v>46082</v>
      </c>
      <c r="D2572">
        <v>37</v>
      </c>
      <c r="E2572" s="16" t="s">
        <v>126</v>
      </c>
      <c r="F2572" s="16" t="s">
        <v>90</v>
      </c>
      <c r="G2572" s="22">
        <v>64</v>
      </c>
      <c r="H2572" s="18">
        <v>88.32</v>
      </c>
      <c r="I2572" s="18">
        <v>1.38</v>
      </c>
      <c r="J2572" s="18">
        <v>1.4</v>
      </c>
      <c r="K2572" s="18">
        <v>1.36</v>
      </c>
      <c r="L2572" s="22">
        <v>2</v>
      </c>
    </row>
    <row r="2573" spans="1:12">
      <c r="A2573">
        <v>3</v>
      </c>
      <c r="B2573" s="16" t="s">
        <v>58</v>
      </c>
      <c r="C2573" s="9">
        <v>46113</v>
      </c>
      <c r="D2573">
        <v>37</v>
      </c>
      <c r="E2573" s="16" t="s">
        <v>126</v>
      </c>
      <c r="F2573" s="16" t="s">
        <v>90</v>
      </c>
      <c r="G2573" s="22">
        <v>64</v>
      </c>
      <c r="H2573" s="18">
        <v>87.68</v>
      </c>
      <c r="I2573" s="18">
        <v>1.37</v>
      </c>
      <c r="J2573" s="18">
        <v>1.38</v>
      </c>
      <c r="K2573" s="18">
        <v>1.36</v>
      </c>
      <c r="L2573" s="22">
        <v>2</v>
      </c>
    </row>
    <row r="2574" spans="1:12">
      <c r="A2574">
        <v>3</v>
      </c>
      <c r="B2574" s="16" t="s">
        <v>58</v>
      </c>
      <c r="C2574" s="9">
        <v>46143</v>
      </c>
      <c r="D2574">
        <v>37</v>
      </c>
      <c r="E2574" s="16" t="s">
        <v>126</v>
      </c>
      <c r="F2574" s="16" t="s">
        <v>90</v>
      </c>
      <c r="G2574" s="22">
        <v>64</v>
      </c>
      <c r="H2574" s="18">
        <v>89.92</v>
      </c>
      <c r="I2574" s="18">
        <v>1.405</v>
      </c>
      <c r="J2574" s="18">
        <v>1.42</v>
      </c>
      <c r="K2574" s="18">
        <v>1.39</v>
      </c>
      <c r="L2574" s="22">
        <v>2</v>
      </c>
    </row>
    <row r="2575" spans="1:12">
      <c r="A2575">
        <v>3</v>
      </c>
      <c r="B2575" s="16" t="s">
        <v>58</v>
      </c>
      <c r="C2575" s="9">
        <v>46174</v>
      </c>
      <c r="D2575">
        <v>37</v>
      </c>
      <c r="E2575" s="16" t="s">
        <v>126</v>
      </c>
      <c r="F2575" s="16" t="s">
        <v>90</v>
      </c>
      <c r="G2575" s="22">
        <v>64</v>
      </c>
      <c r="H2575" s="18">
        <v>87.68</v>
      </c>
      <c r="I2575" s="18">
        <v>1.37</v>
      </c>
      <c r="J2575" s="18">
        <v>1.39</v>
      </c>
      <c r="K2575" s="18">
        <v>1.35</v>
      </c>
      <c r="L2575" s="22">
        <v>2</v>
      </c>
    </row>
    <row r="2576" spans="1:12">
      <c r="A2576">
        <v>3</v>
      </c>
      <c r="B2576" s="16" t="s">
        <v>58</v>
      </c>
      <c r="C2576" s="9">
        <v>46204</v>
      </c>
      <c r="D2576">
        <v>37</v>
      </c>
      <c r="E2576" s="16" t="s">
        <v>126</v>
      </c>
      <c r="F2576" s="16" t="s">
        <v>90</v>
      </c>
      <c r="G2576" s="22">
        <v>64</v>
      </c>
      <c r="H2576" s="18">
        <v>88</v>
      </c>
      <c r="I2576" s="18">
        <v>1.375</v>
      </c>
      <c r="J2576" s="18">
        <v>1.38</v>
      </c>
      <c r="K2576" s="18">
        <v>1.37</v>
      </c>
      <c r="L2576" s="22">
        <v>2</v>
      </c>
    </row>
    <row r="2577" spans="1:12">
      <c r="A2577">
        <v>3</v>
      </c>
      <c r="B2577" s="16" t="s">
        <v>58</v>
      </c>
      <c r="C2577" s="9">
        <v>46235</v>
      </c>
      <c r="D2577">
        <v>37</v>
      </c>
      <c r="E2577" s="16" t="s">
        <v>126</v>
      </c>
      <c r="F2577" s="16" t="s">
        <v>90</v>
      </c>
      <c r="G2577" s="22">
        <v>64</v>
      </c>
      <c r="H2577" s="18">
        <v>86.72</v>
      </c>
      <c r="I2577" s="18">
        <v>1.355</v>
      </c>
      <c r="J2577" s="18">
        <v>1.36</v>
      </c>
      <c r="K2577" s="18">
        <v>1.35</v>
      </c>
      <c r="L2577" s="22">
        <v>2</v>
      </c>
    </row>
    <row r="2578" spans="1:12">
      <c r="A2578">
        <v>3</v>
      </c>
      <c r="B2578" s="16" t="s">
        <v>58</v>
      </c>
      <c r="C2578" s="9">
        <v>46266</v>
      </c>
      <c r="D2578">
        <v>37</v>
      </c>
      <c r="E2578" s="16" t="s">
        <v>126</v>
      </c>
      <c r="F2578" s="16" t="s">
        <v>90</v>
      </c>
      <c r="G2578" s="22">
        <v>64</v>
      </c>
      <c r="H2578" s="18">
        <v>86.08</v>
      </c>
      <c r="I2578" s="18">
        <v>1.345</v>
      </c>
      <c r="J2578" s="18">
        <v>1.36</v>
      </c>
      <c r="K2578" s="18">
        <v>1.33</v>
      </c>
      <c r="L2578" s="22">
        <v>2</v>
      </c>
    </row>
    <row r="2579" spans="1:12">
      <c r="A2579">
        <v>3</v>
      </c>
      <c r="B2579" s="16" t="s">
        <v>58</v>
      </c>
      <c r="C2579" s="9">
        <v>45689</v>
      </c>
      <c r="D2579">
        <v>38</v>
      </c>
      <c r="E2579" s="16" t="s">
        <v>127</v>
      </c>
      <c r="F2579" s="16" t="s">
        <v>83</v>
      </c>
      <c r="G2579" s="22">
        <v>20</v>
      </c>
      <c r="H2579" s="18">
        <v>274.005</v>
      </c>
      <c r="I2579" s="18">
        <v>13.70025</v>
      </c>
      <c r="J2579" s="18">
        <v>14.02</v>
      </c>
      <c r="K2579" s="18">
        <v>13.44</v>
      </c>
      <c r="L2579" s="22">
        <v>8</v>
      </c>
    </row>
    <row r="2580" spans="1:12">
      <c r="A2580">
        <v>3</v>
      </c>
      <c r="B2580" s="16" t="s">
        <v>58</v>
      </c>
      <c r="C2580" s="9">
        <v>45717</v>
      </c>
      <c r="D2580">
        <v>38</v>
      </c>
      <c r="E2580" s="16" t="s">
        <v>127</v>
      </c>
      <c r="F2580" s="16" t="s">
        <v>83</v>
      </c>
      <c r="G2580" s="22">
        <v>13</v>
      </c>
      <c r="H2580" s="18">
        <v>177.71</v>
      </c>
      <c r="I2580" s="18">
        <v>13.67</v>
      </c>
      <c r="J2580" s="18">
        <v>14.06</v>
      </c>
      <c r="K2580" s="18">
        <v>13.41</v>
      </c>
      <c r="L2580" s="22">
        <v>8</v>
      </c>
    </row>
    <row r="2581" spans="1:12">
      <c r="A2581">
        <v>3</v>
      </c>
      <c r="B2581" s="16" t="s">
        <v>58</v>
      </c>
      <c r="C2581" s="9">
        <v>45748</v>
      </c>
      <c r="D2581">
        <v>38</v>
      </c>
      <c r="E2581" s="16" t="s">
        <v>127</v>
      </c>
      <c r="F2581" s="16" t="s">
        <v>83</v>
      </c>
      <c r="G2581" s="22">
        <v>17</v>
      </c>
      <c r="H2581" s="18">
        <v>238.51</v>
      </c>
      <c r="I2581" s="18">
        <v>14.03</v>
      </c>
      <c r="J2581" s="18">
        <v>14.81</v>
      </c>
      <c r="K2581" s="18">
        <v>13.71</v>
      </c>
      <c r="L2581" s="22">
        <v>9</v>
      </c>
    </row>
    <row r="2582" spans="1:12">
      <c r="A2582">
        <v>3</v>
      </c>
      <c r="B2582" s="16" t="s">
        <v>58</v>
      </c>
      <c r="C2582" s="9">
        <v>45778</v>
      </c>
      <c r="D2582">
        <v>38</v>
      </c>
      <c r="E2582" s="16" t="s">
        <v>127</v>
      </c>
      <c r="F2582" s="16" t="s">
        <v>83</v>
      </c>
      <c r="G2582" s="22">
        <v>16</v>
      </c>
      <c r="H2582" s="18">
        <v>224.52</v>
      </c>
      <c r="I2582" s="18">
        <v>14.032500000000001</v>
      </c>
      <c r="J2582" s="18">
        <v>14.36</v>
      </c>
      <c r="K2582" s="18">
        <v>13.81</v>
      </c>
      <c r="L2582" s="22">
        <v>9</v>
      </c>
    </row>
    <row r="2583" spans="1:12">
      <c r="A2583">
        <v>3</v>
      </c>
      <c r="B2583" s="16" t="s">
        <v>58</v>
      </c>
      <c r="C2583" s="9">
        <v>45809</v>
      </c>
      <c r="D2583">
        <v>38</v>
      </c>
      <c r="E2583" s="16" t="s">
        <v>127</v>
      </c>
      <c r="F2583" s="16" t="s">
        <v>83</v>
      </c>
      <c r="G2583" s="22">
        <v>10.5</v>
      </c>
      <c r="H2583" s="18">
        <v>149.29499999999999</v>
      </c>
      <c r="I2583" s="18">
        <v>14.218571429000001</v>
      </c>
      <c r="J2583" s="18">
        <v>15.14</v>
      </c>
      <c r="K2583" s="18">
        <v>13.81</v>
      </c>
      <c r="L2583" s="22">
        <v>8</v>
      </c>
    </row>
    <row r="2584" spans="1:12">
      <c r="A2584">
        <v>3</v>
      </c>
      <c r="B2584" s="16" t="s">
        <v>58</v>
      </c>
      <c r="C2584" s="9">
        <v>45839</v>
      </c>
      <c r="D2584">
        <v>38</v>
      </c>
      <c r="E2584" s="16" t="s">
        <v>127</v>
      </c>
      <c r="F2584" s="16" t="s">
        <v>83</v>
      </c>
      <c r="G2584" s="22">
        <v>13</v>
      </c>
      <c r="H2584" s="18">
        <v>185.905</v>
      </c>
      <c r="I2584" s="18">
        <v>14.300384615</v>
      </c>
      <c r="J2584" s="18">
        <v>14.59</v>
      </c>
      <c r="K2584" s="18">
        <v>14.1</v>
      </c>
      <c r="L2584" s="22">
        <v>9</v>
      </c>
    </row>
    <row r="2585" spans="1:12">
      <c r="A2585">
        <v>3</v>
      </c>
      <c r="B2585" s="16" t="s">
        <v>58</v>
      </c>
      <c r="C2585" s="9">
        <v>45870</v>
      </c>
      <c r="D2585">
        <v>38</v>
      </c>
      <c r="E2585" s="16" t="s">
        <v>127</v>
      </c>
      <c r="F2585" s="16" t="s">
        <v>83</v>
      </c>
      <c r="G2585" s="22">
        <v>10.5</v>
      </c>
      <c r="H2585" s="18">
        <v>152.36000000000001</v>
      </c>
      <c r="I2585" s="18">
        <v>14.51047619</v>
      </c>
      <c r="J2585" s="18">
        <v>15.18</v>
      </c>
      <c r="K2585" s="18">
        <v>14.15</v>
      </c>
      <c r="L2585" s="22">
        <v>9</v>
      </c>
    </row>
    <row r="2586" spans="1:12">
      <c r="A2586">
        <v>3</v>
      </c>
      <c r="B2586" s="16" t="s">
        <v>58</v>
      </c>
      <c r="C2586" s="9">
        <v>45901</v>
      </c>
      <c r="D2586">
        <v>38</v>
      </c>
      <c r="E2586" s="16" t="s">
        <v>127</v>
      </c>
      <c r="F2586" s="16" t="s">
        <v>83</v>
      </c>
      <c r="G2586" s="22">
        <v>16.5</v>
      </c>
      <c r="H2586" s="18">
        <v>236.8</v>
      </c>
      <c r="I2586" s="18">
        <v>14.351515151999999</v>
      </c>
      <c r="J2586" s="18">
        <v>14.72</v>
      </c>
      <c r="K2586" s="18">
        <v>14.23</v>
      </c>
      <c r="L2586" s="22">
        <v>9</v>
      </c>
    </row>
    <row r="2587" spans="1:12">
      <c r="A2587">
        <v>3</v>
      </c>
      <c r="B2587" s="16" t="s">
        <v>58</v>
      </c>
      <c r="C2587" s="9">
        <v>45931</v>
      </c>
      <c r="D2587">
        <v>38</v>
      </c>
      <c r="E2587" s="16" t="s">
        <v>127</v>
      </c>
      <c r="F2587" s="16" t="s">
        <v>83</v>
      </c>
      <c r="G2587" s="22">
        <v>15</v>
      </c>
      <c r="H2587" s="18">
        <v>215.245</v>
      </c>
      <c r="I2587" s="18">
        <v>14.349666666999999</v>
      </c>
      <c r="J2587" s="18">
        <v>14.58</v>
      </c>
      <c r="K2587" s="18">
        <v>14.15</v>
      </c>
      <c r="L2587" s="22">
        <v>9</v>
      </c>
    </row>
    <row r="2588" spans="1:12">
      <c r="A2588">
        <v>3</v>
      </c>
      <c r="B2588" s="16" t="s">
        <v>58</v>
      </c>
      <c r="C2588" s="9">
        <v>45962</v>
      </c>
      <c r="D2588">
        <v>38</v>
      </c>
      <c r="E2588" s="16" t="s">
        <v>127</v>
      </c>
      <c r="F2588" s="16" t="s">
        <v>83</v>
      </c>
      <c r="G2588" s="22">
        <v>14.5</v>
      </c>
      <c r="H2588" s="18">
        <v>206.815</v>
      </c>
      <c r="I2588" s="18">
        <v>14.263103448000001</v>
      </c>
      <c r="J2588" s="18">
        <v>14.46</v>
      </c>
      <c r="K2588" s="18">
        <v>14.01</v>
      </c>
      <c r="L2588" s="22">
        <v>8</v>
      </c>
    </row>
    <row r="2589" spans="1:12">
      <c r="A2589">
        <v>3</v>
      </c>
      <c r="B2589" s="16" t="s">
        <v>58</v>
      </c>
      <c r="C2589" s="9">
        <v>45992</v>
      </c>
      <c r="D2589">
        <v>38</v>
      </c>
      <c r="E2589" s="16" t="s">
        <v>127</v>
      </c>
      <c r="F2589" s="16" t="s">
        <v>83</v>
      </c>
      <c r="G2589" s="22">
        <v>23.5</v>
      </c>
      <c r="H2589" s="18">
        <v>336.65499999999997</v>
      </c>
      <c r="I2589" s="18">
        <v>14.325744681</v>
      </c>
      <c r="J2589" s="18">
        <v>14.72</v>
      </c>
      <c r="K2589" s="18">
        <v>14.01</v>
      </c>
      <c r="L2589" s="22">
        <v>9</v>
      </c>
    </row>
    <row r="2590" spans="1:12">
      <c r="A2590">
        <v>3</v>
      </c>
      <c r="B2590" s="16" t="s">
        <v>58</v>
      </c>
      <c r="C2590" s="9">
        <v>46023</v>
      </c>
      <c r="D2590">
        <v>38</v>
      </c>
      <c r="E2590" s="16" t="s">
        <v>127</v>
      </c>
      <c r="F2590" s="16" t="s">
        <v>83</v>
      </c>
      <c r="G2590" s="22">
        <v>23.5</v>
      </c>
      <c r="H2590" s="18">
        <v>337.8</v>
      </c>
      <c r="I2590" s="18">
        <v>14.374468085</v>
      </c>
      <c r="J2590" s="18">
        <v>14.59</v>
      </c>
      <c r="K2590" s="18">
        <v>14.13</v>
      </c>
      <c r="L2590" s="22">
        <v>9</v>
      </c>
    </row>
    <row r="2591" spans="1:12">
      <c r="A2591">
        <v>3</v>
      </c>
      <c r="B2591" s="16" t="s">
        <v>58</v>
      </c>
      <c r="C2591" s="9">
        <v>46054</v>
      </c>
      <c r="D2591">
        <v>38</v>
      </c>
      <c r="E2591" s="16" t="s">
        <v>127</v>
      </c>
      <c r="F2591" s="16" t="s">
        <v>83</v>
      </c>
      <c r="G2591" s="22">
        <v>15.5</v>
      </c>
      <c r="H2591" s="18">
        <v>226.57</v>
      </c>
      <c r="I2591" s="18">
        <v>14.617419354999999</v>
      </c>
      <c r="J2591" s="18">
        <v>14.89</v>
      </c>
      <c r="K2591" s="18">
        <v>14.25</v>
      </c>
      <c r="L2591" s="22">
        <v>8</v>
      </c>
    </row>
    <row r="2592" spans="1:12">
      <c r="A2592">
        <v>3</v>
      </c>
      <c r="B2592" s="16" t="s">
        <v>58</v>
      </c>
      <c r="C2592" s="9">
        <v>46082</v>
      </c>
      <c r="D2592">
        <v>38</v>
      </c>
      <c r="E2592" s="16" t="s">
        <v>127</v>
      </c>
      <c r="F2592" s="16" t="s">
        <v>83</v>
      </c>
      <c r="G2592" s="22">
        <v>19.5</v>
      </c>
      <c r="H2592" s="18">
        <v>281.63499999999999</v>
      </c>
      <c r="I2592" s="18">
        <v>14.442820512999999</v>
      </c>
      <c r="J2592" s="18">
        <v>14.66</v>
      </c>
      <c r="K2592" s="18">
        <v>14.16</v>
      </c>
      <c r="L2592" s="22">
        <v>9</v>
      </c>
    </row>
    <row r="2593" spans="1:12">
      <c r="A2593">
        <v>3</v>
      </c>
      <c r="B2593" s="16" t="s">
        <v>58</v>
      </c>
      <c r="C2593" s="9">
        <v>46113</v>
      </c>
      <c r="D2593">
        <v>38</v>
      </c>
      <c r="E2593" s="16" t="s">
        <v>127</v>
      </c>
      <c r="F2593" s="16" t="s">
        <v>83</v>
      </c>
      <c r="G2593" s="22">
        <v>16</v>
      </c>
      <c r="H2593" s="18">
        <v>231.22499999999999</v>
      </c>
      <c r="I2593" s="18">
        <v>14.4515625</v>
      </c>
      <c r="J2593" s="18">
        <v>14.69</v>
      </c>
      <c r="K2593" s="18">
        <v>14.15</v>
      </c>
      <c r="L2593" s="22">
        <v>8</v>
      </c>
    </row>
    <row r="2594" spans="1:12">
      <c r="A2594">
        <v>3</v>
      </c>
      <c r="B2594" s="16" t="s">
        <v>58</v>
      </c>
      <c r="C2594" s="9">
        <v>46143</v>
      </c>
      <c r="D2594">
        <v>38</v>
      </c>
      <c r="E2594" s="16" t="s">
        <v>127</v>
      </c>
      <c r="F2594" s="16" t="s">
        <v>83</v>
      </c>
      <c r="G2594" s="22">
        <v>17</v>
      </c>
      <c r="H2594" s="18">
        <v>247.8</v>
      </c>
      <c r="I2594" s="18">
        <v>14.576470587999999</v>
      </c>
      <c r="J2594" s="18">
        <v>14.82</v>
      </c>
      <c r="K2594" s="18">
        <v>14.21</v>
      </c>
      <c r="L2594" s="22">
        <v>9</v>
      </c>
    </row>
    <row r="2595" spans="1:12">
      <c r="A2595">
        <v>3</v>
      </c>
      <c r="B2595" s="16" t="s">
        <v>58</v>
      </c>
      <c r="C2595" s="9">
        <v>46174</v>
      </c>
      <c r="D2595">
        <v>38</v>
      </c>
      <c r="E2595" s="16" t="s">
        <v>127</v>
      </c>
      <c r="F2595" s="16" t="s">
        <v>83</v>
      </c>
      <c r="G2595" s="22">
        <v>15.5</v>
      </c>
      <c r="H2595" s="18">
        <v>224.92</v>
      </c>
      <c r="I2595" s="18">
        <v>14.510967742</v>
      </c>
      <c r="J2595" s="18">
        <v>14.86</v>
      </c>
      <c r="K2595" s="18">
        <v>13.97</v>
      </c>
      <c r="L2595" s="22">
        <v>9</v>
      </c>
    </row>
    <row r="2596" spans="1:12">
      <c r="A2596">
        <v>3</v>
      </c>
      <c r="B2596" s="16" t="s">
        <v>58</v>
      </c>
      <c r="C2596" s="9">
        <v>46204</v>
      </c>
      <c r="D2596">
        <v>38</v>
      </c>
      <c r="E2596" s="16" t="s">
        <v>127</v>
      </c>
      <c r="F2596" s="16" t="s">
        <v>83</v>
      </c>
      <c r="G2596" s="22">
        <v>13</v>
      </c>
      <c r="H2596" s="18">
        <v>186.39</v>
      </c>
      <c r="I2596" s="18">
        <v>14.337692307999999</v>
      </c>
      <c r="J2596" s="18">
        <v>14.62</v>
      </c>
      <c r="K2596" s="18">
        <v>13.96</v>
      </c>
      <c r="L2596" s="22">
        <v>9</v>
      </c>
    </row>
    <row r="2597" spans="1:12">
      <c r="A2597">
        <v>3</v>
      </c>
      <c r="B2597" s="16" t="s">
        <v>58</v>
      </c>
      <c r="C2597" s="9">
        <v>46235</v>
      </c>
      <c r="D2597">
        <v>38</v>
      </c>
      <c r="E2597" s="16" t="s">
        <v>127</v>
      </c>
      <c r="F2597" s="16" t="s">
        <v>83</v>
      </c>
      <c r="G2597" s="22">
        <v>12</v>
      </c>
      <c r="H2597" s="18">
        <v>171.685</v>
      </c>
      <c r="I2597" s="18">
        <v>14.307083333</v>
      </c>
      <c r="J2597" s="18">
        <v>14.48</v>
      </c>
      <c r="K2597" s="18">
        <v>14</v>
      </c>
      <c r="L2597" s="22">
        <v>8</v>
      </c>
    </row>
    <row r="2598" spans="1:12">
      <c r="A2598">
        <v>3</v>
      </c>
      <c r="B2598" s="16" t="s">
        <v>58</v>
      </c>
      <c r="C2598" s="9">
        <v>46266</v>
      </c>
      <c r="D2598">
        <v>38</v>
      </c>
      <c r="E2598" s="16" t="s">
        <v>127</v>
      </c>
      <c r="F2598" s="16" t="s">
        <v>83</v>
      </c>
      <c r="G2598" s="22">
        <v>12</v>
      </c>
      <c r="H2598" s="18">
        <v>171.14500000000001</v>
      </c>
      <c r="I2598" s="18">
        <v>14.262083333</v>
      </c>
      <c r="J2598" s="18">
        <v>14.65</v>
      </c>
      <c r="K2598" s="18">
        <v>13.79</v>
      </c>
      <c r="L2598" s="22">
        <v>9</v>
      </c>
    </row>
    <row r="2599" spans="1:12">
      <c r="A2599">
        <v>3</v>
      </c>
      <c r="B2599" s="16" t="s">
        <v>58</v>
      </c>
      <c r="C2599" s="9">
        <v>45689</v>
      </c>
      <c r="D2599">
        <v>39</v>
      </c>
      <c r="E2599" s="16" t="s">
        <v>128</v>
      </c>
      <c r="F2599" s="16" t="s">
        <v>87</v>
      </c>
      <c r="G2599" s="22">
        <v>43.75</v>
      </c>
      <c r="H2599" s="18">
        <v>298.17</v>
      </c>
      <c r="I2599" s="18">
        <v>6.8153142860000004</v>
      </c>
      <c r="J2599" s="18">
        <v>6.91</v>
      </c>
      <c r="K2599" s="18">
        <v>6.75</v>
      </c>
      <c r="L2599" s="22">
        <v>8</v>
      </c>
    </row>
    <row r="2600" spans="1:12">
      <c r="A2600">
        <v>3</v>
      </c>
      <c r="B2600" s="16" t="s">
        <v>58</v>
      </c>
      <c r="C2600" s="9">
        <v>45717</v>
      </c>
      <c r="D2600">
        <v>39</v>
      </c>
      <c r="E2600" s="16" t="s">
        <v>128</v>
      </c>
      <c r="F2600" s="16" t="s">
        <v>87</v>
      </c>
      <c r="G2600" s="22">
        <v>40</v>
      </c>
      <c r="H2600" s="18">
        <v>272.745</v>
      </c>
      <c r="I2600" s="18">
        <v>6.8186249999999999</v>
      </c>
      <c r="J2600" s="18">
        <v>6.99</v>
      </c>
      <c r="K2600" s="18">
        <v>6.71</v>
      </c>
      <c r="L2600" s="22">
        <v>9</v>
      </c>
    </row>
    <row r="2601" spans="1:12">
      <c r="A2601">
        <v>3</v>
      </c>
      <c r="B2601" s="16" t="s">
        <v>58</v>
      </c>
      <c r="C2601" s="9">
        <v>45748</v>
      </c>
      <c r="D2601">
        <v>39</v>
      </c>
      <c r="E2601" s="16" t="s">
        <v>128</v>
      </c>
      <c r="F2601" s="16" t="s">
        <v>87</v>
      </c>
      <c r="G2601" s="22">
        <v>52.75</v>
      </c>
      <c r="H2601" s="18">
        <v>364.62</v>
      </c>
      <c r="I2601" s="18">
        <v>6.9122274880000001</v>
      </c>
      <c r="J2601" s="18">
        <v>7.09</v>
      </c>
      <c r="K2601" s="18">
        <v>6.8</v>
      </c>
      <c r="L2601" s="22">
        <v>8</v>
      </c>
    </row>
    <row r="2602" spans="1:12">
      <c r="A2602">
        <v>3</v>
      </c>
      <c r="B2602" s="16" t="s">
        <v>58</v>
      </c>
      <c r="C2602" s="9">
        <v>45778</v>
      </c>
      <c r="D2602">
        <v>39</v>
      </c>
      <c r="E2602" s="16" t="s">
        <v>128</v>
      </c>
      <c r="F2602" s="16" t="s">
        <v>87</v>
      </c>
      <c r="G2602" s="22">
        <v>43</v>
      </c>
      <c r="H2602" s="18">
        <v>296.66250000000002</v>
      </c>
      <c r="I2602" s="18">
        <v>6.8991279069999996</v>
      </c>
      <c r="J2602" s="18">
        <v>7</v>
      </c>
      <c r="K2602" s="18">
        <v>6.75</v>
      </c>
      <c r="L2602" s="22">
        <v>9</v>
      </c>
    </row>
    <row r="2603" spans="1:12">
      <c r="A2603">
        <v>3</v>
      </c>
      <c r="B2603" s="16" t="s">
        <v>58</v>
      </c>
      <c r="C2603" s="9">
        <v>45809</v>
      </c>
      <c r="D2603">
        <v>39</v>
      </c>
      <c r="E2603" s="16" t="s">
        <v>128</v>
      </c>
      <c r="F2603" s="16" t="s">
        <v>87</v>
      </c>
      <c r="G2603" s="22">
        <v>27.5</v>
      </c>
      <c r="H2603" s="18">
        <v>190.2</v>
      </c>
      <c r="I2603" s="18">
        <v>6.9163636359999998</v>
      </c>
      <c r="J2603" s="18">
        <v>7</v>
      </c>
      <c r="K2603" s="18">
        <v>6.71</v>
      </c>
      <c r="L2603" s="22">
        <v>8</v>
      </c>
    </row>
    <row r="2604" spans="1:12">
      <c r="A2604">
        <v>3</v>
      </c>
      <c r="B2604" s="16" t="s">
        <v>58</v>
      </c>
      <c r="C2604" s="9">
        <v>45839</v>
      </c>
      <c r="D2604">
        <v>39</v>
      </c>
      <c r="E2604" s="16" t="s">
        <v>128</v>
      </c>
      <c r="F2604" s="16" t="s">
        <v>87</v>
      </c>
      <c r="G2604" s="22">
        <v>28.75</v>
      </c>
      <c r="H2604" s="18">
        <v>197.03749999999999</v>
      </c>
      <c r="I2604" s="18">
        <v>6.8534782610000002</v>
      </c>
      <c r="J2604" s="18">
        <v>7.02</v>
      </c>
      <c r="K2604" s="18">
        <v>6.75</v>
      </c>
      <c r="L2604" s="22">
        <v>9</v>
      </c>
    </row>
    <row r="2605" spans="1:12">
      <c r="A2605">
        <v>3</v>
      </c>
      <c r="B2605" s="16" t="s">
        <v>58</v>
      </c>
      <c r="C2605" s="9">
        <v>45870</v>
      </c>
      <c r="D2605">
        <v>39</v>
      </c>
      <c r="E2605" s="16" t="s">
        <v>128</v>
      </c>
      <c r="F2605" s="16" t="s">
        <v>87</v>
      </c>
      <c r="G2605" s="22">
        <v>34</v>
      </c>
      <c r="H2605" s="18">
        <v>233.435</v>
      </c>
      <c r="I2605" s="18">
        <v>6.8657352940000003</v>
      </c>
      <c r="J2605" s="18">
        <v>7.06</v>
      </c>
      <c r="K2605" s="18">
        <v>6.73</v>
      </c>
      <c r="L2605" s="22">
        <v>8</v>
      </c>
    </row>
    <row r="2606" spans="1:12">
      <c r="A2606">
        <v>3</v>
      </c>
      <c r="B2606" s="16" t="s">
        <v>58</v>
      </c>
      <c r="C2606" s="9">
        <v>45901</v>
      </c>
      <c r="D2606">
        <v>39</v>
      </c>
      <c r="E2606" s="16" t="s">
        <v>128</v>
      </c>
      <c r="F2606" s="16" t="s">
        <v>87</v>
      </c>
      <c r="G2606" s="22">
        <v>36.75</v>
      </c>
      <c r="H2606" s="18">
        <v>253.20249999999999</v>
      </c>
      <c r="I2606" s="18">
        <v>6.8898639460000002</v>
      </c>
      <c r="J2606" s="18">
        <v>7.03</v>
      </c>
      <c r="K2606" s="18">
        <v>6.79</v>
      </c>
      <c r="L2606" s="22">
        <v>9</v>
      </c>
    </row>
    <row r="2607" spans="1:12">
      <c r="A2607">
        <v>3</v>
      </c>
      <c r="B2607" s="16" t="s">
        <v>58</v>
      </c>
      <c r="C2607" s="9">
        <v>45931</v>
      </c>
      <c r="D2607">
        <v>39</v>
      </c>
      <c r="E2607" s="16" t="s">
        <v>128</v>
      </c>
      <c r="F2607" s="16" t="s">
        <v>87</v>
      </c>
      <c r="G2607" s="22">
        <v>49.5</v>
      </c>
      <c r="H2607" s="18">
        <v>338.15499999999997</v>
      </c>
      <c r="I2607" s="18">
        <v>6.8314141409999998</v>
      </c>
      <c r="J2607" s="18">
        <v>6.99</v>
      </c>
      <c r="K2607" s="18">
        <v>6.73</v>
      </c>
      <c r="L2607" s="22">
        <v>9</v>
      </c>
    </row>
    <row r="2608" spans="1:12">
      <c r="A2608">
        <v>3</v>
      </c>
      <c r="B2608" s="16" t="s">
        <v>58</v>
      </c>
      <c r="C2608" s="9">
        <v>45962</v>
      </c>
      <c r="D2608">
        <v>39</v>
      </c>
      <c r="E2608" s="16" t="s">
        <v>128</v>
      </c>
      <c r="F2608" s="16" t="s">
        <v>87</v>
      </c>
      <c r="G2608" s="22">
        <v>33.5</v>
      </c>
      <c r="H2608" s="18">
        <v>230.0575</v>
      </c>
      <c r="I2608" s="18">
        <v>6.8673880599999997</v>
      </c>
      <c r="J2608" s="18">
        <v>7.01</v>
      </c>
      <c r="K2608" s="18">
        <v>6.81</v>
      </c>
      <c r="L2608" s="22">
        <v>8</v>
      </c>
    </row>
    <row r="2609" spans="1:12">
      <c r="A2609">
        <v>3</v>
      </c>
      <c r="B2609" s="16" t="s">
        <v>58</v>
      </c>
      <c r="C2609" s="9">
        <v>45992</v>
      </c>
      <c r="D2609">
        <v>39</v>
      </c>
      <c r="E2609" s="16" t="s">
        <v>128</v>
      </c>
      <c r="F2609" s="16" t="s">
        <v>87</v>
      </c>
      <c r="G2609" s="22">
        <v>57</v>
      </c>
      <c r="H2609" s="18">
        <v>395.73</v>
      </c>
      <c r="I2609" s="18">
        <v>6.9426315790000004</v>
      </c>
      <c r="J2609" s="18">
        <v>7.08</v>
      </c>
      <c r="K2609" s="18">
        <v>6.84</v>
      </c>
      <c r="L2609" s="22">
        <v>9</v>
      </c>
    </row>
    <row r="2610" spans="1:12">
      <c r="A2610">
        <v>3</v>
      </c>
      <c r="B2610" s="16" t="s">
        <v>58</v>
      </c>
      <c r="C2610" s="9">
        <v>46023</v>
      </c>
      <c r="D2610">
        <v>39</v>
      </c>
      <c r="E2610" s="16" t="s">
        <v>128</v>
      </c>
      <c r="F2610" s="16" t="s">
        <v>87</v>
      </c>
      <c r="G2610" s="22">
        <v>52.5</v>
      </c>
      <c r="H2610" s="18">
        <v>368.56</v>
      </c>
      <c r="I2610" s="18">
        <v>7.0201904759999998</v>
      </c>
      <c r="J2610" s="18">
        <v>7.11</v>
      </c>
      <c r="K2610" s="18">
        <v>6.87</v>
      </c>
      <c r="L2610" s="22">
        <v>9</v>
      </c>
    </row>
    <row r="2611" spans="1:12">
      <c r="A2611">
        <v>3</v>
      </c>
      <c r="B2611" s="16" t="s">
        <v>58</v>
      </c>
      <c r="C2611" s="9">
        <v>46054</v>
      </c>
      <c r="D2611">
        <v>39</v>
      </c>
      <c r="E2611" s="16" t="s">
        <v>128</v>
      </c>
      <c r="F2611" s="16" t="s">
        <v>87</v>
      </c>
      <c r="G2611" s="22">
        <v>54.25</v>
      </c>
      <c r="H2611" s="18">
        <v>380.42750000000001</v>
      </c>
      <c r="I2611" s="18">
        <v>7.0124884789999999</v>
      </c>
      <c r="J2611" s="18">
        <v>7.08</v>
      </c>
      <c r="K2611" s="18">
        <v>6.94</v>
      </c>
      <c r="L2611" s="22">
        <v>8</v>
      </c>
    </row>
    <row r="2612" spans="1:12">
      <c r="A2612">
        <v>3</v>
      </c>
      <c r="B2612" s="16" t="s">
        <v>58</v>
      </c>
      <c r="C2612" s="9">
        <v>46082</v>
      </c>
      <c r="D2612">
        <v>39</v>
      </c>
      <c r="E2612" s="16" t="s">
        <v>128</v>
      </c>
      <c r="F2612" s="16" t="s">
        <v>87</v>
      </c>
      <c r="G2612" s="22">
        <v>45.25</v>
      </c>
      <c r="H2612" s="18">
        <v>317.95999999999998</v>
      </c>
      <c r="I2612" s="18">
        <v>7.0267403310000001</v>
      </c>
      <c r="J2612" s="18">
        <v>7.13</v>
      </c>
      <c r="K2612" s="18">
        <v>6.95</v>
      </c>
      <c r="L2612" s="22">
        <v>9</v>
      </c>
    </row>
    <row r="2613" spans="1:12">
      <c r="A2613">
        <v>3</v>
      </c>
      <c r="B2613" s="16" t="s">
        <v>58</v>
      </c>
      <c r="C2613" s="9">
        <v>46113</v>
      </c>
      <c r="D2613">
        <v>39</v>
      </c>
      <c r="E2613" s="16" t="s">
        <v>128</v>
      </c>
      <c r="F2613" s="16" t="s">
        <v>87</v>
      </c>
      <c r="G2613" s="22">
        <v>44.5</v>
      </c>
      <c r="H2613" s="18">
        <v>314.52749999999997</v>
      </c>
      <c r="I2613" s="18">
        <v>7.0680337079999997</v>
      </c>
      <c r="J2613" s="18">
        <v>7.22</v>
      </c>
      <c r="K2613" s="18">
        <v>6.98</v>
      </c>
      <c r="L2613" s="22">
        <v>9</v>
      </c>
    </row>
    <row r="2614" spans="1:12">
      <c r="A2614">
        <v>3</v>
      </c>
      <c r="B2614" s="16" t="s">
        <v>58</v>
      </c>
      <c r="C2614" s="9">
        <v>46143</v>
      </c>
      <c r="D2614">
        <v>39</v>
      </c>
      <c r="E2614" s="16" t="s">
        <v>128</v>
      </c>
      <c r="F2614" s="16" t="s">
        <v>87</v>
      </c>
      <c r="G2614" s="22">
        <v>33.5</v>
      </c>
      <c r="H2614" s="18">
        <v>237.465</v>
      </c>
      <c r="I2614" s="18">
        <v>7.088507463</v>
      </c>
      <c r="J2614" s="18">
        <v>7.2</v>
      </c>
      <c r="K2614" s="18">
        <v>6.92</v>
      </c>
      <c r="L2614" s="22">
        <v>8</v>
      </c>
    </row>
    <row r="2615" spans="1:12">
      <c r="A2615">
        <v>3</v>
      </c>
      <c r="B2615" s="16" t="s">
        <v>58</v>
      </c>
      <c r="C2615" s="9">
        <v>46174</v>
      </c>
      <c r="D2615">
        <v>39</v>
      </c>
      <c r="E2615" s="16" t="s">
        <v>128</v>
      </c>
      <c r="F2615" s="16" t="s">
        <v>87</v>
      </c>
      <c r="G2615" s="22">
        <v>34.75</v>
      </c>
      <c r="H2615" s="18">
        <v>246.41</v>
      </c>
      <c r="I2615" s="18">
        <v>7.0909352520000004</v>
      </c>
      <c r="J2615" s="18">
        <v>7.27</v>
      </c>
      <c r="K2615" s="18">
        <v>7</v>
      </c>
      <c r="L2615" s="22">
        <v>9</v>
      </c>
    </row>
    <row r="2616" spans="1:12">
      <c r="A2616">
        <v>3</v>
      </c>
      <c r="B2616" s="16" t="s">
        <v>58</v>
      </c>
      <c r="C2616" s="9">
        <v>46204</v>
      </c>
      <c r="D2616">
        <v>39</v>
      </c>
      <c r="E2616" s="16" t="s">
        <v>128</v>
      </c>
      <c r="F2616" s="16" t="s">
        <v>87</v>
      </c>
      <c r="G2616" s="22">
        <v>31.25</v>
      </c>
      <c r="H2616" s="18">
        <v>221.41749999999999</v>
      </c>
      <c r="I2616" s="18">
        <v>7.0853599999999997</v>
      </c>
      <c r="J2616" s="18">
        <v>7.41</v>
      </c>
      <c r="K2616" s="18">
        <v>6.8</v>
      </c>
      <c r="L2616" s="22">
        <v>9</v>
      </c>
    </row>
    <row r="2617" spans="1:12">
      <c r="A2617">
        <v>3</v>
      </c>
      <c r="B2617" s="16" t="s">
        <v>58</v>
      </c>
      <c r="C2617" s="9">
        <v>46235</v>
      </c>
      <c r="D2617">
        <v>39</v>
      </c>
      <c r="E2617" s="16" t="s">
        <v>128</v>
      </c>
      <c r="F2617" s="16" t="s">
        <v>87</v>
      </c>
      <c r="G2617" s="22">
        <v>32.75</v>
      </c>
      <c r="H2617" s="18">
        <v>229.11250000000001</v>
      </c>
      <c r="I2617" s="18">
        <v>6.9958015270000002</v>
      </c>
      <c r="J2617" s="18">
        <v>7.07</v>
      </c>
      <c r="K2617" s="18">
        <v>6.94</v>
      </c>
      <c r="L2617" s="22">
        <v>8</v>
      </c>
    </row>
    <row r="2618" spans="1:12">
      <c r="A2618">
        <v>3</v>
      </c>
      <c r="B2618" s="16" t="s">
        <v>58</v>
      </c>
      <c r="C2618" s="9">
        <v>46266</v>
      </c>
      <c r="D2618">
        <v>39</v>
      </c>
      <c r="E2618" s="16" t="s">
        <v>128</v>
      </c>
      <c r="F2618" s="16" t="s">
        <v>87</v>
      </c>
      <c r="G2618" s="22">
        <v>21</v>
      </c>
      <c r="H2618" s="18">
        <v>146.91249999999999</v>
      </c>
      <c r="I2618" s="18">
        <v>6.9958333330000002</v>
      </c>
      <c r="J2618" s="18">
        <v>7.05</v>
      </c>
      <c r="K2618" s="18">
        <v>6.93</v>
      </c>
      <c r="L2618" s="22">
        <v>7</v>
      </c>
    </row>
    <row r="2619" spans="1:12">
      <c r="A2619">
        <v>3</v>
      </c>
      <c r="B2619" s="16" t="s">
        <v>58</v>
      </c>
      <c r="C2619" s="9">
        <v>45717</v>
      </c>
      <c r="D2619">
        <v>40</v>
      </c>
      <c r="E2619" s="16" t="s">
        <v>129</v>
      </c>
      <c r="F2619" s="16" t="s">
        <v>108</v>
      </c>
      <c r="G2619" s="22">
        <v>4</v>
      </c>
      <c r="H2619" s="18">
        <v>2.36</v>
      </c>
      <c r="I2619" s="18">
        <v>0.59</v>
      </c>
      <c r="J2619" s="18">
        <v>0.59</v>
      </c>
      <c r="K2619" s="18">
        <v>0.59</v>
      </c>
      <c r="L2619" s="22">
        <v>1</v>
      </c>
    </row>
    <row r="2620" spans="1:12">
      <c r="A2620">
        <v>3</v>
      </c>
      <c r="B2620" s="16" t="s">
        <v>58</v>
      </c>
      <c r="C2620" s="9">
        <v>45748</v>
      </c>
      <c r="D2620">
        <v>40</v>
      </c>
      <c r="E2620" s="16" t="s">
        <v>129</v>
      </c>
      <c r="F2620" s="16" t="s">
        <v>108</v>
      </c>
      <c r="G2620" s="22">
        <v>4</v>
      </c>
      <c r="H2620" s="18">
        <v>2.4</v>
      </c>
      <c r="I2620" s="18">
        <v>0.6</v>
      </c>
      <c r="J2620" s="18">
        <v>0.6</v>
      </c>
      <c r="K2620" s="18">
        <v>0.6</v>
      </c>
      <c r="L2620" s="22">
        <v>1</v>
      </c>
    </row>
    <row r="2621" spans="1:12">
      <c r="A2621">
        <v>3</v>
      </c>
      <c r="B2621" s="16" t="s">
        <v>58</v>
      </c>
      <c r="C2621" s="9">
        <v>45809</v>
      </c>
      <c r="D2621">
        <v>40</v>
      </c>
      <c r="E2621" s="16" t="s">
        <v>129</v>
      </c>
      <c r="F2621" s="16" t="s">
        <v>108</v>
      </c>
      <c r="G2621" s="22">
        <v>4</v>
      </c>
      <c r="H2621" s="18">
        <v>2.36</v>
      </c>
      <c r="I2621" s="18">
        <v>0.59</v>
      </c>
      <c r="J2621" s="18">
        <v>0.59</v>
      </c>
      <c r="K2621" s="18">
        <v>0.59</v>
      </c>
      <c r="L2621" s="22">
        <v>1</v>
      </c>
    </row>
    <row r="2622" spans="1:12">
      <c r="A2622">
        <v>3</v>
      </c>
      <c r="B2622" s="16" t="s">
        <v>58</v>
      </c>
      <c r="C2622" s="9">
        <v>45870</v>
      </c>
      <c r="D2622">
        <v>40</v>
      </c>
      <c r="E2622" s="16" t="s">
        <v>129</v>
      </c>
      <c r="F2622" s="16" t="s">
        <v>108</v>
      </c>
      <c r="G2622" s="22">
        <v>4</v>
      </c>
      <c r="H2622" s="18">
        <v>2.3199999999999998</v>
      </c>
      <c r="I2622" s="18">
        <v>0.57999999999999996</v>
      </c>
      <c r="J2622" s="18">
        <v>0.57999999999999996</v>
      </c>
      <c r="K2622" s="18">
        <v>0.57999999999999996</v>
      </c>
      <c r="L2622" s="22">
        <v>1</v>
      </c>
    </row>
    <row r="2623" spans="1:12">
      <c r="A2623">
        <v>3</v>
      </c>
      <c r="B2623" s="16" t="s">
        <v>58</v>
      </c>
      <c r="C2623" s="9">
        <v>45931</v>
      </c>
      <c r="D2623">
        <v>40</v>
      </c>
      <c r="E2623" s="16" t="s">
        <v>129</v>
      </c>
      <c r="F2623" s="16" t="s">
        <v>108</v>
      </c>
      <c r="G2623" s="22">
        <v>4</v>
      </c>
      <c r="H2623" s="18">
        <v>2.3199999999999998</v>
      </c>
      <c r="I2623" s="18">
        <v>0.57999999999999996</v>
      </c>
      <c r="J2623" s="18">
        <v>0.57999999999999996</v>
      </c>
      <c r="K2623" s="18">
        <v>0.57999999999999996</v>
      </c>
      <c r="L2623" s="22">
        <v>1</v>
      </c>
    </row>
    <row r="2624" spans="1:12">
      <c r="A2624">
        <v>3</v>
      </c>
      <c r="B2624" s="16" t="s">
        <v>58</v>
      </c>
      <c r="C2624" s="9">
        <v>45992</v>
      </c>
      <c r="D2624">
        <v>40</v>
      </c>
      <c r="E2624" s="16" t="s">
        <v>129</v>
      </c>
      <c r="F2624" s="16" t="s">
        <v>108</v>
      </c>
      <c r="G2624" s="22">
        <v>8</v>
      </c>
      <c r="H2624" s="18">
        <v>4.6399999999999997</v>
      </c>
      <c r="I2624" s="18">
        <v>0.57999999999999996</v>
      </c>
      <c r="J2624" s="18">
        <v>0.59</v>
      </c>
      <c r="K2624" s="18">
        <v>0.56999999999999995</v>
      </c>
      <c r="L2624" s="22">
        <v>2</v>
      </c>
    </row>
    <row r="2625" spans="1:12">
      <c r="A2625">
        <v>3</v>
      </c>
      <c r="B2625" s="16" t="s">
        <v>58</v>
      </c>
      <c r="C2625" s="9">
        <v>46023</v>
      </c>
      <c r="D2625">
        <v>40</v>
      </c>
      <c r="E2625" s="16" t="s">
        <v>129</v>
      </c>
      <c r="F2625" s="16" t="s">
        <v>108</v>
      </c>
      <c r="G2625" s="22">
        <v>4</v>
      </c>
      <c r="H2625" s="18">
        <v>2.36</v>
      </c>
      <c r="I2625" s="18">
        <v>0.59</v>
      </c>
      <c r="J2625" s="18">
        <v>0.59</v>
      </c>
      <c r="K2625" s="18">
        <v>0.59</v>
      </c>
      <c r="L2625" s="22">
        <v>1</v>
      </c>
    </row>
    <row r="2626" spans="1:12">
      <c r="A2626">
        <v>3</v>
      </c>
      <c r="B2626" s="16" t="s">
        <v>58</v>
      </c>
      <c r="C2626" s="9">
        <v>46082</v>
      </c>
      <c r="D2626">
        <v>40</v>
      </c>
      <c r="E2626" s="16" t="s">
        <v>129</v>
      </c>
      <c r="F2626" s="16" t="s">
        <v>108</v>
      </c>
      <c r="G2626" s="22">
        <v>4</v>
      </c>
      <c r="H2626" s="18">
        <v>2.36</v>
      </c>
      <c r="I2626" s="18">
        <v>0.59</v>
      </c>
      <c r="J2626" s="18">
        <v>0.59</v>
      </c>
      <c r="K2626" s="18">
        <v>0.59</v>
      </c>
      <c r="L2626" s="22">
        <v>1</v>
      </c>
    </row>
    <row r="2627" spans="1:12">
      <c r="A2627">
        <v>3</v>
      </c>
      <c r="B2627" s="16" t="s">
        <v>58</v>
      </c>
      <c r="C2627" s="9">
        <v>46143</v>
      </c>
      <c r="D2627">
        <v>40</v>
      </c>
      <c r="E2627" s="16" t="s">
        <v>129</v>
      </c>
      <c r="F2627" s="16" t="s">
        <v>108</v>
      </c>
      <c r="G2627" s="22">
        <v>4</v>
      </c>
      <c r="H2627" s="18">
        <v>2.3199999999999998</v>
      </c>
      <c r="I2627" s="18">
        <v>0.57999999999999996</v>
      </c>
      <c r="J2627" s="18">
        <v>0.57999999999999996</v>
      </c>
      <c r="K2627" s="18">
        <v>0.57999999999999996</v>
      </c>
      <c r="L2627" s="22">
        <v>1</v>
      </c>
    </row>
    <row r="2628" spans="1:12">
      <c r="A2628">
        <v>3</v>
      </c>
      <c r="B2628" s="16" t="s">
        <v>58</v>
      </c>
      <c r="C2628" s="9">
        <v>46204</v>
      </c>
      <c r="D2628">
        <v>40</v>
      </c>
      <c r="E2628" s="16" t="s">
        <v>129</v>
      </c>
      <c r="F2628" s="16" t="s">
        <v>108</v>
      </c>
      <c r="G2628" s="22">
        <v>4</v>
      </c>
      <c r="H2628" s="18">
        <v>2.4</v>
      </c>
      <c r="I2628" s="18">
        <v>0.6</v>
      </c>
      <c r="J2628" s="18">
        <v>0.6</v>
      </c>
      <c r="K2628" s="18">
        <v>0.6</v>
      </c>
      <c r="L2628" s="22">
        <v>1</v>
      </c>
    </row>
    <row r="2629" spans="1:12">
      <c r="A2629">
        <v>3</v>
      </c>
      <c r="B2629" s="16" t="s">
        <v>58</v>
      </c>
      <c r="C2629" s="9">
        <v>46266</v>
      </c>
      <c r="D2629">
        <v>40</v>
      </c>
      <c r="E2629" s="16" t="s">
        <v>129</v>
      </c>
      <c r="F2629" s="16" t="s">
        <v>108</v>
      </c>
      <c r="G2629" s="22">
        <v>4</v>
      </c>
      <c r="H2629" s="18">
        <v>2.4</v>
      </c>
      <c r="I2629" s="18">
        <v>0.6</v>
      </c>
      <c r="J2629" s="18">
        <v>0.6</v>
      </c>
      <c r="K2629" s="18">
        <v>0.6</v>
      </c>
      <c r="L2629" s="22">
        <v>1</v>
      </c>
    </row>
    <row r="2630" spans="1:12">
      <c r="A2630">
        <v>3</v>
      </c>
      <c r="B2630" s="16" t="s">
        <v>58</v>
      </c>
      <c r="C2630" s="9">
        <v>45689</v>
      </c>
      <c r="D2630">
        <v>41</v>
      </c>
      <c r="E2630" s="16" t="s">
        <v>130</v>
      </c>
      <c r="F2630" s="16" t="s">
        <v>87</v>
      </c>
      <c r="G2630" s="22">
        <v>52.25</v>
      </c>
      <c r="H2630" s="18">
        <v>202.3425</v>
      </c>
      <c r="I2630" s="18">
        <v>3.8725837319999998</v>
      </c>
      <c r="J2630" s="18">
        <v>4</v>
      </c>
      <c r="K2630" s="18">
        <v>3.78</v>
      </c>
      <c r="L2630" s="22">
        <v>8</v>
      </c>
    </row>
    <row r="2631" spans="1:12">
      <c r="A2631">
        <v>3</v>
      </c>
      <c r="B2631" s="16" t="s">
        <v>58</v>
      </c>
      <c r="C2631" s="9">
        <v>45717</v>
      </c>
      <c r="D2631">
        <v>41</v>
      </c>
      <c r="E2631" s="16" t="s">
        <v>130</v>
      </c>
      <c r="F2631" s="16" t="s">
        <v>87</v>
      </c>
      <c r="G2631" s="22">
        <v>58.25</v>
      </c>
      <c r="H2631" s="18">
        <v>226.33250000000001</v>
      </c>
      <c r="I2631" s="18">
        <v>3.8855364809999999</v>
      </c>
      <c r="J2631" s="18">
        <v>3.93</v>
      </c>
      <c r="K2631" s="18">
        <v>3.84</v>
      </c>
      <c r="L2631" s="22">
        <v>9</v>
      </c>
    </row>
    <row r="2632" spans="1:12">
      <c r="A2632">
        <v>3</v>
      </c>
      <c r="B2632" s="16" t="s">
        <v>58</v>
      </c>
      <c r="C2632" s="9">
        <v>45748</v>
      </c>
      <c r="D2632">
        <v>41</v>
      </c>
      <c r="E2632" s="16" t="s">
        <v>130</v>
      </c>
      <c r="F2632" s="16" t="s">
        <v>87</v>
      </c>
      <c r="G2632" s="22">
        <v>68.75</v>
      </c>
      <c r="H2632" s="18">
        <v>264.9425</v>
      </c>
      <c r="I2632" s="18">
        <v>3.8537090909999998</v>
      </c>
      <c r="J2632" s="18">
        <v>3.98</v>
      </c>
      <c r="K2632" s="18">
        <v>3.8</v>
      </c>
      <c r="L2632" s="22">
        <v>8</v>
      </c>
    </row>
    <row r="2633" spans="1:12">
      <c r="A2633">
        <v>3</v>
      </c>
      <c r="B2633" s="16" t="s">
        <v>58</v>
      </c>
      <c r="C2633" s="9">
        <v>45778</v>
      </c>
      <c r="D2633">
        <v>41</v>
      </c>
      <c r="E2633" s="16" t="s">
        <v>130</v>
      </c>
      <c r="F2633" s="16" t="s">
        <v>87</v>
      </c>
      <c r="G2633" s="22">
        <v>70.5</v>
      </c>
      <c r="H2633" s="18">
        <v>269.08</v>
      </c>
      <c r="I2633" s="18">
        <v>3.8167375890000002</v>
      </c>
      <c r="J2633" s="18">
        <v>3.89</v>
      </c>
      <c r="K2633" s="18">
        <v>3.75</v>
      </c>
      <c r="L2633" s="22">
        <v>9</v>
      </c>
    </row>
    <row r="2634" spans="1:12">
      <c r="A2634">
        <v>3</v>
      </c>
      <c r="B2634" s="16" t="s">
        <v>58</v>
      </c>
      <c r="C2634" s="9">
        <v>45809</v>
      </c>
      <c r="D2634">
        <v>41</v>
      </c>
      <c r="E2634" s="16" t="s">
        <v>130</v>
      </c>
      <c r="F2634" s="16" t="s">
        <v>87</v>
      </c>
      <c r="G2634" s="22">
        <v>64</v>
      </c>
      <c r="H2634" s="18">
        <v>249.47499999999999</v>
      </c>
      <c r="I2634" s="18">
        <v>3.8980468749999999</v>
      </c>
      <c r="J2634" s="18">
        <v>4.08</v>
      </c>
      <c r="K2634" s="18">
        <v>3.79</v>
      </c>
      <c r="L2634" s="22">
        <v>9</v>
      </c>
    </row>
    <row r="2635" spans="1:12">
      <c r="A2635">
        <v>3</v>
      </c>
      <c r="B2635" s="16" t="s">
        <v>58</v>
      </c>
      <c r="C2635" s="9">
        <v>45839</v>
      </c>
      <c r="D2635">
        <v>41</v>
      </c>
      <c r="E2635" s="16" t="s">
        <v>130</v>
      </c>
      <c r="F2635" s="16" t="s">
        <v>87</v>
      </c>
      <c r="G2635" s="22">
        <v>78.25</v>
      </c>
      <c r="H2635" s="18">
        <v>307.13749999999999</v>
      </c>
      <c r="I2635" s="18">
        <v>3.925079872</v>
      </c>
      <c r="J2635" s="18">
        <v>4.03</v>
      </c>
      <c r="K2635" s="18">
        <v>3.84</v>
      </c>
      <c r="L2635" s="22">
        <v>9</v>
      </c>
    </row>
    <row r="2636" spans="1:12">
      <c r="A2636">
        <v>3</v>
      </c>
      <c r="B2636" s="16" t="s">
        <v>58</v>
      </c>
      <c r="C2636" s="9">
        <v>45870</v>
      </c>
      <c r="D2636">
        <v>41</v>
      </c>
      <c r="E2636" s="16" t="s">
        <v>130</v>
      </c>
      <c r="F2636" s="16" t="s">
        <v>87</v>
      </c>
      <c r="G2636" s="22">
        <v>68.25</v>
      </c>
      <c r="H2636" s="18">
        <v>273.11250000000001</v>
      </c>
      <c r="I2636" s="18">
        <v>4.0016483520000001</v>
      </c>
      <c r="J2636" s="18">
        <v>4.1500000000000004</v>
      </c>
      <c r="K2636" s="18">
        <v>3.91</v>
      </c>
      <c r="L2636" s="22">
        <v>8</v>
      </c>
    </row>
    <row r="2637" spans="1:12">
      <c r="A2637">
        <v>3</v>
      </c>
      <c r="B2637" s="16" t="s">
        <v>58</v>
      </c>
      <c r="C2637" s="9">
        <v>45901</v>
      </c>
      <c r="D2637">
        <v>41</v>
      </c>
      <c r="E2637" s="16" t="s">
        <v>130</v>
      </c>
      <c r="F2637" s="16" t="s">
        <v>87</v>
      </c>
      <c r="G2637" s="22">
        <v>67.25</v>
      </c>
      <c r="H2637" s="18">
        <v>269.36250000000001</v>
      </c>
      <c r="I2637" s="18">
        <v>4.0053903350000004</v>
      </c>
      <c r="J2637" s="18">
        <v>4.0599999999999996</v>
      </c>
      <c r="K2637" s="18">
        <v>3.94</v>
      </c>
      <c r="L2637" s="22">
        <v>9</v>
      </c>
    </row>
    <row r="2638" spans="1:12">
      <c r="A2638">
        <v>3</v>
      </c>
      <c r="B2638" s="16" t="s">
        <v>58</v>
      </c>
      <c r="C2638" s="9">
        <v>45931</v>
      </c>
      <c r="D2638">
        <v>41</v>
      </c>
      <c r="E2638" s="16" t="s">
        <v>130</v>
      </c>
      <c r="F2638" s="16" t="s">
        <v>87</v>
      </c>
      <c r="G2638" s="22">
        <v>59.25</v>
      </c>
      <c r="H2638" s="18">
        <v>233.6925</v>
      </c>
      <c r="I2638" s="18">
        <v>3.9441772149999998</v>
      </c>
      <c r="J2638" s="18">
        <v>4.0599999999999996</v>
      </c>
      <c r="K2638" s="18">
        <v>3.79</v>
      </c>
      <c r="L2638" s="22">
        <v>9</v>
      </c>
    </row>
    <row r="2639" spans="1:12">
      <c r="A2639">
        <v>3</v>
      </c>
      <c r="B2639" s="16" t="s">
        <v>58</v>
      </c>
      <c r="C2639" s="9">
        <v>45962</v>
      </c>
      <c r="D2639">
        <v>41</v>
      </c>
      <c r="E2639" s="16" t="s">
        <v>130</v>
      </c>
      <c r="F2639" s="16" t="s">
        <v>87</v>
      </c>
      <c r="G2639" s="22">
        <v>54</v>
      </c>
      <c r="H2639" s="18">
        <v>214.73750000000001</v>
      </c>
      <c r="I2639" s="18">
        <v>3.97662037</v>
      </c>
      <c r="J2639" s="18">
        <v>4.04</v>
      </c>
      <c r="K2639" s="18">
        <v>3.88</v>
      </c>
      <c r="L2639" s="22">
        <v>8</v>
      </c>
    </row>
    <row r="2640" spans="1:12">
      <c r="A2640">
        <v>3</v>
      </c>
      <c r="B2640" s="16" t="s">
        <v>58</v>
      </c>
      <c r="C2640" s="9">
        <v>45992</v>
      </c>
      <c r="D2640">
        <v>41</v>
      </c>
      <c r="E2640" s="16" t="s">
        <v>130</v>
      </c>
      <c r="F2640" s="16" t="s">
        <v>87</v>
      </c>
      <c r="G2640" s="22">
        <v>46.75</v>
      </c>
      <c r="H2640" s="18">
        <v>185.60749999999999</v>
      </c>
      <c r="I2640" s="18">
        <v>3.970213904</v>
      </c>
      <c r="J2640" s="18">
        <v>4.03</v>
      </c>
      <c r="K2640" s="18">
        <v>3.92</v>
      </c>
      <c r="L2640" s="22">
        <v>9</v>
      </c>
    </row>
    <row r="2641" spans="1:12">
      <c r="A2641">
        <v>3</v>
      </c>
      <c r="B2641" s="16" t="s">
        <v>58</v>
      </c>
      <c r="C2641" s="9">
        <v>46023</v>
      </c>
      <c r="D2641">
        <v>41</v>
      </c>
      <c r="E2641" s="16" t="s">
        <v>130</v>
      </c>
      <c r="F2641" s="16" t="s">
        <v>87</v>
      </c>
      <c r="G2641" s="22">
        <v>51.25</v>
      </c>
      <c r="H2641" s="18">
        <v>204.20750000000001</v>
      </c>
      <c r="I2641" s="18">
        <v>3.9845365849999999</v>
      </c>
      <c r="J2641" s="18">
        <v>4.0599999999999996</v>
      </c>
      <c r="K2641" s="18">
        <v>3.94</v>
      </c>
      <c r="L2641" s="22">
        <v>9</v>
      </c>
    </row>
    <row r="2642" spans="1:12">
      <c r="A2642">
        <v>3</v>
      </c>
      <c r="B2642" s="16" t="s">
        <v>58</v>
      </c>
      <c r="C2642" s="9">
        <v>46054</v>
      </c>
      <c r="D2642">
        <v>41</v>
      </c>
      <c r="E2642" s="16" t="s">
        <v>130</v>
      </c>
      <c r="F2642" s="16" t="s">
        <v>87</v>
      </c>
      <c r="G2642" s="22">
        <v>47</v>
      </c>
      <c r="H2642" s="18">
        <v>186.74250000000001</v>
      </c>
      <c r="I2642" s="18">
        <v>3.9732446810000002</v>
      </c>
      <c r="J2642" s="18">
        <v>4.0599999999999996</v>
      </c>
      <c r="K2642" s="18">
        <v>3.93</v>
      </c>
      <c r="L2642" s="22">
        <v>8</v>
      </c>
    </row>
    <row r="2643" spans="1:12">
      <c r="A2643">
        <v>3</v>
      </c>
      <c r="B2643" s="16" t="s">
        <v>58</v>
      </c>
      <c r="C2643" s="9">
        <v>46082</v>
      </c>
      <c r="D2643">
        <v>41</v>
      </c>
      <c r="E2643" s="16" t="s">
        <v>130</v>
      </c>
      <c r="F2643" s="16" t="s">
        <v>87</v>
      </c>
      <c r="G2643" s="22">
        <v>51</v>
      </c>
      <c r="H2643" s="18">
        <v>203.75749999999999</v>
      </c>
      <c r="I2643" s="18">
        <v>3.9952450979999998</v>
      </c>
      <c r="J2643" s="18">
        <v>4.22</v>
      </c>
      <c r="K2643" s="18">
        <v>3.92</v>
      </c>
      <c r="L2643" s="22">
        <v>9</v>
      </c>
    </row>
    <row r="2644" spans="1:12">
      <c r="A2644">
        <v>3</v>
      </c>
      <c r="B2644" s="16" t="s">
        <v>58</v>
      </c>
      <c r="C2644" s="9">
        <v>46113</v>
      </c>
      <c r="D2644">
        <v>41</v>
      </c>
      <c r="E2644" s="16" t="s">
        <v>130</v>
      </c>
      <c r="F2644" s="16" t="s">
        <v>87</v>
      </c>
      <c r="G2644" s="22">
        <v>74</v>
      </c>
      <c r="H2644" s="18">
        <v>296.29500000000002</v>
      </c>
      <c r="I2644" s="18">
        <v>4.0039864859999996</v>
      </c>
      <c r="J2644" s="18">
        <v>4.08</v>
      </c>
      <c r="K2644" s="18">
        <v>3.95</v>
      </c>
      <c r="L2644" s="22">
        <v>9</v>
      </c>
    </row>
    <row r="2645" spans="1:12">
      <c r="A2645">
        <v>3</v>
      </c>
      <c r="B2645" s="16" t="s">
        <v>58</v>
      </c>
      <c r="C2645" s="9">
        <v>46143</v>
      </c>
      <c r="D2645">
        <v>41</v>
      </c>
      <c r="E2645" s="16" t="s">
        <v>130</v>
      </c>
      <c r="F2645" s="16" t="s">
        <v>87</v>
      </c>
      <c r="G2645" s="22">
        <v>55.5</v>
      </c>
      <c r="H2645" s="18">
        <v>224.07749999999999</v>
      </c>
      <c r="I2645" s="18">
        <v>4.0374324320000001</v>
      </c>
      <c r="J2645" s="18">
        <v>4.12</v>
      </c>
      <c r="K2645" s="18">
        <v>3.97</v>
      </c>
      <c r="L2645" s="22">
        <v>8</v>
      </c>
    </row>
    <row r="2646" spans="1:12">
      <c r="A2646">
        <v>3</v>
      </c>
      <c r="B2646" s="16" t="s">
        <v>58</v>
      </c>
      <c r="C2646" s="9">
        <v>46174</v>
      </c>
      <c r="D2646">
        <v>41</v>
      </c>
      <c r="E2646" s="16" t="s">
        <v>130</v>
      </c>
      <c r="F2646" s="16" t="s">
        <v>87</v>
      </c>
      <c r="G2646" s="22">
        <v>74</v>
      </c>
      <c r="H2646" s="18">
        <v>299.52999999999997</v>
      </c>
      <c r="I2646" s="18">
        <v>4.0477027029999997</v>
      </c>
      <c r="J2646" s="18">
        <v>4.09</v>
      </c>
      <c r="K2646" s="18">
        <v>3.99</v>
      </c>
      <c r="L2646" s="22">
        <v>9</v>
      </c>
    </row>
    <row r="2647" spans="1:12">
      <c r="A2647">
        <v>3</v>
      </c>
      <c r="B2647" s="16" t="s">
        <v>58</v>
      </c>
      <c r="C2647" s="9">
        <v>46204</v>
      </c>
      <c r="D2647">
        <v>41</v>
      </c>
      <c r="E2647" s="16" t="s">
        <v>130</v>
      </c>
      <c r="F2647" s="16" t="s">
        <v>87</v>
      </c>
      <c r="G2647" s="22">
        <v>76.5</v>
      </c>
      <c r="H2647" s="18">
        <v>309.88499999999999</v>
      </c>
      <c r="I2647" s="18">
        <v>4.0507843140000004</v>
      </c>
      <c r="J2647" s="18">
        <v>4.1500000000000004</v>
      </c>
      <c r="K2647" s="18">
        <v>3.98</v>
      </c>
      <c r="L2647" s="22">
        <v>9</v>
      </c>
    </row>
    <row r="2648" spans="1:12">
      <c r="A2648">
        <v>3</v>
      </c>
      <c r="B2648" s="16" t="s">
        <v>58</v>
      </c>
      <c r="C2648" s="9">
        <v>46235</v>
      </c>
      <c r="D2648">
        <v>41</v>
      </c>
      <c r="E2648" s="16" t="s">
        <v>130</v>
      </c>
      <c r="F2648" s="16" t="s">
        <v>87</v>
      </c>
      <c r="G2648" s="22">
        <v>59.75</v>
      </c>
      <c r="H2648" s="18">
        <v>243.71</v>
      </c>
      <c r="I2648" s="18">
        <v>4.0788284519999998</v>
      </c>
      <c r="J2648" s="18">
        <v>4.16</v>
      </c>
      <c r="K2648" s="18">
        <v>4</v>
      </c>
      <c r="L2648" s="22">
        <v>9</v>
      </c>
    </row>
    <row r="2649" spans="1:12">
      <c r="A2649">
        <v>3</v>
      </c>
      <c r="B2649" s="16" t="s">
        <v>58</v>
      </c>
      <c r="C2649" s="9">
        <v>46266</v>
      </c>
      <c r="D2649">
        <v>41</v>
      </c>
      <c r="E2649" s="16" t="s">
        <v>130</v>
      </c>
      <c r="F2649" s="16" t="s">
        <v>87</v>
      </c>
      <c r="G2649" s="22">
        <v>52.25</v>
      </c>
      <c r="H2649" s="18">
        <v>213.71250000000001</v>
      </c>
      <c r="I2649" s="18">
        <v>4.090191388</v>
      </c>
      <c r="J2649" s="18">
        <v>4.12</v>
      </c>
      <c r="K2649" s="18">
        <v>4.05</v>
      </c>
      <c r="L2649" s="22">
        <v>8</v>
      </c>
    </row>
    <row r="2650" spans="1:12">
      <c r="A2650">
        <v>3</v>
      </c>
      <c r="B2650" s="16" t="s">
        <v>58</v>
      </c>
      <c r="C2650" s="9">
        <v>45689</v>
      </c>
      <c r="D2650">
        <v>42</v>
      </c>
      <c r="E2650" s="16" t="s">
        <v>131</v>
      </c>
      <c r="F2650" s="16" t="s">
        <v>83</v>
      </c>
      <c r="G2650" s="22">
        <v>20.5</v>
      </c>
      <c r="H2650" s="18">
        <v>122.855</v>
      </c>
      <c r="I2650" s="18">
        <v>5.992926829</v>
      </c>
      <c r="J2650" s="18">
        <v>6.05</v>
      </c>
      <c r="K2650" s="18">
        <v>5.84</v>
      </c>
      <c r="L2650" s="22">
        <v>8</v>
      </c>
    </row>
    <row r="2651" spans="1:12">
      <c r="A2651">
        <v>3</v>
      </c>
      <c r="B2651" s="16" t="s">
        <v>58</v>
      </c>
      <c r="C2651" s="9">
        <v>45717</v>
      </c>
      <c r="D2651">
        <v>42</v>
      </c>
      <c r="E2651" s="16" t="s">
        <v>131</v>
      </c>
      <c r="F2651" s="16" t="s">
        <v>83</v>
      </c>
      <c r="G2651" s="22">
        <v>20</v>
      </c>
      <c r="H2651" s="18">
        <v>120.435</v>
      </c>
      <c r="I2651" s="18">
        <v>6.0217499999999999</v>
      </c>
      <c r="J2651" s="18">
        <v>6.17</v>
      </c>
      <c r="K2651" s="18">
        <v>5.88</v>
      </c>
      <c r="L2651" s="22">
        <v>8</v>
      </c>
    </row>
    <row r="2652" spans="1:12">
      <c r="A2652">
        <v>3</v>
      </c>
      <c r="B2652" s="16" t="s">
        <v>58</v>
      </c>
      <c r="C2652" s="9">
        <v>45748</v>
      </c>
      <c r="D2652">
        <v>42</v>
      </c>
      <c r="E2652" s="16" t="s">
        <v>131</v>
      </c>
      <c r="F2652" s="16" t="s">
        <v>83</v>
      </c>
      <c r="G2652" s="22">
        <v>23</v>
      </c>
      <c r="H2652" s="18">
        <v>140.72999999999999</v>
      </c>
      <c r="I2652" s="18">
        <v>6.1186956520000004</v>
      </c>
      <c r="J2652" s="18">
        <v>6.46</v>
      </c>
      <c r="K2652" s="18">
        <v>5.92</v>
      </c>
      <c r="L2652" s="22">
        <v>9</v>
      </c>
    </row>
    <row r="2653" spans="1:12">
      <c r="A2653">
        <v>3</v>
      </c>
      <c r="B2653" s="16" t="s">
        <v>58</v>
      </c>
      <c r="C2653" s="9">
        <v>45778</v>
      </c>
      <c r="D2653">
        <v>42</v>
      </c>
      <c r="E2653" s="16" t="s">
        <v>131</v>
      </c>
      <c r="F2653" s="16" t="s">
        <v>83</v>
      </c>
      <c r="G2653" s="22">
        <v>24</v>
      </c>
      <c r="H2653" s="18">
        <v>147.27000000000001</v>
      </c>
      <c r="I2653" s="18">
        <v>6.1362500000000004</v>
      </c>
      <c r="J2653" s="18">
        <v>6.22</v>
      </c>
      <c r="K2653" s="18">
        <v>6.02</v>
      </c>
      <c r="L2653" s="22">
        <v>9</v>
      </c>
    </row>
    <row r="2654" spans="1:12">
      <c r="A2654">
        <v>3</v>
      </c>
      <c r="B2654" s="16" t="s">
        <v>58</v>
      </c>
      <c r="C2654" s="9">
        <v>45809</v>
      </c>
      <c r="D2654">
        <v>42</v>
      </c>
      <c r="E2654" s="16" t="s">
        <v>131</v>
      </c>
      <c r="F2654" s="16" t="s">
        <v>83</v>
      </c>
      <c r="G2654" s="22">
        <v>19</v>
      </c>
      <c r="H2654" s="18">
        <v>117.545</v>
      </c>
      <c r="I2654" s="18">
        <v>6.1865789470000001</v>
      </c>
      <c r="J2654" s="18">
        <v>6.28</v>
      </c>
      <c r="K2654" s="18">
        <v>6.07</v>
      </c>
      <c r="L2654" s="22">
        <v>8</v>
      </c>
    </row>
    <row r="2655" spans="1:12">
      <c r="A2655">
        <v>3</v>
      </c>
      <c r="B2655" s="16" t="s">
        <v>58</v>
      </c>
      <c r="C2655" s="9">
        <v>45839</v>
      </c>
      <c r="D2655">
        <v>42</v>
      </c>
      <c r="E2655" s="16" t="s">
        <v>131</v>
      </c>
      <c r="F2655" s="16" t="s">
        <v>83</v>
      </c>
      <c r="G2655" s="22">
        <v>22.5</v>
      </c>
      <c r="H2655" s="18">
        <v>138.98500000000001</v>
      </c>
      <c r="I2655" s="18">
        <v>6.1771111110000003</v>
      </c>
      <c r="J2655" s="18">
        <v>6.26</v>
      </c>
      <c r="K2655" s="18">
        <v>6.04</v>
      </c>
      <c r="L2655" s="22">
        <v>9</v>
      </c>
    </row>
    <row r="2656" spans="1:12">
      <c r="A2656">
        <v>3</v>
      </c>
      <c r="B2656" s="16" t="s">
        <v>58</v>
      </c>
      <c r="C2656" s="9">
        <v>45870</v>
      </c>
      <c r="D2656">
        <v>42</v>
      </c>
      <c r="E2656" s="16" t="s">
        <v>131</v>
      </c>
      <c r="F2656" s="16" t="s">
        <v>83</v>
      </c>
      <c r="G2656" s="22">
        <v>18</v>
      </c>
      <c r="H2656" s="18">
        <v>111.46</v>
      </c>
      <c r="I2656" s="18">
        <v>6.1922222219999998</v>
      </c>
      <c r="J2656" s="18">
        <v>6.35</v>
      </c>
      <c r="K2656" s="18">
        <v>6.08</v>
      </c>
      <c r="L2656" s="22">
        <v>8</v>
      </c>
    </row>
    <row r="2657" spans="1:12">
      <c r="A2657">
        <v>3</v>
      </c>
      <c r="B2657" s="16" t="s">
        <v>58</v>
      </c>
      <c r="C2657" s="9">
        <v>45901</v>
      </c>
      <c r="D2657">
        <v>42</v>
      </c>
      <c r="E2657" s="16" t="s">
        <v>131</v>
      </c>
      <c r="F2657" s="16" t="s">
        <v>83</v>
      </c>
      <c r="G2657" s="22">
        <v>18.5</v>
      </c>
      <c r="H2657" s="18">
        <v>114.575</v>
      </c>
      <c r="I2657" s="18">
        <v>6.1932432430000004</v>
      </c>
      <c r="J2657" s="18">
        <v>6.26</v>
      </c>
      <c r="K2657" s="18">
        <v>6.08</v>
      </c>
      <c r="L2657" s="22">
        <v>9</v>
      </c>
    </row>
    <row r="2658" spans="1:12">
      <c r="A2658">
        <v>3</v>
      </c>
      <c r="B2658" s="16" t="s">
        <v>58</v>
      </c>
      <c r="C2658" s="9">
        <v>45931</v>
      </c>
      <c r="D2658">
        <v>42</v>
      </c>
      <c r="E2658" s="16" t="s">
        <v>131</v>
      </c>
      <c r="F2658" s="16" t="s">
        <v>83</v>
      </c>
      <c r="G2658" s="22">
        <v>24.5</v>
      </c>
      <c r="H2658" s="18">
        <v>152.04499999999999</v>
      </c>
      <c r="I2658" s="18">
        <v>6.2059183669999998</v>
      </c>
      <c r="J2658" s="18">
        <v>6.32</v>
      </c>
      <c r="K2658" s="18">
        <v>6.12</v>
      </c>
      <c r="L2658" s="22">
        <v>9</v>
      </c>
    </row>
    <row r="2659" spans="1:12">
      <c r="A2659">
        <v>3</v>
      </c>
      <c r="B2659" s="16" t="s">
        <v>58</v>
      </c>
      <c r="C2659" s="9">
        <v>45962</v>
      </c>
      <c r="D2659">
        <v>42</v>
      </c>
      <c r="E2659" s="16" t="s">
        <v>131</v>
      </c>
      <c r="F2659" s="16" t="s">
        <v>83</v>
      </c>
      <c r="G2659" s="22">
        <v>17</v>
      </c>
      <c r="H2659" s="18">
        <v>104.68</v>
      </c>
      <c r="I2659" s="18">
        <v>6.1576470590000003</v>
      </c>
      <c r="J2659" s="18">
        <v>6.25</v>
      </c>
      <c r="K2659" s="18">
        <v>6.09</v>
      </c>
      <c r="L2659" s="22">
        <v>8</v>
      </c>
    </row>
    <row r="2660" spans="1:12">
      <c r="A2660">
        <v>3</v>
      </c>
      <c r="B2660" s="16" t="s">
        <v>58</v>
      </c>
      <c r="C2660" s="9">
        <v>45992</v>
      </c>
      <c r="D2660">
        <v>42</v>
      </c>
      <c r="E2660" s="16" t="s">
        <v>131</v>
      </c>
      <c r="F2660" s="16" t="s">
        <v>83</v>
      </c>
      <c r="G2660" s="22">
        <v>22.5</v>
      </c>
      <c r="H2660" s="18">
        <v>139.22</v>
      </c>
      <c r="I2660" s="18">
        <v>6.1875555560000004</v>
      </c>
      <c r="J2660" s="18">
        <v>6.49</v>
      </c>
      <c r="K2660" s="18">
        <v>6.08</v>
      </c>
      <c r="L2660" s="22">
        <v>9</v>
      </c>
    </row>
    <row r="2661" spans="1:12">
      <c r="A2661">
        <v>3</v>
      </c>
      <c r="B2661" s="16" t="s">
        <v>58</v>
      </c>
      <c r="C2661" s="9">
        <v>46023</v>
      </c>
      <c r="D2661">
        <v>42</v>
      </c>
      <c r="E2661" s="16" t="s">
        <v>131</v>
      </c>
      <c r="F2661" s="16" t="s">
        <v>83</v>
      </c>
      <c r="G2661" s="22">
        <v>24.5</v>
      </c>
      <c r="H2661" s="18">
        <v>152.04</v>
      </c>
      <c r="I2661" s="18">
        <v>6.2057142860000001</v>
      </c>
      <c r="J2661" s="18">
        <v>6.52</v>
      </c>
      <c r="K2661" s="18">
        <v>6.05</v>
      </c>
      <c r="L2661" s="22">
        <v>9</v>
      </c>
    </row>
    <row r="2662" spans="1:12">
      <c r="A2662">
        <v>3</v>
      </c>
      <c r="B2662" s="16" t="s">
        <v>58</v>
      </c>
      <c r="C2662" s="9">
        <v>46054</v>
      </c>
      <c r="D2662">
        <v>42</v>
      </c>
      <c r="E2662" s="16" t="s">
        <v>131</v>
      </c>
      <c r="F2662" s="16" t="s">
        <v>83</v>
      </c>
      <c r="G2662" s="22">
        <v>17</v>
      </c>
      <c r="H2662" s="18">
        <v>104.36</v>
      </c>
      <c r="I2662" s="18">
        <v>6.1388235289999997</v>
      </c>
      <c r="J2662" s="18">
        <v>6.23</v>
      </c>
      <c r="K2662" s="18">
        <v>6.03</v>
      </c>
      <c r="L2662" s="22">
        <v>8</v>
      </c>
    </row>
    <row r="2663" spans="1:12">
      <c r="A2663">
        <v>3</v>
      </c>
      <c r="B2663" s="16" t="s">
        <v>58</v>
      </c>
      <c r="C2663" s="9">
        <v>46082</v>
      </c>
      <c r="D2663">
        <v>42</v>
      </c>
      <c r="E2663" s="16" t="s">
        <v>131</v>
      </c>
      <c r="F2663" s="16" t="s">
        <v>83</v>
      </c>
      <c r="G2663" s="22">
        <v>16.5</v>
      </c>
      <c r="H2663" s="18">
        <v>101.2</v>
      </c>
      <c r="I2663" s="18">
        <v>6.1333333330000004</v>
      </c>
      <c r="J2663" s="18">
        <v>6.39</v>
      </c>
      <c r="K2663" s="18">
        <v>6.04</v>
      </c>
      <c r="L2663" s="22">
        <v>9</v>
      </c>
    </row>
    <row r="2664" spans="1:12">
      <c r="A2664">
        <v>3</v>
      </c>
      <c r="B2664" s="16" t="s">
        <v>58</v>
      </c>
      <c r="C2664" s="9">
        <v>46113</v>
      </c>
      <c r="D2664">
        <v>42</v>
      </c>
      <c r="E2664" s="16" t="s">
        <v>131</v>
      </c>
      <c r="F2664" s="16" t="s">
        <v>83</v>
      </c>
      <c r="G2664" s="22">
        <v>16.5</v>
      </c>
      <c r="H2664" s="18">
        <v>101.895</v>
      </c>
      <c r="I2664" s="18">
        <v>6.175454545</v>
      </c>
      <c r="J2664" s="18">
        <v>6.34</v>
      </c>
      <c r="K2664" s="18">
        <v>6.08</v>
      </c>
      <c r="L2664" s="22">
        <v>9</v>
      </c>
    </row>
    <row r="2665" spans="1:12">
      <c r="A2665">
        <v>3</v>
      </c>
      <c r="B2665" s="16" t="s">
        <v>58</v>
      </c>
      <c r="C2665" s="9">
        <v>46143</v>
      </c>
      <c r="D2665">
        <v>42</v>
      </c>
      <c r="E2665" s="16" t="s">
        <v>131</v>
      </c>
      <c r="F2665" s="16" t="s">
        <v>83</v>
      </c>
      <c r="G2665" s="22">
        <v>16.5</v>
      </c>
      <c r="H2665" s="18">
        <v>102.25</v>
      </c>
      <c r="I2665" s="18">
        <v>6.1969696970000001</v>
      </c>
      <c r="J2665" s="18">
        <v>6.27</v>
      </c>
      <c r="K2665" s="18">
        <v>6.17</v>
      </c>
      <c r="L2665" s="22">
        <v>6</v>
      </c>
    </row>
    <row r="2666" spans="1:12">
      <c r="A2666">
        <v>3</v>
      </c>
      <c r="B2666" s="16" t="s">
        <v>58</v>
      </c>
      <c r="C2666" s="9">
        <v>46174</v>
      </c>
      <c r="D2666">
        <v>42</v>
      </c>
      <c r="E2666" s="16" t="s">
        <v>131</v>
      </c>
      <c r="F2666" s="16" t="s">
        <v>83</v>
      </c>
      <c r="G2666" s="22">
        <v>20.5</v>
      </c>
      <c r="H2666" s="18">
        <v>128.21</v>
      </c>
      <c r="I2666" s="18">
        <v>6.2541463410000002</v>
      </c>
      <c r="J2666" s="18">
        <v>6.34</v>
      </c>
      <c r="K2666" s="18">
        <v>6.2</v>
      </c>
      <c r="L2666" s="22">
        <v>9</v>
      </c>
    </row>
    <row r="2667" spans="1:12">
      <c r="A2667">
        <v>3</v>
      </c>
      <c r="B2667" s="16" t="s">
        <v>58</v>
      </c>
      <c r="C2667" s="9">
        <v>46204</v>
      </c>
      <c r="D2667">
        <v>42</v>
      </c>
      <c r="E2667" s="16" t="s">
        <v>131</v>
      </c>
      <c r="F2667" s="16" t="s">
        <v>83</v>
      </c>
      <c r="G2667" s="22">
        <v>20.5</v>
      </c>
      <c r="H2667" s="18">
        <v>127.63</v>
      </c>
      <c r="I2667" s="18">
        <v>6.2258536590000002</v>
      </c>
      <c r="J2667" s="18">
        <v>6.27</v>
      </c>
      <c r="K2667" s="18">
        <v>6.1</v>
      </c>
      <c r="L2667" s="22">
        <v>8</v>
      </c>
    </row>
    <row r="2668" spans="1:12">
      <c r="A2668">
        <v>3</v>
      </c>
      <c r="B2668" s="16" t="s">
        <v>58</v>
      </c>
      <c r="C2668" s="9">
        <v>46235</v>
      </c>
      <c r="D2668">
        <v>42</v>
      </c>
      <c r="E2668" s="16" t="s">
        <v>131</v>
      </c>
      <c r="F2668" s="16" t="s">
        <v>83</v>
      </c>
      <c r="G2668" s="22">
        <v>16.5</v>
      </c>
      <c r="H2668" s="18">
        <v>103.515</v>
      </c>
      <c r="I2668" s="18">
        <v>6.2736363639999997</v>
      </c>
      <c r="J2668" s="18">
        <v>6.32</v>
      </c>
      <c r="K2668" s="18">
        <v>6.23</v>
      </c>
      <c r="L2668" s="22">
        <v>7</v>
      </c>
    </row>
    <row r="2669" spans="1:12">
      <c r="A2669">
        <v>3</v>
      </c>
      <c r="B2669" s="16" t="s">
        <v>58</v>
      </c>
      <c r="C2669" s="9">
        <v>46266</v>
      </c>
      <c r="D2669">
        <v>42</v>
      </c>
      <c r="E2669" s="16" t="s">
        <v>131</v>
      </c>
      <c r="F2669" s="16" t="s">
        <v>83</v>
      </c>
      <c r="G2669" s="22">
        <v>17.5</v>
      </c>
      <c r="H2669" s="18">
        <v>111.2</v>
      </c>
      <c r="I2669" s="18">
        <v>6.3542857140000004</v>
      </c>
      <c r="J2669" s="18">
        <v>6.45</v>
      </c>
      <c r="K2669" s="18">
        <v>6.22</v>
      </c>
      <c r="L2669" s="22">
        <v>8</v>
      </c>
    </row>
    <row r="2670" spans="1:12">
      <c r="A2670">
        <v>3</v>
      </c>
      <c r="B2670" s="16" t="s">
        <v>58</v>
      </c>
      <c r="C2670" s="9">
        <v>45717</v>
      </c>
      <c r="D2670">
        <v>43</v>
      </c>
      <c r="E2670" s="16" t="s">
        <v>132</v>
      </c>
      <c r="F2670" s="16" t="s">
        <v>90</v>
      </c>
      <c r="G2670" s="22">
        <v>3</v>
      </c>
      <c r="H2670" s="18">
        <v>3.63</v>
      </c>
      <c r="I2670" s="18">
        <v>1.21</v>
      </c>
      <c r="J2670" s="18">
        <v>1.21</v>
      </c>
      <c r="K2670" s="18">
        <v>1.21</v>
      </c>
      <c r="L2670" s="22">
        <v>1</v>
      </c>
    </row>
    <row r="2671" spans="1:12">
      <c r="A2671">
        <v>3</v>
      </c>
      <c r="B2671" s="16" t="s">
        <v>58</v>
      </c>
      <c r="C2671" s="9">
        <v>45748</v>
      </c>
      <c r="D2671">
        <v>43</v>
      </c>
      <c r="E2671" s="16" t="s">
        <v>132</v>
      </c>
      <c r="F2671" s="16" t="s">
        <v>90</v>
      </c>
      <c r="G2671" s="22">
        <v>3</v>
      </c>
      <c r="H2671" s="18">
        <v>3.63</v>
      </c>
      <c r="I2671" s="18">
        <v>1.21</v>
      </c>
      <c r="J2671" s="18">
        <v>1.21</v>
      </c>
      <c r="K2671" s="18">
        <v>1.21</v>
      </c>
      <c r="L2671" s="22">
        <v>1</v>
      </c>
    </row>
    <row r="2672" spans="1:12">
      <c r="A2672">
        <v>3</v>
      </c>
      <c r="B2672" s="16" t="s">
        <v>58</v>
      </c>
      <c r="C2672" s="9">
        <v>45778</v>
      </c>
      <c r="D2672">
        <v>43</v>
      </c>
      <c r="E2672" s="16" t="s">
        <v>132</v>
      </c>
      <c r="F2672" s="16" t="s">
        <v>90</v>
      </c>
      <c r="G2672" s="22">
        <v>3</v>
      </c>
      <c r="H2672" s="18">
        <v>3.54</v>
      </c>
      <c r="I2672" s="18">
        <v>1.18</v>
      </c>
      <c r="J2672" s="18">
        <v>1.18</v>
      </c>
      <c r="K2672" s="18">
        <v>1.18</v>
      </c>
      <c r="L2672" s="22">
        <v>1</v>
      </c>
    </row>
    <row r="2673" spans="1:12">
      <c r="A2673">
        <v>3</v>
      </c>
      <c r="B2673" s="16" t="s">
        <v>58</v>
      </c>
      <c r="C2673" s="9">
        <v>45809</v>
      </c>
      <c r="D2673">
        <v>43</v>
      </c>
      <c r="E2673" s="16" t="s">
        <v>132</v>
      </c>
      <c r="F2673" s="16" t="s">
        <v>90</v>
      </c>
      <c r="G2673" s="22">
        <v>3</v>
      </c>
      <c r="H2673" s="18">
        <v>3.57</v>
      </c>
      <c r="I2673" s="18">
        <v>1.19</v>
      </c>
      <c r="J2673" s="18">
        <v>1.19</v>
      </c>
      <c r="K2673" s="18">
        <v>1.19</v>
      </c>
      <c r="L2673" s="22">
        <v>1</v>
      </c>
    </row>
    <row r="2674" spans="1:12">
      <c r="A2674">
        <v>3</v>
      </c>
      <c r="B2674" s="16" t="s">
        <v>58</v>
      </c>
      <c r="C2674" s="9">
        <v>45839</v>
      </c>
      <c r="D2674">
        <v>43</v>
      </c>
      <c r="E2674" s="16" t="s">
        <v>132</v>
      </c>
      <c r="F2674" s="16" t="s">
        <v>90</v>
      </c>
      <c r="G2674" s="22">
        <v>3</v>
      </c>
      <c r="H2674" s="18">
        <v>3.57</v>
      </c>
      <c r="I2674" s="18">
        <v>1.19</v>
      </c>
      <c r="J2674" s="18">
        <v>1.19</v>
      </c>
      <c r="K2674" s="18">
        <v>1.19</v>
      </c>
      <c r="L2674" s="22">
        <v>1</v>
      </c>
    </row>
    <row r="2675" spans="1:12">
      <c r="A2675">
        <v>3</v>
      </c>
      <c r="B2675" s="16" t="s">
        <v>58</v>
      </c>
      <c r="C2675" s="9">
        <v>45901</v>
      </c>
      <c r="D2675">
        <v>43</v>
      </c>
      <c r="E2675" s="16" t="s">
        <v>132</v>
      </c>
      <c r="F2675" s="16" t="s">
        <v>90</v>
      </c>
      <c r="G2675" s="22">
        <v>3</v>
      </c>
      <c r="H2675" s="18">
        <v>3.6</v>
      </c>
      <c r="I2675" s="18">
        <v>1.2</v>
      </c>
      <c r="J2675" s="18">
        <v>1.2</v>
      </c>
      <c r="K2675" s="18">
        <v>1.2</v>
      </c>
      <c r="L2675" s="22">
        <v>1</v>
      </c>
    </row>
    <row r="2676" spans="1:12">
      <c r="A2676">
        <v>3</v>
      </c>
      <c r="B2676" s="16" t="s">
        <v>58</v>
      </c>
      <c r="C2676" s="9">
        <v>45931</v>
      </c>
      <c r="D2676">
        <v>43</v>
      </c>
      <c r="E2676" s="16" t="s">
        <v>132</v>
      </c>
      <c r="F2676" s="16" t="s">
        <v>90</v>
      </c>
      <c r="G2676" s="22">
        <v>3</v>
      </c>
      <c r="H2676" s="18">
        <v>3.69</v>
      </c>
      <c r="I2676" s="18">
        <v>1.23</v>
      </c>
      <c r="J2676" s="18">
        <v>1.23</v>
      </c>
      <c r="K2676" s="18">
        <v>1.23</v>
      </c>
      <c r="L2676" s="22">
        <v>1</v>
      </c>
    </row>
    <row r="2677" spans="1:12">
      <c r="A2677">
        <v>3</v>
      </c>
      <c r="B2677" s="16" t="s">
        <v>58</v>
      </c>
      <c r="C2677" s="9">
        <v>45962</v>
      </c>
      <c r="D2677">
        <v>43</v>
      </c>
      <c r="E2677" s="16" t="s">
        <v>132</v>
      </c>
      <c r="F2677" s="16" t="s">
        <v>90</v>
      </c>
      <c r="G2677" s="22">
        <v>3</v>
      </c>
      <c r="H2677" s="18">
        <v>3.66</v>
      </c>
      <c r="I2677" s="18">
        <v>1.22</v>
      </c>
      <c r="J2677" s="18">
        <v>1.22</v>
      </c>
      <c r="K2677" s="18">
        <v>1.22</v>
      </c>
      <c r="L2677" s="22">
        <v>1</v>
      </c>
    </row>
    <row r="2678" spans="1:12">
      <c r="A2678">
        <v>3</v>
      </c>
      <c r="B2678" s="16" t="s">
        <v>58</v>
      </c>
      <c r="C2678" s="9">
        <v>45992</v>
      </c>
      <c r="D2678">
        <v>43</v>
      </c>
      <c r="E2678" s="16" t="s">
        <v>132</v>
      </c>
      <c r="F2678" s="16" t="s">
        <v>90</v>
      </c>
      <c r="G2678" s="22">
        <v>3</v>
      </c>
      <c r="H2678" s="18">
        <v>3.72</v>
      </c>
      <c r="I2678" s="18">
        <v>1.24</v>
      </c>
      <c r="J2678" s="18">
        <v>1.24</v>
      </c>
      <c r="K2678" s="18">
        <v>1.24</v>
      </c>
      <c r="L2678" s="22">
        <v>1</v>
      </c>
    </row>
    <row r="2679" spans="1:12">
      <c r="A2679">
        <v>3</v>
      </c>
      <c r="B2679" s="16" t="s">
        <v>58</v>
      </c>
      <c r="C2679" s="9">
        <v>46023</v>
      </c>
      <c r="D2679">
        <v>43</v>
      </c>
      <c r="E2679" s="16" t="s">
        <v>132</v>
      </c>
      <c r="F2679" s="16" t="s">
        <v>90</v>
      </c>
      <c r="G2679" s="22">
        <v>3</v>
      </c>
      <c r="H2679" s="18">
        <v>3.81</v>
      </c>
      <c r="I2679" s="18">
        <v>1.27</v>
      </c>
      <c r="J2679" s="18">
        <v>1.27</v>
      </c>
      <c r="K2679" s="18">
        <v>1.27</v>
      </c>
      <c r="L2679" s="22">
        <v>1</v>
      </c>
    </row>
    <row r="2680" spans="1:12">
      <c r="A2680">
        <v>3</v>
      </c>
      <c r="B2680" s="16" t="s">
        <v>58</v>
      </c>
      <c r="C2680" s="9">
        <v>46082</v>
      </c>
      <c r="D2680">
        <v>43</v>
      </c>
      <c r="E2680" s="16" t="s">
        <v>132</v>
      </c>
      <c r="F2680" s="16" t="s">
        <v>90</v>
      </c>
      <c r="G2680" s="22">
        <v>3</v>
      </c>
      <c r="H2680" s="18">
        <v>3.81</v>
      </c>
      <c r="I2680" s="18">
        <v>1.27</v>
      </c>
      <c r="J2680" s="18">
        <v>1.27</v>
      </c>
      <c r="K2680" s="18">
        <v>1.27</v>
      </c>
      <c r="L2680" s="22">
        <v>1</v>
      </c>
    </row>
    <row r="2681" spans="1:12">
      <c r="A2681">
        <v>3</v>
      </c>
      <c r="B2681" s="16" t="s">
        <v>58</v>
      </c>
      <c r="C2681" s="9">
        <v>46113</v>
      </c>
      <c r="D2681">
        <v>43</v>
      </c>
      <c r="E2681" s="16" t="s">
        <v>132</v>
      </c>
      <c r="F2681" s="16" t="s">
        <v>90</v>
      </c>
      <c r="G2681" s="22">
        <v>3</v>
      </c>
      <c r="H2681" s="18">
        <v>3.96</v>
      </c>
      <c r="I2681" s="18">
        <v>1.32</v>
      </c>
      <c r="J2681" s="18">
        <v>1.32</v>
      </c>
      <c r="K2681" s="18">
        <v>1.32</v>
      </c>
      <c r="L2681" s="22">
        <v>1</v>
      </c>
    </row>
    <row r="2682" spans="1:12">
      <c r="A2682">
        <v>3</v>
      </c>
      <c r="B2682" s="16" t="s">
        <v>58</v>
      </c>
      <c r="C2682" s="9">
        <v>46174</v>
      </c>
      <c r="D2682">
        <v>43</v>
      </c>
      <c r="E2682" s="16" t="s">
        <v>132</v>
      </c>
      <c r="F2682" s="16" t="s">
        <v>90</v>
      </c>
      <c r="G2682" s="22">
        <v>3</v>
      </c>
      <c r="H2682" s="18">
        <v>3.81</v>
      </c>
      <c r="I2682" s="18">
        <v>1.27</v>
      </c>
      <c r="J2682" s="18">
        <v>1.27</v>
      </c>
      <c r="K2682" s="18">
        <v>1.27</v>
      </c>
      <c r="L2682" s="22">
        <v>1</v>
      </c>
    </row>
    <row r="2683" spans="1:12">
      <c r="A2683">
        <v>3</v>
      </c>
      <c r="B2683" s="16" t="s">
        <v>58</v>
      </c>
      <c r="C2683" s="9">
        <v>46204</v>
      </c>
      <c r="D2683">
        <v>43</v>
      </c>
      <c r="E2683" s="16" t="s">
        <v>132</v>
      </c>
      <c r="F2683" s="16" t="s">
        <v>90</v>
      </c>
      <c r="G2683" s="22">
        <v>3</v>
      </c>
      <c r="H2683" s="18">
        <v>3.96</v>
      </c>
      <c r="I2683" s="18">
        <v>1.32</v>
      </c>
      <c r="J2683" s="18">
        <v>1.32</v>
      </c>
      <c r="K2683" s="18">
        <v>1.32</v>
      </c>
      <c r="L2683" s="22">
        <v>1</v>
      </c>
    </row>
    <row r="2684" spans="1:12">
      <c r="A2684">
        <v>3</v>
      </c>
      <c r="B2684" s="16" t="s">
        <v>58</v>
      </c>
      <c r="C2684" s="9">
        <v>46235</v>
      </c>
      <c r="D2684">
        <v>43</v>
      </c>
      <c r="E2684" s="16" t="s">
        <v>132</v>
      </c>
      <c r="F2684" s="16" t="s">
        <v>90</v>
      </c>
      <c r="G2684" s="22">
        <v>3</v>
      </c>
      <c r="H2684" s="18">
        <v>3.84</v>
      </c>
      <c r="I2684" s="18">
        <v>1.28</v>
      </c>
      <c r="J2684" s="18">
        <v>1.28</v>
      </c>
      <c r="K2684" s="18">
        <v>1.28</v>
      </c>
      <c r="L2684" s="22">
        <v>1</v>
      </c>
    </row>
    <row r="2685" spans="1:12">
      <c r="A2685">
        <v>3</v>
      </c>
      <c r="B2685" s="16" t="s">
        <v>58</v>
      </c>
      <c r="C2685" s="9">
        <v>45689</v>
      </c>
      <c r="D2685">
        <v>44</v>
      </c>
      <c r="E2685" s="16" t="s">
        <v>133</v>
      </c>
      <c r="F2685" s="16" t="s">
        <v>90</v>
      </c>
      <c r="G2685" s="22">
        <v>3.75</v>
      </c>
      <c r="H2685" s="18">
        <v>64.724999999999994</v>
      </c>
      <c r="I2685" s="18">
        <v>17.260000000000002</v>
      </c>
      <c r="J2685" s="18">
        <v>17.260000000000002</v>
      </c>
      <c r="K2685" s="18">
        <v>17.260000000000002</v>
      </c>
      <c r="L2685" s="22">
        <v>1</v>
      </c>
    </row>
    <row r="2686" spans="1:12">
      <c r="A2686">
        <v>3</v>
      </c>
      <c r="B2686" s="16" t="s">
        <v>58</v>
      </c>
      <c r="C2686" s="9">
        <v>45717</v>
      </c>
      <c r="D2686">
        <v>44</v>
      </c>
      <c r="E2686" s="16" t="s">
        <v>133</v>
      </c>
      <c r="F2686" s="16" t="s">
        <v>90</v>
      </c>
      <c r="G2686" s="22">
        <v>3.75</v>
      </c>
      <c r="H2686" s="18">
        <v>65.174999999999997</v>
      </c>
      <c r="I2686" s="18">
        <v>17.38</v>
      </c>
      <c r="J2686" s="18">
        <v>17.38</v>
      </c>
      <c r="K2686" s="18">
        <v>17.38</v>
      </c>
      <c r="L2686" s="22">
        <v>1</v>
      </c>
    </row>
    <row r="2687" spans="1:12">
      <c r="A2687">
        <v>3</v>
      </c>
      <c r="B2687" s="16" t="s">
        <v>58</v>
      </c>
      <c r="C2687" s="9">
        <v>45748</v>
      </c>
      <c r="D2687">
        <v>44</v>
      </c>
      <c r="E2687" s="16" t="s">
        <v>133</v>
      </c>
      <c r="F2687" s="16" t="s">
        <v>90</v>
      </c>
      <c r="G2687" s="22">
        <v>7.5</v>
      </c>
      <c r="H2687" s="18">
        <v>129.11250000000001</v>
      </c>
      <c r="I2687" s="18">
        <v>17.215</v>
      </c>
      <c r="J2687" s="18">
        <v>17.239999999999998</v>
      </c>
      <c r="K2687" s="18">
        <v>17.190000000000001</v>
      </c>
      <c r="L2687" s="22">
        <v>2</v>
      </c>
    </row>
    <row r="2688" spans="1:12">
      <c r="A2688">
        <v>3</v>
      </c>
      <c r="B2688" s="16" t="s">
        <v>58</v>
      </c>
      <c r="C2688" s="9">
        <v>45778</v>
      </c>
      <c r="D2688">
        <v>44</v>
      </c>
      <c r="E2688" s="16" t="s">
        <v>133</v>
      </c>
      <c r="F2688" s="16" t="s">
        <v>90</v>
      </c>
      <c r="G2688" s="22">
        <v>3.75</v>
      </c>
      <c r="H2688" s="18">
        <v>65.8125</v>
      </c>
      <c r="I2688" s="18">
        <v>17.55</v>
      </c>
      <c r="J2688" s="18">
        <v>17.55</v>
      </c>
      <c r="K2688" s="18">
        <v>17.55</v>
      </c>
      <c r="L2688" s="22">
        <v>1</v>
      </c>
    </row>
    <row r="2689" spans="1:12">
      <c r="A2689">
        <v>3</v>
      </c>
      <c r="B2689" s="16" t="s">
        <v>58</v>
      </c>
      <c r="C2689" s="9">
        <v>45809</v>
      </c>
      <c r="D2689">
        <v>44</v>
      </c>
      <c r="E2689" s="16" t="s">
        <v>133</v>
      </c>
      <c r="F2689" s="16" t="s">
        <v>90</v>
      </c>
      <c r="G2689" s="22">
        <v>3.75</v>
      </c>
      <c r="H2689" s="18">
        <v>64.275000000000006</v>
      </c>
      <c r="I2689" s="18">
        <v>17.14</v>
      </c>
      <c r="J2689" s="18">
        <v>17.14</v>
      </c>
      <c r="K2689" s="18">
        <v>17.14</v>
      </c>
      <c r="L2689" s="22">
        <v>1</v>
      </c>
    </row>
    <row r="2690" spans="1:12">
      <c r="A2690">
        <v>3</v>
      </c>
      <c r="B2690" s="16" t="s">
        <v>58</v>
      </c>
      <c r="C2690" s="9">
        <v>45839</v>
      </c>
      <c r="D2690">
        <v>44</v>
      </c>
      <c r="E2690" s="16" t="s">
        <v>133</v>
      </c>
      <c r="F2690" s="16" t="s">
        <v>90</v>
      </c>
      <c r="G2690" s="22">
        <v>11.25</v>
      </c>
      <c r="H2690" s="18">
        <v>198.75</v>
      </c>
      <c r="I2690" s="18">
        <v>17.666666667000001</v>
      </c>
      <c r="J2690" s="18">
        <v>18.02</v>
      </c>
      <c r="K2690" s="18">
        <v>17.34</v>
      </c>
      <c r="L2690" s="22">
        <v>3</v>
      </c>
    </row>
    <row r="2691" spans="1:12">
      <c r="A2691">
        <v>3</v>
      </c>
      <c r="B2691" s="16" t="s">
        <v>58</v>
      </c>
      <c r="C2691" s="9">
        <v>45870</v>
      </c>
      <c r="D2691">
        <v>44</v>
      </c>
      <c r="E2691" s="16" t="s">
        <v>133</v>
      </c>
      <c r="F2691" s="16" t="s">
        <v>90</v>
      </c>
      <c r="G2691" s="22">
        <v>3.75</v>
      </c>
      <c r="H2691" s="18">
        <v>64.575000000000003</v>
      </c>
      <c r="I2691" s="18">
        <v>17.22</v>
      </c>
      <c r="J2691" s="18">
        <v>17.22</v>
      </c>
      <c r="K2691" s="18">
        <v>17.22</v>
      </c>
      <c r="L2691" s="22">
        <v>1</v>
      </c>
    </row>
    <row r="2692" spans="1:12">
      <c r="A2692">
        <v>3</v>
      </c>
      <c r="B2692" s="16" t="s">
        <v>58</v>
      </c>
      <c r="C2692" s="9">
        <v>45901</v>
      </c>
      <c r="D2692">
        <v>44</v>
      </c>
      <c r="E2692" s="16" t="s">
        <v>133</v>
      </c>
      <c r="F2692" s="16" t="s">
        <v>90</v>
      </c>
      <c r="G2692" s="22">
        <v>3.75</v>
      </c>
      <c r="H2692" s="18">
        <v>66.224999999999994</v>
      </c>
      <c r="I2692" s="18">
        <v>17.66</v>
      </c>
      <c r="J2692" s="18">
        <v>17.66</v>
      </c>
      <c r="K2692" s="18">
        <v>17.66</v>
      </c>
      <c r="L2692" s="22">
        <v>1</v>
      </c>
    </row>
    <row r="2693" spans="1:12">
      <c r="A2693">
        <v>3</v>
      </c>
      <c r="B2693" s="16" t="s">
        <v>58</v>
      </c>
      <c r="C2693" s="9">
        <v>45931</v>
      </c>
      <c r="D2693">
        <v>44</v>
      </c>
      <c r="E2693" s="16" t="s">
        <v>133</v>
      </c>
      <c r="F2693" s="16" t="s">
        <v>90</v>
      </c>
      <c r="G2693" s="22">
        <v>3.75</v>
      </c>
      <c r="H2693" s="18">
        <v>68.0625</v>
      </c>
      <c r="I2693" s="18">
        <v>18.149999999999999</v>
      </c>
      <c r="J2693" s="18">
        <v>18.149999999999999</v>
      </c>
      <c r="K2693" s="18">
        <v>18.149999999999999</v>
      </c>
      <c r="L2693" s="22">
        <v>1</v>
      </c>
    </row>
    <row r="2694" spans="1:12">
      <c r="A2694">
        <v>3</v>
      </c>
      <c r="B2694" s="16" t="s">
        <v>58</v>
      </c>
      <c r="C2694" s="9">
        <v>45962</v>
      </c>
      <c r="D2694">
        <v>44</v>
      </c>
      <c r="E2694" s="16" t="s">
        <v>133</v>
      </c>
      <c r="F2694" s="16" t="s">
        <v>90</v>
      </c>
      <c r="G2694" s="22">
        <v>3.75</v>
      </c>
      <c r="H2694" s="18">
        <v>66.150000000000006</v>
      </c>
      <c r="I2694" s="18">
        <v>17.64</v>
      </c>
      <c r="J2694" s="18">
        <v>17.64</v>
      </c>
      <c r="K2694" s="18">
        <v>17.64</v>
      </c>
      <c r="L2694" s="22">
        <v>1</v>
      </c>
    </row>
    <row r="2695" spans="1:12">
      <c r="A2695">
        <v>3</v>
      </c>
      <c r="B2695" s="16" t="s">
        <v>58</v>
      </c>
      <c r="C2695" s="9">
        <v>45992</v>
      </c>
      <c r="D2695">
        <v>44</v>
      </c>
      <c r="E2695" s="16" t="s">
        <v>133</v>
      </c>
      <c r="F2695" s="16" t="s">
        <v>90</v>
      </c>
      <c r="G2695" s="22">
        <v>7.5</v>
      </c>
      <c r="H2695" s="18">
        <v>133.5</v>
      </c>
      <c r="I2695" s="18">
        <v>17.8</v>
      </c>
      <c r="J2695" s="18">
        <v>17.940000000000001</v>
      </c>
      <c r="K2695" s="18">
        <v>17.66</v>
      </c>
      <c r="L2695" s="22">
        <v>2</v>
      </c>
    </row>
    <row r="2696" spans="1:12">
      <c r="A2696">
        <v>3</v>
      </c>
      <c r="B2696" s="16" t="s">
        <v>58</v>
      </c>
      <c r="C2696" s="9">
        <v>46023</v>
      </c>
      <c r="D2696">
        <v>44</v>
      </c>
      <c r="E2696" s="16" t="s">
        <v>133</v>
      </c>
      <c r="F2696" s="16" t="s">
        <v>90</v>
      </c>
      <c r="G2696" s="22">
        <v>3.75</v>
      </c>
      <c r="H2696" s="18">
        <v>67.012500000000003</v>
      </c>
      <c r="I2696" s="18">
        <v>17.87</v>
      </c>
      <c r="J2696" s="18">
        <v>17.87</v>
      </c>
      <c r="K2696" s="18">
        <v>17.87</v>
      </c>
      <c r="L2696" s="22">
        <v>1</v>
      </c>
    </row>
    <row r="2697" spans="1:12">
      <c r="A2697">
        <v>3</v>
      </c>
      <c r="B2697" s="16" t="s">
        <v>58</v>
      </c>
      <c r="C2697" s="9">
        <v>46054</v>
      </c>
      <c r="D2697">
        <v>44</v>
      </c>
      <c r="E2697" s="16" t="s">
        <v>133</v>
      </c>
      <c r="F2697" s="16" t="s">
        <v>90</v>
      </c>
      <c r="G2697" s="22">
        <v>3.75</v>
      </c>
      <c r="H2697" s="18">
        <v>66.637500000000003</v>
      </c>
      <c r="I2697" s="18">
        <v>17.77</v>
      </c>
      <c r="J2697" s="18">
        <v>17.77</v>
      </c>
      <c r="K2697" s="18">
        <v>17.77</v>
      </c>
      <c r="L2697" s="22">
        <v>1</v>
      </c>
    </row>
    <row r="2698" spans="1:12">
      <c r="A2698">
        <v>3</v>
      </c>
      <c r="B2698" s="16" t="s">
        <v>58</v>
      </c>
      <c r="C2698" s="9">
        <v>46082</v>
      </c>
      <c r="D2698">
        <v>44</v>
      </c>
      <c r="E2698" s="16" t="s">
        <v>133</v>
      </c>
      <c r="F2698" s="16" t="s">
        <v>90</v>
      </c>
      <c r="G2698" s="22">
        <v>3.75</v>
      </c>
      <c r="H2698" s="18">
        <v>68.287499999999994</v>
      </c>
      <c r="I2698" s="18">
        <v>18.21</v>
      </c>
      <c r="J2698" s="18">
        <v>18.21</v>
      </c>
      <c r="K2698" s="18">
        <v>18.21</v>
      </c>
      <c r="L2698" s="22">
        <v>1</v>
      </c>
    </row>
    <row r="2699" spans="1:12">
      <c r="A2699">
        <v>3</v>
      </c>
      <c r="B2699" s="16" t="s">
        <v>58</v>
      </c>
      <c r="C2699" s="9">
        <v>46113</v>
      </c>
      <c r="D2699">
        <v>44</v>
      </c>
      <c r="E2699" s="16" t="s">
        <v>133</v>
      </c>
      <c r="F2699" s="16" t="s">
        <v>90</v>
      </c>
      <c r="G2699" s="22">
        <v>3.75</v>
      </c>
      <c r="H2699" s="18">
        <v>66.487499999999997</v>
      </c>
      <c r="I2699" s="18">
        <v>17.73</v>
      </c>
      <c r="J2699" s="18">
        <v>17.73</v>
      </c>
      <c r="K2699" s="18">
        <v>17.73</v>
      </c>
      <c r="L2699" s="22">
        <v>1</v>
      </c>
    </row>
    <row r="2700" spans="1:12">
      <c r="A2700">
        <v>3</v>
      </c>
      <c r="B2700" s="16" t="s">
        <v>58</v>
      </c>
      <c r="C2700" s="9">
        <v>46143</v>
      </c>
      <c r="D2700">
        <v>44</v>
      </c>
      <c r="E2700" s="16" t="s">
        <v>133</v>
      </c>
      <c r="F2700" s="16" t="s">
        <v>90</v>
      </c>
      <c r="G2700" s="22">
        <v>7.5</v>
      </c>
      <c r="H2700" s="18">
        <v>133.98750000000001</v>
      </c>
      <c r="I2700" s="18">
        <v>17.864999999999998</v>
      </c>
      <c r="J2700" s="18">
        <v>17.88</v>
      </c>
      <c r="K2700" s="18">
        <v>17.850000000000001</v>
      </c>
      <c r="L2700" s="22">
        <v>2</v>
      </c>
    </row>
    <row r="2701" spans="1:12">
      <c r="A2701">
        <v>3</v>
      </c>
      <c r="B2701" s="16" t="s">
        <v>58</v>
      </c>
      <c r="C2701" s="9">
        <v>46174</v>
      </c>
      <c r="D2701">
        <v>44</v>
      </c>
      <c r="E2701" s="16" t="s">
        <v>133</v>
      </c>
      <c r="F2701" s="16" t="s">
        <v>90</v>
      </c>
      <c r="G2701" s="22">
        <v>11.25</v>
      </c>
      <c r="H2701" s="18">
        <v>198.33750000000001</v>
      </c>
      <c r="I2701" s="18">
        <v>17.63</v>
      </c>
      <c r="J2701" s="18">
        <v>17.739999999999998</v>
      </c>
      <c r="K2701" s="18">
        <v>17.45</v>
      </c>
      <c r="L2701" s="22">
        <v>3</v>
      </c>
    </row>
    <row r="2702" spans="1:12">
      <c r="A2702">
        <v>3</v>
      </c>
      <c r="B2702" s="16" t="s">
        <v>58</v>
      </c>
      <c r="C2702" s="9">
        <v>46204</v>
      </c>
      <c r="D2702">
        <v>44</v>
      </c>
      <c r="E2702" s="16" t="s">
        <v>133</v>
      </c>
      <c r="F2702" s="16" t="s">
        <v>90</v>
      </c>
      <c r="G2702" s="22">
        <v>3.75</v>
      </c>
      <c r="H2702" s="18">
        <v>66.1875</v>
      </c>
      <c r="I2702" s="18">
        <v>17.649999999999999</v>
      </c>
      <c r="J2702" s="18">
        <v>17.649999999999999</v>
      </c>
      <c r="K2702" s="18">
        <v>17.649999999999999</v>
      </c>
      <c r="L2702" s="22">
        <v>1</v>
      </c>
    </row>
    <row r="2703" spans="1:12">
      <c r="A2703">
        <v>3</v>
      </c>
      <c r="B2703" s="16" t="s">
        <v>58</v>
      </c>
      <c r="C2703" s="9">
        <v>46235</v>
      </c>
      <c r="D2703">
        <v>44</v>
      </c>
      <c r="E2703" s="16" t="s">
        <v>133</v>
      </c>
      <c r="F2703" s="16" t="s">
        <v>90</v>
      </c>
      <c r="G2703" s="22">
        <v>7.5</v>
      </c>
      <c r="H2703" s="18">
        <v>133.42500000000001</v>
      </c>
      <c r="I2703" s="18">
        <v>17.79</v>
      </c>
      <c r="J2703" s="18">
        <v>17.84</v>
      </c>
      <c r="K2703" s="18">
        <v>17.739999999999998</v>
      </c>
      <c r="L2703" s="22">
        <v>2</v>
      </c>
    </row>
    <row r="2704" spans="1:12">
      <c r="A2704">
        <v>3</v>
      </c>
      <c r="B2704" s="16" t="s">
        <v>58</v>
      </c>
      <c r="C2704" s="9">
        <v>46266</v>
      </c>
      <c r="D2704">
        <v>44</v>
      </c>
      <c r="E2704" s="16" t="s">
        <v>133</v>
      </c>
      <c r="F2704" s="16" t="s">
        <v>90</v>
      </c>
      <c r="G2704" s="22">
        <v>3.75</v>
      </c>
      <c r="H2704" s="18">
        <v>66.674999999999997</v>
      </c>
      <c r="I2704" s="18">
        <v>17.78</v>
      </c>
      <c r="J2704" s="18">
        <v>17.78</v>
      </c>
      <c r="K2704" s="18">
        <v>17.78</v>
      </c>
      <c r="L2704" s="22">
        <v>1</v>
      </c>
    </row>
    <row r="2705" spans="1:12">
      <c r="A2705">
        <v>3</v>
      </c>
      <c r="B2705" s="16" t="s">
        <v>58</v>
      </c>
      <c r="C2705" s="9">
        <v>45689</v>
      </c>
      <c r="D2705">
        <v>45</v>
      </c>
      <c r="E2705" s="16" t="s">
        <v>134</v>
      </c>
      <c r="F2705" s="16" t="s">
        <v>83</v>
      </c>
      <c r="G2705" s="22">
        <v>11.25</v>
      </c>
      <c r="H2705" s="18">
        <v>13.4125</v>
      </c>
      <c r="I2705" s="18">
        <v>1.1922222220000001</v>
      </c>
      <c r="J2705" s="18">
        <v>1.22</v>
      </c>
      <c r="K2705" s="18">
        <v>1.17</v>
      </c>
      <c r="L2705" s="22">
        <v>8</v>
      </c>
    </row>
    <row r="2706" spans="1:12">
      <c r="A2706">
        <v>3</v>
      </c>
      <c r="B2706" s="16" t="s">
        <v>58</v>
      </c>
      <c r="C2706" s="9">
        <v>45717</v>
      </c>
      <c r="D2706">
        <v>45</v>
      </c>
      <c r="E2706" s="16" t="s">
        <v>134</v>
      </c>
      <c r="F2706" s="16" t="s">
        <v>83</v>
      </c>
      <c r="G2706" s="22">
        <v>12.5</v>
      </c>
      <c r="H2706" s="18">
        <v>15.0625</v>
      </c>
      <c r="I2706" s="18">
        <v>1.2050000000000001</v>
      </c>
      <c r="J2706" s="18">
        <v>1.22</v>
      </c>
      <c r="K2706" s="18">
        <v>1.17</v>
      </c>
      <c r="L2706" s="22">
        <v>8</v>
      </c>
    </row>
    <row r="2707" spans="1:12">
      <c r="A2707">
        <v>3</v>
      </c>
      <c r="B2707" s="16" t="s">
        <v>58</v>
      </c>
      <c r="C2707" s="9">
        <v>45748</v>
      </c>
      <c r="D2707">
        <v>45</v>
      </c>
      <c r="E2707" s="16" t="s">
        <v>134</v>
      </c>
      <c r="F2707" s="16" t="s">
        <v>83</v>
      </c>
      <c r="G2707" s="22">
        <v>18.75</v>
      </c>
      <c r="H2707" s="18">
        <v>22.65</v>
      </c>
      <c r="I2707" s="18">
        <v>1.208</v>
      </c>
      <c r="J2707" s="18">
        <v>1.22</v>
      </c>
      <c r="K2707" s="18">
        <v>1.2</v>
      </c>
      <c r="L2707" s="22">
        <v>9</v>
      </c>
    </row>
    <row r="2708" spans="1:12">
      <c r="A2708">
        <v>3</v>
      </c>
      <c r="B2708" s="16" t="s">
        <v>58</v>
      </c>
      <c r="C2708" s="9">
        <v>45778</v>
      </c>
      <c r="D2708">
        <v>45</v>
      </c>
      <c r="E2708" s="16" t="s">
        <v>134</v>
      </c>
      <c r="F2708" s="16" t="s">
        <v>83</v>
      </c>
      <c r="G2708" s="22">
        <v>17.5</v>
      </c>
      <c r="H2708" s="18">
        <v>21.337499999999999</v>
      </c>
      <c r="I2708" s="18">
        <v>1.219285714</v>
      </c>
      <c r="J2708" s="18">
        <v>1.24</v>
      </c>
      <c r="K2708" s="18">
        <v>1.2</v>
      </c>
      <c r="L2708" s="22">
        <v>9</v>
      </c>
    </row>
    <row r="2709" spans="1:12">
      <c r="A2709">
        <v>3</v>
      </c>
      <c r="B2709" s="16" t="s">
        <v>58</v>
      </c>
      <c r="C2709" s="9">
        <v>45809</v>
      </c>
      <c r="D2709">
        <v>45</v>
      </c>
      <c r="E2709" s="16" t="s">
        <v>134</v>
      </c>
      <c r="F2709" s="16" t="s">
        <v>83</v>
      </c>
      <c r="G2709" s="22">
        <v>13.75</v>
      </c>
      <c r="H2709" s="18">
        <v>16.712499999999999</v>
      </c>
      <c r="I2709" s="18">
        <v>1.2154545450000001</v>
      </c>
      <c r="J2709" s="18">
        <v>1.24</v>
      </c>
      <c r="K2709" s="18">
        <v>1.2</v>
      </c>
      <c r="L2709" s="22">
        <v>8</v>
      </c>
    </row>
    <row r="2710" spans="1:12">
      <c r="A2710">
        <v>3</v>
      </c>
      <c r="B2710" s="16" t="s">
        <v>58</v>
      </c>
      <c r="C2710" s="9">
        <v>45839</v>
      </c>
      <c r="D2710">
        <v>45</v>
      </c>
      <c r="E2710" s="16" t="s">
        <v>134</v>
      </c>
      <c r="F2710" s="16" t="s">
        <v>83</v>
      </c>
      <c r="G2710" s="22">
        <v>21.25</v>
      </c>
      <c r="H2710" s="18">
        <v>25.962499999999999</v>
      </c>
      <c r="I2710" s="18">
        <v>1.2217647060000001</v>
      </c>
      <c r="J2710" s="18">
        <v>1.27</v>
      </c>
      <c r="K2710" s="18">
        <v>1.19</v>
      </c>
      <c r="L2710" s="22">
        <v>10</v>
      </c>
    </row>
    <row r="2711" spans="1:12">
      <c r="A2711">
        <v>3</v>
      </c>
      <c r="B2711" s="16" t="s">
        <v>58</v>
      </c>
      <c r="C2711" s="9">
        <v>45870</v>
      </c>
      <c r="D2711">
        <v>45</v>
      </c>
      <c r="E2711" s="16" t="s">
        <v>134</v>
      </c>
      <c r="F2711" s="16" t="s">
        <v>83</v>
      </c>
      <c r="G2711" s="22">
        <v>16.25</v>
      </c>
      <c r="H2711" s="18">
        <v>20.100000000000001</v>
      </c>
      <c r="I2711" s="18">
        <v>1.2369230769999999</v>
      </c>
      <c r="J2711" s="18">
        <v>1.25</v>
      </c>
      <c r="K2711" s="18">
        <v>1.22</v>
      </c>
      <c r="L2711" s="22">
        <v>8</v>
      </c>
    </row>
    <row r="2712" spans="1:12">
      <c r="A2712">
        <v>3</v>
      </c>
      <c r="B2712" s="16" t="s">
        <v>58</v>
      </c>
      <c r="C2712" s="9">
        <v>45901</v>
      </c>
      <c r="D2712">
        <v>45</v>
      </c>
      <c r="E2712" s="16" t="s">
        <v>134</v>
      </c>
      <c r="F2712" s="16" t="s">
        <v>83</v>
      </c>
      <c r="G2712" s="22">
        <v>15</v>
      </c>
      <c r="H2712" s="18">
        <v>18.625</v>
      </c>
      <c r="I2712" s="18">
        <v>1.2416666670000001</v>
      </c>
      <c r="J2712" s="18">
        <v>1.26</v>
      </c>
      <c r="K2712" s="18">
        <v>1.22</v>
      </c>
      <c r="L2712" s="22">
        <v>9</v>
      </c>
    </row>
    <row r="2713" spans="1:12">
      <c r="A2713">
        <v>3</v>
      </c>
      <c r="B2713" s="16" t="s">
        <v>58</v>
      </c>
      <c r="C2713" s="9">
        <v>45931</v>
      </c>
      <c r="D2713">
        <v>45</v>
      </c>
      <c r="E2713" s="16" t="s">
        <v>134</v>
      </c>
      <c r="F2713" s="16" t="s">
        <v>83</v>
      </c>
      <c r="G2713" s="22">
        <v>13.75</v>
      </c>
      <c r="H2713" s="18">
        <v>16.887499999999999</v>
      </c>
      <c r="I2713" s="18">
        <v>1.2281818179999999</v>
      </c>
      <c r="J2713" s="18">
        <v>1.26</v>
      </c>
      <c r="K2713" s="18">
        <v>1.21</v>
      </c>
      <c r="L2713" s="22">
        <v>8</v>
      </c>
    </row>
    <row r="2714" spans="1:12">
      <c r="A2714">
        <v>3</v>
      </c>
      <c r="B2714" s="16" t="s">
        <v>58</v>
      </c>
      <c r="C2714" s="9">
        <v>45962</v>
      </c>
      <c r="D2714">
        <v>45</v>
      </c>
      <c r="E2714" s="16" t="s">
        <v>134</v>
      </c>
      <c r="F2714" s="16" t="s">
        <v>83</v>
      </c>
      <c r="G2714" s="22">
        <v>11.25</v>
      </c>
      <c r="H2714" s="18">
        <v>13.9</v>
      </c>
      <c r="I2714" s="18">
        <v>1.235555556</v>
      </c>
      <c r="J2714" s="18">
        <v>1.25</v>
      </c>
      <c r="K2714" s="18">
        <v>1.21</v>
      </c>
      <c r="L2714" s="22">
        <v>7</v>
      </c>
    </row>
    <row r="2715" spans="1:12">
      <c r="A2715">
        <v>3</v>
      </c>
      <c r="B2715" s="16" t="s">
        <v>58</v>
      </c>
      <c r="C2715" s="9">
        <v>45992</v>
      </c>
      <c r="D2715">
        <v>45</v>
      </c>
      <c r="E2715" s="16" t="s">
        <v>134</v>
      </c>
      <c r="F2715" s="16" t="s">
        <v>83</v>
      </c>
      <c r="G2715" s="22">
        <v>13.75</v>
      </c>
      <c r="H2715" s="18">
        <v>17.024999999999999</v>
      </c>
      <c r="I2715" s="18">
        <v>1.2381818179999999</v>
      </c>
      <c r="J2715" s="18">
        <v>1.25</v>
      </c>
      <c r="K2715" s="18">
        <v>1.22</v>
      </c>
      <c r="L2715" s="22">
        <v>9</v>
      </c>
    </row>
    <row r="2716" spans="1:12">
      <c r="A2716">
        <v>3</v>
      </c>
      <c r="B2716" s="16" t="s">
        <v>58</v>
      </c>
      <c r="C2716" s="9">
        <v>46023</v>
      </c>
      <c r="D2716">
        <v>45</v>
      </c>
      <c r="E2716" s="16" t="s">
        <v>134</v>
      </c>
      <c r="F2716" s="16" t="s">
        <v>83</v>
      </c>
      <c r="G2716" s="22">
        <v>15</v>
      </c>
      <c r="H2716" s="18">
        <v>18.824999999999999</v>
      </c>
      <c r="I2716" s="18">
        <v>1.2549999999999999</v>
      </c>
      <c r="J2716" s="18">
        <v>1.33</v>
      </c>
      <c r="K2716" s="18">
        <v>1.21</v>
      </c>
      <c r="L2716" s="22">
        <v>9</v>
      </c>
    </row>
    <row r="2717" spans="1:12">
      <c r="A2717">
        <v>3</v>
      </c>
      <c r="B2717" s="16" t="s">
        <v>58</v>
      </c>
      <c r="C2717" s="9">
        <v>46054</v>
      </c>
      <c r="D2717">
        <v>45</v>
      </c>
      <c r="E2717" s="16" t="s">
        <v>134</v>
      </c>
      <c r="F2717" s="16" t="s">
        <v>83</v>
      </c>
      <c r="G2717" s="22">
        <v>11.25</v>
      </c>
      <c r="H2717" s="18">
        <v>13.95</v>
      </c>
      <c r="I2717" s="18">
        <v>1.24</v>
      </c>
      <c r="J2717" s="18">
        <v>1.26</v>
      </c>
      <c r="K2717" s="18">
        <v>1.22</v>
      </c>
      <c r="L2717" s="22">
        <v>8</v>
      </c>
    </row>
    <row r="2718" spans="1:12">
      <c r="A2718">
        <v>3</v>
      </c>
      <c r="B2718" s="16" t="s">
        <v>58</v>
      </c>
      <c r="C2718" s="9">
        <v>46082</v>
      </c>
      <c r="D2718">
        <v>45</v>
      </c>
      <c r="E2718" s="16" t="s">
        <v>134</v>
      </c>
      <c r="F2718" s="16" t="s">
        <v>83</v>
      </c>
      <c r="G2718" s="22">
        <v>15</v>
      </c>
      <c r="H2718" s="18">
        <v>18.612500000000001</v>
      </c>
      <c r="I2718" s="18">
        <v>1.2408333330000001</v>
      </c>
      <c r="J2718" s="18">
        <v>1.26</v>
      </c>
      <c r="K2718" s="18">
        <v>1.21</v>
      </c>
      <c r="L2718" s="22">
        <v>9</v>
      </c>
    </row>
    <row r="2719" spans="1:12">
      <c r="A2719">
        <v>3</v>
      </c>
      <c r="B2719" s="16" t="s">
        <v>58</v>
      </c>
      <c r="C2719" s="9">
        <v>46113</v>
      </c>
      <c r="D2719">
        <v>45</v>
      </c>
      <c r="E2719" s="16" t="s">
        <v>134</v>
      </c>
      <c r="F2719" s="16" t="s">
        <v>83</v>
      </c>
      <c r="G2719" s="22">
        <v>15</v>
      </c>
      <c r="H2719" s="18">
        <v>18.649999999999999</v>
      </c>
      <c r="I2719" s="18">
        <v>1.243333333</v>
      </c>
      <c r="J2719" s="18">
        <v>1.28</v>
      </c>
      <c r="K2719" s="18">
        <v>1.22</v>
      </c>
      <c r="L2719" s="22">
        <v>8</v>
      </c>
    </row>
    <row r="2720" spans="1:12">
      <c r="A2720">
        <v>3</v>
      </c>
      <c r="B2720" s="16" t="s">
        <v>58</v>
      </c>
      <c r="C2720" s="9">
        <v>46143</v>
      </c>
      <c r="D2720">
        <v>45</v>
      </c>
      <c r="E2720" s="16" t="s">
        <v>134</v>
      </c>
      <c r="F2720" s="16" t="s">
        <v>83</v>
      </c>
      <c r="G2720" s="22">
        <v>17.5</v>
      </c>
      <c r="H2720" s="18">
        <v>22.024999999999999</v>
      </c>
      <c r="I2720" s="18">
        <v>1.2585714290000001</v>
      </c>
      <c r="J2720" s="18">
        <v>1.32</v>
      </c>
      <c r="K2720" s="18">
        <v>1.24</v>
      </c>
      <c r="L2720" s="22">
        <v>8</v>
      </c>
    </row>
    <row r="2721" spans="1:12">
      <c r="A2721">
        <v>3</v>
      </c>
      <c r="B2721" s="16" t="s">
        <v>58</v>
      </c>
      <c r="C2721" s="9">
        <v>46174</v>
      </c>
      <c r="D2721">
        <v>45</v>
      </c>
      <c r="E2721" s="16" t="s">
        <v>134</v>
      </c>
      <c r="F2721" s="16" t="s">
        <v>83</v>
      </c>
      <c r="G2721" s="22">
        <v>20</v>
      </c>
      <c r="H2721" s="18">
        <v>25.05</v>
      </c>
      <c r="I2721" s="18">
        <v>1.2524999999999999</v>
      </c>
      <c r="J2721" s="18">
        <v>1.27</v>
      </c>
      <c r="K2721" s="18">
        <v>1.23</v>
      </c>
      <c r="L2721" s="22">
        <v>9</v>
      </c>
    </row>
    <row r="2722" spans="1:12">
      <c r="A2722">
        <v>3</v>
      </c>
      <c r="B2722" s="16" t="s">
        <v>58</v>
      </c>
      <c r="C2722" s="9">
        <v>46204</v>
      </c>
      <c r="D2722">
        <v>45</v>
      </c>
      <c r="E2722" s="16" t="s">
        <v>134</v>
      </c>
      <c r="F2722" s="16" t="s">
        <v>83</v>
      </c>
      <c r="G2722" s="22">
        <v>21.25</v>
      </c>
      <c r="H2722" s="18">
        <v>26.75</v>
      </c>
      <c r="I2722" s="18">
        <v>1.2588235290000001</v>
      </c>
      <c r="J2722" s="18">
        <v>1.28</v>
      </c>
      <c r="K2722" s="18">
        <v>1.25</v>
      </c>
      <c r="L2722" s="22">
        <v>9</v>
      </c>
    </row>
    <row r="2723" spans="1:12">
      <c r="A2723">
        <v>3</v>
      </c>
      <c r="B2723" s="16" t="s">
        <v>58</v>
      </c>
      <c r="C2723" s="9">
        <v>46235</v>
      </c>
      <c r="D2723">
        <v>45</v>
      </c>
      <c r="E2723" s="16" t="s">
        <v>134</v>
      </c>
      <c r="F2723" s="16" t="s">
        <v>83</v>
      </c>
      <c r="G2723" s="22">
        <v>16.25</v>
      </c>
      <c r="H2723" s="18">
        <v>20.65</v>
      </c>
      <c r="I2723" s="18">
        <v>1.2707692310000001</v>
      </c>
      <c r="J2723" s="18">
        <v>1.3</v>
      </c>
      <c r="K2723" s="18">
        <v>1.24</v>
      </c>
      <c r="L2723" s="22">
        <v>8</v>
      </c>
    </row>
    <row r="2724" spans="1:12">
      <c r="A2724">
        <v>3</v>
      </c>
      <c r="B2724" s="16" t="s">
        <v>58</v>
      </c>
      <c r="C2724" s="9">
        <v>46266</v>
      </c>
      <c r="D2724">
        <v>45</v>
      </c>
      <c r="E2724" s="16" t="s">
        <v>134</v>
      </c>
      <c r="F2724" s="16" t="s">
        <v>83</v>
      </c>
      <c r="G2724" s="22">
        <v>15</v>
      </c>
      <c r="H2724" s="18">
        <v>19.012499999999999</v>
      </c>
      <c r="I2724" s="18">
        <v>1.2675000000000001</v>
      </c>
      <c r="J2724" s="18">
        <v>1.29</v>
      </c>
      <c r="K2724" s="18">
        <v>1.23</v>
      </c>
      <c r="L2724" s="22">
        <v>9</v>
      </c>
    </row>
    <row r="2725" spans="1:12">
      <c r="A2725">
        <v>3</v>
      </c>
      <c r="B2725" s="16" t="s">
        <v>58</v>
      </c>
      <c r="C2725" s="9">
        <v>45689</v>
      </c>
      <c r="D2725">
        <v>46</v>
      </c>
      <c r="E2725" s="16" t="s">
        <v>135</v>
      </c>
      <c r="F2725" s="16" t="s">
        <v>108</v>
      </c>
      <c r="G2725" s="22">
        <v>32</v>
      </c>
      <c r="H2725" s="18">
        <v>73.28</v>
      </c>
      <c r="I2725" s="18">
        <v>2.29</v>
      </c>
      <c r="J2725" s="18">
        <v>2.29</v>
      </c>
      <c r="K2725" s="18">
        <v>2.29</v>
      </c>
      <c r="L2725" s="22">
        <v>1</v>
      </c>
    </row>
    <row r="2726" spans="1:12">
      <c r="A2726">
        <v>3</v>
      </c>
      <c r="B2726" s="16" t="s">
        <v>58</v>
      </c>
      <c r="C2726" s="9">
        <v>45717</v>
      </c>
      <c r="D2726">
        <v>46</v>
      </c>
      <c r="E2726" s="16" t="s">
        <v>135</v>
      </c>
      <c r="F2726" s="16" t="s">
        <v>108</v>
      </c>
      <c r="G2726" s="22">
        <v>16</v>
      </c>
      <c r="H2726" s="18">
        <v>36.96</v>
      </c>
      <c r="I2726" s="18">
        <v>2.31</v>
      </c>
      <c r="J2726" s="18">
        <v>2.31</v>
      </c>
      <c r="K2726" s="18">
        <v>2.31</v>
      </c>
      <c r="L2726" s="22">
        <v>1</v>
      </c>
    </row>
    <row r="2727" spans="1:12">
      <c r="A2727">
        <v>3</v>
      </c>
      <c r="B2727" s="16" t="s">
        <v>58</v>
      </c>
      <c r="C2727" s="9">
        <v>45748</v>
      </c>
      <c r="D2727">
        <v>46</v>
      </c>
      <c r="E2727" s="16" t="s">
        <v>135</v>
      </c>
      <c r="F2727" s="16" t="s">
        <v>108</v>
      </c>
      <c r="G2727" s="22">
        <v>64</v>
      </c>
      <c r="H2727" s="18">
        <v>144.96</v>
      </c>
      <c r="I2727" s="18">
        <v>2.2650000000000001</v>
      </c>
      <c r="J2727" s="18">
        <v>2.2799999999999998</v>
      </c>
      <c r="K2727" s="18">
        <v>2.25</v>
      </c>
      <c r="L2727" s="22">
        <v>2</v>
      </c>
    </row>
    <row r="2728" spans="1:12">
      <c r="A2728">
        <v>3</v>
      </c>
      <c r="B2728" s="16" t="s">
        <v>58</v>
      </c>
      <c r="C2728" s="9">
        <v>45778</v>
      </c>
      <c r="D2728">
        <v>46</v>
      </c>
      <c r="E2728" s="16" t="s">
        <v>135</v>
      </c>
      <c r="F2728" s="16" t="s">
        <v>108</v>
      </c>
      <c r="G2728" s="22">
        <v>16</v>
      </c>
      <c r="H2728" s="18">
        <v>35.68</v>
      </c>
      <c r="I2728" s="18">
        <v>2.23</v>
      </c>
      <c r="J2728" s="18">
        <v>2.23</v>
      </c>
      <c r="K2728" s="18">
        <v>2.23</v>
      </c>
      <c r="L2728" s="22">
        <v>1</v>
      </c>
    </row>
    <row r="2729" spans="1:12">
      <c r="A2729">
        <v>3</v>
      </c>
      <c r="B2729" s="16" t="s">
        <v>58</v>
      </c>
      <c r="C2729" s="9">
        <v>45809</v>
      </c>
      <c r="D2729">
        <v>46</v>
      </c>
      <c r="E2729" s="16" t="s">
        <v>135</v>
      </c>
      <c r="F2729" s="16" t="s">
        <v>108</v>
      </c>
      <c r="G2729" s="22">
        <v>32</v>
      </c>
      <c r="H2729" s="18">
        <v>72.64</v>
      </c>
      <c r="I2729" s="18">
        <v>2.27</v>
      </c>
      <c r="J2729" s="18">
        <v>2.27</v>
      </c>
      <c r="K2729" s="18">
        <v>2.27</v>
      </c>
      <c r="L2729" s="22">
        <v>1</v>
      </c>
    </row>
    <row r="2730" spans="1:12">
      <c r="A2730">
        <v>3</v>
      </c>
      <c r="B2730" s="16" t="s">
        <v>58</v>
      </c>
      <c r="C2730" s="9">
        <v>45839</v>
      </c>
      <c r="D2730">
        <v>46</v>
      </c>
      <c r="E2730" s="16" t="s">
        <v>135</v>
      </c>
      <c r="F2730" s="16" t="s">
        <v>108</v>
      </c>
      <c r="G2730" s="22">
        <v>16</v>
      </c>
      <c r="H2730" s="18">
        <v>37.28</v>
      </c>
      <c r="I2730" s="18">
        <v>2.33</v>
      </c>
      <c r="J2730" s="18">
        <v>2.33</v>
      </c>
      <c r="K2730" s="18">
        <v>2.33</v>
      </c>
      <c r="L2730" s="22">
        <v>1</v>
      </c>
    </row>
    <row r="2731" spans="1:12">
      <c r="A2731">
        <v>3</v>
      </c>
      <c r="B2731" s="16" t="s">
        <v>58</v>
      </c>
      <c r="C2731" s="9">
        <v>45870</v>
      </c>
      <c r="D2731">
        <v>46</v>
      </c>
      <c r="E2731" s="16" t="s">
        <v>135</v>
      </c>
      <c r="F2731" s="16" t="s">
        <v>108</v>
      </c>
      <c r="G2731" s="22">
        <v>32</v>
      </c>
      <c r="H2731" s="18">
        <v>73.599999999999994</v>
      </c>
      <c r="I2731" s="18">
        <v>2.2999999999999998</v>
      </c>
      <c r="J2731" s="18">
        <v>2.2999999999999998</v>
      </c>
      <c r="K2731" s="18">
        <v>2.2999999999999998</v>
      </c>
      <c r="L2731" s="22">
        <v>1</v>
      </c>
    </row>
    <row r="2732" spans="1:12">
      <c r="A2732">
        <v>3</v>
      </c>
      <c r="B2732" s="16" t="s">
        <v>58</v>
      </c>
      <c r="C2732" s="9">
        <v>45901</v>
      </c>
      <c r="D2732">
        <v>46</v>
      </c>
      <c r="E2732" s="16" t="s">
        <v>135</v>
      </c>
      <c r="F2732" s="16" t="s">
        <v>108</v>
      </c>
      <c r="G2732" s="22">
        <v>32</v>
      </c>
      <c r="H2732" s="18">
        <v>73.92</v>
      </c>
      <c r="I2732" s="18">
        <v>2.31</v>
      </c>
      <c r="J2732" s="18">
        <v>2.31</v>
      </c>
      <c r="K2732" s="18">
        <v>2.31</v>
      </c>
      <c r="L2732" s="22">
        <v>1</v>
      </c>
    </row>
    <row r="2733" spans="1:12">
      <c r="A2733">
        <v>3</v>
      </c>
      <c r="B2733" s="16" t="s">
        <v>58</v>
      </c>
      <c r="C2733" s="9">
        <v>45931</v>
      </c>
      <c r="D2733">
        <v>46</v>
      </c>
      <c r="E2733" s="16" t="s">
        <v>135</v>
      </c>
      <c r="F2733" s="16" t="s">
        <v>108</v>
      </c>
      <c r="G2733" s="22">
        <v>16</v>
      </c>
      <c r="H2733" s="18">
        <v>37.119999999999997</v>
      </c>
      <c r="I2733" s="18">
        <v>2.3199999999999998</v>
      </c>
      <c r="J2733" s="18">
        <v>2.3199999999999998</v>
      </c>
      <c r="K2733" s="18">
        <v>2.3199999999999998</v>
      </c>
      <c r="L2733" s="22">
        <v>1</v>
      </c>
    </row>
    <row r="2734" spans="1:12">
      <c r="A2734">
        <v>3</v>
      </c>
      <c r="B2734" s="16" t="s">
        <v>58</v>
      </c>
      <c r="C2734" s="9">
        <v>45962</v>
      </c>
      <c r="D2734">
        <v>46</v>
      </c>
      <c r="E2734" s="16" t="s">
        <v>135</v>
      </c>
      <c r="F2734" s="16" t="s">
        <v>108</v>
      </c>
      <c r="G2734" s="22">
        <v>32</v>
      </c>
      <c r="H2734" s="18">
        <v>73.92</v>
      </c>
      <c r="I2734" s="18">
        <v>2.31</v>
      </c>
      <c r="J2734" s="18">
        <v>2.31</v>
      </c>
      <c r="K2734" s="18">
        <v>2.31</v>
      </c>
      <c r="L2734" s="22">
        <v>1</v>
      </c>
    </row>
    <row r="2735" spans="1:12">
      <c r="A2735">
        <v>3</v>
      </c>
      <c r="B2735" s="16" t="s">
        <v>58</v>
      </c>
      <c r="C2735" s="9">
        <v>45992</v>
      </c>
      <c r="D2735">
        <v>46</v>
      </c>
      <c r="E2735" s="16" t="s">
        <v>135</v>
      </c>
      <c r="F2735" s="16" t="s">
        <v>108</v>
      </c>
      <c r="G2735" s="22">
        <v>16</v>
      </c>
      <c r="H2735" s="18">
        <v>36.799999999999997</v>
      </c>
      <c r="I2735" s="18">
        <v>2.2999999999999998</v>
      </c>
      <c r="J2735" s="18">
        <v>2.2999999999999998</v>
      </c>
      <c r="K2735" s="18">
        <v>2.2999999999999998</v>
      </c>
      <c r="L2735" s="22">
        <v>1</v>
      </c>
    </row>
    <row r="2736" spans="1:12">
      <c r="A2736">
        <v>3</v>
      </c>
      <c r="B2736" s="16" t="s">
        <v>58</v>
      </c>
      <c r="C2736" s="9">
        <v>46023</v>
      </c>
      <c r="D2736">
        <v>46</v>
      </c>
      <c r="E2736" s="16" t="s">
        <v>135</v>
      </c>
      <c r="F2736" s="16" t="s">
        <v>108</v>
      </c>
      <c r="G2736" s="22">
        <v>32</v>
      </c>
      <c r="H2736" s="18">
        <v>72.64</v>
      </c>
      <c r="I2736" s="18">
        <v>2.27</v>
      </c>
      <c r="J2736" s="18">
        <v>2.27</v>
      </c>
      <c r="K2736" s="18">
        <v>2.27</v>
      </c>
      <c r="L2736" s="22">
        <v>1</v>
      </c>
    </row>
    <row r="2737" spans="1:12">
      <c r="A2737">
        <v>3</v>
      </c>
      <c r="B2737" s="16" t="s">
        <v>58</v>
      </c>
      <c r="C2737" s="9">
        <v>46054</v>
      </c>
      <c r="D2737">
        <v>46</v>
      </c>
      <c r="E2737" s="16" t="s">
        <v>135</v>
      </c>
      <c r="F2737" s="16" t="s">
        <v>108</v>
      </c>
      <c r="G2737" s="22">
        <v>16</v>
      </c>
      <c r="H2737" s="18">
        <v>36.64</v>
      </c>
      <c r="I2737" s="18">
        <v>2.29</v>
      </c>
      <c r="J2737" s="18">
        <v>2.29</v>
      </c>
      <c r="K2737" s="18">
        <v>2.29</v>
      </c>
      <c r="L2737" s="22">
        <v>1</v>
      </c>
    </row>
    <row r="2738" spans="1:12">
      <c r="A2738">
        <v>3</v>
      </c>
      <c r="B2738" s="16" t="s">
        <v>58</v>
      </c>
      <c r="C2738" s="9">
        <v>46082</v>
      </c>
      <c r="D2738">
        <v>46</v>
      </c>
      <c r="E2738" s="16" t="s">
        <v>135</v>
      </c>
      <c r="F2738" s="16" t="s">
        <v>108</v>
      </c>
      <c r="G2738" s="22">
        <v>48</v>
      </c>
      <c r="H2738" s="18">
        <v>112.48</v>
      </c>
      <c r="I2738" s="18">
        <v>2.3433333329999999</v>
      </c>
      <c r="J2738" s="18">
        <v>2.35</v>
      </c>
      <c r="K2738" s="18">
        <v>2.34</v>
      </c>
      <c r="L2738" s="22">
        <v>2</v>
      </c>
    </row>
    <row r="2739" spans="1:12">
      <c r="A2739">
        <v>3</v>
      </c>
      <c r="B2739" s="16" t="s">
        <v>58</v>
      </c>
      <c r="C2739" s="9">
        <v>46113</v>
      </c>
      <c r="D2739">
        <v>46</v>
      </c>
      <c r="E2739" s="16" t="s">
        <v>135</v>
      </c>
      <c r="F2739" s="16" t="s">
        <v>108</v>
      </c>
      <c r="G2739" s="22">
        <v>32</v>
      </c>
      <c r="H2739" s="18">
        <v>72.64</v>
      </c>
      <c r="I2739" s="18">
        <v>2.27</v>
      </c>
      <c r="J2739" s="18">
        <v>2.27</v>
      </c>
      <c r="K2739" s="18">
        <v>2.27</v>
      </c>
      <c r="L2739" s="22">
        <v>1</v>
      </c>
    </row>
    <row r="2740" spans="1:12">
      <c r="A2740">
        <v>3</v>
      </c>
      <c r="B2740" s="16" t="s">
        <v>58</v>
      </c>
      <c r="C2740" s="9">
        <v>46143</v>
      </c>
      <c r="D2740">
        <v>46</v>
      </c>
      <c r="E2740" s="16" t="s">
        <v>135</v>
      </c>
      <c r="F2740" s="16" t="s">
        <v>108</v>
      </c>
      <c r="G2740" s="22">
        <v>32</v>
      </c>
      <c r="H2740" s="18">
        <v>70.72</v>
      </c>
      <c r="I2740" s="18">
        <v>2.21</v>
      </c>
      <c r="J2740" s="18">
        <v>2.21</v>
      </c>
      <c r="K2740" s="18">
        <v>2.21</v>
      </c>
      <c r="L2740" s="22">
        <v>1</v>
      </c>
    </row>
    <row r="2741" spans="1:12">
      <c r="A2741">
        <v>3</v>
      </c>
      <c r="B2741" s="16" t="s">
        <v>58</v>
      </c>
      <c r="C2741" s="9">
        <v>46174</v>
      </c>
      <c r="D2741">
        <v>46</v>
      </c>
      <c r="E2741" s="16" t="s">
        <v>135</v>
      </c>
      <c r="F2741" s="16" t="s">
        <v>108</v>
      </c>
      <c r="G2741" s="22">
        <v>32</v>
      </c>
      <c r="H2741" s="18">
        <v>72.64</v>
      </c>
      <c r="I2741" s="18">
        <v>2.27</v>
      </c>
      <c r="J2741" s="18">
        <v>2.27</v>
      </c>
      <c r="K2741" s="18">
        <v>2.27</v>
      </c>
      <c r="L2741" s="22">
        <v>1</v>
      </c>
    </row>
    <row r="2742" spans="1:12">
      <c r="A2742">
        <v>3</v>
      </c>
      <c r="B2742" s="16" t="s">
        <v>58</v>
      </c>
      <c r="C2742" s="9">
        <v>46204</v>
      </c>
      <c r="D2742">
        <v>46</v>
      </c>
      <c r="E2742" s="16" t="s">
        <v>135</v>
      </c>
      <c r="F2742" s="16" t="s">
        <v>108</v>
      </c>
      <c r="G2742" s="22">
        <v>16</v>
      </c>
      <c r="H2742" s="18">
        <v>36</v>
      </c>
      <c r="I2742" s="18">
        <v>2.25</v>
      </c>
      <c r="J2742" s="18">
        <v>2.25</v>
      </c>
      <c r="K2742" s="18">
        <v>2.25</v>
      </c>
      <c r="L2742" s="22">
        <v>1</v>
      </c>
    </row>
    <row r="2743" spans="1:12">
      <c r="A2743">
        <v>3</v>
      </c>
      <c r="B2743" s="16" t="s">
        <v>58</v>
      </c>
      <c r="C2743" s="9">
        <v>46235</v>
      </c>
      <c r="D2743">
        <v>46</v>
      </c>
      <c r="E2743" s="16" t="s">
        <v>135</v>
      </c>
      <c r="F2743" s="16" t="s">
        <v>108</v>
      </c>
      <c r="G2743" s="22">
        <v>32</v>
      </c>
      <c r="H2743" s="18">
        <v>74.88</v>
      </c>
      <c r="I2743" s="18">
        <v>2.34</v>
      </c>
      <c r="J2743" s="18">
        <v>2.34</v>
      </c>
      <c r="K2743" s="18">
        <v>2.34</v>
      </c>
      <c r="L2743" s="22">
        <v>1</v>
      </c>
    </row>
    <row r="2744" spans="1:12">
      <c r="A2744">
        <v>3</v>
      </c>
      <c r="B2744" s="16" t="s">
        <v>58</v>
      </c>
      <c r="C2744" s="9">
        <v>46266</v>
      </c>
      <c r="D2744">
        <v>46</v>
      </c>
      <c r="E2744" s="16" t="s">
        <v>135</v>
      </c>
      <c r="F2744" s="16" t="s">
        <v>108</v>
      </c>
      <c r="G2744" s="22">
        <v>16</v>
      </c>
      <c r="H2744" s="18">
        <v>36.799999999999997</v>
      </c>
      <c r="I2744" s="18">
        <v>2.2999999999999998</v>
      </c>
      <c r="J2744" s="18">
        <v>2.2999999999999998</v>
      </c>
      <c r="K2744" s="18">
        <v>2.2999999999999998</v>
      </c>
      <c r="L2744" s="22">
        <v>1</v>
      </c>
    </row>
    <row r="2745" spans="1:12">
      <c r="A2745">
        <v>3</v>
      </c>
      <c r="B2745" s="16" t="s">
        <v>58</v>
      </c>
      <c r="C2745" s="9">
        <v>45689</v>
      </c>
      <c r="D2745">
        <v>47</v>
      </c>
      <c r="E2745" s="16" t="s">
        <v>136</v>
      </c>
      <c r="F2745" s="16" t="s">
        <v>92</v>
      </c>
      <c r="G2745" s="22">
        <v>102</v>
      </c>
      <c r="H2745" s="18">
        <v>427.78500000000003</v>
      </c>
      <c r="I2745" s="18">
        <v>4.193970588</v>
      </c>
      <c r="J2745" s="18">
        <v>4.32</v>
      </c>
      <c r="K2745" s="18">
        <v>4.1500000000000004</v>
      </c>
      <c r="L2745" s="22">
        <v>8</v>
      </c>
    </row>
    <row r="2746" spans="1:12">
      <c r="A2746">
        <v>3</v>
      </c>
      <c r="B2746" s="16" t="s">
        <v>58</v>
      </c>
      <c r="C2746" s="9">
        <v>45717</v>
      </c>
      <c r="D2746">
        <v>47</v>
      </c>
      <c r="E2746" s="16" t="s">
        <v>136</v>
      </c>
      <c r="F2746" s="16" t="s">
        <v>92</v>
      </c>
      <c r="G2746" s="22">
        <v>118.5</v>
      </c>
      <c r="H2746" s="18">
        <v>466.86</v>
      </c>
      <c r="I2746" s="18">
        <v>3.9397468349999998</v>
      </c>
      <c r="J2746" s="18">
        <v>4.01</v>
      </c>
      <c r="K2746" s="18">
        <v>3.9</v>
      </c>
      <c r="L2746" s="22">
        <v>9</v>
      </c>
    </row>
    <row r="2747" spans="1:12">
      <c r="A2747">
        <v>3</v>
      </c>
      <c r="B2747" s="16" t="s">
        <v>58</v>
      </c>
      <c r="C2747" s="9">
        <v>45748</v>
      </c>
      <c r="D2747">
        <v>47</v>
      </c>
      <c r="E2747" s="16" t="s">
        <v>136</v>
      </c>
      <c r="F2747" s="16" t="s">
        <v>92</v>
      </c>
      <c r="G2747" s="22">
        <v>144</v>
      </c>
      <c r="H2747" s="18">
        <v>518.89499999999998</v>
      </c>
      <c r="I2747" s="18">
        <v>3.6034375000000001</v>
      </c>
      <c r="J2747" s="18">
        <v>3.68</v>
      </c>
      <c r="K2747" s="18">
        <v>3.56</v>
      </c>
      <c r="L2747" s="22">
        <v>8</v>
      </c>
    </row>
    <row r="2748" spans="1:12">
      <c r="A2748">
        <v>3</v>
      </c>
      <c r="B2748" s="16" t="s">
        <v>58</v>
      </c>
      <c r="C2748" s="9">
        <v>45778</v>
      </c>
      <c r="D2748">
        <v>47</v>
      </c>
      <c r="E2748" s="16" t="s">
        <v>136</v>
      </c>
      <c r="F2748" s="16" t="s">
        <v>92</v>
      </c>
      <c r="G2748" s="22">
        <v>147</v>
      </c>
      <c r="H2748" s="18">
        <v>478.5</v>
      </c>
      <c r="I2748" s="18">
        <v>3.2551020409999998</v>
      </c>
      <c r="J2748" s="18">
        <v>3.28</v>
      </c>
      <c r="K2748" s="18">
        <v>3.22</v>
      </c>
      <c r="L2748" s="22">
        <v>9</v>
      </c>
    </row>
    <row r="2749" spans="1:12">
      <c r="A2749">
        <v>3</v>
      </c>
      <c r="B2749" s="16" t="s">
        <v>58</v>
      </c>
      <c r="C2749" s="9">
        <v>45809</v>
      </c>
      <c r="D2749">
        <v>47</v>
      </c>
      <c r="E2749" s="16" t="s">
        <v>136</v>
      </c>
      <c r="F2749" s="16" t="s">
        <v>92</v>
      </c>
      <c r="G2749" s="22">
        <v>141</v>
      </c>
      <c r="H2749" s="18">
        <v>431.29500000000002</v>
      </c>
      <c r="I2749" s="18">
        <v>3.0588297870000001</v>
      </c>
      <c r="J2749" s="18">
        <v>3.19</v>
      </c>
      <c r="K2749" s="18">
        <v>2.99</v>
      </c>
      <c r="L2749" s="22">
        <v>9</v>
      </c>
    </row>
    <row r="2750" spans="1:12">
      <c r="A2750">
        <v>3</v>
      </c>
      <c r="B2750" s="16" t="s">
        <v>58</v>
      </c>
      <c r="C2750" s="9">
        <v>45839</v>
      </c>
      <c r="D2750">
        <v>47</v>
      </c>
      <c r="E2750" s="16" t="s">
        <v>136</v>
      </c>
      <c r="F2750" s="16" t="s">
        <v>92</v>
      </c>
      <c r="G2750" s="22">
        <v>166.5</v>
      </c>
      <c r="H2750" s="18">
        <v>492.54</v>
      </c>
      <c r="I2750" s="18">
        <v>2.9581981979999998</v>
      </c>
      <c r="J2750" s="18">
        <v>3.01</v>
      </c>
      <c r="K2750" s="18">
        <v>2.92</v>
      </c>
      <c r="L2750" s="22">
        <v>9</v>
      </c>
    </row>
    <row r="2751" spans="1:12">
      <c r="A2751">
        <v>3</v>
      </c>
      <c r="B2751" s="16" t="s">
        <v>58</v>
      </c>
      <c r="C2751" s="9">
        <v>45870</v>
      </c>
      <c r="D2751">
        <v>47</v>
      </c>
      <c r="E2751" s="16" t="s">
        <v>136</v>
      </c>
      <c r="F2751" s="16" t="s">
        <v>92</v>
      </c>
      <c r="G2751" s="22">
        <v>133.5</v>
      </c>
      <c r="H2751" s="18">
        <v>408.57</v>
      </c>
      <c r="I2751" s="18">
        <v>3.060449438</v>
      </c>
      <c r="J2751" s="18">
        <v>3.08</v>
      </c>
      <c r="K2751" s="18">
        <v>3.01</v>
      </c>
      <c r="L2751" s="22">
        <v>8</v>
      </c>
    </row>
    <row r="2752" spans="1:12">
      <c r="A2752">
        <v>3</v>
      </c>
      <c r="B2752" s="16" t="s">
        <v>58</v>
      </c>
      <c r="C2752" s="9">
        <v>45901</v>
      </c>
      <c r="D2752">
        <v>47</v>
      </c>
      <c r="E2752" s="16" t="s">
        <v>136</v>
      </c>
      <c r="F2752" s="16" t="s">
        <v>92</v>
      </c>
      <c r="G2752" s="22">
        <v>126</v>
      </c>
      <c r="H2752" s="18">
        <v>412.78500000000003</v>
      </c>
      <c r="I2752" s="18">
        <v>3.2760714289999999</v>
      </c>
      <c r="J2752" s="18">
        <v>3.33</v>
      </c>
      <c r="K2752" s="18">
        <v>3.22</v>
      </c>
      <c r="L2752" s="22">
        <v>9</v>
      </c>
    </row>
    <row r="2753" spans="1:12">
      <c r="A2753">
        <v>3</v>
      </c>
      <c r="B2753" s="16" t="s">
        <v>58</v>
      </c>
      <c r="C2753" s="9">
        <v>45931</v>
      </c>
      <c r="D2753">
        <v>47</v>
      </c>
      <c r="E2753" s="16" t="s">
        <v>136</v>
      </c>
      <c r="F2753" s="16" t="s">
        <v>92</v>
      </c>
      <c r="G2753" s="22">
        <v>126</v>
      </c>
      <c r="H2753" s="18">
        <v>453.22500000000002</v>
      </c>
      <c r="I2753" s="18">
        <v>3.59702381</v>
      </c>
      <c r="J2753" s="18">
        <v>3.65</v>
      </c>
      <c r="K2753" s="18">
        <v>3.56</v>
      </c>
      <c r="L2753" s="22">
        <v>9</v>
      </c>
    </row>
    <row r="2754" spans="1:12">
      <c r="A2754">
        <v>3</v>
      </c>
      <c r="B2754" s="16" t="s">
        <v>58</v>
      </c>
      <c r="C2754" s="9">
        <v>45962</v>
      </c>
      <c r="D2754">
        <v>47</v>
      </c>
      <c r="E2754" s="16" t="s">
        <v>136</v>
      </c>
      <c r="F2754" s="16" t="s">
        <v>92</v>
      </c>
      <c r="G2754" s="22">
        <v>105</v>
      </c>
      <c r="H2754" s="18">
        <v>412.57499999999999</v>
      </c>
      <c r="I2754" s="18">
        <v>3.9292857140000002</v>
      </c>
      <c r="J2754" s="18">
        <v>4.04</v>
      </c>
      <c r="K2754" s="18">
        <v>3.84</v>
      </c>
      <c r="L2754" s="22">
        <v>8</v>
      </c>
    </row>
    <row r="2755" spans="1:12">
      <c r="A2755">
        <v>3</v>
      </c>
      <c r="B2755" s="16" t="s">
        <v>58</v>
      </c>
      <c r="C2755" s="9">
        <v>45992</v>
      </c>
      <c r="D2755">
        <v>47</v>
      </c>
      <c r="E2755" s="16" t="s">
        <v>136</v>
      </c>
      <c r="F2755" s="16" t="s">
        <v>92</v>
      </c>
      <c r="G2755" s="22">
        <v>129</v>
      </c>
      <c r="H2755" s="18">
        <v>544.93499999999995</v>
      </c>
      <c r="I2755" s="18">
        <v>4.2243023260000001</v>
      </c>
      <c r="J2755" s="18">
        <v>4.51</v>
      </c>
      <c r="K2755" s="18">
        <v>4.03</v>
      </c>
      <c r="L2755" s="22">
        <v>9</v>
      </c>
    </row>
    <row r="2756" spans="1:12">
      <c r="A2756">
        <v>3</v>
      </c>
      <c r="B2756" s="16" t="s">
        <v>58</v>
      </c>
      <c r="C2756" s="9">
        <v>46023</v>
      </c>
      <c r="D2756">
        <v>47</v>
      </c>
      <c r="E2756" s="16" t="s">
        <v>136</v>
      </c>
      <c r="F2756" s="16" t="s">
        <v>92</v>
      </c>
      <c r="G2756" s="22">
        <v>135</v>
      </c>
      <c r="H2756" s="18">
        <v>577.39499999999998</v>
      </c>
      <c r="I2756" s="18">
        <v>4.2770000000000001</v>
      </c>
      <c r="J2756" s="18">
        <v>4.32</v>
      </c>
      <c r="K2756" s="18">
        <v>4.21</v>
      </c>
      <c r="L2756" s="22">
        <v>9</v>
      </c>
    </row>
    <row r="2757" spans="1:12">
      <c r="A2757">
        <v>3</v>
      </c>
      <c r="B2757" s="16" t="s">
        <v>58</v>
      </c>
      <c r="C2757" s="9">
        <v>46054</v>
      </c>
      <c r="D2757">
        <v>47</v>
      </c>
      <c r="E2757" s="16" t="s">
        <v>136</v>
      </c>
      <c r="F2757" s="16" t="s">
        <v>92</v>
      </c>
      <c r="G2757" s="22">
        <v>117</v>
      </c>
      <c r="H2757" s="18">
        <v>489.66</v>
      </c>
      <c r="I2757" s="18">
        <v>4.1851282049999998</v>
      </c>
      <c r="J2757" s="18">
        <v>4.3099999999999996</v>
      </c>
      <c r="K2757" s="18">
        <v>4.13</v>
      </c>
      <c r="L2757" s="22">
        <v>8</v>
      </c>
    </row>
    <row r="2758" spans="1:12">
      <c r="A2758">
        <v>3</v>
      </c>
      <c r="B2758" s="16" t="s">
        <v>58</v>
      </c>
      <c r="C2758" s="9">
        <v>46082</v>
      </c>
      <c r="D2758">
        <v>47</v>
      </c>
      <c r="E2758" s="16" t="s">
        <v>136</v>
      </c>
      <c r="F2758" s="16" t="s">
        <v>92</v>
      </c>
      <c r="G2758" s="22">
        <v>121.5</v>
      </c>
      <c r="H2758" s="18">
        <v>482.86500000000001</v>
      </c>
      <c r="I2758" s="18">
        <v>3.9741975310000002</v>
      </c>
      <c r="J2758" s="18">
        <v>4.17</v>
      </c>
      <c r="K2758" s="18">
        <v>3.86</v>
      </c>
      <c r="L2758" s="22">
        <v>9</v>
      </c>
    </row>
    <row r="2759" spans="1:12">
      <c r="A2759">
        <v>3</v>
      </c>
      <c r="B2759" s="16" t="s">
        <v>58</v>
      </c>
      <c r="C2759" s="9">
        <v>46113</v>
      </c>
      <c r="D2759">
        <v>47</v>
      </c>
      <c r="E2759" s="16" t="s">
        <v>136</v>
      </c>
      <c r="F2759" s="16" t="s">
        <v>92</v>
      </c>
      <c r="G2759" s="22">
        <v>148.5</v>
      </c>
      <c r="H2759" s="18">
        <v>535.48500000000001</v>
      </c>
      <c r="I2759" s="18">
        <v>3.6059595959999999</v>
      </c>
      <c r="J2759" s="18">
        <v>3.68</v>
      </c>
      <c r="K2759" s="18">
        <v>3.49</v>
      </c>
      <c r="L2759" s="22">
        <v>9</v>
      </c>
    </row>
    <row r="2760" spans="1:12">
      <c r="A2760">
        <v>3</v>
      </c>
      <c r="B2760" s="16" t="s">
        <v>58</v>
      </c>
      <c r="C2760" s="9">
        <v>46143</v>
      </c>
      <c r="D2760">
        <v>47</v>
      </c>
      <c r="E2760" s="16" t="s">
        <v>136</v>
      </c>
      <c r="F2760" s="16" t="s">
        <v>92</v>
      </c>
      <c r="G2760" s="22">
        <v>117</v>
      </c>
      <c r="H2760" s="18">
        <v>380.04</v>
      </c>
      <c r="I2760" s="18">
        <v>3.2482051279999999</v>
      </c>
      <c r="J2760" s="18">
        <v>3.3</v>
      </c>
      <c r="K2760" s="18">
        <v>3.23</v>
      </c>
      <c r="L2760" s="22">
        <v>8</v>
      </c>
    </row>
    <row r="2761" spans="1:12">
      <c r="A2761">
        <v>3</v>
      </c>
      <c r="B2761" s="16" t="s">
        <v>58</v>
      </c>
      <c r="C2761" s="9">
        <v>46174</v>
      </c>
      <c r="D2761">
        <v>47</v>
      </c>
      <c r="E2761" s="16" t="s">
        <v>136</v>
      </c>
      <c r="F2761" s="16" t="s">
        <v>92</v>
      </c>
      <c r="G2761" s="22">
        <v>148.5</v>
      </c>
      <c r="H2761" s="18">
        <v>449.685</v>
      </c>
      <c r="I2761" s="18">
        <v>3.0281818180000002</v>
      </c>
      <c r="J2761" s="18">
        <v>3.08</v>
      </c>
      <c r="K2761" s="18">
        <v>2.99</v>
      </c>
      <c r="L2761" s="22">
        <v>9</v>
      </c>
    </row>
    <row r="2762" spans="1:12">
      <c r="A2762">
        <v>3</v>
      </c>
      <c r="B2762" s="16" t="s">
        <v>58</v>
      </c>
      <c r="C2762" s="9">
        <v>46204</v>
      </c>
      <c r="D2762">
        <v>47</v>
      </c>
      <c r="E2762" s="16" t="s">
        <v>136</v>
      </c>
      <c r="F2762" s="16" t="s">
        <v>92</v>
      </c>
      <c r="G2762" s="22">
        <v>150</v>
      </c>
      <c r="H2762" s="18">
        <v>444.51</v>
      </c>
      <c r="I2762" s="18">
        <v>2.9634</v>
      </c>
      <c r="J2762" s="18">
        <v>3.03</v>
      </c>
      <c r="K2762" s="18">
        <v>2.91</v>
      </c>
      <c r="L2762" s="22">
        <v>9</v>
      </c>
    </row>
    <row r="2763" spans="1:12">
      <c r="A2763">
        <v>3</v>
      </c>
      <c r="B2763" s="16" t="s">
        <v>58</v>
      </c>
      <c r="C2763" s="9">
        <v>46235</v>
      </c>
      <c r="D2763">
        <v>47</v>
      </c>
      <c r="E2763" s="16" t="s">
        <v>136</v>
      </c>
      <c r="F2763" s="16" t="s">
        <v>92</v>
      </c>
      <c r="G2763" s="22">
        <v>132</v>
      </c>
      <c r="H2763" s="18">
        <v>407.55</v>
      </c>
      <c r="I2763" s="18">
        <v>3.0874999999999999</v>
      </c>
      <c r="J2763" s="18">
        <v>3.15</v>
      </c>
      <c r="K2763" s="18">
        <v>3.05</v>
      </c>
      <c r="L2763" s="22">
        <v>9</v>
      </c>
    </row>
    <row r="2764" spans="1:12">
      <c r="A2764">
        <v>3</v>
      </c>
      <c r="B2764" s="16" t="s">
        <v>58</v>
      </c>
      <c r="C2764" s="9">
        <v>46266</v>
      </c>
      <c r="D2764">
        <v>47</v>
      </c>
      <c r="E2764" s="16" t="s">
        <v>136</v>
      </c>
      <c r="F2764" s="16" t="s">
        <v>92</v>
      </c>
      <c r="G2764" s="22">
        <v>126</v>
      </c>
      <c r="H2764" s="18">
        <v>416.22</v>
      </c>
      <c r="I2764" s="18">
        <v>3.3033333329999999</v>
      </c>
      <c r="J2764" s="18">
        <v>3.37</v>
      </c>
      <c r="K2764" s="18">
        <v>3.24</v>
      </c>
      <c r="L2764" s="22">
        <v>8</v>
      </c>
    </row>
    <row r="2765" spans="1:12">
      <c r="A2765">
        <v>3</v>
      </c>
      <c r="B2765" s="16" t="s">
        <v>58</v>
      </c>
      <c r="C2765" s="9">
        <v>45689</v>
      </c>
      <c r="D2765">
        <v>48</v>
      </c>
      <c r="E2765" s="16" t="s">
        <v>137</v>
      </c>
      <c r="F2765" s="16" t="s">
        <v>138</v>
      </c>
      <c r="G2765" s="22">
        <v>10.25</v>
      </c>
      <c r="H2765" s="18">
        <v>109.345</v>
      </c>
      <c r="I2765" s="18">
        <v>10.667804878</v>
      </c>
      <c r="J2765" s="18">
        <v>10.85</v>
      </c>
      <c r="K2765" s="18">
        <v>10.42</v>
      </c>
      <c r="L2765" s="22">
        <v>8</v>
      </c>
    </row>
    <row r="2766" spans="1:12">
      <c r="A2766">
        <v>3</v>
      </c>
      <c r="B2766" s="16" t="s">
        <v>58</v>
      </c>
      <c r="C2766" s="9">
        <v>45717</v>
      </c>
      <c r="D2766">
        <v>48</v>
      </c>
      <c r="E2766" s="16" t="s">
        <v>137</v>
      </c>
      <c r="F2766" s="16" t="s">
        <v>138</v>
      </c>
      <c r="G2766" s="22">
        <v>10.5</v>
      </c>
      <c r="H2766" s="18">
        <v>113.05249999999999</v>
      </c>
      <c r="I2766" s="18">
        <v>10.766904761999999</v>
      </c>
      <c r="J2766" s="18">
        <v>10.96</v>
      </c>
      <c r="K2766" s="18">
        <v>10.59</v>
      </c>
      <c r="L2766" s="22">
        <v>8</v>
      </c>
    </row>
    <row r="2767" spans="1:12">
      <c r="A2767">
        <v>3</v>
      </c>
      <c r="B2767" s="16" t="s">
        <v>58</v>
      </c>
      <c r="C2767" s="9">
        <v>45748</v>
      </c>
      <c r="D2767">
        <v>48</v>
      </c>
      <c r="E2767" s="16" t="s">
        <v>137</v>
      </c>
      <c r="F2767" s="16" t="s">
        <v>138</v>
      </c>
      <c r="G2767" s="22">
        <v>19.75</v>
      </c>
      <c r="H2767" s="18">
        <v>212.005</v>
      </c>
      <c r="I2767" s="18">
        <v>10.734430379999999</v>
      </c>
      <c r="J2767" s="18">
        <v>10.85</v>
      </c>
      <c r="K2767" s="18">
        <v>10.6</v>
      </c>
      <c r="L2767" s="22">
        <v>9</v>
      </c>
    </row>
    <row r="2768" spans="1:12">
      <c r="A2768">
        <v>3</v>
      </c>
      <c r="B2768" s="16" t="s">
        <v>58</v>
      </c>
      <c r="C2768" s="9">
        <v>45778</v>
      </c>
      <c r="D2768">
        <v>48</v>
      </c>
      <c r="E2768" s="16" t="s">
        <v>137</v>
      </c>
      <c r="F2768" s="16" t="s">
        <v>138</v>
      </c>
      <c r="G2768" s="22">
        <v>20</v>
      </c>
      <c r="H2768" s="18">
        <v>216.1225</v>
      </c>
      <c r="I2768" s="18">
        <v>10.806125</v>
      </c>
      <c r="J2768" s="18">
        <v>10.96</v>
      </c>
      <c r="K2768" s="18">
        <v>10.56</v>
      </c>
      <c r="L2768" s="22">
        <v>9</v>
      </c>
    </row>
    <row r="2769" spans="1:12">
      <c r="A2769">
        <v>3</v>
      </c>
      <c r="B2769" s="16" t="s">
        <v>58</v>
      </c>
      <c r="C2769" s="9">
        <v>45809</v>
      </c>
      <c r="D2769">
        <v>48</v>
      </c>
      <c r="E2769" s="16" t="s">
        <v>137</v>
      </c>
      <c r="F2769" s="16" t="s">
        <v>138</v>
      </c>
      <c r="G2769" s="22">
        <v>25.75</v>
      </c>
      <c r="H2769" s="18">
        <v>278.51499999999999</v>
      </c>
      <c r="I2769" s="18">
        <v>10.816116505</v>
      </c>
      <c r="J2769" s="18">
        <v>11.04</v>
      </c>
      <c r="K2769" s="18">
        <v>10.65</v>
      </c>
      <c r="L2769" s="22">
        <v>8</v>
      </c>
    </row>
    <row r="2770" spans="1:12">
      <c r="A2770">
        <v>3</v>
      </c>
      <c r="B2770" s="16" t="s">
        <v>58</v>
      </c>
      <c r="C2770" s="9">
        <v>45839</v>
      </c>
      <c r="D2770">
        <v>48</v>
      </c>
      <c r="E2770" s="16" t="s">
        <v>137</v>
      </c>
      <c r="F2770" s="16" t="s">
        <v>138</v>
      </c>
      <c r="G2770" s="22">
        <v>32.75</v>
      </c>
      <c r="H2770" s="18">
        <v>356.15499999999997</v>
      </c>
      <c r="I2770" s="18">
        <v>10.874961832</v>
      </c>
      <c r="J2770" s="18">
        <v>11.06</v>
      </c>
      <c r="K2770" s="18">
        <v>10.59</v>
      </c>
      <c r="L2770" s="22">
        <v>9</v>
      </c>
    </row>
    <row r="2771" spans="1:12">
      <c r="A2771">
        <v>3</v>
      </c>
      <c r="B2771" s="16" t="s">
        <v>58</v>
      </c>
      <c r="C2771" s="9">
        <v>45870</v>
      </c>
      <c r="D2771">
        <v>48</v>
      </c>
      <c r="E2771" s="16" t="s">
        <v>137</v>
      </c>
      <c r="F2771" s="16" t="s">
        <v>138</v>
      </c>
      <c r="G2771" s="22">
        <v>32</v>
      </c>
      <c r="H2771" s="18">
        <v>344.15750000000003</v>
      </c>
      <c r="I2771" s="18">
        <v>10.754921875000001</v>
      </c>
      <c r="J2771" s="18">
        <v>10.9</v>
      </c>
      <c r="K2771" s="18">
        <v>10.58</v>
      </c>
      <c r="L2771" s="22">
        <v>9</v>
      </c>
    </row>
    <row r="2772" spans="1:12">
      <c r="A2772">
        <v>3</v>
      </c>
      <c r="B2772" s="16" t="s">
        <v>58</v>
      </c>
      <c r="C2772" s="9">
        <v>45901</v>
      </c>
      <c r="D2772">
        <v>48</v>
      </c>
      <c r="E2772" s="16" t="s">
        <v>137</v>
      </c>
      <c r="F2772" s="16" t="s">
        <v>138</v>
      </c>
      <c r="G2772" s="22">
        <v>21</v>
      </c>
      <c r="H2772" s="18">
        <v>225.9075</v>
      </c>
      <c r="I2772" s="18">
        <v>10.7575</v>
      </c>
      <c r="J2772" s="18">
        <v>10.92</v>
      </c>
      <c r="K2772" s="18">
        <v>10.57</v>
      </c>
      <c r="L2772" s="22">
        <v>9</v>
      </c>
    </row>
    <row r="2773" spans="1:12">
      <c r="A2773">
        <v>3</v>
      </c>
      <c r="B2773" s="16" t="s">
        <v>58</v>
      </c>
      <c r="C2773" s="9">
        <v>45931</v>
      </c>
      <c r="D2773">
        <v>48</v>
      </c>
      <c r="E2773" s="16" t="s">
        <v>137</v>
      </c>
      <c r="F2773" s="16" t="s">
        <v>138</v>
      </c>
      <c r="G2773" s="22">
        <v>14</v>
      </c>
      <c r="H2773" s="18">
        <v>150.79499999999999</v>
      </c>
      <c r="I2773" s="18">
        <v>10.771071428999999</v>
      </c>
      <c r="J2773" s="18">
        <v>10.99</v>
      </c>
      <c r="K2773" s="18">
        <v>10.63</v>
      </c>
      <c r="L2773" s="22">
        <v>9</v>
      </c>
    </row>
    <row r="2774" spans="1:12">
      <c r="A2774">
        <v>3</v>
      </c>
      <c r="B2774" s="16" t="s">
        <v>58</v>
      </c>
      <c r="C2774" s="9">
        <v>45962</v>
      </c>
      <c r="D2774">
        <v>48</v>
      </c>
      <c r="E2774" s="16" t="s">
        <v>137</v>
      </c>
      <c r="F2774" s="16" t="s">
        <v>138</v>
      </c>
      <c r="G2774" s="22">
        <v>9.25</v>
      </c>
      <c r="H2774" s="18">
        <v>104.64749999999999</v>
      </c>
      <c r="I2774" s="18">
        <v>11.313243243000001</v>
      </c>
      <c r="J2774" s="18">
        <v>12.38</v>
      </c>
      <c r="K2774" s="18">
        <v>10.5</v>
      </c>
      <c r="L2774" s="22">
        <v>8</v>
      </c>
    </row>
    <row r="2775" spans="1:12">
      <c r="A2775">
        <v>3</v>
      </c>
      <c r="B2775" s="16" t="s">
        <v>58</v>
      </c>
      <c r="C2775" s="9">
        <v>45992</v>
      </c>
      <c r="D2775">
        <v>48</v>
      </c>
      <c r="E2775" s="16" t="s">
        <v>137</v>
      </c>
      <c r="F2775" s="16" t="s">
        <v>138</v>
      </c>
      <c r="G2775" s="22">
        <v>7.5</v>
      </c>
      <c r="H2775" s="18">
        <v>89.732500000000002</v>
      </c>
      <c r="I2775" s="18">
        <v>11.964333333000001</v>
      </c>
      <c r="J2775" s="18">
        <v>12.29</v>
      </c>
      <c r="K2775" s="18">
        <v>11.74</v>
      </c>
      <c r="L2775" s="22">
        <v>8</v>
      </c>
    </row>
    <row r="2776" spans="1:12">
      <c r="A2776">
        <v>3</v>
      </c>
      <c r="B2776" s="16" t="s">
        <v>58</v>
      </c>
      <c r="C2776" s="9">
        <v>46023</v>
      </c>
      <c r="D2776">
        <v>48</v>
      </c>
      <c r="E2776" s="16" t="s">
        <v>137</v>
      </c>
      <c r="F2776" s="16" t="s">
        <v>138</v>
      </c>
      <c r="G2776" s="22">
        <v>10.75</v>
      </c>
      <c r="H2776" s="18">
        <v>117.74</v>
      </c>
      <c r="I2776" s="18">
        <v>10.952558140000001</v>
      </c>
      <c r="J2776" s="18">
        <v>11.19</v>
      </c>
      <c r="K2776" s="18">
        <v>10.78</v>
      </c>
      <c r="L2776" s="22">
        <v>9</v>
      </c>
    </row>
    <row r="2777" spans="1:12">
      <c r="A2777">
        <v>3</v>
      </c>
      <c r="B2777" s="16" t="s">
        <v>58</v>
      </c>
      <c r="C2777" s="9">
        <v>46054</v>
      </c>
      <c r="D2777">
        <v>48</v>
      </c>
      <c r="E2777" s="16" t="s">
        <v>137</v>
      </c>
      <c r="F2777" s="16" t="s">
        <v>138</v>
      </c>
      <c r="G2777" s="22">
        <v>10.75</v>
      </c>
      <c r="H2777" s="18">
        <v>118.7325</v>
      </c>
      <c r="I2777" s="18">
        <v>11.044883721</v>
      </c>
      <c r="J2777" s="18">
        <v>11.33</v>
      </c>
      <c r="K2777" s="18">
        <v>10.91</v>
      </c>
      <c r="L2777" s="22">
        <v>8</v>
      </c>
    </row>
    <row r="2778" spans="1:12">
      <c r="A2778">
        <v>3</v>
      </c>
      <c r="B2778" s="16" t="s">
        <v>58</v>
      </c>
      <c r="C2778" s="9">
        <v>46082</v>
      </c>
      <c r="D2778">
        <v>48</v>
      </c>
      <c r="E2778" s="16" t="s">
        <v>137</v>
      </c>
      <c r="F2778" s="16" t="s">
        <v>138</v>
      </c>
      <c r="G2778" s="22">
        <v>11.75</v>
      </c>
      <c r="H2778" s="18">
        <v>130.35749999999999</v>
      </c>
      <c r="I2778" s="18">
        <v>11.094255319</v>
      </c>
      <c r="J2778" s="18">
        <v>11.63</v>
      </c>
      <c r="K2778" s="18">
        <v>10.86</v>
      </c>
      <c r="L2778" s="22">
        <v>9</v>
      </c>
    </row>
    <row r="2779" spans="1:12">
      <c r="A2779">
        <v>3</v>
      </c>
      <c r="B2779" s="16" t="s">
        <v>58</v>
      </c>
      <c r="C2779" s="9">
        <v>46113</v>
      </c>
      <c r="D2779">
        <v>48</v>
      </c>
      <c r="E2779" s="16" t="s">
        <v>137</v>
      </c>
      <c r="F2779" s="16" t="s">
        <v>138</v>
      </c>
      <c r="G2779" s="22">
        <v>14</v>
      </c>
      <c r="H2779" s="18">
        <v>158.00749999999999</v>
      </c>
      <c r="I2779" s="18">
        <v>11.286250000000001</v>
      </c>
      <c r="J2779" s="18">
        <v>11.89</v>
      </c>
      <c r="K2779" s="18">
        <v>10.99</v>
      </c>
      <c r="L2779" s="22">
        <v>8</v>
      </c>
    </row>
    <row r="2780" spans="1:12">
      <c r="A2780">
        <v>3</v>
      </c>
      <c r="B2780" s="16" t="s">
        <v>58</v>
      </c>
      <c r="C2780" s="9">
        <v>46143</v>
      </c>
      <c r="D2780">
        <v>48</v>
      </c>
      <c r="E2780" s="16" t="s">
        <v>137</v>
      </c>
      <c r="F2780" s="16" t="s">
        <v>138</v>
      </c>
      <c r="G2780" s="22">
        <v>21.5</v>
      </c>
      <c r="H2780" s="18">
        <v>244.3125</v>
      </c>
      <c r="I2780" s="18">
        <v>11.363372093000001</v>
      </c>
      <c r="J2780" s="18">
        <v>11.6</v>
      </c>
      <c r="K2780" s="18">
        <v>11.07</v>
      </c>
      <c r="L2780" s="22">
        <v>9</v>
      </c>
    </row>
    <row r="2781" spans="1:12">
      <c r="A2781">
        <v>3</v>
      </c>
      <c r="B2781" s="16" t="s">
        <v>58</v>
      </c>
      <c r="C2781" s="9">
        <v>46174</v>
      </c>
      <c r="D2781">
        <v>48</v>
      </c>
      <c r="E2781" s="16" t="s">
        <v>137</v>
      </c>
      <c r="F2781" s="16" t="s">
        <v>138</v>
      </c>
      <c r="G2781" s="22">
        <v>24.75</v>
      </c>
      <c r="H2781" s="18">
        <v>281.13</v>
      </c>
      <c r="I2781" s="18">
        <v>11.358787878999999</v>
      </c>
      <c r="J2781" s="18">
        <v>11.51</v>
      </c>
      <c r="K2781" s="18">
        <v>11.11</v>
      </c>
      <c r="L2781" s="22">
        <v>9</v>
      </c>
    </row>
    <row r="2782" spans="1:12">
      <c r="A2782">
        <v>3</v>
      </c>
      <c r="B2782" s="16" t="s">
        <v>58</v>
      </c>
      <c r="C2782" s="9">
        <v>46204</v>
      </c>
      <c r="D2782">
        <v>48</v>
      </c>
      <c r="E2782" s="16" t="s">
        <v>137</v>
      </c>
      <c r="F2782" s="16" t="s">
        <v>138</v>
      </c>
      <c r="G2782" s="22">
        <v>23.5</v>
      </c>
      <c r="H2782" s="18">
        <v>265.61500000000001</v>
      </c>
      <c r="I2782" s="18">
        <v>11.302765957</v>
      </c>
      <c r="J2782" s="18">
        <v>11.46</v>
      </c>
      <c r="K2782" s="18">
        <v>11.13</v>
      </c>
      <c r="L2782" s="22">
        <v>9</v>
      </c>
    </row>
    <row r="2783" spans="1:12">
      <c r="A2783">
        <v>3</v>
      </c>
      <c r="B2783" s="16" t="s">
        <v>58</v>
      </c>
      <c r="C2783" s="9">
        <v>46235</v>
      </c>
      <c r="D2783">
        <v>48</v>
      </c>
      <c r="E2783" s="16" t="s">
        <v>137</v>
      </c>
      <c r="F2783" s="16" t="s">
        <v>138</v>
      </c>
      <c r="G2783" s="22">
        <v>19</v>
      </c>
      <c r="H2783" s="18">
        <v>214.85249999999999</v>
      </c>
      <c r="I2783" s="18">
        <v>11.308026315999999</v>
      </c>
      <c r="J2783" s="18">
        <v>11.46</v>
      </c>
      <c r="K2783" s="18">
        <v>11.13</v>
      </c>
      <c r="L2783" s="22">
        <v>8</v>
      </c>
    </row>
    <row r="2784" spans="1:12">
      <c r="A2784">
        <v>3</v>
      </c>
      <c r="B2784" s="16" t="s">
        <v>58</v>
      </c>
      <c r="C2784" s="9">
        <v>46266</v>
      </c>
      <c r="D2784">
        <v>48</v>
      </c>
      <c r="E2784" s="16" t="s">
        <v>137</v>
      </c>
      <c r="F2784" s="16" t="s">
        <v>138</v>
      </c>
      <c r="G2784" s="22">
        <v>14.5</v>
      </c>
      <c r="H2784" s="18">
        <v>165.01750000000001</v>
      </c>
      <c r="I2784" s="18">
        <v>11.380517241</v>
      </c>
      <c r="J2784" s="18">
        <v>11.59</v>
      </c>
      <c r="K2784" s="18">
        <v>11.15</v>
      </c>
      <c r="L2784" s="22">
        <v>9</v>
      </c>
    </row>
    <row r="2785" spans="1:12">
      <c r="A2785">
        <v>3</v>
      </c>
      <c r="B2785" s="16" t="s">
        <v>58</v>
      </c>
      <c r="C2785" s="9">
        <v>45689</v>
      </c>
      <c r="D2785">
        <v>49</v>
      </c>
      <c r="E2785" s="16" t="s">
        <v>139</v>
      </c>
      <c r="F2785" s="16" t="s">
        <v>138</v>
      </c>
      <c r="G2785" s="22">
        <v>14.5</v>
      </c>
      <c r="H2785" s="18">
        <v>89.792500000000004</v>
      </c>
      <c r="I2785" s="18">
        <v>6.1925862069999997</v>
      </c>
      <c r="J2785" s="18">
        <v>6.28</v>
      </c>
      <c r="K2785" s="18">
        <v>6.13</v>
      </c>
      <c r="L2785" s="22">
        <v>8</v>
      </c>
    </row>
    <row r="2786" spans="1:12">
      <c r="A2786">
        <v>3</v>
      </c>
      <c r="B2786" s="16" t="s">
        <v>58</v>
      </c>
      <c r="C2786" s="9">
        <v>45717</v>
      </c>
      <c r="D2786">
        <v>49</v>
      </c>
      <c r="E2786" s="16" t="s">
        <v>139</v>
      </c>
      <c r="F2786" s="16" t="s">
        <v>138</v>
      </c>
      <c r="G2786" s="22">
        <v>15.25</v>
      </c>
      <c r="H2786" s="18">
        <v>95.637500000000003</v>
      </c>
      <c r="I2786" s="18">
        <v>6.2713114750000001</v>
      </c>
      <c r="J2786" s="18">
        <v>6.35</v>
      </c>
      <c r="K2786" s="18">
        <v>6.17</v>
      </c>
      <c r="L2786" s="22">
        <v>8</v>
      </c>
    </row>
    <row r="2787" spans="1:12">
      <c r="A2787">
        <v>3</v>
      </c>
      <c r="B2787" s="16" t="s">
        <v>58</v>
      </c>
      <c r="C2787" s="9">
        <v>45748</v>
      </c>
      <c r="D2787">
        <v>49</v>
      </c>
      <c r="E2787" s="16" t="s">
        <v>139</v>
      </c>
      <c r="F2787" s="16" t="s">
        <v>138</v>
      </c>
      <c r="G2787" s="22">
        <v>29</v>
      </c>
      <c r="H2787" s="18">
        <v>180.48500000000001</v>
      </c>
      <c r="I2787" s="18">
        <v>6.2236206899999997</v>
      </c>
      <c r="J2787" s="18">
        <v>6.36</v>
      </c>
      <c r="K2787" s="18">
        <v>6.09</v>
      </c>
      <c r="L2787" s="22">
        <v>9</v>
      </c>
    </row>
    <row r="2788" spans="1:12">
      <c r="A2788">
        <v>3</v>
      </c>
      <c r="B2788" s="16" t="s">
        <v>58</v>
      </c>
      <c r="C2788" s="9">
        <v>45778</v>
      </c>
      <c r="D2788">
        <v>49</v>
      </c>
      <c r="E2788" s="16" t="s">
        <v>139</v>
      </c>
      <c r="F2788" s="16" t="s">
        <v>138</v>
      </c>
      <c r="G2788" s="22">
        <v>29.5</v>
      </c>
      <c r="H2788" s="18">
        <v>187.75</v>
      </c>
      <c r="I2788" s="18">
        <v>6.3644067800000004</v>
      </c>
      <c r="J2788" s="18">
        <v>6.63</v>
      </c>
      <c r="K2788" s="18">
        <v>6.21</v>
      </c>
      <c r="L2788" s="22">
        <v>9</v>
      </c>
    </row>
    <row r="2789" spans="1:12">
      <c r="A2789">
        <v>3</v>
      </c>
      <c r="B2789" s="16" t="s">
        <v>58</v>
      </c>
      <c r="C2789" s="9">
        <v>45809</v>
      </c>
      <c r="D2789">
        <v>49</v>
      </c>
      <c r="E2789" s="16" t="s">
        <v>139</v>
      </c>
      <c r="F2789" s="16" t="s">
        <v>138</v>
      </c>
      <c r="G2789" s="22">
        <v>38.75</v>
      </c>
      <c r="H2789" s="18">
        <v>246.91</v>
      </c>
      <c r="I2789" s="18">
        <v>6.3718709679999996</v>
      </c>
      <c r="J2789" s="18">
        <v>6.62</v>
      </c>
      <c r="K2789" s="18">
        <v>6.22</v>
      </c>
      <c r="L2789" s="22">
        <v>8</v>
      </c>
    </row>
    <row r="2790" spans="1:12">
      <c r="A2790">
        <v>3</v>
      </c>
      <c r="B2790" s="16" t="s">
        <v>58</v>
      </c>
      <c r="C2790" s="9">
        <v>45839</v>
      </c>
      <c r="D2790">
        <v>49</v>
      </c>
      <c r="E2790" s="16" t="s">
        <v>139</v>
      </c>
      <c r="F2790" s="16" t="s">
        <v>138</v>
      </c>
      <c r="G2790" s="22">
        <v>48.25</v>
      </c>
      <c r="H2790" s="18">
        <v>301.29250000000002</v>
      </c>
      <c r="I2790" s="18">
        <v>6.2444041449999999</v>
      </c>
      <c r="J2790" s="18">
        <v>6.31</v>
      </c>
      <c r="K2790" s="18">
        <v>6.18</v>
      </c>
      <c r="L2790" s="22">
        <v>9</v>
      </c>
    </row>
    <row r="2791" spans="1:12">
      <c r="A2791">
        <v>3</v>
      </c>
      <c r="B2791" s="16" t="s">
        <v>58</v>
      </c>
      <c r="C2791" s="9">
        <v>45870</v>
      </c>
      <c r="D2791">
        <v>49</v>
      </c>
      <c r="E2791" s="16" t="s">
        <v>139</v>
      </c>
      <c r="F2791" s="16" t="s">
        <v>138</v>
      </c>
      <c r="G2791" s="22">
        <v>48.75</v>
      </c>
      <c r="H2791" s="18">
        <v>302.15499999999997</v>
      </c>
      <c r="I2791" s="18">
        <v>6.1980512819999998</v>
      </c>
      <c r="J2791" s="18">
        <v>6.25</v>
      </c>
      <c r="K2791" s="18">
        <v>6.13</v>
      </c>
      <c r="L2791" s="22">
        <v>9</v>
      </c>
    </row>
    <row r="2792" spans="1:12">
      <c r="A2792">
        <v>3</v>
      </c>
      <c r="B2792" s="16" t="s">
        <v>58</v>
      </c>
      <c r="C2792" s="9">
        <v>45901</v>
      </c>
      <c r="D2792">
        <v>49</v>
      </c>
      <c r="E2792" s="16" t="s">
        <v>139</v>
      </c>
      <c r="F2792" s="16" t="s">
        <v>138</v>
      </c>
      <c r="G2792" s="22">
        <v>30.25</v>
      </c>
      <c r="H2792" s="18">
        <v>189.89</v>
      </c>
      <c r="I2792" s="18">
        <v>6.2773553719999997</v>
      </c>
      <c r="J2792" s="18">
        <v>6.38</v>
      </c>
      <c r="K2792" s="18">
        <v>6.15</v>
      </c>
      <c r="L2792" s="22">
        <v>9</v>
      </c>
    </row>
    <row r="2793" spans="1:12">
      <c r="A2793">
        <v>3</v>
      </c>
      <c r="B2793" s="16" t="s">
        <v>58</v>
      </c>
      <c r="C2793" s="9">
        <v>45931</v>
      </c>
      <c r="D2793">
        <v>49</v>
      </c>
      <c r="E2793" s="16" t="s">
        <v>139</v>
      </c>
      <c r="F2793" s="16" t="s">
        <v>138</v>
      </c>
      <c r="G2793" s="22">
        <v>20.25</v>
      </c>
      <c r="H2793" s="18">
        <v>125.99</v>
      </c>
      <c r="I2793" s="18">
        <v>6.2217283950000004</v>
      </c>
      <c r="J2793" s="18">
        <v>6.35</v>
      </c>
      <c r="K2793" s="18">
        <v>6.04</v>
      </c>
      <c r="L2793" s="22">
        <v>9</v>
      </c>
    </row>
    <row r="2794" spans="1:12">
      <c r="A2794">
        <v>3</v>
      </c>
      <c r="B2794" s="16" t="s">
        <v>58</v>
      </c>
      <c r="C2794" s="9">
        <v>45962</v>
      </c>
      <c r="D2794">
        <v>49</v>
      </c>
      <c r="E2794" s="16" t="s">
        <v>139</v>
      </c>
      <c r="F2794" s="16" t="s">
        <v>138</v>
      </c>
      <c r="G2794" s="22">
        <v>13.5</v>
      </c>
      <c r="H2794" s="18">
        <v>89.36</v>
      </c>
      <c r="I2794" s="18">
        <v>6.6192592589999997</v>
      </c>
      <c r="J2794" s="18">
        <v>7.09</v>
      </c>
      <c r="K2794" s="18">
        <v>6.13</v>
      </c>
      <c r="L2794" s="22">
        <v>8</v>
      </c>
    </row>
    <row r="2795" spans="1:12">
      <c r="A2795">
        <v>3</v>
      </c>
      <c r="B2795" s="16" t="s">
        <v>58</v>
      </c>
      <c r="C2795" s="9">
        <v>45992</v>
      </c>
      <c r="D2795">
        <v>49</v>
      </c>
      <c r="E2795" s="16" t="s">
        <v>139</v>
      </c>
      <c r="F2795" s="16" t="s">
        <v>138</v>
      </c>
      <c r="G2795" s="22">
        <v>11.25</v>
      </c>
      <c r="H2795" s="18">
        <v>78.077500000000001</v>
      </c>
      <c r="I2795" s="18">
        <v>6.9402222220000001</v>
      </c>
      <c r="J2795" s="18">
        <v>7.06</v>
      </c>
      <c r="K2795" s="18">
        <v>6.86</v>
      </c>
      <c r="L2795" s="22">
        <v>8</v>
      </c>
    </row>
    <row r="2796" spans="1:12">
      <c r="A2796">
        <v>3</v>
      </c>
      <c r="B2796" s="16" t="s">
        <v>58</v>
      </c>
      <c r="C2796" s="9">
        <v>46023</v>
      </c>
      <c r="D2796">
        <v>49</v>
      </c>
      <c r="E2796" s="16" t="s">
        <v>139</v>
      </c>
      <c r="F2796" s="16" t="s">
        <v>138</v>
      </c>
      <c r="G2796" s="22">
        <v>15</v>
      </c>
      <c r="H2796" s="18">
        <v>94.802499999999995</v>
      </c>
      <c r="I2796" s="18">
        <v>6.3201666669999996</v>
      </c>
      <c r="J2796" s="18">
        <v>6.46</v>
      </c>
      <c r="K2796" s="18">
        <v>6.21</v>
      </c>
      <c r="L2796" s="22">
        <v>9</v>
      </c>
    </row>
    <row r="2797" spans="1:12">
      <c r="A2797">
        <v>3</v>
      </c>
      <c r="B2797" s="16" t="s">
        <v>58</v>
      </c>
      <c r="C2797" s="9">
        <v>46054</v>
      </c>
      <c r="D2797">
        <v>49</v>
      </c>
      <c r="E2797" s="16" t="s">
        <v>139</v>
      </c>
      <c r="F2797" s="16" t="s">
        <v>138</v>
      </c>
      <c r="G2797" s="22">
        <v>15.5</v>
      </c>
      <c r="H2797" s="18">
        <v>98.71</v>
      </c>
      <c r="I2797" s="18">
        <v>6.3683870970000003</v>
      </c>
      <c r="J2797" s="18">
        <v>6.47</v>
      </c>
      <c r="K2797" s="18">
        <v>6.32</v>
      </c>
      <c r="L2797" s="22">
        <v>8</v>
      </c>
    </row>
    <row r="2798" spans="1:12">
      <c r="A2798">
        <v>3</v>
      </c>
      <c r="B2798" s="16" t="s">
        <v>58</v>
      </c>
      <c r="C2798" s="9">
        <v>46082</v>
      </c>
      <c r="D2798">
        <v>49</v>
      </c>
      <c r="E2798" s="16" t="s">
        <v>139</v>
      </c>
      <c r="F2798" s="16" t="s">
        <v>138</v>
      </c>
      <c r="G2798" s="22">
        <v>17.5</v>
      </c>
      <c r="H2798" s="18">
        <v>111.9525</v>
      </c>
      <c r="I2798" s="18">
        <v>6.3972857139999997</v>
      </c>
      <c r="J2798" s="18">
        <v>6.49</v>
      </c>
      <c r="K2798" s="18">
        <v>6.32</v>
      </c>
      <c r="L2798" s="22">
        <v>9</v>
      </c>
    </row>
    <row r="2799" spans="1:12">
      <c r="A2799">
        <v>3</v>
      </c>
      <c r="B2799" s="16" t="s">
        <v>58</v>
      </c>
      <c r="C2799" s="9">
        <v>46113</v>
      </c>
      <c r="D2799">
        <v>49</v>
      </c>
      <c r="E2799" s="16" t="s">
        <v>139</v>
      </c>
      <c r="F2799" s="16" t="s">
        <v>138</v>
      </c>
      <c r="G2799" s="22">
        <v>20.75</v>
      </c>
      <c r="H2799" s="18">
        <v>133.1825</v>
      </c>
      <c r="I2799" s="18">
        <v>6.4184337349999998</v>
      </c>
      <c r="J2799" s="18">
        <v>6.51</v>
      </c>
      <c r="K2799" s="18">
        <v>6.33</v>
      </c>
      <c r="L2799" s="22">
        <v>8</v>
      </c>
    </row>
    <row r="2800" spans="1:12">
      <c r="A2800">
        <v>3</v>
      </c>
      <c r="B2800" s="16" t="s">
        <v>58</v>
      </c>
      <c r="C2800" s="9">
        <v>46143</v>
      </c>
      <c r="D2800">
        <v>49</v>
      </c>
      <c r="E2800" s="16" t="s">
        <v>139</v>
      </c>
      <c r="F2800" s="16" t="s">
        <v>138</v>
      </c>
      <c r="G2800" s="22">
        <v>32</v>
      </c>
      <c r="H2800" s="18">
        <v>206.18</v>
      </c>
      <c r="I2800" s="18">
        <v>6.4431250000000002</v>
      </c>
      <c r="J2800" s="18">
        <v>6.55</v>
      </c>
      <c r="K2800" s="18">
        <v>6.34</v>
      </c>
      <c r="L2800" s="22">
        <v>9</v>
      </c>
    </row>
    <row r="2801" spans="1:12">
      <c r="A2801">
        <v>3</v>
      </c>
      <c r="B2801" s="16" t="s">
        <v>58</v>
      </c>
      <c r="C2801" s="9">
        <v>46174</v>
      </c>
      <c r="D2801">
        <v>49</v>
      </c>
      <c r="E2801" s="16" t="s">
        <v>139</v>
      </c>
      <c r="F2801" s="16" t="s">
        <v>138</v>
      </c>
      <c r="G2801" s="22">
        <v>37</v>
      </c>
      <c r="H2801" s="18">
        <v>239.51499999999999</v>
      </c>
      <c r="I2801" s="18">
        <v>6.4733783779999996</v>
      </c>
      <c r="J2801" s="18">
        <v>6.54</v>
      </c>
      <c r="K2801" s="18">
        <v>6.35</v>
      </c>
      <c r="L2801" s="22">
        <v>9</v>
      </c>
    </row>
    <row r="2802" spans="1:12">
      <c r="A2802">
        <v>3</v>
      </c>
      <c r="B2802" s="16" t="s">
        <v>58</v>
      </c>
      <c r="C2802" s="9">
        <v>46204</v>
      </c>
      <c r="D2802">
        <v>49</v>
      </c>
      <c r="E2802" s="16" t="s">
        <v>139</v>
      </c>
      <c r="F2802" s="16" t="s">
        <v>138</v>
      </c>
      <c r="G2802" s="22">
        <v>34.75</v>
      </c>
      <c r="H2802" s="18">
        <v>228.82</v>
      </c>
      <c r="I2802" s="18">
        <v>6.584748201</v>
      </c>
      <c r="J2802" s="18">
        <v>6.68</v>
      </c>
      <c r="K2802" s="18">
        <v>6.48</v>
      </c>
      <c r="L2802" s="22">
        <v>9</v>
      </c>
    </row>
    <row r="2803" spans="1:12">
      <c r="A2803">
        <v>3</v>
      </c>
      <c r="B2803" s="16" t="s">
        <v>58</v>
      </c>
      <c r="C2803" s="9">
        <v>46235</v>
      </c>
      <c r="D2803">
        <v>49</v>
      </c>
      <c r="E2803" s="16" t="s">
        <v>139</v>
      </c>
      <c r="F2803" s="16" t="s">
        <v>138</v>
      </c>
      <c r="G2803" s="22">
        <v>27.25</v>
      </c>
      <c r="H2803" s="18">
        <v>177.88499999999999</v>
      </c>
      <c r="I2803" s="18">
        <v>6.5278899079999997</v>
      </c>
      <c r="J2803" s="18">
        <v>6.68</v>
      </c>
      <c r="K2803" s="18">
        <v>6.47</v>
      </c>
      <c r="L2803" s="22">
        <v>8</v>
      </c>
    </row>
    <row r="2804" spans="1:12">
      <c r="A2804">
        <v>3</v>
      </c>
      <c r="B2804" s="16" t="s">
        <v>58</v>
      </c>
      <c r="C2804" s="9">
        <v>46266</v>
      </c>
      <c r="D2804">
        <v>49</v>
      </c>
      <c r="E2804" s="16" t="s">
        <v>139</v>
      </c>
      <c r="F2804" s="16" t="s">
        <v>138</v>
      </c>
      <c r="G2804" s="22">
        <v>21.5</v>
      </c>
      <c r="H2804" s="18">
        <v>141.42500000000001</v>
      </c>
      <c r="I2804" s="18">
        <v>6.5779069769999996</v>
      </c>
      <c r="J2804" s="18">
        <v>6.73</v>
      </c>
      <c r="K2804" s="18">
        <v>6.44</v>
      </c>
      <c r="L2804" s="22">
        <v>9</v>
      </c>
    </row>
    <row r="2805" spans="1:12">
      <c r="A2805">
        <v>3</v>
      </c>
      <c r="B2805" s="16" t="s">
        <v>58</v>
      </c>
      <c r="C2805" s="9">
        <v>45689</v>
      </c>
      <c r="D2805">
        <v>50</v>
      </c>
      <c r="E2805" s="16" t="s">
        <v>140</v>
      </c>
      <c r="F2805" s="16" t="s">
        <v>138</v>
      </c>
      <c r="G2805" s="22">
        <v>14.5</v>
      </c>
      <c r="H2805" s="18">
        <v>50.305</v>
      </c>
      <c r="I2805" s="18">
        <v>3.4693103449999998</v>
      </c>
      <c r="J2805" s="18">
        <v>3.56</v>
      </c>
      <c r="K2805" s="18">
        <v>3.39</v>
      </c>
      <c r="L2805" s="22">
        <v>8</v>
      </c>
    </row>
    <row r="2806" spans="1:12">
      <c r="A2806">
        <v>3</v>
      </c>
      <c r="B2806" s="16" t="s">
        <v>58</v>
      </c>
      <c r="C2806" s="9">
        <v>45717</v>
      </c>
      <c r="D2806">
        <v>50</v>
      </c>
      <c r="E2806" s="16" t="s">
        <v>140</v>
      </c>
      <c r="F2806" s="16" t="s">
        <v>138</v>
      </c>
      <c r="G2806" s="22">
        <v>15.75</v>
      </c>
      <c r="H2806" s="18">
        <v>54.8</v>
      </c>
      <c r="I2806" s="18">
        <v>3.4793650789999999</v>
      </c>
      <c r="J2806" s="18">
        <v>3.51</v>
      </c>
      <c r="K2806" s="18">
        <v>3.45</v>
      </c>
      <c r="L2806" s="22">
        <v>8</v>
      </c>
    </row>
    <row r="2807" spans="1:12">
      <c r="A2807">
        <v>3</v>
      </c>
      <c r="B2807" s="16" t="s">
        <v>58</v>
      </c>
      <c r="C2807" s="9">
        <v>45748</v>
      </c>
      <c r="D2807">
        <v>50</v>
      </c>
      <c r="E2807" s="16" t="s">
        <v>140</v>
      </c>
      <c r="F2807" s="16" t="s">
        <v>138</v>
      </c>
      <c r="G2807" s="22">
        <v>29</v>
      </c>
      <c r="H2807" s="18">
        <v>101.2825</v>
      </c>
      <c r="I2807" s="18">
        <v>3.4925000000000002</v>
      </c>
      <c r="J2807" s="18">
        <v>3.55</v>
      </c>
      <c r="K2807" s="18">
        <v>3.44</v>
      </c>
      <c r="L2807" s="22">
        <v>9</v>
      </c>
    </row>
    <row r="2808" spans="1:12">
      <c r="A2808">
        <v>3</v>
      </c>
      <c r="B2808" s="16" t="s">
        <v>58</v>
      </c>
      <c r="C2808" s="9">
        <v>45778</v>
      </c>
      <c r="D2808">
        <v>50</v>
      </c>
      <c r="E2808" s="16" t="s">
        <v>140</v>
      </c>
      <c r="F2808" s="16" t="s">
        <v>138</v>
      </c>
      <c r="G2808" s="22">
        <v>30.5</v>
      </c>
      <c r="H2808" s="18">
        <v>107.63500000000001</v>
      </c>
      <c r="I2808" s="18">
        <v>3.529016393</v>
      </c>
      <c r="J2808" s="18">
        <v>3.6</v>
      </c>
      <c r="K2808" s="18">
        <v>3.47</v>
      </c>
      <c r="L2808" s="22">
        <v>9</v>
      </c>
    </row>
    <row r="2809" spans="1:12">
      <c r="A2809">
        <v>3</v>
      </c>
      <c r="B2809" s="16" t="s">
        <v>58</v>
      </c>
      <c r="C2809" s="9">
        <v>45809</v>
      </c>
      <c r="D2809">
        <v>50</v>
      </c>
      <c r="E2809" s="16" t="s">
        <v>140</v>
      </c>
      <c r="F2809" s="16" t="s">
        <v>138</v>
      </c>
      <c r="G2809" s="22">
        <v>38.75</v>
      </c>
      <c r="H2809" s="18">
        <v>136.85499999999999</v>
      </c>
      <c r="I2809" s="18">
        <v>3.5317419349999999</v>
      </c>
      <c r="J2809" s="18">
        <v>3.59</v>
      </c>
      <c r="K2809" s="18">
        <v>3.47</v>
      </c>
      <c r="L2809" s="22">
        <v>8</v>
      </c>
    </row>
    <row r="2810" spans="1:12">
      <c r="A2810">
        <v>3</v>
      </c>
      <c r="B2810" s="16" t="s">
        <v>58</v>
      </c>
      <c r="C2810" s="9">
        <v>45839</v>
      </c>
      <c r="D2810">
        <v>50</v>
      </c>
      <c r="E2810" s="16" t="s">
        <v>140</v>
      </c>
      <c r="F2810" s="16" t="s">
        <v>138</v>
      </c>
      <c r="G2810" s="22">
        <v>48.25</v>
      </c>
      <c r="H2810" s="18">
        <v>173.08250000000001</v>
      </c>
      <c r="I2810" s="18">
        <v>3.5872020729999998</v>
      </c>
      <c r="J2810" s="18">
        <v>3.81</v>
      </c>
      <c r="K2810" s="18">
        <v>3.49</v>
      </c>
      <c r="L2810" s="22">
        <v>9</v>
      </c>
    </row>
    <row r="2811" spans="1:12">
      <c r="A2811">
        <v>3</v>
      </c>
      <c r="B2811" s="16" t="s">
        <v>58</v>
      </c>
      <c r="C2811" s="9">
        <v>45870</v>
      </c>
      <c r="D2811">
        <v>50</v>
      </c>
      <c r="E2811" s="16" t="s">
        <v>140</v>
      </c>
      <c r="F2811" s="16" t="s">
        <v>138</v>
      </c>
      <c r="G2811" s="22">
        <v>49</v>
      </c>
      <c r="H2811" s="18">
        <v>175.35249999999999</v>
      </c>
      <c r="I2811" s="18">
        <v>3.578622449</v>
      </c>
      <c r="J2811" s="18">
        <v>3.64</v>
      </c>
      <c r="K2811" s="18">
        <v>3.54</v>
      </c>
      <c r="L2811" s="22">
        <v>9</v>
      </c>
    </row>
    <row r="2812" spans="1:12">
      <c r="A2812">
        <v>3</v>
      </c>
      <c r="B2812" s="16" t="s">
        <v>58</v>
      </c>
      <c r="C2812" s="9">
        <v>45901</v>
      </c>
      <c r="D2812">
        <v>50</v>
      </c>
      <c r="E2812" s="16" t="s">
        <v>140</v>
      </c>
      <c r="F2812" s="16" t="s">
        <v>138</v>
      </c>
      <c r="G2812" s="22">
        <v>29.75</v>
      </c>
      <c r="H2812" s="18">
        <v>106.89</v>
      </c>
      <c r="I2812" s="18">
        <v>3.5929411760000001</v>
      </c>
      <c r="J2812" s="18">
        <v>3.66</v>
      </c>
      <c r="K2812" s="18">
        <v>3.55</v>
      </c>
      <c r="L2812" s="22">
        <v>9</v>
      </c>
    </row>
    <row r="2813" spans="1:12">
      <c r="A2813">
        <v>3</v>
      </c>
      <c r="B2813" s="16" t="s">
        <v>58</v>
      </c>
      <c r="C2813" s="9">
        <v>45931</v>
      </c>
      <c r="D2813">
        <v>50</v>
      </c>
      <c r="E2813" s="16" t="s">
        <v>140</v>
      </c>
      <c r="F2813" s="16" t="s">
        <v>138</v>
      </c>
      <c r="G2813" s="22">
        <v>20.75</v>
      </c>
      <c r="H2813" s="18">
        <v>75.042500000000004</v>
      </c>
      <c r="I2813" s="18">
        <v>3.616506024</v>
      </c>
      <c r="J2813" s="18">
        <v>3.67</v>
      </c>
      <c r="K2813" s="18">
        <v>3.57</v>
      </c>
      <c r="L2813" s="22">
        <v>9</v>
      </c>
    </row>
    <row r="2814" spans="1:12">
      <c r="A2814">
        <v>3</v>
      </c>
      <c r="B2814" s="16" t="s">
        <v>58</v>
      </c>
      <c r="C2814" s="9">
        <v>45962</v>
      </c>
      <c r="D2814">
        <v>50</v>
      </c>
      <c r="E2814" s="16" t="s">
        <v>140</v>
      </c>
      <c r="F2814" s="16" t="s">
        <v>138</v>
      </c>
      <c r="G2814" s="22">
        <v>13.5</v>
      </c>
      <c r="H2814" s="18">
        <v>51.697499999999998</v>
      </c>
      <c r="I2814" s="18">
        <v>3.8294444439999999</v>
      </c>
      <c r="J2814" s="18">
        <v>4.0999999999999996</v>
      </c>
      <c r="K2814" s="18">
        <v>3.59</v>
      </c>
      <c r="L2814" s="22">
        <v>8</v>
      </c>
    </row>
    <row r="2815" spans="1:12">
      <c r="A2815">
        <v>3</v>
      </c>
      <c r="B2815" s="16" t="s">
        <v>58</v>
      </c>
      <c r="C2815" s="9">
        <v>45992</v>
      </c>
      <c r="D2815">
        <v>50</v>
      </c>
      <c r="E2815" s="16" t="s">
        <v>140</v>
      </c>
      <c r="F2815" s="16" t="s">
        <v>138</v>
      </c>
      <c r="G2815" s="22">
        <v>11.25</v>
      </c>
      <c r="H2815" s="18">
        <v>45.7</v>
      </c>
      <c r="I2815" s="18">
        <v>4.0622222219999999</v>
      </c>
      <c r="J2815" s="18">
        <v>4.12</v>
      </c>
      <c r="K2815" s="18">
        <v>3.97</v>
      </c>
      <c r="L2815" s="22">
        <v>8</v>
      </c>
    </row>
    <row r="2816" spans="1:12">
      <c r="A2816">
        <v>3</v>
      </c>
      <c r="B2816" s="16" t="s">
        <v>58</v>
      </c>
      <c r="C2816" s="9">
        <v>46023</v>
      </c>
      <c r="D2816">
        <v>50</v>
      </c>
      <c r="E2816" s="16" t="s">
        <v>140</v>
      </c>
      <c r="F2816" s="16" t="s">
        <v>138</v>
      </c>
      <c r="G2816" s="22">
        <v>15.5</v>
      </c>
      <c r="H2816" s="18">
        <v>56.375</v>
      </c>
      <c r="I2816" s="18">
        <v>3.6370967740000002</v>
      </c>
      <c r="J2816" s="18">
        <v>3.68</v>
      </c>
      <c r="K2816" s="18">
        <v>3.56</v>
      </c>
      <c r="L2816" s="22">
        <v>9</v>
      </c>
    </row>
    <row r="2817" spans="1:12">
      <c r="A2817">
        <v>3</v>
      </c>
      <c r="B2817" s="16" t="s">
        <v>58</v>
      </c>
      <c r="C2817" s="9">
        <v>46054</v>
      </c>
      <c r="D2817">
        <v>50</v>
      </c>
      <c r="E2817" s="16" t="s">
        <v>140</v>
      </c>
      <c r="F2817" s="16" t="s">
        <v>138</v>
      </c>
      <c r="G2817" s="22">
        <v>15.5</v>
      </c>
      <c r="H2817" s="18">
        <v>56.247500000000002</v>
      </c>
      <c r="I2817" s="18">
        <v>3.6288709680000002</v>
      </c>
      <c r="J2817" s="18">
        <v>3.67</v>
      </c>
      <c r="K2817" s="18">
        <v>3.59</v>
      </c>
      <c r="L2817" s="22">
        <v>8</v>
      </c>
    </row>
    <row r="2818" spans="1:12">
      <c r="A2818">
        <v>3</v>
      </c>
      <c r="B2818" s="16" t="s">
        <v>58</v>
      </c>
      <c r="C2818" s="9">
        <v>46082</v>
      </c>
      <c r="D2818">
        <v>50</v>
      </c>
      <c r="E2818" s="16" t="s">
        <v>140</v>
      </c>
      <c r="F2818" s="16" t="s">
        <v>138</v>
      </c>
      <c r="G2818" s="22">
        <v>17.25</v>
      </c>
      <c r="H2818" s="18">
        <v>62.65</v>
      </c>
      <c r="I2818" s="18">
        <v>3.6318840579999998</v>
      </c>
      <c r="J2818" s="18">
        <v>3.72</v>
      </c>
      <c r="K2818" s="18">
        <v>3.53</v>
      </c>
      <c r="L2818" s="22">
        <v>9</v>
      </c>
    </row>
    <row r="2819" spans="1:12">
      <c r="A2819">
        <v>3</v>
      </c>
      <c r="B2819" s="16" t="s">
        <v>58</v>
      </c>
      <c r="C2819" s="9">
        <v>46113</v>
      </c>
      <c r="D2819">
        <v>50</v>
      </c>
      <c r="E2819" s="16" t="s">
        <v>140</v>
      </c>
      <c r="F2819" s="16" t="s">
        <v>138</v>
      </c>
      <c r="G2819" s="22">
        <v>20.75</v>
      </c>
      <c r="H2819" s="18">
        <v>77.502499999999998</v>
      </c>
      <c r="I2819" s="18">
        <v>3.7350602409999998</v>
      </c>
      <c r="J2819" s="18">
        <v>3.85</v>
      </c>
      <c r="K2819" s="18">
        <v>3.61</v>
      </c>
      <c r="L2819" s="22">
        <v>8</v>
      </c>
    </row>
    <row r="2820" spans="1:12">
      <c r="A2820">
        <v>3</v>
      </c>
      <c r="B2820" s="16" t="s">
        <v>58</v>
      </c>
      <c r="C2820" s="9">
        <v>46143</v>
      </c>
      <c r="D2820">
        <v>50</v>
      </c>
      <c r="E2820" s="16" t="s">
        <v>140</v>
      </c>
      <c r="F2820" s="16" t="s">
        <v>138</v>
      </c>
      <c r="G2820" s="22">
        <v>31.5</v>
      </c>
      <c r="H2820" s="18">
        <v>118.145</v>
      </c>
      <c r="I2820" s="18">
        <v>3.7506349210000001</v>
      </c>
      <c r="J2820" s="18">
        <v>3.82</v>
      </c>
      <c r="K2820" s="18">
        <v>3.7</v>
      </c>
      <c r="L2820" s="22">
        <v>9</v>
      </c>
    </row>
    <row r="2821" spans="1:12">
      <c r="A2821">
        <v>3</v>
      </c>
      <c r="B2821" s="16" t="s">
        <v>58</v>
      </c>
      <c r="C2821" s="9">
        <v>46174</v>
      </c>
      <c r="D2821">
        <v>50</v>
      </c>
      <c r="E2821" s="16" t="s">
        <v>140</v>
      </c>
      <c r="F2821" s="16" t="s">
        <v>138</v>
      </c>
      <c r="G2821" s="22">
        <v>36.5</v>
      </c>
      <c r="H2821" s="18">
        <v>136.565</v>
      </c>
      <c r="I2821" s="18">
        <v>3.7415068489999999</v>
      </c>
      <c r="J2821" s="18">
        <v>3.82</v>
      </c>
      <c r="K2821" s="18">
        <v>3.69</v>
      </c>
      <c r="L2821" s="22">
        <v>9</v>
      </c>
    </row>
    <row r="2822" spans="1:12">
      <c r="A2822">
        <v>3</v>
      </c>
      <c r="B2822" s="16" t="s">
        <v>58</v>
      </c>
      <c r="C2822" s="9">
        <v>46204</v>
      </c>
      <c r="D2822">
        <v>50</v>
      </c>
      <c r="E2822" s="16" t="s">
        <v>140</v>
      </c>
      <c r="F2822" s="16" t="s">
        <v>138</v>
      </c>
      <c r="G2822" s="22">
        <v>34</v>
      </c>
      <c r="H2822" s="18">
        <v>128.76499999999999</v>
      </c>
      <c r="I2822" s="18">
        <v>3.7872058819999999</v>
      </c>
      <c r="J2822" s="18">
        <v>3.87</v>
      </c>
      <c r="K2822" s="18">
        <v>3.67</v>
      </c>
      <c r="L2822" s="22">
        <v>9</v>
      </c>
    </row>
    <row r="2823" spans="1:12">
      <c r="A2823">
        <v>3</v>
      </c>
      <c r="B2823" s="16" t="s">
        <v>58</v>
      </c>
      <c r="C2823" s="9">
        <v>46235</v>
      </c>
      <c r="D2823">
        <v>50</v>
      </c>
      <c r="E2823" s="16" t="s">
        <v>140</v>
      </c>
      <c r="F2823" s="16" t="s">
        <v>138</v>
      </c>
      <c r="G2823" s="22">
        <v>27.5</v>
      </c>
      <c r="H2823" s="18">
        <v>104.2625</v>
      </c>
      <c r="I2823" s="18">
        <v>3.7913636359999998</v>
      </c>
      <c r="J2823" s="18">
        <v>3.87</v>
      </c>
      <c r="K2823" s="18">
        <v>3.76</v>
      </c>
      <c r="L2823" s="22">
        <v>8</v>
      </c>
    </row>
    <row r="2824" spans="1:12">
      <c r="A2824">
        <v>3</v>
      </c>
      <c r="B2824" s="16" t="s">
        <v>58</v>
      </c>
      <c r="C2824" s="9">
        <v>46266</v>
      </c>
      <c r="D2824">
        <v>50</v>
      </c>
      <c r="E2824" s="16" t="s">
        <v>140</v>
      </c>
      <c r="F2824" s="16" t="s">
        <v>138</v>
      </c>
      <c r="G2824" s="22">
        <v>21.25</v>
      </c>
      <c r="H2824" s="18">
        <v>80.692499999999995</v>
      </c>
      <c r="I2824" s="18">
        <v>3.7972941179999999</v>
      </c>
      <c r="J2824" s="18">
        <v>3.86</v>
      </c>
      <c r="K2824" s="18">
        <v>3.72</v>
      </c>
      <c r="L2824" s="22">
        <v>9</v>
      </c>
    </row>
    <row r="2825" spans="1:12">
      <c r="A2825">
        <v>3</v>
      </c>
      <c r="B2825" s="16" t="s">
        <v>58</v>
      </c>
      <c r="C2825" s="9">
        <v>45689</v>
      </c>
      <c r="D2825">
        <v>51</v>
      </c>
      <c r="E2825" s="16" t="s">
        <v>141</v>
      </c>
      <c r="F2825" s="16" t="s">
        <v>81</v>
      </c>
      <c r="G2825" s="22">
        <v>4</v>
      </c>
      <c r="H2825" s="18">
        <v>12.5</v>
      </c>
      <c r="I2825" s="18">
        <v>3.125</v>
      </c>
      <c r="J2825" s="18">
        <v>3.16</v>
      </c>
      <c r="K2825" s="18">
        <v>3.09</v>
      </c>
      <c r="L2825" s="22">
        <v>2</v>
      </c>
    </row>
    <row r="2826" spans="1:12">
      <c r="A2826">
        <v>3</v>
      </c>
      <c r="B2826" s="16" t="s">
        <v>58</v>
      </c>
      <c r="C2826" s="9">
        <v>45717</v>
      </c>
      <c r="D2826">
        <v>51</v>
      </c>
      <c r="E2826" s="16" t="s">
        <v>141</v>
      </c>
      <c r="F2826" s="16" t="s">
        <v>81</v>
      </c>
      <c r="G2826" s="22">
        <v>4</v>
      </c>
      <c r="H2826" s="18">
        <v>12.6</v>
      </c>
      <c r="I2826" s="18">
        <v>3.15</v>
      </c>
      <c r="J2826" s="18">
        <v>3.15</v>
      </c>
      <c r="K2826" s="18">
        <v>3.15</v>
      </c>
      <c r="L2826" s="22">
        <v>2</v>
      </c>
    </row>
    <row r="2827" spans="1:12">
      <c r="A2827">
        <v>3</v>
      </c>
      <c r="B2827" s="16" t="s">
        <v>58</v>
      </c>
      <c r="C2827" s="9">
        <v>45748</v>
      </c>
      <c r="D2827">
        <v>51</v>
      </c>
      <c r="E2827" s="16" t="s">
        <v>141</v>
      </c>
      <c r="F2827" s="16" t="s">
        <v>81</v>
      </c>
      <c r="G2827" s="22">
        <v>4</v>
      </c>
      <c r="H2827" s="18">
        <v>12.44</v>
      </c>
      <c r="I2827" s="18">
        <v>3.11</v>
      </c>
      <c r="J2827" s="18">
        <v>3.12</v>
      </c>
      <c r="K2827" s="18">
        <v>3.1</v>
      </c>
      <c r="L2827" s="22">
        <v>2</v>
      </c>
    </row>
    <row r="2828" spans="1:12">
      <c r="A2828">
        <v>3</v>
      </c>
      <c r="B2828" s="16" t="s">
        <v>58</v>
      </c>
      <c r="C2828" s="9">
        <v>45778</v>
      </c>
      <c r="D2828">
        <v>51</v>
      </c>
      <c r="E2828" s="16" t="s">
        <v>141</v>
      </c>
      <c r="F2828" s="16" t="s">
        <v>81</v>
      </c>
      <c r="G2828" s="22">
        <v>4</v>
      </c>
      <c r="H2828" s="18">
        <v>12.38</v>
      </c>
      <c r="I2828" s="18">
        <v>3.0950000000000002</v>
      </c>
      <c r="J2828" s="18">
        <v>3.1</v>
      </c>
      <c r="K2828" s="18">
        <v>3.09</v>
      </c>
      <c r="L2828" s="22">
        <v>2</v>
      </c>
    </row>
    <row r="2829" spans="1:12">
      <c r="A2829">
        <v>3</v>
      </c>
      <c r="B2829" s="16" t="s">
        <v>58</v>
      </c>
      <c r="C2829" s="9">
        <v>45809</v>
      </c>
      <c r="D2829">
        <v>51</v>
      </c>
      <c r="E2829" s="16" t="s">
        <v>141</v>
      </c>
      <c r="F2829" s="16" t="s">
        <v>81</v>
      </c>
      <c r="G2829" s="22">
        <v>4</v>
      </c>
      <c r="H2829" s="18">
        <v>12.52</v>
      </c>
      <c r="I2829" s="18">
        <v>3.13</v>
      </c>
      <c r="J2829" s="18">
        <v>3.13</v>
      </c>
      <c r="K2829" s="18">
        <v>3.13</v>
      </c>
      <c r="L2829" s="22">
        <v>1</v>
      </c>
    </row>
    <row r="2830" spans="1:12">
      <c r="A2830">
        <v>3</v>
      </c>
      <c r="B2830" s="16" t="s">
        <v>58</v>
      </c>
      <c r="C2830" s="9">
        <v>45839</v>
      </c>
      <c r="D2830">
        <v>51</v>
      </c>
      <c r="E2830" s="16" t="s">
        <v>141</v>
      </c>
      <c r="F2830" s="16" t="s">
        <v>81</v>
      </c>
      <c r="G2830" s="22">
        <v>6</v>
      </c>
      <c r="H2830" s="18">
        <v>18.5</v>
      </c>
      <c r="I2830" s="18">
        <v>3.0833333330000001</v>
      </c>
      <c r="J2830" s="18">
        <v>3.17</v>
      </c>
      <c r="K2830" s="18">
        <v>3.02</v>
      </c>
      <c r="L2830" s="22">
        <v>3</v>
      </c>
    </row>
    <row r="2831" spans="1:12">
      <c r="A2831">
        <v>3</v>
      </c>
      <c r="B2831" s="16" t="s">
        <v>58</v>
      </c>
      <c r="C2831" s="9">
        <v>45870</v>
      </c>
      <c r="D2831">
        <v>51</v>
      </c>
      <c r="E2831" s="16" t="s">
        <v>141</v>
      </c>
      <c r="F2831" s="16" t="s">
        <v>81</v>
      </c>
      <c r="G2831" s="22">
        <v>4</v>
      </c>
      <c r="H2831" s="18">
        <v>12.3</v>
      </c>
      <c r="I2831" s="18">
        <v>3.0750000000000002</v>
      </c>
      <c r="J2831" s="18">
        <v>3.09</v>
      </c>
      <c r="K2831" s="18">
        <v>3.06</v>
      </c>
      <c r="L2831" s="22">
        <v>2</v>
      </c>
    </row>
    <row r="2832" spans="1:12">
      <c r="A2832">
        <v>3</v>
      </c>
      <c r="B2832" s="16" t="s">
        <v>58</v>
      </c>
      <c r="C2832" s="9">
        <v>45901</v>
      </c>
      <c r="D2832">
        <v>51</v>
      </c>
      <c r="E2832" s="16" t="s">
        <v>141</v>
      </c>
      <c r="F2832" s="16" t="s">
        <v>81</v>
      </c>
      <c r="G2832" s="22">
        <v>4</v>
      </c>
      <c r="H2832" s="18">
        <v>12.42</v>
      </c>
      <c r="I2832" s="18">
        <v>3.105</v>
      </c>
      <c r="J2832" s="18">
        <v>3.12</v>
      </c>
      <c r="K2832" s="18">
        <v>3.09</v>
      </c>
      <c r="L2832" s="22">
        <v>2</v>
      </c>
    </row>
    <row r="2833" spans="1:12">
      <c r="A2833">
        <v>3</v>
      </c>
      <c r="B2833" s="16" t="s">
        <v>58</v>
      </c>
      <c r="C2833" s="9">
        <v>45931</v>
      </c>
      <c r="D2833">
        <v>51</v>
      </c>
      <c r="E2833" s="16" t="s">
        <v>141</v>
      </c>
      <c r="F2833" s="16" t="s">
        <v>81</v>
      </c>
      <c r="G2833" s="22">
        <v>4</v>
      </c>
      <c r="H2833" s="18">
        <v>12.5</v>
      </c>
      <c r="I2833" s="18">
        <v>3.125</v>
      </c>
      <c r="J2833" s="18">
        <v>3.14</v>
      </c>
      <c r="K2833" s="18">
        <v>3.11</v>
      </c>
      <c r="L2833" s="22">
        <v>2</v>
      </c>
    </row>
    <row r="2834" spans="1:12">
      <c r="A2834">
        <v>3</v>
      </c>
      <c r="B2834" s="16" t="s">
        <v>58</v>
      </c>
      <c r="C2834" s="9">
        <v>45962</v>
      </c>
      <c r="D2834">
        <v>51</v>
      </c>
      <c r="E2834" s="16" t="s">
        <v>141</v>
      </c>
      <c r="F2834" s="16" t="s">
        <v>81</v>
      </c>
      <c r="G2834" s="22">
        <v>4</v>
      </c>
      <c r="H2834" s="18">
        <v>12.64</v>
      </c>
      <c r="I2834" s="18">
        <v>3.16</v>
      </c>
      <c r="J2834" s="18">
        <v>3.2</v>
      </c>
      <c r="K2834" s="18">
        <v>3.12</v>
      </c>
      <c r="L2834" s="22">
        <v>2</v>
      </c>
    </row>
    <row r="2835" spans="1:12">
      <c r="A2835">
        <v>3</v>
      </c>
      <c r="B2835" s="16" t="s">
        <v>58</v>
      </c>
      <c r="C2835" s="9">
        <v>45992</v>
      </c>
      <c r="D2835">
        <v>51</v>
      </c>
      <c r="E2835" s="16" t="s">
        <v>141</v>
      </c>
      <c r="F2835" s="16" t="s">
        <v>81</v>
      </c>
      <c r="G2835" s="22">
        <v>6</v>
      </c>
      <c r="H2835" s="18">
        <v>18.78</v>
      </c>
      <c r="I2835" s="18">
        <v>3.13</v>
      </c>
      <c r="J2835" s="18">
        <v>3.16</v>
      </c>
      <c r="K2835" s="18">
        <v>3.09</v>
      </c>
      <c r="L2835" s="22">
        <v>3</v>
      </c>
    </row>
    <row r="2836" spans="1:12">
      <c r="A2836">
        <v>3</v>
      </c>
      <c r="B2836" s="16" t="s">
        <v>58</v>
      </c>
      <c r="C2836" s="9">
        <v>46023</v>
      </c>
      <c r="D2836">
        <v>51</v>
      </c>
      <c r="E2836" s="16" t="s">
        <v>141</v>
      </c>
      <c r="F2836" s="16" t="s">
        <v>81</v>
      </c>
      <c r="G2836" s="22">
        <v>4</v>
      </c>
      <c r="H2836" s="18">
        <v>12.74</v>
      </c>
      <c r="I2836" s="18">
        <v>3.1850000000000001</v>
      </c>
      <c r="J2836" s="18">
        <v>3.24</v>
      </c>
      <c r="K2836" s="18">
        <v>3.13</v>
      </c>
      <c r="L2836" s="22">
        <v>2</v>
      </c>
    </row>
    <row r="2837" spans="1:12">
      <c r="A2837">
        <v>3</v>
      </c>
      <c r="B2837" s="16" t="s">
        <v>58</v>
      </c>
      <c r="C2837" s="9">
        <v>46054</v>
      </c>
      <c r="D2837">
        <v>51</v>
      </c>
      <c r="E2837" s="16" t="s">
        <v>141</v>
      </c>
      <c r="F2837" s="16" t="s">
        <v>81</v>
      </c>
      <c r="G2837" s="22">
        <v>4</v>
      </c>
      <c r="H2837" s="18">
        <v>12.66</v>
      </c>
      <c r="I2837" s="18">
        <v>3.165</v>
      </c>
      <c r="J2837" s="18">
        <v>3.21</v>
      </c>
      <c r="K2837" s="18">
        <v>3.12</v>
      </c>
      <c r="L2837" s="22">
        <v>2</v>
      </c>
    </row>
    <row r="2838" spans="1:12">
      <c r="A2838">
        <v>3</v>
      </c>
      <c r="B2838" s="16" t="s">
        <v>58</v>
      </c>
      <c r="C2838" s="9">
        <v>46082</v>
      </c>
      <c r="D2838">
        <v>51</v>
      </c>
      <c r="E2838" s="16" t="s">
        <v>141</v>
      </c>
      <c r="F2838" s="16" t="s">
        <v>81</v>
      </c>
      <c r="G2838" s="22">
        <v>2</v>
      </c>
      <c r="H2838" s="18">
        <v>6.3</v>
      </c>
      <c r="I2838" s="18">
        <v>3.15</v>
      </c>
      <c r="J2838" s="18">
        <v>3.15</v>
      </c>
      <c r="K2838" s="18">
        <v>3.15</v>
      </c>
      <c r="L2838" s="22">
        <v>1</v>
      </c>
    </row>
    <row r="2839" spans="1:12">
      <c r="A2839">
        <v>3</v>
      </c>
      <c r="B2839" s="16" t="s">
        <v>58</v>
      </c>
      <c r="C2839" s="9">
        <v>46113</v>
      </c>
      <c r="D2839">
        <v>51</v>
      </c>
      <c r="E2839" s="16" t="s">
        <v>141</v>
      </c>
      <c r="F2839" s="16" t="s">
        <v>81</v>
      </c>
      <c r="G2839" s="22">
        <v>4</v>
      </c>
      <c r="H2839" s="18">
        <v>12.92</v>
      </c>
      <c r="I2839" s="18">
        <v>3.23</v>
      </c>
      <c r="J2839" s="18">
        <v>3.26</v>
      </c>
      <c r="K2839" s="18">
        <v>3.2</v>
      </c>
      <c r="L2839" s="22">
        <v>2</v>
      </c>
    </row>
    <row r="2840" spans="1:12">
      <c r="A2840">
        <v>3</v>
      </c>
      <c r="B2840" s="16" t="s">
        <v>58</v>
      </c>
      <c r="C2840" s="9">
        <v>46143</v>
      </c>
      <c r="D2840">
        <v>51</v>
      </c>
      <c r="E2840" s="16" t="s">
        <v>141</v>
      </c>
      <c r="F2840" s="16" t="s">
        <v>81</v>
      </c>
      <c r="G2840" s="22">
        <v>4</v>
      </c>
      <c r="H2840" s="18">
        <v>12.96</v>
      </c>
      <c r="I2840" s="18">
        <v>3.24</v>
      </c>
      <c r="J2840" s="18">
        <v>3.3</v>
      </c>
      <c r="K2840" s="18">
        <v>3.18</v>
      </c>
      <c r="L2840" s="22">
        <v>2</v>
      </c>
    </row>
    <row r="2841" spans="1:12">
      <c r="A2841">
        <v>3</v>
      </c>
      <c r="B2841" s="16" t="s">
        <v>58</v>
      </c>
      <c r="C2841" s="9">
        <v>46174</v>
      </c>
      <c r="D2841">
        <v>51</v>
      </c>
      <c r="E2841" s="16" t="s">
        <v>141</v>
      </c>
      <c r="F2841" s="16" t="s">
        <v>81</v>
      </c>
      <c r="G2841" s="22">
        <v>4</v>
      </c>
      <c r="H2841" s="18">
        <v>12.88</v>
      </c>
      <c r="I2841" s="18">
        <v>3.22</v>
      </c>
      <c r="J2841" s="18">
        <v>3.22</v>
      </c>
      <c r="K2841" s="18">
        <v>3.22</v>
      </c>
      <c r="L2841" s="22">
        <v>1</v>
      </c>
    </row>
    <row r="2842" spans="1:12">
      <c r="A2842">
        <v>3</v>
      </c>
      <c r="B2842" s="16" t="s">
        <v>58</v>
      </c>
      <c r="C2842" s="9">
        <v>46204</v>
      </c>
      <c r="D2842">
        <v>51</v>
      </c>
      <c r="E2842" s="16" t="s">
        <v>141</v>
      </c>
      <c r="F2842" s="16" t="s">
        <v>81</v>
      </c>
      <c r="G2842" s="22">
        <v>4</v>
      </c>
      <c r="H2842" s="18">
        <v>13.16</v>
      </c>
      <c r="I2842" s="18">
        <v>3.29</v>
      </c>
      <c r="J2842" s="18">
        <v>3.3</v>
      </c>
      <c r="K2842" s="18">
        <v>3.28</v>
      </c>
      <c r="L2842" s="22">
        <v>2</v>
      </c>
    </row>
    <row r="2843" spans="1:12">
      <c r="A2843">
        <v>3</v>
      </c>
      <c r="B2843" s="16" t="s">
        <v>58</v>
      </c>
      <c r="C2843" s="9">
        <v>46235</v>
      </c>
      <c r="D2843">
        <v>51</v>
      </c>
      <c r="E2843" s="16" t="s">
        <v>141</v>
      </c>
      <c r="F2843" s="16" t="s">
        <v>81</v>
      </c>
      <c r="G2843" s="22">
        <v>4</v>
      </c>
      <c r="H2843" s="18">
        <v>12.98</v>
      </c>
      <c r="I2843" s="18">
        <v>3.2450000000000001</v>
      </c>
      <c r="J2843" s="18">
        <v>3.25</v>
      </c>
      <c r="K2843" s="18">
        <v>3.24</v>
      </c>
      <c r="L2843" s="22">
        <v>2</v>
      </c>
    </row>
    <row r="2844" spans="1:12">
      <c r="A2844">
        <v>3</v>
      </c>
      <c r="B2844" s="16" t="s">
        <v>58</v>
      </c>
      <c r="C2844" s="9">
        <v>46266</v>
      </c>
      <c r="D2844">
        <v>51</v>
      </c>
      <c r="E2844" s="16" t="s">
        <v>141</v>
      </c>
      <c r="F2844" s="16" t="s">
        <v>81</v>
      </c>
      <c r="G2844" s="22">
        <v>2</v>
      </c>
      <c r="H2844" s="18">
        <v>6.62</v>
      </c>
      <c r="I2844" s="18">
        <v>3.31</v>
      </c>
      <c r="J2844" s="18">
        <v>3.31</v>
      </c>
      <c r="K2844" s="18">
        <v>3.31</v>
      </c>
      <c r="L2844" s="22">
        <v>1</v>
      </c>
    </row>
    <row r="2845" spans="1:12">
      <c r="A2845">
        <v>3</v>
      </c>
      <c r="B2845" s="16" t="s">
        <v>58</v>
      </c>
      <c r="C2845" s="9">
        <v>45717</v>
      </c>
      <c r="D2845">
        <v>52</v>
      </c>
      <c r="E2845" s="16" t="s">
        <v>142</v>
      </c>
      <c r="F2845" s="16" t="s">
        <v>108</v>
      </c>
      <c r="G2845" s="22">
        <v>6</v>
      </c>
      <c r="H2845" s="18">
        <v>7.38</v>
      </c>
      <c r="I2845" s="18">
        <v>1.23</v>
      </c>
      <c r="J2845" s="18">
        <v>1.23</v>
      </c>
      <c r="K2845" s="18">
        <v>1.23</v>
      </c>
      <c r="L2845" s="22">
        <v>1</v>
      </c>
    </row>
    <row r="2846" spans="1:12">
      <c r="A2846">
        <v>3</v>
      </c>
      <c r="B2846" s="16" t="s">
        <v>58</v>
      </c>
      <c r="C2846" s="9">
        <v>45748</v>
      </c>
      <c r="D2846">
        <v>52</v>
      </c>
      <c r="E2846" s="16" t="s">
        <v>142</v>
      </c>
      <c r="F2846" s="16" t="s">
        <v>108</v>
      </c>
      <c r="G2846" s="22">
        <v>6</v>
      </c>
      <c r="H2846" s="18">
        <v>7.44</v>
      </c>
      <c r="I2846" s="18">
        <v>1.24</v>
      </c>
      <c r="J2846" s="18">
        <v>1.24</v>
      </c>
      <c r="K2846" s="18">
        <v>1.24</v>
      </c>
      <c r="L2846" s="22">
        <v>1</v>
      </c>
    </row>
    <row r="2847" spans="1:12">
      <c r="A2847">
        <v>3</v>
      </c>
      <c r="B2847" s="16" t="s">
        <v>58</v>
      </c>
      <c r="C2847" s="9">
        <v>45778</v>
      </c>
      <c r="D2847">
        <v>52</v>
      </c>
      <c r="E2847" s="16" t="s">
        <v>142</v>
      </c>
      <c r="F2847" s="16" t="s">
        <v>108</v>
      </c>
      <c r="G2847" s="22">
        <v>6</v>
      </c>
      <c r="H2847" s="18">
        <v>7.32</v>
      </c>
      <c r="I2847" s="18">
        <v>1.22</v>
      </c>
      <c r="J2847" s="18">
        <v>1.22</v>
      </c>
      <c r="K2847" s="18">
        <v>1.22</v>
      </c>
      <c r="L2847" s="22">
        <v>1</v>
      </c>
    </row>
    <row r="2848" spans="1:12">
      <c r="A2848">
        <v>3</v>
      </c>
      <c r="B2848" s="16" t="s">
        <v>58</v>
      </c>
      <c r="C2848" s="9">
        <v>45809</v>
      </c>
      <c r="D2848">
        <v>52</v>
      </c>
      <c r="E2848" s="16" t="s">
        <v>142</v>
      </c>
      <c r="F2848" s="16" t="s">
        <v>108</v>
      </c>
      <c r="G2848" s="22">
        <v>6</v>
      </c>
      <c r="H2848" s="18">
        <v>7.26</v>
      </c>
      <c r="I2848" s="18">
        <v>1.21</v>
      </c>
      <c r="J2848" s="18">
        <v>1.21</v>
      </c>
      <c r="K2848" s="18">
        <v>1.21</v>
      </c>
      <c r="L2848" s="22">
        <v>1</v>
      </c>
    </row>
    <row r="2849" spans="1:12">
      <c r="A2849">
        <v>3</v>
      </c>
      <c r="B2849" s="16" t="s">
        <v>58</v>
      </c>
      <c r="C2849" s="9">
        <v>45839</v>
      </c>
      <c r="D2849">
        <v>52</v>
      </c>
      <c r="E2849" s="16" t="s">
        <v>142</v>
      </c>
      <c r="F2849" s="16" t="s">
        <v>108</v>
      </c>
      <c r="G2849" s="22">
        <v>6</v>
      </c>
      <c r="H2849" s="18">
        <v>7.26</v>
      </c>
      <c r="I2849" s="18">
        <v>1.21</v>
      </c>
      <c r="J2849" s="18">
        <v>1.21</v>
      </c>
      <c r="K2849" s="18">
        <v>1.21</v>
      </c>
      <c r="L2849" s="22">
        <v>1</v>
      </c>
    </row>
    <row r="2850" spans="1:12">
      <c r="A2850">
        <v>3</v>
      </c>
      <c r="B2850" s="16" t="s">
        <v>58</v>
      </c>
      <c r="C2850" s="9">
        <v>45870</v>
      </c>
      <c r="D2850">
        <v>52</v>
      </c>
      <c r="E2850" s="16" t="s">
        <v>142</v>
      </c>
      <c r="F2850" s="16" t="s">
        <v>108</v>
      </c>
      <c r="G2850" s="22">
        <v>6</v>
      </c>
      <c r="H2850" s="18">
        <v>7.26</v>
      </c>
      <c r="I2850" s="18">
        <v>1.21</v>
      </c>
      <c r="J2850" s="18">
        <v>1.21</v>
      </c>
      <c r="K2850" s="18">
        <v>1.21</v>
      </c>
      <c r="L2850" s="22">
        <v>1</v>
      </c>
    </row>
    <row r="2851" spans="1:12">
      <c r="A2851">
        <v>3</v>
      </c>
      <c r="B2851" s="16" t="s">
        <v>58</v>
      </c>
      <c r="C2851" s="9">
        <v>45901</v>
      </c>
      <c r="D2851">
        <v>52</v>
      </c>
      <c r="E2851" s="16" t="s">
        <v>142</v>
      </c>
      <c r="F2851" s="16" t="s">
        <v>108</v>
      </c>
      <c r="G2851" s="22">
        <v>6</v>
      </c>
      <c r="H2851" s="18">
        <v>7.26</v>
      </c>
      <c r="I2851" s="18">
        <v>1.21</v>
      </c>
      <c r="J2851" s="18">
        <v>1.21</v>
      </c>
      <c r="K2851" s="18">
        <v>1.21</v>
      </c>
      <c r="L2851" s="22">
        <v>1</v>
      </c>
    </row>
    <row r="2852" spans="1:12">
      <c r="A2852">
        <v>3</v>
      </c>
      <c r="B2852" s="16" t="s">
        <v>58</v>
      </c>
      <c r="C2852" s="9">
        <v>45962</v>
      </c>
      <c r="D2852">
        <v>52</v>
      </c>
      <c r="E2852" s="16" t="s">
        <v>142</v>
      </c>
      <c r="F2852" s="16" t="s">
        <v>108</v>
      </c>
      <c r="G2852" s="22">
        <v>6</v>
      </c>
      <c r="H2852" s="18">
        <v>7.14</v>
      </c>
      <c r="I2852" s="18">
        <v>1.19</v>
      </c>
      <c r="J2852" s="18">
        <v>1.19</v>
      </c>
      <c r="K2852" s="18">
        <v>1.19</v>
      </c>
      <c r="L2852" s="22">
        <v>1</v>
      </c>
    </row>
    <row r="2853" spans="1:12">
      <c r="A2853">
        <v>3</v>
      </c>
      <c r="B2853" s="16" t="s">
        <v>58</v>
      </c>
      <c r="C2853" s="9">
        <v>45992</v>
      </c>
      <c r="D2853">
        <v>52</v>
      </c>
      <c r="E2853" s="16" t="s">
        <v>142</v>
      </c>
      <c r="F2853" s="16" t="s">
        <v>108</v>
      </c>
      <c r="G2853" s="22">
        <v>6</v>
      </c>
      <c r="H2853" s="18">
        <v>7.44</v>
      </c>
      <c r="I2853" s="18">
        <v>1.24</v>
      </c>
      <c r="J2853" s="18">
        <v>1.24</v>
      </c>
      <c r="K2853" s="18">
        <v>1.24</v>
      </c>
      <c r="L2853" s="22">
        <v>1</v>
      </c>
    </row>
    <row r="2854" spans="1:12">
      <c r="A2854">
        <v>3</v>
      </c>
      <c r="B2854" s="16" t="s">
        <v>58</v>
      </c>
      <c r="C2854" s="9">
        <v>46023</v>
      </c>
      <c r="D2854">
        <v>52</v>
      </c>
      <c r="E2854" s="16" t="s">
        <v>142</v>
      </c>
      <c r="F2854" s="16" t="s">
        <v>108</v>
      </c>
      <c r="G2854" s="22">
        <v>6</v>
      </c>
      <c r="H2854" s="18">
        <v>7.44</v>
      </c>
      <c r="I2854" s="18">
        <v>1.24</v>
      </c>
      <c r="J2854" s="18">
        <v>1.24</v>
      </c>
      <c r="K2854" s="18">
        <v>1.24</v>
      </c>
      <c r="L2854" s="22">
        <v>1</v>
      </c>
    </row>
    <row r="2855" spans="1:12">
      <c r="A2855">
        <v>3</v>
      </c>
      <c r="B2855" s="16" t="s">
        <v>58</v>
      </c>
      <c r="C2855" s="9">
        <v>46082</v>
      </c>
      <c r="D2855">
        <v>52</v>
      </c>
      <c r="E2855" s="16" t="s">
        <v>142</v>
      </c>
      <c r="F2855" s="16" t="s">
        <v>108</v>
      </c>
      <c r="G2855" s="22">
        <v>6</v>
      </c>
      <c r="H2855" s="18">
        <v>7.5</v>
      </c>
      <c r="I2855" s="18">
        <v>1.25</v>
      </c>
      <c r="J2855" s="18">
        <v>1.25</v>
      </c>
      <c r="K2855" s="18">
        <v>1.25</v>
      </c>
      <c r="L2855" s="22">
        <v>1</v>
      </c>
    </row>
    <row r="2856" spans="1:12">
      <c r="A2856">
        <v>3</v>
      </c>
      <c r="B2856" s="16" t="s">
        <v>58</v>
      </c>
      <c r="C2856" s="9">
        <v>46113</v>
      </c>
      <c r="D2856">
        <v>52</v>
      </c>
      <c r="E2856" s="16" t="s">
        <v>142</v>
      </c>
      <c r="F2856" s="16" t="s">
        <v>108</v>
      </c>
      <c r="G2856" s="22">
        <v>6</v>
      </c>
      <c r="H2856" s="18">
        <v>7.38</v>
      </c>
      <c r="I2856" s="18">
        <v>1.23</v>
      </c>
      <c r="J2856" s="18">
        <v>1.23</v>
      </c>
      <c r="K2856" s="18">
        <v>1.23</v>
      </c>
      <c r="L2856" s="22">
        <v>1</v>
      </c>
    </row>
    <row r="2857" spans="1:12">
      <c r="A2857">
        <v>3</v>
      </c>
      <c r="B2857" s="16" t="s">
        <v>58</v>
      </c>
      <c r="C2857" s="9">
        <v>46143</v>
      </c>
      <c r="D2857">
        <v>52</v>
      </c>
      <c r="E2857" s="16" t="s">
        <v>142</v>
      </c>
      <c r="F2857" s="16" t="s">
        <v>108</v>
      </c>
      <c r="G2857" s="22">
        <v>6</v>
      </c>
      <c r="H2857" s="18">
        <v>7.38</v>
      </c>
      <c r="I2857" s="18">
        <v>1.23</v>
      </c>
      <c r="J2857" s="18">
        <v>1.23</v>
      </c>
      <c r="K2857" s="18">
        <v>1.23</v>
      </c>
      <c r="L2857" s="22">
        <v>1</v>
      </c>
    </row>
    <row r="2858" spans="1:12">
      <c r="A2858">
        <v>3</v>
      </c>
      <c r="B2858" s="16" t="s">
        <v>58</v>
      </c>
      <c r="C2858" s="9">
        <v>46174</v>
      </c>
      <c r="D2858">
        <v>52</v>
      </c>
      <c r="E2858" s="16" t="s">
        <v>142</v>
      </c>
      <c r="F2858" s="16" t="s">
        <v>108</v>
      </c>
      <c r="G2858" s="22">
        <v>6</v>
      </c>
      <c r="H2858" s="18">
        <v>7.8</v>
      </c>
      <c r="I2858" s="18">
        <v>1.3</v>
      </c>
      <c r="J2858" s="18">
        <v>1.3</v>
      </c>
      <c r="K2858" s="18">
        <v>1.3</v>
      </c>
      <c r="L2858" s="22">
        <v>1</v>
      </c>
    </row>
    <row r="2859" spans="1:12">
      <c r="A2859">
        <v>3</v>
      </c>
      <c r="B2859" s="16" t="s">
        <v>58</v>
      </c>
      <c r="C2859" s="9">
        <v>46204</v>
      </c>
      <c r="D2859">
        <v>52</v>
      </c>
      <c r="E2859" s="16" t="s">
        <v>142</v>
      </c>
      <c r="F2859" s="16" t="s">
        <v>108</v>
      </c>
      <c r="G2859" s="22">
        <v>6</v>
      </c>
      <c r="H2859" s="18">
        <v>7.44</v>
      </c>
      <c r="I2859" s="18">
        <v>1.24</v>
      </c>
      <c r="J2859" s="18">
        <v>1.24</v>
      </c>
      <c r="K2859" s="18">
        <v>1.24</v>
      </c>
      <c r="L2859" s="22">
        <v>1</v>
      </c>
    </row>
    <row r="2860" spans="1:12">
      <c r="A2860">
        <v>3</v>
      </c>
      <c r="B2860" s="16" t="s">
        <v>58</v>
      </c>
      <c r="C2860" s="9">
        <v>46235</v>
      </c>
      <c r="D2860">
        <v>52</v>
      </c>
      <c r="E2860" s="16" t="s">
        <v>142</v>
      </c>
      <c r="F2860" s="16" t="s">
        <v>108</v>
      </c>
      <c r="G2860" s="22">
        <v>6</v>
      </c>
      <c r="H2860" s="18">
        <v>7.26</v>
      </c>
      <c r="I2860" s="18">
        <v>1.21</v>
      </c>
      <c r="J2860" s="18">
        <v>1.21</v>
      </c>
      <c r="K2860" s="18">
        <v>1.21</v>
      </c>
      <c r="L2860" s="22">
        <v>1</v>
      </c>
    </row>
    <row r="2861" spans="1:12">
      <c r="A2861">
        <v>3</v>
      </c>
      <c r="B2861" s="16" t="s">
        <v>58</v>
      </c>
      <c r="C2861" s="9">
        <v>45689</v>
      </c>
      <c r="D2861">
        <v>53</v>
      </c>
      <c r="E2861" s="16" t="s">
        <v>143</v>
      </c>
      <c r="F2861" s="16" t="s">
        <v>103</v>
      </c>
      <c r="G2861" s="22">
        <v>1</v>
      </c>
      <c r="H2861" s="18">
        <v>9.07</v>
      </c>
      <c r="I2861" s="18">
        <v>9.07</v>
      </c>
      <c r="J2861" s="18">
        <v>9.07</v>
      </c>
      <c r="K2861" s="18">
        <v>9.07</v>
      </c>
      <c r="L2861" s="22">
        <v>1</v>
      </c>
    </row>
    <row r="2862" spans="1:12">
      <c r="A2862">
        <v>3</v>
      </c>
      <c r="B2862" s="16" t="s">
        <v>58</v>
      </c>
      <c r="C2862" s="9">
        <v>45717</v>
      </c>
      <c r="D2862">
        <v>53</v>
      </c>
      <c r="E2862" s="16" t="s">
        <v>143</v>
      </c>
      <c r="F2862" s="16" t="s">
        <v>103</v>
      </c>
      <c r="G2862" s="22">
        <v>1</v>
      </c>
      <c r="H2862" s="18">
        <v>8.85</v>
      </c>
      <c r="I2862" s="18">
        <v>8.85</v>
      </c>
      <c r="J2862" s="18">
        <v>8.85</v>
      </c>
      <c r="K2862" s="18">
        <v>8.85</v>
      </c>
      <c r="L2862" s="22">
        <v>1</v>
      </c>
    </row>
    <row r="2863" spans="1:12">
      <c r="A2863">
        <v>3</v>
      </c>
      <c r="B2863" s="16" t="s">
        <v>58</v>
      </c>
      <c r="C2863" s="9">
        <v>45748</v>
      </c>
      <c r="D2863">
        <v>53</v>
      </c>
      <c r="E2863" s="16" t="s">
        <v>143</v>
      </c>
      <c r="F2863" s="16" t="s">
        <v>103</v>
      </c>
      <c r="G2863" s="22">
        <v>2</v>
      </c>
      <c r="H2863" s="18">
        <v>18.239999999999998</v>
      </c>
      <c r="I2863" s="18">
        <v>9.1199999999999992</v>
      </c>
      <c r="J2863" s="18">
        <v>9.2100000000000009</v>
      </c>
      <c r="K2863" s="18">
        <v>9.0299999999999994</v>
      </c>
      <c r="L2863" s="22">
        <v>2</v>
      </c>
    </row>
    <row r="2864" spans="1:12">
      <c r="A2864">
        <v>3</v>
      </c>
      <c r="B2864" s="16" t="s">
        <v>58</v>
      </c>
      <c r="C2864" s="9">
        <v>45778</v>
      </c>
      <c r="D2864">
        <v>53</v>
      </c>
      <c r="E2864" s="16" t="s">
        <v>143</v>
      </c>
      <c r="F2864" s="16" t="s">
        <v>103</v>
      </c>
      <c r="G2864" s="22">
        <v>2</v>
      </c>
      <c r="H2864" s="18">
        <v>18.3</v>
      </c>
      <c r="I2864" s="18">
        <v>9.15</v>
      </c>
      <c r="J2864" s="18">
        <v>9.2100000000000009</v>
      </c>
      <c r="K2864" s="18">
        <v>9.09</v>
      </c>
      <c r="L2864" s="22">
        <v>2</v>
      </c>
    </row>
    <row r="2865" spans="1:12">
      <c r="A2865">
        <v>3</v>
      </c>
      <c r="B2865" s="16" t="s">
        <v>58</v>
      </c>
      <c r="C2865" s="9">
        <v>45809</v>
      </c>
      <c r="D2865">
        <v>53</v>
      </c>
      <c r="E2865" s="16" t="s">
        <v>143</v>
      </c>
      <c r="F2865" s="16" t="s">
        <v>103</v>
      </c>
      <c r="G2865" s="22">
        <v>2</v>
      </c>
      <c r="H2865" s="18">
        <v>18.04</v>
      </c>
      <c r="I2865" s="18">
        <v>9.02</v>
      </c>
      <c r="J2865" s="18">
        <v>9.0399999999999991</v>
      </c>
      <c r="K2865" s="18">
        <v>9</v>
      </c>
      <c r="L2865" s="22">
        <v>2</v>
      </c>
    </row>
    <row r="2866" spans="1:12">
      <c r="A2866">
        <v>3</v>
      </c>
      <c r="B2866" s="16" t="s">
        <v>58</v>
      </c>
      <c r="C2866" s="9">
        <v>45839</v>
      </c>
      <c r="D2866">
        <v>53</v>
      </c>
      <c r="E2866" s="16" t="s">
        <v>143</v>
      </c>
      <c r="F2866" s="16" t="s">
        <v>103</v>
      </c>
      <c r="G2866" s="22">
        <v>5</v>
      </c>
      <c r="H2866" s="18">
        <v>45.95</v>
      </c>
      <c r="I2866" s="18">
        <v>9.19</v>
      </c>
      <c r="J2866" s="18">
        <v>9.1999999999999993</v>
      </c>
      <c r="K2866" s="18">
        <v>9.18</v>
      </c>
      <c r="L2866" s="22">
        <v>3</v>
      </c>
    </row>
    <row r="2867" spans="1:12">
      <c r="A2867">
        <v>3</v>
      </c>
      <c r="B2867" s="16" t="s">
        <v>58</v>
      </c>
      <c r="C2867" s="9">
        <v>45870</v>
      </c>
      <c r="D2867">
        <v>53</v>
      </c>
      <c r="E2867" s="16" t="s">
        <v>143</v>
      </c>
      <c r="F2867" s="16" t="s">
        <v>103</v>
      </c>
      <c r="G2867" s="22">
        <v>3</v>
      </c>
      <c r="H2867" s="18">
        <v>27.46</v>
      </c>
      <c r="I2867" s="18">
        <v>9.1533333330000008</v>
      </c>
      <c r="J2867" s="18">
        <v>9.17</v>
      </c>
      <c r="K2867" s="18">
        <v>9.1199999999999992</v>
      </c>
      <c r="L2867" s="22">
        <v>2</v>
      </c>
    </row>
    <row r="2868" spans="1:12">
      <c r="A2868">
        <v>3</v>
      </c>
      <c r="B2868" s="16" t="s">
        <v>58</v>
      </c>
      <c r="C2868" s="9">
        <v>45901</v>
      </c>
      <c r="D2868">
        <v>53</v>
      </c>
      <c r="E2868" s="16" t="s">
        <v>143</v>
      </c>
      <c r="F2868" s="16" t="s">
        <v>103</v>
      </c>
      <c r="G2868" s="22">
        <v>2</v>
      </c>
      <c r="H2868" s="18">
        <v>18.329999999999998</v>
      </c>
      <c r="I2868" s="18">
        <v>9.1649999999999991</v>
      </c>
      <c r="J2868" s="18">
        <v>9.19</v>
      </c>
      <c r="K2868" s="18">
        <v>9.14</v>
      </c>
      <c r="L2868" s="22">
        <v>2</v>
      </c>
    </row>
    <row r="2869" spans="1:12">
      <c r="A2869">
        <v>3</v>
      </c>
      <c r="B2869" s="16" t="s">
        <v>58</v>
      </c>
      <c r="C2869" s="9">
        <v>45931</v>
      </c>
      <c r="D2869">
        <v>53</v>
      </c>
      <c r="E2869" s="16" t="s">
        <v>143</v>
      </c>
      <c r="F2869" s="16" t="s">
        <v>103</v>
      </c>
      <c r="G2869" s="22">
        <v>1</v>
      </c>
      <c r="H2869" s="18">
        <v>9.14</v>
      </c>
      <c r="I2869" s="18">
        <v>9.14</v>
      </c>
      <c r="J2869" s="18">
        <v>9.14</v>
      </c>
      <c r="K2869" s="18">
        <v>9.14</v>
      </c>
      <c r="L2869" s="22">
        <v>1</v>
      </c>
    </row>
    <row r="2870" spans="1:12">
      <c r="A2870">
        <v>3</v>
      </c>
      <c r="B2870" s="16" t="s">
        <v>58</v>
      </c>
      <c r="C2870" s="9">
        <v>45962</v>
      </c>
      <c r="D2870">
        <v>53</v>
      </c>
      <c r="E2870" s="16" t="s">
        <v>143</v>
      </c>
      <c r="F2870" s="16" t="s">
        <v>103</v>
      </c>
      <c r="G2870" s="22">
        <v>1</v>
      </c>
      <c r="H2870" s="18">
        <v>9.06</v>
      </c>
      <c r="I2870" s="18">
        <v>9.06</v>
      </c>
      <c r="J2870" s="18">
        <v>9.06</v>
      </c>
      <c r="K2870" s="18">
        <v>9.06</v>
      </c>
      <c r="L2870" s="22">
        <v>1</v>
      </c>
    </row>
    <row r="2871" spans="1:12">
      <c r="A2871">
        <v>3</v>
      </c>
      <c r="B2871" s="16" t="s">
        <v>58</v>
      </c>
      <c r="C2871" s="9">
        <v>45992</v>
      </c>
      <c r="D2871">
        <v>53</v>
      </c>
      <c r="E2871" s="16" t="s">
        <v>143</v>
      </c>
      <c r="F2871" s="16" t="s">
        <v>103</v>
      </c>
      <c r="G2871" s="22">
        <v>1</v>
      </c>
      <c r="H2871" s="18">
        <v>9.08</v>
      </c>
      <c r="I2871" s="18">
        <v>9.08</v>
      </c>
      <c r="J2871" s="18">
        <v>9.08</v>
      </c>
      <c r="K2871" s="18">
        <v>9.08</v>
      </c>
      <c r="L2871" s="22">
        <v>1</v>
      </c>
    </row>
    <row r="2872" spans="1:12">
      <c r="A2872">
        <v>3</v>
      </c>
      <c r="B2872" s="16" t="s">
        <v>58</v>
      </c>
      <c r="C2872" s="9">
        <v>46023</v>
      </c>
      <c r="D2872">
        <v>53</v>
      </c>
      <c r="E2872" s="16" t="s">
        <v>143</v>
      </c>
      <c r="F2872" s="16" t="s">
        <v>103</v>
      </c>
      <c r="G2872" s="22">
        <v>1</v>
      </c>
      <c r="H2872" s="18">
        <v>9.19</v>
      </c>
      <c r="I2872" s="18">
        <v>9.19</v>
      </c>
      <c r="J2872" s="18">
        <v>9.19</v>
      </c>
      <c r="K2872" s="18">
        <v>9.19</v>
      </c>
      <c r="L2872" s="22">
        <v>1</v>
      </c>
    </row>
    <row r="2873" spans="1:12">
      <c r="A2873">
        <v>3</v>
      </c>
      <c r="B2873" s="16" t="s">
        <v>58</v>
      </c>
      <c r="C2873" s="9">
        <v>46054</v>
      </c>
      <c r="D2873">
        <v>53</v>
      </c>
      <c r="E2873" s="16" t="s">
        <v>143</v>
      </c>
      <c r="F2873" s="16" t="s">
        <v>103</v>
      </c>
      <c r="G2873" s="22">
        <v>1</v>
      </c>
      <c r="H2873" s="18">
        <v>9.15</v>
      </c>
      <c r="I2873" s="18">
        <v>9.15</v>
      </c>
      <c r="J2873" s="18">
        <v>9.15</v>
      </c>
      <c r="K2873" s="18">
        <v>9.15</v>
      </c>
      <c r="L2873" s="22">
        <v>1</v>
      </c>
    </row>
    <row r="2874" spans="1:12">
      <c r="A2874">
        <v>3</v>
      </c>
      <c r="B2874" s="16" t="s">
        <v>58</v>
      </c>
      <c r="C2874" s="9">
        <v>46082</v>
      </c>
      <c r="D2874">
        <v>53</v>
      </c>
      <c r="E2874" s="16" t="s">
        <v>143</v>
      </c>
      <c r="F2874" s="16" t="s">
        <v>103</v>
      </c>
      <c r="G2874" s="22">
        <v>2</v>
      </c>
      <c r="H2874" s="18">
        <v>18.28</v>
      </c>
      <c r="I2874" s="18">
        <v>9.14</v>
      </c>
      <c r="J2874" s="18">
        <v>9.16</v>
      </c>
      <c r="K2874" s="18">
        <v>9.1199999999999992</v>
      </c>
      <c r="L2874" s="22">
        <v>2</v>
      </c>
    </row>
    <row r="2875" spans="1:12">
      <c r="A2875">
        <v>3</v>
      </c>
      <c r="B2875" s="16" t="s">
        <v>58</v>
      </c>
      <c r="C2875" s="9">
        <v>46113</v>
      </c>
      <c r="D2875">
        <v>53</v>
      </c>
      <c r="E2875" s="16" t="s">
        <v>143</v>
      </c>
      <c r="F2875" s="16" t="s">
        <v>103</v>
      </c>
      <c r="G2875" s="22">
        <v>1</v>
      </c>
      <c r="H2875" s="18">
        <v>9.32</v>
      </c>
      <c r="I2875" s="18">
        <v>9.32</v>
      </c>
      <c r="J2875" s="18">
        <v>9.32</v>
      </c>
      <c r="K2875" s="18">
        <v>9.32</v>
      </c>
      <c r="L2875" s="22">
        <v>1</v>
      </c>
    </row>
    <row r="2876" spans="1:12">
      <c r="A2876">
        <v>3</v>
      </c>
      <c r="B2876" s="16" t="s">
        <v>58</v>
      </c>
      <c r="C2876" s="9">
        <v>46143</v>
      </c>
      <c r="D2876">
        <v>53</v>
      </c>
      <c r="E2876" s="16" t="s">
        <v>143</v>
      </c>
      <c r="F2876" s="16" t="s">
        <v>103</v>
      </c>
      <c r="G2876" s="22">
        <v>2</v>
      </c>
      <c r="H2876" s="18">
        <v>18.420000000000002</v>
      </c>
      <c r="I2876" s="18">
        <v>9.2100000000000009</v>
      </c>
      <c r="J2876" s="18">
        <v>9.25</v>
      </c>
      <c r="K2876" s="18">
        <v>9.17</v>
      </c>
      <c r="L2876" s="22">
        <v>2</v>
      </c>
    </row>
    <row r="2877" spans="1:12">
      <c r="A2877">
        <v>3</v>
      </c>
      <c r="B2877" s="16" t="s">
        <v>58</v>
      </c>
      <c r="C2877" s="9">
        <v>46174</v>
      </c>
      <c r="D2877">
        <v>53</v>
      </c>
      <c r="E2877" s="16" t="s">
        <v>143</v>
      </c>
      <c r="F2877" s="16" t="s">
        <v>103</v>
      </c>
      <c r="G2877" s="22">
        <v>3</v>
      </c>
      <c r="H2877" s="18">
        <v>27.9</v>
      </c>
      <c r="I2877" s="18">
        <v>9.3000000000000007</v>
      </c>
      <c r="J2877" s="18">
        <v>9.33</v>
      </c>
      <c r="K2877" s="18">
        <v>9.24</v>
      </c>
      <c r="L2877" s="22">
        <v>2</v>
      </c>
    </row>
    <row r="2878" spans="1:12">
      <c r="A2878">
        <v>3</v>
      </c>
      <c r="B2878" s="16" t="s">
        <v>58</v>
      </c>
      <c r="C2878" s="9">
        <v>46204</v>
      </c>
      <c r="D2878">
        <v>53</v>
      </c>
      <c r="E2878" s="16" t="s">
        <v>143</v>
      </c>
      <c r="F2878" s="16" t="s">
        <v>103</v>
      </c>
      <c r="G2878" s="22">
        <v>3</v>
      </c>
      <c r="H2878" s="18">
        <v>27.51</v>
      </c>
      <c r="I2878" s="18">
        <v>9.17</v>
      </c>
      <c r="J2878" s="18">
        <v>9.2799999999999994</v>
      </c>
      <c r="K2878" s="18">
        <v>9.07</v>
      </c>
      <c r="L2878" s="22">
        <v>3</v>
      </c>
    </row>
    <row r="2879" spans="1:12">
      <c r="A2879">
        <v>3</v>
      </c>
      <c r="B2879" s="16" t="s">
        <v>58</v>
      </c>
      <c r="C2879" s="9">
        <v>46235</v>
      </c>
      <c r="D2879">
        <v>53</v>
      </c>
      <c r="E2879" s="16" t="s">
        <v>143</v>
      </c>
      <c r="F2879" s="16" t="s">
        <v>103</v>
      </c>
      <c r="G2879" s="22">
        <v>2</v>
      </c>
      <c r="H2879" s="18">
        <v>18.3</v>
      </c>
      <c r="I2879" s="18">
        <v>9.15</v>
      </c>
      <c r="J2879" s="18">
        <v>9.2100000000000009</v>
      </c>
      <c r="K2879" s="18">
        <v>9.09</v>
      </c>
      <c r="L2879" s="22">
        <v>2</v>
      </c>
    </row>
    <row r="2880" spans="1:12">
      <c r="A2880">
        <v>3</v>
      </c>
      <c r="B2880" s="16" t="s">
        <v>58</v>
      </c>
      <c r="C2880" s="9">
        <v>46266</v>
      </c>
      <c r="D2880">
        <v>53</v>
      </c>
      <c r="E2880" s="16" t="s">
        <v>143</v>
      </c>
      <c r="F2880" s="16" t="s">
        <v>103</v>
      </c>
      <c r="G2880" s="22">
        <v>1</v>
      </c>
      <c r="H2880" s="18">
        <v>9.41</v>
      </c>
      <c r="I2880" s="18">
        <v>9.41</v>
      </c>
      <c r="J2880" s="18">
        <v>9.41</v>
      </c>
      <c r="K2880" s="18">
        <v>9.41</v>
      </c>
      <c r="L2880" s="22">
        <v>1</v>
      </c>
    </row>
    <row r="2881" spans="1:12">
      <c r="A2881">
        <v>3</v>
      </c>
      <c r="B2881" s="16" t="s">
        <v>58</v>
      </c>
      <c r="C2881" s="9">
        <v>45689</v>
      </c>
      <c r="D2881">
        <v>54</v>
      </c>
      <c r="E2881" s="16" t="s">
        <v>144</v>
      </c>
      <c r="F2881" s="16" t="s">
        <v>103</v>
      </c>
      <c r="G2881" s="22">
        <v>2.25</v>
      </c>
      <c r="H2881" s="18">
        <v>23.715</v>
      </c>
      <c r="I2881" s="18">
        <v>10.54</v>
      </c>
      <c r="J2881" s="18">
        <v>10.54</v>
      </c>
      <c r="K2881" s="18">
        <v>10.54</v>
      </c>
      <c r="L2881" s="22">
        <v>1</v>
      </c>
    </row>
    <row r="2882" spans="1:12">
      <c r="A2882">
        <v>3</v>
      </c>
      <c r="B2882" s="16" t="s">
        <v>58</v>
      </c>
      <c r="C2882" s="9">
        <v>45717</v>
      </c>
      <c r="D2882">
        <v>54</v>
      </c>
      <c r="E2882" s="16" t="s">
        <v>144</v>
      </c>
      <c r="F2882" s="16" t="s">
        <v>103</v>
      </c>
      <c r="G2882" s="22">
        <v>2.25</v>
      </c>
      <c r="H2882" s="18">
        <v>23.535</v>
      </c>
      <c r="I2882" s="18">
        <v>10.46</v>
      </c>
      <c r="J2882" s="18">
        <v>10.46</v>
      </c>
      <c r="K2882" s="18">
        <v>10.46</v>
      </c>
      <c r="L2882" s="22">
        <v>1</v>
      </c>
    </row>
    <row r="2883" spans="1:12">
      <c r="A2883">
        <v>3</v>
      </c>
      <c r="B2883" s="16" t="s">
        <v>58</v>
      </c>
      <c r="C2883" s="9">
        <v>45748</v>
      </c>
      <c r="D2883">
        <v>54</v>
      </c>
      <c r="E2883" s="16" t="s">
        <v>144</v>
      </c>
      <c r="F2883" s="16" t="s">
        <v>103</v>
      </c>
      <c r="G2883" s="22">
        <v>4.5</v>
      </c>
      <c r="H2883" s="18">
        <v>47.587499999999999</v>
      </c>
      <c r="I2883" s="18">
        <v>10.574999999999999</v>
      </c>
      <c r="J2883" s="18">
        <v>10.63</v>
      </c>
      <c r="K2883" s="18">
        <v>10.52</v>
      </c>
      <c r="L2883" s="22">
        <v>2</v>
      </c>
    </row>
    <row r="2884" spans="1:12">
      <c r="A2884">
        <v>3</v>
      </c>
      <c r="B2884" s="16" t="s">
        <v>58</v>
      </c>
      <c r="C2884" s="9">
        <v>45778</v>
      </c>
      <c r="D2884">
        <v>54</v>
      </c>
      <c r="E2884" s="16" t="s">
        <v>144</v>
      </c>
      <c r="F2884" s="16" t="s">
        <v>103</v>
      </c>
      <c r="G2884" s="22">
        <v>2.25</v>
      </c>
      <c r="H2884" s="18">
        <v>23.512499999999999</v>
      </c>
      <c r="I2884" s="18">
        <v>10.45</v>
      </c>
      <c r="J2884" s="18">
        <v>10.45</v>
      </c>
      <c r="K2884" s="18">
        <v>10.45</v>
      </c>
      <c r="L2884" s="22">
        <v>1</v>
      </c>
    </row>
    <row r="2885" spans="1:12">
      <c r="A2885">
        <v>3</v>
      </c>
      <c r="B2885" s="16" t="s">
        <v>58</v>
      </c>
      <c r="C2885" s="9">
        <v>45809</v>
      </c>
      <c r="D2885">
        <v>54</v>
      </c>
      <c r="E2885" s="16" t="s">
        <v>144</v>
      </c>
      <c r="F2885" s="16" t="s">
        <v>103</v>
      </c>
      <c r="G2885" s="22">
        <v>2.25</v>
      </c>
      <c r="H2885" s="18">
        <v>23.67</v>
      </c>
      <c r="I2885" s="18">
        <v>10.52</v>
      </c>
      <c r="J2885" s="18">
        <v>10.52</v>
      </c>
      <c r="K2885" s="18">
        <v>10.52</v>
      </c>
      <c r="L2885" s="22">
        <v>1</v>
      </c>
    </row>
    <row r="2886" spans="1:12">
      <c r="A2886">
        <v>3</v>
      </c>
      <c r="B2886" s="16" t="s">
        <v>58</v>
      </c>
      <c r="C2886" s="9">
        <v>45839</v>
      </c>
      <c r="D2886">
        <v>54</v>
      </c>
      <c r="E2886" s="16" t="s">
        <v>144</v>
      </c>
      <c r="F2886" s="16" t="s">
        <v>103</v>
      </c>
      <c r="G2886" s="22">
        <v>2.25</v>
      </c>
      <c r="H2886" s="18">
        <v>23.805</v>
      </c>
      <c r="I2886" s="18">
        <v>10.58</v>
      </c>
      <c r="J2886" s="18">
        <v>10.58</v>
      </c>
      <c r="K2886" s="18">
        <v>10.58</v>
      </c>
      <c r="L2886" s="22">
        <v>1</v>
      </c>
    </row>
    <row r="2887" spans="1:12">
      <c r="A2887">
        <v>3</v>
      </c>
      <c r="B2887" s="16" t="s">
        <v>58</v>
      </c>
      <c r="C2887" s="9">
        <v>45870</v>
      </c>
      <c r="D2887">
        <v>54</v>
      </c>
      <c r="E2887" s="16" t="s">
        <v>144</v>
      </c>
      <c r="F2887" s="16" t="s">
        <v>103</v>
      </c>
      <c r="G2887" s="22">
        <v>4.5</v>
      </c>
      <c r="H2887" s="18">
        <v>47.16</v>
      </c>
      <c r="I2887" s="18">
        <v>10.48</v>
      </c>
      <c r="J2887" s="18">
        <v>10.49</v>
      </c>
      <c r="K2887" s="18">
        <v>10.47</v>
      </c>
      <c r="L2887" s="22">
        <v>2</v>
      </c>
    </row>
    <row r="2888" spans="1:12">
      <c r="A2888">
        <v>3</v>
      </c>
      <c r="B2888" s="16" t="s">
        <v>58</v>
      </c>
      <c r="C2888" s="9">
        <v>45901</v>
      </c>
      <c r="D2888">
        <v>54</v>
      </c>
      <c r="E2888" s="16" t="s">
        <v>144</v>
      </c>
      <c r="F2888" s="16" t="s">
        <v>103</v>
      </c>
      <c r="G2888" s="22">
        <v>2.25</v>
      </c>
      <c r="H2888" s="18">
        <v>23.602499999999999</v>
      </c>
      <c r="I2888" s="18">
        <v>10.49</v>
      </c>
      <c r="J2888" s="18">
        <v>10.49</v>
      </c>
      <c r="K2888" s="18">
        <v>10.49</v>
      </c>
      <c r="L2888" s="22">
        <v>1</v>
      </c>
    </row>
    <row r="2889" spans="1:12">
      <c r="A2889">
        <v>3</v>
      </c>
      <c r="B2889" s="16" t="s">
        <v>58</v>
      </c>
      <c r="C2889" s="9">
        <v>45931</v>
      </c>
      <c r="D2889">
        <v>54</v>
      </c>
      <c r="E2889" s="16" t="s">
        <v>144</v>
      </c>
      <c r="F2889" s="16" t="s">
        <v>103</v>
      </c>
      <c r="G2889" s="22">
        <v>2.25</v>
      </c>
      <c r="H2889" s="18">
        <v>23.04</v>
      </c>
      <c r="I2889" s="18">
        <v>10.24</v>
      </c>
      <c r="J2889" s="18">
        <v>10.24</v>
      </c>
      <c r="K2889" s="18">
        <v>10.24</v>
      </c>
      <c r="L2889" s="22">
        <v>1</v>
      </c>
    </row>
    <row r="2890" spans="1:12">
      <c r="A2890">
        <v>3</v>
      </c>
      <c r="B2890" s="16" t="s">
        <v>58</v>
      </c>
      <c r="C2890" s="9">
        <v>45962</v>
      </c>
      <c r="D2890">
        <v>54</v>
      </c>
      <c r="E2890" s="16" t="s">
        <v>144</v>
      </c>
      <c r="F2890" s="16" t="s">
        <v>103</v>
      </c>
      <c r="G2890" s="22">
        <v>2.25</v>
      </c>
      <c r="H2890" s="18">
        <v>24.1875</v>
      </c>
      <c r="I2890" s="18">
        <v>10.75</v>
      </c>
      <c r="J2890" s="18">
        <v>10.75</v>
      </c>
      <c r="K2890" s="18">
        <v>10.75</v>
      </c>
      <c r="L2890" s="22">
        <v>1</v>
      </c>
    </row>
    <row r="2891" spans="1:12">
      <c r="A2891">
        <v>3</v>
      </c>
      <c r="B2891" s="16" t="s">
        <v>58</v>
      </c>
      <c r="C2891" s="9">
        <v>45992</v>
      </c>
      <c r="D2891">
        <v>54</v>
      </c>
      <c r="E2891" s="16" t="s">
        <v>144</v>
      </c>
      <c r="F2891" s="16" t="s">
        <v>103</v>
      </c>
      <c r="G2891" s="22">
        <v>2.25</v>
      </c>
      <c r="H2891" s="18">
        <v>22.86</v>
      </c>
      <c r="I2891" s="18">
        <v>10.16</v>
      </c>
      <c r="J2891" s="18">
        <v>10.16</v>
      </c>
      <c r="K2891" s="18">
        <v>10.16</v>
      </c>
      <c r="L2891" s="22">
        <v>1</v>
      </c>
    </row>
    <row r="2892" spans="1:12">
      <c r="A2892">
        <v>3</v>
      </c>
      <c r="B2892" s="16" t="s">
        <v>58</v>
      </c>
      <c r="C2892" s="9">
        <v>46023</v>
      </c>
      <c r="D2892">
        <v>54</v>
      </c>
      <c r="E2892" s="16" t="s">
        <v>144</v>
      </c>
      <c r="F2892" s="16" t="s">
        <v>103</v>
      </c>
      <c r="G2892" s="22">
        <v>4.5</v>
      </c>
      <c r="H2892" s="18">
        <v>47.497500000000002</v>
      </c>
      <c r="I2892" s="18">
        <v>10.555</v>
      </c>
      <c r="J2892" s="18">
        <v>10.65</v>
      </c>
      <c r="K2892" s="18">
        <v>10.46</v>
      </c>
      <c r="L2892" s="22">
        <v>2</v>
      </c>
    </row>
    <row r="2893" spans="1:12">
      <c r="A2893">
        <v>3</v>
      </c>
      <c r="B2893" s="16" t="s">
        <v>58</v>
      </c>
      <c r="C2893" s="9">
        <v>46054</v>
      </c>
      <c r="D2893">
        <v>54</v>
      </c>
      <c r="E2893" s="16" t="s">
        <v>144</v>
      </c>
      <c r="F2893" s="16" t="s">
        <v>103</v>
      </c>
      <c r="G2893" s="22">
        <v>2.25</v>
      </c>
      <c r="H2893" s="18">
        <v>23.265000000000001</v>
      </c>
      <c r="I2893" s="18">
        <v>10.34</v>
      </c>
      <c r="J2893" s="18">
        <v>10.34</v>
      </c>
      <c r="K2893" s="18">
        <v>10.34</v>
      </c>
      <c r="L2893" s="22">
        <v>1</v>
      </c>
    </row>
    <row r="2894" spans="1:12">
      <c r="A2894">
        <v>3</v>
      </c>
      <c r="B2894" s="16" t="s">
        <v>58</v>
      </c>
      <c r="C2894" s="9">
        <v>46082</v>
      </c>
      <c r="D2894">
        <v>54</v>
      </c>
      <c r="E2894" s="16" t="s">
        <v>144</v>
      </c>
      <c r="F2894" s="16" t="s">
        <v>103</v>
      </c>
      <c r="G2894" s="22">
        <v>2.25</v>
      </c>
      <c r="H2894" s="18">
        <v>23.467500000000001</v>
      </c>
      <c r="I2894" s="18">
        <v>10.43</v>
      </c>
      <c r="J2894" s="18">
        <v>10.43</v>
      </c>
      <c r="K2894" s="18">
        <v>10.43</v>
      </c>
      <c r="L2894" s="22">
        <v>1</v>
      </c>
    </row>
    <row r="2895" spans="1:12">
      <c r="A2895">
        <v>3</v>
      </c>
      <c r="B2895" s="16" t="s">
        <v>58</v>
      </c>
      <c r="C2895" s="9">
        <v>46113</v>
      </c>
      <c r="D2895">
        <v>54</v>
      </c>
      <c r="E2895" s="16" t="s">
        <v>144</v>
      </c>
      <c r="F2895" s="16" t="s">
        <v>103</v>
      </c>
      <c r="G2895" s="22">
        <v>2.25</v>
      </c>
      <c r="H2895" s="18">
        <v>23.782499999999999</v>
      </c>
      <c r="I2895" s="18">
        <v>10.57</v>
      </c>
      <c r="J2895" s="18">
        <v>10.57</v>
      </c>
      <c r="K2895" s="18">
        <v>10.57</v>
      </c>
      <c r="L2895" s="22">
        <v>1</v>
      </c>
    </row>
    <row r="2896" spans="1:12">
      <c r="A2896">
        <v>3</v>
      </c>
      <c r="B2896" s="16" t="s">
        <v>58</v>
      </c>
      <c r="C2896" s="9">
        <v>46143</v>
      </c>
      <c r="D2896">
        <v>54</v>
      </c>
      <c r="E2896" s="16" t="s">
        <v>144</v>
      </c>
      <c r="F2896" s="16" t="s">
        <v>103</v>
      </c>
      <c r="G2896" s="22">
        <v>2.25</v>
      </c>
      <c r="H2896" s="18">
        <v>24.344999999999999</v>
      </c>
      <c r="I2896" s="18">
        <v>10.82</v>
      </c>
      <c r="J2896" s="18">
        <v>10.82</v>
      </c>
      <c r="K2896" s="18">
        <v>10.82</v>
      </c>
      <c r="L2896" s="22">
        <v>1</v>
      </c>
    </row>
    <row r="2897" spans="1:12">
      <c r="A2897">
        <v>3</v>
      </c>
      <c r="B2897" s="16" t="s">
        <v>58</v>
      </c>
      <c r="C2897" s="9">
        <v>46174</v>
      </c>
      <c r="D2897">
        <v>54</v>
      </c>
      <c r="E2897" s="16" t="s">
        <v>144</v>
      </c>
      <c r="F2897" s="16" t="s">
        <v>103</v>
      </c>
      <c r="G2897" s="22">
        <v>4.5</v>
      </c>
      <c r="H2897" s="18">
        <v>47.902500000000003</v>
      </c>
      <c r="I2897" s="18">
        <v>10.645</v>
      </c>
      <c r="J2897" s="18">
        <v>10.71</v>
      </c>
      <c r="K2897" s="18">
        <v>10.58</v>
      </c>
      <c r="L2897" s="22">
        <v>2</v>
      </c>
    </row>
    <row r="2898" spans="1:12">
      <c r="A2898">
        <v>3</v>
      </c>
      <c r="B2898" s="16" t="s">
        <v>58</v>
      </c>
      <c r="C2898" s="9">
        <v>46204</v>
      </c>
      <c r="D2898">
        <v>54</v>
      </c>
      <c r="E2898" s="16" t="s">
        <v>144</v>
      </c>
      <c r="F2898" s="16" t="s">
        <v>103</v>
      </c>
      <c r="G2898" s="22">
        <v>2.25</v>
      </c>
      <c r="H2898" s="18">
        <v>24.322500000000002</v>
      </c>
      <c r="I2898" s="18">
        <v>10.81</v>
      </c>
      <c r="J2898" s="18">
        <v>10.81</v>
      </c>
      <c r="K2898" s="18">
        <v>10.81</v>
      </c>
      <c r="L2898" s="22">
        <v>1</v>
      </c>
    </row>
    <row r="2899" spans="1:12">
      <c r="A2899">
        <v>3</v>
      </c>
      <c r="B2899" s="16" t="s">
        <v>58</v>
      </c>
      <c r="C2899" s="9">
        <v>46266</v>
      </c>
      <c r="D2899">
        <v>54</v>
      </c>
      <c r="E2899" s="16" t="s">
        <v>144</v>
      </c>
      <c r="F2899" s="16" t="s">
        <v>103</v>
      </c>
      <c r="G2899" s="22">
        <v>2.25</v>
      </c>
      <c r="H2899" s="18">
        <v>23.737500000000001</v>
      </c>
      <c r="I2899" s="18">
        <v>10.55</v>
      </c>
      <c r="J2899" s="18">
        <v>10.55</v>
      </c>
      <c r="K2899" s="18">
        <v>10.55</v>
      </c>
      <c r="L2899" s="22">
        <v>1</v>
      </c>
    </row>
    <row r="2900" spans="1:12">
      <c r="A2900">
        <v>3</v>
      </c>
      <c r="B2900" s="16" t="s">
        <v>58</v>
      </c>
      <c r="C2900" s="9">
        <v>45689</v>
      </c>
      <c r="D2900">
        <v>55</v>
      </c>
      <c r="E2900" s="16" t="s">
        <v>145</v>
      </c>
      <c r="F2900" s="16" t="s">
        <v>83</v>
      </c>
      <c r="G2900" s="22">
        <v>7</v>
      </c>
      <c r="H2900" s="18">
        <v>38.954999999999998</v>
      </c>
      <c r="I2900" s="18">
        <v>5.5650000000000004</v>
      </c>
      <c r="J2900" s="18">
        <v>5.69</v>
      </c>
      <c r="K2900" s="18">
        <v>5.52</v>
      </c>
      <c r="L2900" s="22">
        <v>7</v>
      </c>
    </row>
    <row r="2901" spans="1:12">
      <c r="A2901">
        <v>3</v>
      </c>
      <c r="B2901" s="16" t="s">
        <v>58</v>
      </c>
      <c r="C2901" s="9">
        <v>45717</v>
      </c>
      <c r="D2901">
        <v>55</v>
      </c>
      <c r="E2901" s="16" t="s">
        <v>145</v>
      </c>
      <c r="F2901" s="16" t="s">
        <v>83</v>
      </c>
      <c r="G2901" s="22">
        <v>6.5</v>
      </c>
      <c r="H2901" s="18">
        <v>36.155000000000001</v>
      </c>
      <c r="I2901" s="18">
        <v>5.5623076920000001</v>
      </c>
      <c r="J2901" s="18">
        <v>5.62</v>
      </c>
      <c r="K2901" s="18">
        <v>5.46</v>
      </c>
      <c r="L2901" s="22">
        <v>8</v>
      </c>
    </row>
    <row r="2902" spans="1:12">
      <c r="A2902">
        <v>3</v>
      </c>
      <c r="B2902" s="16" t="s">
        <v>58</v>
      </c>
      <c r="C2902" s="9">
        <v>45748</v>
      </c>
      <c r="D2902">
        <v>55</v>
      </c>
      <c r="E2902" s="16" t="s">
        <v>145</v>
      </c>
      <c r="F2902" s="16" t="s">
        <v>83</v>
      </c>
      <c r="G2902" s="22">
        <v>9.5</v>
      </c>
      <c r="H2902" s="18">
        <v>52.774999999999999</v>
      </c>
      <c r="I2902" s="18">
        <v>5.5552631579999998</v>
      </c>
      <c r="J2902" s="18">
        <v>5.65</v>
      </c>
      <c r="K2902" s="18">
        <v>5.47</v>
      </c>
      <c r="L2902" s="22">
        <v>9</v>
      </c>
    </row>
    <row r="2903" spans="1:12">
      <c r="A2903">
        <v>3</v>
      </c>
      <c r="B2903" s="16" t="s">
        <v>58</v>
      </c>
      <c r="C2903" s="9">
        <v>45778</v>
      </c>
      <c r="D2903">
        <v>55</v>
      </c>
      <c r="E2903" s="16" t="s">
        <v>145</v>
      </c>
      <c r="F2903" s="16" t="s">
        <v>83</v>
      </c>
      <c r="G2903" s="22">
        <v>10.5</v>
      </c>
      <c r="H2903" s="18">
        <v>58.97</v>
      </c>
      <c r="I2903" s="18">
        <v>5.6161904759999999</v>
      </c>
      <c r="J2903" s="18">
        <v>5.76</v>
      </c>
      <c r="K2903" s="18">
        <v>5.52</v>
      </c>
      <c r="L2903" s="22">
        <v>9</v>
      </c>
    </row>
    <row r="2904" spans="1:12">
      <c r="A2904">
        <v>3</v>
      </c>
      <c r="B2904" s="16" t="s">
        <v>58</v>
      </c>
      <c r="C2904" s="9">
        <v>45809</v>
      </c>
      <c r="D2904">
        <v>55</v>
      </c>
      <c r="E2904" s="16" t="s">
        <v>145</v>
      </c>
      <c r="F2904" s="16" t="s">
        <v>83</v>
      </c>
      <c r="G2904" s="22">
        <v>8</v>
      </c>
      <c r="H2904" s="18">
        <v>45.06</v>
      </c>
      <c r="I2904" s="18">
        <v>5.6325000000000003</v>
      </c>
      <c r="J2904" s="18">
        <v>5.7</v>
      </c>
      <c r="K2904" s="18">
        <v>5.57</v>
      </c>
      <c r="L2904" s="22">
        <v>8</v>
      </c>
    </row>
    <row r="2905" spans="1:12">
      <c r="A2905">
        <v>3</v>
      </c>
      <c r="B2905" s="16" t="s">
        <v>58</v>
      </c>
      <c r="C2905" s="9">
        <v>45839</v>
      </c>
      <c r="D2905">
        <v>55</v>
      </c>
      <c r="E2905" s="16" t="s">
        <v>145</v>
      </c>
      <c r="F2905" s="16" t="s">
        <v>83</v>
      </c>
      <c r="G2905" s="22">
        <v>12</v>
      </c>
      <c r="H2905" s="18">
        <v>68.594999999999999</v>
      </c>
      <c r="I2905" s="18">
        <v>5.7162499999999996</v>
      </c>
      <c r="J2905" s="18">
        <v>5.85</v>
      </c>
      <c r="K2905" s="18">
        <v>5.57</v>
      </c>
      <c r="L2905" s="22">
        <v>10</v>
      </c>
    </row>
    <row r="2906" spans="1:12">
      <c r="A2906">
        <v>3</v>
      </c>
      <c r="B2906" s="16" t="s">
        <v>58</v>
      </c>
      <c r="C2906" s="9">
        <v>45870</v>
      </c>
      <c r="D2906">
        <v>55</v>
      </c>
      <c r="E2906" s="16" t="s">
        <v>145</v>
      </c>
      <c r="F2906" s="16" t="s">
        <v>83</v>
      </c>
      <c r="G2906" s="22">
        <v>9.5</v>
      </c>
      <c r="H2906" s="18">
        <v>54.87</v>
      </c>
      <c r="I2906" s="18">
        <v>5.7757894739999998</v>
      </c>
      <c r="J2906" s="18">
        <v>6.04</v>
      </c>
      <c r="K2906" s="18">
        <v>5.65</v>
      </c>
      <c r="L2906" s="22">
        <v>7</v>
      </c>
    </row>
    <row r="2907" spans="1:12">
      <c r="A2907">
        <v>3</v>
      </c>
      <c r="B2907" s="16" t="s">
        <v>58</v>
      </c>
      <c r="C2907" s="9">
        <v>45901</v>
      </c>
      <c r="D2907">
        <v>55</v>
      </c>
      <c r="E2907" s="16" t="s">
        <v>145</v>
      </c>
      <c r="F2907" s="16" t="s">
        <v>83</v>
      </c>
      <c r="G2907" s="22">
        <v>8</v>
      </c>
      <c r="H2907" s="18">
        <v>45.52</v>
      </c>
      <c r="I2907" s="18">
        <v>5.69</v>
      </c>
      <c r="J2907" s="18">
        <v>5.77</v>
      </c>
      <c r="K2907" s="18">
        <v>5.6</v>
      </c>
      <c r="L2907" s="22">
        <v>9</v>
      </c>
    </row>
    <row r="2908" spans="1:12">
      <c r="A2908">
        <v>3</v>
      </c>
      <c r="B2908" s="16" t="s">
        <v>58</v>
      </c>
      <c r="C2908" s="9">
        <v>45931</v>
      </c>
      <c r="D2908">
        <v>55</v>
      </c>
      <c r="E2908" s="16" t="s">
        <v>145</v>
      </c>
      <c r="F2908" s="16" t="s">
        <v>83</v>
      </c>
      <c r="G2908" s="22">
        <v>7.5</v>
      </c>
      <c r="H2908" s="18">
        <v>42.96</v>
      </c>
      <c r="I2908" s="18">
        <v>5.7279999999999998</v>
      </c>
      <c r="J2908" s="18">
        <v>5.82</v>
      </c>
      <c r="K2908" s="18">
        <v>5.64</v>
      </c>
      <c r="L2908" s="22">
        <v>8</v>
      </c>
    </row>
    <row r="2909" spans="1:12">
      <c r="A2909">
        <v>3</v>
      </c>
      <c r="B2909" s="16" t="s">
        <v>58</v>
      </c>
      <c r="C2909" s="9">
        <v>45962</v>
      </c>
      <c r="D2909">
        <v>55</v>
      </c>
      <c r="E2909" s="16" t="s">
        <v>145</v>
      </c>
      <c r="F2909" s="16" t="s">
        <v>83</v>
      </c>
      <c r="G2909" s="22">
        <v>5.5</v>
      </c>
      <c r="H2909" s="18">
        <v>31.46</v>
      </c>
      <c r="I2909" s="18">
        <v>5.72</v>
      </c>
      <c r="J2909" s="18">
        <v>5.8</v>
      </c>
      <c r="K2909" s="18">
        <v>5.61</v>
      </c>
      <c r="L2909" s="22">
        <v>7</v>
      </c>
    </row>
    <row r="2910" spans="1:12">
      <c r="A2910">
        <v>3</v>
      </c>
      <c r="B2910" s="16" t="s">
        <v>58</v>
      </c>
      <c r="C2910" s="9">
        <v>45992</v>
      </c>
      <c r="D2910">
        <v>55</v>
      </c>
      <c r="E2910" s="16" t="s">
        <v>145</v>
      </c>
      <c r="F2910" s="16" t="s">
        <v>83</v>
      </c>
      <c r="G2910" s="22">
        <v>8</v>
      </c>
      <c r="H2910" s="18">
        <v>46.174999999999997</v>
      </c>
      <c r="I2910" s="18">
        <v>5.7718749999999996</v>
      </c>
      <c r="J2910" s="18">
        <v>5.86</v>
      </c>
      <c r="K2910" s="18">
        <v>5.59</v>
      </c>
      <c r="L2910" s="22">
        <v>9</v>
      </c>
    </row>
    <row r="2911" spans="1:12">
      <c r="A2911">
        <v>3</v>
      </c>
      <c r="B2911" s="16" t="s">
        <v>58</v>
      </c>
      <c r="C2911" s="9">
        <v>46023</v>
      </c>
      <c r="D2911">
        <v>55</v>
      </c>
      <c r="E2911" s="16" t="s">
        <v>145</v>
      </c>
      <c r="F2911" s="16" t="s">
        <v>83</v>
      </c>
      <c r="G2911" s="22">
        <v>8</v>
      </c>
      <c r="H2911" s="18">
        <v>46.3</v>
      </c>
      <c r="I2911" s="18">
        <v>5.7874999999999996</v>
      </c>
      <c r="J2911" s="18">
        <v>6.13</v>
      </c>
      <c r="K2911" s="18">
        <v>5.72</v>
      </c>
      <c r="L2911" s="22">
        <v>9</v>
      </c>
    </row>
    <row r="2912" spans="1:12">
      <c r="A2912">
        <v>3</v>
      </c>
      <c r="B2912" s="16" t="s">
        <v>58</v>
      </c>
      <c r="C2912" s="9">
        <v>46054</v>
      </c>
      <c r="D2912">
        <v>55</v>
      </c>
      <c r="E2912" s="16" t="s">
        <v>145</v>
      </c>
      <c r="F2912" s="16" t="s">
        <v>83</v>
      </c>
      <c r="G2912" s="22">
        <v>6</v>
      </c>
      <c r="H2912" s="18">
        <v>35.06</v>
      </c>
      <c r="I2912" s="18">
        <v>5.8433333330000004</v>
      </c>
      <c r="J2912" s="18">
        <v>5.95</v>
      </c>
      <c r="K2912" s="18">
        <v>5.74</v>
      </c>
      <c r="L2912" s="22">
        <v>8</v>
      </c>
    </row>
    <row r="2913" spans="1:12">
      <c r="A2913">
        <v>3</v>
      </c>
      <c r="B2913" s="16" t="s">
        <v>58</v>
      </c>
      <c r="C2913" s="9">
        <v>46082</v>
      </c>
      <c r="D2913">
        <v>55</v>
      </c>
      <c r="E2913" s="16" t="s">
        <v>145</v>
      </c>
      <c r="F2913" s="16" t="s">
        <v>83</v>
      </c>
      <c r="G2913" s="22">
        <v>8</v>
      </c>
      <c r="H2913" s="18">
        <v>46.99</v>
      </c>
      <c r="I2913" s="18">
        <v>5.8737500000000002</v>
      </c>
      <c r="J2913" s="18">
        <v>6.03</v>
      </c>
      <c r="K2913" s="18">
        <v>5.78</v>
      </c>
      <c r="L2913" s="22">
        <v>9</v>
      </c>
    </row>
    <row r="2914" spans="1:12">
      <c r="A2914">
        <v>3</v>
      </c>
      <c r="B2914" s="16" t="s">
        <v>58</v>
      </c>
      <c r="C2914" s="9">
        <v>46113</v>
      </c>
      <c r="D2914">
        <v>55</v>
      </c>
      <c r="E2914" s="16" t="s">
        <v>145</v>
      </c>
      <c r="F2914" s="16" t="s">
        <v>83</v>
      </c>
      <c r="G2914" s="22">
        <v>9</v>
      </c>
      <c r="H2914" s="18">
        <v>52.21</v>
      </c>
      <c r="I2914" s="18">
        <v>5.801111111</v>
      </c>
      <c r="J2914" s="18">
        <v>5.93</v>
      </c>
      <c r="K2914" s="18">
        <v>5.69</v>
      </c>
      <c r="L2914" s="22">
        <v>8</v>
      </c>
    </row>
    <row r="2915" spans="1:12">
      <c r="A2915">
        <v>3</v>
      </c>
      <c r="B2915" s="16" t="s">
        <v>58</v>
      </c>
      <c r="C2915" s="9">
        <v>46143</v>
      </c>
      <c r="D2915">
        <v>55</v>
      </c>
      <c r="E2915" s="16" t="s">
        <v>145</v>
      </c>
      <c r="F2915" s="16" t="s">
        <v>83</v>
      </c>
      <c r="G2915" s="22">
        <v>10.5</v>
      </c>
      <c r="H2915" s="18">
        <v>61.155000000000001</v>
      </c>
      <c r="I2915" s="18">
        <v>5.8242857140000002</v>
      </c>
      <c r="J2915" s="18">
        <v>5.94</v>
      </c>
      <c r="K2915" s="18">
        <v>5.72</v>
      </c>
      <c r="L2915" s="22">
        <v>8</v>
      </c>
    </row>
    <row r="2916" spans="1:12">
      <c r="A2916">
        <v>3</v>
      </c>
      <c r="B2916" s="16" t="s">
        <v>58</v>
      </c>
      <c r="C2916" s="9">
        <v>46174</v>
      </c>
      <c r="D2916">
        <v>55</v>
      </c>
      <c r="E2916" s="16" t="s">
        <v>145</v>
      </c>
      <c r="F2916" s="16" t="s">
        <v>83</v>
      </c>
      <c r="G2916" s="22">
        <v>11</v>
      </c>
      <c r="H2916" s="18">
        <v>63.29</v>
      </c>
      <c r="I2916" s="18">
        <v>5.7536363640000001</v>
      </c>
      <c r="J2916" s="18">
        <v>5.9</v>
      </c>
      <c r="K2916" s="18">
        <v>5.65</v>
      </c>
      <c r="L2916" s="22">
        <v>9</v>
      </c>
    </row>
    <row r="2917" spans="1:12">
      <c r="A2917">
        <v>3</v>
      </c>
      <c r="B2917" s="16" t="s">
        <v>58</v>
      </c>
      <c r="C2917" s="9">
        <v>46204</v>
      </c>
      <c r="D2917">
        <v>55</v>
      </c>
      <c r="E2917" s="16" t="s">
        <v>145</v>
      </c>
      <c r="F2917" s="16" t="s">
        <v>83</v>
      </c>
      <c r="G2917" s="22">
        <v>12</v>
      </c>
      <c r="H2917" s="18">
        <v>71.02</v>
      </c>
      <c r="I2917" s="18">
        <v>5.9183333329999996</v>
      </c>
      <c r="J2917" s="18">
        <v>6</v>
      </c>
      <c r="K2917" s="18">
        <v>5.78</v>
      </c>
      <c r="L2917" s="22">
        <v>8</v>
      </c>
    </row>
    <row r="2918" spans="1:12">
      <c r="A2918">
        <v>3</v>
      </c>
      <c r="B2918" s="16" t="s">
        <v>58</v>
      </c>
      <c r="C2918" s="9">
        <v>46235</v>
      </c>
      <c r="D2918">
        <v>55</v>
      </c>
      <c r="E2918" s="16" t="s">
        <v>145</v>
      </c>
      <c r="F2918" s="16" t="s">
        <v>83</v>
      </c>
      <c r="G2918" s="22">
        <v>9.5</v>
      </c>
      <c r="H2918" s="18">
        <v>56.61</v>
      </c>
      <c r="I2918" s="18">
        <v>5.9589473679999996</v>
      </c>
      <c r="J2918" s="18">
        <v>6.1</v>
      </c>
      <c r="K2918" s="18">
        <v>5.86</v>
      </c>
      <c r="L2918" s="22">
        <v>8</v>
      </c>
    </row>
    <row r="2919" spans="1:12">
      <c r="A2919">
        <v>3</v>
      </c>
      <c r="B2919" s="16" t="s">
        <v>58</v>
      </c>
      <c r="C2919" s="9">
        <v>46266</v>
      </c>
      <c r="D2919">
        <v>55</v>
      </c>
      <c r="E2919" s="16" t="s">
        <v>145</v>
      </c>
      <c r="F2919" s="16" t="s">
        <v>83</v>
      </c>
      <c r="G2919" s="22">
        <v>8</v>
      </c>
      <c r="H2919" s="18">
        <v>47.725000000000001</v>
      </c>
      <c r="I2919" s="18">
        <v>5.9656250000000002</v>
      </c>
      <c r="J2919" s="18">
        <v>6.04</v>
      </c>
      <c r="K2919" s="18">
        <v>5.9</v>
      </c>
      <c r="L2919" s="22">
        <v>9</v>
      </c>
    </row>
    <row r="2920" spans="1:12">
      <c r="A2920">
        <v>3</v>
      </c>
      <c r="B2920" s="16" t="s">
        <v>58</v>
      </c>
      <c r="C2920" s="9">
        <v>45689</v>
      </c>
      <c r="D2920">
        <v>56</v>
      </c>
      <c r="E2920" s="16" t="s">
        <v>146</v>
      </c>
      <c r="F2920" s="16" t="s">
        <v>138</v>
      </c>
      <c r="G2920" s="22">
        <v>14.5</v>
      </c>
      <c r="H2920" s="18">
        <v>104.57250000000001</v>
      </c>
      <c r="I2920" s="18">
        <v>7.2118965519999998</v>
      </c>
      <c r="J2920" s="18">
        <v>7.29</v>
      </c>
      <c r="K2920" s="18">
        <v>7.12</v>
      </c>
      <c r="L2920" s="22">
        <v>8</v>
      </c>
    </row>
    <row r="2921" spans="1:12">
      <c r="A2921">
        <v>3</v>
      </c>
      <c r="B2921" s="16" t="s">
        <v>58</v>
      </c>
      <c r="C2921" s="9">
        <v>45717</v>
      </c>
      <c r="D2921">
        <v>56</v>
      </c>
      <c r="E2921" s="16" t="s">
        <v>146</v>
      </c>
      <c r="F2921" s="16" t="s">
        <v>138</v>
      </c>
      <c r="G2921" s="22">
        <v>15.5</v>
      </c>
      <c r="H2921" s="18">
        <v>111.80249999999999</v>
      </c>
      <c r="I2921" s="18">
        <v>7.2130645160000002</v>
      </c>
      <c r="J2921" s="18">
        <v>7.4</v>
      </c>
      <c r="K2921" s="18">
        <v>7.1</v>
      </c>
      <c r="L2921" s="22">
        <v>8</v>
      </c>
    </row>
    <row r="2922" spans="1:12">
      <c r="A2922">
        <v>3</v>
      </c>
      <c r="B2922" s="16" t="s">
        <v>58</v>
      </c>
      <c r="C2922" s="9">
        <v>45748</v>
      </c>
      <c r="D2922">
        <v>56</v>
      </c>
      <c r="E2922" s="16" t="s">
        <v>146</v>
      </c>
      <c r="F2922" s="16" t="s">
        <v>138</v>
      </c>
      <c r="G2922" s="22">
        <v>28.25</v>
      </c>
      <c r="H2922" s="18">
        <v>206.01249999999999</v>
      </c>
      <c r="I2922" s="18">
        <v>7.2924778760000004</v>
      </c>
      <c r="J2922" s="18">
        <v>7.45</v>
      </c>
      <c r="K2922" s="18">
        <v>7.17</v>
      </c>
      <c r="L2922" s="22">
        <v>9</v>
      </c>
    </row>
    <row r="2923" spans="1:12">
      <c r="A2923">
        <v>3</v>
      </c>
      <c r="B2923" s="16" t="s">
        <v>58</v>
      </c>
      <c r="C2923" s="9">
        <v>45778</v>
      </c>
      <c r="D2923">
        <v>56</v>
      </c>
      <c r="E2923" s="16" t="s">
        <v>146</v>
      </c>
      <c r="F2923" s="16" t="s">
        <v>138</v>
      </c>
      <c r="G2923" s="22">
        <v>29.75</v>
      </c>
      <c r="H2923" s="18">
        <v>216.18</v>
      </c>
      <c r="I2923" s="18">
        <v>7.2665546220000001</v>
      </c>
      <c r="J2923" s="18">
        <v>7.47</v>
      </c>
      <c r="K2923" s="18">
        <v>7.14</v>
      </c>
      <c r="L2923" s="22">
        <v>9</v>
      </c>
    </row>
    <row r="2924" spans="1:12">
      <c r="A2924">
        <v>3</v>
      </c>
      <c r="B2924" s="16" t="s">
        <v>58</v>
      </c>
      <c r="C2924" s="9">
        <v>45809</v>
      </c>
      <c r="D2924">
        <v>56</v>
      </c>
      <c r="E2924" s="16" t="s">
        <v>146</v>
      </c>
      <c r="F2924" s="16" t="s">
        <v>138</v>
      </c>
      <c r="G2924" s="22">
        <v>38.5</v>
      </c>
      <c r="H2924" s="18">
        <v>282.63499999999999</v>
      </c>
      <c r="I2924" s="18">
        <v>7.3411688310000001</v>
      </c>
      <c r="J2924" s="18">
        <v>7.45</v>
      </c>
      <c r="K2924" s="18">
        <v>7.24</v>
      </c>
      <c r="L2924" s="22">
        <v>8</v>
      </c>
    </row>
    <row r="2925" spans="1:12">
      <c r="A2925">
        <v>3</v>
      </c>
      <c r="B2925" s="16" t="s">
        <v>58</v>
      </c>
      <c r="C2925" s="9">
        <v>45839</v>
      </c>
      <c r="D2925">
        <v>56</v>
      </c>
      <c r="E2925" s="16" t="s">
        <v>146</v>
      </c>
      <c r="F2925" s="16" t="s">
        <v>138</v>
      </c>
      <c r="G2925" s="22">
        <v>47.25</v>
      </c>
      <c r="H2925" s="18">
        <v>350.8775</v>
      </c>
      <c r="I2925" s="18">
        <v>7.4259788359999996</v>
      </c>
      <c r="J2925" s="18">
        <v>7.64</v>
      </c>
      <c r="K2925" s="18">
        <v>7.22</v>
      </c>
      <c r="L2925" s="22">
        <v>9</v>
      </c>
    </row>
    <row r="2926" spans="1:12">
      <c r="A2926">
        <v>3</v>
      </c>
      <c r="B2926" s="16" t="s">
        <v>58</v>
      </c>
      <c r="C2926" s="9">
        <v>45870</v>
      </c>
      <c r="D2926">
        <v>56</v>
      </c>
      <c r="E2926" s="16" t="s">
        <v>146</v>
      </c>
      <c r="F2926" s="16" t="s">
        <v>138</v>
      </c>
      <c r="G2926" s="22">
        <v>49</v>
      </c>
      <c r="H2926" s="18">
        <v>368.63</v>
      </c>
      <c r="I2926" s="18">
        <v>7.5230612240000001</v>
      </c>
      <c r="J2926" s="18">
        <v>7.72</v>
      </c>
      <c r="K2926" s="18">
        <v>7.41</v>
      </c>
      <c r="L2926" s="22">
        <v>9</v>
      </c>
    </row>
    <row r="2927" spans="1:12">
      <c r="A2927">
        <v>3</v>
      </c>
      <c r="B2927" s="16" t="s">
        <v>58</v>
      </c>
      <c r="C2927" s="9">
        <v>45901</v>
      </c>
      <c r="D2927">
        <v>56</v>
      </c>
      <c r="E2927" s="16" t="s">
        <v>146</v>
      </c>
      <c r="F2927" s="16" t="s">
        <v>138</v>
      </c>
      <c r="G2927" s="22">
        <v>30.75</v>
      </c>
      <c r="H2927" s="18">
        <v>230.92</v>
      </c>
      <c r="I2927" s="18">
        <v>7.5095934959999999</v>
      </c>
      <c r="J2927" s="18">
        <v>7.62</v>
      </c>
      <c r="K2927" s="18">
        <v>7.24</v>
      </c>
      <c r="L2927" s="22">
        <v>9</v>
      </c>
    </row>
    <row r="2928" spans="1:12">
      <c r="A2928">
        <v>3</v>
      </c>
      <c r="B2928" s="16" t="s">
        <v>58</v>
      </c>
      <c r="C2928" s="9">
        <v>45931</v>
      </c>
      <c r="D2928">
        <v>56</v>
      </c>
      <c r="E2928" s="16" t="s">
        <v>146</v>
      </c>
      <c r="F2928" s="16" t="s">
        <v>138</v>
      </c>
      <c r="G2928" s="22">
        <v>20.75</v>
      </c>
      <c r="H2928" s="18">
        <v>156.66499999999999</v>
      </c>
      <c r="I2928" s="18">
        <v>7.5501204819999996</v>
      </c>
      <c r="J2928" s="18">
        <v>7.69</v>
      </c>
      <c r="K2928" s="18">
        <v>7.46</v>
      </c>
      <c r="L2928" s="22">
        <v>9</v>
      </c>
    </row>
    <row r="2929" spans="1:12">
      <c r="A2929">
        <v>3</v>
      </c>
      <c r="B2929" s="16" t="s">
        <v>58</v>
      </c>
      <c r="C2929" s="9">
        <v>45962</v>
      </c>
      <c r="D2929">
        <v>56</v>
      </c>
      <c r="E2929" s="16" t="s">
        <v>146</v>
      </c>
      <c r="F2929" s="16" t="s">
        <v>138</v>
      </c>
      <c r="G2929" s="22">
        <v>12.75</v>
      </c>
      <c r="H2929" s="18">
        <v>101.3425</v>
      </c>
      <c r="I2929" s="18">
        <v>7.948431373</v>
      </c>
      <c r="J2929" s="18">
        <v>8.5399999999999991</v>
      </c>
      <c r="K2929" s="18">
        <v>7.44</v>
      </c>
      <c r="L2929" s="22">
        <v>8</v>
      </c>
    </row>
    <row r="2930" spans="1:12">
      <c r="A2930">
        <v>3</v>
      </c>
      <c r="B2930" s="16" t="s">
        <v>58</v>
      </c>
      <c r="C2930" s="9">
        <v>45992</v>
      </c>
      <c r="D2930">
        <v>56</v>
      </c>
      <c r="E2930" s="16" t="s">
        <v>146</v>
      </c>
      <c r="F2930" s="16" t="s">
        <v>138</v>
      </c>
      <c r="G2930" s="22">
        <v>11.5</v>
      </c>
      <c r="H2930" s="18">
        <v>98.042500000000004</v>
      </c>
      <c r="I2930" s="18">
        <v>8.5254347829999997</v>
      </c>
      <c r="J2930" s="18">
        <v>8.67</v>
      </c>
      <c r="K2930" s="18">
        <v>8.3699999999999992</v>
      </c>
      <c r="L2930" s="22">
        <v>8</v>
      </c>
    </row>
    <row r="2931" spans="1:12">
      <c r="A2931">
        <v>3</v>
      </c>
      <c r="B2931" s="16" t="s">
        <v>58</v>
      </c>
      <c r="C2931" s="9">
        <v>46023</v>
      </c>
      <c r="D2931">
        <v>56</v>
      </c>
      <c r="E2931" s="16" t="s">
        <v>146</v>
      </c>
      <c r="F2931" s="16" t="s">
        <v>138</v>
      </c>
      <c r="G2931" s="22">
        <v>15.5</v>
      </c>
      <c r="H2931" s="18">
        <v>117.92749999999999</v>
      </c>
      <c r="I2931" s="18">
        <v>7.6082258060000001</v>
      </c>
      <c r="J2931" s="18">
        <v>7.67</v>
      </c>
      <c r="K2931" s="18">
        <v>7.52</v>
      </c>
      <c r="L2931" s="22">
        <v>9</v>
      </c>
    </row>
    <row r="2932" spans="1:12">
      <c r="A2932">
        <v>3</v>
      </c>
      <c r="B2932" s="16" t="s">
        <v>58</v>
      </c>
      <c r="C2932" s="9">
        <v>46054</v>
      </c>
      <c r="D2932">
        <v>56</v>
      </c>
      <c r="E2932" s="16" t="s">
        <v>146</v>
      </c>
      <c r="F2932" s="16" t="s">
        <v>138</v>
      </c>
      <c r="G2932" s="22">
        <v>15.25</v>
      </c>
      <c r="H2932" s="18">
        <v>114.8075</v>
      </c>
      <c r="I2932" s="18">
        <v>7.5283606560000003</v>
      </c>
      <c r="J2932" s="18">
        <v>7.64</v>
      </c>
      <c r="K2932" s="18">
        <v>7.42</v>
      </c>
      <c r="L2932" s="22">
        <v>8</v>
      </c>
    </row>
    <row r="2933" spans="1:12">
      <c r="A2933">
        <v>3</v>
      </c>
      <c r="B2933" s="16" t="s">
        <v>58</v>
      </c>
      <c r="C2933" s="9">
        <v>46082</v>
      </c>
      <c r="D2933">
        <v>56</v>
      </c>
      <c r="E2933" s="16" t="s">
        <v>146</v>
      </c>
      <c r="F2933" s="16" t="s">
        <v>138</v>
      </c>
      <c r="G2933" s="22">
        <v>17.5</v>
      </c>
      <c r="H2933" s="18">
        <v>132.95249999999999</v>
      </c>
      <c r="I2933" s="18">
        <v>7.5972857139999999</v>
      </c>
      <c r="J2933" s="18">
        <v>7.69</v>
      </c>
      <c r="K2933" s="18">
        <v>7.45</v>
      </c>
      <c r="L2933" s="22">
        <v>9</v>
      </c>
    </row>
    <row r="2934" spans="1:12">
      <c r="A2934">
        <v>3</v>
      </c>
      <c r="B2934" s="16" t="s">
        <v>58</v>
      </c>
      <c r="C2934" s="9">
        <v>46113</v>
      </c>
      <c r="D2934">
        <v>56</v>
      </c>
      <c r="E2934" s="16" t="s">
        <v>146</v>
      </c>
      <c r="F2934" s="16" t="s">
        <v>138</v>
      </c>
      <c r="G2934" s="22">
        <v>20.25</v>
      </c>
      <c r="H2934" s="18">
        <v>158.39500000000001</v>
      </c>
      <c r="I2934" s="18">
        <v>7.8219753089999999</v>
      </c>
      <c r="J2934" s="18">
        <v>8.2899999999999991</v>
      </c>
      <c r="K2934" s="18">
        <v>7.52</v>
      </c>
      <c r="L2934" s="22">
        <v>8</v>
      </c>
    </row>
    <row r="2935" spans="1:12">
      <c r="A2935">
        <v>3</v>
      </c>
      <c r="B2935" s="16" t="s">
        <v>58</v>
      </c>
      <c r="C2935" s="9">
        <v>46143</v>
      </c>
      <c r="D2935">
        <v>56</v>
      </c>
      <c r="E2935" s="16" t="s">
        <v>146</v>
      </c>
      <c r="F2935" s="16" t="s">
        <v>138</v>
      </c>
      <c r="G2935" s="22">
        <v>32</v>
      </c>
      <c r="H2935" s="18">
        <v>253.57249999999999</v>
      </c>
      <c r="I2935" s="18">
        <v>7.9241406249999997</v>
      </c>
      <c r="J2935" s="18">
        <v>8.5500000000000007</v>
      </c>
      <c r="K2935" s="18">
        <v>7.74</v>
      </c>
      <c r="L2935" s="22">
        <v>9</v>
      </c>
    </row>
    <row r="2936" spans="1:12">
      <c r="A2936">
        <v>3</v>
      </c>
      <c r="B2936" s="16" t="s">
        <v>58</v>
      </c>
      <c r="C2936" s="9">
        <v>46174</v>
      </c>
      <c r="D2936">
        <v>56</v>
      </c>
      <c r="E2936" s="16" t="s">
        <v>146</v>
      </c>
      <c r="F2936" s="16" t="s">
        <v>138</v>
      </c>
      <c r="G2936" s="22">
        <v>37</v>
      </c>
      <c r="H2936" s="18">
        <v>290.67500000000001</v>
      </c>
      <c r="I2936" s="18">
        <v>7.8560810810000001</v>
      </c>
      <c r="J2936" s="18">
        <v>8.02</v>
      </c>
      <c r="K2936" s="18">
        <v>7.71</v>
      </c>
      <c r="L2936" s="22">
        <v>9</v>
      </c>
    </row>
    <row r="2937" spans="1:12">
      <c r="A2937">
        <v>3</v>
      </c>
      <c r="B2937" s="16" t="s">
        <v>58</v>
      </c>
      <c r="C2937" s="9">
        <v>46204</v>
      </c>
      <c r="D2937">
        <v>56</v>
      </c>
      <c r="E2937" s="16" t="s">
        <v>146</v>
      </c>
      <c r="F2937" s="16" t="s">
        <v>138</v>
      </c>
      <c r="G2937" s="22">
        <v>34.75</v>
      </c>
      <c r="H2937" s="18">
        <v>274.3775</v>
      </c>
      <c r="I2937" s="18">
        <v>7.8957553960000002</v>
      </c>
      <c r="J2937" s="18">
        <v>8.01</v>
      </c>
      <c r="K2937" s="18">
        <v>7.76</v>
      </c>
      <c r="L2937" s="22">
        <v>9</v>
      </c>
    </row>
    <row r="2938" spans="1:12">
      <c r="A2938">
        <v>3</v>
      </c>
      <c r="B2938" s="16" t="s">
        <v>58</v>
      </c>
      <c r="C2938" s="9">
        <v>46235</v>
      </c>
      <c r="D2938">
        <v>56</v>
      </c>
      <c r="E2938" s="16" t="s">
        <v>146</v>
      </c>
      <c r="F2938" s="16" t="s">
        <v>138</v>
      </c>
      <c r="G2938" s="22">
        <v>28</v>
      </c>
      <c r="H2938" s="18">
        <v>222.45750000000001</v>
      </c>
      <c r="I2938" s="18">
        <v>7.9449107139999997</v>
      </c>
      <c r="J2938" s="18">
        <v>8.11</v>
      </c>
      <c r="K2938" s="18">
        <v>7.82</v>
      </c>
      <c r="L2938" s="22">
        <v>8</v>
      </c>
    </row>
    <row r="2939" spans="1:12">
      <c r="A2939">
        <v>3</v>
      </c>
      <c r="B2939" s="16" t="s">
        <v>58</v>
      </c>
      <c r="C2939" s="9">
        <v>46266</v>
      </c>
      <c r="D2939">
        <v>56</v>
      </c>
      <c r="E2939" s="16" t="s">
        <v>146</v>
      </c>
      <c r="F2939" s="16" t="s">
        <v>138</v>
      </c>
      <c r="G2939" s="22">
        <v>21.5</v>
      </c>
      <c r="H2939" s="18">
        <v>171.41499999999999</v>
      </c>
      <c r="I2939" s="18">
        <v>7.9727906979999998</v>
      </c>
      <c r="J2939" s="18">
        <v>8.07</v>
      </c>
      <c r="K2939" s="18">
        <v>7.84</v>
      </c>
      <c r="L2939" s="22">
        <v>9</v>
      </c>
    </row>
    <row r="2940" spans="1:12">
      <c r="A2940">
        <v>4</v>
      </c>
      <c r="B2940" s="16" t="s">
        <v>59</v>
      </c>
      <c r="C2940" s="9">
        <v>45689</v>
      </c>
      <c r="D2940">
        <v>1</v>
      </c>
      <c r="E2940" s="16" t="s">
        <v>80</v>
      </c>
      <c r="F2940" s="16" t="s">
        <v>81</v>
      </c>
      <c r="G2940" s="22">
        <v>6</v>
      </c>
      <c r="H2940" s="18">
        <v>69.48</v>
      </c>
      <c r="I2940" s="18">
        <v>11.58</v>
      </c>
      <c r="J2940" s="18">
        <v>11.58</v>
      </c>
      <c r="K2940" s="18">
        <v>11.58</v>
      </c>
      <c r="L2940" s="22">
        <v>1</v>
      </c>
    </row>
    <row r="2941" spans="1:12">
      <c r="A2941">
        <v>4</v>
      </c>
      <c r="B2941" s="16" t="s">
        <v>59</v>
      </c>
      <c r="C2941" s="9">
        <v>45717</v>
      </c>
      <c r="D2941">
        <v>1</v>
      </c>
      <c r="E2941" s="16" t="s">
        <v>80</v>
      </c>
      <c r="F2941" s="16" t="s">
        <v>81</v>
      </c>
      <c r="G2941" s="22">
        <v>12</v>
      </c>
      <c r="H2941" s="18">
        <v>166.02</v>
      </c>
      <c r="I2941" s="18">
        <v>13.835000000000001</v>
      </c>
      <c r="J2941" s="18">
        <v>14.01</v>
      </c>
      <c r="K2941" s="18">
        <v>13.66</v>
      </c>
      <c r="L2941" s="22">
        <v>2</v>
      </c>
    </row>
    <row r="2942" spans="1:12">
      <c r="A2942">
        <v>4</v>
      </c>
      <c r="B2942" s="16" t="s">
        <v>59</v>
      </c>
      <c r="C2942" s="9">
        <v>45748</v>
      </c>
      <c r="D2942">
        <v>1</v>
      </c>
      <c r="E2942" s="16" t="s">
        <v>80</v>
      </c>
      <c r="F2942" s="16" t="s">
        <v>81</v>
      </c>
      <c r="G2942" s="22">
        <v>18</v>
      </c>
      <c r="H2942" s="18">
        <v>250.2</v>
      </c>
      <c r="I2942" s="18">
        <v>13.9</v>
      </c>
      <c r="J2942" s="18">
        <v>14.18</v>
      </c>
      <c r="K2942" s="18">
        <v>13.7</v>
      </c>
      <c r="L2942" s="22">
        <v>3</v>
      </c>
    </row>
    <row r="2943" spans="1:12">
      <c r="A2943">
        <v>4</v>
      </c>
      <c r="B2943" s="16" t="s">
        <v>59</v>
      </c>
      <c r="C2943" s="9">
        <v>45778</v>
      </c>
      <c r="D2943">
        <v>1</v>
      </c>
      <c r="E2943" s="16" t="s">
        <v>80</v>
      </c>
      <c r="F2943" s="16" t="s">
        <v>81</v>
      </c>
      <c r="G2943" s="22">
        <v>12</v>
      </c>
      <c r="H2943" s="18">
        <v>170.34</v>
      </c>
      <c r="I2943" s="18">
        <v>14.195</v>
      </c>
      <c r="J2943" s="18">
        <v>14.23</v>
      </c>
      <c r="K2943" s="18">
        <v>14.16</v>
      </c>
      <c r="L2943" s="22">
        <v>2</v>
      </c>
    </row>
    <row r="2944" spans="1:12">
      <c r="A2944">
        <v>4</v>
      </c>
      <c r="B2944" s="16" t="s">
        <v>59</v>
      </c>
      <c r="C2944" s="9">
        <v>45809</v>
      </c>
      <c r="D2944">
        <v>1</v>
      </c>
      <c r="E2944" s="16" t="s">
        <v>80</v>
      </c>
      <c r="F2944" s="16" t="s">
        <v>81</v>
      </c>
      <c r="G2944" s="22">
        <v>12</v>
      </c>
      <c r="H2944" s="18">
        <v>169.98</v>
      </c>
      <c r="I2944" s="18">
        <v>14.164999999999999</v>
      </c>
      <c r="J2944" s="18">
        <v>14.17</v>
      </c>
      <c r="K2944" s="18">
        <v>14.16</v>
      </c>
      <c r="L2944" s="22">
        <v>2</v>
      </c>
    </row>
    <row r="2945" spans="1:12">
      <c r="A2945">
        <v>4</v>
      </c>
      <c r="B2945" s="16" t="s">
        <v>59</v>
      </c>
      <c r="C2945" s="9">
        <v>45839</v>
      </c>
      <c r="D2945">
        <v>1</v>
      </c>
      <c r="E2945" s="16" t="s">
        <v>80</v>
      </c>
      <c r="F2945" s="16" t="s">
        <v>81</v>
      </c>
      <c r="G2945" s="22">
        <v>18</v>
      </c>
      <c r="H2945" s="18">
        <v>208.68</v>
      </c>
      <c r="I2945" s="18">
        <v>11.593333333</v>
      </c>
      <c r="J2945" s="18">
        <v>11.78</v>
      </c>
      <c r="K2945" s="18">
        <v>11.5</v>
      </c>
      <c r="L2945" s="22">
        <v>2</v>
      </c>
    </row>
    <row r="2946" spans="1:12">
      <c r="A2946">
        <v>4</v>
      </c>
      <c r="B2946" s="16" t="s">
        <v>59</v>
      </c>
      <c r="C2946" s="9">
        <v>45870</v>
      </c>
      <c r="D2946">
        <v>1</v>
      </c>
      <c r="E2946" s="16" t="s">
        <v>80</v>
      </c>
      <c r="F2946" s="16" t="s">
        <v>81</v>
      </c>
      <c r="G2946" s="22">
        <v>12</v>
      </c>
      <c r="H2946" s="18">
        <v>139.62</v>
      </c>
      <c r="I2946" s="18">
        <v>11.635</v>
      </c>
      <c r="J2946" s="18">
        <v>11.77</v>
      </c>
      <c r="K2946" s="18">
        <v>11.5</v>
      </c>
      <c r="L2946" s="22">
        <v>2</v>
      </c>
    </row>
    <row r="2947" spans="1:12">
      <c r="A2947">
        <v>4</v>
      </c>
      <c r="B2947" s="16" t="s">
        <v>59</v>
      </c>
      <c r="C2947" s="9">
        <v>45901</v>
      </c>
      <c r="D2947">
        <v>1</v>
      </c>
      <c r="E2947" s="16" t="s">
        <v>80</v>
      </c>
      <c r="F2947" s="16" t="s">
        <v>81</v>
      </c>
      <c r="G2947" s="22">
        <v>18</v>
      </c>
      <c r="H2947" s="18">
        <v>211.5</v>
      </c>
      <c r="I2947" s="18">
        <v>11.75</v>
      </c>
      <c r="J2947" s="18">
        <v>11.98</v>
      </c>
      <c r="K2947" s="18">
        <v>11.56</v>
      </c>
      <c r="L2947" s="22">
        <v>3</v>
      </c>
    </row>
    <row r="2948" spans="1:12">
      <c r="A2948">
        <v>4</v>
      </c>
      <c r="B2948" s="16" t="s">
        <v>59</v>
      </c>
      <c r="C2948" s="9">
        <v>45931</v>
      </c>
      <c r="D2948">
        <v>1</v>
      </c>
      <c r="E2948" s="16" t="s">
        <v>80</v>
      </c>
      <c r="F2948" s="16" t="s">
        <v>81</v>
      </c>
      <c r="G2948" s="22">
        <v>12</v>
      </c>
      <c r="H2948" s="18">
        <v>143.1</v>
      </c>
      <c r="I2948" s="18">
        <v>11.925000000000001</v>
      </c>
      <c r="J2948" s="18">
        <v>12.05</v>
      </c>
      <c r="K2948" s="18">
        <v>11.8</v>
      </c>
      <c r="L2948" s="22">
        <v>2</v>
      </c>
    </row>
    <row r="2949" spans="1:12">
      <c r="A2949">
        <v>4</v>
      </c>
      <c r="B2949" s="16" t="s">
        <v>59</v>
      </c>
      <c r="C2949" s="9">
        <v>45962</v>
      </c>
      <c r="D2949">
        <v>1</v>
      </c>
      <c r="E2949" s="16" t="s">
        <v>80</v>
      </c>
      <c r="F2949" s="16" t="s">
        <v>81</v>
      </c>
      <c r="G2949" s="22">
        <v>12</v>
      </c>
      <c r="H2949" s="18">
        <v>142.02000000000001</v>
      </c>
      <c r="I2949" s="18">
        <v>11.835000000000001</v>
      </c>
      <c r="J2949" s="18">
        <v>11.85</v>
      </c>
      <c r="K2949" s="18">
        <v>11.82</v>
      </c>
      <c r="L2949" s="22">
        <v>2</v>
      </c>
    </row>
    <row r="2950" spans="1:12">
      <c r="A2950">
        <v>4</v>
      </c>
      <c r="B2950" s="16" t="s">
        <v>59</v>
      </c>
      <c r="C2950" s="9">
        <v>45992</v>
      </c>
      <c r="D2950">
        <v>1</v>
      </c>
      <c r="E2950" s="16" t="s">
        <v>80</v>
      </c>
      <c r="F2950" s="16" t="s">
        <v>81</v>
      </c>
      <c r="G2950" s="22">
        <v>12</v>
      </c>
      <c r="H2950" s="18">
        <v>144.9</v>
      </c>
      <c r="I2950" s="18">
        <v>12.074999999999999</v>
      </c>
      <c r="J2950" s="18">
        <v>12.09</v>
      </c>
      <c r="K2950" s="18">
        <v>12.06</v>
      </c>
      <c r="L2950" s="22">
        <v>2</v>
      </c>
    </row>
    <row r="2951" spans="1:12">
      <c r="A2951">
        <v>4</v>
      </c>
      <c r="B2951" s="16" t="s">
        <v>59</v>
      </c>
      <c r="C2951" s="9">
        <v>46023</v>
      </c>
      <c r="D2951">
        <v>1</v>
      </c>
      <c r="E2951" s="16" t="s">
        <v>80</v>
      </c>
      <c r="F2951" s="16" t="s">
        <v>81</v>
      </c>
      <c r="G2951" s="22">
        <v>6</v>
      </c>
      <c r="H2951" s="18">
        <v>72.72</v>
      </c>
      <c r="I2951" s="18">
        <v>12.12</v>
      </c>
      <c r="J2951" s="18">
        <v>12.12</v>
      </c>
      <c r="K2951" s="18">
        <v>12.12</v>
      </c>
      <c r="L2951" s="22">
        <v>1</v>
      </c>
    </row>
    <row r="2952" spans="1:12">
      <c r="A2952">
        <v>4</v>
      </c>
      <c r="B2952" s="16" t="s">
        <v>59</v>
      </c>
      <c r="C2952" s="9">
        <v>46054</v>
      </c>
      <c r="D2952">
        <v>1</v>
      </c>
      <c r="E2952" s="16" t="s">
        <v>80</v>
      </c>
      <c r="F2952" s="16" t="s">
        <v>81</v>
      </c>
      <c r="G2952" s="22">
        <v>12</v>
      </c>
      <c r="H2952" s="18">
        <v>140.69999999999999</v>
      </c>
      <c r="I2952" s="18">
        <v>11.725</v>
      </c>
      <c r="J2952" s="18">
        <v>11.79</v>
      </c>
      <c r="K2952" s="18">
        <v>11.66</v>
      </c>
      <c r="L2952" s="22">
        <v>2</v>
      </c>
    </row>
    <row r="2953" spans="1:12">
      <c r="A2953">
        <v>4</v>
      </c>
      <c r="B2953" s="16" t="s">
        <v>59</v>
      </c>
      <c r="C2953" s="9">
        <v>46082</v>
      </c>
      <c r="D2953">
        <v>1</v>
      </c>
      <c r="E2953" s="16" t="s">
        <v>80</v>
      </c>
      <c r="F2953" s="16" t="s">
        <v>81</v>
      </c>
      <c r="G2953" s="22">
        <v>18</v>
      </c>
      <c r="H2953" s="18">
        <v>257.16000000000003</v>
      </c>
      <c r="I2953" s="18">
        <v>14.286666667</v>
      </c>
      <c r="J2953" s="18">
        <v>14.41</v>
      </c>
      <c r="K2953" s="18">
        <v>14.2</v>
      </c>
      <c r="L2953" s="22">
        <v>3</v>
      </c>
    </row>
    <row r="2954" spans="1:12">
      <c r="A2954">
        <v>4</v>
      </c>
      <c r="B2954" s="16" t="s">
        <v>59</v>
      </c>
      <c r="C2954" s="9">
        <v>46113</v>
      </c>
      <c r="D2954">
        <v>1</v>
      </c>
      <c r="E2954" s="16" t="s">
        <v>80</v>
      </c>
      <c r="F2954" s="16" t="s">
        <v>81</v>
      </c>
      <c r="G2954" s="22">
        <v>12</v>
      </c>
      <c r="H2954" s="18">
        <v>170.52</v>
      </c>
      <c r="I2954" s="18">
        <v>14.21</v>
      </c>
      <c r="J2954" s="18">
        <v>14.36</v>
      </c>
      <c r="K2954" s="18">
        <v>14.06</v>
      </c>
      <c r="L2954" s="22">
        <v>2</v>
      </c>
    </row>
    <row r="2955" spans="1:12">
      <c r="A2955">
        <v>4</v>
      </c>
      <c r="B2955" s="16" t="s">
        <v>59</v>
      </c>
      <c r="C2955" s="9">
        <v>46143</v>
      </c>
      <c r="D2955">
        <v>1</v>
      </c>
      <c r="E2955" s="16" t="s">
        <v>80</v>
      </c>
      <c r="F2955" s="16" t="s">
        <v>81</v>
      </c>
      <c r="G2955" s="22">
        <v>12</v>
      </c>
      <c r="H2955" s="18">
        <v>174.36</v>
      </c>
      <c r="I2955" s="18">
        <v>14.53</v>
      </c>
      <c r="J2955" s="18">
        <v>14.56</v>
      </c>
      <c r="K2955" s="18">
        <v>14.5</v>
      </c>
      <c r="L2955" s="22">
        <v>2</v>
      </c>
    </row>
    <row r="2956" spans="1:12">
      <c r="A2956">
        <v>4</v>
      </c>
      <c r="B2956" s="16" t="s">
        <v>59</v>
      </c>
      <c r="C2956" s="9">
        <v>46174</v>
      </c>
      <c r="D2956">
        <v>1</v>
      </c>
      <c r="E2956" s="16" t="s">
        <v>80</v>
      </c>
      <c r="F2956" s="16" t="s">
        <v>81</v>
      </c>
      <c r="G2956" s="22">
        <v>12</v>
      </c>
      <c r="H2956" s="18">
        <v>168.12</v>
      </c>
      <c r="I2956" s="18">
        <v>14.01</v>
      </c>
      <c r="J2956" s="18">
        <v>14.07</v>
      </c>
      <c r="K2956" s="18">
        <v>13.95</v>
      </c>
      <c r="L2956" s="22">
        <v>2</v>
      </c>
    </row>
    <row r="2957" spans="1:12">
      <c r="A2957">
        <v>4</v>
      </c>
      <c r="B2957" s="16" t="s">
        <v>59</v>
      </c>
      <c r="C2957" s="9">
        <v>46204</v>
      </c>
      <c r="D2957">
        <v>1</v>
      </c>
      <c r="E2957" s="16" t="s">
        <v>80</v>
      </c>
      <c r="F2957" s="16" t="s">
        <v>81</v>
      </c>
      <c r="G2957" s="22">
        <v>12</v>
      </c>
      <c r="H2957" s="18">
        <v>147.54</v>
      </c>
      <c r="I2957" s="18">
        <v>12.295</v>
      </c>
      <c r="J2957" s="18">
        <v>12.3</v>
      </c>
      <c r="K2957" s="18">
        <v>12.29</v>
      </c>
      <c r="L2957" s="22">
        <v>2</v>
      </c>
    </row>
    <row r="2958" spans="1:12">
      <c r="A2958">
        <v>4</v>
      </c>
      <c r="B2958" s="16" t="s">
        <v>59</v>
      </c>
      <c r="C2958" s="9">
        <v>46235</v>
      </c>
      <c r="D2958">
        <v>1</v>
      </c>
      <c r="E2958" s="16" t="s">
        <v>80</v>
      </c>
      <c r="F2958" s="16" t="s">
        <v>81</v>
      </c>
      <c r="G2958" s="22">
        <v>12</v>
      </c>
      <c r="H2958" s="18">
        <v>147.9</v>
      </c>
      <c r="I2958" s="18">
        <v>12.324999999999999</v>
      </c>
      <c r="J2958" s="18">
        <v>12.74</v>
      </c>
      <c r="K2958" s="18">
        <v>11.91</v>
      </c>
      <c r="L2958" s="22">
        <v>2</v>
      </c>
    </row>
    <row r="2959" spans="1:12">
      <c r="A2959">
        <v>4</v>
      </c>
      <c r="B2959" s="16" t="s">
        <v>59</v>
      </c>
      <c r="C2959" s="9">
        <v>46266</v>
      </c>
      <c r="D2959">
        <v>1</v>
      </c>
      <c r="E2959" s="16" t="s">
        <v>80</v>
      </c>
      <c r="F2959" s="16" t="s">
        <v>81</v>
      </c>
      <c r="G2959" s="22">
        <v>18</v>
      </c>
      <c r="H2959" s="18">
        <v>215.94</v>
      </c>
      <c r="I2959" s="18">
        <v>11.996666667</v>
      </c>
      <c r="J2959" s="18">
        <v>12.09</v>
      </c>
      <c r="K2959" s="18">
        <v>11.82</v>
      </c>
      <c r="L2959" s="22">
        <v>3</v>
      </c>
    </row>
    <row r="2960" spans="1:12">
      <c r="A2960">
        <v>4</v>
      </c>
      <c r="B2960" s="16" t="s">
        <v>59</v>
      </c>
      <c r="C2960" s="9">
        <v>45689</v>
      </c>
      <c r="D2960">
        <v>2</v>
      </c>
      <c r="E2960" s="16" t="s">
        <v>82</v>
      </c>
      <c r="F2960" s="16" t="s">
        <v>83</v>
      </c>
      <c r="G2960" s="22">
        <v>14.5</v>
      </c>
      <c r="H2960" s="18">
        <v>213.47</v>
      </c>
      <c r="I2960" s="18">
        <v>14.722068966</v>
      </c>
      <c r="J2960" s="18">
        <v>14.97</v>
      </c>
      <c r="K2960" s="18">
        <v>14.44</v>
      </c>
      <c r="L2960" s="22">
        <v>8</v>
      </c>
    </row>
    <row r="2961" spans="1:12">
      <c r="A2961">
        <v>4</v>
      </c>
      <c r="B2961" s="16" t="s">
        <v>59</v>
      </c>
      <c r="C2961" s="9">
        <v>45717</v>
      </c>
      <c r="D2961">
        <v>2</v>
      </c>
      <c r="E2961" s="16" t="s">
        <v>82</v>
      </c>
      <c r="F2961" s="16" t="s">
        <v>83</v>
      </c>
      <c r="G2961" s="22">
        <v>13.5</v>
      </c>
      <c r="H2961" s="18">
        <v>198.89500000000001</v>
      </c>
      <c r="I2961" s="18">
        <v>14.732962963</v>
      </c>
      <c r="J2961" s="18">
        <v>14.89</v>
      </c>
      <c r="K2961" s="18">
        <v>14.49</v>
      </c>
      <c r="L2961" s="22">
        <v>9</v>
      </c>
    </row>
    <row r="2962" spans="1:12">
      <c r="A2962">
        <v>4</v>
      </c>
      <c r="B2962" s="16" t="s">
        <v>59</v>
      </c>
      <c r="C2962" s="9">
        <v>45748</v>
      </c>
      <c r="D2962">
        <v>2</v>
      </c>
      <c r="E2962" s="16" t="s">
        <v>82</v>
      </c>
      <c r="F2962" s="16" t="s">
        <v>83</v>
      </c>
      <c r="G2962" s="22">
        <v>15.5</v>
      </c>
      <c r="H2962" s="18">
        <v>231.81</v>
      </c>
      <c r="I2962" s="18">
        <v>14.955483871</v>
      </c>
      <c r="J2962" s="18">
        <v>15.38</v>
      </c>
      <c r="K2962" s="18">
        <v>14.39</v>
      </c>
      <c r="L2962" s="22">
        <v>8</v>
      </c>
    </row>
    <row r="2963" spans="1:12">
      <c r="A2963">
        <v>4</v>
      </c>
      <c r="B2963" s="16" t="s">
        <v>59</v>
      </c>
      <c r="C2963" s="9">
        <v>45778</v>
      </c>
      <c r="D2963">
        <v>2</v>
      </c>
      <c r="E2963" s="16" t="s">
        <v>82</v>
      </c>
      <c r="F2963" s="16" t="s">
        <v>83</v>
      </c>
      <c r="G2963" s="22">
        <v>16</v>
      </c>
      <c r="H2963" s="18">
        <v>238.03</v>
      </c>
      <c r="I2963" s="18">
        <v>14.876875</v>
      </c>
      <c r="J2963" s="18">
        <v>15.03</v>
      </c>
      <c r="K2963" s="18">
        <v>14.75</v>
      </c>
      <c r="L2963" s="22">
        <v>9</v>
      </c>
    </row>
    <row r="2964" spans="1:12">
      <c r="A2964">
        <v>4</v>
      </c>
      <c r="B2964" s="16" t="s">
        <v>59</v>
      </c>
      <c r="C2964" s="9">
        <v>45809</v>
      </c>
      <c r="D2964">
        <v>2</v>
      </c>
      <c r="E2964" s="16" t="s">
        <v>82</v>
      </c>
      <c r="F2964" s="16" t="s">
        <v>83</v>
      </c>
      <c r="G2964" s="22">
        <v>14</v>
      </c>
      <c r="H2964" s="18">
        <v>210.6</v>
      </c>
      <c r="I2964" s="18">
        <v>15.042857143000001</v>
      </c>
      <c r="J2964" s="18">
        <v>15.57</v>
      </c>
      <c r="K2964" s="18">
        <v>14.63</v>
      </c>
      <c r="L2964" s="22">
        <v>9</v>
      </c>
    </row>
    <row r="2965" spans="1:12">
      <c r="A2965">
        <v>4</v>
      </c>
      <c r="B2965" s="16" t="s">
        <v>59</v>
      </c>
      <c r="C2965" s="9">
        <v>45839</v>
      </c>
      <c r="D2965">
        <v>2</v>
      </c>
      <c r="E2965" s="16" t="s">
        <v>82</v>
      </c>
      <c r="F2965" s="16" t="s">
        <v>83</v>
      </c>
      <c r="G2965" s="22">
        <v>15.5</v>
      </c>
      <c r="H2965" s="18">
        <v>248.57</v>
      </c>
      <c r="I2965" s="18">
        <v>16.036774193999999</v>
      </c>
      <c r="J2965" s="18">
        <v>17.12</v>
      </c>
      <c r="K2965" s="18">
        <v>15.65</v>
      </c>
      <c r="L2965" s="22">
        <v>9</v>
      </c>
    </row>
    <row r="2966" spans="1:12">
      <c r="A2966">
        <v>4</v>
      </c>
      <c r="B2966" s="16" t="s">
        <v>59</v>
      </c>
      <c r="C2966" s="9">
        <v>45870</v>
      </c>
      <c r="D2966">
        <v>2</v>
      </c>
      <c r="E2966" s="16" t="s">
        <v>82</v>
      </c>
      <c r="F2966" s="16" t="s">
        <v>83</v>
      </c>
      <c r="G2966" s="22">
        <v>13</v>
      </c>
      <c r="H2966" s="18">
        <v>208.15</v>
      </c>
      <c r="I2966" s="18">
        <v>16.011538462000001</v>
      </c>
      <c r="J2966" s="18">
        <v>16.260000000000002</v>
      </c>
      <c r="K2966" s="18">
        <v>15.61</v>
      </c>
      <c r="L2966" s="22">
        <v>8</v>
      </c>
    </row>
    <row r="2967" spans="1:12">
      <c r="A2967">
        <v>4</v>
      </c>
      <c r="B2967" s="16" t="s">
        <v>59</v>
      </c>
      <c r="C2967" s="9">
        <v>45901</v>
      </c>
      <c r="D2967">
        <v>2</v>
      </c>
      <c r="E2967" s="16" t="s">
        <v>82</v>
      </c>
      <c r="F2967" s="16" t="s">
        <v>83</v>
      </c>
      <c r="G2967" s="22">
        <v>15</v>
      </c>
      <c r="H2967" s="18">
        <v>241.77</v>
      </c>
      <c r="I2967" s="18">
        <v>16.117999999999999</v>
      </c>
      <c r="J2967" s="18">
        <v>16.64</v>
      </c>
      <c r="K2967" s="18">
        <v>15.92</v>
      </c>
      <c r="L2967" s="22">
        <v>9</v>
      </c>
    </row>
    <row r="2968" spans="1:12">
      <c r="A2968">
        <v>4</v>
      </c>
      <c r="B2968" s="16" t="s">
        <v>59</v>
      </c>
      <c r="C2968" s="9">
        <v>45931</v>
      </c>
      <c r="D2968">
        <v>2</v>
      </c>
      <c r="E2968" s="16" t="s">
        <v>82</v>
      </c>
      <c r="F2968" s="16" t="s">
        <v>83</v>
      </c>
      <c r="G2968" s="22">
        <v>18.5</v>
      </c>
      <c r="H2968" s="18">
        <v>299.94499999999999</v>
      </c>
      <c r="I2968" s="18">
        <v>16.213243243000001</v>
      </c>
      <c r="J2968" s="18">
        <v>16.510000000000002</v>
      </c>
      <c r="K2968" s="18">
        <v>16.05</v>
      </c>
      <c r="L2968" s="22">
        <v>9</v>
      </c>
    </row>
    <row r="2969" spans="1:12">
      <c r="A2969">
        <v>4</v>
      </c>
      <c r="B2969" s="16" t="s">
        <v>59</v>
      </c>
      <c r="C2969" s="9">
        <v>45962</v>
      </c>
      <c r="D2969">
        <v>2</v>
      </c>
      <c r="E2969" s="16" t="s">
        <v>82</v>
      </c>
      <c r="F2969" s="16" t="s">
        <v>83</v>
      </c>
      <c r="G2969" s="22">
        <v>15</v>
      </c>
      <c r="H2969" s="18">
        <v>243.845</v>
      </c>
      <c r="I2969" s="18">
        <v>16.256333333000001</v>
      </c>
      <c r="J2969" s="18">
        <v>16.57</v>
      </c>
      <c r="K2969" s="18">
        <v>16.04</v>
      </c>
      <c r="L2969" s="22">
        <v>8</v>
      </c>
    </row>
    <row r="2970" spans="1:12">
      <c r="A2970">
        <v>4</v>
      </c>
      <c r="B2970" s="16" t="s">
        <v>59</v>
      </c>
      <c r="C2970" s="9">
        <v>45992</v>
      </c>
      <c r="D2970">
        <v>2</v>
      </c>
      <c r="E2970" s="16" t="s">
        <v>82</v>
      </c>
      <c r="F2970" s="16" t="s">
        <v>83</v>
      </c>
      <c r="G2970" s="22">
        <v>21.5</v>
      </c>
      <c r="H2970" s="18">
        <v>350.96499999999997</v>
      </c>
      <c r="I2970" s="18">
        <v>16.323953488000001</v>
      </c>
      <c r="J2970" s="18">
        <v>16.52</v>
      </c>
      <c r="K2970" s="18">
        <v>16.03</v>
      </c>
      <c r="L2970" s="22">
        <v>9</v>
      </c>
    </row>
    <row r="2971" spans="1:12">
      <c r="A2971">
        <v>4</v>
      </c>
      <c r="B2971" s="16" t="s">
        <v>59</v>
      </c>
      <c r="C2971" s="9">
        <v>46023</v>
      </c>
      <c r="D2971">
        <v>2</v>
      </c>
      <c r="E2971" s="16" t="s">
        <v>82</v>
      </c>
      <c r="F2971" s="16" t="s">
        <v>83</v>
      </c>
      <c r="G2971" s="22">
        <v>17.5</v>
      </c>
      <c r="H2971" s="18">
        <v>267.505</v>
      </c>
      <c r="I2971" s="18">
        <v>15.286</v>
      </c>
      <c r="J2971" s="18">
        <v>16</v>
      </c>
      <c r="K2971" s="18">
        <v>14.93</v>
      </c>
      <c r="L2971" s="22">
        <v>9</v>
      </c>
    </row>
    <row r="2972" spans="1:12">
      <c r="A2972">
        <v>4</v>
      </c>
      <c r="B2972" s="16" t="s">
        <v>59</v>
      </c>
      <c r="C2972" s="9">
        <v>46054</v>
      </c>
      <c r="D2972">
        <v>2</v>
      </c>
      <c r="E2972" s="16" t="s">
        <v>82</v>
      </c>
      <c r="F2972" s="16" t="s">
        <v>83</v>
      </c>
      <c r="G2972" s="22">
        <v>14.5</v>
      </c>
      <c r="H2972" s="18">
        <v>221.535</v>
      </c>
      <c r="I2972" s="18">
        <v>15.278275861999999</v>
      </c>
      <c r="J2972" s="18">
        <v>15.43</v>
      </c>
      <c r="K2972" s="18">
        <v>15.03</v>
      </c>
      <c r="L2972" s="22">
        <v>8</v>
      </c>
    </row>
    <row r="2973" spans="1:12">
      <c r="A2973">
        <v>4</v>
      </c>
      <c r="B2973" s="16" t="s">
        <v>59</v>
      </c>
      <c r="C2973" s="9">
        <v>46082</v>
      </c>
      <c r="D2973">
        <v>2</v>
      </c>
      <c r="E2973" s="16" t="s">
        <v>82</v>
      </c>
      <c r="F2973" s="16" t="s">
        <v>83</v>
      </c>
      <c r="G2973" s="22">
        <v>15.5</v>
      </c>
      <c r="H2973" s="18">
        <v>237.11500000000001</v>
      </c>
      <c r="I2973" s="18">
        <v>15.297741934999999</v>
      </c>
      <c r="J2973" s="18">
        <v>15.53</v>
      </c>
      <c r="K2973" s="18">
        <v>15.04</v>
      </c>
      <c r="L2973" s="22">
        <v>9</v>
      </c>
    </row>
    <row r="2974" spans="1:12">
      <c r="A2974">
        <v>4</v>
      </c>
      <c r="B2974" s="16" t="s">
        <v>59</v>
      </c>
      <c r="C2974" s="9">
        <v>46113</v>
      </c>
      <c r="D2974">
        <v>2</v>
      </c>
      <c r="E2974" s="16" t="s">
        <v>82</v>
      </c>
      <c r="F2974" s="16" t="s">
        <v>83</v>
      </c>
      <c r="G2974" s="22">
        <v>16.5</v>
      </c>
      <c r="H2974" s="18">
        <v>254.51499999999999</v>
      </c>
      <c r="I2974" s="18">
        <v>15.425151515</v>
      </c>
      <c r="J2974" s="18">
        <v>15.9</v>
      </c>
      <c r="K2974" s="18">
        <v>15.05</v>
      </c>
      <c r="L2974" s="22">
        <v>9</v>
      </c>
    </row>
    <row r="2975" spans="1:12">
      <c r="A2975">
        <v>4</v>
      </c>
      <c r="B2975" s="16" t="s">
        <v>59</v>
      </c>
      <c r="C2975" s="9">
        <v>46143</v>
      </c>
      <c r="D2975">
        <v>2</v>
      </c>
      <c r="E2975" s="16" t="s">
        <v>82</v>
      </c>
      <c r="F2975" s="16" t="s">
        <v>83</v>
      </c>
      <c r="G2975" s="22">
        <v>14.5</v>
      </c>
      <c r="H2975" s="18">
        <v>224.97499999999999</v>
      </c>
      <c r="I2975" s="18">
        <v>15.515517241</v>
      </c>
      <c r="J2975" s="18">
        <v>15.69</v>
      </c>
      <c r="K2975" s="18">
        <v>15.25</v>
      </c>
      <c r="L2975" s="22">
        <v>8</v>
      </c>
    </row>
    <row r="2976" spans="1:12">
      <c r="A2976">
        <v>4</v>
      </c>
      <c r="B2976" s="16" t="s">
        <v>59</v>
      </c>
      <c r="C2976" s="9">
        <v>46174</v>
      </c>
      <c r="D2976">
        <v>2</v>
      </c>
      <c r="E2976" s="16" t="s">
        <v>82</v>
      </c>
      <c r="F2976" s="16" t="s">
        <v>83</v>
      </c>
      <c r="G2976" s="22">
        <v>13</v>
      </c>
      <c r="H2976" s="18">
        <v>201.125</v>
      </c>
      <c r="I2976" s="18">
        <v>15.471153846</v>
      </c>
      <c r="J2976" s="18">
        <v>15.61</v>
      </c>
      <c r="K2976" s="18">
        <v>15.27</v>
      </c>
      <c r="L2976" s="22">
        <v>9</v>
      </c>
    </row>
    <row r="2977" spans="1:12">
      <c r="A2977">
        <v>4</v>
      </c>
      <c r="B2977" s="16" t="s">
        <v>59</v>
      </c>
      <c r="C2977" s="9">
        <v>46204</v>
      </c>
      <c r="D2977">
        <v>2</v>
      </c>
      <c r="E2977" s="16" t="s">
        <v>82</v>
      </c>
      <c r="F2977" s="16" t="s">
        <v>83</v>
      </c>
      <c r="G2977" s="22">
        <v>18</v>
      </c>
      <c r="H2977" s="18">
        <v>297.16500000000002</v>
      </c>
      <c r="I2977" s="18">
        <v>16.509166666999999</v>
      </c>
      <c r="J2977" s="18">
        <v>16.600000000000001</v>
      </c>
      <c r="K2977" s="18">
        <v>16.37</v>
      </c>
      <c r="L2977" s="22">
        <v>9</v>
      </c>
    </row>
    <row r="2978" spans="1:12">
      <c r="A2978">
        <v>4</v>
      </c>
      <c r="B2978" s="16" t="s">
        <v>59</v>
      </c>
      <c r="C2978" s="9">
        <v>46235</v>
      </c>
      <c r="D2978">
        <v>2</v>
      </c>
      <c r="E2978" s="16" t="s">
        <v>82</v>
      </c>
      <c r="F2978" s="16" t="s">
        <v>83</v>
      </c>
      <c r="G2978" s="22">
        <v>12</v>
      </c>
      <c r="H2978" s="18">
        <v>198.81</v>
      </c>
      <c r="I2978" s="18">
        <v>16.567499999999999</v>
      </c>
      <c r="J2978" s="18">
        <v>16.8</v>
      </c>
      <c r="K2978" s="18">
        <v>16.2</v>
      </c>
      <c r="L2978" s="22">
        <v>9</v>
      </c>
    </row>
    <row r="2979" spans="1:12">
      <c r="A2979">
        <v>4</v>
      </c>
      <c r="B2979" s="16" t="s">
        <v>59</v>
      </c>
      <c r="C2979" s="9">
        <v>46266</v>
      </c>
      <c r="D2979">
        <v>2</v>
      </c>
      <c r="E2979" s="16" t="s">
        <v>82</v>
      </c>
      <c r="F2979" s="16" t="s">
        <v>83</v>
      </c>
      <c r="G2979" s="22">
        <v>14</v>
      </c>
      <c r="H2979" s="18">
        <v>230.89</v>
      </c>
      <c r="I2979" s="18">
        <v>16.492142857000001</v>
      </c>
      <c r="J2979" s="18">
        <v>16.809999999999999</v>
      </c>
      <c r="K2979" s="18">
        <v>16.02</v>
      </c>
      <c r="L2979" s="22">
        <v>8</v>
      </c>
    </row>
    <row r="2980" spans="1:12">
      <c r="A2980">
        <v>4</v>
      </c>
      <c r="B2980" s="16" t="s">
        <v>59</v>
      </c>
      <c r="C2980" s="9">
        <v>45689</v>
      </c>
      <c r="D2980">
        <v>3</v>
      </c>
      <c r="E2980" s="16" t="s">
        <v>84</v>
      </c>
      <c r="F2980" s="16" t="s">
        <v>85</v>
      </c>
      <c r="G2980" s="22">
        <v>200</v>
      </c>
      <c r="H2980" s="18">
        <v>113</v>
      </c>
      <c r="I2980" s="18">
        <v>0.56499999999999995</v>
      </c>
      <c r="J2980" s="18">
        <v>0.56999999999999995</v>
      </c>
      <c r="K2980" s="18">
        <v>0.56000000000000005</v>
      </c>
      <c r="L2980" s="22">
        <v>2</v>
      </c>
    </row>
    <row r="2981" spans="1:12">
      <c r="A2981">
        <v>4</v>
      </c>
      <c r="B2981" s="16" t="s">
        <v>59</v>
      </c>
      <c r="C2981" s="9">
        <v>45717</v>
      </c>
      <c r="D2981">
        <v>3</v>
      </c>
      <c r="E2981" s="16" t="s">
        <v>84</v>
      </c>
      <c r="F2981" s="16" t="s">
        <v>85</v>
      </c>
      <c r="G2981" s="22">
        <v>150</v>
      </c>
      <c r="H2981" s="18">
        <v>84</v>
      </c>
      <c r="I2981" s="18">
        <v>0.56000000000000005</v>
      </c>
      <c r="J2981" s="18">
        <v>0.56000000000000005</v>
      </c>
      <c r="K2981" s="18">
        <v>0.56000000000000005</v>
      </c>
      <c r="L2981" s="22">
        <v>2</v>
      </c>
    </row>
    <row r="2982" spans="1:12">
      <c r="A2982">
        <v>4</v>
      </c>
      <c r="B2982" s="16" t="s">
        <v>59</v>
      </c>
      <c r="C2982" s="9">
        <v>45748</v>
      </c>
      <c r="D2982">
        <v>3</v>
      </c>
      <c r="E2982" s="16" t="s">
        <v>84</v>
      </c>
      <c r="F2982" s="16" t="s">
        <v>85</v>
      </c>
      <c r="G2982" s="22">
        <v>300</v>
      </c>
      <c r="H2982" s="18">
        <v>172</v>
      </c>
      <c r="I2982" s="18">
        <v>0.573333333</v>
      </c>
      <c r="J2982" s="18">
        <v>0.57999999999999996</v>
      </c>
      <c r="K2982" s="18">
        <v>0.56999999999999995</v>
      </c>
      <c r="L2982" s="22">
        <v>3</v>
      </c>
    </row>
    <row r="2983" spans="1:12">
      <c r="A2983">
        <v>4</v>
      </c>
      <c r="B2983" s="16" t="s">
        <v>59</v>
      </c>
      <c r="C2983" s="9">
        <v>45778</v>
      </c>
      <c r="D2983">
        <v>3</v>
      </c>
      <c r="E2983" s="16" t="s">
        <v>84</v>
      </c>
      <c r="F2983" s="16" t="s">
        <v>85</v>
      </c>
      <c r="G2983" s="22">
        <v>200</v>
      </c>
      <c r="H2983" s="18">
        <v>114</v>
      </c>
      <c r="I2983" s="18">
        <v>0.56999999999999995</v>
      </c>
      <c r="J2983" s="18">
        <v>0.56999999999999995</v>
      </c>
      <c r="K2983" s="18">
        <v>0.56999999999999995</v>
      </c>
      <c r="L2983" s="22">
        <v>2</v>
      </c>
    </row>
    <row r="2984" spans="1:12">
      <c r="A2984">
        <v>4</v>
      </c>
      <c r="B2984" s="16" t="s">
        <v>59</v>
      </c>
      <c r="C2984" s="9">
        <v>45809</v>
      </c>
      <c r="D2984">
        <v>3</v>
      </c>
      <c r="E2984" s="16" t="s">
        <v>84</v>
      </c>
      <c r="F2984" s="16" t="s">
        <v>85</v>
      </c>
      <c r="G2984" s="22">
        <v>200</v>
      </c>
      <c r="H2984" s="18">
        <v>117</v>
      </c>
      <c r="I2984" s="18">
        <v>0.58499999999999996</v>
      </c>
      <c r="J2984" s="18">
        <v>0.59</v>
      </c>
      <c r="K2984" s="18">
        <v>0.57999999999999996</v>
      </c>
      <c r="L2984" s="22">
        <v>2</v>
      </c>
    </row>
    <row r="2985" spans="1:12">
      <c r="A2985">
        <v>4</v>
      </c>
      <c r="B2985" s="16" t="s">
        <v>59</v>
      </c>
      <c r="C2985" s="9">
        <v>45839</v>
      </c>
      <c r="D2985">
        <v>3</v>
      </c>
      <c r="E2985" s="16" t="s">
        <v>84</v>
      </c>
      <c r="F2985" s="16" t="s">
        <v>85</v>
      </c>
      <c r="G2985" s="22">
        <v>200</v>
      </c>
      <c r="H2985" s="18">
        <v>112</v>
      </c>
      <c r="I2985" s="18">
        <v>0.56000000000000005</v>
      </c>
      <c r="J2985" s="18">
        <v>0.56999999999999995</v>
      </c>
      <c r="K2985" s="18">
        <v>0.55000000000000004</v>
      </c>
      <c r="L2985" s="22">
        <v>2</v>
      </c>
    </row>
    <row r="2986" spans="1:12">
      <c r="A2986">
        <v>4</v>
      </c>
      <c r="B2986" s="16" t="s">
        <v>59</v>
      </c>
      <c r="C2986" s="9">
        <v>45870</v>
      </c>
      <c r="D2986">
        <v>3</v>
      </c>
      <c r="E2986" s="16" t="s">
        <v>84</v>
      </c>
      <c r="F2986" s="16" t="s">
        <v>85</v>
      </c>
      <c r="G2986" s="22">
        <v>200</v>
      </c>
      <c r="H2986" s="18">
        <v>113</v>
      </c>
      <c r="I2986" s="18">
        <v>0.56499999999999995</v>
      </c>
      <c r="J2986" s="18">
        <v>0.56999999999999995</v>
      </c>
      <c r="K2986" s="18">
        <v>0.56000000000000005</v>
      </c>
      <c r="L2986" s="22">
        <v>2</v>
      </c>
    </row>
    <row r="2987" spans="1:12">
      <c r="A2987">
        <v>4</v>
      </c>
      <c r="B2987" s="16" t="s">
        <v>59</v>
      </c>
      <c r="C2987" s="9">
        <v>45901</v>
      </c>
      <c r="D2987">
        <v>3</v>
      </c>
      <c r="E2987" s="16" t="s">
        <v>84</v>
      </c>
      <c r="F2987" s="16" t="s">
        <v>85</v>
      </c>
      <c r="G2987" s="22">
        <v>200</v>
      </c>
      <c r="H2987" s="18">
        <v>113</v>
      </c>
      <c r="I2987" s="18">
        <v>0.56499999999999995</v>
      </c>
      <c r="J2987" s="18">
        <v>0.56999999999999995</v>
      </c>
      <c r="K2987" s="18">
        <v>0.56000000000000005</v>
      </c>
      <c r="L2987" s="22">
        <v>2</v>
      </c>
    </row>
    <row r="2988" spans="1:12">
      <c r="A2988">
        <v>4</v>
      </c>
      <c r="B2988" s="16" t="s">
        <v>59</v>
      </c>
      <c r="C2988" s="9">
        <v>45931</v>
      </c>
      <c r="D2988">
        <v>3</v>
      </c>
      <c r="E2988" s="16" t="s">
        <v>84</v>
      </c>
      <c r="F2988" s="16" t="s">
        <v>85</v>
      </c>
      <c r="G2988" s="22">
        <v>250</v>
      </c>
      <c r="H2988" s="18">
        <v>139.5</v>
      </c>
      <c r="I2988" s="18">
        <v>0.55800000000000005</v>
      </c>
      <c r="J2988" s="18">
        <v>0.56000000000000005</v>
      </c>
      <c r="K2988" s="18">
        <v>0.55000000000000004</v>
      </c>
      <c r="L2988" s="22">
        <v>3</v>
      </c>
    </row>
    <row r="2989" spans="1:12">
      <c r="A2989">
        <v>4</v>
      </c>
      <c r="B2989" s="16" t="s">
        <v>59</v>
      </c>
      <c r="C2989" s="9">
        <v>45962</v>
      </c>
      <c r="D2989">
        <v>3</v>
      </c>
      <c r="E2989" s="16" t="s">
        <v>84</v>
      </c>
      <c r="F2989" s="16" t="s">
        <v>85</v>
      </c>
      <c r="G2989" s="22">
        <v>250</v>
      </c>
      <c r="H2989" s="18">
        <v>139</v>
      </c>
      <c r="I2989" s="18">
        <v>0.55600000000000005</v>
      </c>
      <c r="J2989" s="18">
        <v>0.56000000000000005</v>
      </c>
      <c r="K2989" s="18">
        <v>0.55000000000000004</v>
      </c>
      <c r="L2989" s="22">
        <v>2</v>
      </c>
    </row>
    <row r="2990" spans="1:12">
      <c r="A2990">
        <v>4</v>
      </c>
      <c r="B2990" s="16" t="s">
        <v>59</v>
      </c>
      <c r="C2990" s="9">
        <v>45992</v>
      </c>
      <c r="D2990">
        <v>3</v>
      </c>
      <c r="E2990" s="16" t="s">
        <v>84</v>
      </c>
      <c r="F2990" s="16" t="s">
        <v>85</v>
      </c>
      <c r="G2990" s="22">
        <v>200</v>
      </c>
      <c r="H2990" s="18">
        <v>111</v>
      </c>
      <c r="I2990" s="18">
        <v>0.55500000000000005</v>
      </c>
      <c r="J2990" s="18">
        <v>0.56000000000000005</v>
      </c>
      <c r="K2990" s="18">
        <v>0.55000000000000004</v>
      </c>
      <c r="L2990" s="22">
        <v>2</v>
      </c>
    </row>
    <row r="2991" spans="1:12">
      <c r="A2991">
        <v>4</v>
      </c>
      <c r="B2991" s="16" t="s">
        <v>59</v>
      </c>
      <c r="C2991" s="9">
        <v>46023</v>
      </c>
      <c r="D2991">
        <v>3</v>
      </c>
      <c r="E2991" s="16" t="s">
        <v>84</v>
      </c>
      <c r="F2991" s="16" t="s">
        <v>85</v>
      </c>
      <c r="G2991" s="22">
        <v>150</v>
      </c>
      <c r="H2991" s="18">
        <v>84.5</v>
      </c>
      <c r="I2991" s="18">
        <v>0.56333333299999999</v>
      </c>
      <c r="J2991" s="18">
        <v>0.56999999999999995</v>
      </c>
      <c r="K2991" s="18">
        <v>0.56000000000000005</v>
      </c>
      <c r="L2991" s="22">
        <v>2</v>
      </c>
    </row>
    <row r="2992" spans="1:12">
      <c r="A2992">
        <v>4</v>
      </c>
      <c r="B2992" s="16" t="s">
        <v>59</v>
      </c>
      <c r="C2992" s="9">
        <v>46054</v>
      </c>
      <c r="D2992">
        <v>3</v>
      </c>
      <c r="E2992" s="16" t="s">
        <v>84</v>
      </c>
      <c r="F2992" s="16" t="s">
        <v>85</v>
      </c>
      <c r="G2992" s="22">
        <v>200</v>
      </c>
      <c r="H2992" s="18">
        <v>109</v>
      </c>
      <c r="I2992" s="18">
        <v>0.54500000000000004</v>
      </c>
      <c r="J2992" s="18">
        <v>0.55000000000000004</v>
      </c>
      <c r="K2992" s="18">
        <v>0.54</v>
      </c>
      <c r="L2992" s="22">
        <v>2</v>
      </c>
    </row>
    <row r="2993" spans="1:12">
      <c r="A2993">
        <v>4</v>
      </c>
      <c r="B2993" s="16" t="s">
        <v>59</v>
      </c>
      <c r="C2993" s="9">
        <v>46082</v>
      </c>
      <c r="D2993">
        <v>3</v>
      </c>
      <c r="E2993" s="16" t="s">
        <v>84</v>
      </c>
      <c r="F2993" s="16" t="s">
        <v>85</v>
      </c>
      <c r="G2993" s="22">
        <v>150</v>
      </c>
      <c r="H2993" s="18">
        <v>81.5</v>
      </c>
      <c r="I2993" s="18">
        <v>0.54333333299999997</v>
      </c>
      <c r="J2993" s="18">
        <v>0.55000000000000004</v>
      </c>
      <c r="K2993" s="18">
        <v>0.54</v>
      </c>
      <c r="L2993" s="22">
        <v>2</v>
      </c>
    </row>
    <row r="2994" spans="1:12">
      <c r="A2994">
        <v>4</v>
      </c>
      <c r="B2994" s="16" t="s">
        <v>59</v>
      </c>
      <c r="C2994" s="9">
        <v>46113</v>
      </c>
      <c r="D2994">
        <v>3</v>
      </c>
      <c r="E2994" s="16" t="s">
        <v>84</v>
      </c>
      <c r="F2994" s="16" t="s">
        <v>85</v>
      </c>
      <c r="G2994" s="22">
        <v>300</v>
      </c>
      <c r="H2994" s="18">
        <v>165</v>
      </c>
      <c r="I2994" s="18">
        <v>0.55000000000000004</v>
      </c>
      <c r="J2994" s="18">
        <v>0.56000000000000005</v>
      </c>
      <c r="K2994" s="18">
        <v>0.54</v>
      </c>
      <c r="L2994" s="22">
        <v>3</v>
      </c>
    </row>
    <row r="2995" spans="1:12">
      <c r="A2995">
        <v>4</v>
      </c>
      <c r="B2995" s="16" t="s">
        <v>59</v>
      </c>
      <c r="C2995" s="9">
        <v>46143</v>
      </c>
      <c r="D2995">
        <v>3</v>
      </c>
      <c r="E2995" s="16" t="s">
        <v>84</v>
      </c>
      <c r="F2995" s="16" t="s">
        <v>85</v>
      </c>
      <c r="G2995" s="22">
        <v>200</v>
      </c>
      <c r="H2995" s="18">
        <v>112</v>
      </c>
      <c r="I2995" s="18">
        <v>0.56000000000000005</v>
      </c>
      <c r="J2995" s="18">
        <v>0.56999999999999995</v>
      </c>
      <c r="K2995" s="18">
        <v>0.55000000000000004</v>
      </c>
      <c r="L2995" s="22">
        <v>2</v>
      </c>
    </row>
    <row r="2996" spans="1:12">
      <c r="A2996">
        <v>4</v>
      </c>
      <c r="B2996" s="16" t="s">
        <v>59</v>
      </c>
      <c r="C2996" s="9">
        <v>46174</v>
      </c>
      <c r="D2996">
        <v>3</v>
      </c>
      <c r="E2996" s="16" t="s">
        <v>84</v>
      </c>
      <c r="F2996" s="16" t="s">
        <v>85</v>
      </c>
      <c r="G2996" s="22">
        <v>150</v>
      </c>
      <c r="H2996" s="18">
        <v>84</v>
      </c>
      <c r="I2996" s="18">
        <v>0.56000000000000005</v>
      </c>
      <c r="J2996" s="18">
        <v>0.56000000000000005</v>
      </c>
      <c r="K2996" s="18">
        <v>0.56000000000000005</v>
      </c>
      <c r="L2996" s="22">
        <v>2</v>
      </c>
    </row>
    <row r="2997" spans="1:12">
      <c r="A2997">
        <v>4</v>
      </c>
      <c r="B2997" s="16" t="s">
        <v>59</v>
      </c>
      <c r="C2997" s="9">
        <v>46204</v>
      </c>
      <c r="D2997">
        <v>3</v>
      </c>
      <c r="E2997" s="16" t="s">
        <v>84</v>
      </c>
      <c r="F2997" s="16" t="s">
        <v>85</v>
      </c>
      <c r="G2997" s="22">
        <v>250</v>
      </c>
      <c r="H2997" s="18">
        <v>139</v>
      </c>
      <c r="I2997" s="18">
        <v>0.55600000000000005</v>
      </c>
      <c r="J2997" s="18">
        <v>0.56000000000000005</v>
      </c>
      <c r="K2997" s="18">
        <v>0.55000000000000004</v>
      </c>
      <c r="L2997" s="22">
        <v>2</v>
      </c>
    </row>
    <row r="2998" spans="1:12">
      <c r="A2998">
        <v>4</v>
      </c>
      <c r="B2998" s="16" t="s">
        <v>59</v>
      </c>
      <c r="C2998" s="9">
        <v>46235</v>
      </c>
      <c r="D2998">
        <v>3</v>
      </c>
      <c r="E2998" s="16" t="s">
        <v>84</v>
      </c>
      <c r="F2998" s="16" t="s">
        <v>85</v>
      </c>
      <c r="G2998" s="22">
        <v>150</v>
      </c>
      <c r="H2998" s="18">
        <v>84</v>
      </c>
      <c r="I2998" s="18">
        <v>0.56000000000000005</v>
      </c>
      <c r="J2998" s="18">
        <v>0.56000000000000005</v>
      </c>
      <c r="K2998" s="18">
        <v>0.56000000000000005</v>
      </c>
      <c r="L2998" s="22">
        <v>2</v>
      </c>
    </row>
    <row r="2999" spans="1:12">
      <c r="A2999">
        <v>4</v>
      </c>
      <c r="B2999" s="16" t="s">
        <v>59</v>
      </c>
      <c r="C2999" s="9">
        <v>46266</v>
      </c>
      <c r="D2999">
        <v>3</v>
      </c>
      <c r="E2999" s="16" t="s">
        <v>84</v>
      </c>
      <c r="F2999" s="16" t="s">
        <v>85</v>
      </c>
      <c r="G2999" s="22">
        <v>250</v>
      </c>
      <c r="H2999" s="18">
        <v>141</v>
      </c>
      <c r="I2999" s="18">
        <v>0.56399999999999995</v>
      </c>
      <c r="J2999" s="18">
        <v>0.56999999999999995</v>
      </c>
      <c r="K2999" s="18">
        <v>0.56000000000000005</v>
      </c>
      <c r="L2999" s="22">
        <v>3</v>
      </c>
    </row>
    <row r="3000" spans="1:12">
      <c r="A3000">
        <v>4</v>
      </c>
      <c r="B3000" s="16" t="s">
        <v>59</v>
      </c>
      <c r="C3000" s="9">
        <v>45689</v>
      </c>
      <c r="D3000">
        <v>4</v>
      </c>
      <c r="E3000" s="16" t="s">
        <v>86</v>
      </c>
      <c r="F3000" s="16" t="s">
        <v>87</v>
      </c>
      <c r="G3000" s="22">
        <v>27.25</v>
      </c>
      <c r="H3000" s="18">
        <v>436.3125</v>
      </c>
      <c r="I3000" s="18">
        <v>16.011467889999999</v>
      </c>
      <c r="J3000" s="18">
        <v>16.559999999999999</v>
      </c>
      <c r="K3000" s="18">
        <v>15.66</v>
      </c>
      <c r="L3000" s="22">
        <v>8</v>
      </c>
    </row>
    <row r="3001" spans="1:12">
      <c r="A3001">
        <v>4</v>
      </c>
      <c r="B3001" s="16" t="s">
        <v>59</v>
      </c>
      <c r="C3001" s="9">
        <v>45717</v>
      </c>
      <c r="D3001">
        <v>4</v>
      </c>
      <c r="E3001" s="16" t="s">
        <v>86</v>
      </c>
      <c r="F3001" s="16" t="s">
        <v>87</v>
      </c>
      <c r="G3001" s="22">
        <v>24.75</v>
      </c>
      <c r="H3001" s="18">
        <v>398.66</v>
      </c>
      <c r="I3001" s="18">
        <v>16.107474747000001</v>
      </c>
      <c r="J3001" s="18">
        <v>16.239999999999998</v>
      </c>
      <c r="K3001" s="18">
        <v>15.84</v>
      </c>
      <c r="L3001" s="22">
        <v>9</v>
      </c>
    </row>
    <row r="3002" spans="1:12">
      <c r="A3002">
        <v>4</v>
      </c>
      <c r="B3002" s="16" t="s">
        <v>59</v>
      </c>
      <c r="C3002" s="9">
        <v>45748</v>
      </c>
      <c r="D3002">
        <v>4</v>
      </c>
      <c r="E3002" s="16" t="s">
        <v>86</v>
      </c>
      <c r="F3002" s="16" t="s">
        <v>87</v>
      </c>
      <c r="G3002" s="22">
        <v>29.75</v>
      </c>
      <c r="H3002" s="18">
        <v>474.33</v>
      </c>
      <c r="I3002" s="18">
        <v>15.943865546</v>
      </c>
      <c r="J3002" s="18">
        <v>16.23</v>
      </c>
      <c r="K3002" s="18">
        <v>15.67</v>
      </c>
      <c r="L3002" s="22">
        <v>8</v>
      </c>
    </row>
    <row r="3003" spans="1:12">
      <c r="A3003">
        <v>4</v>
      </c>
      <c r="B3003" s="16" t="s">
        <v>59</v>
      </c>
      <c r="C3003" s="9">
        <v>45778</v>
      </c>
      <c r="D3003">
        <v>4</v>
      </c>
      <c r="E3003" s="16" t="s">
        <v>86</v>
      </c>
      <c r="F3003" s="16" t="s">
        <v>87</v>
      </c>
      <c r="G3003" s="22">
        <v>42</v>
      </c>
      <c r="H3003" s="18">
        <v>678.64499999999998</v>
      </c>
      <c r="I3003" s="18">
        <v>16.158214286</v>
      </c>
      <c r="J3003" s="18">
        <v>16.579999999999998</v>
      </c>
      <c r="K3003" s="18">
        <v>15.8</v>
      </c>
      <c r="L3003" s="22">
        <v>9</v>
      </c>
    </row>
    <row r="3004" spans="1:12">
      <c r="A3004">
        <v>4</v>
      </c>
      <c r="B3004" s="16" t="s">
        <v>59</v>
      </c>
      <c r="C3004" s="9">
        <v>45809</v>
      </c>
      <c r="D3004">
        <v>4</v>
      </c>
      <c r="E3004" s="16" t="s">
        <v>86</v>
      </c>
      <c r="F3004" s="16" t="s">
        <v>87</v>
      </c>
      <c r="G3004" s="22">
        <v>33</v>
      </c>
      <c r="H3004" s="18">
        <v>536.05499999999995</v>
      </c>
      <c r="I3004" s="18">
        <v>16.244090909000001</v>
      </c>
      <c r="J3004" s="18">
        <v>16.440000000000001</v>
      </c>
      <c r="K3004" s="18">
        <v>16.02</v>
      </c>
      <c r="L3004" s="22">
        <v>9</v>
      </c>
    </row>
    <row r="3005" spans="1:12">
      <c r="A3005">
        <v>4</v>
      </c>
      <c r="B3005" s="16" t="s">
        <v>59</v>
      </c>
      <c r="C3005" s="9">
        <v>45839</v>
      </c>
      <c r="D3005">
        <v>4</v>
      </c>
      <c r="E3005" s="16" t="s">
        <v>86</v>
      </c>
      <c r="F3005" s="16" t="s">
        <v>87</v>
      </c>
      <c r="G3005" s="22">
        <v>34.25</v>
      </c>
      <c r="H3005" s="18">
        <v>556.96749999999997</v>
      </c>
      <c r="I3005" s="18">
        <v>16.261824818000001</v>
      </c>
      <c r="J3005" s="18">
        <v>16.61</v>
      </c>
      <c r="K3005" s="18">
        <v>16.05</v>
      </c>
      <c r="L3005" s="22">
        <v>9</v>
      </c>
    </row>
    <row r="3006" spans="1:12">
      <c r="A3006">
        <v>4</v>
      </c>
      <c r="B3006" s="16" t="s">
        <v>59</v>
      </c>
      <c r="C3006" s="9">
        <v>45870</v>
      </c>
      <c r="D3006">
        <v>4</v>
      </c>
      <c r="E3006" s="16" t="s">
        <v>86</v>
      </c>
      <c r="F3006" s="16" t="s">
        <v>87</v>
      </c>
      <c r="G3006" s="22">
        <v>40</v>
      </c>
      <c r="H3006" s="18">
        <v>644.78</v>
      </c>
      <c r="I3006" s="18">
        <v>16.119499999999999</v>
      </c>
      <c r="J3006" s="18">
        <v>16.43</v>
      </c>
      <c r="K3006" s="18">
        <v>15.89</v>
      </c>
      <c r="L3006" s="22">
        <v>8</v>
      </c>
    </row>
    <row r="3007" spans="1:12">
      <c r="A3007">
        <v>4</v>
      </c>
      <c r="B3007" s="16" t="s">
        <v>59</v>
      </c>
      <c r="C3007" s="9">
        <v>45901</v>
      </c>
      <c r="D3007">
        <v>4</v>
      </c>
      <c r="E3007" s="16" t="s">
        <v>86</v>
      </c>
      <c r="F3007" s="16" t="s">
        <v>87</v>
      </c>
      <c r="G3007" s="22">
        <v>38</v>
      </c>
      <c r="H3007" s="18">
        <v>622.25750000000005</v>
      </c>
      <c r="I3007" s="18">
        <v>16.375197367999998</v>
      </c>
      <c r="J3007" s="18">
        <v>16.760000000000002</v>
      </c>
      <c r="K3007" s="18">
        <v>16.02</v>
      </c>
      <c r="L3007" s="22">
        <v>9</v>
      </c>
    </row>
    <row r="3008" spans="1:12">
      <c r="A3008">
        <v>4</v>
      </c>
      <c r="B3008" s="16" t="s">
        <v>59</v>
      </c>
      <c r="C3008" s="9">
        <v>45931</v>
      </c>
      <c r="D3008">
        <v>4</v>
      </c>
      <c r="E3008" s="16" t="s">
        <v>86</v>
      </c>
      <c r="F3008" s="16" t="s">
        <v>87</v>
      </c>
      <c r="G3008" s="22">
        <v>37.25</v>
      </c>
      <c r="H3008" s="18">
        <v>598.28750000000002</v>
      </c>
      <c r="I3008" s="18">
        <v>16.061409395999998</v>
      </c>
      <c r="J3008" s="18">
        <v>16.420000000000002</v>
      </c>
      <c r="K3008" s="18">
        <v>15.81</v>
      </c>
      <c r="L3008" s="22">
        <v>9</v>
      </c>
    </row>
    <row r="3009" spans="1:12">
      <c r="A3009">
        <v>4</v>
      </c>
      <c r="B3009" s="16" t="s">
        <v>59</v>
      </c>
      <c r="C3009" s="9">
        <v>45962</v>
      </c>
      <c r="D3009">
        <v>4</v>
      </c>
      <c r="E3009" s="16" t="s">
        <v>86</v>
      </c>
      <c r="F3009" s="16" t="s">
        <v>87</v>
      </c>
      <c r="G3009" s="22">
        <v>28</v>
      </c>
      <c r="H3009" s="18">
        <v>446.9</v>
      </c>
      <c r="I3009" s="18">
        <v>15.960714286</v>
      </c>
      <c r="J3009" s="18">
        <v>16.260000000000002</v>
      </c>
      <c r="K3009" s="18">
        <v>15.83</v>
      </c>
      <c r="L3009" s="22">
        <v>8</v>
      </c>
    </row>
    <row r="3010" spans="1:12">
      <c r="A3010">
        <v>4</v>
      </c>
      <c r="B3010" s="16" t="s">
        <v>59</v>
      </c>
      <c r="C3010" s="9">
        <v>45992</v>
      </c>
      <c r="D3010">
        <v>4</v>
      </c>
      <c r="E3010" s="16" t="s">
        <v>86</v>
      </c>
      <c r="F3010" s="16" t="s">
        <v>87</v>
      </c>
      <c r="G3010" s="22">
        <v>40</v>
      </c>
      <c r="H3010" s="18">
        <v>644.35500000000002</v>
      </c>
      <c r="I3010" s="18">
        <v>16.108875000000001</v>
      </c>
      <c r="J3010" s="18">
        <v>16.47</v>
      </c>
      <c r="K3010" s="18">
        <v>15.81</v>
      </c>
      <c r="L3010" s="22">
        <v>9</v>
      </c>
    </row>
    <row r="3011" spans="1:12">
      <c r="A3011">
        <v>4</v>
      </c>
      <c r="B3011" s="16" t="s">
        <v>59</v>
      </c>
      <c r="C3011" s="9">
        <v>46023</v>
      </c>
      <c r="D3011">
        <v>4</v>
      </c>
      <c r="E3011" s="16" t="s">
        <v>86</v>
      </c>
      <c r="F3011" s="16" t="s">
        <v>87</v>
      </c>
      <c r="G3011" s="22">
        <v>30.25</v>
      </c>
      <c r="H3011" s="18">
        <v>481.35250000000002</v>
      </c>
      <c r="I3011" s="18">
        <v>15.912479339000001</v>
      </c>
      <c r="J3011" s="18">
        <v>16.28</v>
      </c>
      <c r="K3011" s="18">
        <v>15.57</v>
      </c>
      <c r="L3011" s="22">
        <v>9</v>
      </c>
    </row>
    <row r="3012" spans="1:12">
      <c r="A3012">
        <v>4</v>
      </c>
      <c r="B3012" s="16" t="s">
        <v>59</v>
      </c>
      <c r="C3012" s="9">
        <v>46054</v>
      </c>
      <c r="D3012">
        <v>4</v>
      </c>
      <c r="E3012" s="16" t="s">
        <v>86</v>
      </c>
      <c r="F3012" s="16" t="s">
        <v>87</v>
      </c>
      <c r="G3012" s="22">
        <v>31.5</v>
      </c>
      <c r="H3012" s="18">
        <v>493.66250000000002</v>
      </c>
      <c r="I3012" s="18">
        <v>15.671825396999999</v>
      </c>
      <c r="J3012" s="18">
        <v>15.96</v>
      </c>
      <c r="K3012" s="18">
        <v>15.46</v>
      </c>
      <c r="L3012" s="22">
        <v>8</v>
      </c>
    </row>
    <row r="3013" spans="1:12">
      <c r="A3013">
        <v>4</v>
      </c>
      <c r="B3013" s="16" t="s">
        <v>59</v>
      </c>
      <c r="C3013" s="9">
        <v>46082</v>
      </c>
      <c r="D3013">
        <v>4</v>
      </c>
      <c r="E3013" s="16" t="s">
        <v>86</v>
      </c>
      <c r="F3013" s="16" t="s">
        <v>87</v>
      </c>
      <c r="G3013" s="22">
        <v>29.25</v>
      </c>
      <c r="H3013" s="18">
        <v>460.84750000000003</v>
      </c>
      <c r="I3013" s="18">
        <v>15.755470085000001</v>
      </c>
      <c r="J3013" s="18">
        <v>16</v>
      </c>
      <c r="K3013" s="18">
        <v>15.53</v>
      </c>
      <c r="L3013" s="22">
        <v>9</v>
      </c>
    </row>
    <row r="3014" spans="1:12">
      <c r="A3014">
        <v>4</v>
      </c>
      <c r="B3014" s="16" t="s">
        <v>59</v>
      </c>
      <c r="C3014" s="9">
        <v>46113</v>
      </c>
      <c r="D3014">
        <v>4</v>
      </c>
      <c r="E3014" s="16" t="s">
        <v>86</v>
      </c>
      <c r="F3014" s="16" t="s">
        <v>87</v>
      </c>
      <c r="G3014" s="22">
        <v>36.75</v>
      </c>
      <c r="H3014" s="18">
        <v>587.9</v>
      </c>
      <c r="I3014" s="18">
        <v>15.997278912000001</v>
      </c>
      <c r="J3014" s="18">
        <v>16.36</v>
      </c>
      <c r="K3014" s="18">
        <v>15.71</v>
      </c>
      <c r="L3014" s="22">
        <v>9</v>
      </c>
    </row>
    <row r="3015" spans="1:12">
      <c r="A3015">
        <v>4</v>
      </c>
      <c r="B3015" s="16" t="s">
        <v>59</v>
      </c>
      <c r="C3015" s="9">
        <v>46143</v>
      </c>
      <c r="D3015">
        <v>4</v>
      </c>
      <c r="E3015" s="16" t="s">
        <v>86</v>
      </c>
      <c r="F3015" s="16" t="s">
        <v>87</v>
      </c>
      <c r="G3015" s="22">
        <v>34</v>
      </c>
      <c r="H3015" s="18">
        <v>544.79750000000001</v>
      </c>
      <c r="I3015" s="18">
        <v>16.023455882</v>
      </c>
      <c r="J3015" s="18">
        <v>16.39</v>
      </c>
      <c r="K3015" s="18">
        <v>15.61</v>
      </c>
      <c r="L3015" s="22">
        <v>8</v>
      </c>
    </row>
    <row r="3016" spans="1:12">
      <c r="A3016">
        <v>4</v>
      </c>
      <c r="B3016" s="16" t="s">
        <v>59</v>
      </c>
      <c r="C3016" s="9">
        <v>46174</v>
      </c>
      <c r="D3016">
        <v>4</v>
      </c>
      <c r="E3016" s="16" t="s">
        <v>86</v>
      </c>
      <c r="F3016" s="16" t="s">
        <v>87</v>
      </c>
      <c r="G3016" s="22">
        <v>37.5</v>
      </c>
      <c r="H3016" s="18">
        <v>604.48249999999996</v>
      </c>
      <c r="I3016" s="18">
        <v>16.119533333</v>
      </c>
      <c r="J3016" s="18">
        <v>16.440000000000001</v>
      </c>
      <c r="K3016" s="18">
        <v>15.87</v>
      </c>
      <c r="L3016" s="22">
        <v>9</v>
      </c>
    </row>
    <row r="3017" spans="1:12">
      <c r="A3017">
        <v>4</v>
      </c>
      <c r="B3017" s="16" t="s">
        <v>59</v>
      </c>
      <c r="C3017" s="9">
        <v>46204</v>
      </c>
      <c r="D3017">
        <v>4</v>
      </c>
      <c r="E3017" s="16" t="s">
        <v>86</v>
      </c>
      <c r="F3017" s="16" t="s">
        <v>87</v>
      </c>
      <c r="G3017" s="22">
        <v>43.5</v>
      </c>
      <c r="H3017" s="18">
        <v>701.79499999999996</v>
      </c>
      <c r="I3017" s="18">
        <v>16.133218391</v>
      </c>
      <c r="J3017" s="18">
        <v>16.350000000000001</v>
      </c>
      <c r="K3017" s="18">
        <v>15.8</v>
      </c>
      <c r="L3017" s="22">
        <v>9</v>
      </c>
    </row>
    <row r="3018" spans="1:12">
      <c r="A3018">
        <v>4</v>
      </c>
      <c r="B3018" s="16" t="s">
        <v>59</v>
      </c>
      <c r="C3018" s="9">
        <v>46235</v>
      </c>
      <c r="D3018">
        <v>4</v>
      </c>
      <c r="E3018" s="16" t="s">
        <v>86</v>
      </c>
      <c r="F3018" s="16" t="s">
        <v>87</v>
      </c>
      <c r="G3018" s="22">
        <v>30.5</v>
      </c>
      <c r="H3018" s="18">
        <v>498.96749999999997</v>
      </c>
      <c r="I3018" s="18">
        <v>16.359590164</v>
      </c>
      <c r="J3018" s="18">
        <v>16.690000000000001</v>
      </c>
      <c r="K3018" s="18">
        <v>16.13</v>
      </c>
      <c r="L3018" s="22">
        <v>9</v>
      </c>
    </row>
    <row r="3019" spans="1:12">
      <c r="A3019">
        <v>4</v>
      </c>
      <c r="B3019" s="16" t="s">
        <v>59</v>
      </c>
      <c r="C3019" s="9">
        <v>46266</v>
      </c>
      <c r="D3019">
        <v>4</v>
      </c>
      <c r="E3019" s="16" t="s">
        <v>86</v>
      </c>
      <c r="F3019" s="16" t="s">
        <v>87</v>
      </c>
      <c r="G3019" s="22">
        <v>28.25</v>
      </c>
      <c r="H3019" s="18">
        <v>460.5575</v>
      </c>
      <c r="I3019" s="18">
        <v>16.302920354000001</v>
      </c>
      <c r="J3019" s="18">
        <v>16.52</v>
      </c>
      <c r="K3019" s="18">
        <v>15.82</v>
      </c>
      <c r="L3019" s="22">
        <v>8</v>
      </c>
    </row>
    <row r="3020" spans="1:12">
      <c r="A3020">
        <v>4</v>
      </c>
      <c r="B3020" s="16" t="s">
        <v>59</v>
      </c>
      <c r="C3020" s="9">
        <v>45689</v>
      </c>
      <c r="D3020">
        <v>5</v>
      </c>
      <c r="E3020" s="16" t="s">
        <v>88</v>
      </c>
      <c r="F3020" s="16" t="s">
        <v>83</v>
      </c>
      <c r="G3020" s="22">
        <v>240</v>
      </c>
      <c r="H3020" s="18">
        <v>78.42</v>
      </c>
      <c r="I3020" s="18">
        <v>0.32674999999999998</v>
      </c>
      <c r="J3020" s="18">
        <v>0.33</v>
      </c>
      <c r="K3020" s="18">
        <v>0.32</v>
      </c>
      <c r="L3020" s="22">
        <v>8</v>
      </c>
    </row>
    <row r="3021" spans="1:12">
      <c r="A3021">
        <v>4</v>
      </c>
      <c r="B3021" s="16" t="s">
        <v>59</v>
      </c>
      <c r="C3021" s="9">
        <v>45717</v>
      </c>
      <c r="D3021">
        <v>5</v>
      </c>
      <c r="E3021" s="16" t="s">
        <v>88</v>
      </c>
      <c r="F3021" s="16" t="s">
        <v>83</v>
      </c>
      <c r="G3021" s="22">
        <v>222</v>
      </c>
      <c r="H3021" s="18">
        <v>72.180000000000007</v>
      </c>
      <c r="I3021" s="18">
        <v>0.32513513500000002</v>
      </c>
      <c r="J3021" s="18">
        <v>0.33</v>
      </c>
      <c r="K3021" s="18">
        <v>0.31</v>
      </c>
      <c r="L3021" s="22">
        <v>8</v>
      </c>
    </row>
    <row r="3022" spans="1:12">
      <c r="A3022">
        <v>4</v>
      </c>
      <c r="B3022" s="16" t="s">
        <v>59</v>
      </c>
      <c r="C3022" s="9">
        <v>45748</v>
      </c>
      <c r="D3022">
        <v>5</v>
      </c>
      <c r="E3022" s="16" t="s">
        <v>88</v>
      </c>
      <c r="F3022" s="16" t="s">
        <v>83</v>
      </c>
      <c r="G3022" s="22">
        <v>306</v>
      </c>
      <c r="H3022" s="18">
        <v>100.8</v>
      </c>
      <c r="I3022" s="18">
        <v>0.32941176500000002</v>
      </c>
      <c r="J3022" s="18">
        <v>0.33</v>
      </c>
      <c r="K3022" s="18">
        <v>0.32</v>
      </c>
      <c r="L3022" s="22">
        <v>9</v>
      </c>
    </row>
    <row r="3023" spans="1:12">
      <c r="A3023">
        <v>4</v>
      </c>
      <c r="B3023" s="16" t="s">
        <v>59</v>
      </c>
      <c r="C3023" s="9">
        <v>45778</v>
      </c>
      <c r="D3023">
        <v>5</v>
      </c>
      <c r="E3023" s="16" t="s">
        <v>88</v>
      </c>
      <c r="F3023" s="16" t="s">
        <v>83</v>
      </c>
      <c r="G3023" s="22">
        <v>414</v>
      </c>
      <c r="H3023" s="18">
        <v>135.96</v>
      </c>
      <c r="I3023" s="18">
        <v>0.328405797</v>
      </c>
      <c r="J3023" s="18">
        <v>0.33</v>
      </c>
      <c r="K3023" s="18">
        <v>0.32</v>
      </c>
      <c r="L3023" s="22">
        <v>9</v>
      </c>
    </row>
    <row r="3024" spans="1:12">
      <c r="A3024">
        <v>4</v>
      </c>
      <c r="B3024" s="16" t="s">
        <v>59</v>
      </c>
      <c r="C3024" s="9">
        <v>45809</v>
      </c>
      <c r="D3024">
        <v>5</v>
      </c>
      <c r="E3024" s="16" t="s">
        <v>88</v>
      </c>
      <c r="F3024" s="16" t="s">
        <v>83</v>
      </c>
      <c r="G3024" s="22">
        <v>366</v>
      </c>
      <c r="H3024" s="18">
        <v>119.88</v>
      </c>
      <c r="I3024" s="18">
        <v>0.32754098399999998</v>
      </c>
      <c r="J3024" s="18">
        <v>0.33</v>
      </c>
      <c r="K3024" s="18">
        <v>0.32</v>
      </c>
      <c r="L3024" s="22">
        <v>8</v>
      </c>
    </row>
    <row r="3025" spans="1:12">
      <c r="A3025">
        <v>4</v>
      </c>
      <c r="B3025" s="16" t="s">
        <v>59</v>
      </c>
      <c r="C3025" s="9">
        <v>45839</v>
      </c>
      <c r="D3025">
        <v>5</v>
      </c>
      <c r="E3025" s="16" t="s">
        <v>88</v>
      </c>
      <c r="F3025" s="16" t="s">
        <v>83</v>
      </c>
      <c r="G3025" s="22">
        <v>372</v>
      </c>
      <c r="H3025" s="18">
        <v>122.46</v>
      </c>
      <c r="I3025" s="18">
        <v>0.329193548</v>
      </c>
      <c r="J3025" s="18">
        <v>0.33</v>
      </c>
      <c r="K3025" s="18">
        <v>0.32</v>
      </c>
      <c r="L3025" s="22">
        <v>9</v>
      </c>
    </row>
    <row r="3026" spans="1:12">
      <c r="A3026">
        <v>4</v>
      </c>
      <c r="B3026" s="16" t="s">
        <v>59</v>
      </c>
      <c r="C3026" s="9">
        <v>45870</v>
      </c>
      <c r="D3026">
        <v>5</v>
      </c>
      <c r="E3026" s="16" t="s">
        <v>88</v>
      </c>
      <c r="F3026" s="16" t="s">
        <v>83</v>
      </c>
      <c r="G3026" s="22">
        <v>468</v>
      </c>
      <c r="H3026" s="18">
        <v>155.63999999999999</v>
      </c>
      <c r="I3026" s="18">
        <v>0.332564103</v>
      </c>
      <c r="J3026" s="18">
        <v>0.34</v>
      </c>
      <c r="K3026" s="18">
        <v>0.33</v>
      </c>
      <c r="L3026" s="22">
        <v>9</v>
      </c>
    </row>
    <row r="3027" spans="1:12">
      <c r="A3027">
        <v>4</v>
      </c>
      <c r="B3027" s="16" t="s">
        <v>59</v>
      </c>
      <c r="C3027" s="9">
        <v>45901</v>
      </c>
      <c r="D3027">
        <v>5</v>
      </c>
      <c r="E3027" s="16" t="s">
        <v>88</v>
      </c>
      <c r="F3027" s="16" t="s">
        <v>83</v>
      </c>
      <c r="G3027" s="22">
        <v>396</v>
      </c>
      <c r="H3027" s="18">
        <v>130.97999999999999</v>
      </c>
      <c r="I3027" s="18">
        <v>0.330757576</v>
      </c>
      <c r="J3027" s="18">
        <v>0.34</v>
      </c>
      <c r="K3027" s="18">
        <v>0.33</v>
      </c>
      <c r="L3027" s="22">
        <v>9</v>
      </c>
    </row>
    <row r="3028" spans="1:12">
      <c r="A3028">
        <v>4</v>
      </c>
      <c r="B3028" s="16" t="s">
        <v>59</v>
      </c>
      <c r="C3028" s="9">
        <v>45931</v>
      </c>
      <c r="D3028">
        <v>5</v>
      </c>
      <c r="E3028" s="16" t="s">
        <v>88</v>
      </c>
      <c r="F3028" s="16" t="s">
        <v>83</v>
      </c>
      <c r="G3028" s="22">
        <v>372</v>
      </c>
      <c r="H3028" s="18">
        <v>119.16</v>
      </c>
      <c r="I3028" s="18">
        <v>0.320322581</v>
      </c>
      <c r="J3028" s="18">
        <v>0.34</v>
      </c>
      <c r="K3028" s="18">
        <v>0.31</v>
      </c>
      <c r="L3028" s="22">
        <v>9</v>
      </c>
    </row>
    <row r="3029" spans="1:12">
      <c r="A3029">
        <v>4</v>
      </c>
      <c r="B3029" s="16" t="s">
        <v>59</v>
      </c>
      <c r="C3029" s="9">
        <v>45962</v>
      </c>
      <c r="D3029">
        <v>5</v>
      </c>
      <c r="E3029" s="16" t="s">
        <v>88</v>
      </c>
      <c r="F3029" s="16" t="s">
        <v>83</v>
      </c>
      <c r="G3029" s="22">
        <v>258</v>
      </c>
      <c r="H3029" s="18">
        <v>80.7</v>
      </c>
      <c r="I3029" s="18">
        <v>0.31279069799999998</v>
      </c>
      <c r="J3029" s="18">
        <v>0.32</v>
      </c>
      <c r="K3029" s="18">
        <v>0.31</v>
      </c>
      <c r="L3029" s="22">
        <v>8</v>
      </c>
    </row>
    <row r="3030" spans="1:12">
      <c r="A3030">
        <v>4</v>
      </c>
      <c r="B3030" s="16" t="s">
        <v>59</v>
      </c>
      <c r="C3030" s="9">
        <v>45992</v>
      </c>
      <c r="D3030">
        <v>5</v>
      </c>
      <c r="E3030" s="16" t="s">
        <v>88</v>
      </c>
      <c r="F3030" s="16" t="s">
        <v>83</v>
      </c>
      <c r="G3030" s="22">
        <v>354</v>
      </c>
      <c r="H3030" s="18">
        <v>110.22</v>
      </c>
      <c r="I3030" s="18">
        <v>0.311355932</v>
      </c>
      <c r="J3030" s="18">
        <v>0.32</v>
      </c>
      <c r="K3030" s="18">
        <v>0.31</v>
      </c>
      <c r="L3030" s="22">
        <v>9</v>
      </c>
    </row>
    <row r="3031" spans="1:12">
      <c r="A3031">
        <v>4</v>
      </c>
      <c r="B3031" s="16" t="s">
        <v>59</v>
      </c>
      <c r="C3031" s="9">
        <v>46023</v>
      </c>
      <c r="D3031">
        <v>5</v>
      </c>
      <c r="E3031" s="16" t="s">
        <v>88</v>
      </c>
      <c r="F3031" s="16" t="s">
        <v>83</v>
      </c>
      <c r="G3031" s="22">
        <v>258</v>
      </c>
      <c r="H3031" s="18">
        <v>80.16</v>
      </c>
      <c r="I3031" s="18">
        <v>0.31069767399999998</v>
      </c>
      <c r="J3031" s="18">
        <v>0.32</v>
      </c>
      <c r="K3031" s="18">
        <v>0.31</v>
      </c>
      <c r="L3031" s="22">
        <v>9</v>
      </c>
    </row>
    <row r="3032" spans="1:12">
      <c r="A3032">
        <v>4</v>
      </c>
      <c r="B3032" s="16" t="s">
        <v>59</v>
      </c>
      <c r="C3032" s="9">
        <v>46054</v>
      </c>
      <c r="D3032">
        <v>5</v>
      </c>
      <c r="E3032" s="16" t="s">
        <v>88</v>
      </c>
      <c r="F3032" s="16" t="s">
        <v>83</v>
      </c>
      <c r="G3032" s="22">
        <v>252</v>
      </c>
      <c r="H3032" s="18">
        <v>78.66</v>
      </c>
      <c r="I3032" s="18">
        <v>0.312142857</v>
      </c>
      <c r="J3032" s="18">
        <v>0.32</v>
      </c>
      <c r="K3032" s="18">
        <v>0.31</v>
      </c>
      <c r="L3032" s="22">
        <v>8</v>
      </c>
    </row>
    <row r="3033" spans="1:12">
      <c r="A3033">
        <v>4</v>
      </c>
      <c r="B3033" s="16" t="s">
        <v>59</v>
      </c>
      <c r="C3033" s="9">
        <v>46082</v>
      </c>
      <c r="D3033">
        <v>5</v>
      </c>
      <c r="E3033" s="16" t="s">
        <v>88</v>
      </c>
      <c r="F3033" s="16" t="s">
        <v>83</v>
      </c>
      <c r="G3033" s="22">
        <v>282</v>
      </c>
      <c r="H3033" s="18">
        <v>88.32</v>
      </c>
      <c r="I3033" s="18">
        <v>0.31319148899999999</v>
      </c>
      <c r="J3033" s="18">
        <v>0.32</v>
      </c>
      <c r="K3033" s="18">
        <v>0.31</v>
      </c>
      <c r="L3033" s="22">
        <v>9</v>
      </c>
    </row>
    <row r="3034" spans="1:12">
      <c r="A3034">
        <v>4</v>
      </c>
      <c r="B3034" s="16" t="s">
        <v>59</v>
      </c>
      <c r="C3034" s="9">
        <v>46113</v>
      </c>
      <c r="D3034">
        <v>5</v>
      </c>
      <c r="E3034" s="16" t="s">
        <v>88</v>
      </c>
      <c r="F3034" s="16" t="s">
        <v>83</v>
      </c>
      <c r="G3034" s="22">
        <v>300</v>
      </c>
      <c r="H3034" s="18">
        <v>94.98</v>
      </c>
      <c r="I3034" s="18">
        <v>0.31659999999999999</v>
      </c>
      <c r="J3034" s="18">
        <v>0.32</v>
      </c>
      <c r="K3034" s="18">
        <v>0.31</v>
      </c>
      <c r="L3034" s="22">
        <v>8</v>
      </c>
    </row>
    <row r="3035" spans="1:12">
      <c r="A3035">
        <v>4</v>
      </c>
      <c r="B3035" s="16" t="s">
        <v>59</v>
      </c>
      <c r="C3035" s="9">
        <v>46143</v>
      </c>
      <c r="D3035">
        <v>5</v>
      </c>
      <c r="E3035" s="16" t="s">
        <v>88</v>
      </c>
      <c r="F3035" s="16" t="s">
        <v>83</v>
      </c>
      <c r="G3035" s="22">
        <v>420</v>
      </c>
      <c r="H3035" s="18">
        <v>133.91999999999999</v>
      </c>
      <c r="I3035" s="18">
        <v>0.31885714300000001</v>
      </c>
      <c r="J3035" s="18">
        <v>0.33</v>
      </c>
      <c r="K3035" s="18">
        <v>0.31</v>
      </c>
      <c r="L3035" s="22">
        <v>9</v>
      </c>
    </row>
    <row r="3036" spans="1:12">
      <c r="A3036">
        <v>4</v>
      </c>
      <c r="B3036" s="16" t="s">
        <v>59</v>
      </c>
      <c r="C3036" s="9">
        <v>46174</v>
      </c>
      <c r="D3036">
        <v>5</v>
      </c>
      <c r="E3036" s="16" t="s">
        <v>88</v>
      </c>
      <c r="F3036" s="16" t="s">
        <v>83</v>
      </c>
      <c r="G3036" s="22">
        <v>414</v>
      </c>
      <c r="H3036" s="18">
        <v>132.47999999999999</v>
      </c>
      <c r="I3036" s="18">
        <v>0.32</v>
      </c>
      <c r="J3036" s="18">
        <v>0.32</v>
      </c>
      <c r="K3036" s="18">
        <v>0.32</v>
      </c>
      <c r="L3036" s="22">
        <v>9</v>
      </c>
    </row>
    <row r="3037" spans="1:12">
      <c r="A3037">
        <v>4</v>
      </c>
      <c r="B3037" s="16" t="s">
        <v>59</v>
      </c>
      <c r="C3037" s="9">
        <v>46204</v>
      </c>
      <c r="D3037">
        <v>5</v>
      </c>
      <c r="E3037" s="16" t="s">
        <v>88</v>
      </c>
      <c r="F3037" s="16" t="s">
        <v>83</v>
      </c>
      <c r="G3037" s="22">
        <v>474</v>
      </c>
      <c r="H3037" s="18">
        <v>150.54</v>
      </c>
      <c r="I3037" s="18">
        <v>0.31759493700000002</v>
      </c>
      <c r="J3037" s="18">
        <v>0.33</v>
      </c>
      <c r="K3037" s="18">
        <v>0.31</v>
      </c>
      <c r="L3037" s="22">
        <v>9</v>
      </c>
    </row>
    <row r="3038" spans="1:12">
      <c r="A3038">
        <v>4</v>
      </c>
      <c r="B3038" s="16" t="s">
        <v>59</v>
      </c>
      <c r="C3038" s="9">
        <v>46235</v>
      </c>
      <c r="D3038">
        <v>5</v>
      </c>
      <c r="E3038" s="16" t="s">
        <v>88</v>
      </c>
      <c r="F3038" s="16" t="s">
        <v>83</v>
      </c>
      <c r="G3038" s="22">
        <v>336</v>
      </c>
      <c r="H3038" s="18">
        <v>107.16</v>
      </c>
      <c r="I3038" s="18">
        <v>0.31892857099999999</v>
      </c>
      <c r="J3038" s="18">
        <v>0.32</v>
      </c>
      <c r="K3038" s="18">
        <v>0.31</v>
      </c>
      <c r="L3038" s="22">
        <v>8</v>
      </c>
    </row>
    <row r="3039" spans="1:12">
      <c r="A3039">
        <v>4</v>
      </c>
      <c r="B3039" s="16" t="s">
        <v>59</v>
      </c>
      <c r="C3039" s="9">
        <v>46266</v>
      </c>
      <c r="D3039">
        <v>5</v>
      </c>
      <c r="E3039" s="16" t="s">
        <v>88</v>
      </c>
      <c r="F3039" s="16" t="s">
        <v>83</v>
      </c>
      <c r="G3039" s="22">
        <v>300</v>
      </c>
      <c r="H3039" s="18">
        <v>96</v>
      </c>
      <c r="I3039" s="18">
        <v>0.32</v>
      </c>
      <c r="J3039" s="18">
        <v>0.33</v>
      </c>
      <c r="K3039" s="18">
        <v>0.31</v>
      </c>
      <c r="L3039" s="22">
        <v>9</v>
      </c>
    </row>
    <row r="3040" spans="1:12">
      <c r="A3040">
        <v>4</v>
      </c>
      <c r="B3040" s="16" t="s">
        <v>59</v>
      </c>
      <c r="C3040" s="9">
        <v>45689</v>
      </c>
      <c r="D3040">
        <v>6</v>
      </c>
      <c r="E3040" s="16" t="s">
        <v>89</v>
      </c>
      <c r="F3040" s="16" t="s">
        <v>90</v>
      </c>
      <c r="G3040" s="22">
        <v>16</v>
      </c>
      <c r="H3040" s="18">
        <v>408.16</v>
      </c>
      <c r="I3040" s="18">
        <v>25.51</v>
      </c>
      <c r="J3040" s="18">
        <v>25.98</v>
      </c>
      <c r="K3040" s="18">
        <v>25.04</v>
      </c>
      <c r="L3040" s="22">
        <v>2</v>
      </c>
    </row>
    <row r="3041" spans="1:12">
      <c r="A3041">
        <v>4</v>
      </c>
      <c r="B3041" s="16" t="s">
        <v>59</v>
      </c>
      <c r="C3041" s="9">
        <v>45717</v>
      </c>
      <c r="D3041">
        <v>6</v>
      </c>
      <c r="E3041" s="16" t="s">
        <v>89</v>
      </c>
      <c r="F3041" s="16" t="s">
        <v>90</v>
      </c>
      <c r="G3041" s="22">
        <v>14</v>
      </c>
      <c r="H3041" s="18">
        <v>366.64</v>
      </c>
      <c r="I3041" s="18">
        <v>26.188571429</v>
      </c>
      <c r="J3041" s="18">
        <v>26.56</v>
      </c>
      <c r="K3041" s="18">
        <v>25.91</v>
      </c>
      <c r="L3041" s="22">
        <v>2</v>
      </c>
    </row>
    <row r="3042" spans="1:12">
      <c r="A3042">
        <v>4</v>
      </c>
      <c r="B3042" s="16" t="s">
        <v>59</v>
      </c>
      <c r="C3042" s="9">
        <v>45748</v>
      </c>
      <c r="D3042">
        <v>6</v>
      </c>
      <c r="E3042" s="16" t="s">
        <v>89</v>
      </c>
      <c r="F3042" s="16" t="s">
        <v>90</v>
      </c>
      <c r="G3042" s="22">
        <v>20</v>
      </c>
      <c r="H3042" s="18">
        <v>515</v>
      </c>
      <c r="I3042" s="18">
        <v>25.75</v>
      </c>
      <c r="J3042" s="18">
        <v>25.83</v>
      </c>
      <c r="K3042" s="18">
        <v>25.67</v>
      </c>
      <c r="L3042" s="22">
        <v>2</v>
      </c>
    </row>
    <row r="3043" spans="1:12">
      <c r="A3043">
        <v>4</v>
      </c>
      <c r="B3043" s="16" t="s">
        <v>59</v>
      </c>
      <c r="C3043" s="9">
        <v>45778</v>
      </c>
      <c r="D3043">
        <v>6</v>
      </c>
      <c r="E3043" s="16" t="s">
        <v>89</v>
      </c>
      <c r="F3043" s="16" t="s">
        <v>90</v>
      </c>
      <c r="G3043" s="22">
        <v>18</v>
      </c>
      <c r="H3043" s="18">
        <v>457.3</v>
      </c>
      <c r="I3043" s="18">
        <v>25.405555555999999</v>
      </c>
      <c r="J3043" s="18">
        <v>25.49</v>
      </c>
      <c r="K3043" s="18">
        <v>25.3</v>
      </c>
      <c r="L3043" s="22">
        <v>2</v>
      </c>
    </row>
    <row r="3044" spans="1:12">
      <c r="A3044">
        <v>4</v>
      </c>
      <c r="B3044" s="16" t="s">
        <v>59</v>
      </c>
      <c r="C3044" s="9">
        <v>45809</v>
      </c>
      <c r="D3044">
        <v>6</v>
      </c>
      <c r="E3044" s="16" t="s">
        <v>89</v>
      </c>
      <c r="F3044" s="16" t="s">
        <v>90</v>
      </c>
      <c r="G3044" s="22">
        <v>16</v>
      </c>
      <c r="H3044" s="18">
        <v>403.6</v>
      </c>
      <c r="I3044" s="18">
        <v>25.225000000000001</v>
      </c>
      <c r="J3044" s="18">
        <v>25.23</v>
      </c>
      <c r="K3044" s="18">
        <v>25.22</v>
      </c>
      <c r="L3044" s="22">
        <v>2</v>
      </c>
    </row>
    <row r="3045" spans="1:12">
      <c r="A3045">
        <v>4</v>
      </c>
      <c r="B3045" s="16" t="s">
        <v>59</v>
      </c>
      <c r="C3045" s="9">
        <v>45839</v>
      </c>
      <c r="D3045">
        <v>6</v>
      </c>
      <c r="E3045" s="16" t="s">
        <v>89</v>
      </c>
      <c r="F3045" s="16" t="s">
        <v>90</v>
      </c>
      <c r="G3045" s="22">
        <v>24</v>
      </c>
      <c r="H3045" s="18">
        <v>621.4</v>
      </c>
      <c r="I3045" s="18">
        <v>25.891666666999999</v>
      </c>
      <c r="J3045" s="18">
        <v>26.27</v>
      </c>
      <c r="K3045" s="18">
        <v>25.65</v>
      </c>
      <c r="L3045" s="22">
        <v>3</v>
      </c>
    </row>
    <row r="3046" spans="1:12">
      <c r="A3046">
        <v>4</v>
      </c>
      <c r="B3046" s="16" t="s">
        <v>59</v>
      </c>
      <c r="C3046" s="9">
        <v>45870</v>
      </c>
      <c r="D3046">
        <v>6</v>
      </c>
      <c r="E3046" s="16" t="s">
        <v>89</v>
      </c>
      <c r="F3046" s="16" t="s">
        <v>90</v>
      </c>
      <c r="G3046" s="22">
        <v>20</v>
      </c>
      <c r="H3046" s="18">
        <v>525.70000000000005</v>
      </c>
      <c r="I3046" s="18">
        <v>26.285</v>
      </c>
      <c r="J3046" s="18">
        <v>26.34</v>
      </c>
      <c r="K3046" s="18">
        <v>26.23</v>
      </c>
      <c r="L3046" s="22">
        <v>2</v>
      </c>
    </row>
    <row r="3047" spans="1:12">
      <c r="A3047">
        <v>4</v>
      </c>
      <c r="B3047" s="16" t="s">
        <v>59</v>
      </c>
      <c r="C3047" s="9">
        <v>45901</v>
      </c>
      <c r="D3047">
        <v>6</v>
      </c>
      <c r="E3047" s="16" t="s">
        <v>89</v>
      </c>
      <c r="F3047" s="16" t="s">
        <v>90</v>
      </c>
      <c r="G3047" s="22">
        <v>18</v>
      </c>
      <c r="H3047" s="18">
        <v>469.4</v>
      </c>
      <c r="I3047" s="18">
        <v>26.077777778000002</v>
      </c>
      <c r="J3047" s="18">
        <v>26.1</v>
      </c>
      <c r="K3047" s="18">
        <v>26.05</v>
      </c>
      <c r="L3047" s="22">
        <v>2</v>
      </c>
    </row>
    <row r="3048" spans="1:12">
      <c r="A3048">
        <v>4</v>
      </c>
      <c r="B3048" s="16" t="s">
        <v>59</v>
      </c>
      <c r="C3048" s="9">
        <v>45931</v>
      </c>
      <c r="D3048">
        <v>6</v>
      </c>
      <c r="E3048" s="16" t="s">
        <v>89</v>
      </c>
      <c r="F3048" s="16" t="s">
        <v>90</v>
      </c>
      <c r="G3048" s="22">
        <v>18</v>
      </c>
      <c r="H3048" s="18">
        <v>475.9</v>
      </c>
      <c r="I3048" s="18">
        <v>26.438888889000001</v>
      </c>
      <c r="J3048" s="18">
        <v>26.65</v>
      </c>
      <c r="K3048" s="18">
        <v>26.27</v>
      </c>
      <c r="L3048" s="22">
        <v>2</v>
      </c>
    </row>
    <row r="3049" spans="1:12">
      <c r="A3049">
        <v>4</v>
      </c>
      <c r="B3049" s="16" t="s">
        <v>59</v>
      </c>
      <c r="C3049" s="9">
        <v>45962</v>
      </c>
      <c r="D3049">
        <v>6</v>
      </c>
      <c r="E3049" s="16" t="s">
        <v>89</v>
      </c>
      <c r="F3049" s="16" t="s">
        <v>90</v>
      </c>
      <c r="G3049" s="22">
        <v>16</v>
      </c>
      <c r="H3049" s="18">
        <v>409.76</v>
      </c>
      <c r="I3049" s="18">
        <v>25.61</v>
      </c>
      <c r="J3049" s="18">
        <v>26</v>
      </c>
      <c r="K3049" s="18">
        <v>25.22</v>
      </c>
      <c r="L3049" s="22">
        <v>2</v>
      </c>
    </row>
    <row r="3050" spans="1:12">
      <c r="A3050">
        <v>4</v>
      </c>
      <c r="B3050" s="16" t="s">
        <v>59</v>
      </c>
      <c r="C3050" s="9">
        <v>45992</v>
      </c>
      <c r="D3050">
        <v>6</v>
      </c>
      <c r="E3050" s="16" t="s">
        <v>89</v>
      </c>
      <c r="F3050" s="16" t="s">
        <v>90</v>
      </c>
      <c r="G3050" s="22">
        <v>28</v>
      </c>
      <c r="H3050" s="18">
        <v>730.7</v>
      </c>
      <c r="I3050" s="18">
        <v>26.096428571000001</v>
      </c>
      <c r="J3050" s="18">
        <v>26.21</v>
      </c>
      <c r="K3050" s="18">
        <v>25.9</v>
      </c>
      <c r="L3050" s="22">
        <v>3</v>
      </c>
    </row>
    <row r="3051" spans="1:12">
      <c r="A3051">
        <v>4</v>
      </c>
      <c r="B3051" s="16" t="s">
        <v>59</v>
      </c>
      <c r="C3051" s="9">
        <v>46023</v>
      </c>
      <c r="D3051">
        <v>6</v>
      </c>
      <c r="E3051" s="16" t="s">
        <v>89</v>
      </c>
      <c r="F3051" s="16" t="s">
        <v>90</v>
      </c>
      <c r="G3051" s="22">
        <v>14</v>
      </c>
      <c r="H3051" s="18">
        <v>365.66</v>
      </c>
      <c r="I3051" s="18">
        <v>26.118571428999999</v>
      </c>
      <c r="J3051" s="18">
        <v>26.41</v>
      </c>
      <c r="K3051" s="18">
        <v>25.73</v>
      </c>
      <c r="L3051" s="22">
        <v>2</v>
      </c>
    </row>
    <row r="3052" spans="1:12">
      <c r="A3052">
        <v>4</v>
      </c>
      <c r="B3052" s="16" t="s">
        <v>59</v>
      </c>
      <c r="C3052" s="9">
        <v>46054</v>
      </c>
      <c r="D3052">
        <v>6</v>
      </c>
      <c r="E3052" s="16" t="s">
        <v>89</v>
      </c>
      <c r="F3052" s="16" t="s">
        <v>90</v>
      </c>
      <c r="G3052" s="22">
        <v>16</v>
      </c>
      <c r="H3052" s="18">
        <v>414.56</v>
      </c>
      <c r="I3052" s="18">
        <v>25.91</v>
      </c>
      <c r="J3052" s="18">
        <v>26.05</v>
      </c>
      <c r="K3052" s="18">
        <v>25.77</v>
      </c>
      <c r="L3052" s="22">
        <v>2</v>
      </c>
    </row>
    <row r="3053" spans="1:12">
      <c r="A3053">
        <v>4</v>
      </c>
      <c r="B3053" s="16" t="s">
        <v>59</v>
      </c>
      <c r="C3053" s="9">
        <v>46082</v>
      </c>
      <c r="D3053">
        <v>6</v>
      </c>
      <c r="E3053" s="16" t="s">
        <v>89</v>
      </c>
      <c r="F3053" s="16" t="s">
        <v>90</v>
      </c>
      <c r="G3053" s="22">
        <v>16</v>
      </c>
      <c r="H3053" s="18">
        <v>418.88</v>
      </c>
      <c r="I3053" s="18">
        <v>26.18</v>
      </c>
      <c r="J3053" s="18">
        <v>26.24</v>
      </c>
      <c r="K3053" s="18">
        <v>26.12</v>
      </c>
      <c r="L3053" s="22">
        <v>2</v>
      </c>
    </row>
    <row r="3054" spans="1:12">
      <c r="A3054">
        <v>4</v>
      </c>
      <c r="B3054" s="16" t="s">
        <v>59</v>
      </c>
      <c r="C3054" s="9">
        <v>46113</v>
      </c>
      <c r="D3054">
        <v>6</v>
      </c>
      <c r="E3054" s="16" t="s">
        <v>89</v>
      </c>
      <c r="F3054" s="16" t="s">
        <v>90</v>
      </c>
      <c r="G3054" s="22">
        <v>18</v>
      </c>
      <c r="H3054" s="18">
        <v>471.48</v>
      </c>
      <c r="I3054" s="18">
        <v>26.193333333000002</v>
      </c>
      <c r="J3054" s="18">
        <v>26.36</v>
      </c>
      <c r="K3054" s="18">
        <v>26.06</v>
      </c>
      <c r="L3054" s="22">
        <v>2</v>
      </c>
    </row>
    <row r="3055" spans="1:12">
      <c r="A3055">
        <v>4</v>
      </c>
      <c r="B3055" s="16" t="s">
        <v>59</v>
      </c>
      <c r="C3055" s="9">
        <v>46143</v>
      </c>
      <c r="D3055">
        <v>6</v>
      </c>
      <c r="E3055" s="16" t="s">
        <v>89</v>
      </c>
      <c r="F3055" s="16" t="s">
        <v>90</v>
      </c>
      <c r="G3055" s="22">
        <v>16</v>
      </c>
      <c r="H3055" s="18">
        <v>426.32</v>
      </c>
      <c r="I3055" s="18">
        <v>26.645</v>
      </c>
      <c r="J3055" s="18">
        <v>26.9</v>
      </c>
      <c r="K3055" s="18">
        <v>26.39</v>
      </c>
      <c r="L3055" s="22">
        <v>2</v>
      </c>
    </row>
    <row r="3056" spans="1:12">
      <c r="A3056">
        <v>4</v>
      </c>
      <c r="B3056" s="16" t="s">
        <v>59</v>
      </c>
      <c r="C3056" s="9">
        <v>46174</v>
      </c>
      <c r="D3056">
        <v>6</v>
      </c>
      <c r="E3056" s="16" t="s">
        <v>89</v>
      </c>
      <c r="F3056" s="16" t="s">
        <v>90</v>
      </c>
      <c r="G3056" s="22">
        <v>26</v>
      </c>
      <c r="H3056" s="18">
        <v>682.72</v>
      </c>
      <c r="I3056" s="18">
        <v>26.258461537999999</v>
      </c>
      <c r="J3056" s="18">
        <v>26.74</v>
      </c>
      <c r="K3056" s="18">
        <v>25.95</v>
      </c>
      <c r="L3056" s="22">
        <v>3</v>
      </c>
    </row>
    <row r="3057" spans="1:12">
      <c r="A3057">
        <v>4</v>
      </c>
      <c r="B3057" s="16" t="s">
        <v>59</v>
      </c>
      <c r="C3057" s="9">
        <v>46204</v>
      </c>
      <c r="D3057">
        <v>6</v>
      </c>
      <c r="E3057" s="16" t="s">
        <v>89</v>
      </c>
      <c r="F3057" s="16" t="s">
        <v>90</v>
      </c>
      <c r="G3057" s="22">
        <v>16</v>
      </c>
      <c r="H3057" s="18">
        <v>430.56</v>
      </c>
      <c r="I3057" s="18">
        <v>26.91</v>
      </c>
      <c r="J3057" s="18">
        <v>26.97</v>
      </c>
      <c r="K3057" s="18">
        <v>26.85</v>
      </c>
      <c r="L3057" s="22">
        <v>2</v>
      </c>
    </row>
    <row r="3058" spans="1:12">
      <c r="A3058">
        <v>4</v>
      </c>
      <c r="B3058" s="16" t="s">
        <v>59</v>
      </c>
      <c r="C3058" s="9">
        <v>46235</v>
      </c>
      <c r="D3058">
        <v>6</v>
      </c>
      <c r="E3058" s="16" t="s">
        <v>89</v>
      </c>
      <c r="F3058" s="16" t="s">
        <v>90</v>
      </c>
      <c r="G3058" s="22">
        <v>16</v>
      </c>
      <c r="H3058" s="18">
        <v>425.36</v>
      </c>
      <c r="I3058" s="18">
        <v>26.585000000000001</v>
      </c>
      <c r="J3058" s="18">
        <v>26.76</v>
      </c>
      <c r="K3058" s="18">
        <v>26.41</v>
      </c>
      <c r="L3058" s="22">
        <v>2</v>
      </c>
    </row>
    <row r="3059" spans="1:12">
      <c r="A3059">
        <v>4</v>
      </c>
      <c r="B3059" s="16" t="s">
        <v>59</v>
      </c>
      <c r="C3059" s="9">
        <v>46266</v>
      </c>
      <c r="D3059">
        <v>6</v>
      </c>
      <c r="E3059" s="16" t="s">
        <v>89</v>
      </c>
      <c r="F3059" s="16" t="s">
        <v>90</v>
      </c>
      <c r="G3059" s="22">
        <v>16</v>
      </c>
      <c r="H3059" s="18">
        <v>428.16</v>
      </c>
      <c r="I3059" s="18">
        <v>26.76</v>
      </c>
      <c r="J3059" s="18">
        <v>26.86</v>
      </c>
      <c r="K3059" s="18">
        <v>26.66</v>
      </c>
      <c r="L3059" s="22">
        <v>2</v>
      </c>
    </row>
    <row r="3060" spans="1:12">
      <c r="A3060">
        <v>4</v>
      </c>
      <c r="B3060" s="16" t="s">
        <v>59</v>
      </c>
      <c r="C3060" s="9">
        <v>45689</v>
      </c>
      <c r="D3060">
        <v>7</v>
      </c>
      <c r="E3060" s="16" t="s">
        <v>91</v>
      </c>
      <c r="F3060" s="16" t="s">
        <v>92</v>
      </c>
      <c r="G3060" s="22">
        <v>85</v>
      </c>
      <c r="H3060" s="18">
        <v>66.989999999999995</v>
      </c>
      <c r="I3060" s="18">
        <v>0.78811764699999998</v>
      </c>
      <c r="J3060" s="18">
        <v>0.8</v>
      </c>
      <c r="K3060" s="18">
        <v>0.78</v>
      </c>
      <c r="L3060" s="22">
        <v>12</v>
      </c>
    </row>
    <row r="3061" spans="1:12">
      <c r="A3061">
        <v>4</v>
      </c>
      <c r="B3061" s="16" t="s">
        <v>59</v>
      </c>
      <c r="C3061" s="9">
        <v>45717</v>
      </c>
      <c r="D3061">
        <v>7</v>
      </c>
      <c r="E3061" s="16" t="s">
        <v>91</v>
      </c>
      <c r="F3061" s="16" t="s">
        <v>92</v>
      </c>
      <c r="G3061" s="22">
        <v>74</v>
      </c>
      <c r="H3061" s="18">
        <v>55.36</v>
      </c>
      <c r="I3061" s="18">
        <v>0.74810810800000005</v>
      </c>
      <c r="J3061" s="18">
        <v>0.76</v>
      </c>
      <c r="K3061" s="18">
        <v>0.73</v>
      </c>
      <c r="L3061" s="22">
        <v>13</v>
      </c>
    </row>
    <row r="3062" spans="1:12">
      <c r="A3062">
        <v>4</v>
      </c>
      <c r="B3062" s="16" t="s">
        <v>59</v>
      </c>
      <c r="C3062" s="9">
        <v>45748</v>
      </c>
      <c r="D3062">
        <v>7</v>
      </c>
      <c r="E3062" s="16" t="s">
        <v>91</v>
      </c>
      <c r="F3062" s="16" t="s">
        <v>92</v>
      </c>
      <c r="G3062" s="22">
        <v>119</v>
      </c>
      <c r="H3062" s="18">
        <v>84.24</v>
      </c>
      <c r="I3062" s="18">
        <v>0.70789915999999997</v>
      </c>
      <c r="J3062" s="18">
        <v>0.72</v>
      </c>
      <c r="K3062" s="18">
        <v>0.69</v>
      </c>
      <c r="L3062" s="22">
        <v>13</v>
      </c>
    </row>
    <row r="3063" spans="1:12">
      <c r="A3063">
        <v>4</v>
      </c>
      <c r="B3063" s="16" t="s">
        <v>59</v>
      </c>
      <c r="C3063" s="9">
        <v>45778</v>
      </c>
      <c r="D3063">
        <v>7</v>
      </c>
      <c r="E3063" s="16" t="s">
        <v>91</v>
      </c>
      <c r="F3063" s="16" t="s">
        <v>92</v>
      </c>
      <c r="G3063" s="22">
        <v>129</v>
      </c>
      <c r="H3063" s="18">
        <v>85.8</v>
      </c>
      <c r="I3063" s="18">
        <v>0.66511627900000003</v>
      </c>
      <c r="J3063" s="18">
        <v>0.69</v>
      </c>
      <c r="K3063" s="18">
        <v>0.65</v>
      </c>
      <c r="L3063" s="22">
        <v>13</v>
      </c>
    </row>
    <row r="3064" spans="1:12">
      <c r="A3064">
        <v>4</v>
      </c>
      <c r="B3064" s="16" t="s">
        <v>59</v>
      </c>
      <c r="C3064" s="9">
        <v>45809</v>
      </c>
      <c r="D3064">
        <v>7</v>
      </c>
      <c r="E3064" s="16" t="s">
        <v>91</v>
      </c>
      <c r="F3064" s="16" t="s">
        <v>92</v>
      </c>
      <c r="G3064" s="22">
        <v>129</v>
      </c>
      <c r="H3064" s="18">
        <v>80.95</v>
      </c>
      <c r="I3064" s="18">
        <v>0.62751937999999996</v>
      </c>
      <c r="J3064" s="18">
        <v>0.64</v>
      </c>
      <c r="K3064" s="18">
        <v>0.62</v>
      </c>
      <c r="L3064" s="22">
        <v>13</v>
      </c>
    </row>
    <row r="3065" spans="1:12">
      <c r="A3065">
        <v>4</v>
      </c>
      <c r="B3065" s="16" t="s">
        <v>59</v>
      </c>
      <c r="C3065" s="9">
        <v>45839</v>
      </c>
      <c r="D3065">
        <v>7</v>
      </c>
      <c r="E3065" s="16" t="s">
        <v>91</v>
      </c>
      <c r="F3065" s="16" t="s">
        <v>92</v>
      </c>
      <c r="G3065" s="22">
        <v>124</v>
      </c>
      <c r="H3065" s="18">
        <v>77.37</v>
      </c>
      <c r="I3065" s="18">
        <v>0.62395161300000002</v>
      </c>
      <c r="J3065" s="18">
        <v>0.64</v>
      </c>
      <c r="K3065" s="18">
        <v>0.61</v>
      </c>
      <c r="L3065" s="22">
        <v>13</v>
      </c>
    </row>
    <row r="3066" spans="1:12">
      <c r="A3066">
        <v>4</v>
      </c>
      <c r="B3066" s="16" t="s">
        <v>59</v>
      </c>
      <c r="C3066" s="9">
        <v>45870</v>
      </c>
      <c r="D3066">
        <v>7</v>
      </c>
      <c r="E3066" s="16" t="s">
        <v>91</v>
      </c>
      <c r="F3066" s="16" t="s">
        <v>92</v>
      </c>
      <c r="G3066" s="22">
        <v>146</v>
      </c>
      <c r="H3066" s="18">
        <v>92.62</v>
      </c>
      <c r="I3066" s="18">
        <v>0.63438356200000001</v>
      </c>
      <c r="J3066" s="18">
        <v>0.65</v>
      </c>
      <c r="K3066" s="18">
        <v>0.62</v>
      </c>
      <c r="L3066" s="22">
        <v>13</v>
      </c>
    </row>
    <row r="3067" spans="1:12">
      <c r="A3067">
        <v>4</v>
      </c>
      <c r="B3067" s="16" t="s">
        <v>59</v>
      </c>
      <c r="C3067" s="9">
        <v>45901</v>
      </c>
      <c r="D3067">
        <v>7</v>
      </c>
      <c r="E3067" s="16" t="s">
        <v>91</v>
      </c>
      <c r="F3067" s="16" t="s">
        <v>92</v>
      </c>
      <c r="G3067" s="22">
        <v>122</v>
      </c>
      <c r="H3067" s="18">
        <v>81.73</v>
      </c>
      <c r="I3067" s="18">
        <v>0.66991803299999997</v>
      </c>
      <c r="J3067" s="18">
        <v>0.68</v>
      </c>
      <c r="K3067" s="18">
        <v>0.66</v>
      </c>
      <c r="L3067" s="22">
        <v>13</v>
      </c>
    </row>
    <row r="3068" spans="1:12">
      <c r="A3068">
        <v>4</v>
      </c>
      <c r="B3068" s="16" t="s">
        <v>59</v>
      </c>
      <c r="C3068" s="9">
        <v>45931</v>
      </c>
      <c r="D3068">
        <v>7</v>
      </c>
      <c r="E3068" s="16" t="s">
        <v>91</v>
      </c>
      <c r="F3068" s="16" t="s">
        <v>92</v>
      </c>
      <c r="G3068" s="22">
        <v>105</v>
      </c>
      <c r="H3068" s="18">
        <v>74.62</v>
      </c>
      <c r="I3068" s="18">
        <v>0.71066666700000003</v>
      </c>
      <c r="J3068" s="18">
        <v>0.73</v>
      </c>
      <c r="K3068" s="18">
        <v>0.7</v>
      </c>
      <c r="L3068" s="22">
        <v>14</v>
      </c>
    </row>
    <row r="3069" spans="1:12">
      <c r="A3069">
        <v>4</v>
      </c>
      <c r="B3069" s="16" t="s">
        <v>59</v>
      </c>
      <c r="C3069" s="9">
        <v>45962</v>
      </c>
      <c r="D3069">
        <v>7</v>
      </c>
      <c r="E3069" s="16" t="s">
        <v>91</v>
      </c>
      <c r="F3069" s="16" t="s">
        <v>92</v>
      </c>
      <c r="G3069" s="22">
        <v>90</v>
      </c>
      <c r="H3069" s="18">
        <v>67.86</v>
      </c>
      <c r="I3069" s="18">
        <v>0.754</v>
      </c>
      <c r="J3069" s="18">
        <v>0.77</v>
      </c>
      <c r="K3069" s="18">
        <v>0.74</v>
      </c>
      <c r="L3069" s="22">
        <v>12</v>
      </c>
    </row>
    <row r="3070" spans="1:12">
      <c r="A3070">
        <v>4</v>
      </c>
      <c r="B3070" s="16" t="s">
        <v>59</v>
      </c>
      <c r="C3070" s="9">
        <v>45992</v>
      </c>
      <c r="D3070">
        <v>7</v>
      </c>
      <c r="E3070" s="16" t="s">
        <v>91</v>
      </c>
      <c r="F3070" s="16" t="s">
        <v>92</v>
      </c>
      <c r="G3070" s="22">
        <v>117</v>
      </c>
      <c r="H3070" s="18">
        <v>92.63</v>
      </c>
      <c r="I3070" s="18">
        <v>0.79170940199999995</v>
      </c>
      <c r="J3070" s="18">
        <v>0.81</v>
      </c>
      <c r="K3070" s="18">
        <v>0.77</v>
      </c>
      <c r="L3070" s="22">
        <v>14</v>
      </c>
    </row>
    <row r="3071" spans="1:12">
      <c r="A3071">
        <v>4</v>
      </c>
      <c r="B3071" s="16" t="s">
        <v>59</v>
      </c>
      <c r="C3071" s="9">
        <v>46023</v>
      </c>
      <c r="D3071">
        <v>7</v>
      </c>
      <c r="E3071" s="16" t="s">
        <v>91</v>
      </c>
      <c r="F3071" s="16" t="s">
        <v>92</v>
      </c>
      <c r="G3071" s="22">
        <v>78</v>
      </c>
      <c r="H3071" s="18">
        <v>63.04</v>
      </c>
      <c r="I3071" s="18">
        <v>0.80820512799999999</v>
      </c>
      <c r="J3071" s="18">
        <v>0.83</v>
      </c>
      <c r="K3071" s="18">
        <v>0.79</v>
      </c>
      <c r="L3071" s="22">
        <v>13</v>
      </c>
    </row>
    <row r="3072" spans="1:12">
      <c r="A3072">
        <v>4</v>
      </c>
      <c r="B3072" s="16" t="s">
        <v>59</v>
      </c>
      <c r="C3072" s="9">
        <v>46054</v>
      </c>
      <c r="D3072">
        <v>7</v>
      </c>
      <c r="E3072" s="16" t="s">
        <v>91</v>
      </c>
      <c r="F3072" s="16" t="s">
        <v>92</v>
      </c>
      <c r="G3072" s="22">
        <v>80</v>
      </c>
      <c r="H3072" s="18">
        <v>64.22</v>
      </c>
      <c r="I3072" s="18">
        <v>0.80274999999999996</v>
      </c>
      <c r="J3072" s="18">
        <v>0.81</v>
      </c>
      <c r="K3072" s="18">
        <v>0.79</v>
      </c>
      <c r="L3072" s="22">
        <v>12</v>
      </c>
    </row>
    <row r="3073" spans="1:12">
      <c r="A3073">
        <v>4</v>
      </c>
      <c r="B3073" s="16" t="s">
        <v>59</v>
      </c>
      <c r="C3073" s="9">
        <v>46082</v>
      </c>
      <c r="D3073">
        <v>7</v>
      </c>
      <c r="E3073" s="16" t="s">
        <v>91</v>
      </c>
      <c r="F3073" s="16" t="s">
        <v>92</v>
      </c>
      <c r="G3073" s="22">
        <v>88</v>
      </c>
      <c r="H3073" s="18">
        <v>68.2</v>
      </c>
      <c r="I3073" s="18">
        <v>0.77500000000000002</v>
      </c>
      <c r="J3073" s="18">
        <v>0.79</v>
      </c>
      <c r="K3073" s="18">
        <v>0.76</v>
      </c>
      <c r="L3073" s="22">
        <v>13</v>
      </c>
    </row>
    <row r="3074" spans="1:12">
      <c r="A3074">
        <v>4</v>
      </c>
      <c r="B3074" s="16" t="s">
        <v>59</v>
      </c>
      <c r="C3074" s="9">
        <v>46113</v>
      </c>
      <c r="D3074">
        <v>7</v>
      </c>
      <c r="E3074" s="16" t="s">
        <v>91</v>
      </c>
      <c r="F3074" s="16" t="s">
        <v>92</v>
      </c>
      <c r="G3074" s="22">
        <v>105</v>
      </c>
      <c r="H3074" s="18">
        <v>77.89</v>
      </c>
      <c r="I3074" s="18">
        <v>0.741809524</v>
      </c>
      <c r="J3074" s="18">
        <v>0.76</v>
      </c>
      <c r="K3074" s="18">
        <v>0.71</v>
      </c>
      <c r="L3074" s="22">
        <v>13</v>
      </c>
    </row>
    <row r="3075" spans="1:12">
      <c r="A3075">
        <v>4</v>
      </c>
      <c r="B3075" s="16" t="s">
        <v>59</v>
      </c>
      <c r="C3075" s="9">
        <v>46143</v>
      </c>
      <c r="D3075">
        <v>7</v>
      </c>
      <c r="E3075" s="16" t="s">
        <v>91</v>
      </c>
      <c r="F3075" s="16" t="s">
        <v>92</v>
      </c>
      <c r="G3075" s="22">
        <v>128</v>
      </c>
      <c r="H3075" s="18">
        <v>90.1</v>
      </c>
      <c r="I3075" s="18">
        <v>0.70390624999999996</v>
      </c>
      <c r="J3075" s="18">
        <v>0.72</v>
      </c>
      <c r="K3075" s="18">
        <v>0.69</v>
      </c>
      <c r="L3075" s="22">
        <v>13</v>
      </c>
    </row>
    <row r="3076" spans="1:12">
      <c r="A3076">
        <v>4</v>
      </c>
      <c r="B3076" s="16" t="s">
        <v>59</v>
      </c>
      <c r="C3076" s="9">
        <v>46174</v>
      </c>
      <c r="D3076">
        <v>7</v>
      </c>
      <c r="E3076" s="16" t="s">
        <v>91</v>
      </c>
      <c r="F3076" s="16" t="s">
        <v>92</v>
      </c>
      <c r="G3076" s="22">
        <v>122</v>
      </c>
      <c r="H3076" s="18">
        <v>81.55</v>
      </c>
      <c r="I3076" s="18">
        <v>0.66844262300000001</v>
      </c>
      <c r="J3076" s="18">
        <v>0.68</v>
      </c>
      <c r="K3076" s="18">
        <v>0.66</v>
      </c>
      <c r="L3076" s="22">
        <v>13</v>
      </c>
    </row>
    <row r="3077" spans="1:12">
      <c r="A3077">
        <v>4</v>
      </c>
      <c r="B3077" s="16" t="s">
        <v>59</v>
      </c>
      <c r="C3077" s="9">
        <v>46204</v>
      </c>
      <c r="D3077">
        <v>7</v>
      </c>
      <c r="E3077" s="16" t="s">
        <v>91</v>
      </c>
      <c r="F3077" s="16" t="s">
        <v>92</v>
      </c>
      <c r="G3077" s="22">
        <v>148</v>
      </c>
      <c r="H3077" s="18">
        <v>97.56</v>
      </c>
      <c r="I3077" s="18">
        <v>0.65918918900000001</v>
      </c>
      <c r="J3077" s="18">
        <v>0.7</v>
      </c>
      <c r="K3077" s="18">
        <v>0.64</v>
      </c>
      <c r="L3077" s="22">
        <v>14</v>
      </c>
    </row>
    <row r="3078" spans="1:12">
      <c r="A3078">
        <v>4</v>
      </c>
      <c r="B3078" s="16" t="s">
        <v>59</v>
      </c>
      <c r="C3078" s="9">
        <v>46235</v>
      </c>
      <c r="D3078">
        <v>7</v>
      </c>
      <c r="E3078" s="16" t="s">
        <v>91</v>
      </c>
      <c r="F3078" s="16" t="s">
        <v>92</v>
      </c>
      <c r="G3078" s="22">
        <v>112</v>
      </c>
      <c r="H3078" s="18">
        <v>75.73</v>
      </c>
      <c r="I3078" s="18">
        <v>0.676160714</v>
      </c>
      <c r="J3078" s="18">
        <v>0.68</v>
      </c>
      <c r="K3078" s="18">
        <v>0.67</v>
      </c>
      <c r="L3078" s="22">
        <v>13</v>
      </c>
    </row>
    <row r="3079" spans="1:12">
      <c r="A3079">
        <v>4</v>
      </c>
      <c r="B3079" s="16" t="s">
        <v>59</v>
      </c>
      <c r="C3079" s="9">
        <v>46266</v>
      </c>
      <c r="D3079">
        <v>7</v>
      </c>
      <c r="E3079" s="16" t="s">
        <v>91</v>
      </c>
      <c r="F3079" s="16" t="s">
        <v>92</v>
      </c>
      <c r="G3079" s="22">
        <v>119</v>
      </c>
      <c r="H3079" s="18">
        <v>83.97</v>
      </c>
      <c r="I3079" s="18">
        <v>0.70563025199999996</v>
      </c>
      <c r="J3079" s="18">
        <v>0.72</v>
      </c>
      <c r="K3079" s="18">
        <v>0.69</v>
      </c>
      <c r="L3079" s="22">
        <v>13</v>
      </c>
    </row>
    <row r="3080" spans="1:12">
      <c r="A3080">
        <v>4</v>
      </c>
      <c r="B3080" s="16" t="s">
        <v>59</v>
      </c>
      <c r="C3080" s="9">
        <v>45689</v>
      </c>
      <c r="D3080">
        <v>8</v>
      </c>
      <c r="E3080" s="16" t="s">
        <v>93</v>
      </c>
      <c r="F3080" s="16" t="s">
        <v>83</v>
      </c>
      <c r="G3080" s="22">
        <v>52.5</v>
      </c>
      <c r="H3080" s="18">
        <v>851.11</v>
      </c>
      <c r="I3080" s="18">
        <v>16.211619047999999</v>
      </c>
      <c r="J3080" s="18">
        <v>16.47</v>
      </c>
      <c r="K3080" s="18">
        <v>15.84</v>
      </c>
      <c r="L3080" s="22">
        <v>8</v>
      </c>
    </row>
    <row r="3081" spans="1:12">
      <c r="A3081">
        <v>4</v>
      </c>
      <c r="B3081" s="16" t="s">
        <v>59</v>
      </c>
      <c r="C3081" s="9">
        <v>45717</v>
      </c>
      <c r="D3081">
        <v>8</v>
      </c>
      <c r="E3081" s="16" t="s">
        <v>93</v>
      </c>
      <c r="F3081" s="16" t="s">
        <v>83</v>
      </c>
      <c r="G3081" s="22">
        <v>45</v>
      </c>
      <c r="H3081" s="18">
        <v>729.29499999999996</v>
      </c>
      <c r="I3081" s="18">
        <v>16.206555556000001</v>
      </c>
      <c r="J3081" s="18">
        <v>16.420000000000002</v>
      </c>
      <c r="K3081" s="18">
        <v>15.88</v>
      </c>
      <c r="L3081" s="22">
        <v>8</v>
      </c>
    </row>
    <row r="3082" spans="1:12">
      <c r="A3082">
        <v>4</v>
      </c>
      <c r="B3082" s="16" t="s">
        <v>59</v>
      </c>
      <c r="C3082" s="9">
        <v>45748</v>
      </c>
      <c r="D3082">
        <v>8</v>
      </c>
      <c r="E3082" s="16" t="s">
        <v>93</v>
      </c>
      <c r="F3082" s="16" t="s">
        <v>83</v>
      </c>
      <c r="G3082" s="22">
        <v>71.5</v>
      </c>
      <c r="H3082" s="18">
        <v>1152.4649999999999</v>
      </c>
      <c r="I3082" s="18">
        <v>16.118391608</v>
      </c>
      <c r="J3082" s="18">
        <v>16.510000000000002</v>
      </c>
      <c r="K3082" s="18">
        <v>15.83</v>
      </c>
      <c r="L3082" s="22">
        <v>9</v>
      </c>
    </row>
    <row r="3083" spans="1:12">
      <c r="A3083">
        <v>4</v>
      </c>
      <c r="B3083" s="16" t="s">
        <v>59</v>
      </c>
      <c r="C3083" s="9">
        <v>45778</v>
      </c>
      <c r="D3083">
        <v>8</v>
      </c>
      <c r="E3083" s="16" t="s">
        <v>93</v>
      </c>
      <c r="F3083" s="16" t="s">
        <v>83</v>
      </c>
      <c r="G3083" s="22">
        <v>70</v>
      </c>
      <c r="H3083" s="18">
        <v>1121.2950000000001</v>
      </c>
      <c r="I3083" s="18">
        <v>16.0185</v>
      </c>
      <c r="J3083" s="18">
        <v>16.23</v>
      </c>
      <c r="K3083" s="18">
        <v>15.62</v>
      </c>
      <c r="L3083" s="22">
        <v>9</v>
      </c>
    </row>
    <row r="3084" spans="1:12">
      <c r="A3084">
        <v>4</v>
      </c>
      <c r="B3084" s="16" t="s">
        <v>59</v>
      </c>
      <c r="C3084" s="9">
        <v>45809</v>
      </c>
      <c r="D3084">
        <v>8</v>
      </c>
      <c r="E3084" s="16" t="s">
        <v>93</v>
      </c>
      <c r="F3084" s="16" t="s">
        <v>83</v>
      </c>
      <c r="G3084" s="22">
        <v>64.5</v>
      </c>
      <c r="H3084" s="18">
        <v>1034.53</v>
      </c>
      <c r="I3084" s="18">
        <v>16.039224806</v>
      </c>
      <c r="J3084" s="18">
        <v>16.37</v>
      </c>
      <c r="K3084" s="18">
        <v>15.65</v>
      </c>
      <c r="L3084" s="22">
        <v>8</v>
      </c>
    </row>
    <row r="3085" spans="1:12">
      <c r="A3085">
        <v>4</v>
      </c>
      <c r="B3085" s="16" t="s">
        <v>59</v>
      </c>
      <c r="C3085" s="9">
        <v>45839</v>
      </c>
      <c r="D3085">
        <v>8</v>
      </c>
      <c r="E3085" s="16" t="s">
        <v>93</v>
      </c>
      <c r="F3085" s="16" t="s">
        <v>83</v>
      </c>
      <c r="G3085" s="22">
        <v>73.5</v>
      </c>
      <c r="H3085" s="18">
        <v>1174.6300000000001</v>
      </c>
      <c r="I3085" s="18">
        <v>15.981360543999999</v>
      </c>
      <c r="J3085" s="18">
        <v>16.170000000000002</v>
      </c>
      <c r="K3085" s="18">
        <v>15.79</v>
      </c>
      <c r="L3085" s="22">
        <v>9</v>
      </c>
    </row>
    <row r="3086" spans="1:12">
      <c r="A3086">
        <v>4</v>
      </c>
      <c r="B3086" s="16" t="s">
        <v>59</v>
      </c>
      <c r="C3086" s="9">
        <v>45870</v>
      </c>
      <c r="D3086">
        <v>8</v>
      </c>
      <c r="E3086" s="16" t="s">
        <v>93</v>
      </c>
      <c r="F3086" s="16" t="s">
        <v>83</v>
      </c>
      <c r="G3086" s="22">
        <v>78.5</v>
      </c>
      <c r="H3086" s="18">
        <v>1262.68</v>
      </c>
      <c r="I3086" s="18">
        <v>16.085095541000001</v>
      </c>
      <c r="J3086" s="18">
        <v>16.399999999999999</v>
      </c>
      <c r="K3086" s="18">
        <v>15.7</v>
      </c>
      <c r="L3086" s="22">
        <v>9</v>
      </c>
    </row>
    <row r="3087" spans="1:12">
      <c r="A3087">
        <v>4</v>
      </c>
      <c r="B3087" s="16" t="s">
        <v>59</v>
      </c>
      <c r="C3087" s="9">
        <v>45901</v>
      </c>
      <c r="D3087">
        <v>8</v>
      </c>
      <c r="E3087" s="16" t="s">
        <v>93</v>
      </c>
      <c r="F3087" s="16" t="s">
        <v>83</v>
      </c>
      <c r="G3087" s="22">
        <v>66.5</v>
      </c>
      <c r="H3087" s="18">
        <v>1070.5050000000001</v>
      </c>
      <c r="I3087" s="18">
        <v>16.097819549</v>
      </c>
      <c r="J3087" s="18">
        <v>16.25</v>
      </c>
      <c r="K3087" s="18">
        <v>15.86</v>
      </c>
      <c r="L3087" s="22">
        <v>9</v>
      </c>
    </row>
    <row r="3088" spans="1:12">
      <c r="A3088">
        <v>4</v>
      </c>
      <c r="B3088" s="16" t="s">
        <v>59</v>
      </c>
      <c r="C3088" s="9">
        <v>45931</v>
      </c>
      <c r="D3088">
        <v>8</v>
      </c>
      <c r="E3088" s="16" t="s">
        <v>93</v>
      </c>
      <c r="F3088" s="16" t="s">
        <v>83</v>
      </c>
      <c r="G3088" s="22">
        <v>65</v>
      </c>
      <c r="H3088" s="18">
        <v>1049.865</v>
      </c>
      <c r="I3088" s="18">
        <v>16.151769230999999</v>
      </c>
      <c r="J3088" s="18">
        <v>16.39</v>
      </c>
      <c r="K3088" s="18">
        <v>15.92</v>
      </c>
      <c r="L3088" s="22">
        <v>9</v>
      </c>
    </row>
    <row r="3089" spans="1:12">
      <c r="A3089">
        <v>4</v>
      </c>
      <c r="B3089" s="16" t="s">
        <v>59</v>
      </c>
      <c r="C3089" s="9">
        <v>45962</v>
      </c>
      <c r="D3089">
        <v>8</v>
      </c>
      <c r="E3089" s="16" t="s">
        <v>93</v>
      </c>
      <c r="F3089" s="16" t="s">
        <v>83</v>
      </c>
      <c r="G3089" s="22">
        <v>54</v>
      </c>
      <c r="H3089" s="18">
        <v>872.05499999999995</v>
      </c>
      <c r="I3089" s="18">
        <v>16.149166666999999</v>
      </c>
      <c r="J3089" s="18">
        <v>16.309999999999999</v>
      </c>
      <c r="K3089" s="18">
        <v>16</v>
      </c>
      <c r="L3089" s="22">
        <v>8</v>
      </c>
    </row>
    <row r="3090" spans="1:12">
      <c r="A3090">
        <v>4</v>
      </c>
      <c r="B3090" s="16" t="s">
        <v>59</v>
      </c>
      <c r="C3090" s="9">
        <v>45992</v>
      </c>
      <c r="D3090">
        <v>8</v>
      </c>
      <c r="E3090" s="16" t="s">
        <v>93</v>
      </c>
      <c r="F3090" s="16" t="s">
        <v>83</v>
      </c>
      <c r="G3090" s="22">
        <v>73.5</v>
      </c>
      <c r="H3090" s="18">
        <v>1189.7850000000001</v>
      </c>
      <c r="I3090" s="18">
        <v>16.187551020000001</v>
      </c>
      <c r="J3090" s="18">
        <v>16.41</v>
      </c>
      <c r="K3090" s="18">
        <v>15.94</v>
      </c>
      <c r="L3090" s="22">
        <v>9</v>
      </c>
    </row>
    <row r="3091" spans="1:12">
      <c r="A3091">
        <v>4</v>
      </c>
      <c r="B3091" s="16" t="s">
        <v>59</v>
      </c>
      <c r="C3091" s="9">
        <v>46023</v>
      </c>
      <c r="D3091">
        <v>8</v>
      </c>
      <c r="E3091" s="16" t="s">
        <v>93</v>
      </c>
      <c r="F3091" s="16" t="s">
        <v>83</v>
      </c>
      <c r="G3091" s="22">
        <v>54.5</v>
      </c>
      <c r="H3091" s="18">
        <v>895.5</v>
      </c>
      <c r="I3091" s="18">
        <v>16.431192661000001</v>
      </c>
      <c r="J3091" s="18">
        <v>17.23</v>
      </c>
      <c r="K3091" s="18">
        <v>15.75</v>
      </c>
      <c r="L3091" s="22">
        <v>9</v>
      </c>
    </row>
    <row r="3092" spans="1:12">
      <c r="A3092">
        <v>4</v>
      </c>
      <c r="B3092" s="16" t="s">
        <v>59</v>
      </c>
      <c r="C3092" s="9">
        <v>46054</v>
      </c>
      <c r="D3092">
        <v>8</v>
      </c>
      <c r="E3092" s="16" t="s">
        <v>93</v>
      </c>
      <c r="F3092" s="16" t="s">
        <v>83</v>
      </c>
      <c r="G3092" s="22">
        <v>54.5</v>
      </c>
      <c r="H3092" s="18">
        <v>884.96500000000003</v>
      </c>
      <c r="I3092" s="18">
        <v>16.237889908</v>
      </c>
      <c r="J3092" s="18">
        <v>16.98</v>
      </c>
      <c r="K3092" s="18">
        <v>15.67</v>
      </c>
      <c r="L3092" s="22">
        <v>8</v>
      </c>
    </row>
    <row r="3093" spans="1:12">
      <c r="A3093">
        <v>4</v>
      </c>
      <c r="B3093" s="16" t="s">
        <v>59</v>
      </c>
      <c r="C3093" s="9">
        <v>46082</v>
      </c>
      <c r="D3093">
        <v>8</v>
      </c>
      <c r="E3093" s="16" t="s">
        <v>93</v>
      </c>
      <c r="F3093" s="16" t="s">
        <v>83</v>
      </c>
      <c r="G3093" s="22">
        <v>52.5</v>
      </c>
      <c r="H3093" s="18">
        <v>842.11500000000001</v>
      </c>
      <c r="I3093" s="18">
        <v>16.040285713999999</v>
      </c>
      <c r="J3093" s="18">
        <v>16.399999999999999</v>
      </c>
      <c r="K3093" s="18">
        <v>15.69</v>
      </c>
      <c r="L3093" s="22">
        <v>9</v>
      </c>
    </row>
    <row r="3094" spans="1:12">
      <c r="A3094">
        <v>4</v>
      </c>
      <c r="B3094" s="16" t="s">
        <v>59</v>
      </c>
      <c r="C3094" s="9">
        <v>46113</v>
      </c>
      <c r="D3094">
        <v>8</v>
      </c>
      <c r="E3094" s="16" t="s">
        <v>93</v>
      </c>
      <c r="F3094" s="16" t="s">
        <v>83</v>
      </c>
      <c r="G3094" s="22">
        <v>56.5</v>
      </c>
      <c r="H3094" s="18">
        <v>908.32</v>
      </c>
      <c r="I3094" s="18">
        <v>16.076460177000001</v>
      </c>
      <c r="J3094" s="18">
        <v>16.39</v>
      </c>
      <c r="K3094" s="18">
        <v>15.87</v>
      </c>
      <c r="L3094" s="22">
        <v>8</v>
      </c>
    </row>
    <row r="3095" spans="1:12">
      <c r="A3095">
        <v>4</v>
      </c>
      <c r="B3095" s="16" t="s">
        <v>59</v>
      </c>
      <c r="C3095" s="9">
        <v>46143</v>
      </c>
      <c r="D3095">
        <v>8</v>
      </c>
      <c r="E3095" s="16" t="s">
        <v>93</v>
      </c>
      <c r="F3095" s="16" t="s">
        <v>83</v>
      </c>
      <c r="G3095" s="22">
        <v>64</v>
      </c>
      <c r="H3095" s="18">
        <v>1040.7249999999999</v>
      </c>
      <c r="I3095" s="18">
        <v>16.261328124999999</v>
      </c>
      <c r="J3095" s="18">
        <v>16.760000000000002</v>
      </c>
      <c r="K3095" s="18">
        <v>15.93</v>
      </c>
      <c r="L3095" s="22">
        <v>9</v>
      </c>
    </row>
    <row r="3096" spans="1:12">
      <c r="A3096">
        <v>4</v>
      </c>
      <c r="B3096" s="16" t="s">
        <v>59</v>
      </c>
      <c r="C3096" s="9">
        <v>46174</v>
      </c>
      <c r="D3096">
        <v>8</v>
      </c>
      <c r="E3096" s="16" t="s">
        <v>93</v>
      </c>
      <c r="F3096" s="16" t="s">
        <v>83</v>
      </c>
      <c r="G3096" s="22">
        <v>65.5</v>
      </c>
      <c r="H3096" s="18">
        <v>1063.67</v>
      </c>
      <c r="I3096" s="18">
        <v>16.239236641000002</v>
      </c>
      <c r="J3096" s="18">
        <v>16.46</v>
      </c>
      <c r="K3096" s="18">
        <v>16.04</v>
      </c>
      <c r="L3096" s="22">
        <v>9</v>
      </c>
    </row>
    <row r="3097" spans="1:12">
      <c r="A3097">
        <v>4</v>
      </c>
      <c r="B3097" s="16" t="s">
        <v>59</v>
      </c>
      <c r="C3097" s="9">
        <v>46204</v>
      </c>
      <c r="D3097">
        <v>8</v>
      </c>
      <c r="E3097" s="16" t="s">
        <v>93</v>
      </c>
      <c r="F3097" s="16" t="s">
        <v>83</v>
      </c>
      <c r="G3097" s="22">
        <v>88.5</v>
      </c>
      <c r="H3097" s="18">
        <v>1449.155</v>
      </c>
      <c r="I3097" s="18">
        <v>16.374632768000001</v>
      </c>
      <c r="J3097" s="18">
        <v>16.600000000000001</v>
      </c>
      <c r="K3097" s="18">
        <v>16.14</v>
      </c>
      <c r="L3097" s="22">
        <v>9</v>
      </c>
    </row>
    <row r="3098" spans="1:12">
      <c r="A3098">
        <v>4</v>
      </c>
      <c r="B3098" s="16" t="s">
        <v>59</v>
      </c>
      <c r="C3098" s="9">
        <v>46235</v>
      </c>
      <c r="D3098">
        <v>8</v>
      </c>
      <c r="E3098" s="16" t="s">
        <v>93</v>
      </c>
      <c r="F3098" s="16" t="s">
        <v>83</v>
      </c>
      <c r="G3098" s="22">
        <v>59.5</v>
      </c>
      <c r="H3098" s="18">
        <v>978.76499999999999</v>
      </c>
      <c r="I3098" s="18">
        <v>16.449831932999999</v>
      </c>
      <c r="J3098" s="18">
        <v>16.82</v>
      </c>
      <c r="K3098" s="18">
        <v>16.329999999999998</v>
      </c>
      <c r="L3098" s="22">
        <v>8</v>
      </c>
    </row>
    <row r="3099" spans="1:12">
      <c r="A3099">
        <v>4</v>
      </c>
      <c r="B3099" s="16" t="s">
        <v>59</v>
      </c>
      <c r="C3099" s="9">
        <v>46266</v>
      </c>
      <c r="D3099">
        <v>8</v>
      </c>
      <c r="E3099" s="16" t="s">
        <v>93</v>
      </c>
      <c r="F3099" s="16" t="s">
        <v>83</v>
      </c>
      <c r="G3099" s="22">
        <v>74</v>
      </c>
      <c r="H3099" s="18">
        <v>1220.2049999999999</v>
      </c>
      <c r="I3099" s="18">
        <v>16.489256757</v>
      </c>
      <c r="J3099" s="18">
        <v>16.93</v>
      </c>
      <c r="K3099" s="18">
        <v>16.239999999999998</v>
      </c>
      <c r="L3099" s="22">
        <v>9</v>
      </c>
    </row>
    <row r="3100" spans="1:12">
      <c r="A3100">
        <v>4</v>
      </c>
      <c r="B3100" s="16" t="s">
        <v>59</v>
      </c>
      <c r="C3100" s="9">
        <v>45689</v>
      </c>
      <c r="D3100">
        <v>9</v>
      </c>
      <c r="E3100" s="16" t="s">
        <v>94</v>
      </c>
      <c r="F3100" s="16" t="s">
        <v>85</v>
      </c>
      <c r="G3100" s="22">
        <v>25</v>
      </c>
      <c r="H3100" s="18">
        <v>72.875</v>
      </c>
      <c r="I3100" s="18">
        <v>2.915</v>
      </c>
      <c r="J3100" s="18">
        <v>2.92</v>
      </c>
      <c r="K3100" s="18">
        <v>2.91</v>
      </c>
      <c r="L3100" s="22">
        <v>2</v>
      </c>
    </row>
    <row r="3101" spans="1:12">
      <c r="A3101">
        <v>4</v>
      </c>
      <c r="B3101" s="16" t="s">
        <v>59</v>
      </c>
      <c r="C3101" s="9">
        <v>45717</v>
      </c>
      <c r="D3101">
        <v>9</v>
      </c>
      <c r="E3101" s="16" t="s">
        <v>94</v>
      </c>
      <c r="F3101" s="16" t="s">
        <v>85</v>
      </c>
      <c r="G3101" s="22">
        <v>12.5</v>
      </c>
      <c r="H3101" s="18">
        <v>35.75</v>
      </c>
      <c r="I3101" s="18">
        <v>2.86</v>
      </c>
      <c r="J3101" s="18">
        <v>2.86</v>
      </c>
      <c r="K3101" s="18">
        <v>2.86</v>
      </c>
      <c r="L3101" s="22">
        <v>1</v>
      </c>
    </row>
    <row r="3102" spans="1:12">
      <c r="A3102">
        <v>4</v>
      </c>
      <c r="B3102" s="16" t="s">
        <v>59</v>
      </c>
      <c r="C3102" s="9">
        <v>45748</v>
      </c>
      <c r="D3102">
        <v>9</v>
      </c>
      <c r="E3102" s="16" t="s">
        <v>94</v>
      </c>
      <c r="F3102" s="16" t="s">
        <v>85</v>
      </c>
      <c r="G3102" s="22">
        <v>37.5</v>
      </c>
      <c r="H3102" s="18">
        <v>108</v>
      </c>
      <c r="I3102" s="18">
        <v>2.88</v>
      </c>
      <c r="J3102" s="18">
        <v>2.91</v>
      </c>
      <c r="K3102" s="18">
        <v>2.85</v>
      </c>
      <c r="L3102" s="22">
        <v>3</v>
      </c>
    </row>
    <row r="3103" spans="1:12">
      <c r="A3103">
        <v>4</v>
      </c>
      <c r="B3103" s="16" t="s">
        <v>59</v>
      </c>
      <c r="C3103" s="9">
        <v>45778</v>
      </c>
      <c r="D3103">
        <v>9</v>
      </c>
      <c r="E3103" s="16" t="s">
        <v>94</v>
      </c>
      <c r="F3103" s="16" t="s">
        <v>85</v>
      </c>
      <c r="G3103" s="22">
        <v>12.5</v>
      </c>
      <c r="H3103" s="18">
        <v>36.5</v>
      </c>
      <c r="I3103" s="18">
        <v>2.92</v>
      </c>
      <c r="J3103" s="18">
        <v>2.92</v>
      </c>
      <c r="K3103" s="18">
        <v>2.92</v>
      </c>
      <c r="L3103" s="22">
        <v>1</v>
      </c>
    </row>
    <row r="3104" spans="1:12">
      <c r="A3104">
        <v>4</v>
      </c>
      <c r="B3104" s="16" t="s">
        <v>59</v>
      </c>
      <c r="C3104" s="9">
        <v>45809</v>
      </c>
      <c r="D3104">
        <v>9</v>
      </c>
      <c r="E3104" s="16" t="s">
        <v>94</v>
      </c>
      <c r="F3104" s="16" t="s">
        <v>85</v>
      </c>
      <c r="G3104" s="22">
        <v>25</v>
      </c>
      <c r="H3104" s="18">
        <v>72.25</v>
      </c>
      <c r="I3104" s="18">
        <v>2.89</v>
      </c>
      <c r="J3104" s="18">
        <v>2.96</v>
      </c>
      <c r="K3104" s="18">
        <v>2.82</v>
      </c>
      <c r="L3104" s="22">
        <v>2</v>
      </c>
    </row>
    <row r="3105" spans="1:12">
      <c r="A3105">
        <v>4</v>
      </c>
      <c r="B3105" s="16" t="s">
        <v>59</v>
      </c>
      <c r="C3105" s="9">
        <v>45839</v>
      </c>
      <c r="D3105">
        <v>9</v>
      </c>
      <c r="E3105" s="16" t="s">
        <v>94</v>
      </c>
      <c r="F3105" s="16" t="s">
        <v>85</v>
      </c>
      <c r="G3105" s="22">
        <v>12.5</v>
      </c>
      <c r="H3105" s="18">
        <v>36.5</v>
      </c>
      <c r="I3105" s="18">
        <v>2.92</v>
      </c>
      <c r="J3105" s="18">
        <v>2.92</v>
      </c>
      <c r="K3105" s="18">
        <v>2.92</v>
      </c>
      <c r="L3105" s="22">
        <v>1</v>
      </c>
    </row>
    <row r="3106" spans="1:12">
      <c r="A3106">
        <v>4</v>
      </c>
      <c r="B3106" s="16" t="s">
        <v>59</v>
      </c>
      <c r="C3106" s="9">
        <v>45870</v>
      </c>
      <c r="D3106">
        <v>9</v>
      </c>
      <c r="E3106" s="16" t="s">
        <v>94</v>
      </c>
      <c r="F3106" s="16" t="s">
        <v>85</v>
      </c>
      <c r="G3106" s="22">
        <v>25</v>
      </c>
      <c r="H3106" s="18">
        <v>73.5</v>
      </c>
      <c r="I3106" s="18">
        <v>2.94</v>
      </c>
      <c r="J3106" s="18">
        <v>2.95</v>
      </c>
      <c r="K3106" s="18">
        <v>2.93</v>
      </c>
      <c r="L3106" s="22">
        <v>2</v>
      </c>
    </row>
    <row r="3107" spans="1:12">
      <c r="A3107">
        <v>4</v>
      </c>
      <c r="B3107" s="16" t="s">
        <v>59</v>
      </c>
      <c r="C3107" s="9">
        <v>45901</v>
      </c>
      <c r="D3107">
        <v>9</v>
      </c>
      <c r="E3107" s="16" t="s">
        <v>94</v>
      </c>
      <c r="F3107" s="16" t="s">
        <v>85</v>
      </c>
      <c r="G3107" s="22">
        <v>12.5</v>
      </c>
      <c r="H3107" s="18">
        <v>36.625</v>
      </c>
      <c r="I3107" s="18">
        <v>2.93</v>
      </c>
      <c r="J3107" s="18">
        <v>2.93</v>
      </c>
      <c r="K3107" s="18">
        <v>2.93</v>
      </c>
      <c r="L3107" s="22">
        <v>1</v>
      </c>
    </row>
    <row r="3108" spans="1:12">
      <c r="A3108">
        <v>4</v>
      </c>
      <c r="B3108" s="16" t="s">
        <v>59</v>
      </c>
      <c r="C3108" s="9">
        <v>45931</v>
      </c>
      <c r="D3108">
        <v>9</v>
      </c>
      <c r="E3108" s="16" t="s">
        <v>94</v>
      </c>
      <c r="F3108" s="16" t="s">
        <v>85</v>
      </c>
      <c r="G3108" s="22">
        <v>37.5</v>
      </c>
      <c r="H3108" s="18">
        <v>109.125</v>
      </c>
      <c r="I3108" s="18">
        <v>2.91</v>
      </c>
      <c r="J3108" s="18">
        <v>2.96</v>
      </c>
      <c r="K3108" s="18">
        <v>2.86</v>
      </c>
      <c r="L3108" s="22">
        <v>3</v>
      </c>
    </row>
    <row r="3109" spans="1:12">
      <c r="A3109">
        <v>4</v>
      </c>
      <c r="B3109" s="16" t="s">
        <v>59</v>
      </c>
      <c r="C3109" s="9">
        <v>45962</v>
      </c>
      <c r="D3109">
        <v>9</v>
      </c>
      <c r="E3109" s="16" t="s">
        <v>94</v>
      </c>
      <c r="F3109" s="16" t="s">
        <v>85</v>
      </c>
      <c r="G3109" s="22">
        <v>25</v>
      </c>
      <c r="H3109" s="18">
        <v>71.875</v>
      </c>
      <c r="I3109" s="18">
        <v>2.875</v>
      </c>
      <c r="J3109" s="18">
        <v>2.9</v>
      </c>
      <c r="K3109" s="18">
        <v>2.85</v>
      </c>
      <c r="L3109" s="22">
        <v>2</v>
      </c>
    </row>
    <row r="3110" spans="1:12">
      <c r="A3110">
        <v>4</v>
      </c>
      <c r="B3110" s="16" t="s">
        <v>59</v>
      </c>
      <c r="C3110" s="9">
        <v>45992</v>
      </c>
      <c r="D3110">
        <v>9</v>
      </c>
      <c r="E3110" s="16" t="s">
        <v>94</v>
      </c>
      <c r="F3110" s="16" t="s">
        <v>85</v>
      </c>
      <c r="G3110" s="22">
        <v>25</v>
      </c>
      <c r="H3110" s="18">
        <v>72.125</v>
      </c>
      <c r="I3110" s="18">
        <v>2.8849999999999998</v>
      </c>
      <c r="J3110" s="18">
        <v>2.9</v>
      </c>
      <c r="K3110" s="18">
        <v>2.87</v>
      </c>
      <c r="L3110" s="22">
        <v>2</v>
      </c>
    </row>
    <row r="3111" spans="1:12">
      <c r="A3111">
        <v>4</v>
      </c>
      <c r="B3111" s="16" t="s">
        <v>59</v>
      </c>
      <c r="C3111" s="9">
        <v>46023</v>
      </c>
      <c r="D3111">
        <v>9</v>
      </c>
      <c r="E3111" s="16" t="s">
        <v>94</v>
      </c>
      <c r="F3111" s="16" t="s">
        <v>85</v>
      </c>
      <c r="G3111" s="22">
        <v>25</v>
      </c>
      <c r="H3111" s="18">
        <v>71.75</v>
      </c>
      <c r="I3111" s="18">
        <v>2.87</v>
      </c>
      <c r="J3111" s="18">
        <v>2.92</v>
      </c>
      <c r="K3111" s="18">
        <v>2.82</v>
      </c>
      <c r="L3111" s="22">
        <v>2</v>
      </c>
    </row>
    <row r="3112" spans="1:12">
      <c r="A3112">
        <v>4</v>
      </c>
      <c r="B3112" s="16" t="s">
        <v>59</v>
      </c>
      <c r="C3112" s="9">
        <v>46054</v>
      </c>
      <c r="D3112">
        <v>9</v>
      </c>
      <c r="E3112" s="16" t="s">
        <v>94</v>
      </c>
      <c r="F3112" s="16" t="s">
        <v>85</v>
      </c>
      <c r="G3112" s="22">
        <v>12.5</v>
      </c>
      <c r="H3112" s="18">
        <v>35.125</v>
      </c>
      <c r="I3112" s="18">
        <v>2.81</v>
      </c>
      <c r="J3112" s="18">
        <v>2.81</v>
      </c>
      <c r="K3112" s="18">
        <v>2.81</v>
      </c>
      <c r="L3112" s="22">
        <v>1</v>
      </c>
    </row>
    <row r="3113" spans="1:12">
      <c r="A3113">
        <v>4</v>
      </c>
      <c r="B3113" s="16" t="s">
        <v>59</v>
      </c>
      <c r="C3113" s="9">
        <v>46082</v>
      </c>
      <c r="D3113">
        <v>9</v>
      </c>
      <c r="E3113" s="16" t="s">
        <v>94</v>
      </c>
      <c r="F3113" s="16" t="s">
        <v>85</v>
      </c>
      <c r="G3113" s="22">
        <v>25</v>
      </c>
      <c r="H3113" s="18">
        <v>70.875</v>
      </c>
      <c r="I3113" s="18">
        <v>2.835</v>
      </c>
      <c r="J3113" s="18">
        <v>2.85</v>
      </c>
      <c r="K3113" s="18">
        <v>2.82</v>
      </c>
      <c r="L3113" s="22">
        <v>2</v>
      </c>
    </row>
    <row r="3114" spans="1:12">
      <c r="A3114">
        <v>4</v>
      </c>
      <c r="B3114" s="16" t="s">
        <v>59</v>
      </c>
      <c r="C3114" s="9">
        <v>46113</v>
      </c>
      <c r="D3114">
        <v>9</v>
      </c>
      <c r="E3114" s="16" t="s">
        <v>94</v>
      </c>
      <c r="F3114" s="16" t="s">
        <v>85</v>
      </c>
      <c r="G3114" s="22">
        <v>25</v>
      </c>
      <c r="H3114" s="18">
        <v>71</v>
      </c>
      <c r="I3114" s="18">
        <v>2.84</v>
      </c>
      <c r="J3114" s="18">
        <v>2.86</v>
      </c>
      <c r="K3114" s="18">
        <v>2.82</v>
      </c>
      <c r="L3114" s="22">
        <v>2</v>
      </c>
    </row>
    <row r="3115" spans="1:12">
      <c r="A3115">
        <v>4</v>
      </c>
      <c r="B3115" s="16" t="s">
        <v>59</v>
      </c>
      <c r="C3115" s="9">
        <v>46143</v>
      </c>
      <c r="D3115">
        <v>9</v>
      </c>
      <c r="E3115" s="16" t="s">
        <v>94</v>
      </c>
      <c r="F3115" s="16" t="s">
        <v>85</v>
      </c>
      <c r="G3115" s="22">
        <v>25</v>
      </c>
      <c r="H3115" s="18">
        <v>71.75</v>
      </c>
      <c r="I3115" s="18">
        <v>2.87</v>
      </c>
      <c r="J3115" s="18">
        <v>2.9</v>
      </c>
      <c r="K3115" s="18">
        <v>2.84</v>
      </c>
      <c r="L3115" s="22">
        <v>2</v>
      </c>
    </row>
    <row r="3116" spans="1:12">
      <c r="A3116">
        <v>4</v>
      </c>
      <c r="B3116" s="16" t="s">
        <v>59</v>
      </c>
      <c r="C3116" s="9">
        <v>46174</v>
      </c>
      <c r="D3116">
        <v>9</v>
      </c>
      <c r="E3116" s="16" t="s">
        <v>94</v>
      </c>
      <c r="F3116" s="16" t="s">
        <v>85</v>
      </c>
      <c r="G3116" s="22">
        <v>12.5</v>
      </c>
      <c r="H3116" s="18">
        <v>35.25</v>
      </c>
      <c r="I3116" s="18">
        <v>2.82</v>
      </c>
      <c r="J3116" s="18">
        <v>2.82</v>
      </c>
      <c r="K3116" s="18">
        <v>2.82</v>
      </c>
      <c r="L3116" s="22">
        <v>1</v>
      </c>
    </row>
    <row r="3117" spans="1:12">
      <c r="A3117">
        <v>4</v>
      </c>
      <c r="B3117" s="16" t="s">
        <v>59</v>
      </c>
      <c r="C3117" s="9">
        <v>46204</v>
      </c>
      <c r="D3117">
        <v>9</v>
      </c>
      <c r="E3117" s="16" t="s">
        <v>94</v>
      </c>
      <c r="F3117" s="16" t="s">
        <v>85</v>
      </c>
      <c r="G3117" s="22">
        <v>25</v>
      </c>
      <c r="H3117" s="18">
        <v>70.875</v>
      </c>
      <c r="I3117" s="18">
        <v>2.835</v>
      </c>
      <c r="J3117" s="18">
        <v>2.88</v>
      </c>
      <c r="K3117" s="18">
        <v>2.79</v>
      </c>
      <c r="L3117" s="22">
        <v>2</v>
      </c>
    </row>
    <row r="3118" spans="1:12">
      <c r="A3118">
        <v>4</v>
      </c>
      <c r="B3118" s="16" t="s">
        <v>59</v>
      </c>
      <c r="C3118" s="9">
        <v>46235</v>
      </c>
      <c r="D3118">
        <v>9</v>
      </c>
      <c r="E3118" s="16" t="s">
        <v>94</v>
      </c>
      <c r="F3118" s="16" t="s">
        <v>85</v>
      </c>
      <c r="G3118" s="22">
        <v>12.5</v>
      </c>
      <c r="H3118" s="18">
        <v>35.625</v>
      </c>
      <c r="I3118" s="18">
        <v>2.85</v>
      </c>
      <c r="J3118" s="18">
        <v>2.85</v>
      </c>
      <c r="K3118" s="18">
        <v>2.85</v>
      </c>
      <c r="L3118" s="22">
        <v>1</v>
      </c>
    </row>
    <row r="3119" spans="1:12">
      <c r="A3119">
        <v>4</v>
      </c>
      <c r="B3119" s="16" t="s">
        <v>59</v>
      </c>
      <c r="C3119" s="9">
        <v>46266</v>
      </c>
      <c r="D3119">
        <v>9</v>
      </c>
      <c r="E3119" s="16" t="s">
        <v>94</v>
      </c>
      <c r="F3119" s="16" t="s">
        <v>85</v>
      </c>
      <c r="G3119" s="22">
        <v>25</v>
      </c>
      <c r="H3119" s="18">
        <v>71.25</v>
      </c>
      <c r="I3119" s="18">
        <v>2.85</v>
      </c>
      <c r="J3119" s="18">
        <v>2.91</v>
      </c>
      <c r="K3119" s="18">
        <v>2.79</v>
      </c>
      <c r="L3119" s="22">
        <v>2</v>
      </c>
    </row>
    <row r="3120" spans="1:12">
      <c r="A3120">
        <v>4</v>
      </c>
      <c r="B3120" s="16" t="s">
        <v>59</v>
      </c>
      <c r="C3120" s="9">
        <v>45689</v>
      </c>
      <c r="D3120">
        <v>10</v>
      </c>
      <c r="E3120" s="16" t="s">
        <v>95</v>
      </c>
      <c r="F3120" s="16" t="s">
        <v>83</v>
      </c>
      <c r="G3120" s="22">
        <v>30</v>
      </c>
      <c r="H3120" s="18">
        <v>380.65</v>
      </c>
      <c r="I3120" s="18">
        <v>12.688333332999999</v>
      </c>
      <c r="J3120" s="18">
        <v>12.92</v>
      </c>
      <c r="K3120" s="18">
        <v>12.6</v>
      </c>
      <c r="L3120" s="22">
        <v>6</v>
      </c>
    </row>
    <row r="3121" spans="1:12">
      <c r="A3121">
        <v>4</v>
      </c>
      <c r="B3121" s="16" t="s">
        <v>59</v>
      </c>
      <c r="C3121" s="9">
        <v>45717</v>
      </c>
      <c r="D3121">
        <v>10</v>
      </c>
      <c r="E3121" s="16" t="s">
        <v>95</v>
      </c>
      <c r="F3121" s="16" t="s">
        <v>83</v>
      </c>
      <c r="G3121" s="22">
        <v>25</v>
      </c>
      <c r="H3121" s="18">
        <v>320.5</v>
      </c>
      <c r="I3121" s="18">
        <v>12.82</v>
      </c>
      <c r="J3121" s="18">
        <v>12.95</v>
      </c>
      <c r="K3121" s="18">
        <v>12.72</v>
      </c>
      <c r="L3121" s="22">
        <v>4</v>
      </c>
    </row>
    <row r="3122" spans="1:12">
      <c r="A3122">
        <v>4</v>
      </c>
      <c r="B3122" s="16" t="s">
        <v>59</v>
      </c>
      <c r="C3122" s="9">
        <v>45748</v>
      </c>
      <c r="D3122">
        <v>10</v>
      </c>
      <c r="E3122" s="16" t="s">
        <v>95</v>
      </c>
      <c r="F3122" s="16" t="s">
        <v>83</v>
      </c>
      <c r="G3122" s="22">
        <v>35</v>
      </c>
      <c r="H3122" s="18">
        <v>445.85</v>
      </c>
      <c r="I3122" s="18">
        <v>12.738571429</v>
      </c>
      <c r="J3122" s="18">
        <v>12.85</v>
      </c>
      <c r="K3122" s="18">
        <v>12.66</v>
      </c>
      <c r="L3122" s="22">
        <v>7</v>
      </c>
    </row>
    <row r="3123" spans="1:12">
      <c r="A3123">
        <v>4</v>
      </c>
      <c r="B3123" s="16" t="s">
        <v>59</v>
      </c>
      <c r="C3123" s="9">
        <v>45778</v>
      </c>
      <c r="D3123">
        <v>10</v>
      </c>
      <c r="E3123" s="16" t="s">
        <v>95</v>
      </c>
      <c r="F3123" s="16" t="s">
        <v>83</v>
      </c>
      <c r="G3123" s="22">
        <v>40</v>
      </c>
      <c r="H3123" s="18">
        <v>515.15</v>
      </c>
      <c r="I3123" s="18">
        <v>12.87875</v>
      </c>
      <c r="J3123" s="18">
        <v>13.17</v>
      </c>
      <c r="K3123" s="18">
        <v>12.55</v>
      </c>
      <c r="L3123" s="22">
        <v>7</v>
      </c>
    </row>
    <row r="3124" spans="1:12">
      <c r="A3124">
        <v>4</v>
      </c>
      <c r="B3124" s="16" t="s">
        <v>59</v>
      </c>
      <c r="C3124" s="9">
        <v>45809</v>
      </c>
      <c r="D3124">
        <v>10</v>
      </c>
      <c r="E3124" s="16" t="s">
        <v>95</v>
      </c>
      <c r="F3124" s="16" t="s">
        <v>83</v>
      </c>
      <c r="G3124" s="22">
        <v>35</v>
      </c>
      <c r="H3124" s="18">
        <v>452.45</v>
      </c>
      <c r="I3124" s="18">
        <v>12.927142857</v>
      </c>
      <c r="J3124" s="18">
        <v>13.07</v>
      </c>
      <c r="K3124" s="18">
        <v>12.8</v>
      </c>
      <c r="L3124" s="22">
        <v>6</v>
      </c>
    </row>
    <row r="3125" spans="1:12">
      <c r="A3125">
        <v>4</v>
      </c>
      <c r="B3125" s="16" t="s">
        <v>59</v>
      </c>
      <c r="C3125" s="9">
        <v>45839</v>
      </c>
      <c r="D3125">
        <v>10</v>
      </c>
      <c r="E3125" s="16" t="s">
        <v>95</v>
      </c>
      <c r="F3125" s="16" t="s">
        <v>83</v>
      </c>
      <c r="G3125" s="22">
        <v>40</v>
      </c>
      <c r="H3125" s="18">
        <v>558.85</v>
      </c>
      <c r="I3125" s="18">
        <v>13.97125</v>
      </c>
      <c r="J3125" s="18">
        <v>15.19</v>
      </c>
      <c r="K3125" s="18">
        <v>13.48</v>
      </c>
      <c r="L3125" s="22">
        <v>8</v>
      </c>
    </row>
    <row r="3126" spans="1:12">
      <c r="A3126">
        <v>4</v>
      </c>
      <c r="B3126" s="16" t="s">
        <v>59</v>
      </c>
      <c r="C3126" s="9">
        <v>45870</v>
      </c>
      <c r="D3126">
        <v>10</v>
      </c>
      <c r="E3126" s="16" t="s">
        <v>95</v>
      </c>
      <c r="F3126" s="16" t="s">
        <v>83</v>
      </c>
      <c r="G3126" s="22">
        <v>40</v>
      </c>
      <c r="H3126" s="18">
        <v>549.04999999999995</v>
      </c>
      <c r="I3126" s="18">
        <v>13.72625</v>
      </c>
      <c r="J3126" s="18">
        <v>13.87</v>
      </c>
      <c r="K3126" s="18">
        <v>13.58</v>
      </c>
      <c r="L3126" s="22">
        <v>7</v>
      </c>
    </row>
    <row r="3127" spans="1:12">
      <c r="A3127">
        <v>4</v>
      </c>
      <c r="B3127" s="16" t="s">
        <v>59</v>
      </c>
      <c r="C3127" s="9">
        <v>45901</v>
      </c>
      <c r="D3127">
        <v>10</v>
      </c>
      <c r="E3127" s="16" t="s">
        <v>95</v>
      </c>
      <c r="F3127" s="16" t="s">
        <v>83</v>
      </c>
      <c r="G3127" s="22">
        <v>35</v>
      </c>
      <c r="H3127" s="18">
        <v>480.65</v>
      </c>
      <c r="I3127" s="18">
        <v>13.732857143</v>
      </c>
      <c r="J3127" s="18">
        <v>13.88</v>
      </c>
      <c r="K3127" s="18">
        <v>13.39</v>
      </c>
      <c r="L3127" s="22">
        <v>7</v>
      </c>
    </row>
    <row r="3128" spans="1:12">
      <c r="A3128">
        <v>4</v>
      </c>
      <c r="B3128" s="16" t="s">
        <v>59</v>
      </c>
      <c r="C3128" s="9">
        <v>45931</v>
      </c>
      <c r="D3128">
        <v>10</v>
      </c>
      <c r="E3128" s="16" t="s">
        <v>95</v>
      </c>
      <c r="F3128" s="16" t="s">
        <v>83</v>
      </c>
      <c r="G3128" s="22">
        <v>45</v>
      </c>
      <c r="H3128" s="18">
        <v>618.75</v>
      </c>
      <c r="I3128" s="18">
        <v>13.75</v>
      </c>
      <c r="J3128" s="18">
        <v>13.94</v>
      </c>
      <c r="K3128" s="18">
        <v>13.48</v>
      </c>
      <c r="L3128" s="22">
        <v>7</v>
      </c>
    </row>
    <row r="3129" spans="1:12">
      <c r="A3129">
        <v>4</v>
      </c>
      <c r="B3129" s="16" t="s">
        <v>59</v>
      </c>
      <c r="C3129" s="9">
        <v>45962</v>
      </c>
      <c r="D3129">
        <v>10</v>
      </c>
      <c r="E3129" s="16" t="s">
        <v>95</v>
      </c>
      <c r="F3129" s="16" t="s">
        <v>83</v>
      </c>
      <c r="G3129" s="22">
        <v>30</v>
      </c>
      <c r="H3129" s="18">
        <v>414.55</v>
      </c>
      <c r="I3129" s="18">
        <v>13.818333333</v>
      </c>
      <c r="J3129" s="18">
        <v>13.98</v>
      </c>
      <c r="K3129" s="18">
        <v>13.67</v>
      </c>
      <c r="L3129" s="22">
        <v>6</v>
      </c>
    </row>
    <row r="3130" spans="1:12">
      <c r="A3130">
        <v>4</v>
      </c>
      <c r="B3130" s="16" t="s">
        <v>59</v>
      </c>
      <c r="C3130" s="9">
        <v>45992</v>
      </c>
      <c r="D3130">
        <v>10</v>
      </c>
      <c r="E3130" s="16" t="s">
        <v>95</v>
      </c>
      <c r="F3130" s="16" t="s">
        <v>83</v>
      </c>
      <c r="G3130" s="22">
        <v>45</v>
      </c>
      <c r="H3130" s="18">
        <v>619.35</v>
      </c>
      <c r="I3130" s="18">
        <v>13.763333333</v>
      </c>
      <c r="J3130" s="18">
        <v>13.91</v>
      </c>
      <c r="K3130" s="18">
        <v>13.51</v>
      </c>
      <c r="L3130" s="22">
        <v>9</v>
      </c>
    </row>
    <row r="3131" spans="1:12">
      <c r="A3131">
        <v>4</v>
      </c>
      <c r="B3131" s="16" t="s">
        <v>59</v>
      </c>
      <c r="C3131" s="9">
        <v>46023</v>
      </c>
      <c r="D3131">
        <v>10</v>
      </c>
      <c r="E3131" s="16" t="s">
        <v>95</v>
      </c>
      <c r="F3131" s="16" t="s">
        <v>83</v>
      </c>
      <c r="G3131" s="22">
        <v>30</v>
      </c>
      <c r="H3131" s="18">
        <v>382.65</v>
      </c>
      <c r="I3131" s="18">
        <v>12.755000000000001</v>
      </c>
      <c r="J3131" s="18">
        <v>12.92</v>
      </c>
      <c r="K3131" s="18">
        <v>12.55</v>
      </c>
      <c r="L3131" s="22">
        <v>6</v>
      </c>
    </row>
    <row r="3132" spans="1:12">
      <c r="A3132">
        <v>4</v>
      </c>
      <c r="B3132" s="16" t="s">
        <v>59</v>
      </c>
      <c r="C3132" s="9">
        <v>46054</v>
      </c>
      <c r="D3132">
        <v>10</v>
      </c>
      <c r="E3132" s="16" t="s">
        <v>95</v>
      </c>
      <c r="F3132" s="16" t="s">
        <v>83</v>
      </c>
      <c r="G3132" s="22">
        <v>35</v>
      </c>
      <c r="H3132" s="18">
        <v>451.5</v>
      </c>
      <c r="I3132" s="18">
        <v>12.9</v>
      </c>
      <c r="J3132" s="18">
        <v>13.06</v>
      </c>
      <c r="K3132" s="18">
        <v>12.7</v>
      </c>
      <c r="L3132" s="22">
        <v>6</v>
      </c>
    </row>
    <row r="3133" spans="1:12">
      <c r="A3133">
        <v>4</v>
      </c>
      <c r="B3133" s="16" t="s">
        <v>59</v>
      </c>
      <c r="C3133" s="9">
        <v>46082</v>
      </c>
      <c r="D3133">
        <v>10</v>
      </c>
      <c r="E3133" s="16" t="s">
        <v>95</v>
      </c>
      <c r="F3133" s="16" t="s">
        <v>83</v>
      </c>
      <c r="G3133" s="22">
        <v>30</v>
      </c>
      <c r="H3133" s="18">
        <v>390.25</v>
      </c>
      <c r="I3133" s="18">
        <v>13.008333332999999</v>
      </c>
      <c r="J3133" s="18">
        <v>13.25</v>
      </c>
      <c r="K3133" s="18">
        <v>12.86</v>
      </c>
      <c r="L3133" s="22">
        <v>6</v>
      </c>
    </row>
    <row r="3134" spans="1:12">
      <c r="A3134">
        <v>4</v>
      </c>
      <c r="B3134" s="16" t="s">
        <v>59</v>
      </c>
      <c r="C3134" s="9">
        <v>46113</v>
      </c>
      <c r="D3134">
        <v>10</v>
      </c>
      <c r="E3134" s="16" t="s">
        <v>95</v>
      </c>
      <c r="F3134" s="16" t="s">
        <v>83</v>
      </c>
      <c r="G3134" s="22">
        <v>40</v>
      </c>
      <c r="H3134" s="18">
        <v>521.79999999999995</v>
      </c>
      <c r="I3134" s="18">
        <v>13.045</v>
      </c>
      <c r="J3134" s="18">
        <v>13.18</v>
      </c>
      <c r="K3134" s="18">
        <v>12.87</v>
      </c>
      <c r="L3134" s="22">
        <v>7</v>
      </c>
    </row>
    <row r="3135" spans="1:12">
      <c r="A3135">
        <v>4</v>
      </c>
      <c r="B3135" s="16" t="s">
        <v>59</v>
      </c>
      <c r="C3135" s="9">
        <v>46143</v>
      </c>
      <c r="D3135">
        <v>10</v>
      </c>
      <c r="E3135" s="16" t="s">
        <v>95</v>
      </c>
      <c r="F3135" s="16" t="s">
        <v>83</v>
      </c>
      <c r="G3135" s="22">
        <v>35</v>
      </c>
      <c r="H3135" s="18">
        <v>454.15</v>
      </c>
      <c r="I3135" s="18">
        <v>12.975714286000001</v>
      </c>
      <c r="J3135" s="18">
        <v>13.27</v>
      </c>
      <c r="K3135" s="18">
        <v>12.73</v>
      </c>
      <c r="L3135" s="22">
        <v>6</v>
      </c>
    </row>
    <row r="3136" spans="1:12">
      <c r="A3136">
        <v>4</v>
      </c>
      <c r="B3136" s="16" t="s">
        <v>59</v>
      </c>
      <c r="C3136" s="9">
        <v>46174</v>
      </c>
      <c r="D3136">
        <v>10</v>
      </c>
      <c r="E3136" s="16" t="s">
        <v>95</v>
      </c>
      <c r="F3136" s="16" t="s">
        <v>83</v>
      </c>
      <c r="G3136" s="22">
        <v>40</v>
      </c>
      <c r="H3136" s="18">
        <v>515.9</v>
      </c>
      <c r="I3136" s="18">
        <v>12.897500000000001</v>
      </c>
      <c r="J3136" s="18">
        <v>13.13</v>
      </c>
      <c r="K3136" s="18">
        <v>12.7</v>
      </c>
      <c r="L3136" s="22">
        <v>7</v>
      </c>
    </row>
    <row r="3137" spans="1:12">
      <c r="A3137">
        <v>4</v>
      </c>
      <c r="B3137" s="16" t="s">
        <v>59</v>
      </c>
      <c r="C3137" s="9">
        <v>46204</v>
      </c>
      <c r="D3137">
        <v>10</v>
      </c>
      <c r="E3137" s="16" t="s">
        <v>95</v>
      </c>
      <c r="F3137" s="16" t="s">
        <v>83</v>
      </c>
      <c r="G3137" s="22">
        <v>50</v>
      </c>
      <c r="H3137" s="18">
        <v>695.7</v>
      </c>
      <c r="I3137" s="18">
        <v>13.914</v>
      </c>
      <c r="J3137" s="18">
        <v>14.2</v>
      </c>
      <c r="K3137" s="18">
        <v>13.67</v>
      </c>
      <c r="L3137" s="22">
        <v>7</v>
      </c>
    </row>
    <row r="3138" spans="1:12">
      <c r="A3138">
        <v>4</v>
      </c>
      <c r="B3138" s="16" t="s">
        <v>59</v>
      </c>
      <c r="C3138" s="9">
        <v>46235</v>
      </c>
      <c r="D3138">
        <v>10</v>
      </c>
      <c r="E3138" s="16" t="s">
        <v>95</v>
      </c>
      <c r="F3138" s="16" t="s">
        <v>83</v>
      </c>
      <c r="G3138" s="22">
        <v>30</v>
      </c>
      <c r="H3138" s="18">
        <v>422.75</v>
      </c>
      <c r="I3138" s="18">
        <v>14.091666667</v>
      </c>
      <c r="J3138" s="18">
        <v>14.3</v>
      </c>
      <c r="K3138" s="18">
        <v>13.91</v>
      </c>
      <c r="L3138" s="22">
        <v>5</v>
      </c>
    </row>
    <row r="3139" spans="1:12">
      <c r="A3139">
        <v>4</v>
      </c>
      <c r="B3139" s="16" t="s">
        <v>59</v>
      </c>
      <c r="C3139" s="9">
        <v>46266</v>
      </c>
      <c r="D3139">
        <v>10</v>
      </c>
      <c r="E3139" s="16" t="s">
        <v>95</v>
      </c>
      <c r="F3139" s="16" t="s">
        <v>83</v>
      </c>
      <c r="G3139" s="22">
        <v>35</v>
      </c>
      <c r="H3139" s="18">
        <v>493.9</v>
      </c>
      <c r="I3139" s="18">
        <v>14.111428570999999</v>
      </c>
      <c r="J3139" s="18">
        <v>14.29</v>
      </c>
      <c r="K3139" s="18">
        <v>13.99</v>
      </c>
      <c r="L3139" s="22">
        <v>5</v>
      </c>
    </row>
    <row r="3140" spans="1:12">
      <c r="A3140">
        <v>4</v>
      </c>
      <c r="B3140" s="16" t="s">
        <v>59</v>
      </c>
      <c r="C3140" s="9">
        <v>45689</v>
      </c>
      <c r="D3140">
        <v>11</v>
      </c>
      <c r="E3140" s="16" t="s">
        <v>96</v>
      </c>
      <c r="F3140" s="16" t="s">
        <v>87</v>
      </c>
      <c r="G3140" s="22">
        <v>14.5</v>
      </c>
      <c r="H3140" s="18">
        <v>301.58</v>
      </c>
      <c r="I3140" s="18">
        <v>20.79862069</v>
      </c>
      <c r="J3140" s="18">
        <v>21.12</v>
      </c>
      <c r="K3140" s="18">
        <v>20.36</v>
      </c>
      <c r="L3140" s="22">
        <v>8</v>
      </c>
    </row>
    <row r="3141" spans="1:12">
      <c r="A3141">
        <v>4</v>
      </c>
      <c r="B3141" s="16" t="s">
        <v>59</v>
      </c>
      <c r="C3141" s="9">
        <v>45717</v>
      </c>
      <c r="D3141">
        <v>11</v>
      </c>
      <c r="E3141" s="16" t="s">
        <v>96</v>
      </c>
      <c r="F3141" s="16" t="s">
        <v>87</v>
      </c>
      <c r="G3141" s="22">
        <v>12.5</v>
      </c>
      <c r="H3141" s="18">
        <v>258.10750000000002</v>
      </c>
      <c r="I3141" s="18">
        <v>20.648599999999998</v>
      </c>
      <c r="J3141" s="18">
        <v>20.98</v>
      </c>
      <c r="K3141" s="18">
        <v>20.420000000000002</v>
      </c>
      <c r="L3141" s="22">
        <v>9</v>
      </c>
    </row>
    <row r="3142" spans="1:12">
      <c r="A3142">
        <v>4</v>
      </c>
      <c r="B3142" s="16" t="s">
        <v>59</v>
      </c>
      <c r="C3142" s="9">
        <v>45748</v>
      </c>
      <c r="D3142">
        <v>11</v>
      </c>
      <c r="E3142" s="16" t="s">
        <v>96</v>
      </c>
      <c r="F3142" s="16" t="s">
        <v>87</v>
      </c>
      <c r="G3142" s="22">
        <v>15.75</v>
      </c>
      <c r="H3142" s="18">
        <v>323.98500000000001</v>
      </c>
      <c r="I3142" s="18">
        <v>20.570476190000001</v>
      </c>
      <c r="J3142" s="18">
        <v>20.83</v>
      </c>
      <c r="K3142" s="18">
        <v>20.21</v>
      </c>
      <c r="L3142" s="22">
        <v>8</v>
      </c>
    </row>
    <row r="3143" spans="1:12">
      <c r="A3143">
        <v>4</v>
      </c>
      <c r="B3143" s="16" t="s">
        <v>59</v>
      </c>
      <c r="C3143" s="9">
        <v>45778</v>
      </c>
      <c r="D3143">
        <v>11</v>
      </c>
      <c r="E3143" s="16" t="s">
        <v>96</v>
      </c>
      <c r="F3143" s="16" t="s">
        <v>87</v>
      </c>
      <c r="G3143" s="22">
        <v>20.75</v>
      </c>
      <c r="H3143" s="18">
        <v>430.31</v>
      </c>
      <c r="I3143" s="18">
        <v>20.737831324999998</v>
      </c>
      <c r="J3143" s="18">
        <v>21.61</v>
      </c>
      <c r="K3143" s="18">
        <v>20.14</v>
      </c>
      <c r="L3143" s="22">
        <v>9</v>
      </c>
    </row>
    <row r="3144" spans="1:12">
      <c r="A3144">
        <v>4</v>
      </c>
      <c r="B3144" s="16" t="s">
        <v>59</v>
      </c>
      <c r="C3144" s="9">
        <v>45809</v>
      </c>
      <c r="D3144">
        <v>11</v>
      </c>
      <c r="E3144" s="16" t="s">
        <v>96</v>
      </c>
      <c r="F3144" s="16" t="s">
        <v>87</v>
      </c>
      <c r="G3144" s="22">
        <v>19</v>
      </c>
      <c r="H3144" s="18">
        <v>395.21249999999998</v>
      </c>
      <c r="I3144" s="18">
        <v>20.800657895000001</v>
      </c>
      <c r="J3144" s="18">
        <v>21.17</v>
      </c>
      <c r="K3144" s="18">
        <v>20.190000000000001</v>
      </c>
      <c r="L3144" s="22">
        <v>9</v>
      </c>
    </row>
    <row r="3145" spans="1:12">
      <c r="A3145">
        <v>4</v>
      </c>
      <c r="B3145" s="16" t="s">
        <v>59</v>
      </c>
      <c r="C3145" s="9">
        <v>45839</v>
      </c>
      <c r="D3145">
        <v>11</v>
      </c>
      <c r="E3145" s="16" t="s">
        <v>96</v>
      </c>
      <c r="F3145" s="16" t="s">
        <v>87</v>
      </c>
      <c r="G3145" s="22">
        <v>20</v>
      </c>
      <c r="H3145" s="18">
        <v>411.21</v>
      </c>
      <c r="I3145" s="18">
        <v>20.560500000000001</v>
      </c>
      <c r="J3145" s="18">
        <v>20.99</v>
      </c>
      <c r="K3145" s="18">
        <v>20.05</v>
      </c>
      <c r="L3145" s="22">
        <v>9</v>
      </c>
    </row>
    <row r="3146" spans="1:12">
      <c r="A3146">
        <v>4</v>
      </c>
      <c r="B3146" s="16" t="s">
        <v>59</v>
      </c>
      <c r="C3146" s="9">
        <v>45870</v>
      </c>
      <c r="D3146">
        <v>11</v>
      </c>
      <c r="E3146" s="16" t="s">
        <v>96</v>
      </c>
      <c r="F3146" s="16" t="s">
        <v>87</v>
      </c>
      <c r="G3146" s="22">
        <v>24.75</v>
      </c>
      <c r="H3146" s="18">
        <v>507.375</v>
      </c>
      <c r="I3146" s="18">
        <v>20.5</v>
      </c>
      <c r="J3146" s="18">
        <v>20.84</v>
      </c>
      <c r="K3146" s="18">
        <v>20.23</v>
      </c>
      <c r="L3146" s="22">
        <v>8</v>
      </c>
    </row>
    <row r="3147" spans="1:12">
      <c r="A3147">
        <v>4</v>
      </c>
      <c r="B3147" s="16" t="s">
        <v>59</v>
      </c>
      <c r="C3147" s="9">
        <v>45901</v>
      </c>
      <c r="D3147">
        <v>11</v>
      </c>
      <c r="E3147" s="16" t="s">
        <v>96</v>
      </c>
      <c r="F3147" s="16" t="s">
        <v>87</v>
      </c>
      <c r="G3147" s="22">
        <v>20.25</v>
      </c>
      <c r="H3147" s="18">
        <v>414.01</v>
      </c>
      <c r="I3147" s="18">
        <v>20.444938272000002</v>
      </c>
      <c r="J3147" s="18">
        <v>20.96</v>
      </c>
      <c r="K3147" s="18">
        <v>19.829999999999998</v>
      </c>
      <c r="L3147" s="22">
        <v>9</v>
      </c>
    </row>
    <row r="3148" spans="1:12">
      <c r="A3148">
        <v>4</v>
      </c>
      <c r="B3148" s="16" t="s">
        <v>59</v>
      </c>
      <c r="C3148" s="9">
        <v>45931</v>
      </c>
      <c r="D3148">
        <v>11</v>
      </c>
      <c r="E3148" s="16" t="s">
        <v>96</v>
      </c>
      <c r="F3148" s="16" t="s">
        <v>87</v>
      </c>
      <c r="G3148" s="22">
        <v>20</v>
      </c>
      <c r="H3148" s="18">
        <v>410.8075</v>
      </c>
      <c r="I3148" s="18">
        <v>20.540375000000001</v>
      </c>
      <c r="J3148" s="18">
        <v>20.85</v>
      </c>
      <c r="K3148" s="18">
        <v>20.37</v>
      </c>
      <c r="L3148" s="22">
        <v>9</v>
      </c>
    </row>
    <row r="3149" spans="1:12">
      <c r="A3149">
        <v>4</v>
      </c>
      <c r="B3149" s="16" t="s">
        <v>59</v>
      </c>
      <c r="C3149" s="9">
        <v>45962</v>
      </c>
      <c r="D3149">
        <v>11</v>
      </c>
      <c r="E3149" s="16" t="s">
        <v>96</v>
      </c>
      <c r="F3149" s="16" t="s">
        <v>87</v>
      </c>
      <c r="G3149" s="22">
        <v>17.25</v>
      </c>
      <c r="H3149" s="18">
        <v>358.14499999999998</v>
      </c>
      <c r="I3149" s="18">
        <v>20.762028986000001</v>
      </c>
      <c r="J3149" s="18">
        <v>20.87</v>
      </c>
      <c r="K3149" s="18">
        <v>20.58</v>
      </c>
      <c r="L3149" s="22">
        <v>8</v>
      </c>
    </row>
    <row r="3150" spans="1:12">
      <c r="A3150">
        <v>4</v>
      </c>
      <c r="B3150" s="16" t="s">
        <v>59</v>
      </c>
      <c r="C3150" s="9">
        <v>45992</v>
      </c>
      <c r="D3150">
        <v>11</v>
      </c>
      <c r="E3150" s="16" t="s">
        <v>96</v>
      </c>
      <c r="F3150" s="16" t="s">
        <v>87</v>
      </c>
      <c r="G3150" s="22">
        <v>19.75</v>
      </c>
      <c r="H3150" s="18">
        <v>408.57749999999999</v>
      </c>
      <c r="I3150" s="18">
        <v>20.687468354</v>
      </c>
      <c r="J3150" s="18">
        <v>21.02</v>
      </c>
      <c r="K3150" s="18">
        <v>20.47</v>
      </c>
      <c r="L3150" s="22">
        <v>9</v>
      </c>
    </row>
    <row r="3151" spans="1:12">
      <c r="A3151">
        <v>4</v>
      </c>
      <c r="B3151" s="16" t="s">
        <v>59</v>
      </c>
      <c r="C3151" s="9">
        <v>46023</v>
      </c>
      <c r="D3151">
        <v>11</v>
      </c>
      <c r="E3151" s="16" t="s">
        <v>96</v>
      </c>
      <c r="F3151" s="16" t="s">
        <v>87</v>
      </c>
      <c r="G3151" s="22">
        <v>15.75</v>
      </c>
      <c r="H3151" s="18">
        <v>325.95999999999998</v>
      </c>
      <c r="I3151" s="18">
        <v>20.695873016</v>
      </c>
      <c r="J3151" s="18">
        <v>20.95</v>
      </c>
      <c r="K3151" s="18">
        <v>20.53</v>
      </c>
      <c r="L3151" s="22">
        <v>9</v>
      </c>
    </row>
    <row r="3152" spans="1:12">
      <c r="A3152">
        <v>4</v>
      </c>
      <c r="B3152" s="16" t="s">
        <v>59</v>
      </c>
      <c r="C3152" s="9">
        <v>46054</v>
      </c>
      <c r="D3152">
        <v>11</v>
      </c>
      <c r="E3152" s="16" t="s">
        <v>96</v>
      </c>
      <c r="F3152" s="16" t="s">
        <v>87</v>
      </c>
      <c r="G3152" s="22">
        <v>16</v>
      </c>
      <c r="H3152" s="18">
        <v>329.65750000000003</v>
      </c>
      <c r="I3152" s="18">
        <v>20.603593750000002</v>
      </c>
      <c r="J3152" s="18">
        <v>20.78</v>
      </c>
      <c r="K3152" s="18">
        <v>20.32</v>
      </c>
      <c r="L3152" s="22">
        <v>8</v>
      </c>
    </row>
    <row r="3153" spans="1:12">
      <c r="A3153">
        <v>4</v>
      </c>
      <c r="B3153" s="16" t="s">
        <v>59</v>
      </c>
      <c r="C3153" s="9">
        <v>46082</v>
      </c>
      <c r="D3153">
        <v>11</v>
      </c>
      <c r="E3153" s="16" t="s">
        <v>96</v>
      </c>
      <c r="F3153" s="16" t="s">
        <v>87</v>
      </c>
      <c r="G3153" s="22">
        <v>14.75</v>
      </c>
      <c r="H3153" s="18">
        <v>305.60250000000002</v>
      </c>
      <c r="I3153" s="18">
        <v>20.718813559000001</v>
      </c>
      <c r="J3153" s="18">
        <v>21</v>
      </c>
      <c r="K3153" s="18">
        <v>20.3</v>
      </c>
      <c r="L3153" s="22">
        <v>9</v>
      </c>
    </row>
    <row r="3154" spans="1:12">
      <c r="A3154">
        <v>4</v>
      </c>
      <c r="B3154" s="16" t="s">
        <v>59</v>
      </c>
      <c r="C3154" s="9">
        <v>46113</v>
      </c>
      <c r="D3154">
        <v>11</v>
      </c>
      <c r="E3154" s="16" t="s">
        <v>96</v>
      </c>
      <c r="F3154" s="16" t="s">
        <v>87</v>
      </c>
      <c r="G3154" s="22">
        <v>23</v>
      </c>
      <c r="H3154" s="18">
        <v>479.89749999999998</v>
      </c>
      <c r="I3154" s="18">
        <v>20.865108696</v>
      </c>
      <c r="J3154" s="18">
        <v>21.32</v>
      </c>
      <c r="K3154" s="18">
        <v>20.51</v>
      </c>
      <c r="L3154" s="22">
        <v>9</v>
      </c>
    </row>
    <row r="3155" spans="1:12">
      <c r="A3155">
        <v>4</v>
      </c>
      <c r="B3155" s="16" t="s">
        <v>59</v>
      </c>
      <c r="C3155" s="9">
        <v>46143</v>
      </c>
      <c r="D3155">
        <v>11</v>
      </c>
      <c r="E3155" s="16" t="s">
        <v>96</v>
      </c>
      <c r="F3155" s="16" t="s">
        <v>87</v>
      </c>
      <c r="G3155" s="22">
        <v>18.5</v>
      </c>
      <c r="H3155" s="18">
        <v>388.63499999999999</v>
      </c>
      <c r="I3155" s="18">
        <v>21.007297297000001</v>
      </c>
      <c r="J3155" s="18">
        <v>21.22</v>
      </c>
      <c r="K3155" s="18">
        <v>20.55</v>
      </c>
      <c r="L3155" s="22">
        <v>8</v>
      </c>
    </row>
    <row r="3156" spans="1:12">
      <c r="A3156">
        <v>4</v>
      </c>
      <c r="B3156" s="16" t="s">
        <v>59</v>
      </c>
      <c r="C3156" s="9">
        <v>46174</v>
      </c>
      <c r="D3156">
        <v>11</v>
      </c>
      <c r="E3156" s="16" t="s">
        <v>96</v>
      </c>
      <c r="F3156" s="16" t="s">
        <v>87</v>
      </c>
      <c r="G3156" s="22">
        <v>21.25</v>
      </c>
      <c r="H3156" s="18">
        <v>446.72</v>
      </c>
      <c r="I3156" s="18">
        <v>21.022117647000002</v>
      </c>
      <c r="J3156" s="18">
        <v>21.45</v>
      </c>
      <c r="K3156" s="18">
        <v>20.3</v>
      </c>
      <c r="L3156" s="22">
        <v>9</v>
      </c>
    </row>
    <row r="3157" spans="1:12">
      <c r="A3157">
        <v>4</v>
      </c>
      <c r="B3157" s="16" t="s">
        <v>59</v>
      </c>
      <c r="C3157" s="9">
        <v>46204</v>
      </c>
      <c r="D3157">
        <v>11</v>
      </c>
      <c r="E3157" s="16" t="s">
        <v>96</v>
      </c>
      <c r="F3157" s="16" t="s">
        <v>87</v>
      </c>
      <c r="G3157" s="22">
        <v>27</v>
      </c>
      <c r="H3157" s="18">
        <v>562.5675</v>
      </c>
      <c r="I3157" s="18">
        <v>20.835833333</v>
      </c>
      <c r="J3157" s="18">
        <v>21.44</v>
      </c>
      <c r="K3157" s="18">
        <v>20.16</v>
      </c>
      <c r="L3157" s="22">
        <v>9</v>
      </c>
    </row>
    <row r="3158" spans="1:12">
      <c r="A3158">
        <v>4</v>
      </c>
      <c r="B3158" s="16" t="s">
        <v>59</v>
      </c>
      <c r="C3158" s="9">
        <v>46235</v>
      </c>
      <c r="D3158">
        <v>11</v>
      </c>
      <c r="E3158" s="16" t="s">
        <v>96</v>
      </c>
      <c r="F3158" s="16" t="s">
        <v>87</v>
      </c>
      <c r="G3158" s="22">
        <v>19</v>
      </c>
      <c r="H3158" s="18">
        <v>389.76249999999999</v>
      </c>
      <c r="I3158" s="18">
        <v>20.513815788999999</v>
      </c>
      <c r="J3158" s="18">
        <v>20.87</v>
      </c>
      <c r="K3158" s="18">
        <v>20.12</v>
      </c>
      <c r="L3158" s="22">
        <v>9</v>
      </c>
    </row>
    <row r="3159" spans="1:12">
      <c r="A3159">
        <v>4</v>
      </c>
      <c r="B3159" s="16" t="s">
        <v>59</v>
      </c>
      <c r="C3159" s="9">
        <v>46266</v>
      </c>
      <c r="D3159">
        <v>11</v>
      </c>
      <c r="E3159" s="16" t="s">
        <v>96</v>
      </c>
      <c r="F3159" s="16" t="s">
        <v>87</v>
      </c>
      <c r="G3159" s="22">
        <v>20</v>
      </c>
      <c r="H3159" s="18">
        <v>413.41500000000002</v>
      </c>
      <c r="I3159" s="18">
        <v>20.670750000000002</v>
      </c>
      <c r="J3159" s="18">
        <v>20.85</v>
      </c>
      <c r="K3159" s="18">
        <v>20.43</v>
      </c>
      <c r="L3159" s="22">
        <v>8</v>
      </c>
    </row>
    <row r="3160" spans="1:12">
      <c r="A3160">
        <v>4</v>
      </c>
      <c r="B3160" s="16" t="s">
        <v>59</v>
      </c>
      <c r="C3160" s="9">
        <v>45689</v>
      </c>
      <c r="D3160">
        <v>13</v>
      </c>
      <c r="E3160" s="16" t="s">
        <v>97</v>
      </c>
      <c r="F3160" s="16" t="s">
        <v>98</v>
      </c>
      <c r="G3160" s="22">
        <v>80</v>
      </c>
      <c r="H3160" s="18">
        <v>158.80000000000001</v>
      </c>
      <c r="I3160" s="18">
        <v>1.9850000000000001</v>
      </c>
      <c r="J3160" s="18">
        <v>2</v>
      </c>
      <c r="K3160" s="18">
        <v>1.97</v>
      </c>
      <c r="L3160" s="22">
        <v>2</v>
      </c>
    </row>
    <row r="3161" spans="1:12">
      <c r="A3161">
        <v>4</v>
      </c>
      <c r="B3161" s="16" t="s">
        <v>59</v>
      </c>
      <c r="C3161" s="9">
        <v>45717</v>
      </c>
      <c r="D3161">
        <v>13</v>
      </c>
      <c r="E3161" s="16" t="s">
        <v>97</v>
      </c>
      <c r="F3161" s="16" t="s">
        <v>98</v>
      </c>
      <c r="G3161" s="22">
        <v>60</v>
      </c>
      <c r="H3161" s="18">
        <v>118.6</v>
      </c>
      <c r="I3161" s="18">
        <v>1.9766666669999999</v>
      </c>
      <c r="J3161" s="18">
        <v>1.99</v>
      </c>
      <c r="K3161" s="18">
        <v>1.97</v>
      </c>
      <c r="L3161" s="22">
        <v>2</v>
      </c>
    </row>
    <row r="3162" spans="1:12">
      <c r="A3162">
        <v>4</v>
      </c>
      <c r="B3162" s="16" t="s">
        <v>59</v>
      </c>
      <c r="C3162" s="9">
        <v>45748</v>
      </c>
      <c r="D3162">
        <v>13</v>
      </c>
      <c r="E3162" s="16" t="s">
        <v>97</v>
      </c>
      <c r="F3162" s="16" t="s">
        <v>98</v>
      </c>
      <c r="G3162" s="22">
        <v>120</v>
      </c>
      <c r="H3162" s="18">
        <v>234</v>
      </c>
      <c r="I3162" s="18">
        <v>1.95</v>
      </c>
      <c r="J3162" s="18">
        <v>1.97</v>
      </c>
      <c r="K3162" s="18">
        <v>1.93</v>
      </c>
      <c r="L3162" s="22">
        <v>3</v>
      </c>
    </row>
    <row r="3163" spans="1:12">
      <c r="A3163">
        <v>4</v>
      </c>
      <c r="B3163" s="16" t="s">
        <v>59</v>
      </c>
      <c r="C3163" s="9">
        <v>45778</v>
      </c>
      <c r="D3163">
        <v>13</v>
      </c>
      <c r="E3163" s="16" t="s">
        <v>97</v>
      </c>
      <c r="F3163" s="16" t="s">
        <v>98</v>
      </c>
      <c r="G3163" s="22">
        <v>100</v>
      </c>
      <c r="H3163" s="18">
        <v>197</v>
      </c>
      <c r="I3163" s="18">
        <v>1.97</v>
      </c>
      <c r="J3163" s="18">
        <v>1.97</v>
      </c>
      <c r="K3163" s="18">
        <v>1.97</v>
      </c>
      <c r="L3163" s="22">
        <v>2</v>
      </c>
    </row>
    <row r="3164" spans="1:12">
      <c r="A3164">
        <v>4</v>
      </c>
      <c r="B3164" s="16" t="s">
        <v>59</v>
      </c>
      <c r="C3164" s="9">
        <v>45809</v>
      </c>
      <c r="D3164">
        <v>13</v>
      </c>
      <c r="E3164" s="16" t="s">
        <v>97</v>
      </c>
      <c r="F3164" s="16" t="s">
        <v>98</v>
      </c>
      <c r="G3164" s="22">
        <v>80</v>
      </c>
      <c r="H3164" s="18">
        <v>159.6</v>
      </c>
      <c r="I3164" s="18">
        <v>1.9950000000000001</v>
      </c>
      <c r="J3164" s="18">
        <v>2.0099999999999998</v>
      </c>
      <c r="K3164" s="18">
        <v>1.98</v>
      </c>
      <c r="L3164" s="22">
        <v>2</v>
      </c>
    </row>
    <row r="3165" spans="1:12">
      <c r="A3165">
        <v>4</v>
      </c>
      <c r="B3165" s="16" t="s">
        <v>59</v>
      </c>
      <c r="C3165" s="9">
        <v>45839</v>
      </c>
      <c r="D3165">
        <v>13</v>
      </c>
      <c r="E3165" s="16" t="s">
        <v>97</v>
      </c>
      <c r="F3165" s="16" t="s">
        <v>98</v>
      </c>
      <c r="G3165" s="22">
        <v>100</v>
      </c>
      <c r="H3165" s="18">
        <v>203.2</v>
      </c>
      <c r="I3165" s="18">
        <v>2.032</v>
      </c>
      <c r="J3165" s="18">
        <v>2.04</v>
      </c>
      <c r="K3165" s="18">
        <v>2.02</v>
      </c>
      <c r="L3165" s="22">
        <v>2</v>
      </c>
    </row>
    <row r="3166" spans="1:12">
      <c r="A3166">
        <v>4</v>
      </c>
      <c r="B3166" s="16" t="s">
        <v>59</v>
      </c>
      <c r="C3166" s="9">
        <v>45870</v>
      </c>
      <c r="D3166">
        <v>13</v>
      </c>
      <c r="E3166" s="16" t="s">
        <v>97</v>
      </c>
      <c r="F3166" s="16" t="s">
        <v>98</v>
      </c>
      <c r="G3166" s="22">
        <v>120</v>
      </c>
      <c r="H3166" s="18">
        <v>243.6</v>
      </c>
      <c r="I3166" s="18">
        <v>2.0299999999999998</v>
      </c>
      <c r="J3166" s="18">
        <v>2.04</v>
      </c>
      <c r="K3166" s="18">
        <v>2.02</v>
      </c>
      <c r="L3166" s="22">
        <v>2</v>
      </c>
    </row>
    <row r="3167" spans="1:12">
      <c r="A3167">
        <v>4</v>
      </c>
      <c r="B3167" s="16" t="s">
        <v>59</v>
      </c>
      <c r="C3167" s="9">
        <v>45901</v>
      </c>
      <c r="D3167">
        <v>13</v>
      </c>
      <c r="E3167" s="16" t="s">
        <v>97</v>
      </c>
      <c r="F3167" s="16" t="s">
        <v>98</v>
      </c>
      <c r="G3167" s="22">
        <v>100</v>
      </c>
      <c r="H3167" s="18">
        <v>204.8</v>
      </c>
      <c r="I3167" s="18">
        <v>2.048</v>
      </c>
      <c r="J3167" s="18">
        <v>2.06</v>
      </c>
      <c r="K3167" s="18">
        <v>2.04</v>
      </c>
      <c r="L3167" s="22">
        <v>2</v>
      </c>
    </row>
    <row r="3168" spans="1:12">
      <c r="A3168">
        <v>4</v>
      </c>
      <c r="B3168" s="16" t="s">
        <v>59</v>
      </c>
      <c r="C3168" s="9">
        <v>45931</v>
      </c>
      <c r="D3168">
        <v>13</v>
      </c>
      <c r="E3168" s="16" t="s">
        <v>97</v>
      </c>
      <c r="F3168" s="16" t="s">
        <v>98</v>
      </c>
      <c r="G3168" s="22">
        <v>120</v>
      </c>
      <c r="H3168" s="18">
        <v>242</v>
      </c>
      <c r="I3168" s="18">
        <v>2.016666667</v>
      </c>
      <c r="J3168" s="18">
        <v>2.0299999999999998</v>
      </c>
      <c r="K3168" s="18">
        <v>1.99</v>
      </c>
      <c r="L3168" s="22">
        <v>3</v>
      </c>
    </row>
    <row r="3169" spans="1:12">
      <c r="A3169">
        <v>4</v>
      </c>
      <c r="B3169" s="16" t="s">
        <v>59</v>
      </c>
      <c r="C3169" s="9">
        <v>45962</v>
      </c>
      <c r="D3169">
        <v>13</v>
      </c>
      <c r="E3169" s="16" t="s">
        <v>97</v>
      </c>
      <c r="F3169" s="16" t="s">
        <v>98</v>
      </c>
      <c r="G3169" s="22">
        <v>80</v>
      </c>
      <c r="H3169" s="18">
        <v>166</v>
      </c>
      <c r="I3169" s="18">
        <v>2.0750000000000002</v>
      </c>
      <c r="J3169" s="18">
        <v>2.15</v>
      </c>
      <c r="K3169" s="18">
        <v>2</v>
      </c>
      <c r="L3169" s="22">
        <v>2</v>
      </c>
    </row>
    <row r="3170" spans="1:12">
      <c r="A3170">
        <v>4</v>
      </c>
      <c r="B3170" s="16" t="s">
        <v>59</v>
      </c>
      <c r="C3170" s="9">
        <v>45992</v>
      </c>
      <c r="D3170">
        <v>13</v>
      </c>
      <c r="E3170" s="16" t="s">
        <v>97</v>
      </c>
      <c r="F3170" s="16" t="s">
        <v>98</v>
      </c>
      <c r="G3170" s="22">
        <v>80</v>
      </c>
      <c r="H3170" s="18">
        <v>160</v>
      </c>
      <c r="I3170" s="18">
        <v>2</v>
      </c>
      <c r="J3170" s="18">
        <v>2</v>
      </c>
      <c r="K3170" s="18">
        <v>2</v>
      </c>
      <c r="L3170" s="22">
        <v>2</v>
      </c>
    </row>
    <row r="3171" spans="1:12">
      <c r="A3171">
        <v>4</v>
      </c>
      <c r="B3171" s="16" t="s">
        <v>59</v>
      </c>
      <c r="C3171" s="9">
        <v>46023</v>
      </c>
      <c r="D3171">
        <v>13</v>
      </c>
      <c r="E3171" s="16" t="s">
        <v>97</v>
      </c>
      <c r="F3171" s="16" t="s">
        <v>98</v>
      </c>
      <c r="G3171" s="22">
        <v>60</v>
      </c>
      <c r="H3171" s="18">
        <v>122</v>
      </c>
      <c r="I3171" s="18">
        <v>2.0333333329999999</v>
      </c>
      <c r="J3171" s="18">
        <v>2.08</v>
      </c>
      <c r="K3171" s="18">
        <v>2.0099999999999998</v>
      </c>
      <c r="L3171" s="22">
        <v>2</v>
      </c>
    </row>
    <row r="3172" spans="1:12">
      <c r="A3172">
        <v>4</v>
      </c>
      <c r="B3172" s="16" t="s">
        <v>59</v>
      </c>
      <c r="C3172" s="9">
        <v>46054</v>
      </c>
      <c r="D3172">
        <v>13</v>
      </c>
      <c r="E3172" s="16" t="s">
        <v>97</v>
      </c>
      <c r="F3172" s="16" t="s">
        <v>98</v>
      </c>
      <c r="G3172" s="22">
        <v>80</v>
      </c>
      <c r="H3172" s="18">
        <v>165.6</v>
      </c>
      <c r="I3172" s="18">
        <v>2.0699999999999998</v>
      </c>
      <c r="J3172" s="18">
        <v>2.0699999999999998</v>
      </c>
      <c r="K3172" s="18">
        <v>2.0699999999999998</v>
      </c>
      <c r="L3172" s="22">
        <v>2</v>
      </c>
    </row>
    <row r="3173" spans="1:12">
      <c r="A3173">
        <v>4</v>
      </c>
      <c r="B3173" s="16" t="s">
        <v>59</v>
      </c>
      <c r="C3173" s="9">
        <v>46082</v>
      </c>
      <c r="D3173">
        <v>13</v>
      </c>
      <c r="E3173" s="16" t="s">
        <v>97</v>
      </c>
      <c r="F3173" s="16" t="s">
        <v>98</v>
      </c>
      <c r="G3173" s="22">
        <v>60</v>
      </c>
      <c r="H3173" s="18">
        <v>125</v>
      </c>
      <c r="I3173" s="18">
        <v>2.0833333330000001</v>
      </c>
      <c r="J3173" s="18">
        <v>2.09</v>
      </c>
      <c r="K3173" s="18">
        <v>2.08</v>
      </c>
      <c r="L3173" s="22">
        <v>2</v>
      </c>
    </row>
    <row r="3174" spans="1:12">
      <c r="A3174">
        <v>4</v>
      </c>
      <c r="B3174" s="16" t="s">
        <v>59</v>
      </c>
      <c r="C3174" s="9">
        <v>46113</v>
      </c>
      <c r="D3174">
        <v>13</v>
      </c>
      <c r="E3174" s="16" t="s">
        <v>97</v>
      </c>
      <c r="F3174" s="16" t="s">
        <v>98</v>
      </c>
      <c r="G3174" s="22">
        <v>140</v>
      </c>
      <c r="H3174" s="18">
        <v>289.2</v>
      </c>
      <c r="I3174" s="18">
        <v>2.065714286</v>
      </c>
      <c r="J3174" s="18">
        <v>2.09</v>
      </c>
      <c r="K3174" s="18">
        <v>2.04</v>
      </c>
      <c r="L3174" s="22">
        <v>3</v>
      </c>
    </row>
    <row r="3175" spans="1:12">
      <c r="A3175">
        <v>4</v>
      </c>
      <c r="B3175" s="16" t="s">
        <v>59</v>
      </c>
      <c r="C3175" s="9">
        <v>46143</v>
      </c>
      <c r="D3175">
        <v>13</v>
      </c>
      <c r="E3175" s="16" t="s">
        <v>97</v>
      </c>
      <c r="F3175" s="16" t="s">
        <v>98</v>
      </c>
      <c r="G3175" s="22">
        <v>100</v>
      </c>
      <c r="H3175" s="18">
        <v>208.2</v>
      </c>
      <c r="I3175" s="18">
        <v>2.0819999999999999</v>
      </c>
      <c r="J3175" s="18">
        <v>2.1</v>
      </c>
      <c r="K3175" s="18">
        <v>2.0699999999999998</v>
      </c>
      <c r="L3175" s="22">
        <v>2</v>
      </c>
    </row>
    <row r="3176" spans="1:12">
      <c r="A3176">
        <v>4</v>
      </c>
      <c r="B3176" s="16" t="s">
        <v>59</v>
      </c>
      <c r="C3176" s="9">
        <v>46174</v>
      </c>
      <c r="D3176">
        <v>13</v>
      </c>
      <c r="E3176" s="16" t="s">
        <v>97</v>
      </c>
      <c r="F3176" s="16" t="s">
        <v>98</v>
      </c>
      <c r="G3176" s="22">
        <v>120</v>
      </c>
      <c r="H3176" s="18">
        <v>246</v>
      </c>
      <c r="I3176" s="18">
        <v>2.0499999999999998</v>
      </c>
      <c r="J3176" s="18">
        <v>2.06</v>
      </c>
      <c r="K3176" s="18">
        <v>2.04</v>
      </c>
      <c r="L3176" s="22">
        <v>2</v>
      </c>
    </row>
    <row r="3177" spans="1:12">
      <c r="A3177">
        <v>4</v>
      </c>
      <c r="B3177" s="16" t="s">
        <v>59</v>
      </c>
      <c r="C3177" s="9">
        <v>46204</v>
      </c>
      <c r="D3177">
        <v>13</v>
      </c>
      <c r="E3177" s="16" t="s">
        <v>97</v>
      </c>
      <c r="F3177" s="16" t="s">
        <v>98</v>
      </c>
      <c r="G3177" s="22">
        <v>100</v>
      </c>
      <c r="H3177" s="18">
        <v>208.6</v>
      </c>
      <c r="I3177" s="18">
        <v>2.0859999999999999</v>
      </c>
      <c r="J3177" s="18">
        <v>2.14</v>
      </c>
      <c r="K3177" s="18">
        <v>2.0499999999999998</v>
      </c>
      <c r="L3177" s="22">
        <v>2</v>
      </c>
    </row>
    <row r="3178" spans="1:12">
      <c r="A3178">
        <v>4</v>
      </c>
      <c r="B3178" s="16" t="s">
        <v>59</v>
      </c>
      <c r="C3178" s="9">
        <v>46235</v>
      </c>
      <c r="D3178">
        <v>13</v>
      </c>
      <c r="E3178" s="16" t="s">
        <v>97</v>
      </c>
      <c r="F3178" s="16" t="s">
        <v>98</v>
      </c>
      <c r="G3178" s="22">
        <v>100</v>
      </c>
      <c r="H3178" s="18">
        <v>210.2</v>
      </c>
      <c r="I3178" s="18">
        <v>2.1019999999999999</v>
      </c>
      <c r="J3178" s="18">
        <v>2.11</v>
      </c>
      <c r="K3178" s="18">
        <v>2.09</v>
      </c>
      <c r="L3178" s="22">
        <v>2</v>
      </c>
    </row>
    <row r="3179" spans="1:12">
      <c r="A3179">
        <v>4</v>
      </c>
      <c r="B3179" s="16" t="s">
        <v>59</v>
      </c>
      <c r="C3179" s="9">
        <v>46266</v>
      </c>
      <c r="D3179">
        <v>13</v>
      </c>
      <c r="E3179" s="16" t="s">
        <v>97</v>
      </c>
      <c r="F3179" s="16" t="s">
        <v>98</v>
      </c>
      <c r="G3179" s="22">
        <v>100</v>
      </c>
      <c r="H3179" s="18">
        <v>211.6</v>
      </c>
      <c r="I3179" s="18">
        <v>2.1160000000000001</v>
      </c>
      <c r="J3179" s="18">
        <v>2.14</v>
      </c>
      <c r="K3179" s="18">
        <v>2.08</v>
      </c>
      <c r="L3179" s="22">
        <v>3</v>
      </c>
    </row>
    <row r="3180" spans="1:12">
      <c r="A3180">
        <v>4</v>
      </c>
      <c r="B3180" s="16" t="s">
        <v>59</v>
      </c>
      <c r="C3180" s="9">
        <v>45689</v>
      </c>
      <c r="D3180">
        <v>15</v>
      </c>
      <c r="E3180" s="16" t="s">
        <v>100</v>
      </c>
      <c r="F3180" s="16" t="s">
        <v>92</v>
      </c>
      <c r="G3180" s="22">
        <v>270</v>
      </c>
      <c r="H3180" s="18">
        <v>68.099999999999994</v>
      </c>
      <c r="I3180" s="18">
        <v>0.252222222</v>
      </c>
      <c r="J3180" s="18">
        <v>0.26</v>
      </c>
      <c r="K3180" s="18">
        <v>0.25</v>
      </c>
      <c r="L3180" s="22">
        <v>12</v>
      </c>
    </row>
    <row r="3181" spans="1:12">
      <c r="A3181">
        <v>4</v>
      </c>
      <c r="B3181" s="16" t="s">
        <v>59</v>
      </c>
      <c r="C3181" s="9">
        <v>45717</v>
      </c>
      <c r="D3181">
        <v>15</v>
      </c>
      <c r="E3181" s="16" t="s">
        <v>100</v>
      </c>
      <c r="F3181" s="16" t="s">
        <v>92</v>
      </c>
      <c r="G3181" s="22">
        <v>267</v>
      </c>
      <c r="H3181" s="18">
        <v>65.67</v>
      </c>
      <c r="I3181" s="18">
        <v>0.24595505600000001</v>
      </c>
      <c r="J3181" s="18">
        <v>0.26</v>
      </c>
      <c r="K3181" s="18">
        <v>0.24</v>
      </c>
      <c r="L3181" s="22">
        <v>13</v>
      </c>
    </row>
    <row r="3182" spans="1:12">
      <c r="A3182">
        <v>4</v>
      </c>
      <c r="B3182" s="16" t="s">
        <v>59</v>
      </c>
      <c r="C3182" s="9">
        <v>45748</v>
      </c>
      <c r="D3182">
        <v>15</v>
      </c>
      <c r="E3182" s="16" t="s">
        <v>100</v>
      </c>
      <c r="F3182" s="16" t="s">
        <v>92</v>
      </c>
      <c r="G3182" s="22">
        <v>294</v>
      </c>
      <c r="H3182" s="18">
        <v>69.81</v>
      </c>
      <c r="I3182" s="18">
        <v>0.23744898</v>
      </c>
      <c r="J3182" s="18">
        <v>0.24</v>
      </c>
      <c r="K3182" s="18">
        <v>0.23</v>
      </c>
      <c r="L3182" s="22">
        <v>13</v>
      </c>
    </row>
    <row r="3183" spans="1:12">
      <c r="A3183">
        <v>4</v>
      </c>
      <c r="B3183" s="16" t="s">
        <v>59</v>
      </c>
      <c r="C3183" s="9">
        <v>45778</v>
      </c>
      <c r="D3183">
        <v>15</v>
      </c>
      <c r="E3183" s="16" t="s">
        <v>100</v>
      </c>
      <c r="F3183" s="16" t="s">
        <v>92</v>
      </c>
      <c r="G3183" s="22">
        <v>387</v>
      </c>
      <c r="H3183" s="18">
        <v>88.83</v>
      </c>
      <c r="I3183" s="18">
        <v>0.22953488399999999</v>
      </c>
      <c r="J3183" s="18">
        <v>0.23</v>
      </c>
      <c r="K3183" s="18">
        <v>0.22</v>
      </c>
      <c r="L3183" s="22">
        <v>13</v>
      </c>
    </row>
    <row r="3184" spans="1:12">
      <c r="A3184">
        <v>4</v>
      </c>
      <c r="B3184" s="16" t="s">
        <v>59</v>
      </c>
      <c r="C3184" s="9">
        <v>45809</v>
      </c>
      <c r="D3184">
        <v>15</v>
      </c>
      <c r="E3184" s="16" t="s">
        <v>100</v>
      </c>
      <c r="F3184" s="16" t="s">
        <v>92</v>
      </c>
      <c r="G3184" s="22">
        <v>360</v>
      </c>
      <c r="H3184" s="18">
        <v>80.25</v>
      </c>
      <c r="I3184" s="18">
        <v>0.22291666700000001</v>
      </c>
      <c r="J3184" s="18">
        <v>0.24</v>
      </c>
      <c r="K3184" s="18">
        <v>0.22</v>
      </c>
      <c r="L3184" s="22">
        <v>13</v>
      </c>
    </row>
    <row r="3185" spans="1:12">
      <c r="A3185">
        <v>4</v>
      </c>
      <c r="B3185" s="16" t="s">
        <v>59</v>
      </c>
      <c r="C3185" s="9">
        <v>45839</v>
      </c>
      <c r="D3185">
        <v>15</v>
      </c>
      <c r="E3185" s="16" t="s">
        <v>100</v>
      </c>
      <c r="F3185" s="16" t="s">
        <v>92</v>
      </c>
      <c r="G3185" s="22">
        <v>327</v>
      </c>
      <c r="H3185" s="18">
        <v>72.3</v>
      </c>
      <c r="I3185" s="18">
        <v>0.22110091700000001</v>
      </c>
      <c r="J3185" s="18">
        <v>0.23</v>
      </c>
      <c r="K3185" s="18">
        <v>0.22</v>
      </c>
      <c r="L3185" s="22">
        <v>13</v>
      </c>
    </row>
    <row r="3186" spans="1:12">
      <c r="A3186">
        <v>4</v>
      </c>
      <c r="B3186" s="16" t="s">
        <v>59</v>
      </c>
      <c r="C3186" s="9">
        <v>45870</v>
      </c>
      <c r="D3186">
        <v>15</v>
      </c>
      <c r="E3186" s="16" t="s">
        <v>100</v>
      </c>
      <c r="F3186" s="16" t="s">
        <v>92</v>
      </c>
      <c r="G3186" s="22">
        <v>381</v>
      </c>
      <c r="H3186" s="18">
        <v>85.32</v>
      </c>
      <c r="I3186" s="18">
        <v>0.22393700799999999</v>
      </c>
      <c r="J3186" s="18">
        <v>0.23</v>
      </c>
      <c r="K3186" s="18">
        <v>0.22</v>
      </c>
      <c r="L3186" s="22">
        <v>13</v>
      </c>
    </row>
    <row r="3187" spans="1:12">
      <c r="A3187">
        <v>4</v>
      </c>
      <c r="B3187" s="16" t="s">
        <v>59</v>
      </c>
      <c r="C3187" s="9">
        <v>45901</v>
      </c>
      <c r="D3187">
        <v>15</v>
      </c>
      <c r="E3187" s="16" t="s">
        <v>100</v>
      </c>
      <c r="F3187" s="16" t="s">
        <v>92</v>
      </c>
      <c r="G3187" s="22">
        <v>351</v>
      </c>
      <c r="H3187" s="18">
        <v>80.73</v>
      </c>
      <c r="I3187" s="18">
        <v>0.23</v>
      </c>
      <c r="J3187" s="18">
        <v>0.24</v>
      </c>
      <c r="K3187" s="18">
        <v>0.22</v>
      </c>
      <c r="L3187" s="22">
        <v>13</v>
      </c>
    </row>
    <row r="3188" spans="1:12">
      <c r="A3188">
        <v>4</v>
      </c>
      <c r="B3188" s="16" t="s">
        <v>59</v>
      </c>
      <c r="C3188" s="9">
        <v>45931</v>
      </c>
      <c r="D3188">
        <v>15</v>
      </c>
      <c r="E3188" s="16" t="s">
        <v>100</v>
      </c>
      <c r="F3188" s="16" t="s">
        <v>92</v>
      </c>
      <c r="G3188" s="22">
        <v>348</v>
      </c>
      <c r="H3188" s="18">
        <v>83.58</v>
      </c>
      <c r="I3188" s="18">
        <v>0.240172414</v>
      </c>
      <c r="J3188" s="18">
        <v>0.25</v>
      </c>
      <c r="K3188" s="18">
        <v>0.23</v>
      </c>
      <c r="L3188" s="22">
        <v>14</v>
      </c>
    </row>
    <row r="3189" spans="1:12">
      <c r="A3189">
        <v>4</v>
      </c>
      <c r="B3189" s="16" t="s">
        <v>59</v>
      </c>
      <c r="C3189" s="9">
        <v>45962</v>
      </c>
      <c r="D3189">
        <v>15</v>
      </c>
      <c r="E3189" s="16" t="s">
        <v>100</v>
      </c>
      <c r="F3189" s="16" t="s">
        <v>92</v>
      </c>
      <c r="G3189" s="22">
        <v>285</v>
      </c>
      <c r="H3189" s="18">
        <v>71.91</v>
      </c>
      <c r="I3189" s="18">
        <v>0.25231578900000001</v>
      </c>
      <c r="J3189" s="18">
        <v>0.26</v>
      </c>
      <c r="K3189" s="18">
        <v>0.25</v>
      </c>
      <c r="L3189" s="22">
        <v>12</v>
      </c>
    </row>
    <row r="3190" spans="1:12">
      <c r="A3190">
        <v>4</v>
      </c>
      <c r="B3190" s="16" t="s">
        <v>59</v>
      </c>
      <c r="C3190" s="9">
        <v>45992</v>
      </c>
      <c r="D3190">
        <v>15</v>
      </c>
      <c r="E3190" s="16" t="s">
        <v>100</v>
      </c>
      <c r="F3190" s="16" t="s">
        <v>92</v>
      </c>
      <c r="G3190" s="22">
        <v>372</v>
      </c>
      <c r="H3190" s="18">
        <v>95.52</v>
      </c>
      <c r="I3190" s="18">
        <v>0.25677419400000001</v>
      </c>
      <c r="J3190" s="18">
        <v>0.26</v>
      </c>
      <c r="K3190" s="18">
        <v>0.25</v>
      </c>
      <c r="L3190" s="22">
        <v>14</v>
      </c>
    </row>
    <row r="3191" spans="1:12">
      <c r="A3191">
        <v>4</v>
      </c>
      <c r="B3191" s="16" t="s">
        <v>59</v>
      </c>
      <c r="C3191" s="9">
        <v>46023</v>
      </c>
      <c r="D3191">
        <v>15</v>
      </c>
      <c r="E3191" s="16" t="s">
        <v>100</v>
      </c>
      <c r="F3191" s="16" t="s">
        <v>92</v>
      </c>
      <c r="G3191" s="22">
        <v>270</v>
      </c>
      <c r="H3191" s="18">
        <v>70.47</v>
      </c>
      <c r="I3191" s="18">
        <v>0.26100000000000001</v>
      </c>
      <c r="J3191" s="18">
        <v>0.27</v>
      </c>
      <c r="K3191" s="18">
        <v>0.26</v>
      </c>
      <c r="L3191" s="22">
        <v>13</v>
      </c>
    </row>
    <row r="3192" spans="1:12">
      <c r="A3192">
        <v>4</v>
      </c>
      <c r="B3192" s="16" t="s">
        <v>59</v>
      </c>
      <c r="C3192" s="9">
        <v>46054</v>
      </c>
      <c r="D3192">
        <v>15</v>
      </c>
      <c r="E3192" s="16" t="s">
        <v>100</v>
      </c>
      <c r="F3192" s="16" t="s">
        <v>92</v>
      </c>
      <c r="G3192" s="22">
        <v>264</v>
      </c>
      <c r="H3192" s="18">
        <v>68.819999999999993</v>
      </c>
      <c r="I3192" s="18">
        <v>0.26068181800000001</v>
      </c>
      <c r="J3192" s="18">
        <v>0.27</v>
      </c>
      <c r="K3192" s="18">
        <v>0.26</v>
      </c>
      <c r="L3192" s="22">
        <v>12</v>
      </c>
    </row>
    <row r="3193" spans="1:12">
      <c r="A3193">
        <v>4</v>
      </c>
      <c r="B3193" s="16" t="s">
        <v>59</v>
      </c>
      <c r="C3193" s="9">
        <v>46082</v>
      </c>
      <c r="D3193">
        <v>15</v>
      </c>
      <c r="E3193" s="16" t="s">
        <v>100</v>
      </c>
      <c r="F3193" s="16" t="s">
        <v>92</v>
      </c>
      <c r="G3193" s="22">
        <v>288</v>
      </c>
      <c r="H3193" s="18">
        <v>72.42</v>
      </c>
      <c r="I3193" s="18">
        <v>0.25145833299999998</v>
      </c>
      <c r="J3193" s="18">
        <v>0.26</v>
      </c>
      <c r="K3193" s="18">
        <v>0.25</v>
      </c>
      <c r="L3193" s="22">
        <v>13</v>
      </c>
    </row>
    <row r="3194" spans="1:12">
      <c r="A3194">
        <v>4</v>
      </c>
      <c r="B3194" s="16" t="s">
        <v>59</v>
      </c>
      <c r="C3194" s="9">
        <v>46113</v>
      </c>
      <c r="D3194">
        <v>15</v>
      </c>
      <c r="E3194" s="16" t="s">
        <v>100</v>
      </c>
      <c r="F3194" s="16" t="s">
        <v>92</v>
      </c>
      <c r="G3194" s="22">
        <v>294</v>
      </c>
      <c r="H3194" s="18">
        <v>72.180000000000007</v>
      </c>
      <c r="I3194" s="18">
        <v>0.24551020400000001</v>
      </c>
      <c r="J3194" s="18">
        <v>0.25</v>
      </c>
      <c r="K3194" s="18">
        <v>0.24</v>
      </c>
      <c r="L3194" s="22">
        <v>13</v>
      </c>
    </row>
    <row r="3195" spans="1:12">
      <c r="A3195">
        <v>4</v>
      </c>
      <c r="B3195" s="16" t="s">
        <v>59</v>
      </c>
      <c r="C3195" s="9">
        <v>46143</v>
      </c>
      <c r="D3195">
        <v>15</v>
      </c>
      <c r="E3195" s="16" t="s">
        <v>100</v>
      </c>
      <c r="F3195" s="16" t="s">
        <v>92</v>
      </c>
      <c r="G3195" s="22">
        <v>390</v>
      </c>
      <c r="H3195" s="18">
        <v>91.23</v>
      </c>
      <c r="I3195" s="18">
        <v>0.23392307700000001</v>
      </c>
      <c r="J3195" s="18">
        <v>0.24</v>
      </c>
      <c r="K3195" s="18">
        <v>0.23</v>
      </c>
      <c r="L3195" s="22">
        <v>13</v>
      </c>
    </row>
    <row r="3196" spans="1:12">
      <c r="A3196">
        <v>4</v>
      </c>
      <c r="B3196" s="16" t="s">
        <v>59</v>
      </c>
      <c r="C3196" s="9">
        <v>46174</v>
      </c>
      <c r="D3196">
        <v>15</v>
      </c>
      <c r="E3196" s="16" t="s">
        <v>100</v>
      </c>
      <c r="F3196" s="16" t="s">
        <v>92</v>
      </c>
      <c r="G3196" s="22">
        <v>366</v>
      </c>
      <c r="H3196" s="18">
        <v>84.18</v>
      </c>
      <c r="I3196" s="18">
        <v>0.23</v>
      </c>
      <c r="J3196" s="18">
        <v>0.23</v>
      </c>
      <c r="K3196" s="18">
        <v>0.23</v>
      </c>
      <c r="L3196" s="22">
        <v>13</v>
      </c>
    </row>
    <row r="3197" spans="1:12">
      <c r="A3197">
        <v>4</v>
      </c>
      <c r="B3197" s="16" t="s">
        <v>59</v>
      </c>
      <c r="C3197" s="9">
        <v>46204</v>
      </c>
      <c r="D3197">
        <v>15</v>
      </c>
      <c r="E3197" s="16" t="s">
        <v>100</v>
      </c>
      <c r="F3197" s="16" t="s">
        <v>92</v>
      </c>
      <c r="G3197" s="22">
        <v>411</v>
      </c>
      <c r="H3197" s="18">
        <v>92.58</v>
      </c>
      <c r="I3197" s="18">
        <v>0.22525547400000001</v>
      </c>
      <c r="J3197" s="18">
        <v>0.24</v>
      </c>
      <c r="K3197" s="18">
        <v>0.22</v>
      </c>
      <c r="L3197" s="22">
        <v>14</v>
      </c>
    </row>
    <row r="3198" spans="1:12">
      <c r="A3198">
        <v>4</v>
      </c>
      <c r="B3198" s="16" t="s">
        <v>59</v>
      </c>
      <c r="C3198" s="9">
        <v>46235</v>
      </c>
      <c r="D3198">
        <v>15</v>
      </c>
      <c r="E3198" s="16" t="s">
        <v>100</v>
      </c>
      <c r="F3198" s="16" t="s">
        <v>92</v>
      </c>
      <c r="G3198" s="22">
        <v>333</v>
      </c>
      <c r="H3198" s="18">
        <v>76.86</v>
      </c>
      <c r="I3198" s="18">
        <v>0.230810811</v>
      </c>
      <c r="J3198" s="18">
        <v>0.24</v>
      </c>
      <c r="K3198" s="18">
        <v>0.22</v>
      </c>
      <c r="L3198" s="22">
        <v>13</v>
      </c>
    </row>
    <row r="3199" spans="1:12">
      <c r="A3199">
        <v>4</v>
      </c>
      <c r="B3199" s="16" t="s">
        <v>59</v>
      </c>
      <c r="C3199" s="9">
        <v>46266</v>
      </c>
      <c r="D3199">
        <v>15</v>
      </c>
      <c r="E3199" s="16" t="s">
        <v>100</v>
      </c>
      <c r="F3199" s="16" t="s">
        <v>92</v>
      </c>
      <c r="G3199" s="22">
        <v>336</v>
      </c>
      <c r="H3199" s="18">
        <v>79.77</v>
      </c>
      <c r="I3199" s="18">
        <v>0.23741071399999999</v>
      </c>
      <c r="J3199" s="18">
        <v>0.24</v>
      </c>
      <c r="K3199" s="18">
        <v>0.23</v>
      </c>
      <c r="L3199" s="22">
        <v>13</v>
      </c>
    </row>
    <row r="3200" spans="1:12">
      <c r="A3200">
        <v>4</v>
      </c>
      <c r="B3200" s="16" t="s">
        <v>59</v>
      </c>
      <c r="C3200" s="9">
        <v>45689</v>
      </c>
      <c r="D3200">
        <v>16</v>
      </c>
      <c r="E3200" s="16" t="s">
        <v>101</v>
      </c>
      <c r="F3200" s="16" t="s">
        <v>92</v>
      </c>
      <c r="G3200" s="22">
        <v>37.5</v>
      </c>
      <c r="H3200" s="18">
        <v>23.61</v>
      </c>
      <c r="I3200" s="18">
        <v>0.62960000000000005</v>
      </c>
      <c r="J3200" s="18">
        <v>0.64</v>
      </c>
      <c r="K3200" s="18">
        <v>0.62</v>
      </c>
      <c r="L3200" s="22">
        <v>12</v>
      </c>
    </row>
    <row r="3201" spans="1:12">
      <c r="A3201">
        <v>4</v>
      </c>
      <c r="B3201" s="16" t="s">
        <v>59</v>
      </c>
      <c r="C3201" s="9">
        <v>45717</v>
      </c>
      <c r="D3201">
        <v>16</v>
      </c>
      <c r="E3201" s="16" t="s">
        <v>101</v>
      </c>
      <c r="F3201" s="16" t="s">
        <v>92</v>
      </c>
      <c r="G3201" s="22">
        <v>33</v>
      </c>
      <c r="H3201" s="18">
        <v>20.295000000000002</v>
      </c>
      <c r="I3201" s="18">
        <v>0.61499999999999999</v>
      </c>
      <c r="J3201" s="18">
        <v>0.63</v>
      </c>
      <c r="K3201" s="18">
        <v>0.61</v>
      </c>
      <c r="L3201" s="22">
        <v>11</v>
      </c>
    </row>
    <row r="3202" spans="1:12">
      <c r="A3202">
        <v>4</v>
      </c>
      <c r="B3202" s="16" t="s">
        <v>59</v>
      </c>
      <c r="C3202" s="9">
        <v>45748</v>
      </c>
      <c r="D3202">
        <v>16</v>
      </c>
      <c r="E3202" s="16" t="s">
        <v>101</v>
      </c>
      <c r="F3202" s="16" t="s">
        <v>92</v>
      </c>
      <c r="G3202" s="22">
        <v>42</v>
      </c>
      <c r="H3202" s="18">
        <v>25.38</v>
      </c>
      <c r="I3202" s="18">
        <v>0.60428571399999997</v>
      </c>
      <c r="J3202" s="18">
        <v>0.63</v>
      </c>
      <c r="K3202" s="18">
        <v>0.59</v>
      </c>
      <c r="L3202" s="22">
        <v>13</v>
      </c>
    </row>
    <row r="3203" spans="1:12">
      <c r="A3203">
        <v>4</v>
      </c>
      <c r="B3203" s="16" t="s">
        <v>59</v>
      </c>
      <c r="C3203" s="9">
        <v>45778</v>
      </c>
      <c r="D3203">
        <v>16</v>
      </c>
      <c r="E3203" s="16" t="s">
        <v>101</v>
      </c>
      <c r="F3203" s="16" t="s">
        <v>92</v>
      </c>
      <c r="G3203" s="22">
        <v>46.5</v>
      </c>
      <c r="H3203" s="18">
        <v>27.074999999999999</v>
      </c>
      <c r="I3203" s="18">
        <v>0.58225806499999999</v>
      </c>
      <c r="J3203" s="18">
        <v>0.59</v>
      </c>
      <c r="K3203" s="18">
        <v>0.57999999999999996</v>
      </c>
      <c r="L3203" s="22">
        <v>13</v>
      </c>
    </row>
    <row r="3204" spans="1:12">
      <c r="A3204">
        <v>4</v>
      </c>
      <c r="B3204" s="16" t="s">
        <v>59</v>
      </c>
      <c r="C3204" s="9">
        <v>45809</v>
      </c>
      <c r="D3204">
        <v>16</v>
      </c>
      <c r="E3204" s="16" t="s">
        <v>101</v>
      </c>
      <c r="F3204" s="16" t="s">
        <v>92</v>
      </c>
      <c r="G3204" s="22">
        <v>37.5</v>
      </c>
      <c r="H3204" s="18">
        <v>21.45</v>
      </c>
      <c r="I3204" s="18">
        <v>0.57199999999999995</v>
      </c>
      <c r="J3204" s="18">
        <v>0.59</v>
      </c>
      <c r="K3204" s="18">
        <v>0.56000000000000005</v>
      </c>
      <c r="L3204" s="22">
        <v>13</v>
      </c>
    </row>
    <row r="3205" spans="1:12">
      <c r="A3205">
        <v>4</v>
      </c>
      <c r="B3205" s="16" t="s">
        <v>59</v>
      </c>
      <c r="C3205" s="9">
        <v>45839</v>
      </c>
      <c r="D3205">
        <v>16</v>
      </c>
      <c r="E3205" s="16" t="s">
        <v>101</v>
      </c>
      <c r="F3205" s="16" t="s">
        <v>92</v>
      </c>
      <c r="G3205" s="22">
        <v>36</v>
      </c>
      <c r="H3205" s="18">
        <v>20.445</v>
      </c>
      <c r="I3205" s="18">
        <v>0.56791666699999999</v>
      </c>
      <c r="J3205" s="18">
        <v>0.57999999999999996</v>
      </c>
      <c r="K3205" s="18">
        <v>0.55000000000000004</v>
      </c>
      <c r="L3205" s="22">
        <v>12</v>
      </c>
    </row>
    <row r="3206" spans="1:12">
      <c r="A3206">
        <v>4</v>
      </c>
      <c r="B3206" s="16" t="s">
        <v>59</v>
      </c>
      <c r="C3206" s="9">
        <v>45870</v>
      </c>
      <c r="D3206">
        <v>16</v>
      </c>
      <c r="E3206" s="16" t="s">
        <v>101</v>
      </c>
      <c r="F3206" s="16" t="s">
        <v>92</v>
      </c>
      <c r="G3206" s="22">
        <v>39</v>
      </c>
      <c r="H3206" s="18">
        <v>22.29</v>
      </c>
      <c r="I3206" s="18">
        <v>0.57153846200000002</v>
      </c>
      <c r="J3206" s="18">
        <v>0.57999999999999996</v>
      </c>
      <c r="K3206" s="18">
        <v>0.56000000000000005</v>
      </c>
      <c r="L3206" s="22">
        <v>13</v>
      </c>
    </row>
    <row r="3207" spans="1:12">
      <c r="A3207">
        <v>4</v>
      </c>
      <c r="B3207" s="16" t="s">
        <v>59</v>
      </c>
      <c r="C3207" s="9">
        <v>45901</v>
      </c>
      <c r="D3207">
        <v>16</v>
      </c>
      <c r="E3207" s="16" t="s">
        <v>101</v>
      </c>
      <c r="F3207" s="16" t="s">
        <v>92</v>
      </c>
      <c r="G3207" s="22">
        <v>43.5</v>
      </c>
      <c r="H3207" s="18">
        <v>25.635000000000002</v>
      </c>
      <c r="I3207" s="18">
        <v>0.58931034500000001</v>
      </c>
      <c r="J3207" s="18">
        <v>0.6</v>
      </c>
      <c r="K3207" s="18">
        <v>0.56999999999999995</v>
      </c>
      <c r="L3207" s="22">
        <v>13</v>
      </c>
    </row>
    <row r="3208" spans="1:12">
      <c r="A3208">
        <v>4</v>
      </c>
      <c r="B3208" s="16" t="s">
        <v>59</v>
      </c>
      <c r="C3208" s="9">
        <v>45931</v>
      </c>
      <c r="D3208">
        <v>16</v>
      </c>
      <c r="E3208" s="16" t="s">
        <v>101</v>
      </c>
      <c r="F3208" s="16" t="s">
        <v>92</v>
      </c>
      <c r="G3208" s="22">
        <v>45</v>
      </c>
      <c r="H3208" s="18">
        <v>27.555</v>
      </c>
      <c r="I3208" s="18">
        <v>0.61233333300000004</v>
      </c>
      <c r="J3208" s="18">
        <v>0.62</v>
      </c>
      <c r="K3208" s="18">
        <v>0.6</v>
      </c>
      <c r="L3208" s="22">
        <v>14</v>
      </c>
    </row>
    <row r="3209" spans="1:12">
      <c r="A3209">
        <v>4</v>
      </c>
      <c r="B3209" s="16" t="s">
        <v>59</v>
      </c>
      <c r="C3209" s="9">
        <v>45962</v>
      </c>
      <c r="D3209">
        <v>16</v>
      </c>
      <c r="E3209" s="16" t="s">
        <v>101</v>
      </c>
      <c r="F3209" s="16" t="s">
        <v>92</v>
      </c>
      <c r="G3209" s="22">
        <v>33</v>
      </c>
      <c r="H3209" s="18">
        <v>21.074999999999999</v>
      </c>
      <c r="I3209" s="18">
        <v>0.63863636400000001</v>
      </c>
      <c r="J3209" s="18">
        <v>0.66</v>
      </c>
      <c r="K3209" s="18">
        <v>0.62</v>
      </c>
      <c r="L3209" s="22">
        <v>12</v>
      </c>
    </row>
    <row r="3210" spans="1:12">
      <c r="A3210">
        <v>4</v>
      </c>
      <c r="B3210" s="16" t="s">
        <v>59</v>
      </c>
      <c r="C3210" s="9">
        <v>45992</v>
      </c>
      <c r="D3210">
        <v>16</v>
      </c>
      <c r="E3210" s="16" t="s">
        <v>101</v>
      </c>
      <c r="F3210" s="16" t="s">
        <v>92</v>
      </c>
      <c r="G3210" s="22">
        <v>51</v>
      </c>
      <c r="H3210" s="18">
        <v>33.630000000000003</v>
      </c>
      <c r="I3210" s="18">
        <v>0.65941176499999998</v>
      </c>
      <c r="J3210" s="18">
        <v>0.67</v>
      </c>
      <c r="K3210" s="18">
        <v>0.65</v>
      </c>
      <c r="L3210" s="22">
        <v>14</v>
      </c>
    </row>
    <row r="3211" spans="1:12">
      <c r="A3211">
        <v>4</v>
      </c>
      <c r="B3211" s="16" t="s">
        <v>59</v>
      </c>
      <c r="C3211" s="9">
        <v>46023</v>
      </c>
      <c r="D3211">
        <v>16</v>
      </c>
      <c r="E3211" s="16" t="s">
        <v>101</v>
      </c>
      <c r="F3211" s="16" t="s">
        <v>92</v>
      </c>
      <c r="G3211" s="22">
        <v>37.5</v>
      </c>
      <c r="H3211" s="18">
        <v>25.05</v>
      </c>
      <c r="I3211" s="18">
        <v>0.66800000000000004</v>
      </c>
      <c r="J3211" s="18">
        <v>0.68</v>
      </c>
      <c r="K3211" s="18">
        <v>0.66</v>
      </c>
      <c r="L3211" s="22">
        <v>11</v>
      </c>
    </row>
    <row r="3212" spans="1:12">
      <c r="A3212">
        <v>4</v>
      </c>
      <c r="B3212" s="16" t="s">
        <v>59</v>
      </c>
      <c r="C3212" s="9">
        <v>46054</v>
      </c>
      <c r="D3212">
        <v>16</v>
      </c>
      <c r="E3212" s="16" t="s">
        <v>101</v>
      </c>
      <c r="F3212" s="16" t="s">
        <v>92</v>
      </c>
      <c r="G3212" s="22">
        <v>34.5</v>
      </c>
      <c r="H3212" s="18">
        <v>23.085000000000001</v>
      </c>
      <c r="I3212" s="18">
        <v>0.66913043500000002</v>
      </c>
      <c r="J3212" s="18">
        <v>0.68</v>
      </c>
      <c r="K3212" s="18">
        <v>0.65</v>
      </c>
      <c r="L3212" s="22">
        <v>12</v>
      </c>
    </row>
    <row r="3213" spans="1:12">
      <c r="A3213">
        <v>4</v>
      </c>
      <c r="B3213" s="16" t="s">
        <v>59</v>
      </c>
      <c r="C3213" s="9">
        <v>46082</v>
      </c>
      <c r="D3213">
        <v>16</v>
      </c>
      <c r="E3213" s="16" t="s">
        <v>101</v>
      </c>
      <c r="F3213" s="16" t="s">
        <v>92</v>
      </c>
      <c r="G3213" s="22">
        <v>37.5</v>
      </c>
      <c r="H3213" s="18">
        <v>24.524999999999999</v>
      </c>
      <c r="I3213" s="18">
        <v>0.65400000000000003</v>
      </c>
      <c r="J3213" s="18">
        <v>0.67</v>
      </c>
      <c r="K3213" s="18">
        <v>0.64</v>
      </c>
      <c r="L3213" s="22">
        <v>13</v>
      </c>
    </row>
    <row r="3214" spans="1:12">
      <c r="A3214">
        <v>4</v>
      </c>
      <c r="B3214" s="16" t="s">
        <v>59</v>
      </c>
      <c r="C3214" s="9">
        <v>46113</v>
      </c>
      <c r="D3214">
        <v>16</v>
      </c>
      <c r="E3214" s="16" t="s">
        <v>101</v>
      </c>
      <c r="F3214" s="16" t="s">
        <v>92</v>
      </c>
      <c r="G3214" s="22">
        <v>37.5</v>
      </c>
      <c r="H3214" s="18">
        <v>23.31</v>
      </c>
      <c r="I3214" s="18">
        <v>0.62160000000000004</v>
      </c>
      <c r="J3214" s="18">
        <v>0.64</v>
      </c>
      <c r="K3214" s="18">
        <v>0.61</v>
      </c>
      <c r="L3214" s="22">
        <v>13</v>
      </c>
    </row>
    <row r="3215" spans="1:12">
      <c r="A3215">
        <v>4</v>
      </c>
      <c r="B3215" s="16" t="s">
        <v>59</v>
      </c>
      <c r="C3215" s="9">
        <v>46143</v>
      </c>
      <c r="D3215">
        <v>16</v>
      </c>
      <c r="E3215" s="16" t="s">
        <v>101</v>
      </c>
      <c r="F3215" s="16" t="s">
        <v>92</v>
      </c>
      <c r="G3215" s="22">
        <v>45</v>
      </c>
      <c r="H3215" s="18">
        <v>27.27</v>
      </c>
      <c r="I3215" s="18">
        <v>0.60599999999999998</v>
      </c>
      <c r="J3215" s="18">
        <v>0.61</v>
      </c>
      <c r="K3215" s="18">
        <v>0.6</v>
      </c>
      <c r="L3215" s="22">
        <v>13</v>
      </c>
    </row>
    <row r="3216" spans="1:12">
      <c r="A3216">
        <v>4</v>
      </c>
      <c r="B3216" s="16" t="s">
        <v>59</v>
      </c>
      <c r="C3216" s="9">
        <v>46174</v>
      </c>
      <c r="D3216">
        <v>16</v>
      </c>
      <c r="E3216" s="16" t="s">
        <v>101</v>
      </c>
      <c r="F3216" s="16" t="s">
        <v>92</v>
      </c>
      <c r="G3216" s="22">
        <v>40.5</v>
      </c>
      <c r="H3216" s="18">
        <v>23.58</v>
      </c>
      <c r="I3216" s="18">
        <v>0.58222222199999996</v>
      </c>
      <c r="J3216" s="18">
        <v>0.6</v>
      </c>
      <c r="K3216" s="18">
        <v>0.56999999999999995</v>
      </c>
      <c r="L3216" s="22">
        <v>13</v>
      </c>
    </row>
    <row r="3217" spans="1:12">
      <c r="A3217">
        <v>4</v>
      </c>
      <c r="B3217" s="16" t="s">
        <v>59</v>
      </c>
      <c r="C3217" s="9">
        <v>46204</v>
      </c>
      <c r="D3217">
        <v>16</v>
      </c>
      <c r="E3217" s="16" t="s">
        <v>101</v>
      </c>
      <c r="F3217" s="16" t="s">
        <v>92</v>
      </c>
      <c r="G3217" s="22">
        <v>45</v>
      </c>
      <c r="H3217" s="18">
        <v>26.37</v>
      </c>
      <c r="I3217" s="18">
        <v>0.58599999999999997</v>
      </c>
      <c r="J3217" s="18">
        <v>0.61</v>
      </c>
      <c r="K3217" s="18">
        <v>0.56999999999999995</v>
      </c>
      <c r="L3217" s="22">
        <v>14</v>
      </c>
    </row>
    <row r="3218" spans="1:12">
      <c r="A3218">
        <v>4</v>
      </c>
      <c r="B3218" s="16" t="s">
        <v>59</v>
      </c>
      <c r="C3218" s="9">
        <v>46235</v>
      </c>
      <c r="D3218">
        <v>16</v>
      </c>
      <c r="E3218" s="16" t="s">
        <v>101</v>
      </c>
      <c r="F3218" s="16" t="s">
        <v>92</v>
      </c>
      <c r="G3218" s="22">
        <v>33</v>
      </c>
      <c r="H3218" s="18">
        <v>19.364999999999998</v>
      </c>
      <c r="I3218" s="18">
        <v>0.58681818200000002</v>
      </c>
      <c r="J3218" s="18">
        <v>0.6</v>
      </c>
      <c r="K3218" s="18">
        <v>0.56999999999999995</v>
      </c>
      <c r="L3218" s="22">
        <v>11</v>
      </c>
    </row>
    <row r="3219" spans="1:12">
      <c r="A3219">
        <v>4</v>
      </c>
      <c r="B3219" s="16" t="s">
        <v>59</v>
      </c>
      <c r="C3219" s="9">
        <v>46266</v>
      </c>
      <c r="D3219">
        <v>16</v>
      </c>
      <c r="E3219" s="16" t="s">
        <v>101</v>
      </c>
      <c r="F3219" s="16" t="s">
        <v>92</v>
      </c>
      <c r="G3219" s="22">
        <v>36</v>
      </c>
      <c r="H3219" s="18">
        <v>21.66</v>
      </c>
      <c r="I3219" s="18">
        <v>0.60166666700000004</v>
      </c>
      <c r="J3219" s="18">
        <v>0.61</v>
      </c>
      <c r="K3219" s="18">
        <v>0.59</v>
      </c>
      <c r="L3219" s="22">
        <v>11</v>
      </c>
    </row>
    <row r="3220" spans="1:12">
      <c r="A3220">
        <v>4</v>
      </c>
      <c r="B3220" s="16" t="s">
        <v>59</v>
      </c>
      <c r="C3220" s="9">
        <v>45689</v>
      </c>
      <c r="D3220">
        <v>17</v>
      </c>
      <c r="E3220" s="16" t="s">
        <v>102</v>
      </c>
      <c r="F3220" s="16" t="s">
        <v>103</v>
      </c>
      <c r="G3220" s="22">
        <v>4.5</v>
      </c>
      <c r="H3220" s="18">
        <v>45.765000000000001</v>
      </c>
      <c r="I3220" s="18">
        <v>10.17</v>
      </c>
      <c r="J3220" s="18">
        <v>10.25</v>
      </c>
      <c r="K3220" s="18">
        <v>10.09</v>
      </c>
      <c r="L3220" s="22">
        <v>2</v>
      </c>
    </row>
    <row r="3221" spans="1:12">
      <c r="A3221">
        <v>4</v>
      </c>
      <c r="B3221" s="16" t="s">
        <v>59</v>
      </c>
      <c r="C3221" s="9">
        <v>45717</v>
      </c>
      <c r="D3221">
        <v>17</v>
      </c>
      <c r="E3221" s="16" t="s">
        <v>102</v>
      </c>
      <c r="F3221" s="16" t="s">
        <v>103</v>
      </c>
      <c r="G3221" s="22">
        <v>2.25</v>
      </c>
      <c r="H3221" s="18">
        <v>22.747499999999999</v>
      </c>
      <c r="I3221" s="18">
        <v>10.11</v>
      </c>
      <c r="J3221" s="18">
        <v>10.11</v>
      </c>
      <c r="K3221" s="18">
        <v>10.11</v>
      </c>
      <c r="L3221" s="22">
        <v>1</v>
      </c>
    </row>
    <row r="3222" spans="1:12">
      <c r="A3222">
        <v>4</v>
      </c>
      <c r="B3222" s="16" t="s">
        <v>59</v>
      </c>
      <c r="C3222" s="9">
        <v>45748</v>
      </c>
      <c r="D3222">
        <v>17</v>
      </c>
      <c r="E3222" s="16" t="s">
        <v>102</v>
      </c>
      <c r="F3222" s="16" t="s">
        <v>103</v>
      </c>
      <c r="G3222" s="22">
        <v>4.5</v>
      </c>
      <c r="H3222" s="18">
        <v>44.325000000000003</v>
      </c>
      <c r="I3222" s="18">
        <v>9.85</v>
      </c>
      <c r="J3222" s="18">
        <v>9.94</v>
      </c>
      <c r="K3222" s="18">
        <v>9.76</v>
      </c>
      <c r="L3222" s="22">
        <v>2</v>
      </c>
    </row>
    <row r="3223" spans="1:12">
      <c r="A3223">
        <v>4</v>
      </c>
      <c r="B3223" s="16" t="s">
        <v>59</v>
      </c>
      <c r="C3223" s="9">
        <v>45778</v>
      </c>
      <c r="D3223">
        <v>17</v>
      </c>
      <c r="E3223" s="16" t="s">
        <v>102</v>
      </c>
      <c r="F3223" s="16" t="s">
        <v>103</v>
      </c>
      <c r="G3223" s="22">
        <v>2.25</v>
      </c>
      <c r="H3223" s="18">
        <v>22.454999999999998</v>
      </c>
      <c r="I3223" s="18">
        <v>9.98</v>
      </c>
      <c r="J3223" s="18">
        <v>9.98</v>
      </c>
      <c r="K3223" s="18">
        <v>9.98</v>
      </c>
      <c r="L3223" s="22">
        <v>1</v>
      </c>
    </row>
    <row r="3224" spans="1:12">
      <c r="A3224">
        <v>4</v>
      </c>
      <c r="B3224" s="16" t="s">
        <v>59</v>
      </c>
      <c r="C3224" s="9">
        <v>45809</v>
      </c>
      <c r="D3224">
        <v>17</v>
      </c>
      <c r="E3224" s="16" t="s">
        <v>102</v>
      </c>
      <c r="F3224" s="16" t="s">
        <v>103</v>
      </c>
      <c r="G3224" s="22">
        <v>4.5</v>
      </c>
      <c r="H3224" s="18">
        <v>44.977499999999999</v>
      </c>
      <c r="I3224" s="18">
        <v>9.9949999999999992</v>
      </c>
      <c r="J3224" s="18">
        <v>10.1</v>
      </c>
      <c r="K3224" s="18">
        <v>9.89</v>
      </c>
      <c r="L3224" s="22">
        <v>2</v>
      </c>
    </row>
    <row r="3225" spans="1:12">
      <c r="A3225">
        <v>4</v>
      </c>
      <c r="B3225" s="16" t="s">
        <v>59</v>
      </c>
      <c r="C3225" s="9">
        <v>45839</v>
      </c>
      <c r="D3225">
        <v>17</v>
      </c>
      <c r="E3225" s="16" t="s">
        <v>102</v>
      </c>
      <c r="F3225" s="16" t="s">
        <v>103</v>
      </c>
      <c r="G3225" s="22">
        <v>2.25</v>
      </c>
      <c r="H3225" s="18">
        <v>22.274999999999999</v>
      </c>
      <c r="I3225" s="18">
        <v>9.9</v>
      </c>
      <c r="J3225" s="18">
        <v>9.9</v>
      </c>
      <c r="K3225" s="18">
        <v>9.9</v>
      </c>
      <c r="L3225" s="22">
        <v>1</v>
      </c>
    </row>
    <row r="3226" spans="1:12">
      <c r="A3226">
        <v>4</v>
      </c>
      <c r="B3226" s="16" t="s">
        <v>59</v>
      </c>
      <c r="C3226" s="9">
        <v>45870</v>
      </c>
      <c r="D3226">
        <v>17</v>
      </c>
      <c r="E3226" s="16" t="s">
        <v>102</v>
      </c>
      <c r="F3226" s="16" t="s">
        <v>103</v>
      </c>
      <c r="G3226" s="22">
        <v>4.5</v>
      </c>
      <c r="H3226" s="18">
        <v>45.112499999999997</v>
      </c>
      <c r="I3226" s="18">
        <v>10.025</v>
      </c>
      <c r="J3226" s="18">
        <v>10.08</v>
      </c>
      <c r="K3226" s="18">
        <v>9.9700000000000006</v>
      </c>
      <c r="L3226" s="22">
        <v>2</v>
      </c>
    </row>
    <row r="3227" spans="1:12">
      <c r="A3227">
        <v>4</v>
      </c>
      <c r="B3227" s="16" t="s">
        <v>59</v>
      </c>
      <c r="C3227" s="9">
        <v>45901</v>
      </c>
      <c r="D3227">
        <v>17</v>
      </c>
      <c r="E3227" s="16" t="s">
        <v>102</v>
      </c>
      <c r="F3227" s="16" t="s">
        <v>103</v>
      </c>
      <c r="G3227" s="22">
        <v>2.25</v>
      </c>
      <c r="H3227" s="18">
        <v>22.23</v>
      </c>
      <c r="I3227" s="18">
        <v>9.8800000000000008</v>
      </c>
      <c r="J3227" s="18">
        <v>9.8800000000000008</v>
      </c>
      <c r="K3227" s="18">
        <v>9.8800000000000008</v>
      </c>
      <c r="L3227" s="22">
        <v>1</v>
      </c>
    </row>
    <row r="3228" spans="1:12">
      <c r="A3228">
        <v>4</v>
      </c>
      <c r="B3228" s="16" t="s">
        <v>59</v>
      </c>
      <c r="C3228" s="9">
        <v>45931</v>
      </c>
      <c r="D3228">
        <v>17</v>
      </c>
      <c r="E3228" s="16" t="s">
        <v>102</v>
      </c>
      <c r="F3228" s="16" t="s">
        <v>103</v>
      </c>
      <c r="G3228" s="22">
        <v>4.5</v>
      </c>
      <c r="H3228" s="18">
        <v>45.585000000000001</v>
      </c>
      <c r="I3228" s="18">
        <v>10.130000000000001</v>
      </c>
      <c r="J3228" s="18">
        <v>10.32</v>
      </c>
      <c r="K3228" s="18">
        <v>9.94</v>
      </c>
      <c r="L3228" s="22">
        <v>2</v>
      </c>
    </row>
    <row r="3229" spans="1:12">
      <c r="A3229">
        <v>4</v>
      </c>
      <c r="B3229" s="16" t="s">
        <v>59</v>
      </c>
      <c r="C3229" s="9">
        <v>45962</v>
      </c>
      <c r="D3229">
        <v>17</v>
      </c>
      <c r="E3229" s="16" t="s">
        <v>102</v>
      </c>
      <c r="F3229" s="16" t="s">
        <v>103</v>
      </c>
      <c r="G3229" s="22">
        <v>2.25</v>
      </c>
      <c r="H3229" s="18">
        <v>22.454999999999998</v>
      </c>
      <c r="I3229" s="18">
        <v>9.98</v>
      </c>
      <c r="J3229" s="18">
        <v>9.98</v>
      </c>
      <c r="K3229" s="18">
        <v>9.98</v>
      </c>
      <c r="L3229" s="22">
        <v>1</v>
      </c>
    </row>
    <row r="3230" spans="1:12">
      <c r="A3230">
        <v>4</v>
      </c>
      <c r="B3230" s="16" t="s">
        <v>59</v>
      </c>
      <c r="C3230" s="9">
        <v>45992</v>
      </c>
      <c r="D3230">
        <v>17</v>
      </c>
      <c r="E3230" s="16" t="s">
        <v>102</v>
      </c>
      <c r="F3230" s="16" t="s">
        <v>103</v>
      </c>
      <c r="G3230" s="22">
        <v>6.75</v>
      </c>
      <c r="H3230" s="18">
        <v>69.592500000000001</v>
      </c>
      <c r="I3230" s="18">
        <v>10.31</v>
      </c>
      <c r="J3230" s="18">
        <v>10.35</v>
      </c>
      <c r="K3230" s="18">
        <v>10.24</v>
      </c>
      <c r="L3230" s="22">
        <v>3</v>
      </c>
    </row>
    <row r="3231" spans="1:12">
      <c r="A3231">
        <v>4</v>
      </c>
      <c r="B3231" s="16" t="s">
        <v>59</v>
      </c>
      <c r="C3231" s="9">
        <v>46023</v>
      </c>
      <c r="D3231">
        <v>17</v>
      </c>
      <c r="E3231" s="16" t="s">
        <v>102</v>
      </c>
      <c r="F3231" s="16" t="s">
        <v>103</v>
      </c>
      <c r="G3231" s="22">
        <v>2.25</v>
      </c>
      <c r="H3231" s="18">
        <v>24.84</v>
      </c>
      <c r="I3231" s="18">
        <v>11.04</v>
      </c>
      <c r="J3231" s="18">
        <v>11.04</v>
      </c>
      <c r="K3231" s="18">
        <v>11.04</v>
      </c>
      <c r="L3231" s="22">
        <v>1</v>
      </c>
    </row>
    <row r="3232" spans="1:12">
      <c r="A3232">
        <v>4</v>
      </c>
      <c r="B3232" s="16" t="s">
        <v>59</v>
      </c>
      <c r="C3232" s="9">
        <v>46054</v>
      </c>
      <c r="D3232">
        <v>17</v>
      </c>
      <c r="E3232" s="16" t="s">
        <v>102</v>
      </c>
      <c r="F3232" s="16" t="s">
        <v>103</v>
      </c>
      <c r="G3232" s="22">
        <v>4.5</v>
      </c>
      <c r="H3232" s="18">
        <v>45.314999999999998</v>
      </c>
      <c r="I3232" s="18">
        <v>10.07</v>
      </c>
      <c r="J3232" s="18">
        <v>10.119999999999999</v>
      </c>
      <c r="K3232" s="18">
        <v>10.02</v>
      </c>
      <c r="L3232" s="22">
        <v>2</v>
      </c>
    </row>
    <row r="3233" spans="1:12">
      <c r="A3233">
        <v>4</v>
      </c>
      <c r="B3233" s="16" t="s">
        <v>59</v>
      </c>
      <c r="C3233" s="9">
        <v>46082</v>
      </c>
      <c r="D3233">
        <v>17</v>
      </c>
      <c r="E3233" s="16" t="s">
        <v>102</v>
      </c>
      <c r="F3233" s="16" t="s">
        <v>103</v>
      </c>
      <c r="G3233" s="22">
        <v>2.25</v>
      </c>
      <c r="H3233" s="18">
        <v>23.355</v>
      </c>
      <c r="I3233" s="18">
        <v>10.38</v>
      </c>
      <c r="J3233" s="18">
        <v>10.38</v>
      </c>
      <c r="K3233" s="18">
        <v>10.38</v>
      </c>
      <c r="L3233" s="22">
        <v>1</v>
      </c>
    </row>
    <row r="3234" spans="1:12">
      <c r="A3234">
        <v>4</v>
      </c>
      <c r="B3234" s="16" t="s">
        <v>59</v>
      </c>
      <c r="C3234" s="9">
        <v>46113</v>
      </c>
      <c r="D3234">
        <v>17</v>
      </c>
      <c r="E3234" s="16" t="s">
        <v>102</v>
      </c>
      <c r="F3234" s="16" t="s">
        <v>103</v>
      </c>
      <c r="G3234" s="22">
        <v>2.25</v>
      </c>
      <c r="H3234" s="18">
        <v>23.22</v>
      </c>
      <c r="I3234" s="18">
        <v>10.32</v>
      </c>
      <c r="J3234" s="18">
        <v>10.32</v>
      </c>
      <c r="K3234" s="18">
        <v>10.32</v>
      </c>
      <c r="L3234" s="22">
        <v>1</v>
      </c>
    </row>
    <row r="3235" spans="1:12">
      <c r="A3235">
        <v>4</v>
      </c>
      <c r="B3235" s="16" t="s">
        <v>59</v>
      </c>
      <c r="C3235" s="9">
        <v>46143</v>
      </c>
      <c r="D3235">
        <v>17</v>
      </c>
      <c r="E3235" s="16" t="s">
        <v>102</v>
      </c>
      <c r="F3235" s="16" t="s">
        <v>103</v>
      </c>
      <c r="G3235" s="22">
        <v>4.5</v>
      </c>
      <c r="H3235" s="18">
        <v>46.552500000000002</v>
      </c>
      <c r="I3235" s="18">
        <v>10.345000000000001</v>
      </c>
      <c r="J3235" s="18">
        <v>10.43</v>
      </c>
      <c r="K3235" s="18">
        <v>10.26</v>
      </c>
      <c r="L3235" s="22">
        <v>2</v>
      </c>
    </row>
    <row r="3236" spans="1:12">
      <c r="A3236">
        <v>4</v>
      </c>
      <c r="B3236" s="16" t="s">
        <v>59</v>
      </c>
      <c r="C3236" s="9">
        <v>46174</v>
      </c>
      <c r="D3236">
        <v>17</v>
      </c>
      <c r="E3236" s="16" t="s">
        <v>102</v>
      </c>
      <c r="F3236" s="16" t="s">
        <v>103</v>
      </c>
      <c r="G3236" s="22">
        <v>4.5</v>
      </c>
      <c r="H3236" s="18">
        <v>46.89</v>
      </c>
      <c r="I3236" s="18">
        <v>10.42</v>
      </c>
      <c r="J3236" s="18">
        <v>10.58</v>
      </c>
      <c r="K3236" s="18">
        <v>10.26</v>
      </c>
      <c r="L3236" s="22">
        <v>2</v>
      </c>
    </row>
    <row r="3237" spans="1:12">
      <c r="A3237">
        <v>4</v>
      </c>
      <c r="B3237" s="16" t="s">
        <v>59</v>
      </c>
      <c r="C3237" s="9">
        <v>46204</v>
      </c>
      <c r="D3237">
        <v>17</v>
      </c>
      <c r="E3237" s="16" t="s">
        <v>102</v>
      </c>
      <c r="F3237" s="16" t="s">
        <v>103</v>
      </c>
      <c r="G3237" s="22">
        <v>2.25</v>
      </c>
      <c r="H3237" s="18">
        <v>23.13</v>
      </c>
      <c r="I3237" s="18">
        <v>10.28</v>
      </c>
      <c r="J3237" s="18">
        <v>10.28</v>
      </c>
      <c r="K3237" s="18">
        <v>10.28</v>
      </c>
      <c r="L3237" s="22">
        <v>1</v>
      </c>
    </row>
    <row r="3238" spans="1:12">
      <c r="A3238">
        <v>4</v>
      </c>
      <c r="B3238" s="16" t="s">
        <v>59</v>
      </c>
      <c r="C3238" s="9">
        <v>46235</v>
      </c>
      <c r="D3238">
        <v>17</v>
      </c>
      <c r="E3238" s="16" t="s">
        <v>102</v>
      </c>
      <c r="F3238" s="16" t="s">
        <v>103</v>
      </c>
      <c r="G3238" s="22">
        <v>2.25</v>
      </c>
      <c r="H3238" s="18">
        <v>22.004999999999999</v>
      </c>
      <c r="I3238" s="18">
        <v>9.7799999999999994</v>
      </c>
      <c r="J3238" s="18">
        <v>9.7799999999999994</v>
      </c>
      <c r="K3238" s="18">
        <v>9.7799999999999994</v>
      </c>
      <c r="L3238" s="22">
        <v>1</v>
      </c>
    </row>
    <row r="3239" spans="1:12">
      <c r="A3239">
        <v>4</v>
      </c>
      <c r="B3239" s="16" t="s">
        <v>59</v>
      </c>
      <c r="C3239" s="9">
        <v>46266</v>
      </c>
      <c r="D3239">
        <v>17</v>
      </c>
      <c r="E3239" s="16" t="s">
        <v>102</v>
      </c>
      <c r="F3239" s="16" t="s">
        <v>103</v>
      </c>
      <c r="G3239" s="22">
        <v>4.5</v>
      </c>
      <c r="H3239" s="18">
        <v>45.854999999999997</v>
      </c>
      <c r="I3239" s="18">
        <v>10.19</v>
      </c>
      <c r="J3239" s="18">
        <v>10.24</v>
      </c>
      <c r="K3239" s="18">
        <v>10.14</v>
      </c>
      <c r="L3239" s="22">
        <v>2</v>
      </c>
    </row>
    <row r="3240" spans="1:12">
      <c r="A3240">
        <v>4</v>
      </c>
      <c r="B3240" s="16" t="s">
        <v>59</v>
      </c>
      <c r="C3240" s="9">
        <v>45689</v>
      </c>
      <c r="D3240">
        <v>19</v>
      </c>
      <c r="E3240" s="16" t="s">
        <v>105</v>
      </c>
      <c r="F3240" s="16" t="s">
        <v>106</v>
      </c>
      <c r="G3240" s="22">
        <v>48</v>
      </c>
      <c r="H3240" s="18">
        <v>37.28</v>
      </c>
      <c r="I3240" s="18">
        <v>0.77666666699999998</v>
      </c>
      <c r="J3240" s="18">
        <v>0.79</v>
      </c>
      <c r="K3240" s="18">
        <v>0.77</v>
      </c>
      <c r="L3240" s="22">
        <v>2</v>
      </c>
    </row>
    <row r="3241" spans="1:12">
      <c r="A3241">
        <v>4</v>
      </c>
      <c r="B3241" s="16" t="s">
        <v>59</v>
      </c>
      <c r="C3241" s="9">
        <v>45717</v>
      </c>
      <c r="D3241">
        <v>19</v>
      </c>
      <c r="E3241" s="16" t="s">
        <v>105</v>
      </c>
      <c r="F3241" s="16" t="s">
        <v>106</v>
      </c>
      <c r="G3241" s="22">
        <v>32</v>
      </c>
      <c r="H3241" s="18">
        <v>25.28</v>
      </c>
      <c r="I3241" s="18">
        <v>0.79</v>
      </c>
      <c r="J3241" s="18">
        <v>0.8</v>
      </c>
      <c r="K3241" s="18">
        <v>0.78</v>
      </c>
      <c r="L3241" s="22">
        <v>2</v>
      </c>
    </row>
    <row r="3242" spans="1:12">
      <c r="A3242">
        <v>4</v>
      </c>
      <c r="B3242" s="16" t="s">
        <v>59</v>
      </c>
      <c r="C3242" s="9">
        <v>45748</v>
      </c>
      <c r="D3242">
        <v>19</v>
      </c>
      <c r="E3242" s="16" t="s">
        <v>105</v>
      </c>
      <c r="F3242" s="16" t="s">
        <v>106</v>
      </c>
      <c r="G3242" s="22">
        <v>64</v>
      </c>
      <c r="H3242" s="18">
        <v>51.04</v>
      </c>
      <c r="I3242" s="18">
        <v>0.79749999999999999</v>
      </c>
      <c r="J3242" s="18">
        <v>0.81</v>
      </c>
      <c r="K3242" s="18">
        <v>0.77</v>
      </c>
      <c r="L3242" s="22">
        <v>3</v>
      </c>
    </row>
    <row r="3243" spans="1:12">
      <c r="A3243">
        <v>4</v>
      </c>
      <c r="B3243" s="16" t="s">
        <v>59</v>
      </c>
      <c r="C3243" s="9">
        <v>45778</v>
      </c>
      <c r="D3243">
        <v>19</v>
      </c>
      <c r="E3243" s="16" t="s">
        <v>105</v>
      </c>
      <c r="F3243" s="16" t="s">
        <v>106</v>
      </c>
      <c r="G3243" s="22">
        <v>48</v>
      </c>
      <c r="H3243" s="18">
        <v>38.24</v>
      </c>
      <c r="I3243" s="18">
        <v>0.796666667</v>
      </c>
      <c r="J3243" s="18">
        <v>0.81</v>
      </c>
      <c r="K3243" s="18">
        <v>0.79</v>
      </c>
      <c r="L3243" s="22">
        <v>2</v>
      </c>
    </row>
    <row r="3244" spans="1:12">
      <c r="A3244">
        <v>4</v>
      </c>
      <c r="B3244" s="16" t="s">
        <v>59</v>
      </c>
      <c r="C3244" s="9">
        <v>45809</v>
      </c>
      <c r="D3244">
        <v>19</v>
      </c>
      <c r="E3244" s="16" t="s">
        <v>105</v>
      </c>
      <c r="F3244" s="16" t="s">
        <v>106</v>
      </c>
      <c r="G3244" s="22">
        <v>32</v>
      </c>
      <c r="H3244" s="18">
        <v>25.6</v>
      </c>
      <c r="I3244" s="18">
        <v>0.8</v>
      </c>
      <c r="J3244" s="18">
        <v>0.8</v>
      </c>
      <c r="K3244" s="18">
        <v>0.8</v>
      </c>
      <c r="L3244" s="22">
        <v>2</v>
      </c>
    </row>
    <row r="3245" spans="1:12">
      <c r="A3245">
        <v>4</v>
      </c>
      <c r="B3245" s="16" t="s">
        <v>59</v>
      </c>
      <c r="C3245" s="9">
        <v>45839</v>
      </c>
      <c r="D3245">
        <v>19</v>
      </c>
      <c r="E3245" s="16" t="s">
        <v>105</v>
      </c>
      <c r="F3245" s="16" t="s">
        <v>106</v>
      </c>
      <c r="G3245" s="22">
        <v>48</v>
      </c>
      <c r="H3245" s="18">
        <v>38.4</v>
      </c>
      <c r="I3245" s="18">
        <v>0.8</v>
      </c>
      <c r="J3245" s="18">
        <v>0.8</v>
      </c>
      <c r="K3245" s="18">
        <v>0.8</v>
      </c>
      <c r="L3245" s="22">
        <v>2</v>
      </c>
    </row>
    <row r="3246" spans="1:12">
      <c r="A3246">
        <v>4</v>
      </c>
      <c r="B3246" s="16" t="s">
        <v>59</v>
      </c>
      <c r="C3246" s="9">
        <v>45870</v>
      </c>
      <c r="D3246">
        <v>19</v>
      </c>
      <c r="E3246" s="16" t="s">
        <v>105</v>
      </c>
      <c r="F3246" s="16" t="s">
        <v>106</v>
      </c>
      <c r="G3246" s="22">
        <v>48</v>
      </c>
      <c r="H3246" s="18">
        <v>38.72</v>
      </c>
      <c r="I3246" s="18">
        <v>0.806666667</v>
      </c>
      <c r="J3246" s="18">
        <v>0.81</v>
      </c>
      <c r="K3246" s="18">
        <v>0.8</v>
      </c>
      <c r="L3246" s="22">
        <v>2</v>
      </c>
    </row>
    <row r="3247" spans="1:12">
      <c r="A3247">
        <v>4</v>
      </c>
      <c r="B3247" s="16" t="s">
        <v>59</v>
      </c>
      <c r="C3247" s="9">
        <v>45901</v>
      </c>
      <c r="D3247">
        <v>19</v>
      </c>
      <c r="E3247" s="16" t="s">
        <v>105</v>
      </c>
      <c r="F3247" s="16" t="s">
        <v>106</v>
      </c>
      <c r="G3247" s="22">
        <v>32</v>
      </c>
      <c r="H3247" s="18">
        <v>26.08</v>
      </c>
      <c r="I3247" s="18">
        <v>0.81499999999999995</v>
      </c>
      <c r="J3247" s="18">
        <v>0.82</v>
      </c>
      <c r="K3247" s="18">
        <v>0.81</v>
      </c>
      <c r="L3247" s="22">
        <v>2</v>
      </c>
    </row>
    <row r="3248" spans="1:12">
      <c r="A3248">
        <v>4</v>
      </c>
      <c r="B3248" s="16" t="s">
        <v>59</v>
      </c>
      <c r="C3248" s="9">
        <v>45931</v>
      </c>
      <c r="D3248">
        <v>19</v>
      </c>
      <c r="E3248" s="16" t="s">
        <v>105</v>
      </c>
      <c r="F3248" s="16" t="s">
        <v>106</v>
      </c>
      <c r="G3248" s="22">
        <v>64</v>
      </c>
      <c r="H3248" s="18">
        <v>52</v>
      </c>
      <c r="I3248" s="18">
        <v>0.8125</v>
      </c>
      <c r="J3248" s="18">
        <v>0.83</v>
      </c>
      <c r="K3248" s="18">
        <v>0.79</v>
      </c>
      <c r="L3248" s="22">
        <v>3</v>
      </c>
    </row>
    <row r="3249" spans="1:12">
      <c r="A3249">
        <v>4</v>
      </c>
      <c r="B3249" s="16" t="s">
        <v>59</v>
      </c>
      <c r="C3249" s="9">
        <v>45962</v>
      </c>
      <c r="D3249">
        <v>19</v>
      </c>
      <c r="E3249" s="16" t="s">
        <v>105</v>
      </c>
      <c r="F3249" s="16" t="s">
        <v>106</v>
      </c>
      <c r="G3249" s="22">
        <v>48</v>
      </c>
      <c r="H3249" s="18">
        <v>39.04</v>
      </c>
      <c r="I3249" s="18">
        <v>0.81333333299999999</v>
      </c>
      <c r="J3249" s="18">
        <v>0.82</v>
      </c>
      <c r="K3249" s="18">
        <v>0.8</v>
      </c>
      <c r="L3249" s="22">
        <v>2</v>
      </c>
    </row>
    <row r="3250" spans="1:12">
      <c r="A3250">
        <v>4</v>
      </c>
      <c r="B3250" s="16" t="s">
        <v>59</v>
      </c>
      <c r="C3250" s="9">
        <v>45992</v>
      </c>
      <c r="D3250">
        <v>19</v>
      </c>
      <c r="E3250" s="16" t="s">
        <v>105</v>
      </c>
      <c r="F3250" s="16" t="s">
        <v>106</v>
      </c>
      <c r="G3250" s="22">
        <v>48</v>
      </c>
      <c r="H3250" s="18">
        <v>39.04</v>
      </c>
      <c r="I3250" s="18">
        <v>0.81333333299999999</v>
      </c>
      <c r="J3250" s="18">
        <v>0.82</v>
      </c>
      <c r="K3250" s="18">
        <v>0.8</v>
      </c>
      <c r="L3250" s="22">
        <v>2</v>
      </c>
    </row>
    <row r="3251" spans="1:12">
      <c r="A3251">
        <v>4</v>
      </c>
      <c r="B3251" s="16" t="s">
        <v>59</v>
      </c>
      <c r="C3251" s="9">
        <v>46023</v>
      </c>
      <c r="D3251">
        <v>19</v>
      </c>
      <c r="E3251" s="16" t="s">
        <v>105</v>
      </c>
      <c r="F3251" s="16" t="s">
        <v>106</v>
      </c>
      <c r="G3251" s="22">
        <v>32</v>
      </c>
      <c r="H3251" s="18">
        <v>26.08</v>
      </c>
      <c r="I3251" s="18">
        <v>0.81499999999999995</v>
      </c>
      <c r="J3251" s="18">
        <v>0.82</v>
      </c>
      <c r="K3251" s="18">
        <v>0.81</v>
      </c>
      <c r="L3251" s="22">
        <v>2</v>
      </c>
    </row>
    <row r="3252" spans="1:12">
      <c r="A3252">
        <v>4</v>
      </c>
      <c r="B3252" s="16" t="s">
        <v>59</v>
      </c>
      <c r="C3252" s="9">
        <v>46054</v>
      </c>
      <c r="D3252">
        <v>19</v>
      </c>
      <c r="E3252" s="16" t="s">
        <v>105</v>
      </c>
      <c r="F3252" s="16" t="s">
        <v>106</v>
      </c>
      <c r="G3252" s="22">
        <v>48</v>
      </c>
      <c r="H3252" s="18">
        <v>38.56</v>
      </c>
      <c r="I3252" s="18">
        <v>0.80333333299999998</v>
      </c>
      <c r="J3252" s="18">
        <v>0.81</v>
      </c>
      <c r="K3252" s="18">
        <v>0.8</v>
      </c>
      <c r="L3252" s="22">
        <v>2</v>
      </c>
    </row>
    <row r="3253" spans="1:12">
      <c r="A3253">
        <v>4</v>
      </c>
      <c r="B3253" s="16" t="s">
        <v>59</v>
      </c>
      <c r="C3253" s="9">
        <v>46082</v>
      </c>
      <c r="D3253">
        <v>19</v>
      </c>
      <c r="E3253" s="16" t="s">
        <v>105</v>
      </c>
      <c r="F3253" s="16" t="s">
        <v>106</v>
      </c>
      <c r="G3253" s="22">
        <v>32</v>
      </c>
      <c r="H3253" s="18">
        <v>25.76</v>
      </c>
      <c r="I3253" s="18">
        <v>0.80500000000000005</v>
      </c>
      <c r="J3253" s="18">
        <v>0.81</v>
      </c>
      <c r="K3253" s="18">
        <v>0.8</v>
      </c>
      <c r="L3253" s="22">
        <v>2</v>
      </c>
    </row>
    <row r="3254" spans="1:12">
      <c r="A3254">
        <v>4</v>
      </c>
      <c r="B3254" s="16" t="s">
        <v>59</v>
      </c>
      <c r="C3254" s="9">
        <v>46113</v>
      </c>
      <c r="D3254">
        <v>19</v>
      </c>
      <c r="E3254" s="16" t="s">
        <v>105</v>
      </c>
      <c r="F3254" s="16" t="s">
        <v>106</v>
      </c>
      <c r="G3254" s="22">
        <v>64</v>
      </c>
      <c r="H3254" s="18">
        <v>53.12</v>
      </c>
      <c r="I3254" s="18">
        <v>0.83</v>
      </c>
      <c r="J3254" s="18">
        <v>0.84</v>
      </c>
      <c r="K3254" s="18">
        <v>0.82</v>
      </c>
      <c r="L3254" s="22">
        <v>3</v>
      </c>
    </row>
    <row r="3255" spans="1:12">
      <c r="A3255">
        <v>4</v>
      </c>
      <c r="B3255" s="16" t="s">
        <v>59</v>
      </c>
      <c r="C3255" s="9">
        <v>46143</v>
      </c>
      <c r="D3255">
        <v>19</v>
      </c>
      <c r="E3255" s="16" t="s">
        <v>105</v>
      </c>
      <c r="F3255" s="16" t="s">
        <v>106</v>
      </c>
      <c r="G3255" s="22">
        <v>32</v>
      </c>
      <c r="H3255" s="18">
        <v>27.04</v>
      </c>
      <c r="I3255" s="18">
        <v>0.84499999999999997</v>
      </c>
      <c r="J3255" s="18">
        <v>0.85</v>
      </c>
      <c r="K3255" s="18">
        <v>0.84</v>
      </c>
      <c r="L3255" s="22">
        <v>2</v>
      </c>
    </row>
    <row r="3256" spans="1:12">
      <c r="A3256">
        <v>4</v>
      </c>
      <c r="B3256" s="16" t="s">
        <v>59</v>
      </c>
      <c r="C3256" s="9">
        <v>46174</v>
      </c>
      <c r="D3256">
        <v>19</v>
      </c>
      <c r="E3256" s="16" t="s">
        <v>105</v>
      </c>
      <c r="F3256" s="16" t="s">
        <v>106</v>
      </c>
      <c r="G3256" s="22">
        <v>48</v>
      </c>
      <c r="H3256" s="18">
        <v>40.96</v>
      </c>
      <c r="I3256" s="18">
        <v>0.85333333300000003</v>
      </c>
      <c r="J3256" s="18">
        <v>0.86</v>
      </c>
      <c r="K3256" s="18">
        <v>0.84</v>
      </c>
      <c r="L3256" s="22">
        <v>2</v>
      </c>
    </row>
    <row r="3257" spans="1:12">
      <c r="A3257">
        <v>4</v>
      </c>
      <c r="B3257" s="16" t="s">
        <v>59</v>
      </c>
      <c r="C3257" s="9">
        <v>46204</v>
      </c>
      <c r="D3257">
        <v>19</v>
      </c>
      <c r="E3257" s="16" t="s">
        <v>105</v>
      </c>
      <c r="F3257" s="16" t="s">
        <v>106</v>
      </c>
      <c r="G3257" s="22">
        <v>48</v>
      </c>
      <c r="H3257" s="18">
        <v>40.479999999999997</v>
      </c>
      <c r="I3257" s="18">
        <v>0.84333333300000002</v>
      </c>
      <c r="J3257" s="18">
        <v>0.87</v>
      </c>
      <c r="K3257" s="18">
        <v>0.83</v>
      </c>
      <c r="L3257" s="22">
        <v>2</v>
      </c>
    </row>
    <row r="3258" spans="1:12">
      <c r="A3258">
        <v>4</v>
      </c>
      <c r="B3258" s="16" t="s">
        <v>59</v>
      </c>
      <c r="C3258" s="9">
        <v>46235</v>
      </c>
      <c r="D3258">
        <v>19</v>
      </c>
      <c r="E3258" s="16" t="s">
        <v>105</v>
      </c>
      <c r="F3258" s="16" t="s">
        <v>106</v>
      </c>
      <c r="G3258" s="22">
        <v>32</v>
      </c>
      <c r="H3258" s="18">
        <v>27.04</v>
      </c>
      <c r="I3258" s="18">
        <v>0.84499999999999997</v>
      </c>
      <c r="J3258" s="18">
        <v>0.85</v>
      </c>
      <c r="K3258" s="18">
        <v>0.84</v>
      </c>
      <c r="L3258" s="22">
        <v>2</v>
      </c>
    </row>
    <row r="3259" spans="1:12">
      <c r="A3259">
        <v>4</v>
      </c>
      <c r="B3259" s="16" t="s">
        <v>59</v>
      </c>
      <c r="C3259" s="9">
        <v>46266</v>
      </c>
      <c r="D3259">
        <v>19</v>
      </c>
      <c r="E3259" s="16" t="s">
        <v>105</v>
      </c>
      <c r="F3259" s="16" t="s">
        <v>106</v>
      </c>
      <c r="G3259" s="22">
        <v>48</v>
      </c>
      <c r="H3259" s="18">
        <v>40.479999999999997</v>
      </c>
      <c r="I3259" s="18">
        <v>0.84333333300000002</v>
      </c>
      <c r="J3259" s="18">
        <v>0.85</v>
      </c>
      <c r="K3259" s="18">
        <v>0.84</v>
      </c>
      <c r="L3259" s="22">
        <v>2</v>
      </c>
    </row>
    <row r="3260" spans="1:12">
      <c r="A3260">
        <v>4</v>
      </c>
      <c r="B3260" s="16" t="s">
        <v>59</v>
      </c>
      <c r="C3260" s="9">
        <v>45717</v>
      </c>
      <c r="D3260">
        <v>20</v>
      </c>
      <c r="E3260" s="16" t="s">
        <v>107</v>
      </c>
      <c r="F3260" s="16" t="s">
        <v>108</v>
      </c>
      <c r="G3260" s="22">
        <v>6.25</v>
      </c>
      <c r="H3260" s="18">
        <v>65.5625</v>
      </c>
      <c r="I3260" s="18">
        <v>10.49</v>
      </c>
      <c r="J3260" s="18">
        <v>10.49</v>
      </c>
      <c r="K3260" s="18">
        <v>10.49</v>
      </c>
      <c r="L3260" s="22">
        <v>1</v>
      </c>
    </row>
    <row r="3261" spans="1:12">
      <c r="A3261">
        <v>4</v>
      </c>
      <c r="B3261" s="16" t="s">
        <v>59</v>
      </c>
      <c r="C3261" s="9">
        <v>45839</v>
      </c>
      <c r="D3261">
        <v>20</v>
      </c>
      <c r="E3261" s="16" t="s">
        <v>107</v>
      </c>
      <c r="F3261" s="16" t="s">
        <v>108</v>
      </c>
      <c r="G3261" s="22">
        <v>6.25</v>
      </c>
      <c r="H3261" s="18">
        <v>66.375</v>
      </c>
      <c r="I3261" s="18">
        <v>10.62</v>
      </c>
      <c r="J3261" s="18">
        <v>10.62</v>
      </c>
      <c r="K3261" s="18">
        <v>10.62</v>
      </c>
      <c r="L3261" s="22">
        <v>1</v>
      </c>
    </row>
    <row r="3262" spans="1:12">
      <c r="A3262">
        <v>4</v>
      </c>
      <c r="B3262" s="16" t="s">
        <v>59</v>
      </c>
      <c r="C3262" s="9">
        <v>45931</v>
      </c>
      <c r="D3262">
        <v>20</v>
      </c>
      <c r="E3262" s="16" t="s">
        <v>107</v>
      </c>
      <c r="F3262" s="16" t="s">
        <v>108</v>
      </c>
      <c r="G3262" s="22">
        <v>6.25</v>
      </c>
      <c r="H3262" s="18">
        <v>74.8125</v>
      </c>
      <c r="I3262" s="18">
        <v>11.97</v>
      </c>
      <c r="J3262" s="18">
        <v>11.97</v>
      </c>
      <c r="K3262" s="18">
        <v>11.97</v>
      </c>
      <c r="L3262" s="22">
        <v>1</v>
      </c>
    </row>
    <row r="3263" spans="1:12">
      <c r="A3263">
        <v>4</v>
      </c>
      <c r="B3263" s="16" t="s">
        <v>59</v>
      </c>
      <c r="C3263" s="9">
        <v>45992</v>
      </c>
      <c r="D3263">
        <v>20</v>
      </c>
      <c r="E3263" s="16" t="s">
        <v>107</v>
      </c>
      <c r="F3263" s="16" t="s">
        <v>108</v>
      </c>
      <c r="G3263" s="22">
        <v>6.25</v>
      </c>
      <c r="H3263" s="18">
        <v>79.1875</v>
      </c>
      <c r="I3263" s="18">
        <v>12.67</v>
      </c>
      <c r="J3263" s="18">
        <v>12.67</v>
      </c>
      <c r="K3263" s="18">
        <v>12.67</v>
      </c>
      <c r="L3263" s="22">
        <v>1</v>
      </c>
    </row>
    <row r="3264" spans="1:12">
      <c r="A3264">
        <v>4</v>
      </c>
      <c r="B3264" s="16" t="s">
        <v>59</v>
      </c>
      <c r="C3264" s="9">
        <v>46113</v>
      </c>
      <c r="D3264">
        <v>20</v>
      </c>
      <c r="E3264" s="16" t="s">
        <v>107</v>
      </c>
      <c r="F3264" s="16" t="s">
        <v>108</v>
      </c>
      <c r="G3264" s="22">
        <v>6.25</v>
      </c>
      <c r="H3264" s="18">
        <v>69</v>
      </c>
      <c r="I3264" s="18">
        <v>11.04</v>
      </c>
      <c r="J3264" s="18">
        <v>11.04</v>
      </c>
      <c r="K3264" s="18">
        <v>11.04</v>
      </c>
      <c r="L3264" s="22">
        <v>1</v>
      </c>
    </row>
    <row r="3265" spans="1:12">
      <c r="A3265">
        <v>4</v>
      </c>
      <c r="B3265" s="16" t="s">
        <v>59</v>
      </c>
      <c r="C3265" s="9">
        <v>46204</v>
      </c>
      <c r="D3265">
        <v>20</v>
      </c>
      <c r="E3265" s="16" t="s">
        <v>107</v>
      </c>
      <c r="F3265" s="16" t="s">
        <v>108</v>
      </c>
      <c r="G3265" s="22">
        <v>6.25</v>
      </c>
      <c r="H3265" s="18">
        <v>69</v>
      </c>
      <c r="I3265" s="18">
        <v>11.04</v>
      </c>
      <c r="J3265" s="18">
        <v>11.04</v>
      </c>
      <c r="K3265" s="18">
        <v>11.04</v>
      </c>
      <c r="L3265" s="22">
        <v>1</v>
      </c>
    </row>
    <row r="3266" spans="1:12">
      <c r="A3266">
        <v>4</v>
      </c>
      <c r="B3266" s="16" t="s">
        <v>59</v>
      </c>
      <c r="C3266" s="9">
        <v>45689</v>
      </c>
      <c r="D3266">
        <v>21</v>
      </c>
      <c r="E3266" s="16" t="s">
        <v>109</v>
      </c>
      <c r="F3266" s="16" t="s">
        <v>83</v>
      </c>
      <c r="G3266" s="22">
        <v>5</v>
      </c>
      <c r="H3266" s="18">
        <v>18.649999999999999</v>
      </c>
      <c r="I3266" s="18">
        <v>3.73</v>
      </c>
      <c r="J3266" s="18">
        <v>3.73</v>
      </c>
      <c r="K3266" s="18">
        <v>3.73</v>
      </c>
      <c r="L3266" s="22">
        <v>1</v>
      </c>
    </row>
    <row r="3267" spans="1:12">
      <c r="A3267">
        <v>4</v>
      </c>
      <c r="B3267" s="16" t="s">
        <v>59</v>
      </c>
      <c r="C3267" s="9">
        <v>45717</v>
      </c>
      <c r="D3267">
        <v>21</v>
      </c>
      <c r="E3267" s="16" t="s">
        <v>109</v>
      </c>
      <c r="F3267" s="16" t="s">
        <v>83</v>
      </c>
      <c r="G3267" s="22">
        <v>10</v>
      </c>
      <c r="H3267" s="18">
        <v>36.950000000000003</v>
      </c>
      <c r="I3267" s="18">
        <v>3.6949999999999998</v>
      </c>
      <c r="J3267" s="18">
        <v>3.73</v>
      </c>
      <c r="K3267" s="18">
        <v>3.66</v>
      </c>
      <c r="L3267" s="22">
        <v>2</v>
      </c>
    </row>
    <row r="3268" spans="1:12">
      <c r="A3268">
        <v>4</v>
      </c>
      <c r="B3268" s="16" t="s">
        <v>59</v>
      </c>
      <c r="C3268" s="9">
        <v>45748</v>
      </c>
      <c r="D3268">
        <v>21</v>
      </c>
      <c r="E3268" s="16" t="s">
        <v>109</v>
      </c>
      <c r="F3268" s="16" t="s">
        <v>83</v>
      </c>
      <c r="G3268" s="22">
        <v>10</v>
      </c>
      <c r="H3268" s="18">
        <v>37.549999999999997</v>
      </c>
      <c r="I3268" s="18">
        <v>3.7549999999999999</v>
      </c>
      <c r="J3268" s="18">
        <v>3.77</v>
      </c>
      <c r="K3268" s="18">
        <v>3.74</v>
      </c>
      <c r="L3268" s="22">
        <v>2</v>
      </c>
    </row>
    <row r="3269" spans="1:12">
      <c r="A3269">
        <v>4</v>
      </c>
      <c r="B3269" s="16" t="s">
        <v>59</v>
      </c>
      <c r="C3269" s="9">
        <v>45778</v>
      </c>
      <c r="D3269">
        <v>21</v>
      </c>
      <c r="E3269" s="16" t="s">
        <v>109</v>
      </c>
      <c r="F3269" s="16" t="s">
        <v>83</v>
      </c>
      <c r="G3269" s="22">
        <v>10</v>
      </c>
      <c r="H3269" s="18">
        <v>37.35</v>
      </c>
      <c r="I3269" s="18">
        <v>3.7349999999999999</v>
      </c>
      <c r="J3269" s="18">
        <v>3.75</v>
      </c>
      <c r="K3269" s="18">
        <v>3.72</v>
      </c>
      <c r="L3269" s="22">
        <v>2</v>
      </c>
    </row>
    <row r="3270" spans="1:12">
      <c r="A3270">
        <v>4</v>
      </c>
      <c r="B3270" s="16" t="s">
        <v>59</v>
      </c>
      <c r="C3270" s="9">
        <v>45809</v>
      </c>
      <c r="D3270">
        <v>21</v>
      </c>
      <c r="E3270" s="16" t="s">
        <v>109</v>
      </c>
      <c r="F3270" s="16" t="s">
        <v>83</v>
      </c>
      <c r="G3270" s="22">
        <v>10</v>
      </c>
      <c r="H3270" s="18">
        <v>37.9</v>
      </c>
      <c r="I3270" s="18">
        <v>3.79</v>
      </c>
      <c r="J3270" s="18">
        <v>3.84</v>
      </c>
      <c r="K3270" s="18">
        <v>3.74</v>
      </c>
      <c r="L3270" s="22">
        <v>2</v>
      </c>
    </row>
    <row r="3271" spans="1:12">
      <c r="A3271">
        <v>4</v>
      </c>
      <c r="B3271" s="16" t="s">
        <v>59</v>
      </c>
      <c r="C3271" s="9">
        <v>45839</v>
      </c>
      <c r="D3271">
        <v>21</v>
      </c>
      <c r="E3271" s="16" t="s">
        <v>109</v>
      </c>
      <c r="F3271" s="16" t="s">
        <v>83</v>
      </c>
      <c r="G3271" s="22">
        <v>5</v>
      </c>
      <c r="H3271" s="18">
        <v>18.850000000000001</v>
      </c>
      <c r="I3271" s="18">
        <v>3.77</v>
      </c>
      <c r="J3271" s="18">
        <v>3.77</v>
      </c>
      <c r="K3271" s="18">
        <v>3.77</v>
      </c>
      <c r="L3271" s="22">
        <v>1</v>
      </c>
    </row>
    <row r="3272" spans="1:12">
      <c r="A3272">
        <v>4</v>
      </c>
      <c r="B3272" s="16" t="s">
        <v>59</v>
      </c>
      <c r="C3272" s="9">
        <v>45870</v>
      </c>
      <c r="D3272">
        <v>21</v>
      </c>
      <c r="E3272" s="16" t="s">
        <v>109</v>
      </c>
      <c r="F3272" s="16" t="s">
        <v>83</v>
      </c>
      <c r="G3272" s="22">
        <v>10</v>
      </c>
      <c r="H3272" s="18">
        <v>37.65</v>
      </c>
      <c r="I3272" s="18">
        <v>3.7650000000000001</v>
      </c>
      <c r="J3272" s="18">
        <v>3.78</v>
      </c>
      <c r="K3272" s="18">
        <v>3.75</v>
      </c>
      <c r="L3272" s="22">
        <v>2</v>
      </c>
    </row>
    <row r="3273" spans="1:12">
      <c r="A3273">
        <v>4</v>
      </c>
      <c r="B3273" s="16" t="s">
        <v>59</v>
      </c>
      <c r="C3273" s="9">
        <v>45901</v>
      </c>
      <c r="D3273">
        <v>21</v>
      </c>
      <c r="E3273" s="16" t="s">
        <v>109</v>
      </c>
      <c r="F3273" s="16" t="s">
        <v>83</v>
      </c>
      <c r="G3273" s="22">
        <v>10</v>
      </c>
      <c r="H3273" s="18">
        <v>37.950000000000003</v>
      </c>
      <c r="I3273" s="18">
        <v>3.7949999999999999</v>
      </c>
      <c r="J3273" s="18">
        <v>3.82</v>
      </c>
      <c r="K3273" s="18">
        <v>3.77</v>
      </c>
      <c r="L3273" s="22">
        <v>2</v>
      </c>
    </row>
    <row r="3274" spans="1:12">
      <c r="A3274">
        <v>4</v>
      </c>
      <c r="B3274" s="16" t="s">
        <v>59</v>
      </c>
      <c r="C3274" s="9">
        <v>45931</v>
      </c>
      <c r="D3274">
        <v>21</v>
      </c>
      <c r="E3274" s="16" t="s">
        <v>109</v>
      </c>
      <c r="F3274" s="16" t="s">
        <v>83</v>
      </c>
      <c r="G3274" s="22">
        <v>10</v>
      </c>
      <c r="H3274" s="18">
        <v>42</v>
      </c>
      <c r="I3274" s="18">
        <v>4.2</v>
      </c>
      <c r="J3274" s="18">
        <v>4.3</v>
      </c>
      <c r="K3274" s="18">
        <v>4.0999999999999996</v>
      </c>
      <c r="L3274" s="22">
        <v>2</v>
      </c>
    </row>
    <row r="3275" spans="1:12">
      <c r="A3275">
        <v>4</v>
      </c>
      <c r="B3275" s="16" t="s">
        <v>59</v>
      </c>
      <c r="C3275" s="9">
        <v>45962</v>
      </c>
      <c r="D3275">
        <v>21</v>
      </c>
      <c r="E3275" s="16" t="s">
        <v>109</v>
      </c>
      <c r="F3275" s="16" t="s">
        <v>83</v>
      </c>
      <c r="G3275" s="22">
        <v>10</v>
      </c>
      <c r="H3275" s="18">
        <v>41.6</v>
      </c>
      <c r="I3275" s="18">
        <v>4.16</v>
      </c>
      <c r="J3275" s="18">
        <v>4.21</v>
      </c>
      <c r="K3275" s="18">
        <v>4.1100000000000003</v>
      </c>
      <c r="L3275" s="22">
        <v>2</v>
      </c>
    </row>
    <row r="3276" spans="1:12">
      <c r="A3276">
        <v>4</v>
      </c>
      <c r="B3276" s="16" t="s">
        <v>59</v>
      </c>
      <c r="C3276" s="9">
        <v>45992</v>
      </c>
      <c r="D3276">
        <v>21</v>
      </c>
      <c r="E3276" s="16" t="s">
        <v>109</v>
      </c>
      <c r="F3276" s="16" t="s">
        <v>83</v>
      </c>
      <c r="G3276" s="22">
        <v>10</v>
      </c>
      <c r="H3276" s="18">
        <v>41.75</v>
      </c>
      <c r="I3276" s="18">
        <v>4.1749999999999998</v>
      </c>
      <c r="J3276" s="18">
        <v>4.2699999999999996</v>
      </c>
      <c r="K3276" s="18">
        <v>4.08</v>
      </c>
      <c r="L3276" s="22">
        <v>2</v>
      </c>
    </row>
    <row r="3277" spans="1:12">
      <c r="A3277">
        <v>4</v>
      </c>
      <c r="B3277" s="16" t="s">
        <v>59</v>
      </c>
      <c r="C3277" s="9">
        <v>46023</v>
      </c>
      <c r="D3277">
        <v>21</v>
      </c>
      <c r="E3277" s="16" t="s">
        <v>109</v>
      </c>
      <c r="F3277" s="16" t="s">
        <v>83</v>
      </c>
      <c r="G3277" s="22">
        <v>10</v>
      </c>
      <c r="H3277" s="18">
        <v>38.35</v>
      </c>
      <c r="I3277" s="18">
        <v>3.835</v>
      </c>
      <c r="J3277" s="18">
        <v>3.85</v>
      </c>
      <c r="K3277" s="18">
        <v>3.82</v>
      </c>
      <c r="L3277" s="22">
        <v>2</v>
      </c>
    </row>
    <row r="3278" spans="1:12">
      <c r="A3278">
        <v>4</v>
      </c>
      <c r="B3278" s="16" t="s">
        <v>59</v>
      </c>
      <c r="C3278" s="9">
        <v>46054</v>
      </c>
      <c r="D3278">
        <v>21</v>
      </c>
      <c r="E3278" s="16" t="s">
        <v>109</v>
      </c>
      <c r="F3278" s="16" t="s">
        <v>83</v>
      </c>
      <c r="G3278" s="22">
        <v>10</v>
      </c>
      <c r="H3278" s="18">
        <v>38.700000000000003</v>
      </c>
      <c r="I3278" s="18">
        <v>3.87</v>
      </c>
      <c r="J3278" s="18">
        <v>3.92</v>
      </c>
      <c r="K3278" s="18">
        <v>3.82</v>
      </c>
      <c r="L3278" s="22">
        <v>2</v>
      </c>
    </row>
    <row r="3279" spans="1:12">
      <c r="A3279">
        <v>4</v>
      </c>
      <c r="B3279" s="16" t="s">
        <v>59</v>
      </c>
      <c r="C3279" s="9">
        <v>46082</v>
      </c>
      <c r="D3279">
        <v>21</v>
      </c>
      <c r="E3279" s="16" t="s">
        <v>109</v>
      </c>
      <c r="F3279" s="16" t="s">
        <v>83</v>
      </c>
      <c r="G3279" s="22">
        <v>10</v>
      </c>
      <c r="H3279" s="18">
        <v>38.9</v>
      </c>
      <c r="I3279" s="18">
        <v>3.89</v>
      </c>
      <c r="J3279" s="18">
        <v>3.9</v>
      </c>
      <c r="K3279" s="18">
        <v>3.88</v>
      </c>
      <c r="L3279" s="22">
        <v>2</v>
      </c>
    </row>
    <row r="3280" spans="1:12">
      <c r="A3280">
        <v>4</v>
      </c>
      <c r="B3280" s="16" t="s">
        <v>59</v>
      </c>
      <c r="C3280" s="9">
        <v>46113</v>
      </c>
      <c r="D3280">
        <v>21</v>
      </c>
      <c r="E3280" s="16" t="s">
        <v>109</v>
      </c>
      <c r="F3280" s="16" t="s">
        <v>83</v>
      </c>
      <c r="G3280" s="22">
        <v>5</v>
      </c>
      <c r="H3280" s="18">
        <v>19.25</v>
      </c>
      <c r="I3280" s="18">
        <v>3.85</v>
      </c>
      <c r="J3280" s="18">
        <v>3.85</v>
      </c>
      <c r="K3280" s="18">
        <v>3.85</v>
      </c>
      <c r="L3280" s="22">
        <v>1</v>
      </c>
    </row>
    <row r="3281" spans="1:12">
      <c r="A3281">
        <v>4</v>
      </c>
      <c r="B3281" s="16" t="s">
        <v>59</v>
      </c>
      <c r="C3281" s="9">
        <v>46143</v>
      </c>
      <c r="D3281">
        <v>21</v>
      </c>
      <c r="E3281" s="16" t="s">
        <v>109</v>
      </c>
      <c r="F3281" s="16" t="s">
        <v>83</v>
      </c>
      <c r="G3281" s="22">
        <v>10</v>
      </c>
      <c r="H3281" s="18">
        <v>38.549999999999997</v>
      </c>
      <c r="I3281" s="18">
        <v>3.855</v>
      </c>
      <c r="J3281" s="18">
        <v>3.86</v>
      </c>
      <c r="K3281" s="18">
        <v>3.85</v>
      </c>
      <c r="L3281" s="22">
        <v>2</v>
      </c>
    </row>
    <row r="3282" spans="1:12">
      <c r="A3282">
        <v>4</v>
      </c>
      <c r="B3282" s="16" t="s">
        <v>59</v>
      </c>
      <c r="C3282" s="9">
        <v>46174</v>
      </c>
      <c r="D3282">
        <v>21</v>
      </c>
      <c r="E3282" s="16" t="s">
        <v>109</v>
      </c>
      <c r="F3282" s="16" t="s">
        <v>83</v>
      </c>
      <c r="G3282" s="22">
        <v>10</v>
      </c>
      <c r="H3282" s="18">
        <v>38.85</v>
      </c>
      <c r="I3282" s="18">
        <v>3.8849999999999998</v>
      </c>
      <c r="J3282" s="18">
        <v>3.89</v>
      </c>
      <c r="K3282" s="18">
        <v>3.88</v>
      </c>
      <c r="L3282" s="22">
        <v>2</v>
      </c>
    </row>
    <row r="3283" spans="1:12">
      <c r="A3283">
        <v>4</v>
      </c>
      <c r="B3283" s="16" t="s">
        <v>59</v>
      </c>
      <c r="C3283" s="9">
        <v>46204</v>
      </c>
      <c r="D3283">
        <v>21</v>
      </c>
      <c r="E3283" s="16" t="s">
        <v>109</v>
      </c>
      <c r="F3283" s="16" t="s">
        <v>83</v>
      </c>
      <c r="G3283" s="22">
        <v>10</v>
      </c>
      <c r="H3283" s="18">
        <v>38.5</v>
      </c>
      <c r="I3283" s="18">
        <v>3.85</v>
      </c>
      <c r="J3283" s="18">
        <v>3.86</v>
      </c>
      <c r="K3283" s="18">
        <v>3.84</v>
      </c>
      <c r="L3283" s="22">
        <v>2</v>
      </c>
    </row>
    <row r="3284" spans="1:12">
      <c r="A3284">
        <v>4</v>
      </c>
      <c r="B3284" s="16" t="s">
        <v>59</v>
      </c>
      <c r="C3284" s="9">
        <v>46235</v>
      </c>
      <c r="D3284">
        <v>21</v>
      </c>
      <c r="E3284" s="16" t="s">
        <v>109</v>
      </c>
      <c r="F3284" s="16" t="s">
        <v>83</v>
      </c>
      <c r="G3284" s="22">
        <v>10</v>
      </c>
      <c r="H3284" s="18">
        <v>38.35</v>
      </c>
      <c r="I3284" s="18">
        <v>3.835</v>
      </c>
      <c r="J3284" s="18">
        <v>3.87</v>
      </c>
      <c r="K3284" s="18">
        <v>3.8</v>
      </c>
      <c r="L3284" s="22">
        <v>2</v>
      </c>
    </row>
    <row r="3285" spans="1:12">
      <c r="A3285">
        <v>4</v>
      </c>
      <c r="B3285" s="16" t="s">
        <v>59</v>
      </c>
      <c r="C3285" s="9">
        <v>46266</v>
      </c>
      <c r="D3285">
        <v>21</v>
      </c>
      <c r="E3285" s="16" t="s">
        <v>109</v>
      </c>
      <c r="F3285" s="16" t="s">
        <v>83</v>
      </c>
      <c r="G3285" s="22">
        <v>10</v>
      </c>
      <c r="H3285" s="18">
        <v>38.299999999999997</v>
      </c>
      <c r="I3285" s="18">
        <v>3.83</v>
      </c>
      <c r="J3285" s="18">
        <v>3.83</v>
      </c>
      <c r="K3285" s="18">
        <v>3.83</v>
      </c>
      <c r="L3285" s="22">
        <v>2</v>
      </c>
    </row>
    <row r="3286" spans="1:12">
      <c r="A3286">
        <v>4</v>
      </c>
      <c r="B3286" s="16" t="s">
        <v>59</v>
      </c>
      <c r="C3286" s="9">
        <v>45689</v>
      </c>
      <c r="D3286">
        <v>22</v>
      </c>
      <c r="E3286" s="16" t="s">
        <v>110</v>
      </c>
      <c r="F3286" s="16" t="s">
        <v>90</v>
      </c>
      <c r="G3286" s="22">
        <v>57.5</v>
      </c>
      <c r="H3286" s="18">
        <v>199</v>
      </c>
      <c r="I3286" s="18">
        <v>3.4608695649999999</v>
      </c>
      <c r="J3286" s="18">
        <v>3.48</v>
      </c>
      <c r="K3286" s="18">
        <v>3.44</v>
      </c>
      <c r="L3286" s="22">
        <v>2</v>
      </c>
    </row>
    <row r="3287" spans="1:12">
      <c r="A3287">
        <v>4</v>
      </c>
      <c r="B3287" s="16" t="s">
        <v>59</v>
      </c>
      <c r="C3287" s="9">
        <v>45717</v>
      </c>
      <c r="D3287">
        <v>22</v>
      </c>
      <c r="E3287" s="16" t="s">
        <v>110</v>
      </c>
      <c r="F3287" s="16" t="s">
        <v>90</v>
      </c>
      <c r="G3287" s="22">
        <v>77.5</v>
      </c>
      <c r="H3287" s="18">
        <v>270.60000000000002</v>
      </c>
      <c r="I3287" s="18">
        <v>3.491612903</v>
      </c>
      <c r="J3287" s="18">
        <v>3.54</v>
      </c>
      <c r="K3287" s="18">
        <v>3.44</v>
      </c>
      <c r="L3287" s="22">
        <v>3</v>
      </c>
    </row>
    <row r="3288" spans="1:12">
      <c r="A3288">
        <v>4</v>
      </c>
      <c r="B3288" s="16" t="s">
        <v>59</v>
      </c>
      <c r="C3288" s="9">
        <v>45748</v>
      </c>
      <c r="D3288">
        <v>22</v>
      </c>
      <c r="E3288" s="16" t="s">
        <v>110</v>
      </c>
      <c r="F3288" s="16" t="s">
        <v>90</v>
      </c>
      <c r="G3288" s="22">
        <v>47.5</v>
      </c>
      <c r="H3288" s="18">
        <v>164.55</v>
      </c>
      <c r="I3288" s="18">
        <v>3.464210526</v>
      </c>
      <c r="J3288" s="18">
        <v>3.47</v>
      </c>
      <c r="K3288" s="18">
        <v>3.46</v>
      </c>
      <c r="L3288" s="22">
        <v>2</v>
      </c>
    </row>
    <row r="3289" spans="1:12">
      <c r="A3289">
        <v>4</v>
      </c>
      <c r="B3289" s="16" t="s">
        <v>59</v>
      </c>
      <c r="C3289" s="9">
        <v>45778</v>
      </c>
      <c r="D3289">
        <v>22</v>
      </c>
      <c r="E3289" s="16" t="s">
        <v>110</v>
      </c>
      <c r="F3289" s="16" t="s">
        <v>90</v>
      </c>
      <c r="G3289" s="22">
        <v>42.5</v>
      </c>
      <c r="H3289" s="18">
        <v>146.05000000000001</v>
      </c>
      <c r="I3289" s="18">
        <v>3.4364705880000002</v>
      </c>
      <c r="J3289" s="18">
        <v>3.46</v>
      </c>
      <c r="K3289" s="18">
        <v>3.41</v>
      </c>
      <c r="L3289" s="22">
        <v>2</v>
      </c>
    </row>
    <row r="3290" spans="1:12">
      <c r="A3290">
        <v>4</v>
      </c>
      <c r="B3290" s="16" t="s">
        <v>59</v>
      </c>
      <c r="C3290" s="9">
        <v>45809</v>
      </c>
      <c r="D3290">
        <v>22</v>
      </c>
      <c r="E3290" s="16" t="s">
        <v>110</v>
      </c>
      <c r="F3290" s="16" t="s">
        <v>90</v>
      </c>
      <c r="G3290" s="22">
        <v>42.5</v>
      </c>
      <c r="H3290" s="18">
        <v>147.97499999999999</v>
      </c>
      <c r="I3290" s="18">
        <v>3.4817647059999999</v>
      </c>
      <c r="J3290" s="18">
        <v>3.51</v>
      </c>
      <c r="K3290" s="18">
        <v>3.45</v>
      </c>
      <c r="L3290" s="22">
        <v>2</v>
      </c>
    </row>
    <row r="3291" spans="1:12">
      <c r="A3291">
        <v>4</v>
      </c>
      <c r="B3291" s="16" t="s">
        <v>59</v>
      </c>
      <c r="C3291" s="9">
        <v>45839</v>
      </c>
      <c r="D3291">
        <v>22</v>
      </c>
      <c r="E3291" s="16" t="s">
        <v>110</v>
      </c>
      <c r="F3291" s="16" t="s">
        <v>90</v>
      </c>
      <c r="G3291" s="22">
        <v>42.5</v>
      </c>
      <c r="H3291" s="18">
        <v>147.625</v>
      </c>
      <c r="I3291" s="18">
        <v>3.473529412</v>
      </c>
      <c r="J3291" s="18">
        <v>3.49</v>
      </c>
      <c r="K3291" s="18">
        <v>3.45</v>
      </c>
      <c r="L3291" s="22">
        <v>2</v>
      </c>
    </row>
    <row r="3292" spans="1:12">
      <c r="A3292">
        <v>4</v>
      </c>
      <c r="B3292" s="16" t="s">
        <v>59</v>
      </c>
      <c r="C3292" s="9">
        <v>45870</v>
      </c>
      <c r="D3292">
        <v>22</v>
      </c>
      <c r="E3292" s="16" t="s">
        <v>110</v>
      </c>
      <c r="F3292" s="16" t="s">
        <v>90</v>
      </c>
      <c r="G3292" s="22">
        <v>40</v>
      </c>
      <c r="H3292" s="18">
        <v>140</v>
      </c>
      <c r="I3292" s="18">
        <v>3.5</v>
      </c>
      <c r="J3292" s="18">
        <v>3.5</v>
      </c>
      <c r="K3292" s="18">
        <v>3.5</v>
      </c>
      <c r="L3292" s="22">
        <v>2</v>
      </c>
    </row>
    <row r="3293" spans="1:12">
      <c r="A3293">
        <v>4</v>
      </c>
      <c r="B3293" s="16" t="s">
        <v>59</v>
      </c>
      <c r="C3293" s="9">
        <v>45901</v>
      </c>
      <c r="D3293">
        <v>22</v>
      </c>
      <c r="E3293" s="16" t="s">
        <v>110</v>
      </c>
      <c r="F3293" s="16" t="s">
        <v>90</v>
      </c>
      <c r="G3293" s="22">
        <v>72.5</v>
      </c>
      <c r="H3293" s="18">
        <v>253.3</v>
      </c>
      <c r="I3293" s="18">
        <v>3.4937931029999998</v>
      </c>
      <c r="J3293" s="18">
        <v>3.59</v>
      </c>
      <c r="K3293" s="18">
        <v>3.4</v>
      </c>
      <c r="L3293" s="22">
        <v>3</v>
      </c>
    </row>
    <row r="3294" spans="1:12">
      <c r="A3294">
        <v>4</v>
      </c>
      <c r="B3294" s="16" t="s">
        <v>59</v>
      </c>
      <c r="C3294" s="9">
        <v>45931</v>
      </c>
      <c r="D3294">
        <v>22</v>
      </c>
      <c r="E3294" s="16" t="s">
        <v>110</v>
      </c>
      <c r="F3294" s="16" t="s">
        <v>90</v>
      </c>
      <c r="G3294" s="22">
        <v>55</v>
      </c>
      <c r="H3294" s="18">
        <v>189.75</v>
      </c>
      <c r="I3294" s="18">
        <v>3.45</v>
      </c>
      <c r="J3294" s="18">
        <v>3.45</v>
      </c>
      <c r="K3294" s="18">
        <v>3.45</v>
      </c>
      <c r="L3294" s="22">
        <v>2</v>
      </c>
    </row>
    <row r="3295" spans="1:12">
      <c r="A3295">
        <v>4</v>
      </c>
      <c r="B3295" s="16" t="s">
        <v>59</v>
      </c>
      <c r="C3295" s="9">
        <v>45962</v>
      </c>
      <c r="D3295">
        <v>22</v>
      </c>
      <c r="E3295" s="16" t="s">
        <v>110</v>
      </c>
      <c r="F3295" s="16" t="s">
        <v>90</v>
      </c>
      <c r="G3295" s="22">
        <v>57.5</v>
      </c>
      <c r="H3295" s="18">
        <v>200.15</v>
      </c>
      <c r="I3295" s="18">
        <v>3.4808695649999999</v>
      </c>
      <c r="J3295" s="18">
        <v>3.5</v>
      </c>
      <c r="K3295" s="18">
        <v>3.46</v>
      </c>
      <c r="L3295" s="22">
        <v>2</v>
      </c>
    </row>
    <row r="3296" spans="1:12">
      <c r="A3296">
        <v>4</v>
      </c>
      <c r="B3296" s="16" t="s">
        <v>59</v>
      </c>
      <c r="C3296" s="9">
        <v>45992</v>
      </c>
      <c r="D3296">
        <v>22</v>
      </c>
      <c r="E3296" s="16" t="s">
        <v>110</v>
      </c>
      <c r="F3296" s="16" t="s">
        <v>90</v>
      </c>
      <c r="G3296" s="22">
        <v>62.5</v>
      </c>
      <c r="H3296" s="18">
        <v>215.25</v>
      </c>
      <c r="I3296" s="18">
        <v>3.444</v>
      </c>
      <c r="J3296" s="18">
        <v>3.47</v>
      </c>
      <c r="K3296" s="18">
        <v>3.42</v>
      </c>
      <c r="L3296" s="22">
        <v>2</v>
      </c>
    </row>
    <row r="3297" spans="1:12">
      <c r="A3297">
        <v>4</v>
      </c>
      <c r="B3297" s="16" t="s">
        <v>59</v>
      </c>
      <c r="C3297" s="9">
        <v>46023</v>
      </c>
      <c r="D3297">
        <v>22</v>
      </c>
      <c r="E3297" s="16" t="s">
        <v>110</v>
      </c>
      <c r="F3297" s="16" t="s">
        <v>90</v>
      </c>
      <c r="G3297" s="22">
        <v>45</v>
      </c>
      <c r="H3297" s="18">
        <v>156.44999999999999</v>
      </c>
      <c r="I3297" s="18">
        <v>3.4766666669999999</v>
      </c>
      <c r="J3297" s="18">
        <v>3.53</v>
      </c>
      <c r="K3297" s="18">
        <v>3.41</v>
      </c>
      <c r="L3297" s="22">
        <v>2</v>
      </c>
    </row>
    <row r="3298" spans="1:12">
      <c r="A3298">
        <v>4</v>
      </c>
      <c r="B3298" s="16" t="s">
        <v>59</v>
      </c>
      <c r="C3298" s="9">
        <v>46054</v>
      </c>
      <c r="D3298">
        <v>22</v>
      </c>
      <c r="E3298" s="16" t="s">
        <v>110</v>
      </c>
      <c r="F3298" s="16" t="s">
        <v>90</v>
      </c>
      <c r="G3298" s="22">
        <v>47.5</v>
      </c>
      <c r="H3298" s="18">
        <v>162.02500000000001</v>
      </c>
      <c r="I3298" s="18">
        <v>3.4110526320000001</v>
      </c>
      <c r="J3298" s="18">
        <v>3.44</v>
      </c>
      <c r="K3298" s="18">
        <v>3.39</v>
      </c>
      <c r="L3298" s="22">
        <v>2</v>
      </c>
    </row>
    <row r="3299" spans="1:12">
      <c r="A3299">
        <v>4</v>
      </c>
      <c r="B3299" s="16" t="s">
        <v>59</v>
      </c>
      <c r="C3299" s="9">
        <v>46082</v>
      </c>
      <c r="D3299">
        <v>22</v>
      </c>
      <c r="E3299" s="16" t="s">
        <v>110</v>
      </c>
      <c r="F3299" s="16" t="s">
        <v>90</v>
      </c>
      <c r="G3299" s="22">
        <v>72.5</v>
      </c>
      <c r="H3299" s="18">
        <v>251.05</v>
      </c>
      <c r="I3299" s="18">
        <v>3.4627586209999999</v>
      </c>
      <c r="J3299" s="18">
        <v>3.5</v>
      </c>
      <c r="K3299" s="18">
        <v>3.38</v>
      </c>
      <c r="L3299" s="22">
        <v>3</v>
      </c>
    </row>
    <row r="3300" spans="1:12">
      <c r="A3300">
        <v>4</v>
      </c>
      <c r="B3300" s="16" t="s">
        <v>59</v>
      </c>
      <c r="C3300" s="9">
        <v>46113</v>
      </c>
      <c r="D3300">
        <v>22</v>
      </c>
      <c r="E3300" s="16" t="s">
        <v>110</v>
      </c>
      <c r="F3300" s="16" t="s">
        <v>90</v>
      </c>
      <c r="G3300" s="22">
        <v>45</v>
      </c>
      <c r="H3300" s="18">
        <v>156.02500000000001</v>
      </c>
      <c r="I3300" s="18">
        <v>3.4672222220000002</v>
      </c>
      <c r="J3300" s="18">
        <v>3.51</v>
      </c>
      <c r="K3300" s="18">
        <v>3.44</v>
      </c>
      <c r="L3300" s="22">
        <v>2</v>
      </c>
    </row>
    <row r="3301" spans="1:12">
      <c r="A3301">
        <v>4</v>
      </c>
      <c r="B3301" s="16" t="s">
        <v>59</v>
      </c>
      <c r="C3301" s="9">
        <v>46143</v>
      </c>
      <c r="D3301">
        <v>22</v>
      </c>
      <c r="E3301" s="16" t="s">
        <v>110</v>
      </c>
      <c r="F3301" s="16" t="s">
        <v>90</v>
      </c>
      <c r="G3301" s="22">
        <v>47.5</v>
      </c>
      <c r="H3301" s="18">
        <v>162.19999999999999</v>
      </c>
      <c r="I3301" s="18">
        <v>3.4147368419999999</v>
      </c>
      <c r="J3301" s="18">
        <v>3.42</v>
      </c>
      <c r="K3301" s="18">
        <v>3.41</v>
      </c>
      <c r="L3301" s="22">
        <v>2</v>
      </c>
    </row>
    <row r="3302" spans="1:12">
      <c r="A3302">
        <v>4</v>
      </c>
      <c r="B3302" s="16" t="s">
        <v>59</v>
      </c>
      <c r="C3302" s="9">
        <v>46174</v>
      </c>
      <c r="D3302">
        <v>22</v>
      </c>
      <c r="E3302" s="16" t="s">
        <v>110</v>
      </c>
      <c r="F3302" s="16" t="s">
        <v>90</v>
      </c>
      <c r="G3302" s="22">
        <v>47.5</v>
      </c>
      <c r="H3302" s="18">
        <v>164.375</v>
      </c>
      <c r="I3302" s="18">
        <v>3.4605263160000002</v>
      </c>
      <c r="J3302" s="18">
        <v>3.47</v>
      </c>
      <c r="K3302" s="18">
        <v>3.45</v>
      </c>
      <c r="L3302" s="22">
        <v>2</v>
      </c>
    </row>
    <row r="3303" spans="1:12">
      <c r="A3303">
        <v>4</v>
      </c>
      <c r="B3303" s="16" t="s">
        <v>59</v>
      </c>
      <c r="C3303" s="9">
        <v>46204</v>
      </c>
      <c r="D3303">
        <v>22</v>
      </c>
      <c r="E3303" s="16" t="s">
        <v>110</v>
      </c>
      <c r="F3303" s="16" t="s">
        <v>90</v>
      </c>
      <c r="G3303" s="22">
        <v>42.5</v>
      </c>
      <c r="H3303" s="18">
        <v>147</v>
      </c>
      <c r="I3303" s="18">
        <v>3.458823529</v>
      </c>
      <c r="J3303" s="18">
        <v>3.48</v>
      </c>
      <c r="K3303" s="18">
        <v>3.44</v>
      </c>
      <c r="L3303" s="22">
        <v>2</v>
      </c>
    </row>
    <row r="3304" spans="1:12">
      <c r="A3304">
        <v>4</v>
      </c>
      <c r="B3304" s="16" t="s">
        <v>59</v>
      </c>
      <c r="C3304" s="9">
        <v>46235</v>
      </c>
      <c r="D3304">
        <v>22</v>
      </c>
      <c r="E3304" s="16" t="s">
        <v>110</v>
      </c>
      <c r="F3304" s="16" t="s">
        <v>90</v>
      </c>
      <c r="G3304" s="22">
        <v>57.5</v>
      </c>
      <c r="H3304" s="18">
        <v>197.9</v>
      </c>
      <c r="I3304" s="18">
        <v>3.4417391300000002</v>
      </c>
      <c r="J3304" s="18">
        <v>3.48</v>
      </c>
      <c r="K3304" s="18">
        <v>3.42</v>
      </c>
      <c r="L3304" s="22">
        <v>3</v>
      </c>
    </row>
    <row r="3305" spans="1:12">
      <c r="A3305">
        <v>4</v>
      </c>
      <c r="B3305" s="16" t="s">
        <v>59</v>
      </c>
      <c r="C3305" s="9">
        <v>46266</v>
      </c>
      <c r="D3305">
        <v>22</v>
      </c>
      <c r="E3305" s="16" t="s">
        <v>110</v>
      </c>
      <c r="F3305" s="16" t="s">
        <v>90</v>
      </c>
      <c r="G3305" s="22">
        <v>32.5</v>
      </c>
      <c r="H3305" s="18">
        <v>113.2</v>
      </c>
      <c r="I3305" s="18">
        <v>3.483076923</v>
      </c>
      <c r="J3305" s="18">
        <v>3.52</v>
      </c>
      <c r="K3305" s="18">
        <v>3.4</v>
      </c>
      <c r="L3305" s="22">
        <v>2</v>
      </c>
    </row>
    <row r="3306" spans="1:12">
      <c r="A3306">
        <v>4</v>
      </c>
      <c r="B3306" s="16" t="s">
        <v>59</v>
      </c>
      <c r="C3306" s="9">
        <v>45689</v>
      </c>
      <c r="D3306">
        <v>23</v>
      </c>
      <c r="E3306" s="16" t="s">
        <v>111</v>
      </c>
      <c r="F3306" s="16" t="s">
        <v>92</v>
      </c>
      <c r="G3306" s="22">
        <v>48</v>
      </c>
      <c r="H3306" s="18">
        <v>237.56</v>
      </c>
      <c r="I3306" s="18">
        <v>4.9491666670000001</v>
      </c>
      <c r="J3306" s="18">
        <v>5.21</v>
      </c>
      <c r="K3306" s="18">
        <v>4.8600000000000003</v>
      </c>
      <c r="L3306" s="22">
        <v>12</v>
      </c>
    </row>
    <row r="3307" spans="1:12">
      <c r="A3307">
        <v>4</v>
      </c>
      <c r="B3307" s="16" t="s">
        <v>59</v>
      </c>
      <c r="C3307" s="9">
        <v>45717</v>
      </c>
      <c r="D3307">
        <v>23</v>
      </c>
      <c r="E3307" s="16" t="s">
        <v>111</v>
      </c>
      <c r="F3307" s="16" t="s">
        <v>92</v>
      </c>
      <c r="G3307" s="22">
        <v>42</v>
      </c>
      <c r="H3307" s="18">
        <v>192.24</v>
      </c>
      <c r="I3307" s="18">
        <v>4.5771428570000001</v>
      </c>
      <c r="J3307" s="18">
        <v>4.68</v>
      </c>
      <c r="K3307" s="18">
        <v>4.51</v>
      </c>
      <c r="L3307" s="22">
        <v>13</v>
      </c>
    </row>
    <row r="3308" spans="1:12">
      <c r="A3308">
        <v>4</v>
      </c>
      <c r="B3308" s="16" t="s">
        <v>59</v>
      </c>
      <c r="C3308" s="9">
        <v>45748</v>
      </c>
      <c r="D3308">
        <v>23</v>
      </c>
      <c r="E3308" s="16" t="s">
        <v>111</v>
      </c>
      <c r="F3308" s="16" t="s">
        <v>92</v>
      </c>
      <c r="G3308" s="22">
        <v>54</v>
      </c>
      <c r="H3308" s="18">
        <v>221.64</v>
      </c>
      <c r="I3308" s="18">
        <v>4.1044444440000003</v>
      </c>
      <c r="J3308" s="18">
        <v>4.21</v>
      </c>
      <c r="K3308" s="18">
        <v>4</v>
      </c>
      <c r="L3308" s="22">
        <v>13</v>
      </c>
    </row>
    <row r="3309" spans="1:12">
      <c r="A3309">
        <v>4</v>
      </c>
      <c r="B3309" s="16" t="s">
        <v>59</v>
      </c>
      <c r="C3309" s="9">
        <v>45778</v>
      </c>
      <c r="D3309">
        <v>23</v>
      </c>
      <c r="E3309" s="16" t="s">
        <v>111</v>
      </c>
      <c r="F3309" s="16" t="s">
        <v>92</v>
      </c>
      <c r="G3309" s="22">
        <v>64</v>
      </c>
      <c r="H3309" s="18">
        <v>232.98</v>
      </c>
      <c r="I3309" s="18">
        <v>3.6403124999999998</v>
      </c>
      <c r="J3309" s="18">
        <v>3.69</v>
      </c>
      <c r="K3309" s="18">
        <v>3.55</v>
      </c>
      <c r="L3309" s="22">
        <v>13</v>
      </c>
    </row>
    <row r="3310" spans="1:12">
      <c r="A3310">
        <v>4</v>
      </c>
      <c r="B3310" s="16" t="s">
        <v>59</v>
      </c>
      <c r="C3310" s="9">
        <v>45809</v>
      </c>
      <c r="D3310">
        <v>23</v>
      </c>
      <c r="E3310" s="16" t="s">
        <v>111</v>
      </c>
      <c r="F3310" s="16" t="s">
        <v>92</v>
      </c>
      <c r="G3310" s="22">
        <v>60</v>
      </c>
      <c r="H3310" s="18">
        <v>195.16</v>
      </c>
      <c r="I3310" s="18">
        <v>3.2526666670000002</v>
      </c>
      <c r="J3310" s="18">
        <v>3.32</v>
      </c>
      <c r="K3310" s="18">
        <v>3.21</v>
      </c>
      <c r="L3310" s="22">
        <v>13</v>
      </c>
    </row>
    <row r="3311" spans="1:12">
      <c r="A3311">
        <v>4</v>
      </c>
      <c r="B3311" s="16" t="s">
        <v>59</v>
      </c>
      <c r="C3311" s="9">
        <v>45839</v>
      </c>
      <c r="D3311">
        <v>23</v>
      </c>
      <c r="E3311" s="16" t="s">
        <v>111</v>
      </c>
      <c r="F3311" s="16" t="s">
        <v>92</v>
      </c>
      <c r="G3311" s="22">
        <v>52</v>
      </c>
      <c r="H3311" s="18">
        <v>162.12</v>
      </c>
      <c r="I3311" s="18">
        <v>3.1176923080000001</v>
      </c>
      <c r="J3311" s="18">
        <v>3.2</v>
      </c>
      <c r="K3311" s="18">
        <v>3.02</v>
      </c>
      <c r="L3311" s="22">
        <v>13</v>
      </c>
    </row>
    <row r="3312" spans="1:12">
      <c r="A3312">
        <v>4</v>
      </c>
      <c r="B3312" s="16" t="s">
        <v>59</v>
      </c>
      <c r="C3312" s="9">
        <v>45870</v>
      </c>
      <c r="D3312">
        <v>23</v>
      </c>
      <c r="E3312" s="16" t="s">
        <v>111</v>
      </c>
      <c r="F3312" s="16" t="s">
        <v>92</v>
      </c>
      <c r="G3312" s="22">
        <v>88</v>
      </c>
      <c r="H3312" s="18">
        <v>282.5</v>
      </c>
      <c r="I3312" s="18">
        <v>3.2102272730000001</v>
      </c>
      <c r="J3312" s="18">
        <v>3.27</v>
      </c>
      <c r="K3312" s="18">
        <v>3.15</v>
      </c>
      <c r="L3312" s="22">
        <v>13</v>
      </c>
    </row>
    <row r="3313" spans="1:12">
      <c r="A3313">
        <v>4</v>
      </c>
      <c r="B3313" s="16" t="s">
        <v>59</v>
      </c>
      <c r="C3313" s="9">
        <v>45901</v>
      </c>
      <c r="D3313">
        <v>23</v>
      </c>
      <c r="E3313" s="16" t="s">
        <v>111</v>
      </c>
      <c r="F3313" s="16" t="s">
        <v>92</v>
      </c>
      <c r="G3313" s="22">
        <v>64</v>
      </c>
      <c r="H3313" s="18">
        <v>231.54</v>
      </c>
      <c r="I3313" s="18">
        <v>3.6178124999999999</v>
      </c>
      <c r="J3313" s="18">
        <v>3.72</v>
      </c>
      <c r="K3313" s="18">
        <v>3.53</v>
      </c>
      <c r="L3313" s="22">
        <v>13</v>
      </c>
    </row>
    <row r="3314" spans="1:12">
      <c r="A3314">
        <v>4</v>
      </c>
      <c r="B3314" s="16" t="s">
        <v>59</v>
      </c>
      <c r="C3314" s="9">
        <v>45931</v>
      </c>
      <c r="D3314">
        <v>23</v>
      </c>
      <c r="E3314" s="16" t="s">
        <v>111</v>
      </c>
      <c r="F3314" s="16" t="s">
        <v>92</v>
      </c>
      <c r="G3314" s="22">
        <v>68</v>
      </c>
      <c r="H3314" s="18">
        <v>280.60000000000002</v>
      </c>
      <c r="I3314" s="18">
        <v>4.1264705880000001</v>
      </c>
      <c r="J3314" s="18">
        <v>4.1900000000000004</v>
      </c>
      <c r="K3314" s="18">
        <v>4.04</v>
      </c>
      <c r="L3314" s="22">
        <v>14</v>
      </c>
    </row>
    <row r="3315" spans="1:12">
      <c r="A3315">
        <v>4</v>
      </c>
      <c r="B3315" s="16" t="s">
        <v>59</v>
      </c>
      <c r="C3315" s="9">
        <v>45962</v>
      </c>
      <c r="D3315">
        <v>23</v>
      </c>
      <c r="E3315" s="16" t="s">
        <v>111</v>
      </c>
      <c r="F3315" s="16" t="s">
        <v>92</v>
      </c>
      <c r="G3315" s="22">
        <v>56</v>
      </c>
      <c r="H3315" s="18">
        <v>259.54000000000002</v>
      </c>
      <c r="I3315" s="18">
        <v>4.6346428570000002</v>
      </c>
      <c r="J3315" s="18">
        <v>4.7300000000000004</v>
      </c>
      <c r="K3315" s="18">
        <v>4.55</v>
      </c>
      <c r="L3315" s="22">
        <v>12</v>
      </c>
    </row>
    <row r="3316" spans="1:12">
      <c r="A3316">
        <v>4</v>
      </c>
      <c r="B3316" s="16" t="s">
        <v>59</v>
      </c>
      <c r="C3316" s="9">
        <v>45992</v>
      </c>
      <c r="D3316">
        <v>23</v>
      </c>
      <c r="E3316" s="16" t="s">
        <v>111</v>
      </c>
      <c r="F3316" s="16" t="s">
        <v>92</v>
      </c>
      <c r="G3316" s="22">
        <v>68</v>
      </c>
      <c r="H3316" s="18">
        <v>343.64</v>
      </c>
      <c r="I3316" s="18">
        <v>5.0535294119999996</v>
      </c>
      <c r="J3316" s="18">
        <v>5.13</v>
      </c>
      <c r="K3316" s="18">
        <v>4.96</v>
      </c>
      <c r="L3316" s="22">
        <v>14</v>
      </c>
    </row>
    <row r="3317" spans="1:12">
      <c r="A3317">
        <v>4</v>
      </c>
      <c r="B3317" s="16" t="s">
        <v>59</v>
      </c>
      <c r="C3317" s="9">
        <v>46023</v>
      </c>
      <c r="D3317">
        <v>23</v>
      </c>
      <c r="E3317" s="16" t="s">
        <v>111</v>
      </c>
      <c r="F3317" s="16" t="s">
        <v>92</v>
      </c>
      <c r="G3317" s="22">
        <v>52</v>
      </c>
      <c r="H3317" s="18">
        <v>270.7</v>
      </c>
      <c r="I3317" s="18">
        <v>5.2057692309999997</v>
      </c>
      <c r="J3317" s="18">
        <v>5.32</v>
      </c>
      <c r="K3317" s="18">
        <v>5.08</v>
      </c>
      <c r="L3317" s="22">
        <v>13</v>
      </c>
    </row>
    <row r="3318" spans="1:12">
      <c r="A3318">
        <v>4</v>
      </c>
      <c r="B3318" s="16" t="s">
        <v>59</v>
      </c>
      <c r="C3318" s="9">
        <v>46054</v>
      </c>
      <c r="D3318">
        <v>23</v>
      </c>
      <c r="E3318" s="16" t="s">
        <v>111</v>
      </c>
      <c r="F3318" s="16" t="s">
        <v>92</v>
      </c>
      <c r="G3318" s="22">
        <v>56</v>
      </c>
      <c r="H3318" s="18">
        <v>285.98</v>
      </c>
      <c r="I3318" s="18">
        <v>5.1067857139999999</v>
      </c>
      <c r="J3318" s="18">
        <v>5.33</v>
      </c>
      <c r="K3318" s="18">
        <v>4.95</v>
      </c>
      <c r="L3318" s="22">
        <v>12</v>
      </c>
    </row>
    <row r="3319" spans="1:12">
      <c r="A3319">
        <v>4</v>
      </c>
      <c r="B3319" s="16" t="s">
        <v>59</v>
      </c>
      <c r="C3319" s="9">
        <v>46082</v>
      </c>
      <c r="D3319">
        <v>23</v>
      </c>
      <c r="E3319" s="16" t="s">
        <v>111</v>
      </c>
      <c r="F3319" s="16" t="s">
        <v>92</v>
      </c>
      <c r="G3319" s="22">
        <v>48</v>
      </c>
      <c r="H3319" s="18">
        <v>224.6</v>
      </c>
      <c r="I3319" s="18">
        <v>4.6791666669999996</v>
      </c>
      <c r="J3319" s="18">
        <v>4.7699999999999996</v>
      </c>
      <c r="K3319" s="18">
        <v>4.55</v>
      </c>
      <c r="L3319" s="22">
        <v>12</v>
      </c>
    </row>
    <row r="3320" spans="1:12">
      <c r="A3320">
        <v>4</v>
      </c>
      <c r="B3320" s="16" t="s">
        <v>59</v>
      </c>
      <c r="C3320" s="9">
        <v>46113</v>
      </c>
      <c r="D3320">
        <v>23</v>
      </c>
      <c r="E3320" s="16" t="s">
        <v>111</v>
      </c>
      <c r="F3320" s="16" t="s">
        <v>92</v>
      </c>
      <c r="G3320" s="22">
        <v>62</v>
      </c>
      <c r="H3320" s="18">
        <v>255.48</v>
      </c>
      <c r="I3320" s="18">
        <v>4.1206451609999997</v>
      </c>
      <c r="J3320" s="18">
        <v>4.2</v>
      </c>
      <c r="K3320" s="18">
        <v>4</v>
      </c>
      <c r="L3320" s="22">
        <v>13</v>
      </c>
    </row>
    <row r="3321" spans="1:12">
      <c r="A3321">
        <v>4</v>
      </c>
      <c r="B3321" s="16" t="s">
        <v>59</v>
      </c>
      <c r="C3321" s="9">
        <v>46143</v>
      </c>
      <c r="D3321">
        <v>23</v>
      </c>
      <c r="E3321" s="16" t="s">
        <v>111</v>
      </c>
      <c r="F3321" s="16" t="s">
        <v>92</v>
      </c>
      <c r="G3321" s="22">
        <v>72</v>
      </c>
      <c r="H3321" s="18">
        <v>260.22000000000003</v>
      </c>
      <c r="I3321" s="18">
        <v>3.6141666670000001</v>
      </c>
      <c r="J3321" s="18">
        <v>3.68</v>
      </c>
      <c r="K3321" s="18">
        <v>3.54</v>
      </c>
      <c r="L3321" s="22">
        <v>13</v>
      </c>
    </row>
    <row r="3322" spans="1:12">
      <c r="A3322">
        <v>4</v>
      </c>
      <c r="B3322" s="16" t="s">
        <v>59</v>
      </c>
      <c r="C3322" s="9">
        <v>46174</v>
      </c>
      <c r="D3322">
        <v>23</v>
      </c>
      <c r="E3322" s="16" t="s">
        <v>111</v>
      </c>
      <c r="F3322" s="16" t="s">
        <v>92</v>
      </c>
      <c r="G3322" s="22">
        <v>68</v>
      </c>
      <c r="H3322" s="18">
        <v>219.58</v>
      </c>
      <c r="I3322" s="18">
        <v>3.2291176469999998</v>
      </c>
      <c r="J3322" s="18">
        <v>3.31</v>
      </c>
      <c r="K3322" s="18">
        <v>3.15</v>
      </c>
      <c r="L3322" s="22">
        <v>13</v>
      </c>
    </row>
    <row r="3323" spans="1:12">
      <c r="A3323">
        <v>4</v>
      </c>
      <c r="B3323" s="16" t="s">
        <v>59</v>
      </c>
      <c r="C3323" s="9">
        <v>46204</v>
      </c>
      <c r="D3323">
        <v>23</v>
      </c>
      <c r="E3323" s="16" t="s">
        <v>111</v>
      </c>
      <c r="F3323" s="16" t="s">
        <v>92</v>
      </c>
      <c r="G3323" s="22">
        <v>82</v>
      </c>
      <c r="H3323" s="18">
        <v>255.72</v>
      </c>
      <c r="I3323" s="18">
        <v>3.1185365850000002</v>
      </c>
      <c r="J3323" s="18">
        <v>3.17</v>
      </c>
      <c r="K3323" s="18">
        <v>3.04</v>
      </c>
      <c r="L3323" s="22">
        <v>14</v>
      </c>
    </row>
    <row r="3324" spans="1:12">
      <c r="A3324">
        <v>4</v>
      </c>
      <c r="B3324" s="16" t="s">
        <v>59</v>
      </c>
      <c r="C3324" s="9">
        <v>46235</v>
      </c>
      <c r="D3324">
        <v>23</v>
      </c>
      <c r="E3324" s="16" t="s">
        <v>111</v>
      </c>
      <c r="F3324" s="16" t="s">
        <v>92</v>
      </c>
      <c r="G3324" s="22">
        <v>58</v>
      </c>
      <c r="H3324" s="18">
        <v>190.6</v>
      </c>
      <c r="I3324" s="18">
        <v>3.286206897</v>
      </c>
      <c r="J3324" s="18">
        <v>3.45</v>
      </c>
      <c r="K3324" s="18">
        <v>3.24</v>
      </c>
      <c r="L3324" s="22">
        <v>12</v>
      </c>
    </row>
    <row r="3325" spans="1:12">
      <c r="A3325">
        <v>4</v>
      </c>
      <c r="B3325" s="16" t="s">
        <v>59</v>
      </c>
      <c r="C3325" s="9">
        <v>46266</v>
      </c>
      <c r="D3325">
        <v>23</v>
      </c>
      <c r="E3325" s="16" t="s">
        <v>111</v>
      </c>
      <c r="F3325" s="16" t="s">
        <v>92</v>
      </c>
      <c r="G3325" s="22">
        <v>68</v>
      </c>
      <c r="H3325" s="18">
        <v>248.62</v>
      </c>
      <c r="I3325" s="18">
        <v>3.6561764710000002</v>
      </c>
      <c r="J3325" s="18">
        <v>3.72</v>
      </c>
      <c r="K3325" s="18">
        <v>3.63</v>
      </c>
      <c r="L3325" s="22">
        <v>13</v>
      </c>
    </row>
    <row r="3326" spans="1:12">
      <c r="A3326">
        <v>4</v>
      </c>
      <c r="B3326" s="16" t="s">
        <v>59</v>
      </c>
      <c r="C3326" s="9">
        <v>45689</v>
      </c>
      <c r="D3326">
        <v>26</v>
      </c>
      <c r="E3326" s="16" t="s">
        <v>115</v>
      </c>
      <c r="F3326" s="16" t="s">
        <v>90</v>
      </c>
      <c r="G3326" s="22">
        <v>1.25</v>
      </c>
      <c r="H3326" s="18">
        <v>7.35</v>
      </c>
      <c r="I3326" s="18">
        <v>5.88</v>
      </c>
      <c r="J3326" s="18">
        <v>5.88</v>
      </c>
      <c r="K3326" s="18">
        <v>5.88</v>
      </c>
      <c r="L3326" s="22">
        <v>1</v>
      </c>
    </row>
    <row r="3327" spans="1:12">
      <c r="A3327">
        <v>4</v>
      </c>
      <c r="B3327" s="16" t="s">
        <v>59</v>
      </c>
      <c r="C3327" s="9">
        <v>45748</v>
      </c>
      <c r="D3327">
        <v>26</v>
      </c>
      <c r="E3327" s="16" t="s">
        <v>115</v>
      </c>
      <c r="F3327" s="16" t="s">
        <v>90</v>
      </c>
      <c r="G3327" s="22">
        <v>1.25</v>
      </c>
      <c r="H3327" s="18">
        <v>7.3250000000000002</v>
      </c>
      <c r="I3327" s="18">
        <v>5.86</v>
      </c>
      <c r="J3327" s="18">
        <v>5.86</v>
      </c>
      <c r="K3327" s="18">
        <v>5.86</v>
      </c>
      <c r="L3327" s="22">
        <v>1</v>
      </c>
    </row>
    <row r="3328" spans="1:12">
      <c r="A3328">
        <v>4</v>
      </c>
      <c r="B3328" s="16" t="s">
        <v>59</v>
      </c>
      <c r="C3328" s="9">
        <v>45778</v>
      </c>
      <c r="D3328">
        <v>26</v>
      </c>
      <c r="E3328" s="16" t="s">
        <v>115</v>
      </c>
      <c r="F3328" s="16" t="s">
        <v>90</v>
      </c>
      <c r="G3328" s="22">
        <v>1.25</v>
      </c>
      <c r="H3328" s="18">
        <v>7.2374999999999998</v>
      </c>
      <c r="I3328" s="18">
        <v>5.79</v>
      </c>
      <c r="J3328" s="18">
        <v>5.79</v>
      </c>
      <c r="K3328" s="18">
        <v>5.79</v>
      </c>
      <c r="L3328" s="22">
        <v>1</v>
      </c>
    </row>
    <row r="3329" spans="1:12">
      <c r="A3329">
        <v>4</v>
      </c>
      <c r="B3329" s="16" t="s">
        <v>59</v>
      </c>
      <c r="C3329" s="9">
        <v>45809</v>
      </c>
      <c r="D3329">
        <v>26</v>
      </c>
      <c r="E3329" s="16" t="s">
        <v>115</v>
      </c>
      <c r="F3329" s="16" t="s">
        <v>90</v>
      </c>
      <c r="G3329" s="22">
        <v>1.25</v>
      </c>
      <c r="H3329" s="18">
        <v>7.2125000000000004</v>
      </c>
      <c r="I3329" s="18">
        <v>5.77</v>
      </c>
      <c r="J3329" s="18">
        <v>5.77</v>
      </c>
      <c r="K3329" s="18">
        <v>5.77</v>
      </c>
      <c r="L3329" s="22">
        <v>1</v>
      </c>
    </row>
    <row r="3330" spans="1:12">
      <c r="A3330">
        <v>4</v>
      </c>
      <c r="B3330" s="16" t="s">
        <v>59</v>
      </c>
      <c r="C3330" s="9">
        <v>45870</v>
      </c>
      <c r="D3330">
        <v>26</v>
      </c>
      <c r="E3330" s="16" t="s">
        <v>115</v>
      </c>
      <c r="F3330" s="16" t="s">
        <v>90</v>
      </c>
      <c r="G3330" s="22">
        <v>1.25</v>
      </c>
      <c r="H3330" s="18">
        <v>7.3125</v>
      </c>
      <c r="I3330" s="18">
        <v>5.85</v>
      </c>
      <c r="J3330" s="18">
        <v>5.85</v>
      </c>
      <c r="K3330" s="18">
        <v>5.85</v>
      </c>
      <c r="L3330" s="22">
        <v>1</v>
      </c>
    </row>
    <row r="3331" spans="1:12">
      <c r="A3331">
        <v>4</v>
      </c>
      <c r="B3331" s="16" t="s">
        <v>59</v>
      </c>
      <c r="C3331" s="9">
        <v>45901</v>
      </c>
      <c r="D3331">
        <v>26</v>
      </c>
      <c r="E3331" s="16" t="s">
        <v>115</v>
      </c>
      <c r="F3331" s="16" t="s">
        <v>90</v>
      </c>
      <c r="G3331" s="22">
        <v>1.25</v>
      </c>
      <c r="H3331" s="18">
        <v>7.3250000000000002</v>
      </c>
      <c r="I3331" s="18">
        <v>5.86</v>
      </c>
      <c r="J3331" s="18">
        <v>5.86</v>
      </c>
      <c r="K3331" s="18">
        <v>5.86</v>
      </c>
      <c r="L3331" s="22">
        <v>1</v>
      </c>
    </row>
    <row r="3332" spans="1:12">
      <c r="A3332">
        <v>4</v>
      </c>
      <c r="B3332" s="16" t="s">
        <v>59</v>
      </c>
      <c r="C3332" s="9">
        <v>45931</v>
      </c>
      <c r="D3332">
        <v>26</v>
      </c>
      <c r="E3332" s="16" t="s">
        <v>115</v>
      </c>
      <c r="F3332" s="16" t="s">
        <v>90</v>
      </c>
      <c r="G3332" s="22">
        <v>1.25</v>
      </c>
      <c r="H3332" s="18">
        <v>7.2249999999999996</v>
      </c>
      <c r="I3332" s="18">
        <v>5.78</v>
      </c>
      <c r="J3332" s="18">
        <v>5.78</v>
      </c>
      <c r="K3332" s="18">
        <v>5.78</v>
      </c>
      <c r="L3332" s="22">
        <v>1</v>
      </c>
    </row>
    <row r="3333" spans="1:12">
      <c r="A3333">
        <v>4</v>
      </c>
      <c r="B3333" s="16" t="s">
        <v>59</v>
      </c>
      <c r="C3333" s="9">
        <v>45962</v>
      </c>
      <c r="D3333">
        <v>26</v>
      </c>
      <c r="E3333" s="16" t="s">
        <v>115</v>
      </c>
      <c r="F3333" s="16" t="s">
        <v>90</v>
      </c>
      <c r="G3333" s="22">
        <v>1.25</v>
      </c>
      <c r="H3333" s="18">
        <v>7.3125</v>
      </c>
      <c r="I3333" s="18">
        <v>5.85</v>
      </c>
      <c r="J3333" s="18">
        <v>5.85</v>
      </c>
      <c r="K3333" s="18">
        <v>5.85</v>
      </c>
      <c r="L3333" s="22">
        <v>1</v>
      </c>
    </row>
    <row r="3334" spans="1:12">
      <c r="A3334">
        <v>4</v>
      </c>
      <c r="B3334" s="16" t="s">
        <v>59</v>
      </c>
      <c r="C3334" s="9">
        <v>45992</v>
      </c>
      <c r="D3334">
        <v>26</v>
      </c>
      <c r="E3334" s="16" t="s">
        <v>115</v>
      </c>
      <c r="F3334" s="16" t="s">
        <v>90</v>
      </c>
      <c r="G3334" s="22">
        <v>1.25</v>
      </c>
      <c r="H3334" s="18">
        <v>7.3624999999999998</v>
      </c>
      <c r="I3334" s="18">
        <v>5.89</v>
      </c>
      <c r="J3334" s="18">
        <v>5.89</v>
      </c>
      <c r="K3334" s="18">
        <v>5.89</v>
      </c>
      <c r="L3334" s="22">
        <v>1</v>
      </c>
    </row>
    <row r="3335" spans="1:12">
      <c r="A3335">
        <v>4</v>
      </c>
      <c r="B3335" s="16" t="s">
        <v>59</v>
      </c>
      <c r="C3335" s="9">
        <v>46054</v>
      </c>
      <c r="D3335">
        <v>26</v>
      </c>
      <c r="E3335" s="16" t="s">
        <v>115</v>
      </c>
      <c r="F3335" s="16" t="s">
        <v>90</v>
      </c>
      <c r="G3335" s="22">
        <v>1.25</v>
      </c>
      <c r="H3335" s="18">
        <v>7.6</v>
      </c>
      <c r="I3335" s="18">
        <v>6.08</v>
      </c>
      <c r="J3335" s="18">
        <v>6.08</v>
      </c>
      <c r="K3335" s="18">
        <v>6.08</v>
      </c>
      <c r="L3335" s="22">
        <v>1</v>
      </c>
    </row>
    <row r="3336" spans="1:12">
      <c r="A3336">
        <v>4</v>
      </c>
      <c r="B3336" s="16" t="s">
        <v>59</v>
      </c>
      <c r="C3336" s="9">
        <v>46113</v>
      </c>
      <c r="D3336">
        <v>26</v>
      </c>
      <c r="E3336" s="16" t="s">
        <v>115</v>
      </c>
      <c r="F3336" s="16" t="s">
        <v>90</v>
      </c>
      <c r="G3336" s="22">
        <v>1.25</v>
      </c>
      <c r="H3336" s="18">
        <v>7.4749999999999996</v>
      </c>
      <c r="I3336" s="18">
        <v>5.98</v>
      </c>
      <c r="J3336" s="18">
        <v>5.98</v>
      </c>
      <c r="K3336" s="18">
        <v>5.98</v>
      </c>
      <c r="L3336" s="22">
        <v>1</v>
      </c>
    </row>
    <row r="3337" spans="1:12">
      <c r="A3337">
        <v>4</v>
      </c>
      <c r="B3337" s="16" t="s">
        <v>59</v>
      </c>
      <c r="C3337" s="9">
        <v>46143</v>
      </c>
      <c r="D3337">
        <v>26</v>
      </c>
      <c r="E3337" s="16" t="s">
        <v>115</v>
      </c>
      <c r="F3337" s="16" t="s">
        <v>90</v>
      </c>
      <c r="G3337" s="22">
        <v>1.25</v>
      </c>
      <c r="H3337" s="18">
        <v>7.4249999999999998</v>
      </c>
      <c r="I3337" s="18">
        <v>5.94</v>
      </c>
      <c r="J3337" s="18">
        <v>5.94</v>
      </c>
      <c r="K3337" s="18">
        <v>5.94</v>
      </c>
      <c r="L3337" s="22">
        <v>1</v>
      </c>
    </row>
    <row r="3338" spans="1:12">
      <c r="A3338">
        <v>4</v>
      </c>
      <c r="B3338" s="16" t="s">
        <v>59</v>
      </c>
      <c r="C3338" s="9">
        <v>46204</v>
      </c>
      <c r="D3338">
        <v>26</v>
      </c>
      <c r="E3338" s="16" t="s">
        <v>115</v>
      </c>
      <c r="F3338" s="16" t="s">
        <v>90</v>
      </c>
      <c r="G3338" s="22">
        <v>1.25</v>
      </c>
      <c r="H3338" s="18">
        <v>7.4749999999999996</v>
      </c>
      <c r="I3338" s="18">
        <v>5.98</v>
      </c>
      <c r="J3338" s="18">
        <v>5.98</v>
      </c>
      <c r="K3338" s="18">
        <v>5.98</v>
      </c>
      <c r="L3338" s="22">
        <v>1</v>
      </c>
    </row>
    <row r="3339" spans="1:12">
      <c r="A3339">
        <v>4</v>
      </c>
      <c r="B3339" s="16" t="s">
        <v>59</v>
      </c>
      <c r="C3339" s="9">
        <v>46235</v>
      </c>
      <c r="D3339">
        <v>26</v>
      </c>
      <c r="E3339" s="16" t="s">
        <v>115</v>
      </c>
      <c r="F3339" s="16" t="s">
        <v>90</v>
      </c>
      <c r="G3339" s="22">
        <v>1.25</v>
      </c>
      <c r="H3339" s="18">
        <v>7.4625000000000004</v>
      </c>
      <c r="I3339" s="18">
        <v>5.97</v>
      </c>
      <c r="J3339" s="18">
        <v>5.97</v>
      </c>
      <c r="K3339" s="18">
        <v>5.97</v>
      </c>
      <c r="L3339" s="22">
        <v>1</v>
      </c>
    </row>
    <row r="3340" spans="1:12">
      <c r="A3340">
        <v>4</v>
      </c>
      <c r="B3340" s="16" t="s">
        <v>59</v>
      </c>
      <c r="C3340" s="9">
        <v>45689</v>
      </c>
      <c r="D3340">
        <v>27</v>
      </c>
      <c r="E3340" s="16" t="s">
        <v>116</v>
      </c>
      <c r="F3340" s="16" t="s">
        <v>90</v>
      </c>
      <c r="G3340" s="22">
        <v>12.5</v>
      </c>
      <c r="H3340" s="18">
        <v>9.375</v>
      </c>
      <c r="I3340" s="18">
        <v>0.75</v>
      </c>
      <c r="J3340" s="18">
        <v>0.76</v>
      </c>
      <c r="K3340" s="18">
        <v>0.74</v>
      </c>
      <c r="L3340" s="22">
        <v>2</v>
      </c>
    </row>
    <row r="3341" spans="1:12">
      <c r="A3341">
        <v>4</v>
      </c>
      <c r="B3341" s="16" t="s">
        <v>59</v>
      </c>
      <c r="C3341" s="9">
        <v>45717</v>
      </c>
      <c r="D3341">
        <v>27</v>
      </c>
      <c r="E3341" s="16" t="s">
        <v>116</v>
      </c>
      <c r="F3341" s="16" t="s">
        <v>90</v>
      </c>
      <c r="G3341" s="22">
        <v>12.5</v>
      </c>
      <c r="H3341" s="18">
        <v>9.1875</v>
      </c>
      <c r="I3341" s="18">
        <v>0.73499999999999999</v>
      </c>
      <c r="J3341" s="18">
        <v>0.74</v>
      </c>
      <c r="K3341" s="18">
        <v>0.73</v>
      </c>
      <c r="L3341" s="22">
        <v>2</v>
      </c>
    </row>
    <row r="3342" spans="1:12">
      <c r="A3342">
        <v>4</v>
      </c>
      <c r="B3342" s="16" t="s">
        <v>59</v>
      </c>
      <c r="C3342" s="9">
        <v>45748</v>
      </c>
      <c r="D3342">
        <v>27</v>
      </c>
      <c r="E3342" s="16" t="s">
        <v>116</v>
      </c>
      <c r="F3342" s="16" t="s">
        <v>90</v>
      </c>
      <c r="G3342" s="22">
        <v>18.75</v>
      </c>
      <c r="H3342" s="18">
        <v>13.875</v>
      </c>
      <c r="I3342" s="18">
        <v>0.74</v>
      </c>
      <c r="J3342" s="18">
        <v>0.74</v>
      </c>
      <c r="K3342" s="18">
        <v>0.74</v>
      </c>
      <c r="L3342" s="22">
        <v>3</v>
      </c>
    </row>
    <row r="3343" spans="1:12">
      <c r="A3343">
        <v>4</v>
      </c>
      <c r="B3343" s="16" t="s">
        <v>59</v>
      </c>
      <c r="C3343" s="9">
        <v>45778</v>
      </c>
      <c r="D3343">
        <v>27</v>
      </c>
      <c r="E3343" s="16" t="s">
        <v>116</v>
      </c>
      <c r="F3343" s="16" t="s">
        <v>90</v>
      </c>
      <c r="G3343" s="22">
        <v>12.5</v>
      </c>
      <c r="H3343" s="18">
        <v>9.5</v>
      </c>
      <c r="I3343" s="18">
        <v>0.76</v>
      </c>
      <c r="J3343" s="18">
        <v>0.76</v>
      </c>
      <c r="K3343" s="18">
        <v>0.76</v>
      </c>
      <c r="L3343" s="22">
        <v>2</v>
      </c>
    </row>
    <row r="3344" spans="1:12">
      <c r="A3344">
        <v>4</v>
      </c>
      <c r="B3344" s="16" t="s">
        <v>59</v>
      </c>
      <c r="C3344" s="9">
        <v>45809</v>
      </c>
      <c r="D3344">
        <v>27</v>
      </c>
      <c r="E3344" s="16" t="s">
        <v>116</v>
      </c>
      <c r="F3344" s="16" t="s">
        <v>90</v>
      </c>
      <c r="G3344" s="22">
        <v>12.5</v>
      </c>
      <c r="H3344" s="18">
        <v>9.5</v>
      </c>
      <c r="I3344" s="18">
        <v>0.76</v>
      </c>
      <c r="J3344" s="18">
        <v>0.76</v>
      </c>
      <c r="K3344" s="18">
        <v>0.76</v>
      </c>
      <c r="L3344" s="22">
        <v>2</v>
      </c>
    </row>
    <row r="3345" spans="1:12">
      <c r="A3345">
        <v>4</v>
      </c>
      <c r="B3345" s="16" t="s">
        <v>59</v>
      </c>
      <c r="C3345" s="9">
        <v>45839</v>
      </c>
      <c r="D3345">
        <v>27</v>
      </c>
      <c r="E3345" s="16" t="s">
        <v>116</v>
      </c>
      <c r="F3345" s="16" t="s">
        <v>90</v>
      </c>
      <c r="G3345" s="22">
        <v>18.75</v>
      </c>
      <c r="H3345" s="18">
        <v>14.25</v>
      </c>
      <c r="I3345" s="18">
        <v>0.76</v>
      </c>
      <c r="J3345" s="18">
        <v>0.76</v>
      </c>
      <c r="K3345" s="18">
        <v>0.76</v>
      </c>
      <c r="L3345" s="22">
        <v>2</v>
      </c>
    </row>
    <row r="3346" spans="1:12">
      <c r="A3346">
        <v>4</v>
      </c>
      <c r="B3346" s="16" t="s">
        <v>59</v>
      </c>
      <c r="C3346" s="9">
        <v>45870</v>
      </c>
      <c r="D3346">
        <v>27</v>
      </c>
      <c r="E3346" s="16" t="s">
        <v>116</v>
      </c>
      <c r="F3346" s="16" t="s">
        <v>90</v>
      </c>
      <c r="G3346" s="22">
        <v>12.5</v>
      </c>
      <c r="H3346" s="18">
        <v>9.4375</v>
      </c>
      <c r="I3346" s="18">
        <v>0.755</v>
      </c>
      <c r="J3346" s="18">
        <v>0.76</v>
      </c>
      <c r="K3346" s="18">
        <v>0.75</v>
      </c>
      <c r="L3346" s="22">
        <v>2</v>
      </c>
    </row>
    <row r="3347" spans="1:12">
      <c r="A3347">
        <v>4</v>
      </c>
      <c r="B3347" s="16" t="s">
        <v>59</v>
      </c>
      <c r="C3347" s="9">
        <v>45901</v>
      </c>
      <c r="D3347">
        <v>27</v>
      </c>
      <c r="E3347" s="16" t="s">
        <v>116</v>
      </c>
      <c r="F3347" s="16" t="s">
        <v>90</v>
      </c>
      <c r="G3347" s="22">
        <v>12.5</v>
      </c>
      <c r="H3347" s="18">
        <v>9.5</v>
      </c>
      <c r="I3347" s="18">
        <v>0.76</v>
      </c>
      <c r="J3347" s="18">
        <v>0.76</v>
      </c>
      <c r="K3347" s="18">
        <v>0.76</v>
      </c>
      <c r="L3347" s="22">
        <v>2</v>
      </c>
    </row>
    <row r="3348" spans="1:12">
      <c r="A3348">
        <v>4</v>
      </c>
      <c r="B3348" s="16" t="s">
        <v>59</v>
      </c>
      <c r="C3348" s="9">
        <v>45931</v>
      </c>
      <c r="D3348">
        <v>27</v>
      </c>
      <c r="E3348" s="16" t="s">
        <v>116</v>
      </c>
      <c r="F3348" s="16" t="s">
        <v>90</v>
      </c>
      <c r="G3348" s="22">
        <v>18.75</v>
      </c>
      <c r="H3348" s="18">
        <v>14.375</v>
      </c>
      <c r="I3348" s="18">
        <v>0.76666666699999997</v>
      </c>
      <c r="J3348" s="18">
        <v>0.78</v>
      </c>
      <c r="K3348" s="18">
        <v>0.76</v>
      </c>
      <c r="L3348" s="22">
        <v>3</v>
      </c>
    </row>
    <row r="3349" spans="1:12">
      <c r="A3349">
        <v>4</v>
      </c>
      <c r="B3349" s="16" t="s">
        <v>59</v>
      </c>
      <c r="C3349" s="9">
        <v>45962</v>
      </c>
      <c r="D3349">
        <v>27</v>
      </c>
      <c r="E3349" s="16" t="s">
        <v>116</v>
      </c>
      <c r="F3349" s="16" t="s">
        <v>90</v>
      </c>
      <c r="G3349" s="22">
        <v>12.5</v>
      </c>
      <c r="H3349" s="18">
        <v>9.5</v>
      </c>
      <c r="I3349" s="18">
        <v>0.76</v>
      </c>
      <c r="J3349" s="18">
        <v>0.76</v>
      </c>
      <c r="K3349" s="18">
        <v>0.76</v>
      </c>
      <c r="L3349" s="22">
        <v>2</v>
      </c>
    </row>
    <row r="3350" spans="1:12">
      <c r="A3350">
        <v>4</v>
      </c>
      <c r="B3350" s="16" t="s">
        <v>59</v>
      </c>
      <c r="C3350" s="9">
        <v>45992</v>
      </c>
      <c r="D3350">
        <v>27</v>
      </c>
      <c r="E3350" s="16" t="s">
        <v>116</v>
      </c>
      <c r="F3350" s="16" t="s">
        <v>90</v>
      </c>
      <c r="G3350" s="22">
        <v>12.5</v>
      </c>
      <c r="H3350" s="18">
        <v>9.625</v>
      </c>
      <c r="I3350" s="18">
        <v>0.77</v>
      </c>
      <c r="J3350" s="18">
        <v>0.77</v>
      </c>
      <c r="K3350" s="18">
        <v>0.77</v>
      </c>
      <c r="L3350" s="22">
        <v>2</v>
      </c>
    </row>
    <row r="3351" spans="1:12">
      <c r="A3351">
        <v>4</v>
      </c>
      <c r="B3351" s="16" t="s">
        <v>59</v>
      </c>
      <c r="C3351" s="9">
        <v>46023</v>
      </c>
      <c r="D3351">
        <v>27</v>
      </c>
      <c r="E3351" s="16" t="s">
        <v>116</v>
      </c>
      <c r="F3351" s="16" t="s">
        <v>90</v>
      </c>
      <c r="G3351" s="22">
        <v>12.5</v>
      </c>
      <c r="H3351" s="18">
        <v>9.75</v>
      </c>
      <c r="I3351" s="18">
        <v>0.78</v>
      </c>
      <c r="J3351" s="18">
        <v>0.78</v>
      </c>
      <c r="K3351" s="18">
        <v>0.78</v>
      </c>
      <c r="L3351" s="22">
        <v>2</v>
      </c>
    </row>
    <row r="3352" spans="1:12">
      <c r="A3352">
        <v>4</v>
      </c>
      <c r="B3352" s="16" t="s">
        <v>59</v>
      </c>
      <c r="C3352" s="9">
        <v>46054</v>
      </c>
      <c r="D3352">
        <v>27</v>
      </c>
      <c r="E3352" s="16" t="s">
        <v>116</v>
      </c>
      <c r="F3352" s="16" t="s">
        <v>90</v>
      </c>
      <c r="G3352" s="22">
        <v>6.25</v>
      </c>
      <c r="H3352" s="18">
        <v>4.875</v>
      </c>
      <c r="I3352" s="18">
        <v>0.78</v>
      </c>
      <c r="J3352" s="18">
        <v>0.78</v>
      </c>
      <c r="K3352" s="18">
        <v>0.78</v>
      </c>
      <c r="L3352" s="22">
        <v>1</v>
      </c>
    </row>
    <row r="3353" spans="1:12">
      <c r="A3353">
        <v>4</v>
      </c>
      <c r="B3353" s="16" t="s">
        <v>59</v>
      </c>
      <c r="C3353" s="9">
        <v>46082</v>
      </c>
      <c r="D3353">
        <v>27</v>
      </c>
      <c r="E3353" s="16" t="s">
        <v>116</v>
      </c>
      <c r="F3353" s="16" t="s">
        <v>90</v>
      </c>
      <c r="G3353" s="22">
        <v>12.5</v>
      </c>
      <c r="H3353" s="18">
        <v>9.75</v>
      </c>
      <c r="I3353" s="18">
        <v>0.78</v>
      </c>
      <c r="J3353" s="18">
        <v>0.78</v>
      </c>
      <c r="K3353" s="18">
        <v>0.78</v>
      </c>
      <c r="L3353" s="22">
        <v>2</v>
      </c>
    </row>
    <row r="3354" spans="1:12">
      <c r="A3354">
        <v>4</v>
      </c>
      <c r="B3354" s="16" t="s">
        <v>59</v>
      </c>
      <c r="C3354" s="9">
        <v>46113</v>
      </c>
      <c r="D3354">
        <v>27</v>
      </c>
      <c r="E3354" s="16" t="s">
        <v>116</v>
      </c>
      <c r="F3354" s="16" t="s">
        <v>90</v>
      </c>
      <c r="G3354" s="22">
        <v>18.75</v>
      </c>
      <c r="H3354" s="18">
        <v>14.875</v>
      </c>
      <c r="I3354" s="18">
        <v>0.79333333299999997</v>
      </c>
      <c r="J3354" s="18">
        <v>0.8</v>
      </c>
      <c r="K3354" s="18">
        <v>0.78</v>
      </c>
      <c r="L3354" s="22">
        <v>3</v>
      </c>
    </row>
    <row r="3355" spans="1:12">
      <c r="A3355">
        <v>4</v>
      </c>
      <c r="B3355" s="16" t="s">
        <v>59</v>
      </c>
      <c r="C3355" s="9">
        <v>46143</v>
      </c>
      <c r="D3355">
        <v>27</v>
      </c>
      <c r="E3355" s="16" t="s">
        <v>116</v>
      </c>
      <c r="F3355" s="16" t="s">
        <v>90</v>
      </c>
      <c r="G3355" s="22">
        <v>12.5</v>
      </c>
      <c r="H3355" s="18">
        <v>10</v>
      </c>
      <c r="I3355" s="18">
        <v>0.8</v>
      </c>
      <c r="J3355" s="18">
        <v>0.8</v>
      </c>
      <c r="K3355" s="18">
        <v>0.8</v>
      </c>
      <c r="L3355" s="22">
        <v>2</v>
      </c>
    </row>
    <row r="3356" spans="1:12">
      <c r="A3356">
        <v>4</v>
      </c>
      <c r="B3356" s="16" t="s">
        <v>59</v>
      </c>
      <c r="C3356" s="9">
        <v>46174</v>
      </c>
      <c r="D3356">
        <v>27</v>
      </c>
      <c r="E3356" s="16" t="s">
        <v>116</v>
      </c>
      <c r="F3356" s="16" t="s">
        <v>90</v>
      </c>
      <c r="G3356" s="22">
        <v>18.75</v>
      </c>
      <c r="H3356" s="18">
        <v>14.9375</v>
      </c>
      <c r="I3356" s="18">
        <v>0.796666667</v>
      </c>
      <c r="J3356" s="18">
        <v>0.8</v>
      </c>
      <c r="K3356" s="18">
        <v>0.79</v>
      </c>
      <c r="L3356" s="22">
        <v>2</v>
      </c>
    </row>
    <row r="3357" spans="1:12">
      <c r="A3357">
        <v>4</v>
      </c>
      <c r="B3357" s="16" t="s">
        <v>59</v>
      </c>
      <c r="C3357" s="9">
        <v>46204</v>
      </c>
      <c r="D3357">
        <v>27</v>
      </c>
      <c r="E3357" s="16" t="s">
        <v>116</v>
      </c>
      <c r="F3357" s="16" t="s">
        <v>90</v>
      </c>
      <c r="G3357" s="22">
        <v>12.5</v>
      </c>
      <c r="H3357" s="18">
        <v>10.0625</v>
      </c>
      <c r="I3357" s="18">
        <v>0.80500000000000005</v>
      </c>
      <c r="J3357" s="18">
        <v>0.81</v>
      </c>
      <c r="K3357" s="18">
        <v>0.8</v>
      </c>
      <c r="L3357" s="22">
        <v>2</v>
      </c>
    </row>
    <row r="3358" spans="1:12">
      <c r="A3358">
        <v>4</v>
      </c>
      <c r="B3358" s="16" t="s">
        <v>59</v>
      </c>
      <c r="C3358" s="9">
        <v>46235</v>
      </c>
      <c r="D3358">
        <v>27</v>
      </c>
      <c r="E3358" s="16" t="s">
        <v>116</v>
      </c>
      <c r="F3358" s="16" t="s">
        <v>90</v>
      </c>
      <c r="G3358" s="22">
        <v>12.5</v>
      </c>
      <c r="H3358" s="18">
        <v>9.875</v>
      </c>
      <c r="I3358" s="18">
        <v>0.79</v>
      </c>
      <c r="J3358" s="18">
        <v>0.8</v>
      </c>
      <c r="K3358" s="18">
        <v>0.78</v>
      </c>
      <c r="L3358" s="22">
        <v>2</v>
      </c>
    </row>
    <row r="3359" spans="1:12">
      <c r="A3359">
        <v>4</v>
      </c>
      <c r="B3359" s="16" t="s">
        <v>59</v>
      </c>
      <c r="C3359" s="9">
        <v>46266</v>
      </c>
      <c r="D3359">
        <v>27</v>
      </c>
      <c r="E3359" s="16" t="s">
        <v>116</v>
      </c>
      <c r="F3359" s="16" t="s">
        <v>90</v>
      </c>
      <c r="G3359" s="22">
        <v>12.5</v>
      </c>
      <c r="H3359" s="18">
        <v>10.0625</v>
      </c>
      <c r="I3359" s="18">
        <v>0.80500000000000005</v>
      </c>
      <c r="J3359" s="18">
        <v>0.81</v>
      </c>
      <c r="K3359" s="18">
        <v>0.8</v>
      </c>
      <c r="L3359" s="22">
        <v>2</v>
      </c>
    </row>
    <row r="3360" spans="1:12">
      <c r="A3360">
        <v>4</v>
      </c>
      <c r="B3360" s="16" t="s">
        <v>59</v>
      </c>
      <c r="C3360" s="9">
        <v>45689</v>
      </c>
      <c r="D3360">
        <v>28</v>
      </c>
      <c r="E3360" s="16" t="s">
        <v>117</v>
      </c>
      <c r="F3360" s="16" t="s">
        <v>92</v>
      </c>
      <c r="G3360" s="22">
        <v>24.5</v>
      </c>
      <c r="H3360" s="18">
        <v>33.39</v>
      </c>
      <c r="I3360" s="18">
        <v>1.362857143</v>
      </c>
      <c r="J3360" s="18">
        <v>1.39</v>
      </c>
      <c r="K3360" s="18">
        <v>1.33</v>
      </c>
      <c r="L3360" s="22">
        <v>12</v>
      </c>
    </row>
    <row r="3361" spans="1:12">
      <c r="A3361">
        <v>4</v>
      </c>
      <c r="B3361" s="16" t="s">
        <v>59</v>
      </c>
      <c r="C3361" s="9">
        <v>45717</v>
      </c>
      <c r="D3361">
        <v>28</v>
      </c>
      <c r="E3361" s="16" t="s">
        <v>117</v>
      </c>
      <c r="F3361" s="16" t="s">
        <v>92</v>
      </c>
      <c r="G3361" s="22">
        <v>26</v>
      </c>
      <c r="H3361" s="18">
        <v>34.43</v>
      </c>
      <c r="I3361" s="18">
        <v>1.3242307689999999</v>
      </c>
      <c r="J3361" s="18">
        <v>1.35</v>
      </c>
      <c r="K3361" s="18">
        <v>1.3</v>
      </c>
      <c r="L3361" s="22">
        <v>13</v>
      </c>
    </row>
    <row r="3362" spans="1:12">
      <c r="A3362">
        <v>4</v>
      </c>
      <c r="B3362" s="16" t="s">
        <v>59</v>
      </c>
      <c r="C3362" s="9">
        <v>45748</v>
      </c>
      <c r="D3362">
        <v>28</v>
      </c>
      <c r="E3362" s="16" t="s">
        <v>117</v>
      </c>
      <c r="F3362" s="16" t="s">
        <v>92</v>
      </c>
      <c r="G3362" s="22">
        <v>25.5</v>
      </c>
      <c r="H3362" s="18">
        <v>32.715000000000003</v>
      </c>
      <c r="I3362" s="18">
        <v>1.282941176</v>
      </c>
      <c r="J3362" s="18">
        <v>1.32</v>
      </c>
      <c r="K3362" s="18">
        <v>1.25</v>
      </c>
      <c r="L3362" s="22">
        <v>13</v>
      </c>
    </row>
    <row r="3363" spans="1:12">
      <c r="A3363">
        <v>4</v>
      </c>
      <c r="B3363" s="16" t="s">
        <v>59</v>
      </c>
      <c r="C3363" s="9">
        <v>45778</v>
      </c>
      <c r="D3363">
        <v>28</v>
      </c>
      <c r="E3363" s="16" t="s">
        <v>117</v>
      </c>
      <c r="F3363" s="16" t="s">
        <v>92</v>
      </c>
      <c r="G3363" s="22">
        <v>32.5</v>
      </c>
      <c r="H3363" s="18">
        <v>40.869999999999997</v>
      </c>
      <c r="I3363" s="18">
        <v>1.2575384620000001</v>
      </c>
      <c r="J3363" s="18">
        <v>1.36</v>
      </c>
      <c r="K3363" s="18">
        <v>1.22</v>
      </c>
      <c r="L3363" s="22">
        <v>13</v>
      </c>
    </row>
    <row r="3364" spans="1:12">
      <c r="A3364">
        <v>4</v>
      </c>
      <c r="B3364" s="16" t="s">
        <v>59</v>
      </c>
      <c r="C3364" s="9">
        <v>45809</v>
      </c>
      <c r="D3364">
        <v>28</v>
      </c>
      <c r="E3364" s="16" t="s">
        <v>117</v>
      </c>
      <c r="F3364" s="16" t="s">
        <v>92</v>
      </c>
      <c r="G3364" s="22">
        <v>28.5</v>
      </c>
      <c r="H3364" s="18">
        <v>34.5</v>
      </c>
      <c r="I3364" s="18">
        <v>1.2105263159999999</v>
      </c>
      <c r="J3364" s="18">
        <v>1.23</v>
      </c>
      <c r="K3364" s="18">
        <v>1.18</v>
      </c>
      <c r="L3364" s="22">
        <v>13</v>
      </c>
    </row>
    <row r="3365" spans="1:12">
      <c r="A3365">
        <v>4</v>
      </c>
      <c r="B3365" s="16" t="s">
        <v>59</v>
      </c>
      <c r="C3365" s="9">
        <v>45839</v>
      </c>
      <c r="D3365">
        <v>28</v>
      </c>
      <c r="E3365" s="16" t="s">
        <v>117</v>
      </c>
      <c r="F3365" s="16" t="s">
        <v>92</v>
      </c>
      <c r="G3365" s="22">
        <v>25.5</v>
      </c>
      <c r="H3365" s="18">
        <v>31.114999999999998</v>
      </c>
      <c r="I3365" s="18">
        <v>1.2201960780000001</v>
      </c>
      <c r="J3365" s="18">
        <v>1.25</v>
      </c>
      <c r="K3365" s="18">
        <v>1.19</v>
      </c>
      <c r="L3365" s="22">
        <v>13</v>
      </c>
    </row>
    <row r="3366" spans="1:12">
      <c r="A3366">
        <v>4</v>
      </c>
      <c r="B3366" s="16" t="s">
        <v>59</v>
      </c>
      <c r="C3366" s="9">
        <v>45870</v>
      </c>
      <c r="D3366">
        <v>28</v>
      </c>
      <c r="E3366" s="16" t="s">
        <v>117</v>
      </c>
      <c r="F3366" s="16" t="s">
        <v>92</v>
      </c>
      <c r="G3366" s="22">
        <v>31.5</v>
      </c>
      <c r="H3366" s="18">
        <v>39.200000000000003</v>
      </c>
      <c r="I3366" s="18">
        <v>1.244444444</v>
      </c>
      <c r="J3366" s="18">
        <v>1.26</v>
      </c>
      <c r="K3366" s="18">
        <v>1.22</v>
      </c>
      <c r="L3366" s="22">
        <v>13</v>
      </c>
    </row>
    <row r="3367" spans="1:12">
      <c r="A3367">
        <v>4</v>
      </c>
      <c r="B3367" s="16" t="s">
        <v>59</v>
      </c>
      <c r="C3367" s="9">
        <v>45901</v>
      </c>
      <c r="D3367">
        <v>28</v>
      </c>
      <c r="E3367" s="16" t="s">
        <v>117</v>
      </c>
      <c r="F3367" s="16" t="s">
        <v>92</v>
      </c>
      <c r="G3367" s="22">
        <v>29</v>
      </c>
      <c r="H3367" s="18">
        <v>37.064999999999998</v>
      </c>
      <c r="I3367" s="18">
        <v>1.278103448</v>
      </c>
      <c r="J3367" s="18">
        <v>1.3</v>
      </c>
      <c r="K3367" s="18">
        <v>1.25</v>
      </c>
      <c r="L3367" s="22">
        <v>13</v>
      </c>
    </row>
    <row r="3368" spans="1:12">
      <c r="A3368">
        <v>4</v>
      </c>
      <c r="B3368" s="16" t="s">
        <v>59</v>
      </c>
      <c r="C3368" s="9">
        <v>45931</v>
      </c>
      <c r="D3368">
        <v>28</v>
      </c>
      <c r="E3368" s="16" t="s">
        <v>117</v>
      </c>
      <c r="F3368" s="16" t="s">
        <v>92</v>
      </c>
      <c r="G3368" s="22">
        <v>31.5</v>
      </c>
      <c r="H3368" s="18">
        <v>42.97</v>
      </c>
      <c r="I3368" s="18">
        <v>1.3641269840000001</v>
      </c>
      <c r="J3368" s="18">
        <v>1.42</v>
      </c>
      <c r="K3368" s="18">
        <v>1.32</v>
      </c>
      <c r="L3368" s="22">
        <v>14</v>
      </c>
    </row>
    <row r="3369" spans="1:12">
      <c r="A3369">
        <v>4</v>
      </c>
      <c r="B3369" s="16" t="s">
        <v>59</v>
      </c>
      <c r="C3369" s="9">
        <v>45962</v>
      </c>
      <c r="D3369">
        <v>28</v>
      </c>
      <c r="E3369" s="16" t="s">
        <v>117</v>
      </c>
      <c r="F3369" s="16" t="s">
        <v>92</v>
      </c>
      <c r="G3369" s="22">
        <v>27.5</v>
      </c>
      <c r="H3369" s="18">
        <v>39.674999999999997</v>
      </c>
      <c r="I3369" s="18">
        <v>1.442727273</v>
      </c>
      <c r="J3369" s="18">
        <v>1.47</v>
      </c>
      <c r="K3369" s="18">
        <v>1.42</v>
      </c>
      <c r="L3369" s="22">
        <v>12</v>
      </c>
    </row>
    <row r="3370" spans="1:12">
      <c r="A3370">
        <v>4</v>
      </c>
      <c r="B3370" s="16" t="s">
        <v>59</v>
      </c>
      <c r="C3370" s="9">
        <v>45992</v>
      </c>
      <c r="D3370">
        <v>28</v>
      </c>
      <c r="E3370" s="16" t="s">
        <v>117</v>
      </c>
      <c r="F3370" s="16" t="s">
        <v>92</v>
      </c>
      <c r="G3370" s="22">
        <v>33.5</v>
      </c>
      <c r="H3370" s="18">
        <v>50.04</v>
      </c>
      <c r="I3370" s="18">
        <v>1.4937313430000001</v>
      </c>
      <c r="J3370" s="18">
        <v>1.52</v>
      </c>
      <c r="K3370" s="18">
        <v>1.46</v>
      </c>
      <c r="L3370" s="22">
        <v>14</v>
      </c>
    </row>
    <row r="3371" spans="1:12">
      <c r="A3371">
        <v>4</v>
      </c>
      <c r="B3371" s="16" t="s">
        <v>59</v>
      </c>
      <c r="C3371" s="9">
        <v>46023</v>
      </c>
      <c r="D3371">
        <v>28</v>
      </c>
      <c r="E3371" s="16" t="s">
        <v>117</v>
      </c>
      <c r="F3371" s="16" t="s">
        <v>92</v>
      </c>
      <c r="G3371" s="22">
        <v>27</v>
      </c>
      <c r="H3371" s="18">
        <v>40.04</v>
      </c>
      <c r="I3371" s="18">
        <v>1.4829629630000001</v>
      </c>
      <c r="J3371" s="18">
        <v>1.53</v>
      </c>
      <c r="K3371" s="18">
        <v>1.44</v>
      </c>
      <c r="L3371" s="22">
        <v>13</v>
      </c>
    </row>
    <row r="3372" spans="1:12">
      <c r="A3372">
        <v>4</v>
      </c>
      <c r="B3372" s="16" t="s">
        <v>59</v>
      </c>
      <c r="C3372" s="9">
        <v>46054</v>
      </c>
      <c r="D3372">
        <v>28</v>
      </c>
      <c r="E3372" s="16" t="s">
        <v>117</v>
      </c>
      <c r="F3372" s="16" t="s">
        <v>92</v>
      </c>
      <c r="G3372" s="22">
        <v>25</v>
      </c>
      <c r="H3372" s="18">
        <v>36.354999999999997</v>
      </c>
      <c r="I3372" s="18">
        <v>1.4541999999999999</v>
      </c>
      <c r="J3372" s="18">
        <v>1.47</v>
      </c>
      <c r="K3372" s="18">
        <v>1.44</v>
      </c>
      <c r="L3372" s="22">
        <v>12</v>
      </c>
    </row>
    <row r="3373" spans="1:12">
      <c r="A3373">
        <v>4</v>
      </c>
      <c r="B3373" s="16" t="s">
        <v>59</v>
      </c>
      <c r="C3373" s="9">
        <v>46082</v>
      </c>
      <c r="D3373">
        <v>28</v>
      </c>
      <c r="E3373" s="16" t="s">
        <v>117</v>
      </c>
      <c r="F3373" s="16" t="s">
        <v>92</v>
      </c>
      <c r="G3373" s="22">
        <v>25.5</v>
      </c>
      <c r="H3373" s="18">
        <v>36.4</v>
      </c>
      <c r="I3373" s="18">
        <v>1.4274509799999999</v>
      </c>
      <c r="J3373" s="18">
        <v>1.45</v>
      </c>
      <c r="K3373" s="18">
        <v>1.4</v>
      </c>
      <c r="L3373" s="22">
        <v>13</v>
      </c>
    </row>
    <row r="3374" spans="1:12">
      <c r="A3374">
        <v>4</v>
      </c>
      <c r="B3374" s="16" t="s">
        <v>59</v>
      </c>
      <c r="C3374" s="9">
        <v>46113</v>
      </c>
      <c r="D3374">
        <v>28</v>
      </c>
      <c r="E3374" s="16" t="s">
        <v>117</v>
      </c>
      <c r="F3374" s="16" t="s">
        <v>92</v>
      </c>
      <c r="G3374" s="22">
        <v>28</v>
      </c>
      <c r="H3374" s="18">
        <v>38.314999999999998</v>
      </c>
      <c r="I3374" s="18">
        <v>1.3683928569999999</v>
      </c>
      <c r="J3374" s="18">
        <v>1.39</v>
      </c>
      <c r="K3374" s="18">
        <v>1.35</v>
      </c>
      <c r="L3374" s="22">
        <v>13</v>
      </c>
    </row>
    <row r="3375" spans="1:12">
      <c r="A3375">
        <v>4</v>
      </c>
      <c r="B3375" s="16" t="s">
        <v>59</v>
      </c>
      <c r="C3375" s="9">
        <v>46143</v>
      </c>
      <c r="D3375">
        <v>28</v>
      </c>
      <c r="E3375" s="16" t="s">
        <v>117</v>
      </c>
      <c r="F3375" s="16" t="s">
        <v>92</v>
      </c>
      <c r="G3375" s="22">
        <v>33</v>
      </c>
      <c r="H3375" s="18">
        <v>43.54</v>
      </c>
      <c r="I3375" s="18">
        <v>1.319393939</v>
      </c>
      <c r="J3375" s="18">
        <v>1.36</v>
      </c>
      <c r="K3375" s="18">
        <v>1.3</v>
      </c>
      <c r="L3375" s="22">
        <v>13</v>
      </c>
    </row>
    <row r="3376" spans="1:12">
      <c r="A3376">
        <v>4</v>
      </c>
      <c r="B3376" s="16" t="s">
        <v>59</v>
      </c>
      <c r="C3376" s="9">
        <v>46174</v>
      </c>
      <c r="D3376">
        <v>28</v>
      </c>
      <c r="E3376" s="16" t="s">
        <v>117</v>
      </c>
      <c r="F3376" s="16" t="s">
        <v>92</v>
      </c>
      <c r="G3376" s="22">
        <v>29.5</v>
      </c>
      <c r="H3376" s="18">
        <v>37.85</v>
      </c>
      <c r="I3376" s="18">
        <v>1.2830508469999999</v>
      </c>
      <c r="J3376" s="18">
        <v>1.3</v>
      </c>
      <c r="K3376" s="18">
        <v>1.26</v>
      </c>
      <c r="L3376" s="22">
        <v>13</v>
      </c>
    </row>
    <row r="3377" spans="1:12">
      <c r="A3377">
        <v>4</v>
      </c>
      <c r="B3377" s="16" t="s">
        <v>59</v>
      </c>
      <c r="C3377" s="9">
        <v>46204</v>
      </c>
      <c r="D3377">
        <v>28</v>
      </c>
      <c r="E3377" s="16" t="s">
        <v>117</v>
      </c>
      <c r="F3377" s="16" t="s">
        <v>92</v>
      </c>
      <c r="G3377" s="22">
        <v>33.5</v>
      </c>
      <c r="H3377" s="18">
        <v>42.41</v>
      </c>
      <c r="I3377" s="18">
        <v>1.2659701489999999</v>
      </c>
      <c r="J3377" s="18">
        <v>1.28</v>
      </c>
      <c r="K3377" s="18">
        <v>1.24</v>
      </c>
      <c r="L3377" s="22">
        <v>14</v>
      </c>
    </row>
    <row r="3378" spans="1:12">
      <c r="A3378">
        <v>4</v>
      </c>
      <c r="B3378" s="16" t="s">
        <v>59</v>
      </c>
      <c r="C3378" s="9">
        <v>46235</v>
      </c>
      <c r="D3378">
        <v>28</v>
      </c>
      <c r="E3378" s="16" t="s">
        <v>117</v>
      </c>
      <c r="F3378" s="16" t="s">
        <v>92</v>
      </c>
      <c r="G3378" s="22">
        <v>28.5</v>
      </c>
      <c r="H3378" s="18">
        <v>36.405000000000001</v>
      </c>
      <c r="I3378" s="18">
        <v>1.277368421</v>
      </c>
      <c r="J3378" s="18">
        <v>1.3</v>
      </c>
      <c r="K3378" s="18">
        <v>1.26</v>
      </c>
      <c r="L3378" s="22">
        <v>13</v>
      </c>
    </row>
    <row r="3379" spans="1:12">
      <c r="A3379">
        <v>4</v>
      </c>
      <c r="B3379" s="16" t="s">
        <v>59</v>
      </c>
      <c r="C3379" s="9">
        <v>46266</v>
      </c>
      <c r="D3379">
        <v>28</v>
      </c>
      <c r="E3379" s="16" t="s">
        <v>117</v>
      </c>
      <c r="F3379" s="16" t="s">
        <v>92</v>
      </c>
      <c r="G3379" s="22">
        <v>29</v>
      </c>
      <c r="H3379" s="18">
        <v>38.314999999999998</v>
      </c>
      <c r="I3379" s="18">
        <v>1.3212068969999999</v>
      </c>
      <c r="J3379" s="18">
        <v>1.34</v>
      </c>
      <c r="K3379" s="18">
        <v>1.29</v>
      </c>
      <c r="L3379" s="22">
        <v>13</v>
      </c>
    </row>
    <row r="3380" spans="1:12">
      <c r="A3380">
        <v>4</v>
      </c>
      <c r="B3380" s="16" t="s">
        <v>59</v>
      </c>
      <c r="C3380" s="9">
        <v>45689</v>
      </c>
      <c r="D3380">
        <v>29</v>
      </c>
      <c r="E3380" s="16" t="s">
        <v>118</v>
      </c>
      <c r="F3380" s="16" t="s">
        <v>87</v>
      </c>
      <c r="G3380" s="22">
        <v>74</v>
      </c>
      <c r="H3380" s="18">
        <v>983.29499999999996</v>
      </c>
      <c r="I3380" s="18">
        <v>13.287770269999999</v>
      </c>
      <c r="J3380" s="18">
        <v>13.46</v>
      </c>
      <c r="K3380" s="18">
        <v>12.9</v>
      </c>
      <c r="L3380" s="22">
        <v>8</v>
      </c>
    </row>
    <row r="3381" spans="1:12">
      <c r="A3381">
        <v>4</v>
      </c>
      <c r="B3381" s="16" t="s">
        <v>59</v>
      </c>
      <c r="C3381" s="9">
        <v>45717</v>
      </c>
      <c r="D3381">
        <v>29</v>
      </c>
      <c r="E3381" s="16" t="s">
        <v>118</v>
      </c>
      <c r="F3381" s="16" t="s">
        <v>87</v>
      </c>
      <c r="G3381" s="22">
        <v>44.75</v>
      </c>
      <c r="H3381" s="18">
        <v>599.66250000000002</v>
      </c>
      <c r="I3381" s="18">
        <v>13.40027933</v>
      </c>
      <c r="J3381" s="18">
        <v>13.57</v>
      </c>
      <c r="K3381" s="18">
        <v>12.99</v>
      </c>
      <c r="L3381" s="22">
        <v>8</v>
      </c>
    </row>
    <row r="3382" spans="1:12">
      <c r="A3382">
        <v>4</v>
      </c>
      <c r="B3382" s="16" t="s">
        <v>59</v>
      </c>
      <c r="C3382" s="9">
        <v>45748</v>
      </c>
      <c r="D3382">
        <v>29</v>
      </c>
      <c r="E3382" s="16" t="s">
        <v>118</v>
      </c>
      <c r="F3382" s="16" t="s">
        <v>87</v>
      </c>
      <c r="G3382" s="22">
        <v>62.25</v>
      </c>
      <c r="H3382" s="18">
        <v>833.71500000000003</v>
      </c>
      <c r="I3382" s="18">
        <v>13.393012047999999</v>
      </c>
      <c r="J3382" s="18">
        <v>14</v>
      </c>
      <c r="K3382" s="18">
        <v>13.17</v>
      </c>
      <c r="L3382" s="22">
        <v>8</v>
      </c>
    </row>
    <row r="3383" spans="1:12">
      <c r="A3383">
        <v>4</v>
      </c>
      <c r="B3383" s="16" t="s">
        <v>59</v>
      </c>
      <c r="C3383" s="9">
        <v>45778</v>
      </c>
      <c r="D3383">
        <v>29</v>
      </c>
      <c r="E3383" s="16" t="s">
        <v>118</v>
      </c>
      <c r="F3383" s="16" t="s">
        <v>87</v>
      </c>
      <c r="G3383" s="22">
        <v>78.75</v>
      </c>
      <c r="H3383" s="18">
        <v>1034.385</v>
      </c>
      <c r="I3383" s="18">
        <v>13.135047619</v>
      </c>
      <c r="J3383" s="18">
        <v>14.25</v>
      </c>
      <c r="K3383" s="18">
        <v>12.74</v>
      </c>
      <c r="L3383" s="22">
        <v>9</v>
      </c>
    </row>
    <row r="3384" spans="1:12">
      <c r="A3384">
        <v>4</v>
      </c>
      <c r="B3384" s="16" t="s">
        <v>59</v>
      </c>
      <c r="C3384" s="9">
        <v>45809</v>
      </c>
      <c r="D3384">
        <v>29</v>
      </c>
      <c r="E3384" s="16" t="s">
        <v>118</v>
      </c>
      <c r="F3384" s="16" t="s">
        <v>87</v>
      </c>
      <c r="G3384" s="22">
        <v>46.75</v>
      </c>
      <c r="H3384" s="18">
        <v>619.14499999999998</v>
      </c>
      <c r="I3384" s="18">
        <v>13.243743316</v>
      </c>
      <c r="J3384" s="18">
        <v>14.5</v>
      </c>
      <c r="K3384" s="18">
        <v>13.08</v>
      </c>
      <c r="L3384" s="22">
        <v>9</v>
      </c>
    </row>
    <row r="3385" spans="1:12">
      <c r="A3385">
        <v>4</v>
      </c>
      <c r="B3385" s="16" t="s">
        <v>59</v>
      </c>
      <c r="C3385" s="9">
        <v>45839</v>
      </c>
      <c r="D3385">
        <v>29</v>
      </c>
      <c r="E3385" s="16" t="s">
        <v>118</v>
      </c>
      <c r="F3385" s="16" t="s">
        <v>87</v>
      </c>
      <c r="G3385" s="22">
        <v>57.25</v>
      </c>
      <c r="H3385" s="18">
        <v>764.71</v>
      </c>
      <c r="I3385" s="18">
        <v>13.357379913000001</v>
      </c>
      <c r="J3385" s="18">
        <v>13.48</v>
      </c>
      <c r="K3385" s="18">
        <v>13.12</v>
      </c>
      <c r="L3385" s="22">
        <v>9</v>
      </c>
    </row>
    <row r="3386" spans="1:12">
      <c r="A3386">
        <v>4</v>
      </c>
      <c r="B3386" s="16" t="s">
        <v>59</v>
      </c>
      <c r="C3386" s="9">
        <v>45870</v>
      </c>
      <c r="D3386">
        <v>29</v>
      </c>
      <c r="E3386" s="16" t="s">
        <v>118</v>
      </c>
      <c r="F3386" s="16" t="s">
        <v>87</v>
      </c>
      <c r="G3386" s="22">
        <v>54.25</v>
      </c>
      <c r="H3386" s="18">
        <v>721.21</v>
      </c>
      <c r="I3386" s="18">
        <v>13.294193548000001</v>
      </c>
      <c r="J3386" s="18">
        <v>13.84</v>
      </c>
      <c r="K3386" s="18">
        <v>13.15</v>
      </c>
      <c r="L3386" s="22">
        <v>8</v>
      </c>
    </row>
    <row r="3387" spans="1:12">
      <c r="A3387">
        <v>4</v>
      </c>
      <c r="B3387" s="16" t="s">
        <v>59</v>
      </c>
      <c r="C3387" s="9">
        <v>45901</v>
      </c>
      <c r="D3387">
        <v>29</v>
      </c>
      <c r="E3387" s="16" t="s">
        <v>118</v>
      </c>
      <c r="F3387" s="16" t="s">
        <v>87</v>
      </c>
      <c r="G3387" s="22">
        <v>63.25</v>
      </c>
      <c r="H3387" s="18">
        <v>848.495</v>
      </c>
      <c r="I3387" s="18">
        <v>13.414940711</v>
      </c>
      <c r="J3387" s="18">
        <v>13.91</v>
      </c>
      <c r="K3387" s="18">
        <v>13.2</v>
      </c>
      <c r="L3387" s="22">
        <v>9</v>
      </c>
    </row>
    <row r="3388" spans="1:12">
      <c r="A3388">
        <v>4</v>
      </c>
      <c r="B3388" s="16" t="s">
        <v>59</v>
      </c>
      <c r="C3388" s="9">
        <v>45931</v>
      </c>
      <c r="D3388">
        <v>29</v>
      </c>
      <c r="E3388" s="16" t="s">
        <v>118</v>
      </c>
      <c r="F3388" s="16" t="s">
        <v>87</v>
      </c>
      <c r="G3388" s="22">
        <v>70.5</v>
      </c>
      <c r="H3388" s="18">
        <v>944.46249999999998</v>
      </c>
      <c r="I3388" s="18">
        <v>13.396631206</v>
      </c>
      <c r="J3388" s="18">
        <v>13.87</v>
      </c>
      <c r="K3388" s="18">
        <v>13.08</v>
      </c>
      <c r="L3388" s="22">
        <v>9</v>
      </c>
    </row>
    <row r="3389" spans="1:12">
      <c r="A3389">
        <v>4</v>
      </c>
      <c r="B3389" s="16" t="s">
        <v>59</v>
      </c>
      <c r="C3389" s="9">
        <v>45962</v>
      </c>
      <c r="D3389">
        <v>29</v>
      </c>
      <c r="E3389" s="16" t="s">
        <v>118</v>
      </c>
      <c r="F3389" s="16" t="s">
        <v>87</v>
      </c>
      <c r="G3389" s="22">
        <v>48</v>
      </c>
      <c r="H3389" s="18">
        <v>651.15499999999997</v>
      </c>
      <c r="I3389" s="18">
        <v>13.565729167000001</v>
      </c>
      <c r="J3389" s="18">
        <v>13.68</v>
      </c>
      <c r="K3389" s="18">
        <v>13.46</v>
      </c>
      <c r="L3389" s="22">
        <v>8</v>
      </c>
    </row>
    <row r="3390" spans="1:12">
      <c r="A3390">
        <v>4</v>
      </c>
      <c r="B3390" s="16" t="s">
        <v>59</v>
      </c>
      <c r="C3390" s="9">
        <v>45992</v>
      </c>
      <c r="D3390">
        <v>29</v>
      </c>
      <c r="E3390" s="16" t="s">
        <v>118</v>
      </c>
      <c r="F3390" s="16" t="s">
        <v>87</v>
      </c>
      <c r="G3390" s="22">
        <v>82.5</v>
      </c>
      <c r="H3390" s="18">
        <v>1120.3875</v>
      </c>
      <c r="I3390" s="18">
        <v>13.580454545</v>
      </c>
      <c r="J3390" s="18">
        <v>13.85</v>
      </c>
      <c r="K3390" s="18">
        <v>13.43</v>
      </c>
      <c r="L3390" s="22">
        <v>9</v>
      </c>
    </row>
    <row r="3391" spans="1:12">
      <c r="A3391">
        <v>4</v>
      </c>
      <c r="B3391" s="16" t="s">
        <v>59</v>
      </c>
      <c r="C3391" s="9">
        <v>46023</v>
      </c>
      <c r="D3391">
        <v>29</v>
      </c>
      <c r="E3391" s="16" t="s">
        <v>118</v>
      </c>
      <c r="F3391" s="16" t="s">
        <v>87</v>
      </c>
      <c r="G3391" s="22">
        <v>61</v>
      </c>
      <c r="H3391" s="18">
        <v>826.82249999999999</v>
      </c>
      <c r="I3391" s="18">
        <v>13.554467213000001</v>
      </c>
      <c r="J3391" s="18">
        <v>13.7</v>
      </c>
      <c r="K3391" s="18">
        <v>13.17</v>
      </c>
      <c r="L3391" s="22">
        <v>9</v>
      </c>
    </row>
    <row r="3392" spans="1:12">
      <c r="A3392">
        <v>4</v>
      </c>
      <c r="B3392" s="16" t="s">
        <v>59</v>
      </c>
      <c r="C3392" s="9">
        <v>46054</v>
      </c>
      <c r="D3392">
        <v>29</v>
      </c>
      <c r="E3392" s="16" t="s">
        <v>118</v>
      </c>
      <c r="F3392" s="16" t="s">
        <v>87</v>
      </c>
      <c r="G3392" s="22">
        <v>63.75</v>
      </c>
      <c r="H3392" s="18">
        <v>845.49</v>
      </c>
      <c r="I3392" s="18">
        <v>13.262588235000001</v>
      </c>
      <c r="J3392" s="18">
        <v>13.55</v>
      </c>
      <c r="K3392" s="18">
        <v>13.1</v>
      </c>
      <c r="L3392" s="22">
        <v>8</v>
      </c>
    </row>
    <row r="3393" spans="1:12">
      <c r="A3393">
        <v>4</v>
      </c>
      <c r="B3393" s="16" t="s">
        <v>59</v>
      </c>
      <c r="C3393" s="9">
        <v>46082</v>
      </c>
      <c r="D3393">
        <v>29</v>
      </c>
      <c r="E3393" s="16" t="s">
        <v>118</v>
      </c>
      <c r="F3393" s="16" t="s">
        <v>87</v>
      </c>
      <c r="G3393" s="22">
        <v>68.25</v>
      </c>
      <c r="H3393" s="18">
        <v>906.31</v>
      </c>
      <c r="I3393" s="18">
        <v>13.279267399</v>
      </c>
      <c r="J3393" s="18">
        <v>13.47</v>
      </c>
      <c r="K3393" s="18">
        <v>12.93</v>
      </c>
      <c r="L3393" s="22">
        <v>9</v>
      </c>
    </row>
    <row r="3394" spans="1:12">
      <c r="A3394">
        <v>4</v>
      </c>
      <c r="B3394" s="16" t="s">
        <v>59</v>
      </c>
      <c r="C3394" s="9">
        <v>46113</v>
      </c>
      <c r="D3394">
        <v>29</v>
      </c>
      <c r="E3394" s="16" t="s">
        <v>118</v>
      </c>
      <c r="F3394" s="16" t="s">
        <v>87</v>
      </c>
      <c r="G3394" s="22">
        <v>54.75</v>
      </c>
      <c r="H3394" s="18">
        <v>733.63499999999999</v>
      </c>
      <c r="I3394" s="18">
        <v>13.399726027</v>
      </c>
      <c r="J3394" s="18">
        <v>13.79</v>
      </c>
      <c r="K3394" s="18">
        <v>13.15</v>
      </c>
      <c r="L3394" s="22">
        <v>8</v>
      </c>
    </row>
    <row r="3395" spans="1:12">
      <c r="A3395">
        <v>4</v>
      </c>
      <c r="B3395" s="16" t="s">
        <v>59</v>
      </c>
      <c r="C3395" s="9">
        <v>46143</v>
      </c>
      <c r="D3395">
        <v>29</v>
      </c>
      <c r="E3395" s="16" t="s">
        <v>118</v>
      </c>
      <c r="F3395" s="16" t="s">
        <v>87</v>
      </c>
      <c r="G3395" s="22">
        <v>63.75</v>
      </c>
      <c r="H3395" s="18">
        <v>873.4325</v>
      </c>
      <c r="I3395" s="18">
        <v>13.700901961</v>
      </c>
      <c r="J3395" s="18">
        <v>13.91</v>
      </c>
      <c r="K3395" s="18">
        <v>13.34</v>
      </c>
      <c r="L3395" s="22">
        <v>8</v>
      </c>
    </row>
    <row r="3396" spans="1:12">
      <c r="A3396">
        <v>4</v>
      </c>
      <c r="B3396" s="16" t="s">
        <v>59</v>
      </c>
      <c r="C3396" s="9">
        <v>46174</v>
      </c>
      <c r="D3396">
        <v>29</v>
      </c>
      <c r="E3396" s="16" t="s">
        <v>118</v>
      </c>
      <c r="F3396" s="16" t="s">
        <v>87</v>
      </c>
      <c r="G3396" s="22">
        <v>62.5</v>
      </c>
      <c r="H3396" s="18">
        <v>856.45500000000004</v>
      </c>
      <c r="I3396" s="18">
        <v>13.703279999999999</v>
      </c>
      <c r="J3396" s="18">
        <v>13.9</v>
      </c>
      <c r="K3396" s="18">
        <v>13.32</v>
      </c>
      <c r="L3396" s="22">
        <v>9</v>
      </c>
    </row>
    <row r="3397" spans="1:12">
      <c r="A3397">
        <v>4</v>
      </c>
      <c r="B3397" s="16" t="s">
        <v>59</v>
      </c>
      <c r="C3397" s="9">
        <v>46204</v>
      </c>
      <c r="D3397">
        <v>29</v>
      </c>
      <c r="E3397" s="16" t="s">
        <v>118</v>
      </c>
      <c r="F3397" s="16" t="s">
        <v>87</v>
      </c>
      <c r="G3397" s="22">
        <v>61</v>
      </c>
      <c r="H3397" s="18">
        <v>853.24749999999995</v>
      </c>
      <c r="I3397" s="18">
        <v>13.987663934</v>
      </c>
      <c r="J3397" s="18">
        <v>14.3</v>
      </c>
      <c r="K3397" s="18">
        <v>13.55</v>
      </c>
      <c r="L3397" s="22">
        <v>9</v>
      </c>
    </row>
    <row r="3398" spans="1:12">
      <c r="A3398">
        <v>4</v>
      </c>
      <c r="B3398" s="16" t="s">
        <v>59</v>
      </c>
      <c r="C3398" s="9">
        <v>46235</v>
      </c>
      <c r="D3398">
        <v>29</v>
      </c>
      <c r="E3398" s="16" t="s">
        <v>118</v>
      </c>
      <c r="F3398" s="16" t="s">
        <v>87</v>
      </c>
      <c r="G3398" s="22">
        <v>47.25</v>
      </c>
      <c r="H3398" s="18">
        <v>670.42750000000001</v>
      </c>
      <c r="I3398" s="18">
        <v>14.188941799</v>
      </c>
      <c r="J3398" s="18">
        <v>14.5</v>
      </c>
      <c r="K3398" s="18">
        <v>13.97</v>
      </c>
      <c r="L3398" s="22">
        <v>9</v>
      </c>
    </row>
    <row r="3399" spans="1:12">
      <c r="A3399">
        <v>4</v>
      </c>
      <c r="B3399" s="16" t="s">
        <v>59</v>
      </c>
      <c r="C3399" s="9">
        <v>46266</v>
      </c>
      <c r="D3399">
        <v>29</v>
      </c>
      <c r="E3399" s="16" t="s">
        <v>118</v>
      </c>
      <c r="F3399" s="16" t="s">
        <v>87</v>
      </c>
      <c r="G3399" s="22">
        <v>55</v>
      </c>
      <c r="H3399" s="18">
        <v>780.05250000000001</v>
      </c>
      <c r="I3399" s="18">
        <v>14.182772727</v>
      </c>
      <c r="J3399" s="18">
        <v>14.46</v>
      </c>
      <c r="K3399" s="18">
        <v>13.91</v>
      </c>
      <c r="L3399" s="22">
        <v>8</v>
      </c>
    </row>
    <row r="3400" spans="1:12">
      <c r="A3400">
        <v>4</v>
      </c>
      <c r="B3400" s="16" t="s">
        <v>59</v>
      </c>
      <c r="C3400" s="9">
        <v>45689</v>
      </c>
      <c r="D3400">
        <v>30</v>
      </c>
      <c r="E3400" s="16" t="s">
        <v>119</v>
      </c>
      <c r="F3400" s="16" t="s">
        <v>92</v>
      </c>
      <c r="G3400" s="22">
        <v>8.75</v>
      </c>
      <c r="H3400" s="18">
        <v>6.5875000000000004</v>
      </c>
      <c r="I3400" s="18">
        <v>0.75285714299999995</v>
      </c>
      <c r="J3400" s="18">
        <v>0.77</v>
      </c>
      <c r="K3400" s="18">
        <v>0.74</v>
      </c>
      <c r="L3400" s="22">
        <v>7</v>
      </c>
    </row>
    <row r="3401" spans="1:12">
      <c r="A3401">
        <v>4</v>
      </c>
      <c r="B3401" s="16" t="s">
        <v>59</v>
      </c>
      <c r="C3401" s="9">
        <v>45717</v>
      </c>
      <c r="D3401">
        <v>30</v>
      </c>
      <c r="E3401" s="16" t="s">
        <v>119</v>
      </c>
      <c r="F3401" s="16" t="s">
        <v>92</v>
      </c>
      <c r="G3401" s="22">
        <v>5</v>
      </c>
      <c r="H3401" s="18">
        <v>3.6749999999999998</v>
      </c>
      <c r="I3401" s="18">
        <v>0.73499999999999999</v>
      </c>
      <c r="J3401" s="18">
        <v>0.74</v>
      </c>
      <c r="K3401" s="18">
        <v>0.73</v>
      </c>
      <c r="L3401" s="22">
        <v>4</v>
      </c>
    </row>
    <row r="3402" spans="1:12">
      <c r="A3402">
        <v>4</v>
      </c>
      <c r="B3402" s="16" t="s">
        <v>59</v>
      </c>
      <c r="C3402" s="9">
        <v>45748</v>
      </c>
      <c r="D3402">
        <v>30</v>
      </c>
      <c r="E3402" s="16" t="s">
        <v>119</v>
      </c>
      <c r="F3402" s="16" t="s">
        <v>92</v>
      </c>
      <c r="G3402" s="22">
        <v>7.5</v>
      </c>
      <c r="H3402" s="18">
        <v>5.375</v>
      </c>
      <c r="I3402" s="18">
        <v>0.71666666700000003</v>
      </c>
      <c r="J3402" s="18">
        <v>0.73</v>
      </c>
      <c r="K3402" s="18">
        <v>0.7</v>
      </c>
      <c r="L3402" s="22">
        <v>6</v>
      </c>
    </row>
    <row r="3403" spans="1:12">
      <c r="A3403">
        <v>4</v>
      </c>
      <c r="B3403" s="16" t="s">
        <v>59</v>
      </c>
      <c r="C3403" s="9">
        <v>45778</v>
      </c>
      <c r="D3403">
        <v>30</v>
      </c>
      <c r="E3403" s="16" t="s">
        <v>119</v>
      </c>
      <c r="F3403" s="16" t="s">
        <v>92</v>
      </c>
      <c r="G3403" s="22">
        <v>8.75</v>
      </c>
      <c r="H3403" s="18">
        <v>6.125</v>
      </c>
      <c r="I3403" s="18">
        <v>0.7</v>
      </c>
      <c r="J3403" s="18">
        <v>0.71</v>
      </c>
      <c r="K3403" s="18">
        <v>0.69</v>
      </c>
      <c r="L3403" s="22">
        <v>7</v>
      </c>
    </row>
    <row r="3404" spans="1:12">
      <c r="A3404">
        <v>4</v>
      </c>
      <c r="B3404" s="16" t="s">
        <v>59</v>
      </c>
      <c r="C3404" s="9">
        <v>45809</v>
      </c>
      <c r="D3404">
        <v>30</v>
      </c>
      <c r="E3404" s="16" t="s">
        <v>119</v>
      </c>
      <c r="F3404" s="16" t="s">
        <v>92</v>
      </c>
      <c r="G3404" s="22">
        <v>5</v>
      </c>
      <c r="H3404" s="18">
        <v>3.4375</v>
      </c>
      <c r="I3404" s="18">
        <v>0.6875</v>
      </c>
      <c r="J3404" s="18">
        <v>0.7</v>
      </c>
      <c r="K3404" s="18">
        <v>0.68</v>
      </c>
      <c r="L3404" s="22">
        <v>4</v>
      </c>
    </row>
    <row r="3405" spans="1:12">
      <c r="A3405">
        <v>4</v>
      </c>
      <c r="B3405" s="16" t="s">
        <v>59</v>
      </c>
      <c r="C3405" s="9">
        <v>45839</v>
      </c>
      <c r="D3405">
        <v>30</v>
      </c>
      <c r="E3405" s="16" t="s">
        <v>119</v>
      </c>
      <c r="F3405" s="16" t="s">
        <v>92</v>
      </c>
      <c r="G3405" s="22">
        <v>6.25</v>
      </c>
      <c r="H3405" s="18">
        <v>4.2874999999999996</v>
      </c>
      <c r="I3405" s="18">
        <v>0.68600000000000005</v>
      </c>
      <c r="J3405" s="18">
        <v>0.7</v>
      </c>
      <c r="K3405" s="18">
        <v>0.67</v>
      </c>
      <c r="L3405" s="22">
        <v>5</v>
      </c>
    </row>
    <row r="3406" spans="1:12">
      <c r="A3406">
        <v>4</v>
      </c>
      <c r="B3406" s="16" t="s">
        <v>59</v>
      </c>
      <c r="C3406" s="9">
        <v>45870</v>
      </c>
      <c r="D3406">
        <v>30</v>
      </c>
      <c r="E3406" s="16" t="s">
        <v>119</v>
      </c>
      <c r="F3406" s="16" t="s">
        <v>92</v>
      </c>
      <c r="G3406" s="22">
        <v>7.5</v>
      </c>
      <c r="H3406" s="18">
        <v>5.2125000000000004</v>
      </c>
      <c r="I3406" s="18">
        <v>0.69499999999999995</v>
      </c>
      <c r="J3406" s="18">
        <v>0.71</v>
      </c>
      <c r="K3406" s="18">
        <v>0.68</v>
      </c>
      <c r="L3406" s="22">
        <v>6</v>
      </c>
    </row>
    <row r="3407" spans="1:12">
      <c r="A3407">
        <v>4</v>
      </c>
      <c r="B3407" s="16" t="s">
        <v>59</v>
      </c>
      <c r="C3407" s="9">
        <v>45901</v>
      </c>
      <c r="D3407">
        <v>30</v>
      </c>
      <c r="E3407" s="16" t="s">
        <v>119</v>
      </c>
      <c r="F3407" s="16" t="s">
        <v>92</v>
      </c>
      <c r="G3407" s="22">
        <v>6.25</v>
      </c>
      <c r="H3407" s="18">
        <v>4.5250000000000004</v>
      </c>
      <c r="I3407" s="18">
        <v>0.72399999999999998</v>
      </c>
      <c r="J3407" s="18">
        <v>0.74</v>
      </c>
      <c r="K3407" s="18">
        <v>0.71</v>
      </c>
      <c r="L3407" s="22">
        <v>5</v>
      </c>
    </row>
    <row r="3408" spans="1:12">
      <c r="A3408">
        <v>4</v>
      </c>
      <c r="B3408" s="16" t="s">
        <v>59</v>
      </c>
      <c r="C3408" s="9">
        <v>45931</v>
      </c>
      <c r="D3408">
        <v>30</v>
      </c>
      <c r="E3408" s="16" t="s">
        <v>119</v>
      </c>
      <c r="F3408" s="16" t="s">
        <v>92</v>
      </c>
      <c r="G3408" s="22">
        <v>8.75</v>
      </c>
      <c r="H3408" s="18">
        <v>6.5625</v>
      </c>
      <c r="I3408" s="18">
        <v>0.75</v>
      </c>
      <c r="J3408" s="18">
        <v>0.79</v>
      </c>
      <c r="K3408" s="18">
        <v>0.73</v>
      </c>
      <c r="L3408" s="22">
        <v>7</v>
      </c>
    </row>
    <row r="3409" spans="1:12">
      <c r="A3409">
        <v>4</v>
      </c>
      <c r="B3409" s="16" t="s">
        <v>59</v>
      </c>
      <c r="C3409" s="9">
        <v>45962</v>
      </c>
      <c r="D3409">
        <v>30</v>
      </c>
      <c r="E3409" s="16" t="s">
        <v>119</v>
      </c>
      <c r="F3409" s="16" t="s">
        <v>92</v>
      </c>
      <c r="G3409" s="22">
        <v>5</v>
      </c>
      <c r="H3409" s="18">
        <v>3.85</v>
      </c>
      <c r="I3409" s="18">
        <v>0.77</v>
      </c>
      <c r="J3409" s="18">
        <v>0.78</v>
      </c>
      <c r="K3409" s="18">
        <v>0.76</v>
      </c>
      <c r="L3409" s="22">
        <v>4</v>
      </c>
    </row>
    <row r="3410" spans="1:12">
      <c r="A3410">
        <v>4</v>
      </c>
      <c r="B3410" s="16" t="s">
        <v>59</v>
      </c>
      <c r="C3410" s="9">
        <v>45992</v>
      </c>
      <c r="D3410">
        <v>30</v>
      </c>
      <c r="E3410" s="16" t="s">
        <v>119</v>
      </c>
      <c r="F3410" s="16" t="s">
        <v>92</v>
      </c>
      <c r="G3410" s="22">
        <v>10</v>
      </c>
      <c r="H3410" s="18">
        <v>7.9249999999999998</v>
      </c>
      <c r="I3410" s="18">
        <v>0.79249999999999998</v>
      </c>
      <c r="J3410" s="18">
        <v>0.81</v>
      </c>
      <c r="K3410" s="18">
        <v>0.78</v>
      </c>
      <c r="L3410" s="22">
        <v>8</v>
      </c>
    </row>
    <row r="3411" spans="1:12">
      <c r="A3411">
        <v>4</v>
      </c>
      <c r="B3411" s="16" t="s">
        <v>59</v>
      </c>
      <c r="C3411" s="9">
        <v>46023</v>
      </c>
      <c r="D3411">
        <v>30</v>
      </c>
      <c r="E3411" s="16" t="s">
        <v>119</v>
      </c>
      <c r="F3411" s="16" t="s">
        <v>92</v>
      </c>
      <c r="G3411" s="22">
        <v>6.25</v>
      </c>
      <c r="H3411" s="18">
        <v>5.0374999999999996</v>
      </c>
      <c r="I3411" s="18">
        <v>0.80600000000000005</v>
      </c>
      <c r="J3411" s="18">
        <v>0.82</v>
      </c>
      <c r="K3411" s="18">
        <v>0.79</v>
      </c>
      <c r="L3411" s="22">
        <v>5</v>
      </c>
    </row>
    <row r="3412" spans="1:12">
      <c r="A3412">
        <v>4</v>
      </c>
      <c r="B3412" s="16" t="s">
        <v>59</v>
      </c>
      <c r="C3412" s="9">
        <v>46054</v>
      </c>
      <c r="D3412">
        <v>30</v>
      </c>
      <c r="E3412" s="16" t="s">
        <v>119</v>
      </c>
      <c r="F3412" s="16" t="s">
        <v>92</v>
      </c>
      <c r="G3412" s="22">
        <v>7.5</v>
      </c>
      <c r="H3412" s="18">
        <v>5.9</v>
      </c>
      <c r="I3412" s="18">
        <v>0.78666666699999999</v>
      </c>
      <c r="J3412" s="18">
        <v>0.8</v>
      </c>
      <c r="K3412" s="18">
        <v>0.77</v>
      </c>
      <c r="L3412" s="22">
        <v>6</v>
      </c>
    </row>
    <row r="3413" spans="1:12">
      <c r="A3413">
        <v>4</v>
      </c>
      <c r="B3413" s="16" t="s">
        <v>59</v>
      </c>
      <c r="C3413" s="9">
        <v>46082</v>
      </c>
      <c r="D3413">
        <v>30</v>
      </c>
      <c r="E3413" s="16" t="s">
        <v>119</v>
      </c>
      <c r="F3413" s="16" t="s">
        <v>92</v>
      </c>
      <c r="G3413" s="22">
        <v>7.5</v>
      </c>
      <c r="H3413" s="18">
        <v>5.7625000000000002</v>
      </c>
      <c r="I3413" s="18">
        <v>0.76833333299999995</v>
      </c>
      <c r="J3413" s="18">
        <v>0.78</v>
      </c>
      <c r="K3413" s="18">
        <v>0.75</v>
      </c>
      <c r="L3413" s="22">
        <v>6</v>
      </c>
    </row>
    <row r="3414" spans="1:12">
      <c r="A3414">
        <v>4</v>
      </c>
      <c r="B3414" s="16" t="s">
        <v>59</v>
      </c>
      <c r="C3414" s="9">
        <v>46113</v>
      </c>
      <c r="D3414">
        <v>30</v>
      </c>
      <c r="E3414" s="16" t="s">
        <v>119</v>
      </c>
      <c r="F3414" s="16" t="s">
        <v>92</v>
      </c>
      <c r="G3414" s="22">
        <v>5</v>
      </c>
      <c r="H3414" s="18">
        <v>3.7250000000000001</v>
      </c>
      <c r="I3414" s="18">
        <v>0.745</v>
      </c>
      <c r="J3414" s="18">
        <v>0.76</v>
      </c>
      <c r="K3414" s="18">
        <v>0.74</v>
      </c>
      <c r="L3414" s="22">
        <v>4</v>
      </c>
    </row>
    <row r="3415" spans="1:12">
      <c r="A3415">
        <v>4</v>
      </c>
      <c r="B3415" s="16" t="s">
        <v>59</v>
      </c>
      <c r="C3415" s="9">
        <v>46143</v>
      </c>
      <c r="D3415">
        <v>30</v>
      </c>
      <c r="E3415" s="16" t="s">
        <v>119</v>
      </c>
      <c r="F3415" s="16" t="s">
        <v>92</v>
      </c>
      <c r="G3415" s="22">
        <v>7.5</v>
      </c>
      <c r="H3415" s="18">
        <v>5.4249999999999998</v>
      </c>
      <c r="I3415" s="18">
        <v>0.72333333300000002</v>
      </c>
      <c r="J3415" s="18">
        <v>0.73</v>
      </c>
      <c r="K3415" s="18">
        <v>0.71</v>
      </c>
      <c r="L3415" s="22">
        <v>6</v>
      </c>
    </row>
    <row r="3416" spans="1:12">
      <c r="A3416">
        <v>4</v>
      </c>
      <c r="B3416" s="16" t="s">
        <v>59</v>
      </c>
      <c r="C3416" s="9">
        <v>46174</v>
      </c>
      <c r="D3416">
        <v>30</v>
      </c>
      <c r="E3416" s="16" t="s">
        <v>119</v>
      </c>
      <c r="F3416" s="16" t="s">
        <v>92</v>
      </c>
      <c r="G3416" s="22">
        <v>7.5</v>
      </c>
      <c r="H3416" s="18">
        <v>5.2625000000000002</v>
      </c>
      <c r="I3416" s="18">
        <v>0.70166666700000002</v>
      </c>
      <c r="J3416" s="18">
        <v>0.71</v>
      </c>
      <c r="K3416" s="18">
        <v>0.69</v>
      </c>
      <c r="L3416" s="22">
        <v>6</v>
      </c>
    </row>
    <row r="3417" spans="1:12">
      <c r="A3417">
        <v>4</v>
      </c>
      <c r="B3417" s="16" t="s">
        <v>59</v>
      </c>
      <c r="C3417" s="9">
        <v>46204</v>
      </c>
      <c r="D3417">
        <v>30</v>
      </c>
      <c r="E3417" s="16" t="s">
        <v>119</v>
      </c>
      <c r="F3417" s="16" t="s">
        <v>92</v>
      </c>
      <c r="G3417" s="22">
        <v>7.5</v>
      </c>
      <c r="H3417" s="18">
        <v>5.15</v>
      </c>
      <c r="I3417" s="18">
        <v>0.68666666700000001</v>
      </c>
      <c r="J3417" s="18">
        <v>0.7</v>
      </c>
      <c r="K3417" s="18">
        <v>0.68</v>
      </c>
      <c r="L3417" s="22">
        <v>6</v>
      </c>
    </row>
    <row r="3418" spans="1:12">
      <c r="A3418">
        <v>4</v>
      </c>
      <c r="B3418" s="16" t="s">
        <v>59</v>
      </c>
      <c r="C3418" s="9">
        <v>46235</v>
      </c>
      <c r="D3418">
        <v>30</v>
      </c>
      <c r="E3418" s="16" t="s">
        <v>119</v>
      </c>
      <c r="F3418" s="16" t="s">
        <v>92</v>
      </c>
      <c r="G3418" s="22">
        <v>5</v>
      </c>
      <c r="H3418" s="18">
        <v>3.5125000000000002</v>
      </c>
      <c r="I3418" s="18">
        <v>0.70250000000000001</v>
      </c>
      <c r="J3418" s="18">
        <v>0.73</v>
      </c>
      <c r="K3418" s="18">
        <v>0.69</v>
      </c>
      <c r="L3418" s="22">
        <v>4</v>
      </c>
    </row>
    <row r="3419" spans="1:12">
      <c r="A3419">
        <v>4</v>
      </c>
      <c r="B3419" s="16" t="s">
        <v>59</v>
      </c>
      <c r="C3419" s="9">
        <v>46266</v>
      </c>
      <c r="D3419">
        <v>30</v>
      </c>
      <c r="E3419" s="16" t="s">
        <v>119</v>
      </c>
      <c r="F3419" s="16" t="s">
        <v>92</v>
      </c>
      <c r="G3419" s="22">
        <v>6.25</v>
      </c>
      <c r="H3419" s="18">
        <v>4.4874999999999998</v>
      </c>
      <c r="I3419" s="18">
        <v>0.71799999999999997</v>
      </c>
      <c r="J3419" s="18">
        <v>0.72</v>
      </c>
      <c r="K3419" s="18">
        <v>0.71</v>
      </c>
      <c r="L3419" s="22">
        <v>5</v>
      </c>
    </row>
    <row r="3420" spans="1:12">
      <c r="A3420">
        <v>4</v>
      </c>
      <c r="B3420" s="16" t="s">
        <v>59</v>
      </c>
      <c r="C3420" s="9">
        <v>45689</v>
      </c>
      <c r="D3420">
        <v>31</v>
      </c>
      <c r="E3420" s="16" t="s">
        <v>120</v>
      </c>
      <c r="F3420" s="16" t="s">
        <v>92</v>
      </c>
      <c r="G3420" s="22">
        <v>9.75</v>
      </c>
      <c r="H3420" s="18">
        <v>11.25</v>
      </c>
      <c r="I3420" s="18">
        <v>1.153846154</v>
      </c>
      <c r="J3420" s="18">
        <v>1.18</v>
      </c>
      <c r="K3420" s="18">
        <v>1.1299999999999999</v>
      </c>
      <c r="L3420" s="22">
        <v>12</v>
      </c>
    </row>
    <row r="3421" spans="1:12">
      <c r="A3421">
        <v>4</v>
      </c>
      <c r="B3421" s="16" t="s">
        <v>59</v>
      </c>
      <c r="C3421" s="9">
        <v>45717</v>
      </c>
      <c r="D3421">
        <v>31</v>
      </c>
      <c r="E3421" s="16" t="s">
        <v>120</v>
      </c>
      <c r="F3421" s="16" t="s">
        <v>92</v>
      </c>
      <c r="G3421" s="22">
        <v>7.5</v>
      </c>
      <c r="H3421" s="18">
        <v>8.4075000000000006</v>
      </c>
      <c r="I3421" s="18">
        <v>1.121</v>
      </c>
      <c r="J3421" s="18">
        <v>1.1399999999999999</v>
      </c>
      <c r="K3421" s="18">
        <v>1.1000000000000001</v>
      </c>
      <c r="L3421" s="22">
        <v>8</v>
      </c>
    </row>
    <row r="3422" spans="1:12">
      <c r="A3422">
        <v>4</v>
      </c>
      <c r="B3422" s="16" t="s">
        <v>59</v>
      </c>
      <c r="C3422" s="9">
        <v>45748</v>
      </c>
      <c r="D3422">
        <v>31</v>
      </c>
      <c r="E3422" s="16" t="s">
        <v>120</v>
      </c>
      <c r="F3422" s="16" t="s">
        <v>92</v>
      </c>
      <c r="G3422" s="22">
        <v>9.75</v>
      </c>
      <c r="H3422" s="18">
        <v>10.522500000000001</v>
      </c>
      <c r="I3422" s="18">
        <v>1.079230769</v>
      </c>
      <c r="J3422" s="18">
        <v>1.1100000000000001</v>
      </c>
      <c r="K3422" s="18">
        <v>1.06</v>
      </c>
      <c r="L3422" s="22">
        <v>13</v>
      </c>
    </row>
    <row r="3423" spans="1:12">
      <c r="A3423">
        <v>4</v>
      </c>
      <c r="B3423" s="16" t="s">
        <v>59</v>
      </c>
      <c r="C3423" s="9">
        <v>45778</v>
      </c>
      <c r="D3423">
        <v>31</v>
      </c>
      <c r="E3423" s="16" t="s">
        <v>120</v>
      </c>
      <c r="F3423" s="16" t="s">
        <v>92</v>
      </c>
      <c r="G3423" s="22">
        <v>12.75</v>
      </c>
      <c r="H3423" s="18">
        <v>13.1175</v>
      </c>
      <c r="I3423" s="18">
        <v>1.0288235290000001</v>
      </c>
      <c r="J3423" s="18">
        <v>1.05</v>
      </c>
      <c r="K3423" s="18">
        <v>1</v>
      </c>
      <c r="L3423" s="22">
        <v>13</v>
      </c>
    </row>
    <row r="3424" spans="1:12">
      <c r="A3424">
        <v>4</v>
      </c>
      <c r="B3424" s="16" t="s">
        <v>59</v>
      </c>
      <c r="C3424" s="9">
        <v>45809</v>
      </c>
      <c r="D3424">
        <v>31</v>
      </c>
      <c r="E3424" s="16" t="s">
        <v>120</v>
      </c>
      <c r="F3424" s="16" t="s">
        <v>92</v>
      </c>
      <c r="G3424" s="22">
        <v>11.25</v>
      </c>
      <c r="H3424" s="18">
        <v>11.445</v>
      </c>
      <c r="I3424" s="18">
        <v>1.0173333330000001</v>
      </c>
      <c r="J3424" s="18">
        <v>1.08</v>
      </c>
      <c r="K3424" s="18">
        <v>0.99</v>
      </c>
      <c r="L3424" s="22">
        <v>13</v>
      </c>
    </row>
    <row r="3425" spans="1:12">
      <c r="A3425">
        <v>4</v>
      </c>
      <c r="B3425" s="16" t="s">
        <v>59</v>
      </c>
      <c r="C3425" s="9">
        <v>45839</v>
      </c>
      <c r="D3425">
        <v>31</v>
      </c>
      <c r="E3425" s="16" t="s">
        <v>120</v>
      </c>
      <c r="F3425" s="16" t="s">
        <v>92</v>
      </c>
      <c r="G3425" s="22">
        <v>10.5</v>
      </c>
      <c r="H3425" s="18">
        <v>10.47</v>
      </c>
      <c r="I3425" s="18">
        <v>0.99714285700000005</v>
      </c>
      <c r="J3425" s="18">
        <v>1.01</v>
      </c>
      <c r="K3425" s="18">
        <v>0.98</v>
      </c>
      <c r="L3425" s="22">
        <v>12</v>
      </c>
    </row>
    <row r="3426" spans="1:12">
      <c r="A3426">
        <v>4</v>
      </c>
      <c r="B3426" s="16" t="s">
        <v>59</v>
      </c>
      <c r="C3426" s="9">
        <v>45870</v>
      </c>
      <c r="D3426">
        <v>31</v>
      </c>
      <c r="E3426" s="16" t="s">
        <v>120</v>
      </c>
      <c r="F3426" s="16" t="s">
        <v>92</v>
      </c>
      <c r="G3426" s="22">
        <v>11.25</v>
      </c>
      <c r="H3426" s="18">
        <v>11.3475</v>
      </c>
      <c r="I3426" s="18">
        <v>1.008666667</v>
      </c>
      <c r="J3426" s="18">
        <v>1.04</v>
      </c>
      <c r="K3426" s="18">
        <v>0.99</v>
      </c>
      <c r="L3426" s="22">
        <v>13</v>
      </c>
    </row>
    <row r="3427" spans="1:12">
      <c r="A3427">
        <v>4</v>
      </c>
      <c r="B3427" s="16" t="s">
        <v>59</v>
      </c>
      <c r="C3427" s="9">
        <v>45901</v>
      </c>
      <c r="D3427">
        <v>31</v>
      </c>
      <c r="E3427" s="16" t="s">
        <v>120</v>
      </c>
      <c r="F3427" s="16" t="s">
        <v>92</v>
      </c>
      <c r="G3427" s="22">
        <v>12</v>
      </c>
      <c r="H3427" s="18">
        <v>12.5025</v>
      </c>
      <c r="I3427" s="18">
        <v>1.0418750000000001</v>
      </c>
      <c r="J3427" s="18">
        <v>1.07</v>
      </c>
      <c r="K3427" s="18">
        <v>1.02</v>
      </c>
      <c r="L3427" s="22">
        <v>13</v>
      </c>
    </row>
    <row r="3428" spans="1:12">
      <c r="A3428">
        <v>4</v>
      </c>
      <c r="B3428" s="16" t="s">
        <v>59</v>
      </c>
      <c r="C3428" s="9">
        <v>45931</v>
      </c>
      <c r="D3428">
        <v>31</v>
      </c>
      <c r="E3428" s="16" t="s">
        <v>120</v>
      </c>
      <c r="F3428" s="16" t="s">
        <v>92</v>
      </c>
      <c r="G3428" s="22">
        <v>9.75</v>
      </c>
      <c r="H3428" s="18">
        <v>10.5975</v>
      </c>
      <c r="I3428" s="18">
        <v>1.086923077</v>
      </c>
      <c r="J3428" s="18">
        <v>1.1299999999999999</v>
      </c>
      <c r="K3428" s="18">
        <v>1.07</v>
      </c>
      <c r="L3428" s="22">
        <v>11</v>
      </c>
    </row>
    <row r="3429" spans="1:12">
      <c r="A3429">
        <v>4</v>
      </c>
      <c r="B3429" s="16" t="s">
        <v>59</v>
      </c>
      <c r="C3429" s="9">
        <v>45962</v>
      </c>
      <c r="D3429">
        <v>31</v>
      </c>
      <c r="E3429" s="16" t="s">
        <v>120</v>
      </c>
      <c r="F3429" s="16" t="s">
        <v>92</v>
      </c>
      <c r="G3429" s="22">
        <v>7.5</v>
      </c>
      <c r="H3429" s="18">
        <v>8.5649999999999995</v>
      </c>
      <c r="I3429" s="18">
        <v>1.1419999999999999</v>
      </c>
      <c r="J3429" s="18">
        <v>1.1599999999999999</v>
      </c>
      <c r="K3429" s="18">
        <v>1.1200000000000001</v>
      </c>
      <c r="L3429" s="22">
        <v>10</v>
      </c>
    </row>
    <row r="3430" spans="1:12">
      <c r="A3430">
        <v>4</v>
      </c>
      <c r="B3430" s="16" t="s">
        <v>59</v>
      </c>
      <c r="C3430" s="9">
        <v>45992</v>
      </c>
      <c r="D3430">
        <v>31</v>
      </c>
      <c r="E3430" s="16" t="s">
        <v>120</v>
      </c>
      <c r="F3430" s="16" t="s">
        <v>92</v>
      </c>
      <c r="G3430" s="22">
        <v>10.5</v>
      </c>
      <c r="H3430" s="18">
        <v>12.315</v>
      </c>
      <c r="I3430" s="18">
        <v>1.1728571430000001</v>
      </c>
      <c r="J3430" s="18">
        <v>1.2</v>
      </c>
      <c r="K3430" s="18">
        <v>1.1499999999999999</v>
      </c>
      <c r="L3430" s="22">
        <v>12</v>
      </c>
    </row>
    <row r="3431" spans="1:12">
      <c r="A3431">
        <v>4</v>
      </c>
      <c r="B3431" s="16" t="s">
        <v>59</v>
      </c>
      <c r="C3431" s="9">
        <v>46023</v>
      </c>
      <c r="D3431">
        <v>31</v>
      </c>
      <c r="E3431" s="16" t="s">
        <v>120</v>
      </c>
      <c r="F3431" s="16" t="s">
        <v>92</v>
      </c>
      <c r="G3431" s="22">
        <v>7.5</v>
      </c>
      <c r="H3431" s="18">
        <v>8.9774999999999991</v>
      </c>
      <c r="I3431" s="18">
        <v>1.1970000000000001</v>
      </c>
      <c r="J3431" s="18">
        <v>1.26</v>
      </c>
      <c r="K3431" s="18">
        <v>1.18</v>
      </c>
      <c r="L3431" s="22">
        <v>9</v>
      </c>
    </row>
    <row r="3432" spans="1:12">
      <c r="A3432">
        <v>4</v>
      </c>
      <c r="B3432" s="16" t="s">
        <v>59</v>
      </c>
      <c r="C3432" s="9">
        <v>46054</v>
      </c>
      <c r="D3432">
        <v>31</v>
      </c>
      <c r="E3432" s="16" t="s">
        <v>120</v>
      </c>
      <c r="F3432" s="16" t="s">
        <v>92</v>
      </c>
      <c r="G3432" s="22">
        <v>8.25</v>
      </c>
      <c r="H3432" s="18">
        <v>9.69</v>
      </c>
      <c r="I3432" s="18">
        <v>1.1745454550000001</v>
      </c>
      <c r="J3432" s="18">
        <v>1.19</v>
      </c>
      <c r="K3432" s="18">
        <v>1.1499999999999999</v>
      </c>
      <c r="L3432" s="22">
        <v>11</v>
      </c>
    </row>
    <row r="3433" spans="1:12">
      <c r="A3433">
        <v>4</v>
      </c>
      <c r="B3433" s="16" t="s">
        <v>59</v>
      </c>
      <c r="C3433" s="9">
        <v>46082</v>
      </c>
      <c r="D3433">
        <v>31</v>
      </c>
      <c r="E3433" s="16" t="s">
        <v>120</v>
      </c>
      <c r="F3433" s="16" t="s">
        <v>92</v>
      </c>
      <c r="G3433" s="22">
        <v>9</v>
      </c>
      <c r="H3433" s="18">
        <v>10.35</v>
      </c>
      <c r="I3433" s="18">
        <v>1.1499999999999999</v>
      </c>
      <c r="J3433" s="18">
        <v>1.18</v>
      </c>
      <c r="K3433" s="18">
        <v>1.1200000000000001</v>
      </c>
      <c r="L3433" s="22">
        <v>10</v>
      </c>
    </row>
    <row r="3434" spans="1:12">
      <c r="A3434">
        <v>4</v>
      </c>
      <c r="B3434" s="16" t="s">
        <v>59</v>
      </c>
      <c r="C3434" s="9">
        <v>46113</v>
      </c>
      <c r="D3434">
        <v>31</v>
      </c>
      <c r="E3434" s="16" t="s">
        <v>120</v>
      </c>
      <c r="F3434" s="16" t="s">
        <v>92</v>
      </c>
      <c r="G3434" s="22">
        <v>8.25</v>
      </c>
      <c r="H3434" s="18">
        <v>9.06</v>
      </c>
      <c r="I3434" s="18">
        <v>1.098181818</v>
      </c>
      <c r="J3434" s="18">
        <v>1.1200000000000001</v>
      </c>
      <c r="K3434" s="18">
        <v>1.07</v>
      </c>
      <c r="L3434" s="22">
        <v>9</v>
      </c>
    </row>
    <row r="3435" spans="1:12">
      <c r="A3435">
        <v>4</v>
      </c>
      <c r="B3435" s="16" t="s">
        <v>59</v>
      </c>
      <c r="C3435" s="9">
        <v>46143</v>
      </c>
      <c r="D3435">
        <v>31</v>
      </c>
      <c r="E3435" s="16" t="s">
        <v>120</v>
      </c>
      <c r="F3435" s="16" t="s">
        <v>92</v>
      </c>
      <c r="G3435" s="22">
        <v>12</v>
      </c>
      <c r="H3435" s="18">
        <v>12.72</v>
      </c>
      <c r="I3435" s="18">
        <v>1.06</v>
      </c>
      <c r="J3435" s="18">
        <v>1.08</v>
      </c>
      <c r="K3435" s="18">
        <v>1.04</v>
      </c>
      <c r="L3435" s="22">
        <v>11</v>
      </c>
    </row>
    <row r="3436" spans="1:12">
      <c r="A3436">
        <v>4</v>
      </c>
      <c r="B3436" s="16" t="s">
        <v>59</v>
      </c>
      <c r="C3436" s="9">
        <v>46174</v>
      </c>
      <c r="D3436">
        <v>31</v>
      </c>
      <c r="E3436" s="16" t="s">
        <v>120</v>
      </c>
      <c r="F3436" s="16" t="s">
        <v>92</v>
      </c>
      <c r="G3436" s="22">
        <v>12</v>
      </c>
      <c r="H3436" s="18">
        <v>12.5025</v>
      </c>
      <c r="I3436" s="18">
        <v>1.0418750000000001</v>
      </c>
      <c r="J3436" s="18">
        <v>1.06</v>
      </c>
      <c r="K3436" s="18">
        <v>1</v>
      </c>
      <c r="L3436" s="22">
        <v>11</v>
      </c>
    </row>
    <row r="3437" spans="1:12">
      <c r="A3437">
        <v>4</v>
      </c>
      <c r="B3437" s="16" t="s">
        <v>59</v>
      </c>
      <c r="C3437" s="9">
        <v>46204</v>
      </c>
      <c r="D3437">
        <v>31</v>
      </c>
      <c r="E3437" s="16" t="s">
        <v>120</v>
      </c>
      <c r="F3437" s="16" t="s">
        <v>92</v>
      </c>
      <c r="G3437" s="22">
        <v>12.75</v>
      </c>
      <c r="H3437" s="18">
        <v>12.8925</v>
      </c>
      <c r="I3437" s="18">
        <v>1.011176471</v>
      </c>
      <c r="J3437" s="18">
        <v>1.04</v>
      </c>
      <c r="K3437" s="18">
        <v>0.99</v>
      </c>
      <c r="L3437" s="22">
        <v>13</v>
      </c>
    </row>
    <row r="3438" spans="1:12">
      <c r="A3438">
        <v>4</v>
      </c>
      <c r="B3438" s="16" t="s">
        <v>59</v>
      </c>
      <c r="C3438" s="9">
        <v>46235</v>
      </c>
      <c r="D3438">
        <v>31</v>
      </c>
      <c r="E3438" s="16" t="s">
        <v>120</v>
      </c>
      <c r="F3438" s="16" t="s">
        <v>92</v>
      </c>
      <c r="G3438" s="22">
        <v>9.75</v>
      </c>
      <c r="H3438" s="18">
        <v>10.11</v>
      </c>
      <c r="I3438" s="18">
        <v>1.036923077</v>
      </c>
      <c r="J3438" s="18">
        <v>1.05</v>
      </c>
      <c r="K3438" s="18">
        <v>1.02</v>
      </c>
      <c r="L3438" s="22">
        <v>10</v>
      </c>
    </row>
    <row r="3439" spans="1:12">
      <c r="A3439">
        <v>4</v>
      </c>
      <c r="B3439" s="16" t="s">
        <v>59</v>
      </c>
      <c r="C3439" s="9">
        <v>46266</v>
      </c>
      <c r="D3439">
        <v>31</v>
      </c>
      <c r="E3439" s="16" t="s">
        <v>120</v>
      </c>
      <c r="F3439" s="16" t="s">
        <v>92</v>
      </c>
      <c r="G3439" s="22">
        <v>9.75</v>
      </c>
      <c r="H3439" s="18">
        <v>10.35</v>
      </c>
      <c r="I3439" s="18">
        <v>1.0615384619999999</v>
      </c>
      <c r="J3439" s="18">
        <v>1.08</v>
      </c>
      <c r="K3439" s="18">
        <v>1.05</v>
      </c>
      <c r="L3439" s="22">
        <v>12</v>
      </c>
    </row>
    <row r="3440" spans="1:12">
      <c r="A3440">
        <v>4</v>
      </c>
      <c r="B3440" s="16" t="s">
        <v>59</v>
      </c>
      <c r="C3440" s="9">
        <v>45689</v>
      </c>
      <c r="D3440">
        <v>32</v>
      </c>
      <c r="E3440" s="16" t="s">
        <v>121</v>
      </c>
      <c r="F3440" s="16" t="s">
        <v>92</v>
      </c>
      <c r="G3440" s="22">
        <v>19</v>
      </c>
      <c r="H3440" s="18">
        <v>11.205</v>
      </c>
      <c r="I3440" s="18">
        <v>0.58973684199999998</v>
      </c>
      <c r="J3440" s="18">
        <v>0.6</v>
      </c>
      <c r="K3440" s="18">
        <v>0.57999999999999996</v>
      </c>
      <c r="L3440" s="22">
        <v>12</v>
      </c>
    </row>
    <row r="3441" spans="1:12">
      <c r="A3441">
        <v>4</v>
      </c>
      <c r="B3441" s="16" t="s">
        <v>59</v>
      </c>
      <c r="C3441" s="9">
        <v>45717</v>
      </c>
      <c r="D3441">
        <v>32</v>
      </c>
      <c r="E3441" s="16" t="s">
        <v>121</v>
      </c>
      <c r="F3441" s="16" t="s">
        <v>92</v>
      </c>
      <c r="G3441" s="22">
        <v>16</v>
      </c>
      <c r="H3441" s="18">
        <v>9.1199999999999992</v>
      </c>
      <c r="I3441" s="18">
        <v>0.56999999999999995</v>
      </c>
      <c r="J3441" s="18">
        <v>0.6</v>
      </c>
      <c r="K3441" s="18">
        <v>0.55000000000000004</v>
      </c>
      <c r="L3441" s="22">
        <v>13</v>
      </c>
    </row>
    <row r="3442" spans="1:12">
      <c r="A3442">
        <v>4</v>
      </c>
      <c r="B3442" s="16" t="s">
        <v>59</v>
      </c>
      <c r="C3442" s="9">
        <v>45748</v>
      </c>
      <c r="D3442">
        <v>32</v>
      </c>
      <c r="E3442" s="16" t="s">
        <v>121</v>
      </c>
      <c r="F3442" s="16" t="s">
        <v>92</v>
      </c>
      <c r="G3442" s="22">
        <v>21</v>
      </c>
      <c r="H3442" s="18">
        <v>11.34</v>
      </c>
      <c r="I3442" s="18">
        <v>0.54</v>
      </c>
      <c r="J3442" s="18">
        <v>0.55000000000000004</v>
      </c>
      <c r="K3442" s="18">
        <v>0.53</v>
      </c>
      <c r="L3442" s="22">
        <v>13</v>
      </c>
    </row>
    <row r="3443" spans="1:12">
      <c r="A3443">
        <v>4</v>
      </c>
      <c r="B3443" s="16" t="s">
        <v>59</v>
      </c>
      <c r="C3443" s="9">
        <v>45778</v>
      </c>
      <c r="D3443">
        <v>32</v>
      </c>
      <c r="E3443" s="16" t="s">
        <v>121</v>
      </c>
      <c r="F3443" s="16" t="s">
        <v>92</v>
      </c>
      <c r="G3443" s="22">
        <v>29.5</v>
      </c>
      <c r="H3443" s="18">
        <v>15.32</v>
      </c>
      <c r="I3443" s="18">
        <v>0.51932203399999999</v>
      </c>
      <c r="J3443" s="18">
        <v>0.53</v>
      </c>
      <c r="K3443" s="18">
        <v>0.5</v>
      </c>
      <c r="L3443" s="22">
        <v>13</v>
      </c>
    </row>
    <row r="3444" spans="1:12">
      <c r="A3444">
        <v>4</v>
      </c>
      <c r="B3444" s="16" t="s">
        <v>59</v>
      </c>
      <c r="C3444" s="9">
        <v>45809</v>
      </c>
      <c r="D3444">
        <v>32</v>
      </c>
      <c r="E3444" s="16" t="s">
        <v>121</v>
      </c>
      <c r="F3444" s="16" t="s">
        <v>92</v>
      </c>
      <c r="G3444" s="22">
        <v>28</v>
      </c>
      <c r="H3444" s="18">
        <v>13.914999999999999</v>
      </c>
      <c r="I3444" s="18">
        <v>0.49696428599999998</v>
      </c>
      <c r="J3444" s="18">
        <v>0.51</v>
      </c>
      <c r="K3444" s="18">
        <v>0.48</v>
      </c>
      <c r="L3444" s="22">
        <v>13</v>
      </c>
    </row>
    <row r="3445" spans="1:12">
      <c r="A3445">
        <v>4</v>
      </c>
      <c r="B3445" s="16" t="s">
        <v>59</v>
      </c>
      <c r="C3445" s="9">
        <v>45839</v>
      </c>
      <c r="D3445">
        <v>32</v>
      </c>
      <c r="E3445" s="16" t="s">
        <v>121</v>
      </c>
      <c r="F3445" s="16" t="s">
        <v>92</v>
      </c>
      <c r="G3445" s="22">
        <v>26.5</v>
      </c>
      <c r="H3445" s="18">
        <v>12.83</v>
      </c>
      <c r="I3445" s="18">
        <v>0.484150943</v>
      </c>
      <c r="J3445" s="18">
        <v>0.5</v>
      </c>
      <c r="K3445" s="18">
        <v>0.47</v>
      </c>
      <c r="L3445" s="22">
        <v>13</v>
      </c>
    </row>
    <row r="3446" spans="1:12">
      <c r="A3446">
        <v>4</v>
      </c>
      <c r="B3446" s="16" t="s">
        <v>59</v>
      </c>
      <c r="C3446" s="9">
        <v>45870</v>
      </c>
      <c r="D3446">
        <v>32</v>
      </c>
      <c r="E3446" s="16" t="s">
        <v>121</v>
      </c>
      <c r="F3446" s="16" t="s">
        <v>92</v>
      </c>
      <c r="G3446" s="22">
        <v>27</v>
      </c>
      <c r="H3446" s="18">
        <v>13.16</v>
      </c>
      <c r="I3446" s="18">
        <v>0.48740740700000001</v>
      </c>
      <c r="J3446" s="18">
        <v>0.5</v>
      </c>
      <c r="K3446" s="18">
        <v>0.48</v>
      </c>
      <c r="L3446" s="22">
        <v>13</v>
      </c>
    </row>
    <row r="3447" spans="1:12">
      <c r="A3447">
        <v>4</v>
      </c>
      <c r="B3447" s="16" t="s">
        <v>59</v>
      </c>
      <c r="C3447" s="9">
        <v>45901</v>
      </c>
      <c r="D3447">
        <v>32</v>
      </c>
      <c r="E3447" s="16" t="s">
        <v>121</v>
      </c>
      <c r="F3447" s="16" t="s">
        <v>92</v>
      </c>
      <c r="G3447" s="22">
        <v>27</v>
      </c>
      <c r="H3447" s="18">
        <v>13.79</v>
      </c>
      <c r="I3447" s="18">
        <v>0.510740741</v>
      </c>
      <c r="J3447" s="18">
        <v>0.52</v>
      </c>
      <c r="K3447" s="18">
        <v>0.5</v>
      </c>
      <c r="L3447" s="22">
        <v>13</v>
      </c>
    </row>
    <row r="3448" spans="1:12">
      <c r="A3448">
        <v>4</v>
      </c>
      <c r="B3448" s="16" t="s">
        <v>59</v>
      </c>
      <c r="C3448" s="9">
        <v>45931</v>
      </c>
      <c r="D3448">
        <v>32</v>
      </c>
      <c r="E3448" s="16" t="s">
        <v>121</v>
      </c>
      <c r="F3448" s="16" t="s">
        <v>92</v>
      </c>
      <c r="G3448" s="22">
        <v>22</v>
      </c>
      <c r="H3448" s="18">
        <v>11.86</v>
      </c>
      <c r="I3448" s="18">
        <v>0.53909090900000001</v>
      </c>
      <c r="J3448" s="18">
        <v>0.55000000000000004</v>
      </c>
      <c r="K3448" s="18">
        <v>0.53</v>
      </c>
      <c r="L3448" s="22">
        <v>14</v>
      </c>
    </row>
    <row r="3449" spans="1:12">
      <c r="A3449">
        <v>4</v>
      </c>
      <c r="B3449" s="16" t="s">
        <v>59</v>
      </c>
      <c r="C3449" s="9">
        <v>45962</v>
      </c>
      <c r="D3449">
        <v>32</v>
      </c>
      <c r="E3449" s="16" t="s">
        <v>121</v>
      </c>
      <c r="F3449" s="16" t="s">
        <v>92</v>
      </c>
      <c r="G3449" s="22">
        <v>15</v>
      </c>
      <c r="H3449" s="18">
        <v>8.4949999999999992</v>
      </c>
      <c r="I3449" s="18">
        <v>0.56633333299999999</v>
      </c>
      <c r="J3449" s="18">
        <v>0.56999999999999995</v>
      </c>
      <c r="K3449" s="18">
        <v>0.56000000000000005</v>
      </c>
      <c r="L3449" s="22">
        <v>12</v>
      </c>
    </row>
    <row r="3450" spans="1:12">
      <c r="A3450">
        <v>4</v>
      </c>
      <c r="B3450" s="16" t="s">
        <v>59</v>
      </c>
      <c r="C3450" s="9">
        <v>45992</v>
      </c>
      <c r="D3450">
        <v>32</v>
      </c>
      <c r="E3450" s="16" t="s">
        <v>121</v>
      </c>
      <c r="F3450" s="16" t="s">
        <v>92</v>
      </c>
      <c r="G3450" s="22">
        <v>21</v>
      </c>
      <c r="H3450" s="18">
        <v>12.33</v>
      </c>
      <c r="I3450" s="18">
        <v>0.58714285700000002</v>
      </c>
      <c r="J3450" s="18">
        <v>0.6</v>
      </c>
      <c r="K3450" s="18">
        <v>0.56999999999999995</v>
      </c>
      <c r="L3450" s="22">
        <v>14</v>
      </c>
    </row>
    <row r="3451" spans="1:12">
      <c r="A3451">
        <v>4</v>
      </c>
      <c r="B3451" s="16" t="s">
        <v>59</v>
      </c>
      <c r="C3451" s="9">
        <v>46023</v>
      </c>
      <c r="D3451">
        <v>32</v>
      </c>
      <c r="E3451" s="16" t="s">
        <v>121</v>
      </c>
      <c r="F3451" s="16" t="s">
        <v>92</v>
      </c>
      <c r="G3451" s="22">
        <v>14</v>
      </c>
      <c r="H3451" s="18">
        <v>8.4949999999999992</v>
      </c>
      <c r="I3451" s="18">
        <v>0.60678571400000003</v>
      </c>
      <c r="J3451" s="18">
        <v>0.62</v>
      </c>
      <c r="K3451" s="18">
        <v>0.59</v>
      </c>
      <c r="L3451" s="22">
        <v>12</v>
      </c>
    </row>
    <row r="3452" spans="1:12">
      <c r="A3452">
        <v>4</v>
      </c>
      <c r="B3452" s="16" t="s">
        <v>59</v>
      </c>
      <c r="C3452" s="9">
        <v>46054</v>
      </c>
      <c r="D3452">
        <v>32</v>
      </c>
      <c r="E3452" s="16" t="s">
        <v>121</v>
      </c>
      <c r="F3452" s="16" t="s">
        <v>92</v>
      </c>
      <c r="G3452" s="22">
        <v>17.5</v>
      </c>
      <c r="H3452" s="18">
        <v>10.625</v>
      </c>
      <c r="I3452" s="18">
        <v>0.60714285700000004</v>
      </c>
      <c r="J3452" s="18">
        <v>0.62</v>
      </c>
      <c r="K3452" s="18">
        <v>0.6</v>
      </c>
      <c r="L3452" s="22">
        <v>12</v>
      </c>
    </row>
    <row r="3453" spans="1:12">
      <c r="A3453">
        <v>4</v>
      </c>
      <c r="B3453" s="16" t="s">
        <v>59</v>
      </c>
      <c r="C3453" s="9">
        <v>46082</v>
      </c>
      <c r="D3453">
        <v>32</v>
      </c>
      <c r="E3453" s="16" t="s">
        <v>121</v>
      </c>
      <c r="F3453" s="16" t="s">
        <v>92</v>
      </c>
      <c r="G3453" s="22">
        <v>19.5</v>
      </c>
      <c r="H3453" s="18">
        <v>11.36</v>
      </c>
      <c r="I3453" s="18">
        <v>0.58256410300000006</v>
      </c>
      <c r="J3453" s="18">
        <v>0.61</v>
      </c>
      <c r="K3453" s="18">
        <v>0.56000000000000005</v>
      </c>
      <c r="L3453" s="22">
        <v>13</v>
      </c>
    </row>
    <row r="3454" spans="1:12">
      <c r="A3454">
        <v>4</v>
      </c>
      <c r="B3454" s="16" t="s">
        <v>59</v>
      </c>
      <c r="C3454" s="9">
        <v>46113</v>
      </c>
      <c r="D3454">
        <v>32</v>
      </c>
      <c r="E3454" s="16" t="s">
        <v>121</v>
      </c>
      <c r="F3454" s="16" t="s">
        <v>92</v>
      </c>
      <c r="G3454" s="22">
        <v>18</v>
      </c>
      <c r="H3454" s="18">
        <v>10.035</v>
      </c>
      <c r="I3454" s="18">
        <v>0.5575</v>
      </c>
      <c r="J3454" s="18">
        <v>0.56999999999999995</v>
      </c>
      <c r="K3454" s="18">
        <v>0.55000000000000004</v>
      </c>
      <c r="L3454" s="22">
        <v>13</v>
      </c>
    </row>
    <row r="3455" spans="1:12">
      <c r="A3455">
        <v>4</v>
      </c>
      <c r="B3455" s="16" t="s">
        <v>59</v>
      </c>
      <c r="C3455" s="9">
        <v>46143</v>
      </c>
      <c r="D3455">
        <v>32</v>
      </c>
      <c r="E3455" s="16" t="s">
        <v>121</v>
      </c>
      <c r="F3455" s="16" t="s">
        <v>92</v>
      </c>
      <c r="G3455" s="22">
        <v>26</v>
      </c>
      <c r="H3455" s="18">
        <v>13.83</v>
      </c>
      <c r="I3455" s="18">
        <v>0.53192307699999997</v>
      </c>
      <c r="J3455" s="18">
        <v>0.54</v>
      </c>
      <c r="K3455" s="18">
        <v>0.52</v>
      </c>
      <c r="L3455" s="22">
        <v>13</v>
      </c>
    </row>
    <row r="3456" spans="1:12">
      <c r="A3456">
        <v>4</v>
      </c>
      <c r="B3456" s="16" t="s">
        <v>59</v>
      </c>
      <c r="C3456" s="9">
        <v>46174</v>
      </c>
      <c r="D3456">
        <v>32</v>
      </c>
      <c r="E3456" s="16" t="s">
        <v>121</v>
      </c>
      <c r="F3456" s="16" t="s">
        <v>92</v>
      </c>
      <c r="G3456" s="22">
        <v>28.5</v>
      </c>
      <c r="H3456" s="18">
        <v>14.615</v>
      </c>
      <c r="I3456" s="18">
        <v>0.51280701799999995</v>
      </c>
      <c r="J3456" s="18">
        <v>0.54</v>
      </c>
      <c r="K3456" s="18">
        <v>0.5</v>
      </c>
      <c r="L3456" s="22">
        <v>13</v>
      </c>
    </row>
    <row r="3457" spans="1:12">
      <c r="A3457">
        <v>4</v>
      </c>
      <c r="B3457" s="16" t="s">
        <v>59</v>
      </c>
      <c r="C3457" s="9">
        <v>46204</v>
      </c>
      <c r="D3457">
        <v>32</v>
      </c>
      <c r="E3457" s="16" t="s">
        <v>121</v>
      </c>
      <c r="F3457" s="16" t="s">
        <v>92</v>
      </c>
      <c r="G3457" s="22">
        <v>31.5</v>
      </c>
      <c r="H3457" s="18">
        <v>15.984999999999999</v>
      </c>
      <c r="I3457" s="18">
        <v>0.50746031700000005</v>
      </c>
      <c r="J3457" s="18">
        <v>0.52</v>
      </c>
      <c r="K3457" s="18">
        <v>0.5</v>
      </c>
      <c r="L3457" s="22">
        <v>14</v>
      </c>
    </row>
    <row r="3458" spans="1:12">
      <c r="A3458">
        <v>4</v>
      </c>
      <c r="B3458" s="16" t="s">
        <v>59</v>
      </c>
      <c r="C3458" s="9">
        <v>46235</v>
      </c>
      <c r="D3458">
        <v>32</v>
      </c>
      <c r="E3458" s="16" t="s">
        <v>121</v>
      </c>
      <c r="F3458" s="16" t="s">
        <v>92</v>
      </c>
      <c r="G3458" s="22">
        <v>24</v>
      </c>
      <c r="H3458" s="18">
        <v>12.39</v>
      </c>
      <c r="I3458" s="18">
        <v>0.51624999999999999</v>
      </c>
      <c r="J3458" s="18">
        <v>0.53</v>
      </c>
      <c r="K3458" s="18">
        <v>0.49</v>
      </c>
      <c r="L3458" s="22">
        <v>13</v>
      </c>
    </row>
    <row r="3459" spans="1:12">
      <c r="A3459">
        <v>4</v>
      </c>
      <c r="B3459" s="16" t="s">
        <v>59</v>
      </c>
      <c r="C3459" s="9">
        <v>46266</v>
      </c>
      <c r="D3459">
        <v>32</v>
      </c>
      <c r="E3459" s="16" t="s">
        <v>121</v>
      </c>
      <c r="F3459" s="16" t="s">
        <v>92</v>
      </c>
      <c r="G3459" s="22">
        <v>22</v>
      </c>
      <c r="H3459" s="18">
        <v>11.8</v>
      </c>
      <c r="I3459" s="18">
        <v>0.53636363600000003</v>
      </c>
      <c r="J3459" s="18">
        <v>0.55000000000000004</v>
      </c>
      <c r="K3459" s="18">
        <v>0.53</v>
      </c>
      <c r="L3459" s="22">
        <v>13</v>
      </c>
    </row>
    <row r="3460" spans="1:12">
      <c r="A3460">
        <v>4</v>
      </c>
      <c r="B3460" s="16" t="s">
        <v>59</v>
      </c>
      <c r="C3460" s="9">
        <v>45689</v>
      </c>
      <c r="D3460">
        <v>33</v>
      </c>
      <c r="E3460" s="16" t="s">
        <v>122</v>
      </c>
      <c r="F3460" s="16" t="s">
        <v>92</v>
      </c>
      <c r="G3460" s="22">
        <v>74</v>
      </c>
      <c r="H3460" s="18">
        <v>62.04</v>
      </c>
      <c r="I3460" s="18">
        <v>0.83837837800000004</v>
      </c>
      <c r="J3460" s="18">
        <v>0.85</v>
      </c>
      <c r="K3460" s="18">
        <v>0.82</v>
      </c>
      <c r="L3460" s="22">
        <v>12</v>
      </c>
    </row>
    <row r="3461" spans="1:12">
      <c r="A3461">
        <v>4</v>
      </c>
      <c r="B3461" s="16" t="s">
        <v>59</v>
      </c>
      <c r="C3461" s="9">
        <v>45717</v>
      </c>
      <c r="D3461">
        <v>33</v>
      </c>
      <c r="E3461" s="16" t="s">
        <v>122</v>
      </c>
      <c r="F3461" s="16" t="s">
        <v>92</v>
      </c>
      <c r="G3461" s="22">
        <v>80</v>
      </c>
      <c r="H3461" s="18">
        <v>64.92</v>
      </c>
      <c r="I3461" s="18">
        <v>0.8115</v>
      </c>
      <c r="J3461" s="18">
        <v>0.84</v>
      </c>
      <c r="K3461" s="18">
        <v>0.79</v>
      </c>
      <c r="L3461" s="22">
        <v>13</v>
      </c>
    </row>
    <row r="3462" spans="1:12">
      <c r="A3462">
        <v>4</v>
      </c>
      <c r="B3462" s="16" t="s">
        <v>59</v>
      </c>
      <c r="C3462" s="9">
        <v>45748</v>
      </c>
      <c r="D3462">
        <v>33</v>
      </c>
      <c r="E3462" s="16" t="s">
        <v>122</v>
      </c>
      <c r="F3462" s="16" t="s">
        <v>92</v>
      </c>
      <c r="G3462" s="22">
        <v>92</v>
      </c>
      <c r="H3462" s="18">
        <v>72.56</v>
      </c>
      <c r="I3462" s="18">
        <v>0.78869565200000002</v>
      </c>
      <c r="J3462" s="18">
        <v>0.8</v>
      </c>
      <c r="K3462" s="18">
        <v>0.78</v>
      </c>
      <c r="L3462" s="22">
        <v>13</v>
      </c>
    </row>
    <row r="3463" spans="1:12">
      <c r="A3463">
        <v>4</v>
      </c>
      <c r="B3463" s="16" t="s">
        <v>59</v>
      </c>
      <c r="C3463" s="9">
        <v>45778</v>
      </c>
      <c r="D3463">
        <v>33</v>
      </c>
      <c r="E3463" s="16" t="s">
        <v>122</v>
      </c>
      <c r="F3463" s="16" t="s">
        <v>92</v>
      </c>
      <c r="G3463" s="22">
        <v>132</v>
      </c>
      <c r="H3463" s="18">
        <v>99.5</v>
      </c>
      <c r="I3463" s="18">
        <v>0.75378787899999999</v>
      </c>
      <c r="J3463" s="18">
        <v>0.77</v>
      </c>
      <c r="K3463" s="18">
        <v>0.73</v>
      </c>
      <c r="L3463" s="22">
        <v>13</v>
      </c>
    </row>
    <row r="3464" spans="1:12">
      <c r="A3464">
        <v>4</v>
      </c>
      <c r="B3464" s="16" t="s">
        <v>59</v>
      </c>
      <c r="C3464" s="9">
        <v>45809</v>
      </c>
      <c r="D3464">
        <v>33</v>
      </c>
      <c r="E3464" s="16" t="s">
        <v>122</v>
      </c>
      <c r="F3464" s="16" t="s">
        <v>92</v>
      </c>
      <c r="G3464" s="22">
        <v>132</v>
      </c>
      <c r="H3464" s="18">
        <v>96.3</v>
      </c>
      <c r="I3464" s="18">
        <v>0.72954545500000001</v>
      </c>
      <c r="J3464" s="18">
        <v>0.74</v>
      </c>
      <c r="K3464" s="18">
        <v>0.71</v>
      </c>
      <c r="L3464" s="22">
        <v>13</v>
      </c>
    </row>
    <row r="3465" spans="1:12">
      <c r="A3465">
        <v>4</v>
      </c>
      <c r="B3465" s="16" t="s">
        <v>59</v>
      </c>
      <c r="C3465" s="9">
        <v>45839</v>
      </c>
      <c r="D3465">
        <v>33</v>
      </c>
      <c r="E3465" s="16" t="s">
        <v>122</v>
      </c>
      <c r="F3465" s="16" t="s">
        <v>92</v>
      </c>
      <c r="G3465" s="22">
        <v>122</v>
      </c>
      <c r="H3465" s="18">
        <v>89.34</v>
      </c>
      <c r="I3465" s="18">
        <v>0.73229508200000004</v>
      </c>
      <c r="J3465" s="18">
        <v>0.75</v>
      </c>
      <c r="K3465" s="18">
        <v>0.72</v>
      </c>
      <c r="L3465" s="22">
        <v>13</v>
      </c>
    </row>
    <row r="3466" spans="1:12">
      <c r="A3466">
        <v>4</v>
      </c>
      <c r="B3466" s="16" t="s">
        <v>59</v>
      </c>
      <c r="C3466" s="9">
        <v>45870</v>
      </c>
      <c r="D3466">
        <v>33</v>
      </c>
      <c r="E3466" s="16" t="s">
        <v>122</v>
      </c>
      <c r="F3466" s="16" t="s">
        <v>92</v>
      </c>
      <c r="G3466" s="22">
        <v>128</v>
      </c>
      <c r="H3466" s="18">
        <v>95.92</v>
      </c>
      <c r="I3466" s="18">
        <v>0.74937500000000001</v>
      </c>
      <c r="J3466" s="18">
        <v>0.77</v>
      </c>
      <c r="K3466" s="18">
        <v>0.73</v>
      </c>
      <c r="L3466" s="22">
        <v>13</v>
      </c>
    </row>
    <row r="3467" spans="1:12">
      <c r="A3467">
        <v>4</v>
      </c>
      <c r="B3467" s="16" t="s">
        <v>59</v>
      </c>
      <c r="C3467" s="9">
        <v>45901</v>
      </c>
      <c r="D3467">
        <v>33</v>
      </c>
      <c r="E3467" s="16" t="s">
        <v>122</v>
      </c>
      <c r="F3467" s="16" t="s">
        <v>92</v>
      </c>
      <c r="G3467" s="22">
        <v>128</v>
      </c>
      <c r="H3467" s="18">
        <v>99.06</v>
      </c>
      <c r="I3467" s="18">
        <v>0.77390625000000002</v>
      </c>
      <c r="J3467" s="18">
        <v>0.79</v>
      </c>
      <c r="K3467" s="18">
        <v>0.76</v>
      </c>
      <c r="L3467" s="22">
        <v>13</v>
      </c>
    </row>
    <row r="3468" spans="1:12">
      <c r="A3468">
        <v>4</v>
      </c>
      <c r="B3468" s="16" t="s">
        <v>59</v>
      </c>
      <c r="C3468" s="9">
        <v>45931</v>
      </c>
      <c r="D3468">
        <v>33</v>
      </c>
      <c r="E3468" s="16" t="s">
        <v>122</v>
      </c>
      <c r="F3468" s="16" t="s">
        <v>92</v>
      </c>
      <c r="G3468" s="22">
        <v>104</v>
      </c>
      <c r="H3468" s="18">
        <v>82.22</v>
      </c>
      <c r="I3468" s="18">
        <v>0.79057692300000004</v>
      </c>
      <c r="J3468" s="18">
        <v>0.81</v>
      </c>
      <c r="K3468" s="18">
        <v>0.78</v>
      </c>
      <c r="L3468" s="22">
        <v>14</v>
      </c>
    </row>
    <row r="3469" spans="1:12">
      <c r="A3469">
        <v>4</v>
      </c>
      <c r="B3469" s="16" t="s">
        <v>59</v>
      </c>
      <c r="C3469" s="9">
        <v>45962</v>
      </c>
      <c r="D3469">
        <v>33</v>
      </c>
      <c r="E3469" s="16" t="s">
        <v>122</v>
      </c>
      <c r="F3469" s="16" t="s">
        <v>92</v>
      </c>
      <c r="G3469" s="22">
        <v>80</v>
      </c>
      <c r="H3469" s="18">
        <v>65.5</v>
      </c>
      <c r="I3469" s="18">
        <v>0.81874999999999998</v>
      </c>
      <c r="J3469" s="18">
        <v>0.84</v>
      </c>
      <c r="K3469" s="18">
        <v>0.8</v>
      </c>
      <c r="L3469" s="22">
        <v>12</v>
      </c>
    </row>
    <row r="3470" spans="1:12">
      <c r="A3470">
        <v>4</v>
      </c>
      <c r="B3470" s="16" t="s">
        <v>59</v>
      </c>
      <c r="C3470" s="9">
        <v>45992</v>
      </c>
      <c r="D3470">
        <v>33</v>
      </c>
      <c r="E3470" s="16" t="s">
        <v>122</v>
      </c>
      <c r="F3470" s="16" t="s">
        <v>92</v>
      </c>
      <c r="G3470" s="22">
        <v>100</v>
      </c>
      <c r="H3470" s="18">
        <v>84.3</v>
      </c>
      <c r="I3470" s="18">
        <v>0.84299999999999997</v>
      </c>
      <c r="J3470" s="18">
        <v>0.86</v>
      </c>
      <c r="K3470" s="18">
        <v>0.83</v>
      </c>
      <c r="L3470" s="22">
        <v>14</v>
      </c>
    </row>
    <row r="3471" spans="1:12">
      <c r="A3471">
        <v>4</v>
      </c>
      <c r="B3471" s="16" t="s">
        <v>59</v>
      </c>
      <c r="C3471" s="9">
        <v>46023</v>
      </c>
      <c r="D3471">
        <v>33</v>
      </c>
      <c r="E3471" s="16" t="s">
        <v>122</v>
      </c>
      <c r="F3471" s="16" t="s">
        <v>92</v>
      </c>
      <c r="G3471" s="22">
        <v>72</v>
      </c>
      <c r="H3471" s="18">
        <v>62.26</v>
      </c>
      <c r="I3471" s="18">
        <v>0.86472222200000004</v>
      </c>
      <c r="J3471" s="18">
        <v>0.91</v>
      </c>
      <c r="K3471" s="18">
        <v>0.84</v>
      </c>
      <c r="L3471" s="22">
        <v>13</v>
      </c>
    </row>
    <row r="3472" spans="1:12">
      <c r="A3472">
        <v>4</v>
      </c>
      <c r="B3472" s="16" t="s">
        <v>59</v>
      </c>
      <c r="C3472" s="9">
        <v>46054</v>
      </c>
      <c r="D3472">
        <v>33</v>
      </c>
      <c r="E3472" s="16" t="s">
        <v>122</v>
      </c>
      <c r="F3472" s="16" t="s">
        <v>92</v>
      </c>
      <c r="G3472" s="22">
        <v>78</v>
      </c>
      <c r="H3472" s="18">
        <v>66.72</v>
      </c>
      <c r="I3472" s="18">
        <v>0.85538461499999996</v>
      </c>
      <c r="J3472" s="18">
        <v>0.88</v>
      </c>
      <c r="K3472" s="18">
        <v>0.84</v>
      </c>
      <c r="L3472" s="22">
        <v>12</v>
      </c>
    </row>
    <row r="3473" spans="1:12">
      <c r="A3473">
        <v>4</v>
      </c>
      <c r="B3473" s="16" t="s">
        <v>59</v>
      </c>
      <c r="C3473" s="9">
        <v>46082</v>
      </c>
      <c r="D3473">
        <v>33</v>
      </c>
      <c r="E3473" s="16" t="s">
        <v>122</v>
      </c>
      <c r="F3473" s="16" t="s">
        <v>92</v>
      </c>
      <c r="G3473" s="22">
        <v>84</v>
      </c>
      <c r="H3473" s="18">
        <v>69.42</v>
      </c>
      <c r="I3473" s="18">
        <v>0.826428571</v>
      </c>
      <c r="J3473" s="18">
        <v>0.85</v>
      </c>
      <c r="K3473" s="18">
        <v>0.8</v>
      </c>
      <c r="L3473" s="22">
        <v>12</v>
      </c>
    </row>
    <row r="3474" spans="1:12">
      <c r="A3474">
        <v>4</v>
      </c>
      <c r="B3474" s="16" t="s">
        <v>59</v>
      </c>
      <c r="C3474" s="9">
        <v>46113</v>
      </c>
      <c r="D3474">
        <v>33</v>
      </c>
      <c r="E3474" s="16" t="s">
        <v>122</v>
      </c>
      <c r="F3474" s="16" t="s">
        <v>92</v>
      </c>
      <c r="G3474" s="22">
        <v>86</v>
      </c>
      <c r="H3474" s="18">
        <v>68.52</v>
      </c>
      <c r="I3474" s="18">
        <v>0.79674418599999997</v>
      </c>
      <c r="J3474" s="18">
        <v>0.81</v>
      </c>
      <c r="K3474" s="18">
        <v>0.78</v>
      </c>
      <c r="L3474" s="22">
        <v>13</v>
      </c>
    </row>
    <row r="3475" spans="1:12">
      <c r="A3475">
        <v>4</v>
      </c>
      <c r="B3475" s="16" t="s">
        <v>59</v>
      </c>
      <c r="C3475" s="9">
        <v>46143</v>
      </c>
      <c r="D3475">
        <v>33</v>
      </c>
      <c r="E3475" s="16" t="s">
        <v>122</v>
      </c>
      <c r="F3475" s="16" t="s">
        <v>92</v>
      </c>
      <c r="G3475" s="22">
        <v>128</v>
      </c>
      <c r="H3475" s="18">
        <v>98.26</v>
      </c>
      <c r="I3475" s="18">
        <v>0.76765625000000004</v>
      </c>
      <c r="J3475" s="18">
        <v>0.78</v>
      </c>
      <c r="K3475" s="18">
        <v>0.76</v>
      </c>
      <c r="L3475" s="22">
        <v>13</v>
      </c>
    </row>
    <row r="3476" spans="1:12">
      <c r="A3476">
        <v>4</v>
      </c>
      <c r="B3476" s="16" t="s">
        <v>59</v>
      </c>
      <c r="C3476" s="9">
        <v>46174</v>
      </c>
      <c r="D3476">
        <v>33</v>
      </c>
      <c r="E3476" s="16" t="s">
        <v>122</v>
      </c>
      <c r="F3476" s="16" t="s">
        <v>92</v>
      </c>
      <c r="G3476" s="22">
        <v>134</v>
      </c>
      <c r="H3476" s="18">
        <v>100.12</v>
      </c>
      <c r="I3476" s="18">
        <v>0.74716417899999998</v>
      </c>
      <c r="J3476" s="18">
        <v>0.76</v>
      </c>
      <c r="K3476" s="18">
        <v>0.72</v>
      </c>
      <c r="L3476" s="22">
        <v>13</v>
      </c>
    </row>
    <row r="3477" spans="1:12">
      <c r="A3477">
        <v>4</v>
      </c>
      <c r="B3477" s="16" t="s">
        <v>59</v>
      </c>
      <c r="C3477" s="9">
        <v>46204</v>
      </c>
      <c r="D3477">
        <v>33</v>
      </c>
      <c r="E3477" s="16" t="s">
        <v>122</v>
      </c>
      <c r="F3477" s="16" t="s">
        <v>92</v>
      </c>
      <c r="G3477" s="22">
        <v>152</v>
      </c>
      <c r="H3477" s="18">
        <v>113.96</v>
      </c>
      <c r="I3477" s="18">
        <v>0.74973684200000001</v>
      </c>
      <c r="J3477" s="18">
        <v>0.8</v>
      </c>
      <c r="K3477" s="18">
        <v>0.73</v>
      </c>
      <c r="L3477" s="22">
        <v>14</v>
      </c>
    </row>
    <row r="3478" spans="1:12">
      <c r="A3478">
        <v>4</v>
      </c>
      <c r="B3478" s="16" t="s">
        <v>59</v>
      </c>
      <c r="C3478" s="9">
        <v>46235</v>
      </c>
      <c r="D3478">
        <v>33</v>
      </c>
      <c r="E3478" s="16" t="s">
        <v>122</v>
      </c>
      <c r="F3478" s="16" t="s">
        <v>92</v>
      </c>
      <c r="G3478" s="22">
        <v>116</v>
      </c>
      <c r="H3478" s="18">
        <v>88.08</v>
      </c>
      <c r="I3478" s="18">
        <v>0.75931034500000005</v>
      </c>
      <c r="J3478" s="18">
        <v>0.77</v>
      </c>
      <c r="K3478" s="18">
        <v>0.74</v>
      </c>
      <c r="L3478" s="22">
        <v>13</v>
      </c>
    </row>
    <row r="3479" spans="1:12">
      <c r="A3479">
        <v>4</v>
      </c>
      <c r="B3479" s="16" t="s">
        <v>59</v>
      </c>
      <c r="C3479" s="9">
        <v>46266</v>
      </c>
      <c r="D3479">
        <v>33</v>
      </c>
      <c r="E3479" s="16" t="s">
        <v>122</v>
      </c>
      <c r="F3479" s="16" t="s">
        <v>92</v>
      </c>
      <c r="G3479" s="22">
        <v>110</v>
      </c>
      <c r="H3479" s="18">
        <v>87.08</v>
      </c>
      <c r="I3479" s="18">
        <v>0.79163636400000004</v>
      </c>
      <c r="J3479" s="18">
        <v>0.81</v>
      </c>
      <c r="K3479" s="18">
        <v>0.77</v>
      </c>
      <c r="L3479" s="22">
        <v>13</v>
      </c>
    </row>
    <row r="3480" spans="1:12">
      <c r="A3480">
        <v>4</v>
      </c>
      <c r="B3480" s="16" t="s">
        <v>59</v>
      </c>
      <c r="C3480" s="9">
        <v>45689</v>
      </c>
      <c r="D3480">
        <v>34</v>
      </c>
      <c r="E3480" s="16" t="s">
        <v>123</v>
      </c>
      <c r="F3480" s="16" t="s">
        <v>114</v>
      </c>
      <c r="G3480" s="22">
        <v>11.25</v>
      </c>
      <c r="H3480" s="18">
        <v>37.755000000000003</v>
      </c>
      <c r="I3480" s="18">
        <v>3.3559999999999999</v>
      </c>
      <c r="J3480" s="18">
        <v>3.44</v>
      </c>
      <c r="K3480" s="18">
        <v>3.26</v>
      </c>
      <c r="L3480" s="22">
        <v>8</v>
      </c>
    </row>
    <row r="3481" spans="1:12">
      <c r="A3481">
        <v>4</v>
      </c>
      <c r="B3481" s="16" t="s">
        <v>59</v>
      </c>
      <c r="C3481" s="9">
        <v>45717</v>
      </c>
      <c r="D3481">
        <v>34</v>
      </c>
      <c r="E3481" s="16" t="s">
        <v>123</v>
      </c>
      <c r="F3481" s="16" t="s">
        <v>114</v>
      </c>
      <c r="G3481" s="22">
        <v>12.75</v>
      </c>
      <c r="H3481" s="18">
        <v>42.9</v>
      </c>
      <c r="I3481" s="18">
        <v>3.364705882</v>
      </c>
      <c r="J3481" s="18">
        <v>3.44</v>
      </c>
      <c r="K3481" s="18">
        <v>3.31</v>
      </c>
      <c r="L3481" s="22">
        <v>9</v>
      </c>
    </row>
    <row r="3482" spans="1:12">
      <c r="A3482">
        <v>4</v>
      </c>
      <c r="B3482" s="16" t="s">
        <v>59</v>
      </c>
      <c r="C3482" s="9">
        <v>45748</v>
      </c>
      <c r="D3482">
        <v>34</v>
      </c>
      <c r="E3482" s="16" t="s">
        <v>123</v>
      </c>
      <c r="F3482" s="16" t="s">
        <v>114</v>
      </c>
      <c r="G3482" s="22">
        <v>17.25</v>
      </c>
      <c r="H3482" s="18">
        <v>58.297499999999999</v>
      </c>
      <c r="I3482" s="18">
        <v>3.3795652170000001</v>
      </c>
      <c r="J3482" s="18">
        <v>3.42</v>
      </c>
      <c r="K3482" s="18">
        <v>3.3</v>
      </c>
      <c r="L3482" s="22">
        <v>8</v>
      </c>
    </row>
    <row r="3483" spans="1:12">
      <c r="A3483">
        <v>4</v>
      </c>
      <c r="B3483" s="16" t="s">
        <v>59</v>
      </c>
      <c r="C3483" s="9">
        <v>45778</v>
      </c>
      <c r="D3483">
        <v>34</v>
      </c>
      <c r="E3483" s="16" t="s">
        <v>123</v>
      </c>
      <c r="F3483" s="16" t="s">
        <v>114</v>
      </c>
      <c r="G3483" s="22">
        <v>21</v>
      </c>
      <c r="H3483" s="18">
        <v>70.912499999999994</v>
      </c>
      <c r="I3483" s="18">
        <v>3.3767857139999999</v>
      </c>
      <c r="J3483" s="18">
        <v>3.49</v>
      </c>
      <c r="K3483" s="18">
        <v>3.31</v>
      </c>
      <c r="L3483" s="22">
        <v>9</v>
      </c>
    </row>
    <row r="3484" spans="1:12">
      <c r="A3484">
        <v>4</v>
      </c>
      <c r="B3484" s="16" t="s">
        <v>59</v>
      </c>
      <c r="C3484" s="9">
        <v>45809</v>
      </c>
      <c r="D3484">
        <v>34</v>
      </c>
      <c r="E3484" s="16" t="s">
        <v>123</v>
      </c>
      <c r="F3484" s="16" t="s">
        <v>114</v>
      </c>
      <c r="G3484" s="22">
        <v>21.75</v>
      </c>
      <c r="H3484" s="18">
        <v>73.987499999999997</v>
      </c>
      <c r="I3484" s="18">
        <v>3.4017241380000001</v>
      </c>
      <c r="J3484" s="18">
        <v>3.51</v>
      </c>
      <c r="K3484" s="18">
        <v>3.31</v>
      </c>
      <c r="L3484" s="22">
        <v>9</v>
      </c>
    </row>
    <row r="3485" spans="1:12">
      <c r="A3485">
        <v>4</v>
      </c>
      <c r="B3485" s="16" t="s">
        <v>59</v>
      </c>
      <c r="C3485" s="9">
        <v>45839</v>
      </c>
      <c r="D3485">
        <v>34</v>
      </c>
      <c r="E3485" s="16" t="s">
        <v>123</v>
      </c>
      <c r="F3485" s="16" t="s">
        <v>114</v>
      </c>
      <c r="G3485" s="22">
        <v>18.75</v>
      </c>
      <c r="H3485" s="18">
        <v>64.222499999999997</v>
      </c>
      <c r="I3485" s="18">
        <v>3.4251999999999998</v>
      </c>
      <c r="J3485" s="18">
        <v>3.47</v>
      </c>
      <c r="K3485" s="18">
        <v>3.35</v>
      </c>
      <c r="L3485" s="22">
        <v>9</v>
      </c>
    </row>
    <row r="3486" spans="1:12">
      <c r="A3486">
        <v>4</v>
      </c>
      <c r="B3486" s="16" t="s">
        <v>59</v>
      </c>
      <c r="C3486" s="9">
        <v>45870</v>
      </c>
      <c r="D3486">
        <v>34</v>
      </c>
      <c r="E3486" s="16" t="s">
        <v>123</v>
      </c>
      <c r="F3486" s="16" t="s">
        <v>114</v>
      </c>
      <c r="G3486" s="22">
        <v>18.75</v>
      </c>
      <c r="H3486" s="18">
        <v>65.040000000000006</v>
      </c>
      <c r="I3486" s="18">
        <v>3.4687999999999999</v>
      </c>
      <c r="J3486" s="18">
        <v>3.49</v>
      </c>
      <c r="K3486" s="18">
        <v>3.44</v>
      </c>
      <c r="L3486" s="22">
        <v>8</v>
      </c>
    </row>
    <row r="3487" spans="1:12">
      <c r="A3487">
        <v>4</v>
      </c>
      <c r="B3487" s="16" t="s">
        <v>59</v>
      </c>
      <c r="C3487" s="9">
        <v>45901</v>
      </c>
      <c r="D3487">
        <v>34</v>
      </c>
      <c r="E3487" s="16" t="s">
        <v>123</v>
      </c>
      <c r="F3487" s="16" t="s">
        <v>114</v>
      </c>
      <c r="G3487" s="22">
        <v>21</v>
      </c>
      <c r="H3487" s="18">
        <v>72.547499999999999</v>
      </c>
      <c r="I3487" s="18">
        <v>3.4546428570000001</v>
      </c>
      <c r="J3487" s="18">
        <v>3.48</v>
      </c>
      <c r="K3487" s="18">
        <v>3.38</v>
      </c>
      <c r="L3487" s="22">
        <v>9</v>
      </c>
    </row>
    <row r="3488" spans="1:12">
      <c r="A3488">
        <v>4</v>
      </c>
      <c r="B3488" s="16" t="s">
        <v>59</v>
      </c>
      <c r="C3488" s="9">
        <v>45931</v>
      </c>
      <c r="D3488">
        <v>34</v>
      </c>
      <c r="E3488" s="16" t="s">
        <v>123</v>
      </c>
      <c r="F3488" s="16" t="s">
        <v>114</v>
      </c>
      <c r="G3488" s="22">
        <v>16.5</v>
      </c>
      <c r="H3488" s="18">
        <v>57.097499999999997</v>
      </c>
      <c r="I3488" s="18">
        <v>3.4604545450000002</v>
      </c>
      <c r="J3488" s="18">
        <v>3.76</v>
      </c>
      <c r="K3488" s="18">
        <v>3.35</v>
      </c>
      <c r="L3488" s="22">
        <v>9</v>
      </c>
    </row>
    <row r="3489" spans="1:12">
      <c r="A3489">
        <v>4</v>
      </c>
      <c r="B3489" s="16" t="s">
        <v>59</v>
      </c>
      <c r="C3489" s="9">
        <v>45962</v>
      </c>
      <c r="D3489">
        <v>34</v>
      </c>
      <c r="E3489" s="16" t="s">
        <v>123</v>
      </c>
      <c r="F3489" s="16" t="s">
        <v>114</v>
      </c>
      <c r="G3489" s="22">
        <v>12.75</v>
      </c>
      <c r="H3489" s="18">
        <v>43.26</v>
      </c>
      <c r="I3489" s="18">
        <v>3.3929411759999999</v>
      </c>
      <c r="J3489" s="18">
        <v>3.43</v>
      </c>
      <c r="K3489" s="18">
        <v>3.33</v>
      </c>
      <c r="L3489" s="22">
        <v>8</v>
      </c>
    </row>
    <row r="3490" spans="1:12">
      <c r="A3490">
        <v>4</v>
      </c>
      <c r="B3490" s="16" t="s">
        <v>59</v>
      </c>
      <c r="C3490" s="9">
        <v>45992</v>
      </c>
      <c r="D3490">
        <v>34</v>
      </c>
      <c r="E3490" s="16" t="s">
        <v>123</v>
      </c>
      <c r="F3490" s="16" t="s">
        <v>114</v>
      </c>
      <c r="G3490" s="22">
        <v>17.25</v>
      </c>
      <c r="H3490" s="18">
        <v>58.8</v>
      </c>
      <c r="I3490" s="18">
        <v>3.408695652</v>
      </c>
      <c r="J3490" s="18">
        <v>3.49</v>
      </c>
      <c r="K3490" s="18">
        <v>3.33</v>
      </c>
      <c r="L3490" s="22">
        <v>9</v>
      </c>
    </row>
    <row r="3491" spans="1:12">
      <c r="A3491">
        <v>4</v>
      </c>
      <c r="B3491" s="16" t="s">
        <v>59</v>
      </c>
      <c r="C3491" s="9">
        <v>46023</v>
      </c>
      <c r="D3491">
        <v>34</v>
      </c>
      <c r="E3491" s="16" t="s">
        <v>123</v>
      </c>
      <c r="F3491" s="16" t="s">
        <v>114</v>
      </c>
      <c r="G3491" s="22">
        <v>13.5</v>
      </c>
      <c r="H3491" s="18">
        <v>45.96</v>
      </c>
      <c r="I3491" s="18">
        <v>3.4044444440000001</v>
      </c>
      <c r="J3491" s="18">
        <v>3.51</v>
      </c>
      <c r="K3491" s="18">
        <v>3.32</v>
      </c>
      <c r="L3491" s="22">
        <v>9</v>
      </c>
    </row>
    <row r="3492" spans="1:12">
      <c r="A3492">
        <v>4</v>
      </c>
      <c r="B3492" s="16" t="s">
        <v>59</v>
      </c>
      <c r="C3492" s="9">
        <v>46054</v>
      </c>
      <c r="D3492">
        <v>34</v>
      </c>
      <c r="E3492" s="16" t="s">
        <v>123</v>
      </c>
      <c r="F3492" s="16" t="s">
        <v>114</v>
      </c>
      <c r="G3492" s="22">
        <v>12.75</v>
      </c>
      <c r="H3492" s="18">
        <v>43.822499999999998</v>
      </c>
      <c r="I3492" s="18">
        <v>3.4370588240000002</v>
      </c>
      <c r="J3492" s="18">
        <v>3.49</v>
      </c>
      <c r="K3492" s="18">
        <v>3.39</v>
      </c>
      <c r="L3492" s="22">
        <v>8</v>
      </c>
    </row>
    <row r="3493" spans="1:12">
      <c r="A3493">
        <v>4</v>
      </c>
      <c r="B3493" s="16" t="s">
        <v>59</v>
      </c>
      <c r="C3493" s="9">
        <v>46082</v>
      </c>
      <c r="D3493">
        <v>34</v>
      </c>
      <c r="E3493" s="16" t="s">
        <v>123</v>
      </c>
      <c r="F3493" s="16" t="s">
        <v>114</v>
      </c>
      <c r="G3493" s="22">
        <v>13.5</v>
      </c>
      <c r="H3493" s="18">
        <v>46.702500000000001</v>
      </c>
      <c r="I3493" s="18">
        <v>3.4594444439999998</v>
      </c>
      <c r="J3493" s="18">
        <v>3.61</v>
      </c>
      <c r="K3493" s="18">
        <v>3.37</v>
      </c>
      <c r="L3493" s="22">
        <v>9</v>
      </c>
    </row>
    <row r="3494" spans="1:12">
      <c r="A3494">
        <v>4</v>
      </c>
      <c r="B3494" s="16" t="s">
        <v>59</v>
      </c>
      <c r="C3494" s="9">
        <v>46113</v>
      </c>
      <c r="D3494">
        <v>34</v>
      </c>
      <c r="E3494" s="16" t="s">
        <v>123</v>
      </c>
      <c r="F3494" s="16" t="s">
        <v>114</v>
      </c>
      <c r="G3494" s="22">
        <v>19.5</v>
      </c>
      <c r="H3494" s="18">
        <v>66.555000000000007</v>
      </c>
      <c r="I3494" s="18">
        <v>3.4130769230000002</v>
      </c>
      <c r="J3494" s="18">
        <v>3.45</v>
      </c>
      <c r="K3494" s="18">
        <v>3.36</v>
      </c>
      <c r="L3494" s="22">
        <v>9</v>
      </c>
    </row>
    <row r="3495" spans="1:12">
      <c r="A3495">
        <v>4</v>
      </c>
      <c r="B3495" s="16" t="s">
        <v>59</v>
      </c>
      <c r="C3495" s="9">
        <v>46143</v>
      </c>
      <c r="D3495">
        <v>34</v>
      </c>
      <c r="E3495" s="16" t="s">
        <v>123</v>
      </c>
      <c r="F3495" s="16" t="s">
        <v>114</v>
      </c>
      <c r="G3495" s="22">
        <v>19.5</v>
      </c>
      <c r="H3495" s="18">
        <v>66.584999999999994</v>
      </c>
      <c r="I3495" s="18">
        <v>3.4146153849999998</v>
      </c>
      <c r="J3495" s="18">
        <v>3.45</v>
      </c>
      <c r="K3495" s="18">
        <v>3.38</v>
      </c>
      <c r="L3495" s="22">
        <v>8</v>
      </c>
    </row>
    <row r="3496" spans="1:12">
      <c r="A3496">
        <v>4</v>
      </c>
      <c r="B3496" s="16" t="s">
        <v>59</v>
      </c>
      <c r="C3496" s="9">
        <v>46174</v>
      </c>
      <c r="D3496">
        <v>34</v>
      </c>
      <c r="E3496" s="16" t="s">
        <v>123</v>
      </c>
      <c r="F3496" s="16" t="s">
        <v>114</v>
      </c>
      <c r="G3496" s="22">
        <v>19.5</v>
      </c>
      <c r="H3496" s="18">
        <v>66.427499999999995</v>
      </c>
      <c r="I3496" s="18">
        <v>3.4065384619999999</v>
      </c>
      <c r="J3496" s="18">
        <v>3.51</v>
      </c>
      <c r="K3496" s="18">
        <v>3.34</v>
      </c>
      <c r="L3496" s="22">
        <v>9</v>
      </c>
    </row>
    <row r="3497" spans="1:12">
      <c r="A3497">
        <v>4</v>
      </c>
      <c r="B3497" s="16" t="s">
        <v>59</v>
      </c>
      <c r="C3497" s="9">
        <v>46204</v>
      </c>
      <c r="D3497">
        <v>34</v>
      </c>
      <c r="E3497" s="16" t="s">
        <v>123</v>
      </c>
      <c r="F3497" s="16" t="s">
        <v>114</v>
      </c>
      <c r="G3497" s="22">
        <v>21.75</v>
      </c>
      <c r="H3497" s="18">
        <v>72.599999999999994</v>
      </c>
      <c r="I3497" s="18">
        <v>3.3379310339999999</v>
      </c>
      <c r="J3497" s="18">
        <v>3.47</v>
      </c>
      <c r="K3497" s="18">
        <v>3.27</v>
      </c>
      <c r="L3497" s="22">
        <v>9</v>
      </c>
    </row>
    <row r="3498" spans="1:12">
      <c r="A3498">
        <v>4</v>
      </c>
      <c r="B3498" s="16" t="s">
        <v>59</v>
      </c>
      <c r="C3498" s="9">
        <v>46235</v>
      </c>
      <c r="D3498">
        <v>34</v>
      </c>
      <c r="E3498" s="16" t="s">
        <v>123</v>
      </c>
      <c r="F3498" s="16" t="s">
        <v>114</v>
      </c>
      <c r="G3498" s="22">
        <v>16.5</v>
      </c>
      <c r="H3498" s="18">
        <v>55.207500000000003</v>
      </c>
      <c r="I3498" s="18">
        <v>3.3459090909999998</v>
      </c>
      <c r="J3498" s="18">
        <v>3.46</v>
      </c>
      <c r="K3498" s="18">
        <v>3.26</v>
      </c>
      <c r="L3498" s="22">
        <v>9</v>
      </c>
    </row>
    <row r="3499" spans="1:12">
      <c r="A3499">
        <v>4</v>
      </c>
      <c r="B3499" s="16" t="s">
        <v>59</v>
      </c>
      <c r="C3499" s="9">
        <v>46266</v>
      </c>
      <c r="D3499">
        <v>34</v>
      </c>
      <c r="E3499" s="16" t="s">
        <v>123</v>
      </c>
      <c r="F3499" s="16" t="s">
        <v>114</v>
      </c>
      <c r="G3499" s="22">
        <v>16.5</v>
      </c>
      <c r="H3499" s="18">
        <v>55.042499999999997</v>
      </c>
      <c r="I3499" s="18">
        <v>3.335909091</v>
      </c>
      <c r="J3499" s="18">
        <v>3.39</v>
      </c>
      <c r="K3499" s="18">
        <v>3.29</v>
      </c>
      <c r="L3499" s="22">
        <v>8</v>
      </c>
    </row>
    <row r="3500" spans="1:12">
      <c r="A3500">
        <v>4</v>
      </c>
      <c r="B3500" s="16" t="s">
        <v>59</v>
      </c>
      <c r="C3500" s="9">
        <v>45717</v>
      </c>
      <c r="D3500">
        <v>35</v>
      </c>
      <c r="E3500" s="16" t="s">
        <v>124</v>
      </c>
      <c r="F3500" s="16" t="s">
        <v>90</v>
      </c>
      <c r="G3500" s="22">
        <v>1</v>
      </c>
      <c r="H3500" s="18">
        <v>6.9</v>
      </c>
      <c r="I3500" s="18">
        <v>6.9</v>
      </c>
      <c r="J3500" s="18">
        <v>6.9</v>
      </c>
      <c r="K3500" s="18">
        <v>6.9</v>
      </c>
      <c r="L3500" s="22">
        <v>1</v>
      </c>
    </row>
    <row r="3501" spans="1:12">
      <c r="A3501">
        <v>4</v>
      </c>
      <c r="B3501" s="16" t="s">
        <v>59</v>
      </c>
      <c r="C3501" s="9">
        <v>45748</v>
      </c>
      <c r="D3501">
        <v>35</v>
      </c>
      <c r="E3501" s="16" t="s">
        <v>124</v>
      </c>
      <c r="F3501" s="16" t="s">
        <v>90</v>
      </c>
      <c r="G3501" s="22">
        <v>1</v>
      </c>
      <c r="H3501" s="18">
        <v>6.85</v>
      </c>
      <c r="I3501" s="18">
        <v>6.85</v>
      </c>
      <c r="J3501" s="18">
        <v>6.85</v>
      </c>
      <c r="K3501" s="18">
        <v>6.85</v>
      </c>
      <c r="L3501" s="22">
        <v>1</v>
      </c>
    </row>
    <row r="3502" spans="1:12">
      <c r="A3502">
        <v>4</v>
      </c>
      <c r="B3502" s="16" t="s">
        <v>59</v>
      </c>
      <c r="C3502" s="9">
        <v>45778</v>
      </c>
      <c r="D3502">
        <v>35</v>
      </c>
      <c r="E3502" s="16" t="s">
        <v>124</v>
      </c>
      <c r="F3502" s="16" t="s">
        <v>90</v>
      </c>
      <c r="G3502" s="22">
        <v>1</v>
      </c>
      <c r="H3502" s="18">
        <v>6.99</v>
      </c>
      <c r="I3502" s="18">
        <v>6.99</v>
      </c>
      <c r="J3502" s="18">
        <v>6.99</v>
      </c>
      <c r="K3502" s="18">
        <v>6.99</v>
      </c>
      <c r="L3502" s="22">
        <v>1</v>
      </c>
    </row>
    <row r="3503" spans="1:12">
      <c r="A3503">
        <v>4</v>
      </c>
      <c r="B3503" s="16" t="s">
        <v>59</v>
      </c>
      <c r="C3503" s="9">
        <v>45809</v>
      </c>
      <c r="D3503">
        <v>35</v>
      </c>
      <c r="E3503" s="16" t="s">
        <v>124</v>
      </c>
      <c r="F3503" s="16" t="s">
        <v>90</v>
      </c>
      <c r="G3503" s="22">
        <v>1</v>
      </c>
      <c r="H3503" s="18">
        <v>6.85</v>
      </c>
      <c r="I3503" s="18">
        <v>6.85</v>
      </c>
      <c r="J3503" s="18">
        <v>6.85</v>
      </c>
      <c r="K3503" s="18">
        <v>6.85</v>
      </c>
      <c r="L3503" s="22">
        <v>1</v>
      </c>
    </row>
    <row r="3504" spans="1:12">
      <c r="A3504">
        <v>4</v>
      </c>
      <c r="B3504" s="16" t="s">
        <v>59</v>
      </c>
      <c r="C3504" s="9">
        <v>45839</v>
      </c>
      <c r="D3504">
        <v>35</v>
      </c>
      <c r="E3504" s="16" t="s">
        <v>124</v>
      </c>
      <c r="F3504" s="16" t="s">
        <v>90</v>
      </c>
      <c r="G3504" s="22">
        <v>1</v>
      </c>
      <c r="H3504" s="18">
        <v>6.61</v>
      </c>
      <c r="I3504" s="18">
        <v>6.61</v>
      </c>
      <c r="J3504" s="18">
        <v>6.61</v>
      </c>
      <c r="K3504" s="18">
        <v>6.61</v>
      </c>
      <c r="L3504" s="22">
        <v>1</v>
      </c>
    </row>
    <row r="3505" spans="1:12">
      <c r="A3505">
        <v>4</v>
      </c>
      <c r="B3505" s="16" t="s">
        <v>59</v>
      </c>
      <c r="C3505" s="9">
        <v>45870</v>
      </c>
      <c r="D3505">
        <v>35</v>
      </c>
      <c r="E3505" s="16" t="s">
        <v>124</v>
      </c>
      <c r="F3505" s="16" t="s">
        <v>90</v>
      </c>
      <c r="G3505" s="22">
        <v>1</v>
      </c>
      <c r="H3505" s="18">
        <v>6.71</v>
      </c>
      <c r="I3505" s="18">
        <v>6.71</v>
      </c>
      <c r="J3505" s="18">
        <v>6.71</v>
      </c>
      <c r="K3505" s="18">
        <v>6.71</v>
      </c>
      <c r="L3505" s="22">
        <v>1</v>
      </c>
    </row>
    <row r="3506" spans="1:12">
      <c r="A3506">
        <v>4</v>
      </c>
      <c r="B3506" s="16" t="s">
        <v>59</v>
      </c>
      <c r="C3506" s="9">
        <v>45901</v>
      </c>
      <c r="D3506">
        <v>35</v>
      </c>
      <c r="E3506" s="16" t="s">
        <v>124</v>
      </c>
      <c r="F3506" s="16" t="s">
        <v>90</v>
      </c>
      <c r="G3506" s="22">
        <v>1</v>
      </c>
      <c r="H3506" s="18">
        <v>6.71</v>
      </c>
      <c r="I3506" s="18">
        <v>6.71</v>
      </c>
      <c r="J3506" s="18">
        <v>6.71</v>
      </c>
      <c r="K3506" s="18">
        <v>6.71</v>
      </c>
      <c r="L3506" s="22">
        <v>1</v>
      </c>
    </row>
    <row r="3507" spans="1:12">
      <c r="A3507">
        <v>4</v>
      </c>
      <c r="B3507" s="16" t="s">
        <v>59</v>
      </c>
      <c r="C3507" s="9">
        <v>45931</v>
      </c>
      <c r="D3507">
        <v>35</v>
      </c>
      <c r="E3507" s="16" t="s">
        <v>124</v>
      </c>
      <c r="F3507" s="16" t="s">
        <v>90</v>
      </c>
      <c r="G3507" s="22">
        <v>1</v>
      </c>
      <c r="H3507" s="18">
        <v>6.47</v>
      </c>
      <c r="I3507" s="18">
        <v>6.47</v>
      </c>
      <c r="J3507" s="18">
        <v>6.47</v>
      </c>
      <c r="K3507" s="18">
        <v>6.47</v>
      </c>
      <c r="L3507" s="22">
        <v>1</v>
      </c>
    </row>
    <row r="3508" spans="1:12">
      <c r="A3508">
        <v>4</v>
      </c>
      <c r="B3508" s="16" t="s">
        <v>59</v>
      </c>
      <c r="C3508" s="9">
        <v>45992</v>
      </c>
      <c r="D3508">
        <v>35</v>
      </c>
      <c r="E3508" s="16" t="s">
        <v>124</v>
      </c>
      <c r="F3508" s="16" t="s">
        <v>90</v>
      </c>
      <c r="G3508" s="22">
        <v>1</v>
      </c>
      <c r="H3508" s="18">
        <v>6.5</v>
      </c>
      <c r="I3508" s="18">
        <v>6.5</v>
      </c>
      <c r="J3508" s="18">
        <v>6.5</v>
      </c>
      <c r="K3508" s="18">
        <v>6.5</v>
      </c>
      <c r="L3508" s="22">
        <v>1</v>
      </c>
    </row>
    <row r="3509" spans="1:12">
      <c r="A3509">
        <v>4</v>
      </c>
      <c r="B3509" s="16" t="s">
        <v>59</v>
      </c>
      <c r="C3509" s="9">
        <v>46023</v>
      </c>
      <c r="D3509">
        <v>35</v>
      </c>
      <c r="E3509" s="16" t="s">
        <v>124</v>
      </c>
      <c r="F3509" s="16" t="s">
        <v>90</v>
      </c>
      <c r="G3509" s="22">
        <v>1</v>
      </c>
      <c r="H3509" s="18">
        <v>6.51</v>
      </c>
      <c r="I3509" s="18">
        <v>6.51</v>
      </c>
      <c r="J3509" s="18">
        <v>6.51</v>
      </c>
      <c r="K3509" s="18">
        <v>6.51</v>
      </c>
      <c r="L3509" s="22">
        <v>1</v>
      </c>
    </row>
    <row r="3510" spans="1:12">
      <c r="A3510">
        <v>4</v>
      </c>
      <c r="B3510" s="16" t="s">
        <v>59</v>
      </c>
      <c r="C3510" s="9">
        <v>46054</v>
      </c>
      <c r="D3510">
        <v>35</v>
      </c>
      <c r="E3510" s="16" t="s">
        <v>124</v>
      </c>
      <c r="F3510" s="16" t="s">
        <v>90</v>
      </c>
      <c r="G3510" s="22">
        <v>1</v>
      </c>
      <c r="H3510" s="18">
        <v>6.67</v>
      </c>
      <c r="I3510" s="18">
        <v>6.67</v>
      </c>
      <c r="J3510" s="18">
        <v>6.67</v>
      </c>
      <c r="K3510" s="18">
        <v>6.67</v>
      </c>
      <c r="L3510" s="22">
        <v>1</v>
      </c>
    </row>
    <row r="3511" spans="1:12">
      <c r="A3511">
        <v>4</v>
      </c>
      <c r="B3511" s="16" t="s">
        <v>59</v>
      </c>
      <c r="C3511" s="9">
        <v>46113</v>
      </c>
      <c r="D3511">
        <v>35</v>
      </c>
      <c r="E3511" s="16" t="s">
        <v>124</v>
      </c>
      <c r="F3511" s="16" t="s">
        <v>90</v>
      </c>
      <c r="G3511" s="22">
        <v>1</v>
      </c>
      <c r="H3511" s="18">
        <v>6.64</v>
      </c>
      <c r="I3511" s="18">
        <v>6.64</v>
      </c>
      <c r="J3511" s="18">
        <v>6.64</v>
      </c>
      <c r="K3511" s="18">
        <v>6.64</v>
      </c>
      <c r="L3511" s="22">
        <v>1</v>
      </c>
    </row>
    <row r="3512" spans="1:12">
      <c r="A3512">
        <v>4</v>
      </c>
      <c r="B3512" s="16" t="s">
        <v>59</v>
      </c>
      <c r="C3512" s="9">
        <v>46143</v>
      </c>
      <c r="D3512">
        <v>35</v>
      </c>
      <c r="E3512" s="16" t="s">
        <v>124</v>
      </c>
      <c r="F3512" s="16" t="s">
        <v>90</v>
      </c>
      <c r="G3512" s="22">
        <v>1</v>
      </c>
      <c r="H3512" s="18">
        <v>6.64</v>
      </c>
      <c r="I3512" s="18">
        <v>6.64</v>
      </c>
      <c r="J3512" s="18">
        <v>6.64</v>
      </c>
      <c r="K3512" s="18">
        <v>6.64</v>
      </c>
      <c r="L3512" s="22">
        <v>1</v>
      </c>
    </row>
    <row r="3513" spans="1:12">
      <c r="A3513">
        <v>4</v>
      </c>
      <c r="B3513" s="16" t="s">
        <v>59</v>
      </c>
      <c r="C3513" s="9">
        <v>46174</v>
      </c>
      <c r="D3513">
        <v>35</v>
      </c>
      <c r="E3513" s="16" t="s">
        <v>124</v>
      </c>
      <c r="F3513" s="16" t="s">
        <v>90</v>
      </c>
      <c r="G3513" s="22">
        <v>1</v>
      </c>
      <c r="H3513" s="18">
        <v>6.6</v>
      </c>
      <c r="I3513" s="18">
        <v>6.6</v>
      </c>
      <c r="J3513" s="18">
        <v>6.6</v>
      </c>
      <c r="K3513" s="18">
        <v>6.6</v>
      </c>
      <c r="L3513" s="22">
        <v>1</v>
      </c>
    </row>
    <row r="3514" spans="1:12">
      <c r="A3514">
        <v>4</v>
      </c>
      <c r="B3514" s="16" t="s">
        <v>59</v>
      </c>
      <c r="C3514" s="9">
        <v>46204</v>
      </c>
      <c r="D3514">
        <v>35</v>
      </c>
      <c r="E3514" s="16" t="s">
        <v>124</v>
      </c>
      <c r="F3514" s="16" t="s">
        <v>90</v>
      </c>
      <c r="G3514" s="22">
        <v>1</v>
      </c>
      <c r="H3514" s="18">
        <v>6.7</v>
      </c>
      <c r="I3514" s="18">
        <v>6.7</v>
      </c>
      <c r="J3514" s="18">
        <v>6.7</v>
      </c>
      <c r="K3514" s="18">
        <v>6.7</v>
      </c>
      <c r="L3514" s="22">
        <v>1</v>
      </c>
    </row>
    <row r="3515" spans="1:12">
      <c r="A3515">
        <v>4</v>
      </c>
      <c r="B3515" s="16" t="s">
        <v>59</v>
      </c>
      <c r="C3515" s="9">
        <v>46235</v>
      </c>
      <c r="D3515">
        <v>35</v>
      </c>
      <c r="E3515" s="16" t="s">
        <v>124</v>
      </c>
      <c r="F3515" s="16" t="s">
        <v>90</v>
      </c>
      <c r="G3515" s="22">
        <v>1</v>
      </c>
      <c r="H3515" s="18">
        <v>6.62</v>
      </c>
      <c r="I3515" s="18">
        <v>6.62</v>
      </c>
      <c r="J3515" s="18">
        <v>6.62</v>
      </c>
      <c r="K3515" s="18">
        <v>6.62</v>
      </c>
      <c r="L3515" s="22">
        <v>1</v>
      </c>
    </row>
    <row r="3516" spans="1:12">
      <c r="A3516">
        <v>4</v>
      </c>
      <c r="B3516" s="16" t="s">
        <v>59</v>
      </c>
      <c r="C3516" s="9">
        <v>46266</v>
      </c>
      <c r="D3516">
        <v>35</v>
      </c>
      <c r="E3516" s="16" t="s">
        <v>124</v>
      </c>
      <c r="F3516" s="16" t="s">
        <v>90</v>
      </c>
      <c r="G3516" s="22">
        <v>1</v>
      </c>
      <c r="H3516" s="18">
        <v>6.65</v>
      </c>
      <c r="I3516" s="18">
        <v>6.65</v>
      </c>
      <c r="J3516" s="18">
        <v>6.65</v>
      </c>
      <c r="K3516" s="18">
        <v>6.65</v>
      </c>
      <c r="L3516" s="22">
        <v>1</v>
      </c>
    </row>
    <row r="3517" spans="1:12">
      <c r="A3517">
        <v>4</v>
      </c>
      <c r="B3517" s="16" t="s">
        <v>59</v>
      </c>
      <c r="C3517" s="9">
        <v>45689</v>
      </c>
      <c r="D3517">
        <v>36</v>
      </c>
      <c r="E3517" s="16" t="s">
        <v>125</v>
      </c>
      <c r="F3517" s="16" t="s">
        <v>98</v>
      </c>
      <c r="G3517" s="22">
        <v>20</v>
      </c>
      <c r="H3517" s="18">
        <v>42</v>
      </c>
      <c r="I3517" s="18">
        <v>2.1</v>
      </c>
      <c r="J3517" s="18">
        <v>2.1</v>
      </c>
      <c r="K3517" s="18">
        <v>2.1</v>
      </c>
      <c r="L3517" s="22">
        <v>1</v>
      </c>
    </row>
    <row r="3518" spans="1:12">
      <c r="A3518">
        <v>4</v>
      </c>
      <c r="B3518" s="16" t="s">
        <v>59</v>
      </c>
      <c r="C3518" s="9">
        <v>45717</v>
      </c>
      <c r="D3518">
        <v>36</v>
      </c>
      <c r="E3518" s="16" t="s">
        <v>125</v>
      </c>
      <c r="F3518" s="16" t="s">
        <v>98</v>
      </c>
      <c r="G3518" s="22">
        <v>20</v>
      </c>
      <c r="H3518" s="18">
        <v>41.6</v>
      </c>
      <c r="I3518" s="18">
        <v>2.08</v>
      </c>
      <c r="J3518" s="18">
        <v>2.08</v>
      </c>
      <c r="K3518" s="18">
        <v>2.08</v>
      </c>
      <c r="L3518" s="22">
        <v>1</v>
      </c>
    </row>
    <row r="3519" spans="1:12">
      <c r="A3519">
        <v>4</v>
      </c>
      <c r="B3519" s="16" t="s">
        <v>59</v>
      </c>
      <c r="C3519" s="9">
        <v>45748</v>
      </c>
      <c r="D3519">
        <v>36</v>
      </c>
      <c r="E3519" s="16" t="s">
        <v>125</v>
      </c>
      <c r="F3519" s="16" t="s">
        <v>98</v>
      </c>
      <c r="G3519" s="22">
        <v>40</v>
      </c>
      <c r="H3519" s="18">
        <v>84.6</v>
      </c>
      <c r="I3519" s="18">
        <v>2.1150000000000002</v>
      </c>
      <c r="J3519" s="18">
        <v>2.15</v>
      </c>
      <c r="K3519" s="18">
        <v>2.08</v>
      </c>
      <c r="L3519" s="22">
        <v>2</v>
      </c>
    </row>
    <row r="3520" spans="1:12">
      <c r="A3520">
        <v>4</v>
      </c>
      <c r="B3520" s="16" t="s">
        <v>59</v>
      </c>
      <c r="C3520" s="9">
        <v>45778</v>
      </c>
      <c r="D3520">
        <v>36</v>
      </c>
      <c r="E3520" s="16" t="s">
        <v>125</v>
      </c>
      <c r="F3520" s="16" t="s">
        <v>98</v>
      </c>
      <c r="G3520" s="22">
        <v>20</v>
      </c>
      <c r="H3520" s="18">
        <v>41.2</v>
      </c>
      <c r="I3520" s="18">
        <v>2.06</v>
      </c>
      <c r="J3520" s="18">
        <v>2.06</v>
      </c>
      <c r="K3520" s="18">
        <v>2.06</v>
      </c>
      <c r="L3520" s="22">
        <v>1</v>
      </c>
    </row>
    <row r="3521" spans="1:12">
      <c r="A3521">
        <v>4</v>
      </c>
      <c r="B3521" s="16" t="s">
        <v>59</v>
      </c>
      <c r="C3521" s="9">
        <v>45809</v>
      </c>
      <c r="D3521">
        <v>36</v>
      </c>
      <c r="E3521" s="16" t="s">
        <v>125</v>
      </c>
      <c r="F3521" s="16" t="s">
        <v>98</v>
      </c>
      <c r="G3521" s="22">
        <v>20</v>
      </c>
      <c r="H3521" s="18">
        <v>42.4</v>
      </c>
      <c r="I3521" s="18">
        <v>2.12</v>
      </c>
      <c r="J3521" s="18">
        <v>2.12</v>
      </c>
      <c r="K3521" s="18">
        <v>2.12</v>
      </c>
      <c r="L3521" s="22">
        <v>1</v>
      </c>
    </row>
    <row r="3522" spans="1:12">
      <c r="A3522">
        <v>4</v>
      </c>
      <c r="B3522" s="16" t="s">
        <v>59</v>
      </c>
      <c r="C3522" s="9">
        <v>45839</v>
      </c>
      <c r="D3522">
        <v>36</v>
      </c>
      <c r="E3522" s="16" t="s">
        <v>125</v>
      </c>
      <c r="F3522" s="16" t="s">
        <v>98</v>
      </c>
      <c r="G3522" s="22">
        <v>40</v>
      </c>
      <c r="H3522" s="18">
        <v>83.2</v>
      </c>
      <c r="I3522" s="18">
        <v>2.08</v>
      </c>
      <c r="J3522" s="18">
        <v>2.1</v>
      </c>
      <c r="K3522" s="18">
        <v>2.06</v>
      </c>
      <c r="L3522" s="22">
        <v>2</v>
      </c>
    </row>
    <row r="3523" spans="1:12">
      <c r="A3523">
        <v>4</v>
      </c>
      <c r="B3523" s="16" t="s">
        <v>59</v>
      </c>
      <c r="C3523" s="9">
        <v>45870</v>
      </c>
      <c r="D3523">
        <v>36</v>
      </c>
      <c r="E3523" s="16" t="s">
        <v>125</v>
      </c>
      <c r="F3523" s="16" t="s">
        <v>98</v>
      </c>
      <c r="G3523" s="22">
        <v>20</v>
      </c>
      <c r="H3523" s="18">
        <v>40.799999999999997</v>
      </c>
      <c r="I3523" s="18">
        <v>2.04</v>
      </c>
      <c r="J3523" s="18">
        <v>2.04</v>
      </c>
      <c r="K3523" s="18">
        <v>2.04</v>
      </c>
      <c r="L3523" s="22">
        <v>1</v>
      </c>
    </row>
    <row r="3524" spans="1:12">
      <c r="A3524">
        <v>4</v>
      </c>
      <c r="B3524" s="16" t="s">
        <v>59</v>
      </c>
      <c r="C3524" s="9">
        <v>45901</v>
      </c>
      <c r="D3524">
        <v>36</v>
      </c>
      <c r="E3524" s="16" t="s">
        <v>125</v>
      </c>
      <c r="F3524" s="16" t="s">
        <v>98</v>
      </c>
      <c r="G3524" s="22">
        <v>20</v>
      </c>
      <c r="H3524" s="18">
        <v>42.4</v>
      </c>
      <c r="I3524" s="18">
        <v>2.12</v>
      </c>
      <c r="J3524" s="18">
        <v>2.12</v>
      </c>
      <c r="K3524" s="18">
        <v>2.12</v>
      </c>
      <c r="L3524" s="22">
        <v>1</v>
      </c>
    </row>
    <row r="3525" spans="1:12">
      <c r="A3525">
        <v>4</v>
      </c>
      <c r="B3525" s="16" t="s">
        <v>59</v>
      </c>
      <c r="C3525" s="9">
        <v>45931</v>
      </c>
      <c r="D3525">
        <v>36</v>
      </c>
      <c r="E3525" s="16" t="s">
        <v>125</v>
      </c>
      <c r="F3525" s="16" t="s">
        <v>98</v>
      </c>
      <c r="G3525" s="22">
        <v>40</v>
      </c>
      <c r="H3525" s="18">
        <v>83.8</v>
      </c>
      <c r="I3525" s="18">
        <v>2.0950000000000002</v>
      </c>
      <c r="J3525" s="18">
        <v>2.1</v>
      </c>
      <c r="K3525" s="18">
        <v>2.09</v>
      </c>
      <c r="L3525" s="22">
        <v>2</v>
      </c>
    </row>
    <row r="3526" spans="1:12">
      <c r="A3526">
        <v>4</v>
      </c>
      <c r="B3526" s="16" t="s">
        <v>59</v>
      </c>
      <c r="C3526" s="9">
        <v>45962</v>
      </c>
      <c r="D3526">
        <v>36</v>
      </c>
      <c r="E3526" s="16" t="s">
        <v>125</v>
      </c>
      <c r="F3526" s="16" t="s">
        <v>98</v>
      </c>
      <c r="G3526" s="22">
        <v>20</v>
      </c>
      <c r="H3526" s="18">
        <v>42</v>
      </c>
      <c r="I3526" s="18">
        <v>2.1</v>
      </c>
      <c r="J3526" s="18">
        <v>2.1</v>
      </c>
      <c r="K3526" s="18">
        <v>2.1</v>
      </c>
      <c r="L3526" s="22">
        <v>1</v>
      </c>
    </row>
    <row r="3527" spans="1:12">
      <c r="A3527">
        <v>4</v>
      </c>
      <c r="B3527" s="16" t="s">
        <v>59</v>
      </c>
      <c r="C3527" s="9">
        <v>45992</v>
      </c>
      <c r="D3527">
        <v>36</v>
      </c>
      <c r="E3527" s="16" t="s">
        <v>125</v>
      </c>
      <c r="F3527" s="16" t="s">
        <v>98</v>
      </c>
      <c r="G3527" s="22">
        <v>60</v>
      </c>
      <c r="H3527" s="18">
        <v>125.8</v>
      </c>
      <c r="I3527" s="18">
        <v>2.096666667</v>
      </c>
      <c r="J3527" s="18">
        <v>2.11</v>
      </c>
      <c r="K3527" s="18">
        <v>2.08</v>
      </c>
      <c r="L3527" s="22">
        <v>3</v>
      </c>
    </row>
    <row r="3528" spans="1:12">
      <c r="A3528">
        <v>4</v>
      </c>
      <c r="B3528" s="16" t="s">
        <v>59</v>
      </c>
      <c r="C3528" s="9">
        <v>46023</v>
      </c>
      <c r="D3528">
        <v>36</v>
      </c>
      <c r="E3528" s="16" t="s">
        <v>125</v>
      </c>
      <c r="F3528" s="16" t="s">
        <v>98</v>
      </c>
      <c r="G3528" s="22">
        <v>20</v>
      </c>
      <c r="H3528" s="18">
        <v>42</v>
      </c>
      <c r="I3528" s="18">
        <v>2.1</v>
      </c>
      <c r="J3528" s="18">
        <v>2.1</v>
      </c>
      <c r="K3528" s="18">
        <v>2.1</v>
      </c>
      <c r="L3528" s="22">
        <v>1</v>
      </c>
    </row>
    <row r="3529" spans="1:12">
      <c r="A3529">
        <v>4</v>
      </c>
      <c r="B3529" s="16" t="s">
        <v>59</v>
      </c>
      <c r="C3529" s="9">
        <v>46054</v>
      </c>
      <c r="D3529">
        <v>36</v>
      </c>
      <c r="E3529" s="16" t="s">
        <v>125</v>
      </c>
      <c r="F3529" s="16" t="s">
        <v>98</v>
      </c>
      <c r="G3529" s="22">
        <v>40</v>
      </c>
      <c r="H3529" s="18">
        <v>83.6</v>
      </c>
      <c r="I3529" s="18">
        <v>2.09</v>
      </c>
      <c r="J3529" s="18">
        <v>2.1</v>
      </c>
      <c r="K3529" s="18">
        <v>2.08</v>
      </c>
      <c r="L3529" s="22">
        <v>2</v>
      </c>
    </row>
    <row r="3530" spans="1:12">
      <c r="A3530">
        <v>4</v>
      </c>
      <c r="B3530" s="16" t="s">
        <v>59</v>
      </c>
      <c r="C3530" s="9">
        <v>46082</v>
      </c>
      <c r="D3530">
        <v>36</v>
      </c>
      <c r="E3530" s="16" t="s">
        <v>125</v>
      </c>
      <c r="F3530" s="16" t="s">
        <v>98</v>
      </c>
      <c r="G3530" s="22">
        <v>20</v>
      </c>
      <c r="H3530" s="18">
        <v>42.4</v>
      </c>
      <c r="I3530" s="18">
        <v>2.12</v>
      </c>
      <c r="J3530" s="18">
        <v>2.12</v>
      </c>
      <c r="K3530" s="18">
        <v>2.12</v>
      </c>
      <c r="L3530" s="22">
        <v>1</v>
      </c>
    </row>
    <row r="3531" spans="1:12">
      <c r="A3531">
        <v>4</v>
      </c>
      <c r="B3531" s="16" t="s">
        <v>59</v>
      </c>
      <c r="C3531" s="9">
        <v>46113</v>
      </c>
      <c r="D3531">
        <v>36</v>
      </c>
      <c r="E3531" s="16" t="s">
        <v>125</v>
      </c>
      <c r="F3531" s="16" t="s">
        <v>98</v>
      </c>
      <c r="G3531" s="22">
        <v>40</v>
      </c>
      <c r="H3531" s="18">
        <v>83.8</v>
      </c>
      <c r="I3531" s="18">
        <v>2.0950000000000002</v>
      </c>
      <c r="J3531" s="18">
        <v>2.11</v>
      </c>
      <c r="K3531" s="18">
        <v>2.08</v>
      </c>
      <c r="L3531" s="22">
        <v>2</v>
      </c>
    </row>
    <row r="3532" spans="1:12">
      <c r="A3532">
        <v>4</v>
      </c>
      <c r="B3532" s="16" t="s">
        <v>59</v>
      </c>
      <c r="C3532" s="9">
        <v>46143</v>
      </c>
      <c r="D3532">
        <v>36</v>
      </c>
      <c r="E3532" s="16" t="s">
        <v>125</v>
      </c>
      <c r="F3532" s="16" t="s">
        <v>98</v>
      </c>
      <c r="G3532" s="22">
        <v>20</v>
      </c>
      <c r="H3532" s="18">
        <v>41.8</v>
      </c>
      <c r="I3532" s="18">
        <v>2.09</v>
      </c>
      <c r="J3532" s="18">
        <v>2.09</v>
      </c>
      <c r="K3532" s="18">
        <v>2.09</v>
      </c>
      <c r="L3532" s="22">
        <v>1</v>
      </c>
    </row>
    <row r="3533" spans="1:12">
      <c r="A3533">
        <v>4</v>
      </c>
      <c r="B3533" s="16" t="s">
        <v>59</v>
      </c>
      <c r="C3533" s="9">
        <v>46174</v>
      </c>
      <c r="D3533">
        <v>36</v>
      </c>
      <c r="E3533" s="16" t="s">
        <v>125</v>
      </c>
      <c r="F3533" s="16" t="s">
        <v>98</v>
      </c>
      <c r="G3533" s="22">
        <v>20</v>
      </c>
      <c r="H3533" s="18">
        <v>42.4</v>
      </c>
      <c r="I3533" s="18">
        <v>2.12</v>
      </c>
      <c r="J3533" s="18">
        <v>2.12</v>
      </c>
      <c r="K3533" s="18">
        <v>2.12</v>
      </c>
      <c r="L3533" s="22">
        <v>1</v>
      </c>
    </row>
    <row r="3534" spans="1:12">
      <c r="A3534">
        <v>4</v>
      </c>
      <c r="B3534" s="16" t="s">
        <v>59</v>
      </c>
      <c r="C3534" s="9">
        <v>46204</v>
      </c>
      <c r="D3534">
        <v>36</v>
      </c>
      <c r="E3534" s="16" t="s">
        <v>125</v>
      </c>
      <c r="F3534" s="16" t="s">
        <v>98</v>
      </c>
      <c r="G3534" s="22">
        <v>40</v>
      </c>
      <c r="H3534" s="18">
        <v>82.8</v>
      </c>
      <c r="I3534" s="18">
        <v>2.0699999999999998</v>
      </c>
      <c r="J3534" s="18">
        <v>2.09</v>
      </c>
      <c r="K3534" s="18">
        <v>2.0499999999999998</v>
      </c>
      <c r="L3534" s="22">
        <v>2</v>
      </c>
    </row>
    <row r="3535" spans="1:12">
      <c r="A3535">
        <v>4</v>
      </c>
      <c r="B3535" s="16" t="s">
        <v>59</v>
      </c>
      <c r="C3535" s="9">
        <v>46235</v>
      </c>
      <c r="D3535">
        <v>36</v>
      </c>
      <c r="E3535" s="16" t="s">
        <v>125</v>
      </c>
      <c r="F3535" s="16" t="s">
        <v>98</v>
      </c>
      <c r="G3535" s="22">
        <v>20</v>
      </c>
      <c r="H3535" s="18">
        <v>41.6</v>
      </c>
      <c r="I3535" s="18">
        <v>2.08</v>
      </c>
      <c r="J3535" s="18">
        <v>2.08</v>
      </c>
      <c r="K3535" s="18">
        <v>2.08</v>
      </c>
      <c r="L3535" s="22">
        <v>1</v>
      </c>
    </row>
    <row r="3536" spans="1:12">
      <c r="A3536">
        <v>4</v>
      </c>
      <c r="B3536" s="16" t="s">
        <v>59</v>
      </c>
      <c r="C3536" s="9">
        <v>46266</v>
      </c>
      <c r="D3536">
        <v>36</v>
      </c>
      <c r="E3536" s="16" t="s">
        <v>125</v>
      </c>
      <c r="F3536" s="16" t="s">
        <v>98</v>
      </c>
      <c r="G3536" s="22">
        <v>20</v>
      </c>
      <c r="H3536" s="18">
        <v>43.6</v>
      </c>
      <c r="I3536" s="18">
        <v>2.1800000000000002</v>
      </c>
      <c r="J3536" s="18">
        <v>2.1800000000000002</v>
      </c>
      <c r="K3536" s="18">
        <v>2.1800000000000002</v>
      </c>
      <c r="L3536" s="22">
        <v>1</v>
      </c>
    </row>
    <row r="3537" spans="1:12">
      <c r="A3537">
        <v>4</v>
      </c>
      <c r="B3537" s="16" t="s">
        <v>59</v>
      </c>
      <c r="C3537" s="9">
        <v>45689</v>
      </c>
      <c r="D3537">
        <v>37</v>
      </c>
      <c r="E3537" s="16" t="s">
        <v>126</v>
      </c>
      <c r="F3537" s="16" t="s">
        <v>90</v>
      </c>
      <c r="G3537" s="22">
        <v>32</v>
      </c>
      <c r="H3537" s="18">
        <v>42.88</v>
      </c>
      <c r="I3537" s="18">
        <v>1.34</v>
      </c>
      <c r="J3537" s="18">
        <v>1.36</v>
      </c>
      <c r="K3537" s="18">
        <v>1.32</v>
      </c>
      <c r="L3537" s="22">
        <v>2</v>
      </c>
    </row>
    <row r="3538" spans="1:12">
      <c r="A3538">
        <v>4</v>
      </c>
      <c r="B3538" s="16" t="s">
        <v>59</v>
      </c>
      <c r="C3538" s="9">
        <v>45717</v>
      </c>
      <c r="D3538">
        <v>37</v>
      </c>
      <c r="E3538" s="16" t="s">
        <v>126</v>
      </c>
      <c r="F3538" s="16" t="s">
        <v>90</v>
      </c>
      <c r="G3538" s="22">
        <v>16</v>
      </c>
      <c r="H3538" s="18">
        <v>21.76</v>
      </c>
      <c r="I3538" s="18">
        <v>1.36</v>
      </c>
      <c r="J3538" s="18">
        <v>1.36</v>
      </c>
      <c r="K3538" s="18">
        <v>1.36</v>
      </c>
      <c r="L3538" s="22">
        <v>1</v>
      </c>
    </row>
    <row r="3539" spans="1:12">
      <c r="A3539">
        <v>4</v>
      </c>
      <c r="B3539" s="16" t="s">
        <v>59</v>
      </c>
      <c r="C3539" s="9">
        <v>45748</v>
      </c>
      <c r="D3539">
        <v>37</v>
      </c>
      <c r="E3539" s="16" t="s">
        <v>126</v>
      </c>
      <c r="F3539" s="16" t="s">
        <v>90</v>
      </c>
      <c r="G3539" s="22">
        <v>32</v>
      </c>
      <c r="H3539" s="18">
        <v>43.68</v>
      </c>
      <c r="I3539" s="18">
        <v>1.365</v>
      </c>
      <c r="J3539" s="18">
        <v>1.37</v>
      </c>
      <c r="K3539" s="18">
        <v>1.36</v>
      </c>
      <c r="L3539" s="22">
        <v>2</v>
      </c>
    </row>
    <row r="3540" spans="1:12">
      <c r="A3540">
        <v>4</v>
      </c>
      <c r="B3540" s="16" t="s">
        <v>59</v>
      </c>
      <c r="C3540" s="9">
        <v>45778</v>
      </c>
      <c r="D3540">
        <v>37</v>
      </c>
      <c r="E3540" s="16" t="s">
        <v>126</v>
      </c>
      <c r="F3540" s="16" t="s">
        <v>90</v>
      </c>
      <c r="G3540" s="22">
        <v>32</v>
      </c>
      <c r="H3540" s="18">
        <v>43.2</v>
      </c>
      <c r="I3540" s="18">
        <v>1.35</v>
      </c>
      <c r="J3540" s="18">
        <v>1.37</v>
      </c>
      <c r="K3540" s="18">
        <v>1.33</v>
      </c>
      <c r="L3540" s="22">
        <v>2</v>
      </c>
    </row>
    <row r="3541" spans="1:12">
      <c r="A3541">
        <v>4</v>
      </c>
      <c r="B3541" s="16" t="s">
        <v>59</v>
      </c>
      <c r="C3541" s="9">
        <v>45809</v>
      </c>
      <c r="D3541">
        <v>37</v>
      </c>
      <c r="E3541" s="16" t="s">
        <v>126</v>
      </c>
      <c r="F3541" s="16" t="s">
        <v>90</v>
      </c>
      <c r="G3541" s="22">
        <v>48</v>
      </c>
      <c r="H3541" s="18">
        <v>66.56</v>
      </c>
      <c r="I3541" s="18">
        <v>1.3866666670000001</v>
      </c>
      <c r="J3541" s="18">
        <v>1.4</v>
      </c>
      <c r="K3541" s="18">
        <v>1.36</v>
      </c>
      <c r="L3541" s="22">
        <v>2</v>
      </c>
    </row>
    <row r="3542" spans="1:12">
      <c r="A3542">
        <v>4</v>
      </c>
      <c r="B3542" s="16" t="s">
        <v>59</v>
      </c>
      <c r="C3542" s="9">
        <v>45839</v>
      </c>
      <c r="D3542">
        <v>37</v>
      </c>
      <c r="E3542" s="16" t="s">
        <v>126</v>
      </c>
      <c r="F3542" s="16" t="s">
        <v>90</v>
      </c>
      <c r="G3542" s="22">
        <v>48</v>
      </c>
      <c r="H3542" s="18">
        <v>64.959999999999994</v>
      </c>
      <c r="I3542" s="18">
        <v>1.3533333329999999</v>
      </c>
      <c r="J3542" s="18">
        <v>1.37</v>
      </c>
      <c r="K3542" s="18">
        <v>1.34</v>
      </c>
      <c r="L3542" s="22">
        <v>3</v>
      </c>
    </row>
    <row r="3543" spans="1:12">
      <c r="A3543">
        <v>4</v>
      </c>
      <c r="B3543" s="16" t="s">
        <v>59</v>
      </c>
      <c r="C3543" s="9">
        <v>45870</v>
      </c>
      <c r="D3543">
        <v>37</v>
      </c>
      <c r="E3543" s="16" t="s">
        <v>126</v>
      </c>
      <c r="F3543" s="16" t="s">
        <v>90</v>
      </c>
      <c r="G3543" s="22">
        <v>48</v>
      </c>
      <c r="H3543" s="18">
        <v>64.64</v>
      </c>
      <c r="I3543" s="18">
        <v>1.346666667</v>
      </c>
      <c r="J3543" s="18">
        <v>1.35</v>
      </c>
      <c r="K3543" s="18">
        <v>1.34</v>
      </c>
      <c r="L3543" s="22">
        <v>2</v>
      </c>
    </row>
    <row r="3544" spans="1:12">
      <c r="A3544">
        <v>4</v>
      </c>
      <c r="B3544" s="16" t="s">
        <v>59</v>
      </c>
      <c r="C3544" s="9">
        <v>45901</v>
      </c>
      <c r="D3544">
        <v>37</v>
      </c>
      <c r="E3544" s="16" t="s">
        <v>126</v>
      </c>
      <c r="F3544" s="16" t="s">
        <v>90</v>
      </c>
      <c r="G3544" s="22">
        <v>32</v>
      </c>
      <c r="H3544" s="18">
        <v>43.84</v>
      </c>
      <c r="I3544" s="18">
        <v>1.37</v>
      </c>
      <c r="J3544" s="18">
        <v>1.37</v>
      </c>
      <c r="K3544" s="18">
        <v>1.37</v>
      </c>
      <c r="L3544" s="22">
        <v>2</v>
      </c>
    </row>
    <row r="3545" spans="1:12">
      <c r="A3545">
        <v>4</v>
      </c>
      <c r="B3545" s="16" t="s">
        <v>59</v>
      </c>
      <c r="C3545" s="9">
        <v>45931</v>
      </c>
      <c r="D3545">
        <v>37</v>
      </c>
      <c r="E3545" s="16" t="s">
        <v>126</v>
      </c>
      <c r="F3545" s="16" t="s">
        <v>90</v>
      </c>
      <c r="G3545" s="22">
        <v>32</v>
      </c>
      <c r="H3545" s="18">
        <v>43.52</v>
      </c>
      <c r="I3545" s="18">
        <v>1.36</v>
      </c>
      <c r="J3545" s="18">
        <v>1.37</v>
      </c>
      <c r="K3545" s="18">
        <v>1.35</v>
      </c>
      <c r="L3545" s="22">
        <v>2</v>
      </c>
    </row>
    <row r="3546" spans="1:12">
      <c r="A3546">
        <v>4</v>
      </c>
      <c r="B3546" s="16" t="s">
        <v>59</v>
      </c>
      <c r="C3546" s="9">
        <v>45962</v>
      </c>
      <c r="D3546">
        <v>37</v>
      </c>
      <c r="E3546" s="16" t="s">
        <v>126</v>
      </c>
      <c r="F3546" s="16" t="s">
        <v>90</v>
      </c>
      <c r="G3546" s="22">
        <v>16</v>
      </c>
      <c r="H3546" s="18">
        <v>21.6</v>
      </c>
      <c r="I3546" s="18">
        <v>1.35</v>
      </c>
      <c r="J3546" s="18">
        <v>1.35</v>
      </c>
      <c r="K3546" s="18">
        <v>1.35</v>
      </c>
      <c r="L3546" s="22">
        <v>1</v>
      </c>
    </row>
    <row r="3547" spans="1:12">
      <c r="A3547">
        <v>4</v>
      </c>
      <c r="B3547" s="16" t="s">
        <v>59</v>
      </c>
      <c r="C3547" s="9">
        <v>45992</v>
      </c>
      <c r="D3547">
        <v>37</v>
      </c>
      <c r="E3547" s="16" t="s">
        <v>126</v>
      </c>
      <c r="F3547" s="16" t="s">
        <v>90</v>
      </c>
      <c r="G3547" s="22">
        <v>48</v>
      </c>
      <c r="H3547" s="18">
        <v>64.959999999999994</v>
      </c>
      <c r="I3547" s="18">
        <v>1.3533333329999999</v>
      </c>
      <c r="J3547" s="18">
        <v>1.37</v>
      </c>
      <c r="K3547" s="18">
        <v>1.33</v>
      </c>
      <c r="L3547" s="22">
        <v>3</v>
      </c>
    </row>
    <row r="3548" spans="1:12">
      <c r="A3548">
        <v>4</v>
      </c>
      <c r="B3548" s="16" t="s">
        <v>59</v>
      </c>
      <c r="C3548" s="9">
        <v>46023</v>
      </c>
      <c r="D3548">
        <v>37</v>
      </c>
      <c r="E3548" s="16" t="s">
        <v>126</v>
      </c>
      <c r="F3548" s="16" t="s">
        <v>90</v>
      </c>
      <c r="G3548" s="22">
        <v>32</v>
      </c>
      <c r="H3548" s="18">
        <v>43.36</v>
      </c>
      <c r="I3548" s="18">
        <v>1.355</v>
      </c>
      <c r="J3548" s="18">
        <v>1.36</v>
      </c>
      <c r="K3548" s="18">
        <v>1.35</v>
      </c>
      <c r="L3548" s="22">
        <v>2</v>
      </c>
    </row>
    <row r="3549" spans="1:12">
      <c r="A3549">
        <v>4</v>
      </c>
      <c r="B3549" s="16" t="s">
        <v>59</v>
      </c>
      <c r="C3549" s="9">
        <v>46054</v>
      </c>
      <c r="D3549">
        <v>37</v>
      </c>
      <c r="E3549" s="16" t="s">
        <v>126</v>
      </c>
      <c r="F3549" s="16" t="s">
        <v>90</v>
      </c>
      <c r="G3549" s="22">
        <v>16</v>
      </c>
      <c r="H3549" s="18">
        <v>22.24</v>
      </c>
      <c r="I3549" s="18">
        <v>1.39</v>
      </c>
      <c r="J3549" s="18">
        <v>1.39</v>
      </c>
      <c r="K3549" s="18">
        <v>1.39</v>
      </c>
      <c r="L3549" s="22">
        <v>1</v>
      </c>
    </row>
    <row r="3550" spans="1:12">
      <c r="A3550">
        <v>4</v>
      </c>
      <c r="B3550" s="16" t="s">
        <v>59</v>
      </c>
      <c r="C3550" s="9">
        <v>46082</v>
      </c>
      <c r="D3550">
        <v>37</v>
      </c>
      <c r="E3550" s="16" t="s">
        <v>126</v>
      </c>
      <c r="F3550" s="16" t="s">
        <v>90</v>
      </c>
      <c r="G3550" s="22">
        <v>32</v>
      </c>
      <c r="H3550" s="18">
        <v>44.32</v>
      </c>
      <c r="I3550" s="18">
        <v>1.385</v>
      </c>
      <c r="J3550" s="18">
        <v>1.39</v>
      </c>
      <c r="K3550" s="18">
        <v>1.38</v>
      </c>
      <c r="L3550" s="22">
        <v>2</v>
      </c>
    </row>
    <row r="3551" spans="1:12">
      <c r="A3551">
        <v>4</v>
      </c>
      <c r="B3551" s="16" t="s">
        <v>59</v>
      </c>
      <c r="C3551" s="9">
        <v>46113</v>
      </c>
      <c r="D3551">
        <v>37</v>
      </c>
      <c r="E3551" s="16" t="s">
        <v>126</v>
      </c>
      <c r="F3551" s="16" t="s">
        <v>90</v>
      </c>
      <c r="G3551" s="22">
        <v>32</v>
      </c>
      <c r="H3551" s="18">
        <v>44.32</v>
      </c>
      <c r="I3551" s="18">
        <v>1.385</v>
      </c>
      <c r="J3551" s="18">
        <v>1.39</v>
      </c>
      <c r="K3551" s="18">
        <v>1.38</v>
      </c>
      <c r="L3551" s="22">
        <v>2</v>
      </c>
    </row>
    <row r="3552" spans="1:12">
      <c r="A3552">
        <v>4</v>
      </c>
      <c r="B3552" s="16" t="s">
        <v>59</v>
      </c>
      <c r="C3552" s="9">
        <v>46143</v>
      </c>
      <c r="D3552">
        <v>37</v>
      </c>
      <c r="E3552" s="16" t="s">
        <v>126</v>
      </c>
      <c r="F3552" s="16" t="s">
        <v>90</v>
      </c>
      <c r="G3552" s="22">
        <v>48</v>
      </c>
      <c r="H3552" s="18">
        <v>66.400000000000006</v>
      </c>
      <c r="I3552" s="18">
        <v>1.3833333329999999</v>
      </c>
      <c r="J3552" s="18">
        <v>1.39</v>
      </c>
      <c r="K3552" s="18">
        <v>1.38</v>
      </c>
      <c r="L3552" s="22">
        <v>2</v>
      </c>
    </row>
    <row r="3553" spans="1:12">
      <c r="A3553">
        <v>4</v>
      </c>
      <c r="B3553" s="16" t="s">
        <v>59</v>
      </c>
      <c r="C3553" s="9">
        <v>46174</v>
      </c>
      <c r="D3553">
        <v>37</v>
      </c>
      <c r="E3553" s="16" t="s">
        <v>126</v>
      </c>
      <c r="F3553" s="16" t="s">
        <v>90</v>
      </c>
      <c r="G3553" s="22">
        <v>48</v>
      </c>
      <c r="H3553" s="18">
        <v>66.08</v>
      </c>
      <c r="I3553" s="18">
        <v>1.3766666670000001</v>
      </c>
      <c r="J3553" s="18">
        <v>1.38</v>
      </c>
      <c r="K3553" s="18">
        <v>1.37</v>
      </c>
      <c r="L3553" s="22">
        <v>3</v>
      </c>
    </row>
    <row r="3554" spans="1:12">
      <c r="A3554">
        <v>4</v>
      </c>
      <c r="B3554" s="16" t="s">
        <v>59</v>
      </c>
      <c r="C3554" s="9">
        <v>46204</v>
      </c>
      <c r="D3554">
        <v>37</v>
      </c>
      <c r="E3554" s="16" t="s">
        <v>126</v>
      </c>
      <c r="F3554" s="16" t="s">
        <v>90</v>
      </c>
      <c r="G3554" s="22">
        <v>32</v>
      </c>
      <c r="H3554" s="18">
        <v>44</v>
      </c>
      <c r="I3554" s="18">
        <v>1.375</v>
      </c>
      <c r="J3554" s="18">
        <v>1.39</v>
      </c>
      <c r="K3554" s="18">
        <v>1.36</v>
      </c>
      <c r="L3554" s="22">
        <v>2</v>
      </c>
    </row>
    <row r="3555" spans="1:12">
      <c r="A3555">
        <v>4</v>
      </c>
      <c r="B3555" s="16" t="s">
        <v>59</v>
      </c>
      <c r="C3555" s="9">
        <v>46235</v>
      </c>
      <c r="D3555">
        <v>37</v>
      </c>
      <c r="E3555" s="16" t="s">
        <v>126</v>
      </c>
      <c r="F3555" s="16" t="s">
        <v>90</v>
      </c>
      <c r="G3555" s="22">
        <v>32</v>
      </c>
      <c r="H3555" s="18">
        <v>43.68</v>
      </c>
      <c r="I3555" s="18">
        <v>1.365</v>
      </c>
      <c r="J3555" s="18">
        <v>1.37</v>
      </c>
      <c r="K3555" s="18">
        <v>1.36</v>
      </c>
      <c r="L3555" s="22">
        <v>2</v>
      </c>
    </row>
    <row r="3556" spans="1:12">
      <c r="A3556">
        <v>4</v>
      </c>
      <c r="B3556" s="16" t="s">
        <v>59</v>
      </c>
      <c r="C3556" s="9">
        <v>46266</v>
      </c>
      <c r="D3556">
        <v>37</v>
      </c>
      <c r="E3556" s="16" t="s">
        <v>126</v>
      </c>
      <c r="F3556" s="16" t="s">
        <v>90</v>
      </c>
      <c r="G3556" s="22">
        <v>32</v>
      </c>
      <c r="H3556" s="18">
        <v>43.68</v>
      </c>
      <c r="I3556" s="18">
        <v>1.365</v>
      </c>
      <c r="J3556" s="18">
        <v>1.37</v>
      </c>
      <c r="K3556" s="18">
        <v>1.36</v>
      </c>
      <c r="L3556" s="22">
        <v>2</v>
      </c>
    </row>
    <row r="3557" spans="1:12">
      <c r="A3557">
        <v>4</v>
      </c>
      <c r="B3557" s="16" t="s">
        <v>59</v>
      </c>
      <c r="C3557" s="9">
        <v>45689</v>
      </c>
      <c r="D3557">
        <v>38</v>
      </c>
      <c r="E3557" s="16" t="s">
        <v>127</v>
      </c>
      <c r="F3557" s="16" t="s">
        <v>83</v>
      </c>
      <c r="G3557" s="22">
        <v>18.5</v>
      </c>
      <c r="H3557" s="18">
        <v>231.535</v>
      </c>
      <c r="I3557" s="18">
        <v>12.515405404999999</v>
      </c>
      <c r="J3557" s="18">
        <v>12.65</v>
      </c>
      <c r="K3557" s="18">
        <v>12.37</v>
      </c>
      <c r="L3557" s="22">
        <v>8</v>
      </c>
    </row>
    <row r="3558" spans="1:12">
      <c r="A3558">
        <v>4</v>
      </c>
      <c r="B3558" s="16" t="s">
        <v>59</v>
      </c>
      <c r="C3558" s="9">
        <v>45717</v>
      </c>
      <c r="D3558">
        <v>38</v>
      </c>
      <c r="E3558" s="16" t="s">
        <v>127</v>
      </c>
      <c r="F3558" s="16" t="s">
        <v>83</v>
      </c>
      <c r="G3558" s="22">
        <v>17</v>
      </c>
      <c r="H3558" s="18">
        <v>214.42500000000001</v>
      </c>
      <c r="I3558" s="18">
        <v>12.613235294000001</v>
      </c>
      <c r="J3558" s="18">
        <v>12.74</v>
      </c>
      <c r="K3558" s="18">
        <v>12.46</v>
      </c>
      <c r="L3558" s="22">
        <v>8</v>
      </c>
    </row>
    <row r="3559" spans="1:12">
      <c r="A3559">
        <v>4</v>
      </c>
      <c r="B3559" s="16" t="s">
        <v>59</v>
      </c>
      <c r="C3559" s="9">
        <v>45748</v>
      </c>
      <c r="D3559">
        <v>38</v>
      </c>
      <c r="E3559" s="16" t="s">
        <v>127</v>
      </c>
      <c r="F3559" s="16" t="s">
        <v>83</v>
      </c>
      <c r="G3559" s="22">
        <v>21.5</v>
      </c>
      <c r="H3559" s="18">
        <v>274.97500000000002</v>
      </c>
      <c r="I3559" s="18">
        <v>12.789534884</v>
      </c>
      <c r="J3559" s="18">
        <v>13.56</v>
      </c>
      <c r="K3559" s="18">
        <v>12.41</v>
      </c>
      <c r="L3559" s="22">
        <v>9</v>
      </c>
    </row>
    <row r="3560" spans="1:12">
      <c r="A3560">
        <v>4</v>
      </c>
      <c r="B3560" s="16" t="s">
        <v>59</v>
      </c>
      <c r="C3560" s="9">
        <v>45778</v>
      </c>
      <c r="D3560">
        <v>38</v>
      </c>
      <c r="E3560" s="16" t="s">
        <v>127</v>
      </c>
      <c r="F3560" s="16" t="s">
        <v>83</v>
      </c>
      <c r="G3560" s="22">
        <v>20.5</v>
      </c>
      <c r="H3560" s="18">
        <v>261.51</v>
      </c>
      <c r="I3560" s="18">
        <v>12.756585365999999</v>
      </c>
      <c r="J3560" s="18">
        <v>13.06</v>
      </c>
      <c r="K3560" s="18">
        <v>12.41</v>
      </c>
      <c r="L3560" s="22">
        <v>9</v>
      </c>
    </row>
    <row r="3561" spans="1:12">
      <c r="A3561">
        <v>4</v>
      </c>
      <c r="B3561" s="16" t="s">
        <v>59</v>
      </c>
      <c r="C3561" s="9">
        <v>45809</v>
      </c>
      <c r="D3561">
        <v>38</v>
      </c>
      <c r="E3561" s="16" t="s">
        <v>127</v>
      </c>
      <c r="F3561" s="16" t="s">
        <v>83</v>
      </c>
      <c r="G3561" s="22">
        <v>16.5</v>
      </c>
      <c r="H3561" s="18">
        <v>212.11500000000001</v>
      </c>
      <c r="I3561" s="18">
        <v>12.855454545000001</v>
      </c>
      <c r="J3561" s="18">
        <v>12.98</v>
      </c>
      <c r="K3561" s="18">
        <v>12.69</v>
      </c>
      <c r="L3561" s="22">
        <v>8</v>
      </c>
    </row>
    <row r="3562" spans="1:12">
      <c r="A3562">
        <v>4</v>
      </c>
      <c r="B3562" s="16" t="s">
        <v>59</v>
      </c>
      <c r="C3562" s="9">
        <v>45839</v>
      </c>
      <c r="D3562">
        <v>38</v>
      </c>
      <c r="E3562" s="16" t="s">
        <v>127</v>
      </c>
      <c r="F3562" s="16" t="s">
        <v>83</v>
      </c>
      <c r="G3562" s="22">
        <v>16.5</v>
      </c>
      <c r="H3562" s="18">
        <v>212.94499999999999</v>
      </c>
      <c r="I3562" s="18">
        <v>12.905757575999999</v>
      </c>
      <c r="J3562" s="18">
        <v>13.21</v>
      </c>
      <c r="K3562" s="18">
        <v>12.76</v>
      </c>
      <c r="L3562" s="22">
        <v>9</v>
      </c>
    </row>
    <row r="3563" spans="1:12">
      <c r="A3563">
        <v>4</v>
      </c>
      <c r="B3563" s="16" t="s">
        <v>59</v>
      </c>
      <c r="C3563" s="9">
        <v>45870</v>
      </c>
      <c r="D3563">
        <v>38</v>
      </c>
      <c r="E3563" s="16" t="s">
        <v>127</v>
      </c>
      <c r="F3563" s="16" t="s">
        <v>83</v>
      </c>
      <c r="G3563" s="22">
        <v>17.5</v>
      </c>
      <c r="H3563" s="18">
        <v>227.035</v>
      </c>
      <c r="I3563" s="18">
        <v>12.973428570999999</v>
      </c>
      <c r="J3563" s="18">
        <v>13.17</v>
      </c>
      <c r="K3563" s="18">
        <v>12.73</v>
      </c>
      <c r="L3563" s="22">
        <v>9</v>
      </c>
    </row>
    <row r="3564" spans="1:12">
      <c r="A3564">
        <v>4</v>
      </c>
      <c r="B3564" s="16" t="s">
        <v>59</v>
      </c>
      <c r="C3564" s="9">
        <v>45901</v>
      </c>
      <c r="D3564">
        <v>38</v>
      </c>
      <c r="E3564" s="16" t="s">
        <v>127</v>
      </c>
      <c r="F3564" s="16" t="s">
        <v>83</v>
      </c>
      <c r="G3564" s="22">
        <v>19.5</v>
      </c>
      <c r="H3564" s="18">
        <v>254.8</v>
      </c>
      <c r="I3564" s="18">
        <v>13.066666667</v>
      </c>
      <c r="J3564" s="18">
        <v>13.22</v>
      </c>
      <c r="K3564" s="18">
        <v>12.87</v>
      </c>
      <c r="L3564" s="22">
        <v>9</v>
      </c>
    </row>
    <row r="3565" spans="1:12">
      <c r="A3565">
        <v>4</v>
      </c>
      <c r="B3565" s="16" t="s">
        <v>59</v>
      </c>
      <c r="C3565" s="9">
        <v>45931</v>
      </c>
      <c r="D3565">
        <v>38</v>
      </c>
      <c r="E3565" s="16" t="s">
        <v>127</v>
      </c>
      <c r="F3565" s="16" t="s">
        <v>83</v>
      </c>
      <c r="G3565" s="22">
        <v>26</v>
      </c>
      <c r="H3565" s="18">
        <v>344.005</v>
      </c>
      <c r="I3565" s="18">
        <v>13.230961538000001</v>
      </c>
      <c r="J3565" s="18">
        <v>13.66</v>
      </c>
      <c r="K3565" s="18">
        <v>13.02</v>
      </c>
      <c r="L3565" s="22">
        <v>9</v>
      </c>
    </row>
    <row r="3566" spans="1:12">
      <c r="A3566">
        <v>4</v>
      </c>
      <c r="B3566" s="16" t="s">
        <v>59</v>
      </c>
      <c r="C3566" s="9">
        <v>45962</v>
      </c>
      <c r="D3566">
        <v>38</v>
      </c>
      <c r="E3566" s="16" t="s">
        <v>127</v>
      </c>
      <c r="F3566" s="16" t="s">
        <v>83</v>
      </c>
      <c r="G3566" s="22">
        <v>19</v>
      </c>
      <c r="H3566" s="18">
        <v>247.21</v>
      </c>
      <c r="I3566" s="18">
        <v>13.011052632</v>
      </c>
      <c r="J3566" s="18">
        <v>13.23</v>
      </c>
      <c r="K3566" s="18">
        <v>12.8</v>
      </c>
      <c r="L3566" s="22">
        <v>8</v>
      </c>
    </row>
    <row r="3567" spans="1:12">
      <c r="A3567">
        <v>4</v>
      </c>
      <c r="B3567" s="16" t="s">
        <v>59</v>
      </c>
      <c r="C3567" s="9">
        <v>45992</v>
      </c>
      <c r="D3567">
        <v>38</v>
      </c>
      <c r="E3567" s="16" t="s">
        <v>127</v>
      </c>
      <c r="F3567" s="16" t="s">
        <v>83</v>
      </c>
      <c r="G3567" s="22">
        <v>29</v>
      </c>
      <c r="H3567" s="18">
        <v>382.495</v>
      </c>
      <c r="I3567" s="18">
        <v>13.189482759000001</v>
      </c>
      <c r="J3567" s="18">
        <v>13.48</v>
      </c>
      <c r="K3567" s="18">
        <v>12.9</v>
      </c>
      <c r="L3567" s="22">
        <v>9</v>
      </c>
    </row>
    <row r="3568" spans="1:12">
      <c r="A3568">
        <v>4</v>
      </c>
      <c r="B3568" s="16" t="s">
        <v>59</v>
      </c>
      <c r="C3568" s="9">
        <v>46023</v>
      </c>
      <c r="D3568">
        <v>38</v>
      </c>
      <c r="E3568" s="16" t="s">
        <v>127</v>
      </c>
      <c r="F3568" s="16" t="s">
        <v>83</v>
      </c>
      <c r="G3568" s="22">
        <v>25</v>
      </c>
      <c r="H3568" s="18">
        <v>329.95</v>
      </c>
      <c r="I3568" s="18">
        <v>13.198</v>
      </c>
      <c r="J3568" s="18">
        <v>13.42</v>
      </c>
      <c r="K3568" s="18">
        <v>12.88</v>
      </c>
      <c r="L3568" s="22">
        <v>9</v>
      </c>
    </row>
    <row r="3569" spans="1:12">
      <c r="A3569">
        <v>4</v>
      </c>
      <c r="B3569" s="16" t="s">
        <v>59</v>
      </c>
      <c r="C3569" s="9">
        <v>46054</v>
      </c>
      <c r="D3569">
        <v>38</v>
      </c>
      <c r="E3569" s="16" t="s">
        <v>127</v>
      </c>
      <c r="F3569" s="16" t="s">
        <v>83</v>
      </c>
      <c r="G3569" s="22">
        <v>20.5</v>
      </c>
      <c r="H3569" s="18">
        <v>268.95999999999998</v>
      </c>
      <c r="I3569" s="18">
        <v>13.12</v>
      </c>
      <c r="J3569" s="18">
        <v>13.27</v>
      </c>
      <c r="K3569" s="18">
        <v>12.92</v>
      </c>
      <c r="L3569" s="22">
        <v>8</v>
      </c>
    </row>
    <row r="3570" spans="1:12">
      <c r="A3570">
        <v>4</v>
      </c>
      <c r="B3570" s="16" t="s">
        <v>59</v>
      </c>
      <c r="C3570" s="9">
        <v>46082</v>
      </c>
      <c r="D3570">
        <v>38</v>
      </c>
      <c r="E3570" s="16" t="s">
        <v>127</v>
      </c>
      <c r="F3570" s="16" t="s">
        <v>83</v>
      </c>
      <c r="G3570" s="22">
        <v>20.5</v>
      </c>
      <c r="H3570" s="18">
        <v>267.43</v>
      </c>
      <c r="I3570" s="18">
        <v>13.045365854</v>
      </c>
      <c r="J3570" s="18">
        <v>13.27</v>
      </c>
      <c r="K3570" s="18">
        <v>12.85</v>
      </c>
      <c r="L3570" s="22">
        <v>9</v>
      </c>
    </row>
    <row r="3571" spans="1:12">
      <c r="A3571">
        <v>4</v>
      </c>
      <c r="B3571" s="16" t="s">
        <v>59</v>
      </c>
      <c r="C3571" s="9">
        <v>46113</v>
      </c>
      <c r="D3571">
        <v>38</v>
      </c>
      <c r="E3571" s="16" t="s">
        <v>127</v>
      </c>
      <c r="F3571" s="16" t="s">
        <v>83</v>
      </c>
      <c r="G3571" s="22">
        <v>18</v>
      </c>
      <c r="H3571" s="18">
        <v>233.64500000000001</v>
      </c>
      <c r="I3571" s="18">
        <v>12.980277778</v>
      </c>
      <c r="J3571" s="18">
        <v>13.1</v>
      </c>
      <c r="K3571" s="18">
        <v>12.89</v>
      </c>
      <c r="L3571" s="22">
        <v>8</v>
      </c>
    </row>
    <row r="3572" spans="1:12">
      <c r="A3572">
        <v>4</v>
      </c>
      <c r="B3572" s="16" t="s">
        <v>59</v>
      </c>
      <c r="C3572" s="9">
        <v>46143</v>
      </c>
      <c r="D3572">
        <v>38</v>
      </c>
      <c r="E3572" s="16" t="s">
        <v>127</v>
      </c>
      <c r="F3572" s="16" t="s">
        <v>83</v>
      </c>
      <c r="G3572" s="22">
        <v>20</v>
      </c>
      <c r="H3572" s="18">
        <v>259.685</v>
      </c>
      <c r="I3572" s="18">
        <v>12.984249999999999</v>
      </c>
      <c r="J3572" s="18">
        <v>13.35</v>
      </c>
      <c r="K3572" s="18">
        <v>12.74</v>
      </c>
      <c r="L3572" s="22">
        <v>9</v>
      </c>
    </row>
    <row r="3573" spans="1:12">
      <c r="A3573">
        <v>4</v>
      </c>
      <c r="B3573" s="16" t="s">
        <v>59</v>
      </c>
      <c r="C3573" s="9">
        <v>46174</v>
      </c>
      <c r="D3573">
        <v>38</v>
      </c>
      <c r="E3573" s="16" t="s">
        <v>127</v>
      </c>
      <c r="F3573" s="16" t="s">
        <v>83</v>
      </c>
      <c r="G3573" s="22">
        <v>16</v>
      </c>
      <c r="H3573" s="18">
        <v>208.10499999999999</v>
      </c>
      <c r="I3573" s="18">
        <v>13.006562499999999</v>
      </c>
      <c r="J3573" s="18">
        <v>13.16</v>
      </c>
      <c r="K3573" s="18">
        <v>12.83</v>
      </c>
      <c r="L3573" s="22">
        <v>9</v>
      </c>
    </row>
    <row r="3574" spans="1:12">
      <c r="A3574">
        <v>4</v>
      </c>
      <c r="B3574" s="16" t="s">
        <v>59</v>
      </c>
      <c r="C3574" s="9">
        <v>46204</v>
      </c>
      <c r="D3574">
        <v>38</v>
      </c>
      <c r="E3574" s="16" t="s">
        <v>127</v>
      </c>
      <c r="F3574" s="16" t="s">
        <v>83</v>
      </c>
      <c r="G3574" s="22">
        <v>23</v>
      </c>
      <c r="H3574" s="18">
        <v>297.83</v>
      </c>
      <c r="I3574" s="18">
        <v>12.949130435000001</v>
      </c>
      <c r="J3574" s="18">
        <v>13.23</v>
      </c>
      <c r="K3574" s="18">
        <v>12.65</v>
      </c>
      <c r="L3574" s="22">
        <v>9</v>
      </c>
    </row>
    <row r="3575" spans="1:12">
      <c r="A3575">
        <v>4</v>
      </c>
      <c r="B3575" s="16" t="s">
        <v>59</v>
      </c>
      <c r="C3575" s="9">
        <v>46235</v>
      </c>
      <c r="D3575">
        <v>38</v>
      </c>
      <c r="E3575" s="16" t="s">
        <v>127</v>
      </c>
      <c r="F3575" s="16" t="s">
        <v>83</v>
      </c>
      <c r="G3575" s="22">
        <v>13</v>
      </c>
      <c r="H3575" s="18">
        <v>168.97</v>
      </c>
      <c r="I3575" s="18">
        <v>12.997692308</v>
      </c>
      <c r="J3575" s="18">
        <v>13.21</v>
      </c>
      <c r="K3575" s="18">
        <v>12.75</v>
      </c>
      <c r="L3575" s="22">
        <v>8</v>
      </c>
    </row>
    <row r="3576" spans="1:12">
      <c r="A3576">
        <v>4</v>
      </c>
      <c r="B3576" s="16" t="s">
        <v>59</v>
      </c>
      <c r="C3576" s="9">
        <v>46266</v>
      </c>
      <c r="D3576">
        <v>38</v>
      </c>
      <c r="E3576" s="16" t="s">
        <v>127</v>
      </c>
      <c r="F3576" s="16" t="s">
        <v>83</v>
      </c>
      <c r="G3576" s="22">
        <v>21</v>
      </c>
      <c r="H3576" s="18">
        <v>275.99</v>
      </c>
      <c r="I3576" s="18">
        <v>13.142380952</v>
      </c>
      <c r="J3576" s="18">
        <v>13.35</v>
      </c>
      <c r="K3576" s="18">
        <v>12.93</v>
      </c>
      <c r="L3576" s="22">
        <v>9</v>
      </c>
    </row>
    <row r="3577" spans="1:12">
      <c r="A3577">
        <v>4</v>
      </c>
      <c r="B3577" s="16" t="s">
        <v>59</v>
      </c>
      <c r="C3577" s="9">
        <v>45689</v>
      </c>
      <c r="D3577">
        <v>39</v>
      </c>
      <c r="E3577" s="16" t="s">
        <v>128</v>
      </c>
      <c r="F3577" s="16" t="s">
        <v>87</v>
      </c>
      <c r="G3577" s="22">
        <v>45</v>
      </c>
      <c r="H3577" s="18">
        <v>278.52</v>
      </c>
      <c r="I3577" s="18">
        <v>6.1893333330000004</v>
      </c>
      <c r="J3577" s="18">
        <v>6.28</v>
      </c>
      <c r="K3577" s="18">
        <v>6.1</v>
      </c>
      <c r="L3577" s="22">
        <v>8</v>
      </c>
    </row>
    <row r="3578" spans="1:12">
      <c r="A3578">
        <v>4</v>
      </c>
      <c r="B3578" s="16" t="s">
        <v>59</v>
      </c>
      <c r="C3578" s="9">
        <v>45717</v>
      </c>
      <c r="D3578">
        <v>39</v>
      </c>
      <c r="E3578" s="16" t="s">
        <v>128</v>
      </c>
      <c r="F3578" s="16" t="s">
        <v>87</v>
      </c>
      <c r="G3578" s="22">
        <v>55.25</v>
      </c>
      <c r="H3578" s="18">
        <v>349.61250000000001</v>
      </c>
      <c r="I3578" s="18">
        <v>6.3278280540000003</v>
      </c>
      <c r="J3578" s="18">
        <v>6.56</v>
      </c>
      <c r="K3578" s="18">
        <v>6.16</v>
      </c>
      <c r="L3578" s="22">
        <v>9</v>
      </c>
    </row>
    <row r="3579" spans="1:12">
      <c r="A3579">
        <v>4</v>
      </c>
      <c r="B3579" s="16" t="s">
        <v>59</v>
      </c>
      <c r="C3579" s="9">
        <v>45748</v>
      </c>
      <c r="D3579">
        <v>39</v>
      </c>
      <c r="E3579" s="16" t="s">
        <v>128</v>
      </c>
      <c r="F3579" s="16" t="s">
        <v>87</v>
      </c>
      <c r="G3579" s="22">
        <v>45.5</v>
      </c>
      <c r="H3579" s="18">
        <v>284.48250000000002</v>
      </c>
      <c r="I3579" s="18">
        <v>6.2523626370000001</v>
      </c>
      <c r="J3579" s="18">
        <v>6.37</v>
      </c>
      <c r="K3579" s="18">
        <v>6.04</v>
      </c>
      <c r="L3579" s="22">
        <v>8</v>
      </c>
    </row>
    <row r="3580" spans="1:12">
      <c r="A3580">
        <v>4</v>
      </c>
      <c r="B3580" s="16" t="s">
        <v>59</v>
      </c>
      <c r="C3580" s="9">
        <v>45778</v>
      </c>
      <c r="D3580">
        <v>39</v>
      </c>
      <c r="E3580" s="16" t="s">
        <v>128</v>
      </c>
      <c r="F3580" s="16" t="s">
        <v>87</v>
      </c>
      <c r="G3580" s="22">
        <v>56.5</v>
      </c>
      <c r="H3580" s="18">
        <v>349.77749999999997</v>
      </c>
      <c r="I3580" s="18">
        <v>6.1907522119999996</v>
      </c>
      <c r="J3580" s="18">
        <v>6.29</v>
      </c>
      <c r="K3580" s="18">
        <v>6.1</v>
      </c>
      <c r="L3580" s="22">
        <v>9</v>
      </c>
    </row>
    <row r="3581" spans="1:12">
      <c r="A3581">
        <v>4</v>
      </c>
      <c r="B3581" s="16" t="s">
        <v>59</v>
      </c>
      <c r="C3581" s="9">
        <v>45809</v>
      </c>
      <c r="D3581">
        <v>39</v>
      </c>
      <c r="E3581" s="16" t="s">
        <v>128</v>
      </c>
      <c r="F3581" s="16" t="s">
        <v>87</v>
      </c>
      <c r="G3581" s="22">
        <v>39.25</v>
      </c>
      <c r="H3581" s="18">
        <v>246.31</v>
      </c>
      <c r="I3581" s="18">
        <v>6.2754140129999998</v>
      </c>
      <c r="J3581" s="18">
        <v>6.4</v>
      </c>
      <c r="K3581" s="18">
        <v>6.16</v>
      </c>
      <c r="L3581" s="22">
        <v>9</v>
      </c>
    </row>
    <row r="3582" spans="1:12">
      <c r="A3582">
        <v>4</v>
      </c>
      <c r="B3582" s="16" t="s">
        <v>59</v>
      </c>
      <c r="C3582" s="9">
        <v>45839</v>
      </c>
      <c r="D3582">
        <v>39</v>
      </c>
      <c r="E3582" s="16" t="s">
        <v>128</v>
      </c>
      <c r="F3582" s="16" t="s">
        <v>87</v>
      </c>
      <c r="G3582" s="22">
        <v>48</v>
      </c>
      <c r="H3582" s="18">
        <v>304.34249999999997</v>
      </c>
      <c r="I3582" s="18">
        <v>6.3404687500000003</v>
      </c>
      <c r="J3582" s="18">
        <v>6.48</v>
      </c>
      <c r="K3582" s="18">
        <v>6.24</v>
      </c>
      <c r="L3582" s="22">
        <v>8</v>
      </c>
    </row>
    <row r="3583" spans="1:12">
      <c r="A3583">
        <v>4</v>
      </c>
      <c r="B3583" s="16" t="s">
        <v>59</v>
      </c>
      <c r="C3583" s="9">
        <v>45870</v>
      </c>
      <c r="D3583">
        <v>39</v>
      </c>
      <c r="E3583" s="16" t="s">
        <v>128</v>
      </c>
      <c r="F3583" s="16" t="s">
        <v>87</v>
      </c>
      <c r="G3583" s="22">
        <v>41.25</v>
      </c>
      <c r="H3583" s="18">
        <v>260.64999999999998</v>
      </c>
      <c r="I3583" s="18">
        <v>6.3187878790000003</v>
      </c>
      <c r="J3583" s="18">
        <v>6.39</v>
      </c>
      <c r="K3583" s="18">
        <v>6.26</v>
      </c>
      <c r="L3583" s="22">
        <v>8</v>
      </c>
    </row>
    <row r="3584" spans="1:12">
      <c r="A3584">
        <v>4</v>
      </c>
      <c r="B3584" s="16" t="s">
        <v>59</v>
      </c>
      <c r="C3584" s="9">
        <v>45901</v>
      </c>
      <c r="D3584">
        <v>39</v>
      </c>
      <c r="E3584" s="16" t="s">
        <v>128</v>
      </c>
      <c r="F3584" s="16" t="s">
        <v>87</v>
      </c>
      <c r="G3584" s="22">
        <v>50.5</v>
      </c>
      <c r="H3584" s="18">
        <v>321.16500000000002</v>
      </c>
      <c r="I3584" s="18">
        <v>6.3597029699999998</v>
      </c>
      <c r="J3584" s="18">
        <v>6.44</v>
      </c>
      <c r="K3584" s="18">
        <v>6.28</v>
      </c>
      <c r="L3584" s="22">
        <v>9</v>
      </c>
    </row>
    <row r="3585" spans="1:12">
      <c r="A3585">
        <v>4</v>
      </c>
      <c r="B3585" s="16" t="s">
        <v>59</v>
      </c>
      <c r="C3585" s="9">
        <v>45931</v>
      </c>
      <c r="D3585">
        <v>39</v>
      </c>
      <c r="E3585" s="16" t="s">
        <v>128</v>
      </c>
      <c r="F3585" s="16" t="s">
        <v>87</v>
      </c>
      <c r="G3585" s="22">
        <v>62</v>
      </c>
      <c r="H3585" s="18">
        <v>397.54500000000002</v>
      </c>
      <c r="I3585" s="18">
        <v>6.4120161290000004</v>
      </c>
      <c r="J3585" s="18">
        <v>6.56</v>
      </c>
      <c r="K3585" s="18">
        <v>6.2</v>
      </c>
      <c r="L3585" s="22">
        <v>9</v>
      </c>
    </row>
    <row r="3586" spans="1:12">
      <c r="A3586">
        <v>4</v>
      </c>
      <c r="B3586" s="16" t="s">
        <v>59</v>
      </c>
      <c r="C3586" s="9">
        <v>45962</v>
      </c>
      <c r="D3586">
        <v>39</v>
      </c>
      <c r="E3586" s="16" t="s">
        <v>128</v>
      </c>
      <c r="F3586" s="16" t="s">
        <v>87</v>
      </c>
      <c r="G3586" s="22">
        <v>51.75</v>
      </c>
      <c r="H3586" s="18">
        <v>335.34</v>
      </c>
      <c r="I3586" s="18">
        <v>6.48</v>
      </c>
      <c r="J3586" s="18">
        <v>6.54</v>
      </c>
      <c r="K3586" s="18">
        <v>6.36</v>
      </c>
      <c r="L3586" s="22">
        <v>8</v>
      </c>
    </row>
    <row r="3587" spans="1:12">
      <c r="A3587">
        <v>4</v>
      </c>
      <c r="B3587" s="16" t="s">
        <v>59</v>
      </c>
      <c r="C3587" s="9">
        <v>45992</v>
      </c>
      <c r="D3587">
        <v>39</v>
      </c>
      <c r="E3587" s="16" t="s">
        <v>128</v>
      </c>
      <c r="F3587" s="16" t="s">
        <v>87</v>
      </c>
      <c r="G3587" s="22">
        <v>57.75</v>
      </c>
      <c r="H3587" s="18">
        <v>375.24</v>
      </c>
      <c r="I3587" s="18">
        <v>6.4976623379999996</v>
      </c>
      <c r="J3587" s="18">
        <v>6.6</v>
      </c>
      <c r="K3587" s="18">
        <v>6.39</v>
      </c>
      <c r="L3587" s="22">
        <v>9</v>
      </c>
    </row>
    <row r="3588" spans="1:12">
      <c r="A3588">
        <v>4</v>
      </c>
      <c r="B3588" s="16" t="s">
        <v>59</v>
      </c>
      <c r="C3588" s="9">
        <v>46023</v>
      </c>
      <c r="D3588">
        <v>39</v>
      </c>
      <c r="E3588" s="16" t="s">
        <v>128</v>
      </c>
      <c r="F3588" s="16" t="s">
        <v>87</v>
      </c>
      <c r="G3588" s="22">
        <v>50.25</v>
      </c>
      <c r="H3588" s="18">
        <v>326.13499999999999</v>
      </c>
      <c r="I3588" s="18">
        <v>6.4902487559999997</v>
      </c>
      <c r="J3588" s="18">
        <v>6.57</v>
      </c>
      <c r="K3588" s="18">
        <v>6.42</v>
      </c>
      <c r="L3588" s="22">
        <v>9</v>
      </c>
    </row>
    <row r="3589" spans="1:12">
      <c r="A3589">
        <v>4</v>
      </c>
      <c r="B3589" s="16" t="s">
        <v>59</v>
      </c>
      <c r="C3589" s="9">
        <v>46054</v>
      </c>
      <c r="D3589">
        <v>39</v>
      </c>
      <c r="E3589" s="16" t="s">
        <v>128</v>
      </c>
      <c r="F3589" s="16" t="s">
        <v>87</v>
      </c>
      <c r="G3589" s="22">
        <v>50.25</v>
      </c>
      <c r="H3589" s="18">
        <v>326.005</v>
      </c>
      <c r="I3589" s="18">
        <v>6.4876616919999996</v>
      </c>
      <c r="J3589" s="18">
        <v>6.62</v>
      </c>
      <c r="K3589" s="18">
        <v>6.4</v>
      </c>
      <c r="L3589" s="22">
        <v>7</v>
      </c>
    </row>
    <row r="3590" spans="1:12">
      <c r="A3590">
        <v>4</v>
      </c>
      <c r="B3590" s="16" t="s">
        <v>59</v>
      </c>
      <c r="C3590" s="9">
        <v>46082</v>
      </c>
      <c r="D3590">
        <v>39</v>
      </c>
      <c r="E3590" s="16" t="s">
        <v>128</v>
      </c>
      <c r="F3590" s="16" t="s">
        <v>87</v>
      </c>
      <c r="G3590" s="22">
        <v>47.5</v>
      </c>
      <c r="H3590" s="18">
        <v>310.23250000000002</v>
      </c>
      <c r="I3590" s="18">
        <v>6.5312105259999997</v>
      </c>
      <c r="J3590" s="18">
        <v>6.65</v>
      </c>
      <c r="K3590" s="18">
        <v>6.37</v>
      </c>
      <c r="L3590" s="22">
        <v>9</v>
      </c>
    </row>
    <row r="3591" spans="1:12">
      <c r="A3591">
        <v>4</v>
      </c>
      <c r="B3591" s="16" t="s">
        <v>59</v>
      </c>
      <c r="C3591" s="9">
        <v>46113</v>
      </c>
      <c r="D3591">
        <v>39</v>
      </c>
      <c r="E3591" s="16" t="s">
        <v>128</v>
      </c>
      <c r="F3591" s="16" t="s">
        <v>87</v>
      </c>
      <c r="G3591" s="22">
        <v>56</v>
      </c>
      <c r="H3591" s="18">
        <v>360.7</v>
      </c>
      <c r="I3591" s="18">
        <v>6.441071429</v>
      </c>
      <c r="J3591" s="18">
        <v>6.58</v>
      </c>
      <c r="K3591" s="18">
        <v>6.27</v>
      </c>
      <c r="L3591" s="22">
        <v>9</v>
      </c>
    </row>
    <row r="3592" spans="1:12">
      <c r="A3592">
        <v>4</v>
      </c>
      <c r="B3592" s="16" t="s">
        <v>59</v>
      </c>
      <c r="C3592" s="9">
        <v>46143</v>
      </c>
      <c r="D3592">
        <v>39</v>
      </c>
      <c r="E3592" s="16" t="s">
        <v>128</v>
      </c>
      <c r="F3592" s="16" t="s">
        <v>87</v>
      </c>
      <c r="G3592" s="22">
        <v>57.5</v>
      </c>
      <c r="H3592" s="18">
        <v>368.16500000000002</v>
      </c>
      <c r="I3592" s="18">
        <v>6.4028695649999996</v>
      </c>
      <c r="J3592" s="18">
        <v>6.51</v>
      </c>
      <c r="K3592" s="18">
        <v>6.33</v>
      </c>
      <c r="L3592" s="22">
        <v>8</v>
      </c>
    </row>
    <row r="3593" spans="1:12">
      <c r="A3593">
        <v>4</v>
      </c>
      <c r="B3593" s="16" t="s">
        <v>59</v>
      </c>
      <c r="C3593" s="9">
        <v>46174</v>
      </c>
      <c r="D3593">
        <v>39</v>
      </c>
      <c r="E3593" s="16" t="s">
        <v>128</v>
      </c>
      <c r="F3593" s="16" t="s">
        <v>87</v>
      </c>
      <c r="G3593" s="22">
        <v>45</v>
      </c>
      <c r="H3593" s="18">
        <v>289.48500000000001</v>
      </c>
      <c r="I3593" s="18">
        <v>6.4329999999999998</v>
      </c>
      <c r="J3593" s="18">
        <v>6.54</v>
      </c>
      <c r="K3593" s="18">
        <v>6.36</v>
      </c>
      <c r="L3593" s="22">
        <v>9</v>
      </c>
    </row>
    <row r="3594" spans="1:12">
      <c r="A3594">
        <v>4</v>
      </c>
      <c r="B3594" s="16" t="s">
        <v>59</v>
      </c>
      <c r="C3594" s="9">
        <v>46204</v>
      </c>
      <c r="D3594">
        <v>39</v>
      </c>
      <c r="E3594" s="16" t="s">
        <v>128</v>
      </c>
      <c r="F3594" s="16" t="s">
        <v>87</v>
      </c>
      <c r="G3594" s="22">
        <v>47</v>
      </c>
      <c r="H3594" s="18">
        <v>304.82249999999999</v>
      </c>
      <c r="I3594" s="18">
        <v>6.4855851060000003</v>
      </c>
      <c r="J3594" s="18">
        <v>6.61</v>
      </c>
      <c r="K3594" s="18">
        <v>6.3</v>
      </c>
      <c r="L3594" s="22">
        <v>8</v>
      </c>
    </row>
    <row r="3595" spans="1:12">
      <c r="A3595">
        <v>4</v>
      </c>
      <c r="B3595" s="16" t="s">
        <v>59</v>
      </c>
      <c r="C3595" s="9">
        <v>46235</v>
      </c>
      <c r="D3595">
        <v>39</v>
      </c>
      <c r="E3595" s="16" t="s">
        <v>128</v>
      </c>
      <c r="F3595" s="16" t="s">
        <v>87</v>
      </c>
      <c r="G3595" s="22">
        <v>47.25</v>
      </c>
      <c r="H3595" s="18">
        <v>312.35750000000002</v>
      </c>
      <c r="I3595" s="18">
        <v>6.6107407409999999</v>
      </c>
      <c r="J3595" s="18">
        <v>6.89</v>
      </c>
      <c r="K3595" s="18">
        <v>6.5</v>
      </c>
      <c r="L3595" s="22">
        <v>9</v>
      </c>
    </row>
    <row r="3596" spans="1:12">
      <c r="A3596">
        <v>4</v>
      </c>
      <c r="B3596" s="16" t="s">
        <v>59</v>
      </c>
      <c r="C3596" s="9">
        <v>46266</v>
      </c>
      <c r="D3596">
        <v>39</v>
      </c>
      <c r="E3596" s="16" t="s">
        <v>128</v>
      </c>
      <c r="F3596" s="16" t="s">
        <v>87</v>
      </c>
      <c r="G3596" s="22">
        <v>44.75</v>
      </c>
      <c r="H3596" s="18">
        <v>293.84500000000003</v>
      </c>
      <c r="I3596" s="18">
        <v>6.5663687150000003</v>
      </c>
      <c r="J3596" s="18">
        <v>6.69</v>
      </c>
      <c r="K3596" s="18">
        <v>6.39</v>
      </c>
      <c r="L3596" s="22">
        <v>8</v>
      </c>
    </row>
    <row r="3597" spans="1:12">
      <c r="A3597">
        <v>4</v>
      </c>
      <c r="B3597" s="16" t="s">
        <v>59</v>
      </c>
      <c r="C3597" s="9">
        <v>45689</v>
      </c>
      <c r="D3597">
        <v>40</v>
      </c>
      <c r="E3597" s="16" t="s">
        <v>129</v>
      </c>
      <c r="F3597" s="16" t="s">
        <v>108</v>
      </c>
      <c r="G3597" s="22">
        <v>4</v>
      </c>
      <c r="H3597" s="18">
        <v>2.36</v>
      </c>
      <c r="I3597" s="18">
        <v>0.59</v>
      </c>
      <c r="J3597" s="18">
        <v>0.59</v>
      </c>
      <c r="K3597" s="18">
        <v>0.59</v>
      </c>
      <c r="L3597" s="22">
        <v>1</v>
      </c>
    </row>
    <row r="3598" spans="1:12">
      <c r="A3598">
        <v>4</v>
      </c>
      <c r="B3598" s="16" t="s">
        <v>59</v>
      </c>
      <c r="C3598" s="9">
        <v>45748</v>
      </c>
      <c r="D3598">
        <v>40</v>
      </c>
      <c r="E3598" s="16" t="s">
        <v>129</v>
      </c>
      <c r="F3598" s="16" t="s">
        <v>108</v>
      </c>
      <c r="G3598" s="22">
        <v>4</v>
      </c>
      <c r="H3598" s="18">
        <v>2.36</v>
      </c>
      <c r="I3598" s="18">
        <v>0.59</v>
      </c>
      <c r="J3598" s="18">
        <v>0.59</v>
      </c>
      <c r="K3598" s="18">
        <v>0.59</v>
      </c>
      <c r="L3598" s="22">
        <v>1</v>
      </c>
    </row>
    <row r="3599" spans="1:12">
      <c r="A3599">
        <v>4</v>
      </c>
      <c r="B3599" s="16" t="s">
        <v>59</v>
      </c>
      <c r="C3599" s="9">
        <v>45778</v>
      </c>
      <c r="D3599">
        <v>40</v>
      </c>
      <c r="E3599" s="16" t="s">
        <v>129</v>
      </c>
      <c r="F3599" s="16" t="s">
        <v>108</v>
      </c>
      <c r="G3599" s="22">
        <v>4</v>
      </c>
      <c r="H3599" s="18">
        <v>2.52</v>
      </c>
      <c r="I3599" s="18">
        <v>0.63</v>
      </c>
      <c r="J3599" s="18">
        <v>0.63</v>
      </c>
      <c r="K3599" s="18">
        <v>0.63</v>
      </c>
      <c r="L3599" s="22">
        <v>1</v>
      </c>
    </row>
    <row r="3600" spans="1:12">
      <c r="A3600">
        <v>4</v>
      </c>
      <c r="B3600" s="16" t="s">
        <v>59</v>
      </c>
      <c r="C3600" s="9">
        <v>45839</v>
      </c>
      <c r="D3600">
        <v>40</v>
      </c>
      <c r="E3600" s="16" t="s">
        <v>129</v>
      </c>
      <c r="F3600" s="16" t="s">
        <v>108</v>
      </c>
      <c r="G3600" s="22">
        <v>4</v>
      </c>
      <c r="H3600" s="18">
        <v>2.36</v>
      </c>
      <c r="I3600" s="18">
        <v>0.59</v>
      </c>
      <c r="J3600" s="18">
        <v>0.59</v>
      </c>
      <c r="K3600" s="18">
        <v>0.59</v>
      </c>
      <c r="L3600" s="22">
        <v>1</v>
      </c>
    </row>
    <row r="3601" spans="1:12">
      <c r="A3601">
        <v>4</v>
      </c>
      <c r="B3601" s="16" t="s">
        <v>59</v>
      </c>
      <c r="C3601" s="9">
        <v>45870</v>
      </c>
      <c r="D3601">
        <v>40</v>
      </c>
      <c r="E3601" s="16" t="s">
        <v>129</v>
      </c>
      <c r="F3601" s="16" t="s">
        <v>108</v>
      </c>
      <c r="G3601" s="22">
        <v>4</v>
      </c>
      <c r="H3601" s="18">
        <v>2.4</v>
      </c>
      <c r="I3601" s="18">
        <v>0.6</v>
      </c>
      <c r="J3601" s="18">
        <v>0.6</v>
      </c>
      <c r="K3601" s="18">
        <v>0.6</v>
      </c>
      <c r="L3601" s="22">
        <v>1</v>
      </c>
    </row>
    <row r="3602" spans="1:12">
      <c r="A3602">
        <v>4</v>
      </c>
      <c r="B3602" s="16" t="s">
        <v>59</v>
      </c>
      <c r="C3602" s="9">
        <v>45931</v>
      </c>
      <c r="D3602">
        <v>40</v>
      </c>
      <c r="E3602" s="16" t="s">
        <v>129</v>
      </c>
      <c r="F3602" s="16" t="s">
        <v>108</v>
      </c>
      <c r="G3602" s="22">
        <v>4</v>
      </c>
      <c r="H3602" s="18">
        <v>2.4</v>
      </c>
      <c r="I3602" s="18">
        <v>0.6</v>
      </c>
      <c r="J3602" s="18">
        <v>0.6</v>
      </c>
      <c r="K3602" s="18">
        <v>0.6</v>
      </c>
      <c r="L3602" s="22">
        <v>1</v>
      </c>
    </row>
    <row r="3603" spans="1:12">
      <c r="A3603">
        <v>4</v>
      </c>
      <c r="B3603" s="16" t="s">
        <v>59</v>
      </c>
      <c r="C3603" s="9">
        <v>45962</v>
      </c>
      <c r="D3603">
        <v>40</v>
      </c>
      <c r="E3603" s="16" t="s">
        <v>129</v>
      </c>
      <c r="F3603" s="16" t="s">
        <v>108</v>
      </c>
      <c r="G3603" s="22">
        <v>4</v>
      </c>
      <c r="H3603" s="18">
        <v>2.4</v>
      </c>
      <c r="I3603" s="18">
        <v>0.6</v>
      </c>
      <c r="J3603" s="18">
        <v>0.6</v>
      </c>
      <c r="K3603" s="18">
        <v>0.6</v>
      </c>
      <c r="L3603" s="22">
        <v>1</v>
      </c>
    </row>
    <row r="3604" spans="1:12">
      <c r="A3604">
        <v>4</v>
      </c>
      <c r="B3604" s="16" t="s">
        <v>59</v>
      </c>
      <c r="C3604" s="9">
        <v>45992</v>
      </c>
      <c r="D3604">
        <v>40</v>
      </c>
      <c r="E3604" s="16" t="s">
        <v>129</v>
      </c>
      <c r="F3604" s="16" t="s">
        <v>108</v>
      </c>
      <c r="G3604" s="22">
        <v>4</v>
      </c>
      <c r="H3604" s="18">
        <v>2.44</v>
      </c>
      <c r="I3604" s="18">
        <v>0.61</v>
      </c>
      <c r="J3604" s="18">
        <v>0.61</v>
      </c>
      <c r="K3604" s="18">
        <v>0.61</v>
      </c>
      <c r="L3604" s="22">
        <v>1</v>
      </c>
    </row>
    <row r="3605" spans="1:12">
      <c r="A3605">
        <v>4</v>
      </c>
      <c r="B3605" s="16" t="s">
        <v>59</v>
      </c>
      <c r="C3605" s="9">
        <v>46023</v>
      </c>
      <c r="D3605">
        <v>40</v>
      </c>
      <c r="E3605" s="16" t="s">
        <v>129</v>
      </c>
      <c r="F3605" s="16" t="s">
        <v>108</v>
      </c>
      <c r="G3605" s="22">
        <v>4</v>
      </c>
      <c r="H3605" s="18">
        <v>2.44</v>
      </c>
      <c r="I3605" s="18">
        <v>0.61</v>
      </c>
      <c r="J3605" s="18">
        <v>0.61</v>
      </c>
      <c r="K3605" s="18">
        <v>0.61</v>
      </c>
      <c r="L3605" s="22">
        <v>1</v>
      </c>
    </row>
    <row r="3606" spans="1:12">
      <c r="A3606">
        <v>4</v>
      </c>
      <c r="B3606" s="16" t="s">
        <v>59</v>
      </c>
      <c r="C3606" s="9">
        <v>46054</v>
      </c>
      <c r="D3606">
        <v>40</v>
      </c>
      <c r="E3606" s="16" t="s">
        <v>129</v>
      </c>
      <c r="F3606" s="16" t="s">
        <v>108</v>
      </c>
      <c r="G3606" s="22">
        <v>4</v>
      </c>
      <c r="H3606" s="18">
        <v>2.4</v>
      </c>
      <c r="I3606" s="18">
        <v>0.6</v>
      </c>
      <c r="J3606" s="18">
        <v>0.6</v>
      </c>
      <c r="K3606" s="18">
        <v>0.6</v>
      </c>
      <c r="L3606" s="22">
        <v>1</v>
      </c>
    </row>
    <row r="3607" spans="1:12">
      <c r="A3607">
        <v>4</v>
      </c>
      <c r="B3607" s="16" t="s">
        <v>59</v>
      </c>
      <c r="C3607" s="9">
        <v>46082</v>
      </c>
      <c r="D3607">
        <v>40</v>
      </c>
      <c r="E3607" s="16" t="s">
        <v>129</v>
      </c>
      <c r="F3607" s="16" t="s">
        <v>108</v>
      </c>
      <c r="G3607" s="22">
        <v>4</v>
      </c>
      <c r="H3607" s="18">
        <v>2.44</v>
      </c>
      <c r="I3607" s="18">
        <v>0.61</v>
      </c>
      <c r="J3607" s="18">
        <v>0.61</v>
      </c>
      <c r="K3607" s="18">
        <v>0.61</v>
      </c>
      <c r="L3607" s="22">
        <v>1</v>
      </c>
    </row>
    <row r="3608" spans="1:12">
      <c r="A3608">
        <v>4</v>
      </c>
      <c r="B3608" s="16" t="s">
        <v>59</v>
      </c>
      <c r="C3608" s="9">
        <v>46143</v>
      </c>
      <c r="D3608">
        <v>40</v>
      </c>
      <c r="E3608" s="16" t="s">
        <v>129</v>
      </c>
      <c r="F3608" s="16" t="s">
        <v>108</v>
      </c>
      <c r="G3608" s="22">
        <v>4</v>
      </c>
      <c r="H3608" s="18">
        <v>2.52</v>
      </c>
      <c r="I3608" s="18">
        <v>0.63</v>
      </c>
      <c r="J3608" s="18">
        <v>0.63</v>
      </c>
      <c r="K3608" s="18">
        <v>0.63</v>
      </c>
      <c r="L3608" s="22">
        <v>1</v>
      </c>
    </row>
    <row r="3609" spans="1:12">
      <c r="A3609">
        <v>4</v>
      </c>
      <c r="B3609" s="16" t="s">
        <v>59</v>
      </c>
      <c r="C3609" s="9">
        <v>46174</v>
      </c>
      <c r="D3609">
        <v>40</v>
      </c>
      <c r="E3609" s="16" t="s">
        <v>129</v>
      </c>
      <c r="F3609" s="16" t="s">
        <v>108</v>
      </c>
      <c r="G3609" s="22">
        <v>4</v>
      </c>
      <c r="H3609" s="18">
        <v>2.52</v>
      </c>
      <c r="I3609" s="18">
        <v>0.63</v>
      </c>
      <c r="J3609" s="18">
        <v>0.63</v>
      </c>
      <c r="K3609" s="18">
        <v>0.63</v>
      </c>
      <c r="L3609" s="22">
        <v>1</v>
      </c>
    </row>
    <row r="3610" spans="1:12">
      <c r="A3610">
        <v>4</v>
      </c>
      <c r="B3610" s="16" t="s">
        <v>59</v>
      </c>
      <c r="C3610" s="9">
        <v>46235</v>
      </c>
      <c r="D3610">
        <v>40</v>
      </c>
      <c r="E3610" s="16" t="s">
        <v>129</v>
      </c>
      <c r="F3610" s="16" t="s">
        <v>108</v>
      </c>
      <c r="G3610" s="22">
        <v>4</v>
      </c>
      <c r="H3610" s="18">
        <v>2.48</v>
      </c>
      <c r="I3610" s="18">
        <v>0.62</v>
      </c>
      <c r="J3610" s="18">
        <v>0.62</v>
      </c>
      <c r="K3610" s="18">
        <v>0.62</v>
      </c>
      <c r="L3610" s="22">
        <v>1</v>
      </c>
    </row>
    <row r="3611" spans="1:12">
      <c r="A3611">
        <v>4</v>
      </c>
      <c r="B3611" s="16" t="s">
        <v>59</v>
      </c>
      <c r="C3611" s="9">
        <v>46266</v>
      </c>
      <c r="D3611">
        <v>40</v>
      </c>
      <c r="E3611" s="16" t="s">
        <v>129</v>
      </c>
      <c r="F3611" s="16" t="s">
        <v>108</v>
      </c>
      <c r="G3611" s="22">
        <v>4</v>
      </c>
      <c r="H3611" s="18">
        <v>2.52</v>
      </c>
      <c r="I3611" s="18">
        <v>0.63</v>
      </c>
      <c r="J3611" s="18">
        <v>0.63</v>
      </c>
      <c r="K3611" s="18">
        <v>0.63</v>
      </c>
      <c r="L3611" s="22">
        <v>1</v>
      </c>
    </row>
    <row r="3612" spans="1:12">
      <c r="A3612">
        <v>4</v>
      </c>
      <c r="B3612" s="16" t="s">
        <v>59</v>
      </c>
      <c r="C3612" s="9">
        <v>45689</v>
      </c>
      <c r="D3612">
        <v>41</v>
      </c>
      <c r="E3612" s="16" t="s">
        <v>130</v>
      </c>
      <c r="F3612" s="16" t="s">
        <v>87</v>
      </c>
      <c r="G3612" s="22">
        <v>41.25</v>
      </c>
      <c r="H3612" s="18">
        <v>154.155</v>
      </c>
      <c r="I3612" s="18">
        <v>3.737090909</v>
      </c>
      <c r="J3612" s="18">
        <v>3.77</v>
      </c>
      <c r="K3612" s="18">
        <v>3.65</v>
      </c>
      <c r="L3612" s="22">
        <v>8</v>
      </c>
    </row>
    <row r="3613" spans="1:12">
      <c r="A3613">
        <v>4</v>
      </c>
      <c r="B3613" s="16" t="s">
        <v>59</v>
      </c>
      <c r="C3613" s="9">
        <v>45717</v>
      </c>
      <c r="D3613">
        <v>41</v>
      </c>
      <c r="E3613" s="16" t="s">
        <v>130</v>
      </c>
      <c r="F3613" s="16" t="s">
        <v>87</v>
      </c>
      <c r="G3613" s="22">
        <v>46.75</v>
      </c>
      <c r="H3613" s="18">
        <v>176.56</v>
      </c>
      <c r="I3613" s="18">
        <v>3.7766844919999998</v>
      </c>
      <c r="J3613" s="18">
        <v>3.96</v>
      </c>
      <c r="K3613" s="18">
        <v>3.66</v>
      </c>
      <c r="L3613" s="22">
        <v>9</v>
      </c>
    </row>
    <row r="3614" spans="1:12">
      <c r="A3614">
        <v>4</v>
      </c>
      <c r="B3614" s="16" t="s">
        <v>59</v>
      </c>
      <c r="C3614" s="9">
        <v>45748</v>
      </c>
      <c r="D3614">
        <v>41</v>
      </c>
      <c r="E3614" s="16" t="s">
        <v>130</v>
      </c>
      <c r="F3614" s="16" t="s">
        <v>87</v>
      </c>
      <c r="G3614" s="22">
        <v>50.5</v>
      </c>
      <c r="H3614" s="18">
        <v>189.345</v>
      </c>
      <c r="I3614" s="18">
        <v>3.749405941</v>
      </c>
      <c r="J3614" s="18">
        <v>3.88</v>
      </c>
      <c r="K3614" s="18">
        <v>3.71</v>
      </c>
      <c r="L3614" s="22">
        <v>8</v>
      </c>
    </row>
    <row r="3615" spans="1:12">
      <c r="A3615">
        <v>4</v>
      </c>
      <c r="B3615" s="16" t="s">
        <v>59</v>
      </c>
      <c r="C3615" s="9">
        <v>45778</v>
      </c>
      <c r="D3615">
        <v>41</v>
      </c>
      <c r="E3615" s="16" t="s">
        <v>130</v>
      </c>
      <c r="F3615" s="16" t="s">
        <v>87</v>
      </c>
      <c r="G3615" s="22">
        <v>67.75</v>
      </c>
      <c r="H3615" s="18">
        <v>259.94</v>
      </c>
      <c r="I3615" s="18">
        <v>3.8367527680000002</v>
      </c>
      <c r="J3615" s="18">
        <v>3.9</v>
      </c>
      <c r="K3615" s="18">
        <v>3.81</v>
      </c>
      <c r="L3615" s="22">
        <v>9</v>
      </c>
    </row>
    <row r="3616" spans="1:12">
      <c r="A3616">
        <v>4</v>
      </c>
      <c r="B3616" s="16" t="s">
        <v>59</v>
      </c>
      <c r="C3616" s="9">
        <v>45809</v>
      </c>
      <c r="D3616">
        <v>41</v>
      </c>
      <c r="E3616" s="16" t="s">
        <v>130</v>
      </c>
      <c r="F3616" s="16" t="s">
        <v>87</v>
      </c>
      <c r="G3616" s="22">
        <v>84.25</v>
      </c>
      <c r="H3616" s="18">
        <v>324.08749999999998</v>
      </c>
      <c r="I3616" s="18">
        <v>3.8467359050000001</v>
      </c>
      <c r="J3616" s="18">
        <v>3.94</v>
      </c>
      <c r="K3616" s="18">
        <v>3.82</v>
      </c>
      <c r="L3616" s="22">
        <v>9</v>
      </c>
    </row>
    <row r="3617" spans="1:12">
      <c r="A3617">
        <v>4</v>
      </c>
      <c r="B3617" s="16" t="s">
        <v>59</v>
      </c>
      <c r="C3617" s="9">
        <v>45839</v>
      </c>
      <c r="D3617">
        <v>41</v>
      </c>
      <c r="E3617" s="16" t="s">
        <v>130</v>
      </c>
      <c r="F3617" s="16" t="s">
        <v>87</v>
      </c>
      <c r="G3617" s="22">
        <v>79.75</v>
      </c>
      <c r="H3617" s="18">
        <v>307.32249999999999</v>
      </c>
      <c r="I3617" s="18">
        <v>3.8535736680000001</v>
      </c>
      <c r="J3617" s="18">
        <v>3.88</v>
      </c>
      <c r="K3617" s="18">
        <v>3.81</v>
      </c>
      <c r="L3617" s="22">
        <v>9</v>
      </c>
    </row>
    <row r="3618" spans="1:12">
      <c r="A3618">
        <v>4</v>
      </c>
      <c r="B3618" s="16" t="s">
        <v>59</v>
      </c>
      <c r="C3618" s="9">
        <v>45870</v>
      </c>
      <c r="D3618">
        <v>41</v>
      </c>
      <c r="E3618" s="16" t="s">
        <v>130</v>
      </c>
      <c r="F3618" s="16" t="s">
        <v>87</v>
      </c>
      <c r="G3618" s="22">
        <v>68.75</v>
      </c>
      <c r="H3618" s="18">
        <v>265.78750000000002</v>
      </c>
      <c r="I3618" s="18">
        <v>3.8660000000000001</v>
      </c>
      <c r="J3618" s="18">
        <v>3.92</v>
      </c>
      <c r="K3618" s="18">
        <v>3.8</v>
      </c>
      <c r="L3618" s="22">
        <v>8</v>
      </c>
    </row>
    <row r="3619" spans="1:12">
      <c r="A3619">
        <v>4</v>
      </c>
      <c r="B3619" s="16" t="s">
        <v>59</v>
      </c>
      <c r="C3619" s="9">
        <v>45901</v>
      </c>
      <c r="D3619">
        <v>41</v>
      </c>
      <c r="E3619" s="16" t="s">
        <v>130</v>
      </c>
      <c r="F3619" s="16" t="s">
        <v>87</v>
      </c>
      <c r="G3619" s="22">
        <v>78.75</v>
      </c>
      <c r="H3619" s="18">
        <v>303.17</v>
      </c>
      <c r="I3619" s="18">
        <v>3.849777778</v>
      </c>
      <c r="J3619" s="18">
        <v>3.89</v>
      </c>
      <c r="K3619" s="18">
        <v>3.8</v>
      </c>
      <c r="L3619" s="22">
        <v>9</v>
      </c>
    </row>
    <row r="3620" spans="1:12">
      <c r="A3620">
        <v>4</v>
      </c>
      <c r="B3620" s="16" t="s">
        <v>59</v>
      </c>
      <c r="C3620" s="9">
        <v>45931</v>
      </c>
      <c r="D3620">
        <v>41</v>
      </c>
      <c r="E3620" s="16" t="s">
        <v>130</v>
      </c>
      <c r="F3620" s="16" t="s">
        <v>87</v>
      </c>
      <c r="G3620" s="22">
        <v>64.25</v>
      </c>
      <c r="H3620" s="18">
        <v>253.30500000000001</v>
      </c>
      <c r="I3620" s="18">
        <v>3.9424902720000001</v>
      </c>
      <c r="J3620" s="18">
        <v>4.17</v>
      </c>
      <c r="K3620" s="18">
        <v>3.82</v>
      </c>
      <c r="L3620" s="22">
        <v>9</v>
      </c>
    </row>
    <row r="3621" spans="1:12">
      <c r="A3621">
        <v>4</v>
      </c>
      <c r="B3621" s="16" t="s">
        <v>59</v>
      </c>
      <c r="C3621" s="9">
        <v>45962</v>
      </c>
      <c r="D3621">
        <v>41</v>
      </c>
      <c r="E3621" s="16" t="s">
        <v>130</v>
      </c>
      <c r="F3621" s="16" t="s">
        <v>87</v>
      </c>
      <c r="G3621" s="22">
        <v>54.5</v>
      </c>
      <c r="H3621" s="18">
        <v>213.16249999999999</v>
      </c>
      <c r="I3621" s="18">
        <v>3.911238532</v>
      </c>
      <c r="J3621" s="18">
        <v>3.95</v>
      </c>
      <c r="K3621" s="18">
        <v>3.87</v>
      </c>
      <c r="L3621" s="22">
        <v>8</v>
      </c>
    </row>
    <row r="3622" spans="1:12">
      <c r="A3622">
        <v>4</v>
      </c>
      <c r="B3622" s="16" t="s">
        <v>59</v>
      </c>
      <c r="C3622" s="9">
        <v>45992</v>
      </c>
      <c r="D3622">
        <v>41</v>
      </c>
      <c r="E3622" s="16" t="s">
        <v>130</v>
      </c>
      <c r="F3622" s="16" t="s">
        <v>87</v>
      </c>
      <c r="G3622" s="22">
        <v>64.5</v>
      </c>
      <c r="H3622" s="18">
        <v>252.965</v>
      </c>
      <c r="I3622" s="18">
        <v>3.9219379839999999</v>
      </c>
      <c r="J3622" s="18">
        <v>3.98</v>
      </c>
      <c r="K3622" s="18">
        <v>3.86</v>
      </c>
      <c r="L3622" s="22">
        <v>9</v>
      </c>
    </row>
    <row r="3623" spans="1:12">
      <c r="A3623">
        <v>4</v>
      </c>
      <c r="B3623" s="16" t="s">
        <v>59</v>
      </c>
      <c r="C3623" s="9">
        <v>46023</v>
      </c>
      <c r="D3623">
        <v>41</v>
      </c>
      <c r="E3623" s="16" t="s">
        <v>130</v>
      </c>
      <c r="F3623" s="16" t="s">
        <v>87</v>
      </c>
      <c r="G3623" s="22">
        <v>51.25</v>
      </c>
      <c r="H3623" s="18">
        <v>203.33500000000001</v>
      </c>
      <c r="I3623" s="18">
        <v>3.9675121949999999</v>
      </c>
      <c r="J3623" s="18">
        <v>4.05</v>
      </c>
      <c r="K3623" s="18">
        <v>3.91</v>
      </c>
      <c r="L3623" s="22">
        <v>9</v>
      </c>
    </row>
    <row r="3624" spans="1:12">
      <c r="A3624">
        <v>4</v>
      </c>
      <c r="B3624" s="16" t="s">
        <v>59</v>
      </c>
      <c r="C3624" s="9">
        <v>46054</v>
      </c>
      <c r="D3624">
        <v>41</v>
      </c>
      <c r="E3624" s="16" t="s">
        <v>130</v>
      </c>
      <c r="F3624" s="16" t="s">
        <v>87</v>
      </c>
      <c r="G3624" s="22">
        <v>43.5</v>
      </c>
      <c r="H3624" s="18">
        <v>172.3075</v>
      </c>
      <c r="I3624" s="18">
        <v>3.961091954</v>
      </c>
      <c r="J3624" s="18">
        <v>4.0199999999999996</v>
      </c>
      <c r="K3624" s="18">
        <v>3.92</v>
      </c>
      <c r="L3624" s="22">
        <v>8</v>
      </c>
    </row>
    <row r="3625" spans="1:12">
      <c r="A3625">
        <v>4</v>
      </c>
      <c r="B3625" s="16" t="s">
        <v>59</v>
      </c>
      <c r="C3625" s="9">
        <v>46082</v>
      </c>
      <c r="D3625">
        <v>41</v>
      </c>
      <c r="E3625" s="16" t="s">
        <v>130</v>
      </c>
      <c r="F3625" s="16" t="s">
        <v>87</v>
      </c>
      <c r="G3625" s="22">
        <v>52.25</v>
      </c>
      <c r="H3625" s="18">
        <v>207.50749999999999</v>
      </c>
      <c r="I3625" s="18">
        <v>3.971435407</v>
      </c>
      <c r="J3625" s="18">
        <v>4.07</v>
      </c>
      <c r="K3625" s="18">
        <v>3.93</v>
      </c>
      <c r="L3625" s="22">
        <v>9</v>
      </c>
    </row>
    <row r="3626" spans="1:12">
      <c r="A3626">
        <v>4</v>
      </c>
      <c r="B3626" s="16" t="s">
        <v>59</v>
      </c>
      <c r="C3626" s="9">
        <v>46113</v>
      </c>
      <c r="D3626">
        <v>41</v>
      </c>
      <c r="E3626" s="16" t="s">
        <v>130</v>
      </c>
      <c r="F3626" s="16" t="s">
        <v>87</v>
      </c>
      <c r="G3626" s="22">
        <v>52.25</v>
      </c>
      <c r="H3626" s="18">
        <v>209.4725</v>
      </c>
      <c r="I3626" s="18">
        <v>4.0090430619999999</v>
      </c>
      <c r="J3626" s="18">
        <v>4.07</v>
      </c>
      <c r="K3626" s="18">
        <v>3.93</v>
      </c>
      <c r="L3626" s="22">
        <v>9</v>
      </c>
    </row>
    <row r="3627" spans="1:12">
      <c r="A3627">
        <v>4</v>
      </c>
      <c r="B3627" s="16" t="s">
        <v>59</v>
      </c>
      <c r="C3627" s="9">
        <v>46143</v>
      </c>
      <c r="D3627">
        <v>41</v>
      </c>
      <c r="E3627" s="16" t="s">
        <v>130</v>
      </c>
      <c r="F3627" s="16" t="s">
        <v>87</v>
      </c>
      <c r="G3627" s="22">
        <v>69.5</v>
      </c>
      <c r="H3627" s="18">
        <v>281.23250000000002</v>
      </c>
      <c r="I3627" s="18">
        <v>4.0465107910000002</v>
      </c>
      <c r="J3627" s="18">
        <v>4.2300000000000004</v>
      </c>
      <c r="K3627" s="18">
        <v>3.99</v>
      </c>
      <c r="L3627" s="22">
        <v>8</v>
      </c>
    </row>
    <row r="3628" spans="1:12">
      <c r="A3628">
        <v>4</v>
      </c>
      <c r="B3628" s="16" t="s">
        <v>59</v>
      </c>
      <c r="C3628" s="9">
        <v>46174</v>
      </c>
      <c r="D3628">
        <v>41</v>
      </c>
      <c r="E3628" s="16" t="s">
        <v>130</v>
      </c>
      <c r="F3628" s="16" t="s">
        <v>87</v>
      </c>
      <c r="G3628" s="22">
        <v>78.25</v>
      </c>
      <c r="H3628" s="18">
        <v>317.7475</v>
      </c>
      <c r="I3628" s="18">
        <v>4.0606709270000003</v>
      </c>
      <c r="J3628" s="18">
        <v>4.16</v>
      </c>
      <c r="K3628" s="18">
        <v>4.0199999999999996</v>
      </c>
      <c r="L3628" s="22">
        <v>9</v>
      </c>
    </row>
    <row r="3629" spans="1:12">
      <c r="A3629">
        <v>4</v>
      </c>
      <c r="B3629" s="16" t="s">
        <v>59</v>
      </c>
      <c r="C3629" s="9">
        <v>46204</v>
      </c>
      <c r="D3629">
        <v>41</v>
      </c>
      <c r="E3629" s="16" t="s">
        <v>130</v>
      </c>
      <c r="F3629" s="16" t="s">
        <v>87</v>
      </c>
      <c r="G3629" s="22">
        <v>95.5</v>
      </c>
      <c r="H3629" s="18">
        <v>385.70249999999999</v>
      </c>
      <c r="I3629" s="18">
        <v>4.0387696340000003</v>
      </c>
      <c r="J3629" s="18">
        <v>4.0999999999999996</v>
      </c>
      <c r="K3629" s="18">
        <v>3.95</v>
      </c>
      <c r="L3629" s="22">
        <v>9</v>
      </c>
    </row>
    <row r="3630" spans="1:12">
      <c r="A3630">
        <v>4</v>
      </c>
      <c r="B3630" s="16" t="s">
        <v>59</v>
      </c>
      <c r="C3630" s="9">
        <v>46235</v>
      </c>
      <c r="D3630">
        <v>41</v>
      </c>
      <c r="E3630" s="16" t="s">
        <v>130</v>
      </c>
      <c r="F3630" s="16" t="s">
        <v>87</v>
      </c>
      <c r="G3630" s="22">
        <v>75.5</v>
      </c>
      <c r="H3630" s="18">
        <v>308.61</v>
      </c>
      <c r="I3630" s="18">
        <v>4.0875496690000004</v>
      </c>
      <c r="J3630" s="18">
        <v>4.1900000000000004</v>
      </c>
      <c r="K3630" s="18">
        <v>4.0199999999999996</v>
      </c>
      <c r="L3630" s="22">
        <v>9</v>
      </c>
    </row>
    <row r="3631" spans="1:12">
      <c r="A3631">
        <v>4</v>
      </c>
      <c r="B3631" s="16" t="s">
        <v>59</v>
      </c>
      <c r="C3631" s="9">
        <v>46266</v>
      </c>
      <c r="D3631">
        <v>41</v>
      </c>
      <c r="E3631" s="16" t="s">
        <v>130</v>
      </c>
      <c r="F3631" s="16" t="s">
        <v>87</v>
      </c>
      <c r="G3631" s="22">
        <v>71.75</v>
      </c>
      <c r="H3631" s="18">
        <v>296.49</v>
      </c>
      <c r="I3631" s="18">
        <v>4.1322648080000004</v>
      </c>
      <c r="J3631" s="18">
        <v>4.3600000000000003</v>
      </c>
      <c r="K3631" s="18">
        <v>4.03</v>
      </c>
      <c r="L3631" s="22">
        <v>8</v>
      </c>
    </row>
    <row r="3632" spans="1:12">
      <c r="A3632">
        <v>4</v>
      </c>
      <c r="B3632" s="16" t="s">
        <v>59</v>
      </c>
      <c r="C3632" s="9">
        <v>45689</v>
      </c>
      <c r="D3632">
        <v>42</v>
      </c>
      <c r="E3632" s="16" t="s">
        <v>131</v>
      </c>
      <c r="F3632" s="16" t="s">
        <v>83</v>
      </c>
      <c r="G3632" s="22">
        <v>35.5</v>
      </c>
      <c r="H3632" s="18">
        <v>167.11</v>
      </c>
      <c r="I3632" s="18">
        <v>4.7073239439999996</v>
      </c>
      <c r="J3632" s="18">
        <v>4.8499999999999996</v>
      </c>
      <c r="K3632" s="18">
        <v>4.6500000000000004</v>
      </c>
      <c r="L3632" s="22">
        <v>8</v>
      </c>
    </row>
    <row r="3633" spans="1:12">
      <c r="A3633">
        <v>4</v>
      </c>
      <c r="B3633" s="16" t="s">
        <v>59</v>
      </c>
      <c r="C3633" s="9">
        <v>45717</v>
      </c>
      <c r="D3633">
        <v>42</v>
      </c>
      <c r="E3633" s="16" t="s">
        <v>131</v>
      </c>
      <c r="F3633" s="16" t="s">
        <v>83</v>
      </c>
      <c r="G3633" s="22">
        <v>28.5</v>
      </c>
      <c r="H3633" s="18">
        <v>135.715</v>
      </c>
      <c r="I3633" s="18">
        <v>4.7619298250000002</v>
      </c>
      <c r="J3633" s="18">
        <v>4.8499999999999996</v>
      </c>
      <c r="K3633" s="18">
        <v>4.68</v>
      </c>
      <c r="L3633" s="22">
        <v>8</v>
      </c>
    </row>
    <row r="3634" spans="1:12">
      <c r="A3634">
        <v>4</v>
      </c>
      <c r="B3634" s="16" t="s">
        <v>59</v>
      </c>
      <c r="C3634" s="9">
        <v>45748</v>
      </c>
      <c r="D3634">
        <v>42</v>
      </c>
      <c r="E3634" s="16" t="s">
        <v>131</v>
      </c>
      <c r="F3634" s="16" t="s">
        <v>83</v>
      </c>
      <c r="G3634" s="22">
        <v>28.5</v>
      </c>
      <c r="H3634" s="18">
        <v>138.87</v>
      </c>
      <c r="I3634" s="18">
        <v>4.8726315790000001</v>
      </c>
      <c r="J3634" s="18">
        <v>5.21</v>
      </c>
      <c r="K3634" s="18">
        <v>4.79</v>
      </c>
      <c r="L3634" s="22">
        <v>9</v>
      </c>
    </row>
    <row r="3635" spans="1:12">
      <c r="A3635">
        <v>4</v>
      </c>
      <c r="B3635" s="16" t="s">
        <v>59</v>
      </c>
      <c r="C3635" s="9">
        <v>45778</v>
      </c>
      <c r="D3635">
        <v>42</v>
      </c>
      <c r="E3635" s="16" t="s">
        <v>131</v>
      </c>
      <c r="F3635" s="16" t="s">
        <v>83</v>
      </c>
      <c r="G3635" s="22">
        <v>32</v>
      </c>
      <c r="H3635" s="18">
        <v>154.715</v>
      </c>
      <c r="I3635" s="18">
        <v>4.8348437500000001</v>
      </c>
      <c r="J3635" s="18">
        <v>4.9000000000000004</v>
      </c>
      <c r="K3635" s="18">
        <v>4.76</v>
      </c>
      <c r="L3635" s="22">
        <v>9</v>
      </c>
    </row>
    <row r="3636" spans="1:12">
      <c r="A3636">
        <v>4</v>
      </c>
      <c r="B3636" s="16" t="s">
        <v>59</v>
      </c>
      <c r="C3636" s="9">
        <v>45809</v>
      </c>
      <c r="D3636">
        <v>42</v>
      </c>
      <c r="E3636" s="16" t="s">
        <v>131</v>
      </c>
      <c r="F3636" s="16" t="s">
        <v>83</v>
      </c>
      <c r="G3636" s="22">
        <v>33.5</v>
      </c>
      <c r="H3636" s="18">
        <v>161.19499999999999</v>
      </c>
      <c r="I3636" s="18">
        <v>4.8117910449999997</v>
      </c>
      <c r="J3636" s="18">
        <v>4.88</v>
      </c>
      <c r="K3636" s="18">
        <v>4.72</v>
      </c>
      <c r="L3636" s="22">
        <v>8</v>
      </c>
    </row>
    <row r="3637" spans="1:12">
      <c r="A3637">
        <v>4</v>
      </c>
      <c r="B3637" s="16" t="s">
        <v>59</v>
      </c>
      <c r="C3637" s="9">
        <v>45839</v>
      </c>
      <c r="D3637">
        <v>42</v>
      </c>
      <c r="E3637" s="16" t="s">
        <v>131</v>
      </c>
      <c r="F3637" s="16" t="s">
        <v>83</v>
      </c>
      <c r="G3637" s="22">
        <v>30</v>
      </c>
      <c r="H3637" s="18">
        <v>145.15</v>
      </c>
      <c r="I3637" s="18">
        <v>4.8383333329999996</v>
      </c>
      <c r="J3637" s="18">
        <v>4.91</v>
      </c>
      <c r="K3637" s="18">
        <v>4.78</v>
      </c>
      <c r="L3637" s="22">
        <v>9</v>
      </c>
    </row>
    <row r="3638" spans="1:12">
      <c r="A3638">
        <v>4</v>
      </c>
      <c r="B3638" s="16" t="s">
        <v>59</v>
      </c>
      <c r="C3638" s="9">
        <v>45870</v>
      </c>
      <c r="D3638">
        <v>42</v>
      </c>
      <c r="E3638" s="16" t="s">
        <v>131</v>
      </c>
      <c r="F3638" s="16" t="s">
        <v>83</v>
      </c>
      <c r="G3638" s="22">
        <v>36</v>
      </c>
      <c r="H3638" s="18">
        <v>174.38</v>
      </c>
      <c r="I3638" s="18">
        <v>4.8438888889999996</v>
      </c>
      <c r="J3638" s="18">
        <v>4.99</v>
      </c>
      <c r="K3638" s="18">
        <v>4.76</v>
      </c>
      <c r="L3638" s="22">
        <v>9</v>
      </c>
    </row>
    <row r="3639" spans="1:12">
      <c r="A3639">
        <v>4</v>
      </c>
      <c r="B3639" s="16" t="s">
        <v>59</v>
      </c>
      <c r="C3639" s="9">
        <v>45901</v>
      </c>
      <c r="D3639">
        <v>42</v>
      </c>
      <c r="E3639" s="16" t="s">
        <v>131</v>
      </c>
      <c r="F3639" s="16" t="s">
        <v>83</v>
      </c>
      <c r="G3639" s="22">
        <v>26.5</v>
      </c>
      <c r="H3639" s="18">
        <v>129.11500000000001</v>
      </c>
      <c r="I3639" s="18">
        <v>4.8722641510000004</v>
      </c>
      <c r="J3639" s="18">
        <v>5.08</v>
      </c>
      <c r="K3639" s="18">
        <v>4.7699999999999996</v>
      </c>
      <c r="L3639" s="22">
        <v>9</v>
      </c>
    </row>
    <row r="3640" spans="1:12">
      <c r="A3640">
        <v>4</v>
      </c>
      <c r="B3640" s="16" t="s">
        <v>59</v>
      </c>
      <c r="C3640" s="9">
        <v>45931</v>
      </c>
      <c r="D3640">
        <v>42</v>
      </c>
      <c r="E3640" s="16" t="s">
        <v>131</v>
      </c>
      <c r="F3640" s="16" t="s">
        <v>83</v>
      </c>
      <c r="G3640" s="22">
        <v>31</v>
      </c>
      <c r="H3640" s="18">
        <v>150.745</v>
      </c>
      <c r="I3640" s="18">
        <v>4.8627419349999998</v>
      </c>
      <c r="J3640" s="18">
        <v>4.9400000000000004</v>
      </c>
      <c r="K3640" s="18">
        <v>4.78</v>
      </c>
      <c r="L3640" s="22">
        <v>9</v>
      </c>
    </row>
    <row r="3641" spans="1:12">
      <c r="A3641">
        <v>4</v>
      </c>
      <c r="B3641" s="16" t="s">
        <v>59</v>
      </c>
      <c r="C3641" s="9">
        <v>45962</v>
      </c>
      <c r="D3641">
        <v>42</v>
      </c>
      <c r="E3641" s="16" t="s">
        <v>131</v>
      </c>
      <c r="F3641" s="16" t="s">
        <v>83</v>
      </c>
      <c r="G3641" s="22">
        <v>29.5</v>
      </c>
      <c r="H3641" s="18">
        <v>142.35499999999999</v>
      </c>
      <c r="I3641" s="18">
        <v>4.82559322</v>
      </c>
      <c r="J3641" s="18">
        <v>4.91</v>
      </c>
      <c r="K3641" s="18">
        <v>4.76</v>
      </c>
      <c r="L3641" s="22">
        <v>8</v>
      </c>
    </row>
    <row r="3642" spans="1:12">
      <c r="A3642">
        <v>4</v>
      </c>
      <c r="B3642" s="16" t="s">
        <v>59</v>
      </c>
      <c r="C3642" s="9">
        <v>45992</v>
      </c>
      <c r="D3642">
        <v>42</v>
      </c>
      <c r="E3642" s="16" t="s">
        <v>131</v>
      </c>
      <c r="F3642" s="16" t="s">
        <v>83</v>
      </c>
      <c r="G3642" s="22">
        <v>47.5</v>
      </c>
      <c r="H3642" s="18">
        <v>229.02500000000001</v>
      </c>
      <c r="I3642" s="18">
        <v>4.8215789469999999</v>
      </c>
      <c r="J3642" s="18">
        <v>5.01</v>
      </c>
      <c r="K3642" s="18">
        <v>4.72</v>
      </c>
      <c r="L3642" s="22">
        <v>9</v>
      </c>
    </row>
    <row r="3643" spans="1:12">
      <c r="A3643">
        <v>4</v>
      </c>
      <c r="B3643" s="16" t="s">
        <v>59</v>
      </c>
      <c r="C3643" s="9">
        <v>46023</v>
      </c>
      <c r="D3643">
        <v>42</v>
      </c>
      <c r="E3643" s="16" t="s">
        <v>131</v>
      </c>
      <c r="F3643" s="16" t="s">
        <v>83</v>
      </c>
      <c r="G3643" s="22">
        <v>28.5</v>
      </c>
      <c r="H3643" s="18">
        <v>138.55500000000001</v>
      </c>
      <c r="I3643" s="18">
        <v>4.8615789469999999</v>
      </c>
      <c r="J3643" s="18">
        <v>4.9400000000000004</v>
      </c>
      <c r="K3643" s="18">
        <v>4.8099999999999996</v>
      </c>
      <c r="L3643" s="22">
        <v>9</v>
      </c>
    </row>
    <row r="3644" spans="1:12">
      <c r="A3644">
        <v>4</v>
      </c>
      <c r="B3644" s="16" t="s">
        <v>59</v>
      </c>
      <c r="C3644" s="9">
        <v>46054</v>
      </c>
      <c r="D3644">
        <v>42</v>
      </c>
      <c r="E3644" s="16" t="s">
        <v>131</v>
      </c>
      <c r="F3644" s="16" t="s">
        <v>83</v>
      </c>
      <c r="G3644" s="22">
        <v>24.5</v>
      </c>
      <c r="H3644" s="18">
        <v>118.14</v>
      </c>
      <c r="I3644" s="18">
        <v>4.8220408160000003</v>
      </c>
      <c r="J3644" s="18">
        <v>4.93</v>
      </c>
      <c r="K3644" s="18">
        <v>4.7</v>
      </c>
      <c r="L3644" s="22">
        <v>8</v>
      </c>
    </row>
    <row r="3645" spans="1:12">
      <c r="A3645">
        <v>4</v>
      </c>
      <c r="B3645" s="16" t="s">
        <v>59</v>
      </c>
      <c r="C3645" s="9">
        <v>46082</v>
      </c>
      <c r="D3645">
        <v>42</v>
      </c>
      <c r="E3645" s="16" t="s">
        <v>131</v>
      </c>
      <c r="F3645" s="16" t="s">
        <v>83</v>
      </c>
      <c r="G3645" s="22">
        <v>27.5</v>
      </c>
      <c r="H3645" s="18">
        <v>134.47999999999999</v>
      </c>
      <c r="I3645" s="18">
        <v>4.8901818180000003</v>
      </c>
      <c r="J3645" s="18">
        <v>5.16</v>
      </c>
      <c r="K3645" s="18">
        <v>4.8</v>
      </c>
      <c r="L3645" s="22">
        <v>9</v>
      </c>
    </row>
    <row r="3646" spans="1:12">
      <c r="A3646">
        <v>4</v>
      </c>
      <c r="B3646" s="16" t="s">
        <v>59</v>
      </c>
      <c r="C3646" s="9">
        <v>46113</v>
      </c>
      <c r="D3646">
        <v>42</v>
      </c>
      <c r="E3646" s="16" t="s">
        <v>131</v>
      </c>
      <c r="F3646" s="16" t="s">
        <v>83</v>
      </c>
      <c r="G3646" s="22">
        <v>22</v>
      </c>
      <c r="H3646" s="18">
        <v>107.8</v>
      </c>
      <c r="I3646" s="18">
        <v>4.9000000000000004</v>
      </c>
      <c r="J3646" s="18">
        <v>4.99</v>
      </c>
      <c r="K3646" s="18">
        <v>4.79</v>
      </c>
      <c r="L3646" s="22">
        <v>8</v>
      </c>
    </row>
    <row r="3647" spans="1:12">
      <c r="A3647">
        <v>4</v>
      </c>
      <c r="B3647" s="16" t="s">
        <v>59</v>
      </c>
      <c r="C3647" s="9">
        <v>46143</v>
      </c>
      <c r="D3647">
        <v>42</v>
      </c>
      <c r="E3647" s="16" t="s">
        <v>131</v>
      </c>
      <c r="F3647" s="16" t="s">
        <v>83</v>
      </c>
      <c r="G3647" s="22">
        <v>29.5</v>
      </c>
      <c r="H3647" s="18">
        <v>144.57</v>
      </c>
      <c r="I3647" s="18">
        <v>4.9006779659999999</v>
      </c>
      <c r="J3647" s="18">
        <v>5.01</v>
      </c>
      <c r="K3647" s="18">
        <v>4.8099999999999996</v>
      </c>
      <c r="L3647" s="22">
        <v>9</v>
      </c>
    </row>
    <row r="3648" spans="1:12">
      <c r="A3648">
        <v>4</v>
      </c>
      <c r="B3648" s="16" t="s">
        <v>59</v>
      </c>
      <c r="C3648" s="9">
        <v>46174</v>
      </c>
      <c r="D3648">
        <v>42</v>
      </c>
      <c r="E3648" s="16" t="s">
        <v>131</v>
      </c>
      <c r="F3648" s="16" t="s">
        <v>83</v>
      </c>
      <c r="G3648" s="22">
        <v>26.5</v>
      </c>
      <c r="H3648" s="18">
        <v>131.285</v>
      </c>
      <c r="I3648" s="18">
        <v>4.9541509430000001</v>
      </c>
      <c r="J3648" s="18">
        <v>5.1100000000000003</v>
      </c>
      <c r="K3648" s="18">
        <v>4.9000000000000004</v>
      </c>
      <c r="L3648" s="22">
        <v>9</v>
      </c>
    </row>
    <row r="3649" spans="1:12">
      <c r="A3649">
        <v>4</v>
      </c>
      <c r="B3649" s="16" t="s">
        <v>59</v>
      </c>
      <c r="C3649" s="9">
        <v>46204</v>
      </c>
      <c r="D3649">
        <v>42</v>
      </c>
      <c r="E3649" s="16" t="s">
        <v>131</v>
      </c>
      <c r="F3649" s="16" t="s">
        <v>83</v>
      </c>
      <c r="G3649" s="22">
        <v>31</v>
      </c>
      <c r="H3649" s="18">
        <v>154.405</v>
      </c>
      <c r="I3649" s="18">
        <v>4.9808064520000004</v>
      </c>
      <c r="J3649" s="18">
        <v>5.0599999999999996</v>
      </c>
      <c r="K3649" s="18">
        <v>4.8899999999999997</v>
      </c>
      <c r="L3649" s="22">
        <v>9</v>
      </c>
    </row>
    <row r="3650" spans="1:12">
      <c r="A3650">
        <v>4</v>
      </c>
      <c r="B3650" s="16" t="s">
        <v>59</v>
      </c>
      <c r="C3650" s="9">
        <v>46235</v>
      </c>
      <c r="D3650">
        <v>42</v>
      </c>
      <c r="E3650" s="16" t="s">
        <v>131</v>
      </c>
      <c r="F3650" s="16" t="s">
        <v>83</v>
      </c>
      <c r="G3650" s="22">
        <v>22</v>
      </c>
      <c r="H3650" s="18">
        <v>109.69</v>
      </c>
      <c r="I3650" s="18">
        <v>4.9859090909999999</v>
      </c>
      <c r="J3650" s="18">
        <v>5.09</v>
      </c>
      <c r="K3650" s="18">
        <v>4.83</v>
      </c>
      <c r="L3650" s="22">
        <v>8</v>
      </c>
    </row>
    <row r="3651" spans="1:12">
      <c r="A3651">
        <v>4</v>
      </c>
      <c r="B3651" s="16" t="s">
        <v>59</v>
      </c>
      <c r="C3651" s="9">
        <v>46266</v>
      </c>
      <c r="D3651">
        <v>42</v>
      </c>
      <c r="E3651" s="16" t="s">
        <v>131</v>
      </c>
      <c r="F3651" s="16" t="s">
        <v>83</v>
      </c>
      <c r="G3651" s="22">
        <v>29</v>
      </c>
      <c r="H3651" s="18">
        <v>145.33000000000001</v>
      </c>
      <c r="I3651" s="18">
        <v>5.0113793099999997</v>
      </c>
      <c r="J3651" s="18">
        <v>5.09</v>
      </c>
      <c r="K3651" s="18">
        <v>4.9400000000000004</v>
      </c>
      <c r="L3651" s="22">
        <v>9</v>
      </c>
    </row>
    <row r="3652" spans="1:12">
      <c r="A3652">
        <v>4</v>
      </c>
      <c r="B3652" s="16" t="s">
        <v>59</v>
      </c>
      <c r="C3652" s="9">
        <v>45689</v>
      </c>
      <c r="D3652">
        <v>43</v>
      </c>
      <c r="E3652" s="16" t="s">
        <v>132</v>
      </c>
      <c r="F3652" s="16" t="s">
        <v>90</v>
      </c>
      <c r="G3652" s="22">
        <v>6</v>
      </c>
      <c r="H3652" s="18">
        <v>6.57</v>
      </c>
      <c r="I3652" s="18">
        <v>1.095</v>
      </c>
      <c r="J3652" s="18">
        <v>1.1100000000000001</v>
      </c>
      <c r="K3652" s="18">
        <v>1.08</v>
      </c>
      <c r="L3652" s="22">
        <v>2</v>
      </c>
    </row>
    <row r="3653" spans="1:12">
      <c r="A3653">
        <v>4</v>
      </c>
      <c r="B3653" s="16" t="s">
        <v>59</v>
      </c>
      <c r="C3653" s="9">
        <v>45717</v>
      </c>
      <c r="D3653">
        <v>43</v>
      </c>
      <c r="E3653" s="16" t="s">
        <v>132</v>
      </c>
      <c r="F3653" s="16" t="s">
        <v>90</v>
      </c>
      <c r="G3653" s="22">
        <v>3</v>
      </c>
      <c r="H3653" s="18">
        <v>3.27</v>
      </c>
      <c r="I3653" s="18">
        <v>1.0900000000000001</v>
      </c>
      <c r="J3653" s="18">
        <v>1.0900000000000001</v>
      </c>
      <c r="K3653" s="18">
        <v>1.0900000000000001</v>
      </c>
      <c r="L3653" s="22">
        <v>1</v>
      </c>
    </row>
    <row r="3654" spans="1:12">
      <c r="A3654">
        <v>4</v>
      </c>
      <c r="B3654" s="16" t="s">
        <v>59</v>
      </c>
      <c r="C3654" s="9">
        <v>45748</v>
      </c>
      <c r="D3654">
        <v>43</v>
      </c>
      <c r="E3654" s="16" t="s">
        <v>132</v>
      </c>
      <c r="F3654" s="16" t="s">
        <v>90</v>
      </c>
      <c r="G3654" s="22">
        <v>3</v>
      </c>
      <c r="H3654" s="18">
        <v>3.39</v>
      </c>
      <c r="I3654" s="18">
        <v>1.1299999999999999</v>
      </c>
      <c r="J3654" s="18">
        <v>1.1299999999999999</v>
      </c>
      <c r="K3654" s="18">
        <v>1.1299999999999999</v>
      </c>
      <c r="L3654" s="22">
        <v>1</v>
      </c>
    </row>
    <row r="3655" spans="1:12">
      <c r="A3655">
        <v>4</v>
      </c>
      <c r="B3655" s="16" t="s">
        <v>59</v>
      </c>
      <c r="C3655" s="9">
        <v>45778</v>
      </c>
      <c r="D3655">
        <v>43</v>
      </c>
      <c r="E3655" s="16" t="s">
        <v>132</v>
      </c>
      <c r="F3655" s="16" t="s">
        <v>90</v>
      </c>
      <c r="G3655" s="22">
        <v>6</v>
      </c>
      <c r="H3655" s="18">
        <v>6.78</v>
      </c>
      <c r="I3655" s="18">
        <v>1.1299999999999999</v>
      </c>
      <c r="J3655" s="18">
        <v>1.1399999999999999</v>
      </c>
      <c r="K3655" s="18">
        <v>1.1200000000000001</v>
      </c>
      <c r="L3655" s="22">
        <v>2</v>
      </c>
    </row>
    <row r="3656" spans="1:12">
      <c r="A3656">
        <v>4</v>
      </c>
      <c r="B3656" s="16" t="s">
        <v>59</v>
      </c>
      <c r="C3656" s="9">
        <v>45809</v>
      </c>
      <c r="D3656">
        <v>43</v>
      </c>
      <c r="E3656" s="16" t="s">
        <v>132</v>
      </c>
      <c r="F3656" s="16" t="s">
        <v>90</v>
      </c>
      <c r="G3656" s="22">
        <v>3</v>
      </c>
      <c r="H3656" s="18">
        <v>3.39</v>
      </c>
      <c r="I3656" s="18">
        <v>1.1299999999999999</v>
      </c>
      <c r="J3656" s="18">
        <v>1.1299999999999999</v>
      </c>
      <c r="K3656" s="18">
        <v>1.1299999999999999</v>
      </c>
      <c r="L3656" s="22">
        <v>1</v>
      </c>
    </row>
    <row r="3657" spans="1:12">
      <c r="A3657">
        <v>4</v>
      </c>
      <c r="B3657" s="16" t="s">
        <v>59</v>
      </c>
      <c r="C3657" s="9">
        <v>45839</v>
      </c>
      <c r="D3657">
        <v>43</v>
      </c>
      <c r="E3657" s="16" t="s">
        <v>132</v>
      </c>
      <c r="F3657" s="16" t="s">
        <v>90</v>
      </c>
      <c r="G3657" s="22">
        <v>3</v>
      </c>
      <c r="H3657" s="18">
        <v>3.3</v>
      </c>
      <c r="I3657" s="18">
        <v>1.1000000000000001</v>
      </c>
      <c r="J3657" s="18">
        <v>1.1000000000000001</v>
      </c>
      <c r="K3657" s="18">
        <v>1.1000000000000001</v>
      </c>
      <c r="L3657" s="22">
        <v>1</v>
      </c>
    </row>
    <row r="3658" spans="1:12">
      <c r="A3658">
        <v>4</v>
      </c>
      <c r="B3658" s="16" t="s">
        <v>59</v>
      </c>
      <c r="C3658" s="9">
        <v>45870</v>
      </c>
      <c r="D3658">
        <v>43</v>
      </c>
      <c r="E3658" s="16" t="s">
        <v>132</v>
      </c>
      <c r="F3658" s="16" t="s">
        <v>90</v>
      </c>
      <c r="G3658" s="22">
        <v>3</v>
      </c>
      <c r="H3658" s="18">
        <v>3.42</v>
      </c>
      <c r="I3658" s="18">
        <v>1.1399999999999999</v>
      </c>
      <c r="J3658" s="18">
        <v>1.1399999999999999</v>
      </c>
      <c r="K3658" s="18">
        <v>1.1399999999999999</v>
      </c>
      <c r="L3658" s="22">
        <v>1</v>
      </c>
    </row>
    <row r="3659" spans="1:12">
      <c r="A3659">
        <v>4</v>
      </c>
      <c r="B3659" s="16" t="s">
        <v>59</v>
      </c>
      <c r="C3659" s="9">
        <v>45901</v>
      </c>
      <c r="D3659">
        <v>43</v>
      </c>
      <c r="E3659" s="16" t="s">
        <v>132</v>
      </c>
      <c r="F3659" s="16" t="s">
        <v>90</v>
      </c>
      <c r="G3659" s="22">
        <v>3</v>
      </c>
      <c r="H3659" s="18">
        <v>3.39</v>
      </c>
      <c r="I3659" s="18">
        <v>1.1299999999999999</v>
      </c>
      <c r="J3659" s="18">
        <v>1.1299999999999999</v>
      </c>
      <c r="K3659" s="18">
        <v>1.1299999999999999</v>
      </c>
      <c r="L3659" s="22">
        <v>1</v>
      </c>
    </row>
    <row r="3660" spans="1:12">
      <c r="A3660">
        <v>4</v>
      </c>
      <c r="B3660" s="16" t="s">
        <v>59</v>
      </c>
      <c r="C3660" s="9">
        <v>45931</v>
      </c>
      <c r="D3660">
        <v>43</v>
      </c>
      <c r="E3660" s="16" t="s">
        <v>132</v>
      </c>
      <c r="F3660" s="16" t="s">
        <v>90</v>
      </c>
      <c r="G3660" s="22">
        <v>6</v>
      </c>
      <c r="H3660" s="18">
        <v>6.63</v>
      </c>
      <c r="I3660" s="18">
        <v>1.105</v>
      </c>
      <c r="J3660" s="18">
        <v>1.1100000000000001</v>
      </c>
      <c r="K3660" s="18">
        <v>1.1000000000000001</v>
      </c>
      <c r="L3660" s="22">
        <v>2</v>
      </c>
    </row>
    <row r="3661" spans="1:12">
      <c r="A3661">
        <v>4</v>
      </c>
      <c r="B3661" s="16" t="s">
        <v>59</v>
      </c>
      <c r="C3661" s="9">
        <v>45962</v>
      </c>
      <c r="D3661">
        <v>43</v>
      </c>
      <c r="E3661" s="16" t="s">
        <v>132</v>
      </c>
      <c r="F3661" s="16" t="s">
        <v>90</v>
      </c>
      <c r="G3661" s="22">
        <v>3</v>
      </c>
      <c r="H3661" s="18">
        <v>3.24</v>
      </c>
      <c r="I3661" s="18">
        <v>1.08</v>
      </c>
      <c r="J3661" s="18">
        <v>1.08</v>
      </c>
      <c r="K3661" s="18">
        <v>1.08</v>
      </c>
      <c r="L3661" s="22">
        <v>1</v>
      </c>
    </row>
    <row r="3662" spans="1:12">
      <c r="A3662">
        <v>4</v>
      </c>
      <c r="B3662" s="16" t="s">
        <v>59</v>
      </c>
      <c r="C3662" s="9">
        <v>45992</v>
      </c>
      <c r="D3662">
        <v>43</v>
      </c>
      <c r="E3662" s="16" t="s">
        <v>132</v>
      </c>
      <c r="F3662" s="16" t="s">
        <v>90</v>
      </c>
      <c r="G3662" s="22">
        <v>6</v>
      </c>
      <c r="H3662" s="18">
        <v>6.6</v>
      </c>
      <c r="I3662" s="18">
        <v>1.1000000000000001</v>
      </c>
      <c r="J3662" s="18">
        <v>1.1000000000000001</v>
      </c>
      <c r="K3662" s="18">
        <v>1.1000000000000001</v>
      </c>
      <c r="L3662" s="22">
        <v>2</v>
      </c>
    </row>
    <row r="3663" spans="1:12">
      <c r="A3663">
        <v>4</v>
      </c>
      <c r="B3663" s="16" t="s">
        <v>59</v>
      </c>
      <c r="C3663" s="9">
        <v>46023</v>
      </c>
      <c r="D3663">
        <v>43</v>
      </c>
      <c r="E3663" s="16" t="s">
        <v>132</v>
      </c>
      <c r="F3663" s="16" t="s">
        <v>90</v>
      </c>
      <c r="G3663" s="22">
        <v>3</v>
      </c>
      <c r="H3663" s="18">
        <v>3.36</v>
      </c>
      <c r="I3663" s="18">
        <v>1.1200000000000001</v>
      </c>
      <c r="J3663" s="18">
        <v>1.1200000000000001</v>
      </c>
      <c r="K3663" s="18">
        <v>1.1200000000000001</v>
      </c>
      <c r="L3663" s="22">
        <v>1</v>
      </c>
    </row>
    <row r="3664" spans="1:12">
      <c r="A3664">
        <v>4</v>
      </c>
      <c r="B3664" s="16" t="s">
        <v>59</v>
      </c>
      <c r="C3664" s="9">
        <v>46054</v>
      </c>
      <c r="D3664">
        <v>43</v>
      </c>
      <c r="E3664" s="16" t="s">
        <v>132</v>
      </c>
      <c r="F3664" s="16" t="s">
        <v>90</v>
      </c>
      <c r="G3664" s="22">
        <v>3</v>
      </c>
      <c r="H3664" s="18">
        <v>3.51</v>
      </c>
      <c r="I3664" s="18">
        <v>1.17</v>
      </c>
      <c r="J3664" s="18">
        <v>1.17</v>
      </c>
      <c r="K3664" s="18">
        <v>1.17</v>
      </c>
      <c r="L3664" s="22">
        <v>1</v>
      </c>
    </row>
    <row r="3665" spans="1:12">
      <c r="A3665">
        <v>4</v>
      </c>
      <c r="B3665" s="16" t="s">
        <v>59</v>
      </c>
      <c r="C3665" s="9">
        <v>46082</v>
      </c>
      <c r="D3665">
        <v>43</v>
      </c>
      <c r="E3665" s="16" t="s">
        <v>132</v>
      </c>
      <c r="F3665" s="16" t="s">
        <v>90</v>
      </c>
      <c r="G3665" s="22">
        <v>3</v>
      </c>
      <c r="H3665" s="18">
        <v>3.33</v>
      </c>
      <c r="I3665" s="18">
        <v>1.1100000000000001</v>
      </c>
      <c r="J3665" s="18">
        <v>1.1100000000000001</v>
      </c>
      <c r="K3665" s="18">
        <v>1.1100000000000001</v>
      </c>
      <c r="L3665" s="22">
        <v>1</v>
      </c>
    </row>
    <row r="3666" spans="1:12">
      <c r="A3666">
        <v>4</v>
      </c>
      <c r="B3666" s="16" t="s">
        <v>59</v>
      </c>
      <c r="C3666" s="9">
        <v>46113</v>
      </c>
      <c r="D3666">
        <v>43</v>
      </c>
      <c r="E3666" s="16" t="s">
        <v>132</v>
      </c>
      <c r="F3666" s="16" t="s">
        <v>90</v>
      </c>
      <c r="G3666" s="22">
        <v>3</v>
      </c>
      <c r="H3666" s="18">
        <v>3.39</v>
      </c>
      <c r="I3666" s="18">
        <v>1.1299999999999999</v>
      </c>
      <c r="J3666" s="18">
        <v>1.1299999999999999</v>
      </c>
      <c r="K3666" s="18">
        <v>1.1299999999999999</v>
      </c>
      <c r="L3666" s="22">
        <v>1</v>
      </c>
    </row>
    <row r="3667" spans="1:12">
      <c r="A3667">
        <v>4</v>
      </c>
      <c r="B3667" s="16" t="s">
        <v>59</v>
      </c>
      <c r="C3667" s="9">
        <v>46143</v>
      </c>
      <c r="D3667">
        <v>43</v>
      </c>
      <c r="E3667" s="16" t="s">
        <v>132</v>
      </c>
      <c r="F3667" s="16" t="s">
        <v>90</v>
      </c>
      <c r="G3667" s="22">
        <v>3</v>
      </c>
      <c r="H3667" s="18">
        <v>3.36</v>
      </c>
      <c r="I3667" s="18">
        <v>1.1200000000000001</v>
      </c>
      <c r="J3667" s="18">
        <v>1.1200000000000001</v>
      </c>
      <c r="K3667" s="18">
        <v>1.1200000000000001</v>
      </c>
      <c r="L3667" s="22">
        <v>1</v>
      </c>
    </row>
    <row r="3668" spans="1:12">
      <c r="A3668">
        <v>4</v>
      </c>
      <c r="B3668" s="16" t="s">
        <v>59</v>
      </c>
      <c r="C3668" s="9">
        <v>46174</v>
      </c>
      <c r="D3668">
        <v>43</v>
      </c>
      <c r="E3668" s="16" t="s">
        <v>132</v>
      </c>
      <c r="F3668" s="16" t="s">
        <v>90</v>
      </c>
      <c r="G3668" s="22">
        <v>3</v>
      </c>
      <c r="H3668" s="18">
        <v>3.21</v>
      </c>
      <c r="I3668" s="18">
        <v>1.07</v>
      </c>
      <c r="J3668" s="18">
        <v>1.07</v>
      </c>
      <c r="K3668" s="18">
        <v>1.07</v>
      </c>
      <c r="L3668" s="22">
        <v>1</v>
      </c>
    </row>
    <row r="3669" spans="1:12">
      <c r="A3669">
        <v>4</v>
      </c>
      <c r="B3669" s="16" t="s">
        <v>59</v>
      </c>
      <c r="C3669" s="9">
        <v>46204</v>
      </c>
      <c r="D3669">
        <v>43</v>
      </c>
      <c r="E3669" s="16" t="s">
        <v>132</v>
      </c>
      <c r="F3669" s="16" t="s">
        <v>90</v>
      </c>
      <c r="G3669" s="22">
        <v>3</v>
      </c>
      <c r="H3669" s="18">
        <v>3.24</v>
      </c>
      <c r="I3669" s="18">
        <v>1.08</v>
      </c>
      <c r="J3669" s="18">
        <v>1.08</v>
      </c>
      <c r="K3669" s="18">
        <v>1.08</v>
      </c>
      <c r="L3669" s="22">
        <v>1</v>
      </c>
    </row>
    <row r="3670" spans="1:12">
      <c r="A3670">
        <v>4</v>
      </c>
      <c r="B3670" s="16" t="s">
        <v>59</v>
      </c>
      <c r="C3670" s="9">
        <v>46235</v>
      </c>
      <c r="D3670">
        <v>43</v>
      </c>
      <c r="E3670" s="16" t="s">
        <v>132</v>
      </c>
      <c r="F3670" s="16" t="s">
        <v>90</v>
      </c>
      <c r="G3670" s="22">
        <v>3</v>
      </c>
      <c r="H3670" s="18">
        <v>3.27</v>
      </c>
      <c r="I3670" s="18">
        <v>1.0900000000000001</v>
      </c>
      <c r="J3670" s="18">
        <v>1.0900000000000001</v>
      </c>
      <c r="K3670" s="18">
        <v>1.0900000000000001</v>
      </c>
      <c r="L3670" s="22">
        <v>1</v>
      </c>
    </row>
    <row r="3671" spans="1:12">
      <c r="A3671">
        <v>4</v>
      </c>
      <c r="B3671" s="16" t="s">
        <v>59</v>
      </c>
      <c r="C3671" s="9">
        <v>46266</v>
      </c>
      <c r="D3671">
        <v>43</v>
      </c>
      <c r="E3671" s="16" t="s">
        <v>132</v>
      </c>
      <c r="F3671" s="16" t="s">
        <v>90</v>
      </c>
      <c r="G3671" s="22">
        <v>6</v>
      </c>
      <c r="H3671" s="18">
        <v>6.6</v>
      </c>
      <c r="I3671" s="18">
        <v>1.1000000000000001</v>
      </c>
      <c r="J3671" s="18">
        <v>1.1100000000000001</v>
      </c>
      <c r="K3671" s="18">
        <v>1.0900000000000001</v>
      </c>
      <c r="L3671" s="22">
        <v>2</v>
      </c>
    </row>
    <row r="3672" spans="1:12">
      <c r="A3672">
        <v>4</v>
      </c>
      <c r="B3672" s="16" t="s">
        <v>59</v>
      </c>
      <c r="C3672" s="9">
        <v>45689</v>
      </c>
      <c r="D3672">
        <v>44</v>
      </c>
      <c r="E3672" s="16" t="s">
        <v>133</v>
      </c>
      <c r="F3672" s="16" t="s">
        <v>90</v>
      </c>
      <c r="G3672" s="22">
        <v>7.5</v>
      </c>
      <c r="H3672" s="18">
        <v>128.8125</v>
      </c>
      <c r="I3672" s="18">
        <v>17.175000000000001</v>
      </c>
      <c r="J3672" s="18">
        <v>17.22</v>
      </c>
      <c r="K3672" s="18">
        <v>17.13</v>
      </c>
      <c r="L3672" s="22">
        <v>2</v>
      </c>
    </row>
    <row r="3673" spans="1:12">
      <c r="A3673">
        <v>4</v>
      </c>
      <c r="B3673" s="16" t="s">
        <v>59</v>
      </c>
      <c r="C3673" s="9">
        <v>45717</v>
      </c>
      <c r="D3673">
        <v>44</v>
      </c>
      <c r="E3673" s="16" t="s">
        <v>133</v>
      </c>
      <c r="F3673" s="16" t="s">
        <v>90</v>
      </c>
      <c r="G3673" s="22">
        <v>7.5</v>
      </c>
      <c r="H3673" s="18">
        <v>129.03749999999999</v>
      </c>
      <c r="I3673" s="18">
        <v>17.204999999999998</v>
      </c>
      <c r="J3673" s="18">
        <v>17.350000000000001</v>
      </c>
      <c r="K3673" s="18">
        <v>17.059999999999999</v>
      </c>
      <c r="L3673" s="22">
        <v>2</v>
      </c>
    </row>
    <row r="3674" spans="1:12">
      <c r="A3674">
        <v>4</v>
      </c>
      <c r="B3674" s="16" t="s">
        <v>59</v>
      </c>
      <c r="C3674" s="9">
        <v>45748</v>
      </c>
      <c r="D3674">
        <v>44</v>
      </c>
      <c r="E3674" s="16" t="s">
        <v>133</v>
      </c>
      <c r="F3674" s="16" t="s">
        <v>90</v>
      </c>
      <c r="G3674" s="22">
        <v>11.25</v>
      </c>
      <c r="H3674" s="18">
        <v>196.08750000000001</v>
      </c>
      <c r="I3674" s="18">
        <v>17.43</v>
      </c>
      <c r="J3674" s="18">
        <v>17.53</v>
      </c>
      <c r="K3674" s="18">
        <v>17.329999999999998</v>
      </c>
      <c r="L3674" s="22">
        <v>3</v>
      </c>
    </row>
    <row r="3675" spans="1:12">
      <c r="A3675">
        <v>4</v>
      </c>
      <c r="B3675" s="16" t="s">
        <v>59</v>
      </c>
      <c r="C3675" s="9">
        <v>45778</v>
      </c>
      <c r="D3675">
        <v>44</v>
      </c>
      <c r="E3675" s="16" t="s">
        <v>133</v>
      </c>
      <c r="F3675" s="16" t="s">
        <v>90</v>
      </c>
      <c r="G3675" s="22">
        <v>7.5</v>
      </c>
      <c r="H3675" s="18">
        <v>127.35</v>
      </c>
      <c r="I3675" s="18">
        <v>16.98</v>
      </c>
      <c r="J3675" s="18">
        <v>17.02</v>
      </c>
      <c r="K3675" s="18">
        <v>16.940000000000001</v>
      </c>
      <c r="L3675" s="22">
        <v>2</v>
      </c>
    </row>
    <row r="3676" spans="1:12">
      <c r="A3676">
        <v>4</v>
      </c>
      <c r="B3676" s="16" t="s">
        <v>59</v>
      </c>
      <c r="C3676" s="9">
        <v>45809</v>
      </c>
      <c r="D3676">
        <v>44</v>
      </c>
      <c r="E3676" s="16" t="s">
        <v>133</v>
      </c>
      <c r="F3676" s="16" t="s">
        <v>90</v>
      </c>
      <c r="G3676" s="22">
        <v>7.5</v>
      </c>
      <c r="H3676" s="18">
        <v>135.07499999999999</v>
      </c>
      <c r="I3676" s="18">
        <v>18.010000000000002</v>
      </c>
      <c r="J3676" s="18">
        <v>18.3</v>
      </c>
      <c r="K3676" s="18">
        <v>17.72</v>
      </c>
      <c r="L3676" s="22">
        <v>2</v>
      </c>
    </row>
    <row r="3677" spans="1:12">
      <c r="A3677">
        <v>4</v>
      </c>
      <c r="B3677" s="16" t="s">
        <v>59</v>
      </c>
      <c r="C3677" s="9">
        <v>45839</v>
      </c>
      <c r="D3677">
        <v>44</v>
      </c>
      <c r="E3677" s="16" t="s">
        <v>133</v>
      </c>
      <c r="F3677" s="16" t="s">
        <v>90</v>
      </c>
      <c r="G3677" s="22">
        <v>11.25</v>
      </c>
      <c r="H3677" s="18">
        <v>198.67500000000001</v>
      </c>
      <c r="I3677" s="18">
        <v>17.66</v>
      </c>
      <c r="J3677" s="18">
        <v>17.75</v>
      </c>
      <c r="K3677" s="18">
        <v>17.48</v>
      </c>
      <c r="L3677" s="22">
        <v>2</v>
      </c>
    </row>
    <row r="3678" spans="1:12">
      <c r="A3678">
        <v>4</v>
      </c>
      <c r="B3678" s="16" t="s">
        <v>59</v>
      </c>
      <c r="C3678" s="9">
        <v>45870</v>
      </c>
      <c r="D3678">
        <v>44</v>
      </c>
      <c r="E3678" s="16" t="s">
        <v>133</v>
      </c>
      <c r="F3678" s="16" t="s">
        <v>90</v>
      </c>
      <c r="G3678" s="22">
        <v>7.5</v>
      </c>
      <c r="H3678" s="18">
        <v>130.72499999999999</v>
      </c>
      <c r="I3678" s="18">
        <v>17.43</v>
      </c>
      <c r="J3678" s="18">
        <v>17.489999999999998</v>
      </c>
      <c r="K3678" s="18">
        <v>17.37</v>
      </c>
      <c r="L3678" s="22">
        <v>2</v>
      </c>
    </row>
    <row r="3679" spans="1:12">
      <c r="A3679">
        <v>4</v>
      </c>
      <c r="B3679" s="16" t="s">
        <v>59</v>
      </c>
      <c r="C3679" s="9">
        <v>45901</v>
      </c>
      <c r="D3679">
        <v>44</v>
      </c>
      <c r="E3679" s="16" t="s">
        <v>133</v>
      </c>
      <c r="F3679" s="16" t="s">
        <v>90</v>
      </c>
      <c r="G3679" s="22">
        <v>11.25</v>
      </c>
      <c r="H3679" s="18">
        <v>196.46250000000001</v>
      </c>
      <c r="I3679" s="18">
        <v>17.463333333000001</v>
      </c>
      <c r="J3679" s="18">
        <v>17.489999999999998</v>
      </c>
      <c r="K3679" s="18">
        <v>17.45</v>
      </c>
      <c r="L3679" s="22">
        <v>2</v>
      </c>
    </row>
    <row r="3680" spans="1:12">
      <c r="A3680">
        <v>4</v>
      </c>
      <c r="B3680" s="16" t="s">
        <v>59</v>
      </c>
      <c r="C3680" s="9">
        <v>45931</v>
      </c>
      <c r="D3680">
        <v>44</v>
      </c>
      <c r="E3680" s="16" t="s">
        <v>133</v>
      </c>
      <c r="F3680" s="16" t="s">
        <v>90</v>
      </c>
      <c r="G3680" s="22">
        <v>7.5</v>
      </c>
      <c r="H3680" s="18">
        <v>131.55000000000001</v>
      </c>
      <c r="I3680" s="18">
        <v>17.54</v>
      </c>
      <c r="J3680" s="18">
        <v>17.54</v>
      </c>
      <c r="K3680" s="18">
        <v>17.54</v>
      </c>
      <c r="L3680" s="22">
        <v>1</v>
      </c>
    </row>
    <row r="3681" spans="1:12">
      <c r="A3681">
        <v>4</v>
      </c>
      <c r="B3681" s="16" t="s">
        <v>59</v>
      </c>
      <c r="C3681" s="9">
        <v>45962</v>
      </c>
      <c r="D3681">
        <v>44</v>
      </c>
      <c r="E3681" s="16" t="s">
        <v>133</v>
      </c>
      <c r="F3681" s="16" t="s">
        <v>90</v>
      </c>
      <c r="G3681" s="22">
        <v>7.5</v>
      </c>
      <c r="H3681" s="18">
        <v>131.4375</v>
      </c>
      <c r="I3681" s="18">
        <v>17.524999999999999</v>
      </c>
      <c r="J3681" s="18">
        <v>17.61</v>
      </c>
      <c r="K3681" s="18">
        <v>17.440000000000001</v>
      </c>
      <c r="L3681" s="22">
        <v>2</v>
      </c>
    </row>
    <row r="3682" spans="1:12">
      <c r="A3682">
        <v>4</v>
      </c>
      <c r="B3682" s="16" t="s">
        <v>59</v>
      </c>
      <c r="C3682" s="9">
        <v>45992</v>
      </c>
      <c r="D3682">
        <v>44</v>
      </c>
      <c r="E3682" s="16" t="s">
        <v>133</v>
      </c>
      <c r="F3682" s="16" t="s">
        <v>90</v>
      </c>
      <c r="G3682" s="22">
        <v>11.25</v>
      </c>
      <c r="H3682" s="18">
        <v>197.7</v>
      </c>
      <c r="I3682" s="18">
        <v>17.573333333000001</v>
      </c>
      <c r="J3682" s="18">
        <v>17.62</v>
      </c>
      <c r="K3682" s="18">
        <v>17.55</v>
      </c>
      <c r="L3682" s="22">
        <v>2</v>
      </c>
    </row>
    <row r="3683" spans="1:12">
      <c r="A3683">
        <v>4</v>
      </c>
      <c r="B3683" s="16" t="s">
        <v>59</v>
      </c>
      <c r="C3683" s="9">
        <v>46023</v>
      </c>
      <c r="D3683">
        <v>44</v>
      </c>
      <c r="E3683" s="16" t="s">
        <v>133</v>
      </c>
      <c r="F3683" s="16" t="s">
        <v>90</v>
      </c>
      <c r="G3683" s="22">
        <v>3.75</v>
      </c>
      <c r="H3683" s="18">
        <v>67.05</v>
      </c>
      <c r="I3683" s="18">
        <v>17.88</v>
      </c>
      <c r="J3683" s="18">
        <v>17.88</v>
      </c>
      <c r="K3683" s="18">
        <v>17.88</v>
      </c>
      <c r="L3683" s="22">
        <v>1</v>
      </c>
    </row>
    <row r="3684" spans="1:12">
      <c r="A3684">
        <v>4</v>
      </c>
      <c r="B3684" s="16" t="s">
        <v>59</v>
      </c>
      <c r="C3684" s="9">
        <v>46054</v>
      </c>
      <c r="D3684">
        <v>44</v>
      </c>
      <c r="E3684" s="16" t="s">
        <v>133</v>
      </c>
      <c r="F3684" s="16" t="s">
        <v>90</v>
      </c>
      <c r="G3684" s="22">
        <v>3.75</v>
      </c>
      <c r="H3684" s="18">
        <v>65.400000000000006</v>
      </c>
      <c r="I3684" s="18">
        <v>17.440000000000001</v>
      </c>
      <c r="J3684" s="18">
        <v>17.440000000000001</v>
      </c>
      <c r="K3684" s="18">
        <v>17.440000000000001</v>
      </c>
      <c r="L3684" s="22">
        <v>1</v>
      </c>
    </row>
    <row r="3685" spans="1:12">
      <c r="A3685">
        <v>4</v>
      </c>
      <c r="B3685" s="16" t="s">
        <v>59</v>
      </c>
      <c r="C3685" s="9">
        <v>46082</v>
      </c>
      <c r="D3685">
        <v>44</v>
      </c>
      <c r="E3685" s="16" t="s">
        <v>133</v>
      </c>
      <c r="F3685" s="16" t="s">
        <v>90</v>
      </c>
      <c r="G3685" s="22">
        <v>11.25</v>
      </c>
      <c r="H3685" s="18">
        <v>197.58750000000001</v>
      </c>
      <c r="I3685" s="18">
        <v>17.563333332999999</v>
      </c>
      <c r="J3685" s="18">
        <v>17.75</v>
      </c>
      <c r="K3685" s="18">
        <v>17.45</v>
      </c>
      <c r="L3685" s="22">
        <v>3</v>
      </c>
    </row>
    <row r="3686" spans="1:12">
      <c r="A3686">
        <v>4</v>
      </c>
      <c r="B3686" s="16" t="s">
        <v>59</v>
      </c>
      <c r="C3686" s="9">
        <v>46113</v>
      </c>
      <c r="D3686">
        <v>44</v>
      </c>
      <c r="E3686" s="16" t="s">
        <v>133</v>
      </c>
      <c r="F3686" s="16" t="s">
        <v>90</v>
      </c>
      <c r="G3686" s="22">
        <v>7.5</v>
      </c>
      <c r="H3686" s="18">
        <v>132.48750000000001</v>
      </c>
      <c r="I3686" s="18">
        <v>17.664999999999999</v>
      </c>
      <c r="J3686" s="18">
        <v>17.82</v>
      </c>
      <c r="K3686" s="18">
        <v>17.510000000000002</v>
      </c>
      <c r="L3686" s="22">
        <v>2</v>
      </c>
    </row>
    <row r="3687" spans="1:12">
      <c r="A3687">
        <v>4</v>
      </c>
      <c r="B3687" s="16" t="s">
        <v>59</v>
      </c>
      <c r="C3687" s="9">
        <v>46143</v>
      </c>
      <c r="D3687">
        <v>44</v>
      </c>
      <c r="E3687" s="16" t="s">
        <v>133</v>
      </c>
      <c r="F3687" s="16" t="s">
        <v>90</v>
      </c>
      <c r="G3687" s="22">
        <v>7.5</v>
      </c>
      <c r="H3687" s="18">
        <v>132.75</v>
      </c>
      <c r="I3687" s="18">
        <v>17.7</v>
      </c>
      <c r="J3687" s="18">
        <v>18</v>
      </c>
      <c r="K3687" s="18">
        <v>17.399999999999999</v>
      </c>
      <c r="L3687" s="22">
        <v>2</v>
      </c>
    </row>
    <row r="3688" spans="1:12">
      <c r="A3688">
        <v>4</v>
      </c>
      <c r="B3688" s="16" t="s">
        <v>59</v>
      </c>
      <c r="C3688" s="9">
        <v>46174</v>
      </c>
      <c r="D3688">
        <v>44</v>
      </c>
      <c r="E3688" s="16" t="s">
        <v>133</v>
      </c>
      <c r="F3688" s="16" t="s">
        <v>90</v>
      </c>
      <c r="G3688" s="22">
        <v>11.25</v>
      </c>
      <c r="H3688" s="18">
        <v>198.26249999999999</v>
      </c>
      <c r="I3688" s="18">
        <v>17.623333333000001</v>
      </c>
      <c r="J3688" s="18">
        <v>17.649999999999999</v>
      </c>
      <c r="K3688" s="18">
        <v>17.61</v>
      </c>
      <c r="L3688" s="22">
        <v>2</v>
      </c>
    </row>
    <row r="3689" spans="1:12">
      <c r="A3689">
        <v>4</v>
      </c>
      <c r="B3689" s="16" t="s">
        <v>59</v>
      </c>
      <c r="C3689" s="9">
        <v>46204</v>
      </c>
      <c r="D3689">
        <v>44</v>
      </c>
      <c r="E3689" s="16" t="s">
        <v>133</v>
      </c>
      <c r="F3689" s="16" t="s">
        <v>90</v>
      </c>
      <c r="G3689" s="22">
        <v>7.5</v>
      </c>
      <c r="H3689" s="18">
        <v>135.52500000000001</v>
      </c>
      <c r="I3689" s="18">
        <v>18.07</v>
      </c>
      <c r="J3689" s="18">
        <v>18.16</v>
      </c>
      <c r="K3689" s="18">
        <v>17.98</v>
      </c>
      <c r="L3689" s="22">
        <v>2</v>
      </c>
    </row>
    <row r="3690" spans="1:12">
      <c r="A3690">
        <v>4</v>
      </c>
      <c r="B3690" s="16" t="s">
        <v>59</v>
      </c>
      <c r="C3690" s="9">
        <v>46235</v>
      </c>
      <c r="D3690">
        <v>44</v>
      </c>
      <c r="E3690" s="16" t="s">
        <v>133</v>
      </c>
      <c r="F3690" s="16" t="s">
        <v>90</v>
      </c>
      <c r="G3690" s="22">
        <v>7.5</v>
      </c>
      <c r="H3690" s="18">
        <v>135.41249999999999</v>
      </c>
      <c r="I3690" s="18">
        <v>18.055</v>
      </c>
      <c r="J3690" s="18">
        <v>18.27</v>
      </c>
      <c r="K3690" s="18">
        <v>17.84</v>
      </c>
      <c r="L3690" s="22">
        <v>2</v>
      </c>
    </row>
    <row r="3691" spans="1:12">
      <c r="A3691">
        <v>4</v>
      </c>
      <c r="B3691" s="16" t="s">
        <v>59</v>
      </c>
      <c r="C3691" s="9">
        <v>46266</v>
      </c>
      <c r="D3691">
        <v>44</v>
      </c>
      <c r="E3691" s="16" t="s">
        <v>133</v>
      </c>
      <c r="F3691" s="16" t="s">
        <v>90</v>
      </c>
      <c r="G3691" s="22">
        <v>11.25</v>
      </c>
      <c r="H3691" s="18">
        <v>203.28749999999999</v>
      </c>
      <c r="I3691" s="18">
        <v>18.07</v>
      </c>
      <c r="J3691" s="18">
        <v>18.489999999999998</v>
      </c>
      <c r="K3691" s="18">
        <v>17.77</v>
      </c>
      <c r="L3691" s="22">
        <v>3</v>
      </c>
    </row>
    <row r="3692" spans="1:12">
      <c r="A3692">
        <v>4</v>
      </c>
      <c r="B3692" s="16" t="s">
        <v>59</v>
      </c>
      <c r="C3692" s="9">
        <v>45689</v>
      </c>
      <c r="D3692">
        <v>45</v>
      </c>
      <c r="E3692" s="16" t="s">
        <v>134</v>
      </c>
      <c r="F3692" s="16" t="s">
        <v>83</v>
      </c>
      <c r="G3692" s="22">
        <v>15</v>
      </c>
      <c r="H3692" s="18">
        <v>14.612500000000001</v>
      </c>
      <c r="I3692" s="18">
        <v>0.97416666699999999</v>
      </c>
      <c r="J3692" s="18">
        <v>0.98</v>
      </c>
      <c r="K3692" s="18">
        <v>0.96</v>
      </c>
      <c r="L3692" s="22">
        <v>8</v>
      </c>
    </row>
    <row r="3693" spans="1:12">
      <c r="A3693">
        <v>4</v>
      </c>
      <c r="B3693" s="16" t="s">
        <v>59</v>
      </c>
      <c r="C3693" s="9">
        <v>45717</v>
      </c>
      <c r="D3693">
        <v>45</v>
      </c>
      <c r="E3693" s="16" t="s">
        <v>134</v>
      </c>
      <c r="F3693" s="16" t="s">
        <v>83</v>
      </c>
      <c r="G3693" s="22">
        <v>16.25</v>
      </c>
      <c r="H3693" s="18">
        <v>16.012499999999999</v>
      </c>
      <c r="I3693" s="18">
        <v>0.98538461499999996</v>
      </c>
      <c r="J3693" s="18">
        <v>1</v>
      </c>
      <c r="K3693" s="18">
        <v>0.96</v>
      </c>
      <c r="L3693" s="22">
        <v>8</v>
      </c>
    </row>
    <row r="3694" spans="1:12">
      <c r="A3694">
        <v>4</v>
      </c>
      <c r="B3694" s="16" t="s">
        <v>59</v>
      </c>
      <c r="C3694" s="9">
        <v>45748</v>
      </c>
      <c r="D3694">
        <v>45</v>
      </c>
      <c r="E3694" s="16" t="s">
        <v>134</v>
      </c>
      <c r="F3694" s="16" t="s">
        <v>83</v>
      </c>
      <c r="G3694" s="22">
        <v>20</v>
      </c>
      <c r="H3694" s="18">
        <v>19.762499999999999</v>
      </c>
      <c r="I3694" s="18">
        <v>0.98812500000000003</v>
      </c>
      <c r="J3694" s="18">
        <v>1.02</v>
      </c>
      <c r="K3694" s="18">
        <v>0.96</v>
      </c>
      <c r="L3694" s="22">
        <v>9</v>
      </c>
    </row>
    <row r="3695" spans="1:12">
      <c r="A3695">
        <v>4</v>
      </c>
      <c r="B3695" s="16" t="s">
        <v>59</v>
      </c>
      <c r="C3695" s="9">
        <v>45778</v>
      </c>
      <c r="D3695">
        <v>45</v>
      </c>
      <c r="E3695" s="16" t="s">
        <v>134</v>
      </c>
      <c r="F3695" s="16" t="s">
        <v>83</v>
      </c>
      <c r="G3695" s="22">
        <v>27.5</v>
      </c>
      <c r="H3695" s="18">
        <v>27.475000000000001</v>
      </c>
      <c r="I3695" s="18">
        <v>0.99909090899999997</v>
      </c>
      <c r="J3695" s="18">
        <v>1.01</v>
      </c>
      <c r="K3695" s="18">
        <v>0.98</v>
      </c>
      <c r="L3695" s="22">
        <v>9</v>
      </c>
    </row>
    <row r="3696" spans="1:12">
      <c r="A3696">
        <v>4</v>
      </c>
      <c r="B3696" s="16" t="s">
        <v>59</v>
      </c>
      <c r="C3696" s="9">
        <v>45809</v>
      </c>
      <c r="D3696">
        <v>45</v>
      </c>
      <c r="E3696" s="16" t="s">
        <v>134</v>
      </c>
      <c r="F3696" s="16" t="s">
        <v>83</v>
      </c>
      <c r="G3696" s="22">
        <v>26.25</v>
      </c>
      <c r="H3696" s="18">
        <v>26.524999999999999</v>
      </c>
      <c r="I3696" s="18">
        <v>1.0104761900000001</v>
      </c>
      <c r="J3696" s="18">
        <v>1.03</v>
      </c>
      <c r="K3696" s="18">
        <v>0.99</v>
      </c>
      <c r="L3696" s="22">
        <v>8</v>
      </c>
    </row>
    <row r="3697" spans="1:12">
      <c r="A3697">
        <v>4</v>
      </c>
      <c r="B3697" s="16" t="s">
        <v>59</v>
      </c>
      <c r="C3697" s="9">
        <v>45839</v>
      </c>
      <c r="D3697">
        <v>45</v>
      </c>
      <c r="E3697" s="16" t="s">
        <v>134</v>
      </c>
      <c r="F3697" s="16" t="s">
        <v>83</v>
      </c>
      <c r="G3697" s="22">
        <v>27.5</v>
      </c>
      <c r="H3697" s="18">
        <v>27.824999999999999</v>
      </c>
      <c r="I3697" s="18">
        <v>1.0118181820000001</v>
      </c>
      <c r="J3697" s="18">
        <v>1.02</v>
      </c>
      <c r="K3697" s="18">
        <v>1</v>
      </c>
      <c r="L3697" s="22">
        <v>9</v>
      </c>
    </row>
    <row r="3698" spans="1:12">
      <c r="A3698">
        <v>4</v>
      </c>
      <c r="B3698" s="16" t="s">
        <v>59</v>
      </c>
      <c r="C3698" s="9">
        <v>45870</v>
      </c>
      <c r="D3698">
        <v>45</v>
      </c>
      <c r="E3698" s="16" t="s">
        <v>134</v>
      </c>
      <c r="F3698" s="16" t="s">
        <v>83</v>
      </c>
      <c r="G3698" s="22">
        <v>28.75</v>
      </c>
      <c r="H3698" s="18">
        <v>29.012499999999999</v>
      </c>
      <c r="I3698" s="18">
        <v>1.0091304350000001</v>
      </c>
      <c r="J3698" s="18">
        <v>1.02</v>
      </c>
      <c r="K3698" s="18">
        <v>0.99</v>
      </c>
      <c r="L3698" s="22">
        <v>9</v>
      </c>
    </row>
    <row r="3699" spans="1:12">
      <c r="A3699">
        <v>4</v>
      </c>
      <c r="B3699" s="16" t="s">
        <v>59</v>
      </c>
      <c r="C3699" s="9">
        <v>45901</v>
      </c>
      <c r="D3699">
        <v>45</v>
      </c>
      <c r="E3699" s="16" t="s">
        <v>134</v>
      </c>
      <c r="F3699" s="16" t="s">
        <v>83</v>
      </c>
      <c r="G3699" s="22">
        <v>26.25</v>
      </c>
      <c r="H3699" s="18">
        <v>26.875</v>
      </c>
      <c r="I3699" s="18">
        <v>1.023809524</v>
      </c>
      <c r="J3699" s="18">
        <v>1.07</v>
      </c>
      <c r="K3699" s="18">
        <v>0.99</v>
      </c>
      <c r="L3699" s="22">
        <v>9</v>
      </c>
    </row>
    <row r="3700" spans="1:12">
      <c r="A3700">
        <v>4</v>
      </c>
      <c r="B3700" s="16" t="s">
        <v>59</v>
      </c>
      <c r="C3700" s="9">
        <v>45931</v>
      </c>
      <c r="D3700">
        <v>45</v>
      </c>
      <c r="E3700" s="16" t="s">
        <v>134</v>
      </c>
      <c r="F3700" s="16" t="s">
        <v>83</v>
      </c>
      <c r="G3700" s="22">
        <v>23.75</v>
      </c>
      <c r="H3700" s="18">
        <v>24.45</v>
      </c>
      <c r="I3700" s="18">
        <v>1.0294736840000001</v>
      </c>
      <c r="J3700" s="18">
        <v>1.05</v>
      </c>
      <c r="K3700" s="18">
        <v>1</v>
      </c>
      <c r="L3700" s="22">
        <v>9</v>
      </c>
    </row>
    <row r="3701" spans="1:12">
      <c r="A3701">
        <v>4</v>
      </c>
      <c r="B3701" s="16" t="s">
        <v>59</v>
      </c>
      <c r="C3701" s="9">
        <v>45962</v>
      </c>
      <c r="D3701">
        <v>45</v>
      </c>
      <c r="E3701" s="16" t="s">
        <v>134</v>
      </c>
      <c r="F3701" s="16" t="s">
        <v>83</v>
      </c>
      <c r="G3701" s="22">
        <v>18.75</v>
      </c>
      <c r="H3701" s="18">
        <v>19.112500000000001</v>
      </c>
      <c r="I3701" s="18">
        <v>1.0193333330000001</v>
      </c>
      <c r="J3701" s="18">
        <v>1.03</v>
      </c>
      <c r="K3701" s="18">
        <v>1</v>
      </c>
      <c r="L3701" s="22">
        <v>8</v>
      </c>
    </row>
    <row r="3702" spans="1:12">
      <c r="A3702">
        <v>4</v>
      </c>
      <c r="B3702" s="16" t="s">
        <v>59</v>
      </c>
      <c r="C3702" s="9">
        <v>45992</v>
      </c>
      <c r="D3702">
        <v>45</v>
      </c>
      <c r="E3702" s="16" t="s">
        <v>134</v>
      </c>
      <c r="F3702" s="16" t="s">
        <v>83</v>
      </c>
      <c r="G3702" s="22">
        <v>22.5</v>
      </c>
      <c r="H3702" s="18">
        <v>22.9</v>
      </c>
      <c r="I3702" s="18">
        <v>1.0177777779999999</v>
      </c>
      <c r="J3702" s="18">
        <v>1.03</v>
      </c>
      <c r="K3702" s="18">
        <v>1.01</v>
      </c>
      <c r="L3702" s="22">
        <v>9</v>
      </c>
    </row>
    <row r="3703" spans="1:12">
      <c r="A3703">
        <v>4</v>
      </c>
      <c r="B3703" s="16" t="s">
        <v>59</v>
      </c>
      <c r="C3703" s="9">
        <v>46023</v>
      </c>
      <c r="D3703">
        <v>45</v>
      </c>
      <c r="E3703" s="16" t="s">
        <v>134</v>
      </c>
      <c r="F3703" s="16" t="s">
        <v>83</v>
      </c>
      <c r="G3703" s="22">
        <v>17.5</v>
      </c>
      <c r="H3703" s="18">
        <v>18.074999999999999</v>
      </c>
      <c r="I3703" s="18">
        <v>1.032857143</v>
      </c>
      <c r="J3703" s="18">
        <v>1.05</v>
      </c>
      <c r="K3703" s="18">
        <v>1.02</v>
      </c>
      <c r="L3703" s="22">
        <v>9</v>
      </c>
    </row>
    <row r="3704" spans="1:12">
      <c r="A3704">
        <v>4</v>
      </c>
      <c r="B3704" s="16" t="s">
        <v>59</v>
      </c>
      <c r="C3704" s="9">
        <v>46054</v>
      </c>
      <c r="D3704">
        <v>45</v>
      </c>
      <c r="E3704" s="16" t="s">
        <v>134</v>
      </c>
      <c r="F3704" s="16" t="s">
        <v>83</v>
      </c>
      <c r="G3704" s="22">
        <v>17.5</v>
      </c>
      <c r="H3704" s="18">
        <v>18</v>
      </c>
      <c r="I3704" s="18">
        <v>1.0285714290000001</v>
      </c>
      <c r="J3704" s="18">
        <v>1.05</v>
      </c>
      <c r="K3704" s="18">
        <v>1.01</v>
      </c>
      <c r="L3704" s="22">
        <v>8</v>
      </c>
    </row>
    <row r="3705" spans="1:12">
      <c r="A3705">
        <v>4</v>
      </c>
      <c r="B3705" s="16" t="s">
        <v>59</v>
      </c>
      <c r="C3705" s="9">
        <v>46082</v>
      </c>
      <c r="D3705">
        <v>45</v>
      </c>
      <c r="E3705" s="16" t="s">
        <v>134</v>
      </c>
      <c r="F3705" s="16" t="s">
        <v>83</v>
      </c>
      <c r="G3705" s="22">
        <v>20</v>
      </c>
      <c r="H3705" s="18">
        <v>20.5625</v>
      </c>
      <c r="I3705" s="18">
        <v>1.028125</v>
      </c>
      <c r="J3705" s="18">
        <v>1.05</v>
      </c>
      <c r="K3705" s="18">
        <v>1.01</v>
      </c>
      <c r="L3705" s="22">
        <v>9</v>
      </c>
    </row>
    <row r="3706" spans="1:12">
      <c r="A3706">
        <v>4</v>
      </c>
      <c r="B3706" s="16" t="s">
        <v>59</v>
      </c>
      <c r="C3706" s="9">
        <v>46113</v>
      </c>
      <c r="D3706">
        <v>45</v>
      </c>
      <c r="E3706" s="16" t="s">
        <v>134</v>
      </c>
      <c r="F3706" s="16" t="s">
        <v>83</v>
      </c>
      <c r="G3706" s="22">
        <v>20</v>
      </c>
      <c r="H3706" s="18">
        <v>20.65</v>
      </c>
      <c r="I3706" s="18">
        <v>1.0325</v>
      </c>
      <c r="J3706" s="18">
        <v>1.05</v>
      </c>
      <c r="K3706" s="18">
        <v>1.02</v>
      </c>
      <c r="L3706" s="22">
        <v>8</v>
      </c>
    </row>
    <row r="3707" spans="1:12">
      <c r="A3707">
        <v>4</v>
      </c>
      <c r="B3707" s="16" t="s">
        <v>59</v>
      </c>
      <c r="C3707" s="9">
        <v>46143</v>
      </c>
      <c r="D3707">
        <v>45</v>
      </c>
      <c r="E3707" s="16" t="s">
        <v>134</v>
      </c>
      <c r="F3707" s="16" t="s">
        <v>83</v>
      </c>
      <c r="G3707" s="22">
        <v>28.75</v>
      </c>
      <c r="H3707" s="18">
        <v>29.837499999999999</v>
      </c>
      <c r="I3707" s="18">
        <v>1.037826087</v>
      </c>
      <c r="J3707" s="18">
        <v>1.05</v>
      </c>
      <c r="K3707" s="18">
        <v>1.02</v>
      </c>
      <c r="L3707" s="22">
        <v>9</v>
      </c>
    </row>
    <row r="3708" spans="1:12">
      <c r="A3708">
        <v>4</v>
      </c>
      <c r="B3708" s="16" t="s">
        <v>59</v>
      </c>
      <c r="C3708" s="9">
        <v>46174</v>
      </c>
      <c r="D3708">
        <v>45</v>
      </c>
      <c r="E3708" s="16" t="s">
        <v>134</v>
      </c>
      <c r="F3708" s="16" t="s">
        <v>83</v>
      </c>
      <c r="G3708" s="22">
        <v>26.25</v>
      </c>
      <c r="H3708" s="18">
        <v>27.25</v>
      </c>
      <c r="I3708" s="18">
        <v>1.0380952379999999</v>
      </c>
      <c r="J3708" s="18">
        <v>1.05</v>
      </c>
      <c r="K3708" s="18">
        <v>1.01</v>
      </c>
      <c r="L3708" s="22">
        <v>9</v>
      </c>
    </row>
    <row r="3709" spans="1:12">
      <c r="A3709">
        <v>4</v>
      </c>
      <c r="B3709" s="16" t="s">
        <v>59</v>
      </c>
      <c r="C3709" s="9">
        <v>46204</v>
      </c>
      <c r="D3709">
        <v>45</v>
      </c>
      <c r="E3709" s="16" t="s">
        <v>134</v>
      </c>
      <c r="F3709" s="16" t="s">
        <v>83</v>
      </c>
      <c r="G3709" s="22">
        <v>31.25</v>
      </c>
      <c r="H3709" s="18">
        <v>32.287500000000001</v>
      </c>
      <c r="I3709" s="18">
        <v>1.0331999999999999</v>
      </c>
      <c r="J3709" s="18">
        <v>1.05</v>
      </c>
      <c r="K3709" s="18">
        <v>1.02</v>
      </c>
      <c r="L3709" s="22">
        <v>9</v>
      </c>
    </row>
    <row r="3710" spans="1:12">
      <c r="A3710">
        <v>4</v>
      </c>
      <c r="B3710" s="16" t="s">
        <v>59</v>
      </c>
      <c r="C3710" s="9">
        <v>46235</v>
      </c>
      <c r="D3710">
        <v>45</v>
      </c>
      <c r="E3710" s="16" t="s">
        <v>134</v>
      </c>
      <c r="F3710" s="16" t="s">
        <v>83</v>
      </c>
      <c r="G3710" s="22">
        <v>25</v>
      </c>
      <c r="H3710" s="18">
        <v>25.625</v>
      </c>
      <c r="I3710" s="18">
        <v>1.0249999999999999</v>
      </c>
      <c r="J3710" s="18">
        <v>1.05</v>
      </c>
      <c r="K3710" s="18">
        <v>1</v>
      </c>
      <c r="L3710" s="22">
        <v>8</v>
      </c>
    </row>
    <row r="3711" spans="1:12">
      <c r="A3711">
        <v>4</v>
      </c>
      <c r="B3711" s="16" t="s">
        <v>59</v>
      </c>
      <c r="C3711" s="9">
        <v>46266</v>
      </c>
      <c r="D3711">
        <v>45</v>
      </c>
      <c r="E3711" s="16" t="s">
        <v>134</v>
      </c>
      <c r="F3711" s="16" t="s">
        <v>83</v>
      </c>
      <c r="G3711" s="22">
        <v>18.75</v>
      </c>
      <c r="H3711" s="18">
        <v>19.387499999999999</v>
      </c>
      <c r="I3711" s="18">
        <v>1.034</v>
      </c>
      <c r="J3711" s="18">
        <v>1.05</v>
      </c>
      <c r="K3711" s="18">
        <v>1.01</v>
      </c>
      <c r="L3711" s="22">
        <v>9</v>
      </c>
    </row>
    <row r="3712" spans="1:12">
      <c r="A3712">
        <v>4</v>
      </c>
      <c r="B3712" s="16" t="s">
        <v>59</v>
      </c>
      <c r="C3712" s="9">
        <v>45689</v>
      </c>
      <c r="D3712">
        <v>46</v>
      </c>
      <c r="E3712" s="16" t="s">
        <v>135</v>
      </c>
      <c r="F3712" s="16" t="s">
        <v>108</v>
      </c>
      <c r="G3712" s="22">
        <v>16</v>
      </c>
      <c r="H3712" s="18">
        <v>33.44</v>
      </c>
      <c r="I3712" s="18">
        <v>2.09</v>
      </c>
      <c r="J3712" s="18">
        <v>2.09</v>
      </c>
      <c r="K3712" s="18">
        <v>2.09</v>
      </c>
      <c r="L3712" s="22">
        <v>1</v>
      </c>
    </row>
    <row r="3713" spans="1:12">
      <c r="A3713">
        <v>4</v>
      </c>
      <c r="B3713" s="16" t="s">
        <v>59</v>
      </c>
      <c r="C3713" s="9">
        <v>45717</v>
      </c>
      <c r="D3713">
        <v>46</v>
      </c>
      <c r="E3713" s="16" t="s">
        <v>135</v>
      </c>
      <c r="F3713" s="16" t="s">
        <v>108</v>
      </c>
      <c r="G3713" s="22">
        <v>16</v>
      </c>
      <c r="H3713" s="18">
        <v>32.799999999999997</v>
      </c>
      <c r="I3713" s="18">
        <v>2.0499999999999998</v>
      </c>
      <c r="J3713" s="18">
        <v>2.0499999999999998</v>
      </c>
      <c r="K3713" s="18">
        <v>2.0499999999999998</v>
      </c>
      <c r="L3713" s="22">
        <v>1</v>
      </c>
    </row>
    <row r="3714" spans="1:12">
      <c r="A3714">
        <v>4</v>
      </c>
      <c r="B3714" s="16" t="s">
        <v>59</v>
      </c>
      <c r="C3714" s="9">
        <v>45748</v>
      </c>
      <c r="D3714">
        <v>46</v>
      </c>
      <c r="E3714" s="16" t="s">
        <v>135</v>
      </c>
      <c r="F3714" s="16" t="s">
        <v>108</v>
      </c>
      <c r="G3714" s="22">
        <v>32</v>
      </c>
      <c r="H3714" s="18">
        <v>67.52</v>
      </c>
      <c r="I3714" s="18">
        <v>2.11</v>
      </c>
      <c r="J3714" s="18">
        <v>2.11</v>
      </c>
      <c r="K3714" s="18">
        <v>2.11</v>
      </c>
      <c r="L3714" s="22">
        <v>1</v>
      </c>
    </row>
    <row r="3715" spans="1:12">
      <c r="A3715">
        <v>4</v>
      </c>
      <c r="B3715" s="16" t="s">
        <v>59</v>
      </c>
      <c r="C3715" s="9">
        <v>45778</v>
      </c>
      <c r="D3715">
        <v>46</v>
      </c>
      <c r="E3715" s="16" t="s">
        <v>135</v>
      </c>
      <c r="F3715" s="16" t="s">
        <v>108</v>
      </c>
      <c r="G3715" s="22">
        <v>16</v>
      </c>
      <c r="H3715" s="18">
        <v>34.08</v>
      </c>
      <c r="I3715" s="18">
        <v>2.13</v>
      </c>
      <c r="J3715" s="18">
        <v>2.13</v>
      </c>
      <c r="K3715" s="18">
        <v>2.13</v>
      </c>
      <c r="L3715" s="22">
        <v>1</v>
      </c>
    </row>
    <row r="3716" spans="1:12">
      <c r="A3716">
        <v>4</v>
      </c>
      <c r="B3716" s="16" t="s">
        <v>59</v>
      </c>
      <c r="C3716" s="9">
        <v>45809</v>
      </c>
      <c r="D3716">
        <v>46</v>
      </c>
      <c r="E3716" s="16" t="s">
        <v>135</v>
      </c>
      <c r="F3716" s="16" t="s">
        <v>108</v>
      </c>
      <c r="G3716" s="22">
        <v>32</v>
      </c>
      <c r="H3716" s="18">
        <v>68.16</v>
      </c>
      <c r="I3716" s="18">
        <v>2.13</v>
      </c>
      <c r="J3716" s="18">
        <v>2.13</v>
      </c>
      <c r="K3716" s="18">
        <v>2.13</v>
      </c>
      <c r="L3716" s="22">
        <v>1</v>
      </c>
    </row>
    <row r="3717" spans="1:12">
      <c r="A3717">
        <v>4</v>
      </c>
      <c r="B3717" s="16" t="s">
        <v>59</v>
      </c>
      <c r="C3717" s="9">
        <v>45839</v>
      </c>
      <c r="D3717">
        <v>46</v>
      </c>
      <c r="E3717" s="16" t="s">
        <v>135</v>
      </c>
      <c r="F3717" s="16" t="s">
        <v>108</v>
      </c>
      <c r="G3717" s="22">
        <v>64</v>
      </c>
      <c r="H3717" s="18">
        <v>132.47999999999999</v>
      </c>
      <c r="I3717" s="18">
        <v>2.0699999999999998</v>
      </c>
      <c r="J3717" s="18">
        <v>2.1</v>
      </c>
      <c r="K3717" s="18">
        <v>2.04</v>
      </c>
      <c r="L3717" s="22">
        <v>2</v>
      </c>
    </row>
    <row r="3718" spans="1:12">
      <c r="A3718">
        <v>4</v>
      </c>
      <c r="B3718" s="16" t="s">
        <v>59</v>
      </c>
      <c r="C3718" s="9">
        <v>45870</v>
      </c>
      <c r="D3718">
        <v>46</v>
      </c>
      <c r="E3718" s="16" t="s">
        <v>135</v>
      </c>
      <c r="F3718" s="16" t="s">
        <v>108</v>
      </c>
      <c r="G3718" s="22">
        <v>32</v>
      </c>
      <c r="H3718" s="18">
        <v>66.56</v>
      </c>
      <c r="I3718" s="18">
        <v>2.08</v>
      </c>
      <c r="J3718" s="18">
        <v>2.08</v>
      </c>
      <c r="K3718" s="18">
        <v>2.08</v>
      </c>
      <c r="L3718" s="22">
        <v>1</v>
      </c>
    </row>
    <row r="3719" spans="1:12">
      <c r="A3719">
        <v>4</v>
      </c>
      <c r="B3719" s="16" t="s">
        <v>59</v>
      </c>
      <c r="C3719" s="9">
        <v>45901</v>
      </c>
      <c r="D3719">
        <v>46</v>
      </c>
      <c r="E3719" s="16" t="s">
        <v>135</v>
      </c>
      <c r="F3719" s="16" t="s">
        <v>108</v>
      </c>
      <c r="G3719" s="22">
        <v>32</v>
      </c>
      <c r="H3719" s="18">
        <v>67.84</v>
      </c>
      <c r="I3719" s="18">
        <v>2.12</v>
      </c>
      <c r="J3719" s="18">
        <v>2.12</v>
      </c>
      <c r="K3719" s="18">
        <v>2.12</v>
      </c>
      <c r="L3719" s="22">
        <v>1</v>
      </c>
    </row>
    <row r="3720" spans="1:12">
      <c r="A3720">
        <v>4</v>
      </c>
      <c r="B3720" s="16" t="s">
        <v>59</v>
      </c>
      <c r="C3720" s="9">
        <v>45931</v>
      </c>
      <c r="D3720">
        <v>46</v>
      </c>
      <c r="E3720" s="16" t="s">
        <v>135</v>
      </c>
      <c r="F3720" s="16" t="s">
        <v>108</v>
      </c>
      <c r="G3720" s="22">
        <v>16</v>
      </c>
      <c r="H3720" s="18">
        <v>33.76</v>
      </c>
      <c r="I3720" s="18">
        <v>2.11</v>
      </c>
      <c r="J3720" s="18">
        <v>2.11</v>
      </c>
      <c r="K3720" s="18">
        <v>2.11</v>
      </c>
      <c r="L3720" s="22">
        <v>1</v>
      </c>
    </row>
    <row r="3721" spans="1:12">
      <c r="A3721">
        <v>4</v>
      </c>
      <c r="B3721" s="16" t="s">
        <v>59</v>
      </c>
      <c r="C3721" s="9">
        <v>45962</v>
      </c>
      <c r="D3721">
        <v>46</v>
      </c>
      <c r="E3721" s="16" t="s">
        <v>135</v>
      </c>
      <c r="F3721" s="16" t="s">
        <v>108</v>
      </c>
      <c r="G3721" s="22">
        <v>32</v>
      </c>
      <c r="H3721" s="18">
        <v>65.92</v>
      </c>
      <c r="I3721" s="18">
        <v>2.06</v>
      </c>
      <c r="J3721" s="18">
        <v>2.06</v>
      </c>
      <c r="K3721" s="18">
        <v>2.06</v>
      </c>
      <c r="L3721" s="22">
        <v>1</v>
      </c>
    </row>
    <row r="3722" spans="1:12">
      <c r="A3722">
        <v>4</v>
      </c>
      <c r="B3722" s="16" t="s">
        <v>59</v>
      </c>
      <c r="C3722" s="9">
        <v>45992</v>
      </c>
      <c r="D3722">
        <v>46</v>
      </c>
      <c r="E3722" s="16" t="s">
        <v>135</v>
      </c>
      <c r="F3722" s="16" t="s">
        <v>108</v>
      </c>
      <c r="G3722" s="22">
        <v>16</v>
      </c>
      <c r="H3722" s="18">
        <v>33.76</v>
      </c>
      <c r="I3722" s="18">
        <v>2.11</v>
      </c>
      <c r="J3722" s="18">
        <v>2.11</v>
      </c>
      <c r="K3722" s="18">
        <v>2.11</v>
      </c>
      <c r="L3722" s="22">
        <v>1</v>
      </c>
    </row>
    <row r="3723" spans="1:12">
      <c r="A3723">
        <v>4</v>
      </c>
      <c r="B3723" s="16" t="s">
        <v>59</v>
      </c>
      <c r="C3723" s="9">
        <v>46023</v>
      </c>
      <c r="D3723">
        <v>46</v>
      </c>
      <c r="E3723" s="16" t="s">
        <v>135</v>
      </c>
      <c r="F3723" s="16" t="s">
        <v>108</v>
      </c>
      <c r="G3723" s="22">
        <v>16</v>
      </c>
      <c r="H3723" s="18">
        <v>33.92</v>
      </c>
      <c r="I3723" s="18">
        <v>2.12</v>
      </c>
      <c r="J3723" s="18">
        <v>2.12</v>
      </c>
      <c r="K3723" s="18">
        <v>2.12</v>
      </c>
      <c r="L3723" s="22">
        <v>1</v>
      </c>
    </row>
    <row r="3724" spans="1:12">
      <c r="A3724">
        <v>4</v>
      </c>
      <c r="B3724" s="16" t="s">
        <v>59</v>
      </c>
      <c r="C3724" s="9">
        <v>46054</v>
      </c>
      <c r="D3724">
        <v>46</v>
      </c>
      <c r="E3724" s="16" t="s">
        <v>135</v>
      </c>
      <c r="F3724" s="16" t="s">
        <v>108</v>
      </c>
      <c r="G3724" s="22">
        <v>32</v>
      </c>
      <c r="H3724" s="18">
        <v>67.84</v>
      </c>
      <c r="I3724" s="18">
        <v>2.12</v>
      </c>
      <c r="J3724" s="18">
        <v>2.12</v>
      </c>
      <c r="K3724" s="18">
        <v>2.12</v>
      </c>
      <c r="L3724" s="22">
        <v>1</v>
      </c>
    </row>
    <row r="3725" spans="1:12">
      <c r="A3725">
        <v>4</v>
      </c>
      <c r="B3725" s="16" t="s">
        <v>59</v>
      </c>
      <c r="C3725" s="9">
        <v>46082</v>
      </c>
      <c r="D3725">
        <v>46</v>
      </c>
      <c r="E3725" s="16" t="s">
        <v>135</v>
      </c>
      <c r="F3725" s="16" t="s">
        <v>108</v>
      </c>
      <c r="G3725" s="22">
        <v>16</v>
      </c>
      <c r="H3725" s="18">
        <v>33.28</v>
      </c>
      <c r="I3725" s="18">
        <v>2.08</v>
      </c>
      <c r="J3725" s="18">
        <v>2.08</v>
      </c>
      <c r="K3725" s="18">
        <v>2.08</v>
      </c>
      <c r="L3725" s="22">
        <v>1</v>
      </c>
    </row>
    <row r="3726" spans="1:12">
      <c r="A3726">
        <v>4</v>
      </c>
      <c r="B3726" s="16" t="s">
        <v>59</v>
      </c>
      <c r="C3726" s="9">
        <v>46113</v>
      </c>
      <c r="D3726">
        <v>46</v>
      </c>
      <c r="E3726" s="16" t="s">
        <v>135</v>
      </c>
      <c r="F3726" s="16" t="s">
        <v>108</v>
      </c>
      <c r="G3726" s="22">
        <v>32</v>
      </c>
      <c r="H3726" s="18">
        <v>66.239999999999995</v>
      </c>
      <c r="I3726" s="18">
        <v>2.0699999999999998</v>
      </c>
      <c r="J3726" s="18">
        <v>2.0699999999999998</v>
      </c>
      <c r="K3726" s="18">
        <v>2.0699999999999998</v>
      </c>
      <c r="L3726" s="22">
        <v>1</v>
      </c>
    </row>
    <row r="3727" spans="1:12">
      <c r="A3727">
        <v>4</v>
      </c>
      <c r="B3727" s="16" t="s">
        <v>59</v>
      </c>
      <c r="C3727" s="9">
        <v>46143</v>
      </c>
      <c r="D3727">
        <v>46</v>
      </c>
      <c r="E3727" s="16" t="s">
        <v>135</v>
      </c>
      <c r="F3727" s="16" t="s">
        <v>108</v>
      </c>
      <c r="G3727" s="22">
        <v>32</v>
      </c>
      <c r="H3727" s="18">
        <v>66.88</v>
      </c>
      <c r="I3727" s="18">
        <v>2.09</v>
      </c>
      <c r="J3727" s="18">
        <v>2.09</v>
      </c>
      <c r="K3727" s="18">
        <v>2.09</v>
      </c>
      <c r="L3727" s="22">
        <v>1</v>
      </c>
    </row>
    <row r="3728" spans="1:12">
      <c r="A3728">
        <v>4</v>
      </c>
      <c r="B3728" s="16" t="s">
        <v>59</v>
      </c>
      <c r="C3728" s="9">
        <v>46174</v>
      </c>
      <c r="D3728">
        <v>46</v>
      </c>
      <c r="E3728" s="16" t="s">
        <v>135</v>
      </c>
      <c r="F3728" s="16" t="s">
        <v>108</v>
      </c>
      <c r="G3728" s="22">
        <v>64</v>
      </c>
      <c r="H3728" s="18">
        <v>135.36000000000001</v>
      </c>
      <c r="I3728" s="18">
        <v>2.1150000000000002</v>
      </c>
      <c r="J3728" s="18">
        <v>2.13</v>
      </c>
      <c r="K3728" s="18">
        <v>2.1</v>
      </c>
      <c r="L3728" s="22">
        <v>2</v>
      </c>
    </row>
    <row r="3729" spans="1:12">
      <c r="A3729">
        <v>4</v>
      </c>
      <c r="B3729" s="16" t="s">
        <v>59</v>
      </c>
      <c r="C3729" s="9">
        <v>46204</v>
      </c>
      <c r="D3729">
        <v>46</v>
      </c>
      <c r="E3729" s="16" t="s">
        <v>135</v>
      </c>
      <c r="F3729" s="16" t="s">
        <v>108</v>
      </c>
      <c r="G3729" s="22">
        <v>32</v>
      </c>
      <c r="H3729" s="18">
        <v>67.52</v>
      </c>
      <c r="I3729" s="18">
        <v>2.11</v>
      </c>
      <c r="J3729" s="18">
        <v>2.11</v>
      </c>
      <c r="K3729" s="18">
        <v>2.11</v>
      </c>
      <c r="L3729" s="22">
        <v>1</v>
      </c>
    </row>
    <row r="3730" spans="1:12">
      <c r="A3730">
        <v>4</v>
      </c>
      <c r="B3730" s="16" t="s">
        <v>59</v>
      </c>
      <c r="C3730" s="9">
        <v>46235</v>
      </c>
      <c r="D3730">
        <v>46</v>
      </c>
      <c r="E3730" s="16" t="s">
        <v>135</v>
      </c>
      <c r="F3730" s="16" t="s">
        <v>108</v>
      </c>
      <c r="G3730" s="22">
        <v>16</v>
      </c>
      <c r="H3730" s="18">
        <v>33.6</v>
      </c>
      <c r="I3730" s="18">
        <v>2.1</v>
      </c>
      <c r="J3730" s="18">
        <v>2.1</v>
      </c>
      <c r="K3730" s="18">
        <v>2.1</v>
      </c>
      <c r="L3730" s="22">
        <v>1</v>
      </c>
    </row>
    <row r="3731" spans="1:12">
      <c r="A3731">
        <v>4</v>
      </c>
      <c r="B3731" s="16" t="s">
        <v>59</v>
      </c>
      <c r="C3731" s="9">
        <v>46266</v>
      </c>
      <c r="D3731">
        <v>46</v>
      </c>
      <c r="E3731" s="16" t="s">
        <v>135</v>
      </c>
      <c r="F3731" s="16" t="s">
        <v>108</v>
      </c>
      <c r="G3731" s="22">
        <v>16</v>
      </c>
      <c r="H3731" s="18">
        <v>34.08</v>
      </c>
      <c r="I3731" s="18">
        <v>2.13</v>
      </c>
      <c r="J3731" s="18">
        <v>2.13</v>
      </c>
      <c r="K3731" s="18">
        <v>2.13</v>
      </c>
      <c r="L3731" s="22">
        <v>1</v>
      </c>
    </row>
    <row r="3732" spans="1:12">
      <c r="A3732">
        <v>4</v>
      </c>
      <c r="B3732" s="16" t="s">
        <v>59</v>
      </c>
      <c r="C3732" s="9">
        <v>45689</v>
      </c>
      <c r="D3732">
        <v>47</v>
      </c>
      <c r="E3732" s="16" t="s">
        <v>136</v>
      </c>
      <c r="F3732" s="16" t="s">
        <v>92</v>
      </c>
      <c r="G3732" s="22">
        <v>25.5</v>
      </c>
      <c r="H3732" s="18">
        <v>120.6825</v>
      </c>
      <c r="I3732" s="18">
        <v>4.7326470589999996</v>
      </c>
      <c r="J3732" s="18">
        <v>4.8099999999999996</v>
      </c>
      <c r="K3732" s="18">
        <v>4.6399999999999997</v>
      </c>
      <c r="L3732" s="22">
        <v>12</v>
      </c>
    </row>
    <row r="3733" spans="1:12">
      <c r="A3733">
        <v>4</v>
      </c>
      <c r="B3733" s="16" t="s">
        <v>59</v>
      </c>
      <c r="C3733" s="9">
        <v>45717</v>
      </c>
      <c r="D3733">
        <v>47</v>
      </c>
      <c r="E3733" s="16" t="s">
        <v>136</v>
      </c>
      <c r="F3733" s="16" t="s">
        <v>92</v>
      </c>
      <c r="G3733" s="22">
        <v>29.25</v>
      </c>
      <c r="H3733" s="18">
        <v>131.745</v>
      </c>
      <c r="I3733" s="18">
        <v>4.5041025640000001</v>
      </c>
      <c r="J3733" s="18">
        <v>4.57</v>
      </c>
      <c r="K3733" s="18">
        <v>4.43</v>
      </c>
      <c r="L3733" s="22">
        <v>13</v>
      </c>
    </row>
    <row r="3734" spans="1:12">
      <c r="A3734">
        <v>4</v>
      </c>
      <c r="B3734" s="16" t="s">
        <v>59</v>
      </c>
      <c r="C3734" s="9">
        <v>45748</v>
      </c>
      <c r="D3734">
        <v>47</v>
      </c>
      <c r="E3734" s="16" t="s">
        <v>136</v>
      </c>
      <c r="F3734" s="16" t="s">
        <v>92</v>
      </c>
      <c r="G3734" s="22">
        <v>45</v>
      </c>
      <c r="H3734" s="18">
        <v>185.625</v>
      </c>
      <c r="I3734" s="18">
        <v>4.125</v>
      </c>
      <c r="J3734" s="18">
        <v>4.2300000000000004</v>
      </c>
      <c r="K3734" s="18">
        <v>4.0199999999999996</v>
      </c>
      <c r="L3734" s="22">
        <v>13</v>
      </c>
    </row>
    <row r="3735" spans="1:12">
      <c r="A3735">
        <v>4</v>
      </c>
      <c r="B3735" s="16" t="s">
        <v>59</v>
      </c>
      <c r="C3735" s="9">
        <v>45778</v>
      </c>
      <c r="D3735">
        <v>47</v>
      </c>
      <c r="E3735" s="16" t="s">
        <v>136</v>
      </c>
      <c r="F3735" s="16" t="s">
        <v>92</v>
      </c>
      <c r="G3735" s="22">
        <v>49.5</v>
      </c>
      <c r="H3735" s="18">
        <v>184.83750000000001</v>
      </c>
      <c r="I3735" s="18">
        <v>3.7340909089999998</v>
      </c>
      <c r="J3735" s="18">
        <v>3.8</v>
      </c>
      <c r="K3735" s="18">
        <v>3.68</v>
      </c>
      <c r="L3735" s="22">
        <v>13</v>
      </c>
    </row>
    <row r="3736" spans="1:12">
      <c r="A3736">
        <v>4</v>
      </c>
      <c r="B3736" s="16" t="s">
        <v>59</v>
      </c>
      <c r="C3736" s="9">
        <v>45809</v>
      </c>
      <c r="D3736">
        <v>47</v>
      </c>
      <c r="E3736" s="16" t="s">
        <v>136</v>
      </c>
      <c r="F3736" s="16" t="s">
        <v>92</v>
      </c>
      <c r="G3736" s="22">
        <v>47.25</v>
      </c>
      <c r="H3736" s="18">
        <v>164.6925</v>
      </c>
      <c r="I3736" s="18">
        <v>3.485555556</v>
      </c>
      <c r="J3736" s="18">
        <v>3.68</v>
      </c>
      <c r="K3736" s="18">
        <v>3.35</v>
      </c>
      <c r="L3736" s="22">
        <v>13</v>
      </c>
    </row>
    <row r="3737" spans="1:12">
      <c r="A3737">
        <v>4</v>
      </c>
      <c r="B3737" s="16" t="s">
        <v>59</v>
      </c>
      <c r="C3737" s="9">
        <v>45839</v>
      </c>
      <c r="D3737">
        <v>47</v>
      </c>
      <c r="E3737" s="16" t="s">
        <v>136</v>
      </c>
      <c r="F3737" s="16" t="s">
        <v>92</v>
      </c>
      <c r="G3737" s="22">
        <v>42</v>
      </c>
      <c r="H3737" s="18">
        <v>142.16999999999999</v>
      </c>
      <c r="I3737" s="18">
        <v>3.3849999999999998</v>
      </c>
      <c r="J3737" s="18">
        <v>3.62</v>
      </c>
      <c r="K3737" s="18">
        <v>3.32</v>
      </c>
      <c r="L3737" s="22">
        <v>13</v>
      </c>
    </row>
    <row r="3738" spans="1:12">
      <c r="A3738">
        <v>4</v>
      </c>
      <c r="B3738" s="16" t="s">
        <v>59</v>
      </c>
      <c r="C3738" s="9">
        <v>45870</v>
      </c>
      <c r="D3738">
        <v>47</v>
      </c>
      <c r="E3738" s="16" t="s">
        <v>136</v>
      </c>
      <c r="F3738" s="16" t="s">
        <v>92</v>
      </c>
      <c r="G3738" s="22">
        <v>48</v>
      </c>
      <c r="H3738" s="18">
        <v>164.55</v>
      </c>
      <c r="I3738" s="18">
        <v>3.4281250000000001</v>
      </c>
      <c r="J3738" s="18">
        <v>3.49</v>
      </c>
      <c r="K3738" s="18">
        <v>3.37</v>
      </c>
      <c r="L3738" s="22">
        <v>13</v>
      </c>
    </row>
    <row r="3739" spans="1:12">
      <c r="A3739">
        <v>4</v>
      </c>
      <c r="B3739" s="16" t="s">
        <v>59</v>
      </c>
      <c r="C3739" s="9">
        <v>45901</v>
      </c>
      <c r="D3739">
        <v>47</v>
      </c>
      <c r="E3739" s="16" t="s">
        <v>136</v>
      </c>
      <c r="F3739" s="16" t="s">
        <v>92</v>
      </c>
      <c r="G3739" s="22">
        <v>52.5</v>
      </c>
      <c r="H3739" s="18">
        <v>194.29499999999999</v>
      </c>
      <c r="I3739" s="18">
        <v>3.7008571429999999</v>
      </c>
      <c r="J3739" s="18">
        <v>3.77</v>
      </c>
      <c r="K3739" s="18">
        <v>3.61</v>
      </c>
      <c r="L3739" s="22">
        <v>13</v>
      </c>
    </row>
    <row r="3740" spans="1:12">
      <c r="A3740">
        <v>4</v>
      </c>
      <c r="B3740" s="16" t="s">
        <v>59</v>
      </c>
      <c r="C3740" s="9">
        <v>45931</v>
      </c>
      <c r="D3740">
        <v>47</v>
      </c>
      <c r="E3740" s="16" t="s">
        <v>136</v>
      </c>
      <c r="F3740" s="16" t="s">
        <v>92</v>
      </c>
      <c r="G3740" s="22">
        <v>41.25</v>
      </c>
      <c r="H3740" s="18">
        <v>170.37</v>
      </c>
      <c r="I3740" s="18">
        <v>4.1301818179999996</v>
      </c>
      <c r="J3740" s="18">
        <v>4.2300000000000004</v>
      </c>
      <c r="K3740" s="18">
        <v>4.0599999999999996</v>
      </c>
      <c r="L3740" s="22">
        <v>14</v>
      </c>
    </row>
    <row r="3741" spans="1:12">
      <c r="A3741">
        <v>4</v>
      </c>
      <c r="B3741" s="16" t="s">
        <v>59</v>
      </c>
      <c r="C3741" s="9">
        <v>45962</v>
      </c>
      <c r="D3741">
        <v>47</v>
      </c>
      <c r="E3741" s="16" t="s">
        <v>136</v>
      </c>
      <c r="F3741" s="16" t="s">
        <v>92</v>
      </c>
      <c r="G3741" s="22">
        <v>30.75</v>
      </c>
      <c r="H3741" s="18">
        <v>138.4425</v>
      </c>
      <c r="I3741" s="18">
        <v>4.5021951219999998</v>
      </c>
      <c r="J3741" s="18">
        <v>4.5999999999999996</v>
      </c>
      <c r="K3741" s="18">
        <v>4.3899999999999997</v>
      </c>
      <c r="L3741" s="22">
        <v>12</v>
      </c>
    </row>
    <row r="3742" spans="1:12">
      <c r="A3742">
        <v>4</v>
      </c>
      <c r="B3742" s="16" t="s">
        <v>59</v>
      </c>
      <c r="C3742" s="9">
        <v>45992</v>
      </c>
      <c r="D3742">
        <v>47</v>
      </c>
      <c r="E3742" s="16" t="s">
        <v>136</v>
      </c>
      <c r="F3742" s="16" t="s">
        <v>92</v>
      </c>
      <c r="G3742" s="22">
        <v>41.25</v>
      </c>
      <c r="H3742" s="18">
        <v>196.88249999999999</v>
      </c>
      <c r="I3742" s="18">
        <v>4.7729090909999998</v>
      </c>
      <c r="J3742" s="18">
        <v>4.92</v>
      </c>
      <c r="K3742" s="18">
        <v>4.68</v>
      </c>
      <c r="L3742" s="22">
        <v>14</v>
      </c>
    </row>
    <row r="3743" spans="1:12">
      <c r="A3743">
        <v>4</v>
      </c>
      <c r="B3743" s="16" t="s">
        <v>59</v>
      </c>
      <c r="C3743" s="9">
        <v>46023</v>
      </c>
      <c r="D3743">
        <v>47</v>
      </c>
      <c r="E3743" s="16" t="s">
        <v>136</v>
      </c>
      <c r="F3743" s="16" t="s">
        <v>92</v>
      </c>
      <c r="G3743" s="22">
        <v>30.75</v>
      </c>
      <c r="H3743" s="18">
        <v>150.2475</v>
      </c>
      <c r="I3743" s="18">
        <v>4.8860975609999997</v>
      </c>
      <c r="J3743" s="18">
        <v>4.95</v>
      </c>
      <c r="K3743" s="18">
        <v>4.82</v>
      </c>
      <c r="L3743" s="22">
        <v>12</v>
      </c>
    </row>
    <row r="3744" spans="1:12">
      <c r="A3744">
        <v>4</v>
      </c>
      <c r="B3744" s="16" t="s">
        <v>59</v>
      </c>
      <c r="C3744" s="9">
        <v>46054</v>
      </c>
      <c r="D3744">
        <v>47</v>
      </c>
      <c r="E3744" s="16" t="s">
        <v>136</v>
      </c>
      <c r="F3744" s="16" t="s">
        <v>92</v>
      </c>
      <c r="G3744" s="22">
        <v>27</v>
      </c>
      <c r="H3744" s="18">
        <v>128.19749999999999</v>
      </c>
      <c r="I3744" s="18">
        <v>4.7480555559999997</v>
      </c>
      <c r="J3744" s="18">
        <v>4.8499999999999996</v>
      </c>
      <c r="K3744" s="18">
        <v>4.5999999999999996</v>
      </c>
      <c r="L3744" s="22">
        <v>11</v>
      </c>
    </row>
    <row r="3745" spans="1:12">
      <c r="A3745">
        <v>4</v>
      </c>
      <c r="B3745" s="16" t="s">
        <v>59</v>
      </c>
      <c r="C3745" s="9">
        <v>46082</v>
      </c>
      <c r="D3745">
        <v>47</v>
      </c>
      <c r="E3745" s="16" t="s">
        <v>136</v>
      </c>
      <c r="F3745" s="16" t="s">
        <v>92</v>
      </c>
      <c r="G3745" s="22">
        <v>34.5</v>
      </c>
      <c r="H3745" s="18">
        <v>154.86000000000001</v>
      </c>
      <c r="I3745" s="18">
        <v>4.4886956519999996</v>
      </c>
      <c r="J3745" s="18">
        <v>4.57</v>
      </c>
      <c r="K3745" s="18">
        <v>4.43</v>
      </c>
      <c r="L3745" s="22">
        <v>13</v>
      </c>
    </row>
    <row r="3746" spans="1:12">
      <c r="A3746">
        <v>4</v>
      </c>
      <c r="B3746" s="16" t="s">
        <v>59</v>
      </c>
      <c r="C3746" s="9">
        <v>46113</v>
      </c>
      <c r="D3746">
        <v>47</v>
      </c>
      <c r="E3746" s="16" t="s">
        <v>136</v>
      </c>
      <c r="F3746" s="16" t="s">
        <v>92</v>
      </c>
      <c r="G3746" s="22">
        <v>45</v>
      </c>
      <c r="H3746" s="18">
        <v>186.66749999999999</v>
      </c>
      <c r="I3746" s="18">
        <v>4.1481666669999999</v>
      </c>
      <c r="J3746" s="18">
        <v>4.22</v>
      </c>
      <c r="K3746" s="18">
        <v>4.09</v>
      </c>
      <c r="L3746" s="22">
        <v>13</v>
      </c>
    </row>
    <row r="3747" spans="1:12">
      <c r="A3747">
        <v>4</v>
      </c>
      <c r="B3747" s="16" t="s">
        <v>59</v>
      </c>
      <c r="C3747" s="9">
        <v>46143</v>
      </c>
      <c r="D3747">
        <v>47</v>
      </c>
      <c r="E3747" s="16" t="s">
        <v>136</v>
      </c>
      <c r="F3747" s="16" t="s">
        <v>92</v>
      </c>
      <c r="G3747" s="22">
        <v>50.25</v>
      </c>
      <c r="H3747" s="18">
        <v>190.1925</v>
      </c>
      <c r="I3747" s="18">
        <v>3.7849253730000001</v>
      </c>
      <c r="J3747" s="18">
        <v>3.86</v>
      </c>
      <c r="K3747" s="18">
        <v>3.73</v>
      </c>
      <c r="L3747" s="22">
        <v>13</v>
      </c>
    </row>
    <row r="3748" spans="1:12">
      <c r="A3748">
        <v>4</v>
      </c>
      <c r="B3748" s="16" t="s">
        <v>59</v>
      </c>
      <c r="C3748" s="9">
        <v>46174</v>
      </c>
      <c r="D3748">
        <v>47</v>
      </c>
      <c r="E3748" s="16" t="s">
        <v>136</v>
      </c>
      <c r="F3748" s="16" t="s">
        <v>92</v>
      </c>
      <c r="G3748" s="22">
        <v>44.25</v>
      </c>
      <c r="H3748" s="18">
        <v>154.9425</v>
      </c>
      <c r="I3748" s="18">
        <v>3.501525424</v>
      </c>
      <c r="J3748" s="18">
        <v>3.56</v>
      </c>
      <c r="K3748" s="18">
        <v>3.43</v>
      </c>
      <c r="L3748" s="22">
        <v>13</v>
      </c>
    </row>
    <row r="3749" spans="1:12">
      <c r="A3749">
        <v>4</v>
      </c>
      <c r="B3749" s="16" t="s">
        <v>59</v>
      </c>
      <c r="C3749" s="9">
        <v>46204</v>
      </c>
      <c r="D3749">
        <v>47</v>
      </c>
      <c r="E3749" s="16" t="s">
        <v>136</v>
      </c>
      <c r="F3749" s="16" t="s">
        <v>92</v>
      </c>
      <c r="G3749" s="22">
        <v>57.75</v>
      </c>
      <c r="H3749" s="18">
        <v>199.23750000000001</v>
      </c>
      <c r="I3749" s="18">
        <v>3.45</v>
      </c>
      <c r="J3749" s="18">
        <v>3.51</v>
      </c>
      <c r="K3749" s="18">
        <v>3.28</v>
      </c>
      <c r="L3749" s="22">
        <v>14</v>
      </c>
    </row>
    <row r="3750" spans="1:12">
      <c r="A3750">
        <v>4</v>
      </c>
      <c r="B3750" s="16" t="s">
        <v>59</v>
      </c>
      <c r="C3750" s="9">
        <v>46235</v>
      </c>
      <c r="D3750">
        <v>47</v>
      </c>
      <c r="E3750" s="16" t="s">
        <v>136</v>
      </c>
      <c r="F3750" s="16" t="s">
        <v>92</v>
      </c>
      <c r="G3750" s="22">
        <v>36.75</v>
      </c>
      <c r="H3750" s="18">
        <v>131.89500000000001</v>
      </c>
      <c r="I3750" s="18">
        <v>3.5889795919999998</v>
      </c>
      <c r="J3750" s="18">
        <v>3.63</v>
      </c>
      <c r="K3750" s="18">
        <v>3.52</v>
      </c>
      <c r="L3750" s="22">
        <v>13</v>
      </c>
    </row>
    <row r="3751" spans="1:12">
      <c r="A3751">
        <v>4</v>
      </c>
      <c r="B3751" s="16" t="s">
        <v>59</v>
      </c>
      <c r="C3751" s="9">
        <v>46266</v>
      </c>
      <c r="D3751">
        <v>47</v>
      </c>
      <c r="E3751" s="16" t="s">
        <v>136</v>
      </c>
      <c r="F3751" s="16" t="s">
        <v>92</v>
      </c>
      <c r="G3751" s="22">
        <v>42.75</v>
      </c>
      <c r="H3751" s="18">
        <v>164.52</v>
      </c>
      <c r="I3751" s="18">
        <v>3.848421053</v>
      </c>
      <c r="J3751" s="18">
        <v>3.98</v>
      </c>
      <c r="K3751" s="18">
        <v>3.76</v>
      </c>
      <c r="L3751" s="22">
        <v>13</v>
      </c>
    </row>
    <row r="3752" spans="1:12">
      <c r="A3752">
        <v>4</v>
      </c>
      <c r="B3752" s="16" t="s">
        <v>59</v>
      </c>
      <c r="C3752" s="9">
        <v>45689</v>
      </c>
      <c r="D3752">
        <v>48</v>
      </c>
      <c r="E3752" s="16" t="s">
        <v>137</v>
      </c>
      <c r="F3752" s="16" t="s">
        <v>138</v>
      </c>
      <c r="G3752" s="22">
        <v>5.75</v>
      </c>
      <c r="H3752" s="18">
        <v>73.402500000000003</v>
      </c>
      <c r="I3752" s="18">
        <v>12.765652174</v>
      </c>
      <c r="J3752" s="18">
        <v>13.03</v>
      </c>
      <c r="K3752" s="18">
        <v>12.59</v>
      </c>
      <c r="L3752" s="22">
        <v>8</v>
      </c>
    </row>
    <row r="3753" spans="1:12">
      <c r="A3753">
        <v>4</v>
      </c>
      <c r="B3753" s="16" t="s">
        <v>59</v>
      </c>
      <c r="C3753" s="9">
        <v>45717</v>
      </c>
      <c r="D3753">
        <v>48</v>
      </c>
      <c r="E3753" s="16" t="s">
        <v>137</v>
      </c>
      <c r="F3753" s="16" t="s">
        <v>138</v>
      </c>
      <c r="G3753" s="22">
        <v>7.25</v>
      </c>
      <c r="H3753" s="18">
        <v>92.35</v>
      </c>
      <c r="I3753" s="18">
        <v>12.737931034000001</v>
      </c>
      <c r="J3753" s="18">
        <v>13.09</v>
      </c>
      <c r="K3753" s="18">
        <v>12.5</v>
      </c>
      <c r="L3753" s="22">
        <v>8</v>
      </c>
    </row>
    <row r="3754" spans="1:12">
      <c r="A3754">
        <v>4</v>
      </c>
      <c r="B3754" s="16" t="s">
        <v>59</v>
      </c>
      <c r="C3754" s="9">
        <v>45748</v>
      </c>
      <c r="D3754">
        <v>48</v>
      </c>
      <c r="E3754" s="16" t="s">
        <v>137</v>
      </c>
      <c r="F3754" s="16" t="s">
        <v>138</v>
      </c>
      <c r="G3754" s="22">
        <v>9.5</v>
      </c>
      <c r="H3754" s="18">
        <v>121.11499999999999</v>
      </c>
      <c r="I3754" s="18">
        <v>12.748947368</v>
      </c>
      <c r="J3754" s="18">
        <v>12.96</v>
      </c>
      <c r="K3754" s="18">
        <v>12.52</v>
      </c>
      <c r="L3754" s="22">
        <v>9</v>
      </c>
    </row>
    <row r="3755" spans="1:12">
      <c r="A3755">
        <v>4</v>
      </c>
      <c r="B3755" s="16" t="s">
        <v>59</v>
      </c>
      <c r="C3755" s="9">
        <v>45778</v>
      </c>
      <c r="D3755">
        <v>48</v>
      </c>
      <c r="E3755" s="16" t="s">
        <v>137</v>
      </c>
      <c r="F3755" s="16" t="s">
        <v>138</v>
      </c>
      <c r="G3755" s="22">
        <v>15.75</v>
      </c>
      <c r="H3755" s="18">
        <v>199.93</v>
      </c>
      <c r="I3755" s="18">
        <v>12.693968254</v>
      </c>
      <c r="J3755" s="18">
        <v>13.15</v>
      </c>
      <c r="K3755" s="18">
        <v>12.35</v>
      </c>
      <c r="L3755" s="22">
        <v>9</v>
      </c>
    </row>
    <row r="3756" spans="1:12">
      <c r="A3756">
        <v>4</v>
      </c>
      <c r="B3756" s="16" t="s">
        <v>59</v>
      </c>
      <c r="C3756" s="9">
        <v>45809</v>
      </c>
      <c r="D3756">
        <v>48</v>
      </c>
      <c r="E3756" s="16" t="s">
        <v>137</v>
      </c>
      <c r="F3756" s="16" t="s">
        <v>138</v>
      </c>
      <c r="G3756" s="22">
        <v>17</v>
      </c>
      <c r="H3756" s="18">
        <v>216.77250000000001</v>
      </c>
      <c r="I3756" s="18">
        <v>12.751323529</v>
      </c>
      <c r="J3756" s="18">
        <v>12.95</v>
      </c>
      <c r="K3756" s="18">
        <v>12.58</v>
      </c>
      <c r="L3756" s="22">
        <v>8</v>
      </c>
    </row>
    <row r="3757" spans="1:12">
      <c r="A3757">
        <v>4</v>
      </c>
      <c r="B3757" s="16" t="s">
        <v>59</v>
      </c>
      <c r="C3757" s="9">
        <v>45839</v>
      </c>
      <c r="D3757">
        <v>48</v>
      </c>
      <c r="E3757" s="16" t="s">
        <v>137</v>
      </c>
      <c r="F3757" s="16" t="s">
        <v>138</v>
      </c>
      <c r="G3757" s="22">
        <v>17.75</v>
      </c>
      <c r="H3757" s="18">
        <v>227.76750000000001</v>
      </c>
      <c r="I3757" s="18">
        <v>12.831971831000001</v>
      </c>
      <c r="J3757" s="18">
        <v>13.48</v>
      </c>
      <c r="K3757" s="18">
        <v>12.54</v>
      </c>
      <c r="L3757" s="22">
        <v>9</v>
      </c>
    </row>
    <row r="3758" spans="1:12">
      <c r="A3758">
        <v>4</v>
      </c>
      <c r="B3758" s="16" t="s">
        <v>59</v>
      </c>
      <c r="C3758" s="9">
        <v>45870</v>
      </c>
      <c r="D3758">
        <v>48</v>
      </c>
      <c r="E3758" s="16" t="s">
        <v>137</v>
      </c>
      <c r="F3758" s="16" t="s">
        <v>138</v>
      </c>
      <c r="G3758" s="22">
        <v>16</v>
      </c>
      <c r="H3758" s="18">
        <v>205.67750000000001</v>
      </c>
      <c r="I3758" s="18">
        <v>12.854843750000001</v>
      </c>
      <c r="J3758" s="18">
        <v>13.03</v>
      </c>
      <c r="K3758" s="18">
        <v>12.64</v>
      </c>
      <c r="L3758" s="22">
        <v>9</v>
      </c>
    </row>
    <row r="3759" spans="1:12">
      <c r="A3759">
        <v>4</v>
      </c>
      <c r="B3759" s="16" t="s">
        <v>59</v>
      </c>
      <c r="C3759" s="9">
        <v>45901</v>
      </c>
      <c r="D3759">
        <v>48</v>
      </c>
      <c r="E3759" s="16" t="s">
        <v>137</v>
      </c>
      <c r="F3759" s="16" t="s">
        <v>138</v>
      </c>
      <c r="G3759" s="22">
        <v>15.5</v>
      </c>
      <c r="H3759" s="18">
        <v>200.6275</v>
      </c>
      <c r="I3759" s="18">
        <v>12.943709676999999</v>
      </c>
      <c r="J3759" s="18">
        <v>13.08</v>
      </c>
      <c r="K3759" s="18">
        <v>12.72</v>
      </c>
      <c r="L3759" s="22">
        <v>9</v>
      </c>
    </row>
    <row r="3760" spans="1:12">
      <c r="A3760">
        <v>4</v>
      </c>
      <c r="B3760" s="16" t="s">
        <v>59</v>
      </c>
      <c r="C3760" s="9">
        <v>45931</v>
      </c>
      <c r="D3760">
        <v>48</v>
      </c>
      <c r="E3760" s="16" t="s">
        <v>137</v>
      </c>
      <c r="F3760" s="16" t="s">
        <v>138</v>
      </c>
      <c r="G3760" s="22">
        <v>8.25</v>
      </c>
      <c r="H3760" s="18">
        <v>105.955</v>
      </c>
      <c r="I3760" s="18">
        <v>12.843030303000001</v>
      </c>
      <c r="J3760" s="18">
        <v>12.98</v>
      </c>
      <c r="K3760" s="18">
        <v>12.64</v>
      </c>
      <c r="L3760" s="22">
        <v>9</v>
      </c>
    </row>
    <row r="3761" spans="1:12">
      <c r="A3761">
        <v>4</v>
      </c>
      <c r="B3761" s="16" t="s">
        <v>59</v>
      </c>
      <c r="C3761" s="9">
        <v>45962</v>
      </c>
      <c r="D3761">
        <v>48</v>
      </c>
      <c r="E3761" s="16" t="s">
        <v>137</v>
      </c>
      <c r="F3761" s="16" t="s">
        <v>138</v>
      </c>
      <c r="G3761" s="22">
        <v>6</v>
      </c>
      <c r="H3761" s="18">
        <v>81.185000000000002</v>
      </c>
      <c r="I3761" s="18">
        <v>13.530833333</v>
      </c>
      <c r="J3761" s="18">
        <v>14.38</v>
      </c>
      <c r="K3761" s="18">
        <v>12.8</v>
      </c>
      <c r="L3761" s="22">
        <v>7</v>
      </c>
    </row>
    <row r="3762" spans="1:12">
      <c r="A3762">
        <v>4</v>
      </c>
      <c r="B3762" s="16" t="s">
        <v>59</v>
      </c>
      <c r="C3762" s="9">
        <v>45992</v>
      </c>
      <c r="D3762">
        <v>48</v>
      </c>
      <c r="E3762" s="16" t="s">
        <v>137</v>
      </c>
      <c r="F3762" s="16" t="s">
        <v>138</v>
      </c>
      <c r="G3762" s="22">
        <v>7.5</v>
      </c>
      <c r="H3762" s="18">
        <v>107.9025</v>
      </c>
      <c r="I3762" s="18">
        <v>14.387</v>
      </c>
      <c r="J3762" s="18">
        <v>14.55</v>
      </c>
      <c r="K3762" s="18">
        <v>14.2</v>
      </c>
      <c r="L3762" s="22">
        <v>9</v>
      </c>
    </row>
    <row r="3763" spans="1:12">
      <c r="A3763">
        <v>4</v>
      </c>
      <c r="B3763" s="16" t="s">
        <v>59</v>
      </c>
      <c r="C3763" s="9">
        <v>46023</v>
      </c>
      <c r="D3763">
        <v>48</v>
      </c>
      <c r="E3763" s="16" t="s">
        <v>137</v>
      </c>
      <c r="F3763" s="16" t="s">
        <v>138</v>
      </c>
      <c r="G3763" s="22">
        <v>5</v>
      </c>
      <c r="H3763" s="18">
        <v>64.557500000000005</v>
      </c>
      <c r="I3763" s="18">
        <v>12.9115</v>
      </c>
      <c r="J3763" s="18">
        <v>13.05</v>
      </c>
      <c r="K3763" s="18">
        <v>12.69</v>
      </c>
      <c r="L3763" s="22">
        <v>8</v>
      </c>
    </row>
    <row r="3764" spans="1:12">
      <c r="A3764">
        <v>4</v>
      </c>
      <c r="B3764" s="16" t="s">
        <v>59</v>
      </c>
      <c r="C3764" s="9">
        <v>46054</v>
      </c>
      <c r="D3764">
        <v>48</v>
      </c>
      <c r="E3764" s="16" t="s">
        <v>137</v>
      </c>
      <c r="F3764" s="16" t="s">
        <v>138</v>
      </c>
      <c r="G3764" s="22">
        <v>6</v>
      </c>
      <c r="H3764" s="18">
        <v>78.237499999999997</v>
      </c>
      <c r="I3764" s="18">
        <v>13.039583332999999</v>
      </c>
      <c r="J3764" s="18">
        <v>13.56</v>
      </c>
      <c r="K3764" s="18">
        <v>12.75</v>
      </c>
      <c r="L3764" s="22">
        <v>8</v>
      </c>
    </row>
    <row r="3765" spans="1:12">
      <c r="A3765">
        <v>4</v>
      </c>
      <c r="B3765" s="16" t="s">
        <v>59</v>
      </c>
      <c r="C3765" s="9">
        <v>46082</v>
      </c>
      <c r="D3765">
        <v>48</v>
      </c>
      <c r="E3765" s="16" t="s">
        <v>137</v>
      </c>
      <c r="F3765" s="16" t="s">
        <v>138</v>
      </c>
      <c r="G3765" s="22">
        <v>7.25</v>
      </c>
      <c r="H3765" s="18">
        <v>93.367500000000007</v>
      </c>
      <c r="I3765" s="18">
        <v>12.878275862000001</v>
      </c>
      <c r="J3765" s="18">
        <v>13.1</v>
      </c>
      <c r="K3765" s="18">
        <v>12.65</v>
      </c>
      <c r="L3765" s="22">
        <v>9</v>
      </c>
    </row>
    <row r="3766" spans="1:12">
      <c r="A3766">
        <v>4</v>
      </c>
      <c r="B3766" s="16" t="s">
        <v>59</v>
      </c>
      <c r="C3766" s="9">
        <v>46113</v>
      </c>
      <c r="D3766">
        <v>48</v>
      </c>
      <c r="E3766" s="16" t="s">
        <v>137</v>
      </c>
      <c r="F3766" s="16" t="s">
        <v>138</v>
      </c>
      <c r="G3766" s="22">
        <v>8.5</v>
      </c>
      <c r="H3766" s="18">
        <v>110.27500000000001</v>
      </c>
      <c r="I3766" s="18">
        <v>12.973529412</v>
      </c>
      <c r="J3766" s="18">
        <v>13.18</v>
      </c>
      <c r="K3766" s="18">
        <v>12.79</v>
      </c>
      <c r="L3766" s="22">
        <v>8</v>
      </c>
    </row>
    <row r="3767" spans="1:12">
      <c r="A3767">
        <v>4</v>
      </c>
      <c r="B3767" s="16" t="s">
        <v>59</v>
      </c>
      <c r="C3767" s="9">
        <v>46143</v>
      </c>
      <c r="D3767">
        <v>48</v>
      </c>
      <c r="E3767" s="16" t="s">
        <v>137</v>
      </c>
      <c r="F3767" s="16" t="s">
        <v>138</v>
      </c>
      <c r="G3767" s="22">
        <v>14.75</v>
      </c>
      <c r="H3767" s="18">
        <v>190.8775</v>
      </c>
      <c r="I3767" s="18">
        <v>12.940847458</v>
      </c>
      <c r="J3767" s="18">
        <v>13.25</v>
      </c>
      <c r="K3767" s="18">
        <v>12.76</v>
      </c>
      <c r="L3767" s="22">
        <v>9</v>
      </c>
    </row>
    <row r="3768" spans="1:12">
      <c r="A3768">
        <v>4</v>
      </c>
      <c r="B3768" s="16" t="s">
        <v>59</v>
      </c>
      <c r="C3768" s="9">
        <v>46174</v>
      </c>
      <c r="D3768">
        <v>48</v>
      </c>
      <c r="E3768" s="16" t="s">
        <v>137</v>
      </c>
      <c r="F3768" s="16" t="s">
        <v>138</v>
      </c>
      <c r="G3768" s="22">
        <v>19.25</v>
      </c>
      <c r="H3768" s="18">
        <v>251.47499999999999</v>
      </c>
      <c r="I3768" s="18">
        <v>13.063636364000001</v>
      </c>
      <c r="J3768" s="18">
        <v>13.18</v>
      </c>
      <c r="K3768" s="18">
        <v>12.98</v>
      </c>
      <c r="L3768" s="22">
        <v>9</v>
      </c>
    </row>
    <row r="3769" spans="1:12">
      <c r="A3769">
        <v>4</v>
      </c>
      <c r="B3769" s="16" t="s">
        <v>59</v>
      </c>
      <c r="C3769" s="9">
        <v>46204</v>
      </c>
      <c r="D3769">
        <v>48</v>
      </c>
      <c r="E3769" s="16" t="s">
        <v>137</v>
      </c>
      <c r="F3769" s="16" t="s">
        <v>138</v>
      </c>
      <c r="G3769" s="22">
        <v>19.75</v>
      </c>
      <c r="H3769" s="18">
        <v>258.10000000000002</v>
      </c>
      <c r="I3769" s="18">
        <v>13.068354429999999</v>
      </c>
      <c r="J3769" s="18">
        <v>13.33</v>
      </c>
      <c r="K3769" s="18">
        <v>12.87</v>
      </c>
      <c r="L3769" s="22">
        <v>9</v>
      </c>
    </row>
    <row r="3770" spans="1:12">
      <c r="A3770">
        <v>4</v>
      </c>
      <c r="B3770" s="16" t="s">
        <v>59</v>
      </c>
      <c r="C3770" s="9">
        <v>46235</v>
      </c>
      <c r="D3770">
        <v>48</v>
      </c>
      <c r="E3770" s="16" t="s">
        <v>137</v>
      </c>
      <c r="F3770" s="16" t="s">
        <v>138</v>
      </c>
      <c r="G3770" s="22">
        <v>13.5</v>
      </c>
      <c r="H3770" s="18">
        <v>178.5</v>
      </c>
      <c r="I3770" s="18">
        <v>13.222222221999999</v>
      </c>
      <c r="J3770" s="18">
        <v>13.39</v>
      </c>
      <c r="K3770" s="18">
        <v>13.08</v>
      </c>
      <c r="L3770" s="22">
        <v>8</v>
      </c>
    </row>
    <row r="3771" spans="1:12">
      <c r="A3771">
        <v>4</v>
      </c>
      <c r="B3771" s="16" t="s">
        <v>59</v>
      </c>
      <c r="C3771" s="9">
        <v>46266</v>
      </c>
      <c r="D3771">
        <v>48</v>
      </c>
      <c r="E3771" s="16" t="s">
        <v>137</v>
      </c>
      <c r="F3771" s="16" t="s">
        <v>138</v>
      </c>
      <c r="G3771" s="22">
        <v>11.75</v>
      </c>
      <c r="H3771" s="18">
        <v>153.82</v>
      </c>
      <c r="I3771" s="18">
        <v>13.09106383</v>
      </c>
      <c r="J3771" s="18">
        <v>13.31</v>
      </c>
      <c r="K3771" s="18">
        <v>12.88</v>
      </c>
      <c r="L3771" s="22">
        <v>9</v>
      </c>
    </row>
    <row r="3772" spans="1:12">
      <c r="A3772">
        <v>4</v>
      </c>
      <c r="B3772" s="16" t="s">
        <v>59</v>
      </c>
      <c r="C3772" s="9">
        <v>45689</v>
      </c>
      <c r="D3772">
        <v>49</v>
      </c>
      <c r="E3772" s="16" t="s">
        <v>139</v>
      </c>
      <c r="F3772" s="16" t="s">
        <v>138</v>
      </c>
      <c r="G3772" s="22">
        <v>8</v>
      </c>
      <c r="H3772" s="18">
        <v>58.72</v>
      </c>
      <c r="I3772" s="18">
        <v>7.34</v>
      </c>
      <c r="J3772" s="18">
        <v>7.47</v>
      </c>
      <c r="K3772" s="18">
        <v>7.25</v>
      </c>
      <c r="L3772" s="22">
        <v>8</v>
      </c>
    </row>
    <row r="3773" spans="1:12">
      <c r="A3773">
        <v>4</v>
      </c>
      <c r="B3773" s="16" t="s">
        <v>59</v>
      </c>
      <c r="C3773" s="9">
        <v>45717</v>
      </c>
      <c r="D3773">
        <v>49</v>
      </c>
      <c r="E3773" s="16" t="s">
        <v>139</v>
      </c>
      <c r="F3773" s="16" t="s">
        <v>138</v>
      </c>
      <c r="G3773" s="22">
        <v>9.5</v>
      </c>
      <c r="H3773" s="18">
        <v>70.607500000000002</v>
      </c>
      <c r="I3773" s="18">
        <v>7.4323684209999996</v>
      </c>
      <c r="J3773" s="18">
        <v>8.08</v>
      </c>
      <c r="K3773" s="18">
        <v>7.31</v>
      </c>
      <c r="L3773" s="22">
        <v>8</v>
      </c>
    </row>
    <row r="3774" spans="1:12">
      <c r="A3774">
        <v>4</v>
      </c>
      <c r="B3774" s="16" t="s">
        <v>59</v>
      </c>
      <c r="C3774" s="9">
        <v>45748</v>
      </c>
      <c r="D3774">
        <v>49</v>
      </c>
      <c r="E3774" s="16" t="s">
        <v>139</v>
      </c>
      <c r="F3774" s="16" t="s">
        <v>138</v>
      </c>
      <c r="G3774" s="22">
        <v>13.5</v>
      </c>
      <c r="H3774" s="18">
        <v>98.977500000000006</v>
      </c>
      <c r="I3774" s="18">
        <v>7.3316666670000004</v>
      </c>
      <c r="J3774" s="18">
        <v>7.45</v>
      </c>
      <c r="K3774" s="18">
        <v>7.13</v>
      </c>
      <c r="L3774" s="22">
        <v>9</v>
      </c>
    </row>
    <row r="3775" spans="1:12">
      <c r="A3775">
        <v>4</v>
      </c>
      <c r="B3775" s="16" t="s">
        <v>59</v>
      </c>
      <c r="C3775" s="9">
        <v>45778</v>
      </c>
      <c r="D3775">
        <v>49</v>
      </c>
      <c r="E3775" s="16" t="s">
        <v>139</v>
      </c>
      <c r="F3775" s="16" t="s">
        <v>138</v>
      </c>
      <c r="G3775" s="22">
        <v>24</v>
      </c>
      <c r="H3775" s="18">
        <v>174.85499999999999</v>
      </c>
      <c r="I3775" s="18">
        <v>7.2856249999999996</v>
      </c>
      <c r="J3775" s="18">
        <v>7.42</v>
      </c>
      <c r="K3775" s="18">
        <v>7.11</v>
      </c>
      <c r="L3775" s="22">
        <v>9</v>
      </c>
    </row>
    <row r="3776" spans="1:12">
      <c r="A3776">
        <v>4</v>
      </c>
      <c r="B3776" s="16" t="s">
        <v>59</v>
      </c>
      <c r="C3776" s="9">
        <v>45809</v>
      </c>
      <c r="D3776">
        <v>49</v>
      </c>
      <c r="E3776" s="16" t="s">
        <v>139</v>
      </c>
      <c r="F3776" s="16" t="s">
        <v>138</v>
      </c>
      <c r="G3776" s="22">
        <v>25</v>
      </c>
      <c r="H3776" s="18">
        <v>183.535</v>
      </c>
      <c r="I3776" s="18">
        <v>7.3414000000000001</v>
      </c>
      <c r="J3776" s="18">
        <v>7.51</v>
      </c>
      <c r="K3776" s="18">
        <v>7.22</v>
      </c>
      <c r="L3776" s="22">
        <v>8</v>
      </c>
    </row>
    <row r="3777" spans="1:12">
      <c r="A3777">
        <v>4</v>
      </c>
      <c r="B3777" s="16" t="s">
        <v>59</v>
      </c>
      <c r="C3777" s="9">
        <v>45839</v>
      </c>
      <c r="D3777">
        <v>49</v>
      </c>
      <c r="E3777" s="16" t="s">
        <v>139</v>
      </c>
      <c r="F3777" s="16" t="s">
        <v>138</v>
      </c>
      <c r="G3777" s="22">
        <v>26.75</v>
      </c>
      <c r="H3777" s="18">
        <v>192.86250000000001</v>
      </c>
      <c r="I3777" s="18">
        <v>7.2098130840000003</v>
      </c>
      <c r="J3777" s="18">
        <v>7.38</v>
      </c>
      <c r="K3777" s="18">
        <v>7</v>
      </c>
      <c r="L3777" s="22">
        <v>9</v>
      </c>
    </row>
    <row r="3778" spans="1:12">
      <c r="A3778">
        <v>4</v>
      </c>
      <c r="B3778" s="16" t="s">
        <v>59</v>
      </c>
      <c r="C3778" s="9">
        <v>45870</v>
      </c>
      <c r="D3778">
        <v>49</v>
      </c>
      <c r="E3778" s="16" t="s">
        <v>139</v>
      </c>
      <c r="F3778" s="16" t="s">
        <v>138</v>
      </c>
      <c r="G3778" s="22">
        <v>23</v>
      </c>
      <c r="H3778" s="18">
        <v>166.85</v>
      </c>
      <c r="I3778" s="18">
        <v>7.2543478260000001</v>
      </c>
      <c r="J3778" s="18">
        <v>7.39</v>
      </c>
      <c r="K3778" s="18">
        <v>7.09</v>
      </c>
      <c r="L3778" s="22">
        <v>9</v>
      </c>
    </row>
    <row r="3779" spans="1:12">
      <c r="A3779">
        <v>4</v>
      </c>
      <c r="B3779" s="16" t="s">
        <v>59</v>
      </c>
      <c r="C3779" s="9">
        <v>45901</v>
      </c>
      <c r="D3779">
        <v>49</v>
      </c>
      <c r="E3779" s="16" t="s">
        <v>139</v>
      </c>
      <c r="F3779" s="16" t="s">
        <v>138</v>
      </c>
      <c r="G3779" s="22">
        <v>23</v>
      </c>
      <c r="H3779" s="18">
        <v>165.98</v>
      </c>
      <c r="I3779" s="18">
        <v>7.216521739</v>
      </c>
      <c r="J3779" s="18">
        <v>7.39</v>
      </c>
      <c r="K3779" s="18">
        <v>7.06</v>
      </c>
      <c r="L3779" s="22">
        <v>9</v>
      </c>
    </row>
    <row r="3780" spans="1:12">
      <c r="A3780">
        <v>4</v>
      </c>
      <c r="B3780" s="16" t="s">
        <v>59</v>
      </c>
      <c r="C3780" s="9">
        <v>45931</v>
      </c>
      <c r="D3780">
        <v>49</v>
      </c>
      <c r="E3780" s="16" t="s">
        <v>139</v>
      </c>
      <c r="F3780" s="16" t="s">
        <v>138</v>
      </c>
      <c r="G3780" s="22">
        <v>12.25</v>
      </c>
      <c r="H3780" s="18">
        <v>89.542500000000004</v>
      </c>
      <c r="I3780" s="18">
        <v>7.3095918370000001</v>
      </c>
      <c r="J3780" s="18">
        <v>7.38</v>
      </c>
      <c r="K3780" s="18">
        <v>7.21</v>
      </c>
      <c r="L3780" s="22">
        <v>9</v>
      </c>
    </row>
    <row r="3781" spans="1:12">
      <c r="A3781">
        <v>4</v>
      </c>
      <c r="B3781" s="16" t="s">
        <v>59</v>
      </c>
      <c r="C3781" s="9">
        <v>45962</v>
      </c>
      <c r="D3781">
        <v>49</v>
      </c>
      <c r="E3781" s="16" t="s">
        <v>139</v>
      </c>
      <c r="F3781" s="16" t="s">
        <v>138</v>
      </c>
      <c r="G3781" s="22">
        <v>8.5</v>
      </c>
      <c r="H3781" s="18">
        <v>66.905000000000001</v>
      </c>
      <c r="I3781" s="18">
        <v>7.8711764710000001</v>
      </c>
      <c r="J3781" s="18">
        <v>8.3800000000000008</v>
      </c>
      <c r="K3781" s="18">
        <v>7.36</v>
      </c>
      <c r="L3781" s="22">
        <v>7</v>
      </c>
    </row>
    <row r="3782" spans="1:12">
      <c r="A3782">
        <v>4</v>
      </c>
      <c r="B3782" s="16" t="s">
        <v>59</v>
      </c>
      <c r="C3782" s="9">
        <v>45992</v>
      </c>
      <c r="D3782">
        <v>49</v>
      </c>
      <c r="E3782" s="16" t="s">
        <v>139</v>
      </c>
      <c r="F3782" s="16" t="s">
        <v>138</v>
      </c>
      <c r="G3782" s="22">
        <v>10.25</v>
      </c>
      <c r="H3782" s="18">
        <v>85.642499999999998</v>
      </c>
      <c r="I3782" s="18">
        <v>8.3553658540000004</v>
      </c>
      <c r="J3782" s="18">
        <v>8.52</v>
      </c>
      <c r="K3782" s="18">
        <v>8.23</v>
      </c>
      <c r="L3782" s="22">
        <v>9</v>
      </c>
    </row>
    <row r="3783" spans="1:12">
      <c r="A3783">
        <v>4</v>
      </c>
      <c r="B3783" s="16" t="s">
        <v>59</v>
      </c>
      <c r="C3783" s="9">
        <v>46023</v>
      </c>
      <c r="D3783">
        <v>49</v>
      </c>
      <c r="E3783" s="16" t="s">
        <v>139</v>
      </c>
      <c r="F3783" s="16" t="s">
        <v>138</v>
      </c>
      <c r="G3783" s="22">
        <v>6.75</v>
      </c>
      <c r="H3783" s="18">
        <v>50.68</v>
      </c>
      <c r="I3783" s="18">
        <v>7.5081481480000001</v>
      </c>
      <c r="J3783" s="18">
        <v>7.72</v>
      </c>
      <c r="K3783" s="18">
        <v>7.32</v>
      </c>
      <c r="L3783" s="22">
        <v>8</v>
      </c>
    </row>
    <row r="3784" spans="1:12">
      <c r="A3784">
        <v>4</v>
      </c>
      <c r="B3784" s="16" t="s">
        <v>59</v>
      </c>
      <c r="C3784" s="9">
        <v>46054</v>
      </c>
      <c r="D3784">
        <v>49</v>
      </c>
      <c r="E3784" s="16" t="s">
        <v>139</v>
      </c>
      <c r="F3784" s="16" t="s">
        <v>138</v>
      </c>
      <c r="G3784" s="22">
        <v>9</v>
      </c>
      <c r="H3784" s="18">
        <v>68.587500000000006</v>
      </c>
      <c r="I3784" s="18">
        <v>7.6208333330000002</v>
      </c>
      <c r="J3784" s="18">
        <v>7.71</v>
      </c>
      <c r="K3784" s="18">
        <v>7.47</v>
      </c>
      <c r="L3784" s="22">
        <v>8</v>
      </c>
    </row>
    <row r="3785" spans="1:12">
      <c r="A3785">
        <v>4</v>
      </c>
      <c r="B3785" s="16" t="s">
        <v>59</v>
      </c>
      <c r="C3785" s="9">
        <v>46082</v>
      </c>
      <c r="D3785">
        <v>49</v>
      </c>
      <c r="E3785" s="16" t="s">
        <v>139</v>
      </c>
      <c r="F3785" s="16" t="s">
        <v>138</v>
      </c>
      <c r="G3785" s="22">
        <v>10</v>
      </c>
      <c r="H3785" s="18">
        <v>76.507499999999993</v>
      </c>
      <c r="I3785" s="18">
        <v>7.6507500000000004</v>
      </c>
      <c r="J3785" s="18">
        <v>7.8</v>
      </c>
      <c r="K3785" s="18">
        <v>7.41</v>
      </c>
      <c r="L3785" s="22">
        <v>9</v>
      </c>
    </row>
    <row r="3786" spans="1:12">
      <c r="A3786">
        <v>4</v>
      </c>
      <c r="B3786" s="16" t="s">
        <v>59</v>
      </c>
      <c r="C3786" s="9">
        <v>46113</v>
      </c>
      <c r="D3786">
        <v>49</v>
      </c>
      <c r="E3786" s="16" t="s">
        <v>139</v>
      </c>
      <c r="F3786" s="16" t="s">
        <v>138</v>
      </c>
      <c r="G3786" s="22">
        <v>12.5</v>
      </c>
      <c r="H3786" s="18">
        <v>96.665000000000006</v>
      </c>
      <c r="I3786" s="18">
        <v>7.7332000000000001</v>
      </c>
      <c r="J3786" s="18">
        <v>7.84</v>
      </c>
      <c r="K3786" s="18">
        <v>7.55</v>
      </c>
      <c r="L3786" s="22">
        <v>8</v>
      </c>
    </row>
    <row r="3787" spans="1:12">
      <c r="A3787">
        <v>4</v>
      </c>
      <c r="B3787" s="16" t="s">
        <v>59</v>
      </c>
      <c r="C3787" s="9">
        <v>46143</v>
      </c>
      <c r="D3787">
        <v>49</v>
      </c>
      <c r="E3787" s="16" t="s">
        <v>139</v>
      </c>
      <c r="F3787" s="16" t="s">
        <v>138</v>
      </c>
      <c r="G3787" s="22">
        <v>21</v>
      </c>
      <c r="H3787" s="18">
        <v>163.5325</v>
      </c>
      <c r="I3787" s="18">
        <v>7.7872619050000003</v>
      </c>
      <c r="J3787" s="18">
        <v>7.88</v>
      </c>
      <c r="K3787" s="18">
        <v>7.61</v>
      </c>
      <c r="L3787" s="22">
        <v>9</v>
      </c>
    </row>
    <row r="3788" spans="1:12">
      <c r="A3788">
        <v>4</v>
      </c>
      <c r="B3788" s="16" t="s">
        <v>59</v>
      </c>
      <c r="C3788" s="9">
        <v>46174</v>
      </c>
      <c r="D3788">
        <v>49</v>
      </c>
      <c r="E3788" s="16" t="s">
        <v>139</v>
      </c>
      <c r="F3788" s="16" t="s">
        <v>138</v>
      </c>
      <c r="G3788" s="22">
        <v>28.25</v>
      </c>
      <c r="H3788" s="18">
        <v>219.13749999999999</v>
      </c>
      <c r="I3788" s="18">
        <v>7.7570796460000002</v>
      </c>
      <c r="J3788" s="18">
        <v>7.87</v>
      </c>
      <c r="K3788" s="18">
        <v>7.68</v>
      </c>
      <c r="L3788" s="22">
        <v>9</v>
      </c>
    </row>
    <row r="3789" spans="1:12">
      <c r="A3789">
        <v>4</v>
      </c>
      <c r="B3789" s="16" t="s">
        <v>59</v>
      </c>
      <c r="C3789" s="9">
        <v>46204</v>
      </c>
      <c r="D3789">
        <v>49</v>
      </c>
      <c r="E3789" s="16" t="s">
        <v>139</v>
      </c>
      <c r="F3789" s="16" t="s">
        <v>138</v>
      </c>
      <c r="G3789" s="22">
        <v>29.25</v>
      </c>
      <c r="H3789" s="18">
        <v>230.14500000000001</v>
      </c>
      <c r="I3789" s="18">
        <v>7.8682051279999996</v>
      </c>
      <c r="J3789" s="18">
        <v>7.97</v>
      </c>
      <c r="K3789" s="18">
        <v>7.67</v>
      </c>
      <c r="L3789" s="22">
        <v>9</v>
      </c>
    </row>
    <row r="3790" spans="1:12">
      <c r="A3790">
        <v>4</v>
      </c>
      <c r="B3790" s="16" t="s">
        <v>59</v>
      </c>
      <c r="C3790" s="9">
        <v>46235</v>
      </c>
      <c r="D3790">
        <v>49</v>
      </c>
      <c r="E3790" s="16" t="s">
        <v>139</v>
      </c>
      <c r="F3790" s="16" t="s">
        <v>138</v>
      </c>
      <c r="G3790" s="22">
        <v>19</v>
      </c>
      <c r="H3790" s="18">
        <v>150.55500000000001</v>
      </c>
      <c r="I3790" s="18">
        <v>7.9239473680000003</v>
      </c>
      <c r="J3790" s="18">
        <v>8.1300000000000008</v>
      </c>
      <c r="K3790" s="18">
        <v>7.81</v>
      </c>
      <c r="L3790" s="22">
        <v>8</v>
      </c>
    </row>
    <row r="3791" spans="1:12">
      <c r="A3791">
        <v>4</v>
      </c>
      <c r="B3791" s="16" t="s">
        <v>59</v>
      </c>
      <c r="C3791" s="9">
        <v>46266</v>
      </c>
      <c r="D3791">
        <v>49</v>
      </c>
      <c r="E3791" s="16" t="s">
        <v>139</v>
      </c>
      <c r="F3791" s="16" t="s">
        <v>138</v>
      </c>
      <c r="G3791" s="22">
        <v>16.5</v>
      </c>
      <c r="H3791" s="18">
        <v>131.86750000000001</v>
      </c>
      <c r="I3791" s="18">
        <v>7.991969697</v>
      </c>
      <c r="J3791" s="18">
        <v>8.23</v>
      </c>
      <c r="K3791" s="18">
        <v>7.83</v>
      </c>
      <c r="L3791" s="22">
        <v>9</v>
      </c>
    </row>
    <row r="3792" spans="1:12">
      <c r="A3792">
        <v>4</v>
      </c>
      <c r="B3792" s="16" t="s">
        <v>59</v>
      </c>
      <c r="C3792" s="9">
        <v>45689</v>
      </c>
      <c r="D3792">
        <v>50</v>
      </c>
      <c r="E3792" s="16" t="s">
        <v>140</v>
      </c>
      <c r="F3792" s="16" t="s">
        <v>138</v>
      </c>
      <c r="G3792" s="22">
        <v>8</v>
      </c>
      <c r="H3792" s="18">
        <v>33.987499999999997</v>
      </c>
      <c r="I3792" s="18">
        <v>4.2484374999999996</v>
      </c>
      <c r="J3792" s="18">
        <v>4.3899999999999997</v>
      </c>
      <c r="K3792" s="18">
        <v>4.13</v>
      </c>
      <c r="L3792" s="22">
        <v>8</v>
      </c>
    </row>
    <row r="3793" spans="1:12">
      <c r="A3793">
        <v>4</v>
      </c>
      <c r="B3793" s="16" t="s">
        <v>59</v>
      </c>
      <c r="C3793" s="9">
        <v>45717</v>
      </c>
      <c r="D3793">
        <v>50</v>
      </c>
      <c r="E3793" s="16" t="s">
        <v>140</v>
      </c>
      <c r="F3793" s="16" t="s">
        <v>138</v>
      </c>
      <c r="G3793" s="22">
        <v>9.5</v>
      </c>
      <c r="H3793" s="18">
        <v>39.99</v>
      </c>
      <c r="I3793" s="18">
        <v>4.2094736839999998</v>
      </c>
      <c r="J3793" s="18">
        <v>4.2699999999999996</v>
      </c>
      <c r="K3793" s="18">
        <v>4.1500000000000004</v>
      </c>
      <c r="L3793" s="22">
        <v>8</v>
      </c>
    </row>
    <row r="3794" spans="1:12">
      <c r="A3794">
        <v>4</v>
      </c>
      <c r="B3794" s="16" t="s">
        <v>59</v>
      </c>
      <c r="C3794" s="9">
        <v>45748</v>
      </c>
      <c r="D3794">
        <v>50</v>
      </c>
      <c r="E3794" s="16" t="s">
        <v>140</v>
      </c>
      <c r="F3794" s="16" t="s">
        <v>138</v>
      </c>
      <c r="G3794" s="22">
        <v>14</v>
      </c>
      <c r="H3794" s="18">
        <v>59.947499999999998</v>
      </c>
      <c r="I3794" s="18">
        <v>4.281964286</v>
      </c>
      <c r="J3794" s="18">
        <v>4.3600000000000003</v>
      </c>
      <c r="K3794" s="18">
        <v>4.1900000000000004</v>
      </c>
      <c r="L3794" s="22">
        <v>9</v>
      </c>
    </row>
    <row r="3795" spans="1:12">
      <c r="A3795">
        <v>4</v>
      </c>
      <c r="B3795" s="16" t="s">
        <v>59</v>
      </c>
      <c r="C3795" s="9">
        <v>45778</v>
      </c>
      <c r="D3795">
        <v>50</v>
      </c>
      <c r="E3795" s="16" t="s">
        <v>140</v>
      </c>
      <c r="F3795" s="16" t="s">
        <v>138</v>
      </c>
      <c r="G3795" s="22">
        <v>23.25</v>
      </c>
      <c r="H3795" s="18">
        <v>98.474999999999994</v>
      </c>
      <c r="I3795" s="18">
        <v>4.2354838709999996</v>
      </c>
      <c r="J3795" s="18">
        <v>4.3099999999999996</v>
      </c>
      <c r="K3795" s="18">
        <v>4.1500000000000004</v>
      </c>
      <c r="L3795" s="22">
        <v>9</v>
      </c>
    </row>
    <row r="3796" spans="1:12">
      <c r="A3796">
        <v>4</v>
      </c>
      <c r="B3796" s="16" t="s">
        <v>59</v>
      </c>
      <c r="C3796" s="9">
        <v>45809</v>
      </c>
      <c r="D3796">
        <v>50</v>
      </c>
      <c r="E3796" s="16" t="s">
        <v>140</v>
      </c>
      <c r="F3796" s="16" t="s">
        <v>138</v>
      </c>
      <c r="G3796" s="22">
        <v>25.25</v>
      </c>
      <c r="H3796" s="18">
        <v>107.88500000000001</v>
      </c>
      <c r="I3796" s="18">
        <v>4.2726732670000001</v>
      </c>
      <c r="J3796" s="18">
        <v>4.37</v>
      </c>
      <c r="K3796" s="18">
        <v>4.22</v>
      </c>
      <c r="L3796" s="22">
        <v>8</v>
      </c>
    </row>
    <row r="3797" spans="1:12">
      <c r="A3797">
        <v>4</v>
      </c>
      <c r="B3797" s="16" t="s">
        <v>59</v>
      </c>
      <c r="C3797" s="9">
        <v>45839</v>
      </c>
      <c r="D3797">
        <v>50</v>
      </c>
      <c r="E3797" s="16" t="s">
        <v>140</v>
      </c>
      <c r="F3797" s="16" t="s">
        <v>138</v>
      </c>
      <c r="G3797" s="22">
        <v>25.75</v>
      </c>
      <c r="H3797" s="18">
        <v>109.27</v>
      </c>
      <c r="I3797" s="18">
        <v>4.2434951459999999</v>
      </c>
      <c r="J3797" s="18">
        <v>4.33</v>
      </c>
      <c r="K3797" s="18">
        <v>4.1399999999999997</v>
      </c>
      <c r="L3797" s="22">
        <v>9</v>
      </c>
    </row>
    <row r="3798" spans="1:12">
      <c r="A3798">
        <v>4</v>
      </c>
      <c r="B3798" s="16" t="s">
        <v>59</v>
      </c>
      <c r="C3798" s="9">
        <v>45870</v>
      </c>
      <c r="D3798">
        <v>50</v>
      </c>
      <c r="E3798" s="16" t="s">
        <v>140</v>
      </c>
      <c r="F3798" s="16" t="s">
        <v>138</v>
      </c>
      <c r="G3798" s="22">
        <v>22.5</v>
      </c>
      <c r="H3798" s="18">
        <v>95.722499999999997</v>
      </c>
      <c r="I3798" s="18">
        <v>4.2543333329999999</v>
      </c>
      <c r="J3798" s="18">
        <v>4.32</v>
      </c>
      <c r="K3798" s="18">
        <v>4.1399999999999997</v>
      </c>
      <c r="L3798" s="22">
        <v>9</v>
      </c>
    </row>
    <row r="3799" spans="1:12">
      <c r="A3799">
        <v>4</v>
      </c>
      <c r="B3799" s="16" t="s">
        <v>59</v>
      </c>
      <c r="C3799" s="9">
        <v>45901</v>
      </c>
      <c r="D3799">
        <v>50</v>
      </c>
      <c r="E3799" s="16" t="s">
        <v>140</v>
      </c>
      <c r="F3799" s="16" t="s">
        <v>138</v>
      </c>
      <c r="G3799" s="22">
        <v>22.75</v>
      </c>
      <c r="H3799" s="18">
        <v>96.625</v>
      </c>
      <c r="I3799" s="18">
        <v>4.2472527470000001</v>
      </c>
      <c r="J3799" s="18">
        <v>4.3</v>
      </c>
      <c r="K3799" s="18">
        <v>4.18</v>
      </c>
      <c r="L3799" s="22">
        <v>9</v>
      </c>
    </row>
    <row r="3800" spans="1:12">
      <c r="A3800">
        <v>4</v>
      </c>
      <c r="B3800" s="16" t="s">
        <v>59</v>
      </c>
      <c r="C3800" s="9">
        <v>45931</v>
      </c>
      <c r="D3800">
        <v>50</v>
      </c>
      <c r="E3800" s="16" t="s">
        <v>140</v>
      </c>
      <c r="F3800" s="16" t="s">
        <v>138</v>
      </c>
      <c r="G3800" s="22">
        <v>11.75</v>
      </c>
      <c r="H3800" s="18">
        <v>50.84</v>
      </c>
      <c r="I3800" s="18">
        <v>4.3268085110000003</v>
      </c>
      <c r="J3800" s="18">
        <v>4.37</v>
      </c>
      <c r="K3800" s="18">
        <v>4.2</v>
      </c>
      <c r="L3800" s="22">
        <v>9</v>
      </c>
    </row>
    <row r="3801" spans="1:12">
      <c r="A3801">
        <v>4</v>
      </c>
      <c r="B3801" s="16" t="s">
        <v>59</v>
      </c>
      <c r="C3801" s="9">
        <v>45962</v>
      </c>
      <c r="D3801">
        <v>50</v>
      </c>
      <c r="E3801" s="16" t="s">
        <v>140</v>
      </c>
      <c r="F3801" s="16" t="s">
        <v>138</v>
      </c>
      <c r="G3801" s="22">
        <v>8.25</v>
      </c>
      <c r="H3801" s="18">
        <v>36.797499999999999</v>
      </c>
      <c r="I3801" s="18">
        <v>4.4603030300000004</v>
      </c>
      <c r="J3801" s="18">
        <v>4.76</v>
      </c>
      <c r="K3801" s="18">
        <v>4.13</v>
      </c>
      <c r="L3801" s="22">
        <v>7</v>
      </c>
    </row>
    <row r="3802" spans="1:12">
      <c r="A3802">
        <v>4</v>
      </c>
      <c r="B3802" s="16" t="s">
        <v>59</v>
      </c>
      <c r="C3802" s="9">
        <v>45992</v>
      </c>
      <c r="D3802">
        <v>50</v>
      </c>
      <c r="E3802" s="16" t="s">
        <v>140</v>
      </c>
      <c r="F3802" s="16" t="s">
        <v>138</v>
      </c>
      <c r="G3802" s="22">
        <v>10.5</v>
      </c>
      <c r="H3802" s="18">
        <v>50.712499999999999</v>
      </c>
      <c r="I3802" s="18">
        <v>4.8297619049999998</v>
      </c>
      <c r="J3802" s="18">
        <v>4.91</v>
      </c>
      <c r="K3802" s="18">
        <v>4.66</v>
      </c>
      <c r="L3802" s="22">
        <v>9</v>
      </c>
    </row>
    <row r="3803" spans="1:12">
      <c r="A3803">
        <v>4</v>
      </c>
      <c r="B3803" s="16" t="s">
        <v>59</v>
      </c>
      <c r="C3803" s="9">
        <v>46023</v>
      </c>
      <c r="D3803">
        <v>50</v>
      </c>
      <c r="E3803" s="16" t="s">
        <v>140</v>
      </c>
      <c r="F3803" s="16" t="s">
        <v>138</v>
      </c>
      <c r="G3803" s="22">
        <v>7</v>
      </c>
      <c r="H3803" s="18">
        <v>30.225000000000001</v>
      </c>
      <c r="I3803" s="18">
        <v>4.3178571430000003</v>
      </c>
      <c r="J3803" s="18">
        <v>4.37</v>
      </c>
      <c r="K3803" s="18">
        <v>4.24</v>
      </c>
      <c r="L3803" s="22">
        <v>8</v>
      </c>
    </row>
    <row r="3804" spans="1:12">
      <c r="A3804">
        <v>4</v>
      </c>
      <c r="B3804" s="16" t="s">
        <v>59</v>
      </c>
      <c r="C3804" s="9">
        <v>46054</v>
      </c>
      <c r="D3804">
        <v>50</v>
      </c>
      <c r="E3804" s="16" t="s">
        <v>140</v>
      </c>
      <c r="F3804" s="16" t="s">
        <v>138</v>
      </c>
      <c r="G3804" s="22">
        <v>8.5</v>
      </c>
      <c r="H3804" s="18">
        <v>36.49</v>
      </c>
      <c r="I3804" s="18">
        <v>4.2929411760000002</v>
      </c>
      <c r="J3804" s="18">
        <v>4.41</v>
      </c>
      <c r="K3804" s="18">
        <v>4.16</v>
      </c>
      <c r="L3804" s="22">
        <v>8</v>
      </c>
    </row>
    <row r="3805" spans="1:12">
      <c r="A3805">
        <v>4</v>
      </c>
      <c r="B3805" s="16" t="s">
        <v>59</v>
      </c>
      <c r="C3805" s="9">
        <v>46082</v>
      </c>
      <c r="D3805">
        <v>50</v>
      </c>
      <c r="E3805" s="16" t="s">
        <v>140</v>
      </c>
      <c r="F3805" s="16" t="s">
        <v>138</v>
      </c>
      <c r="G3805" s="22">
        <v>10</v>
      </c>
      <c r="H3805" s="18">
        <v>42.997500000000002</v>
      </c>
      <c r="I3805" s="18">
        <v>4.2997500000000004</v>
      </c>
      <c r="J3805" s="18">
        <v>4.3600000000000003</v>
      </c>
      <c r="K3805" s="18">
        <v>4.24</v>
      </c>
      <c r="L3805" s="22">
        <v>9</v>
      </c>
    </row>
    <row r="3806" spans="1:12">
      <c r="A3806">
        <v>4</v>
      </c>
      <c r="B3806" s="16" t="s">
        <v>59</v>
      </c>
      <c r="C3806" s="9">
        <v>46113</v>
      </c>
      <c r="D3806">
        <v>50</v>
      </c>
      <c r="E3806" s="16" t="s">
        <v>140</v>
      </c>
      <c r="F3806" s="16" t="s">
        <v>138</v>
      </c>
      <c r="G3806" s="22">
        <v>12.5</v>
      </c>
      <c r="H3806" s="18">
        <v>54.217500000000001</v>
      </c>
      <c r="I3806" s="18">
        <v>4.3373999999999997</v>
      </c>
      <c r="J3806" s="18">
        <v>4.4000000000000004</v>
      </c>
      <c r="K3806" s="18">
        <v>4.29</v>
      </c>
      <c r="L3806" s="22">
        <v>8</v>
      </c>
    </row>
    <row r="3807" spans="1:12">
      <c r="A3807">
        <v>4</v>
      </c>
      <c r="B3807" s="16" t="s">
        <v>59</v>
      </c>
      <c r="C3807" s="9">
        <v>46143</v>
      </c>
      <c r="D3807">
        <v>50</v>
      </c>
      <c r="E3807" s="16" t="s">
        <v>140</v>
      </c>
      <c r="F3807" s="16" t="s">
        <v>138</v>
      </c>
      <c r="G3807" s="22">
        <v>21</v>
      </c>
      <c r="H3807" s="18">
        <v>91.45</v>
      </c>
      <c r="I3807" s="18">
        <v>4.3547619050000002</v>
      </c>
      <c r="J3807" s="18">
        <v>4.59</v>
      </c>
      <c r="K3807" s="18">
        <v>4.25</v>
      </c>
      <c r="L3807" s="22">
        <v>9</v>
      </c>
    </row>
    <row r="3808" spans="1:12">
      <c r="A3808">
        <v>4</v>
      </c>
      <c r="B3808" s="16" t="s">
        <v>59</v>
      </c>
      <c r="C3808" s="9">
        <v>46174</v>
      </c>
      <c r="D3808">
        <v>50</v>
      </c>
      <c r="E3808" s="16" t="s">
        <v>140</v>
      </c>
      <c r="F3808" s="16" t="s">
        <v>138</v>
      </c>
      <c r="G3808" s="22">
        <v>28</v>
      </c>
      <c r="H3808" s="18">
        <v>121.9725</v>
      </c>
      <c r="I3808" s="18">
        <v>4.3561607139999996</v>
      </c>
      <c r="J3808" s="18">
        <v>4.42</v>
      </c>
      <c r="K3808" s="18">
        <v>4.3099999999999996</v>
      </c>
      <c r="L3808" s="22">
        <v>9</v>
      </c>
    </row>
    <row r="3809" spans="1:12">
      <c r="A3809">
        <v>4</v>
      </c>
      <c r="B3809" s="16" t="s">
        <v>59</v>
      </c>
      <c r="C3809" s="9">
        <v>46204</v>
      </c>
      <c r="D3809">
        <v>50</v>
      </c>
      <c r="E3809" s="16" t="s">
        <v>140</v>
      </c>
      <c r="F3809" s="16" t="s">
        <v>138</v>
      </c>
      <c r="G3809" s="22">
        <v>29.25</v>
      </c>
      <c r="H3809" s="18">
        <v>127.5775</v>
      </c>
      <c r="I3809" s="18">
        <v>4.3616239319999996</v>
      </c>
      <c r="J3809" s="18">
        <v>4.4400000000000004</v>
      </c>
      <c r="K3809" s="18">
        <v>4.33</v>
      </c>
      <c r="L3809" s="22">
        <v>9</v>
      </c>
    </row>
    <row r="3810" spans="1:12">
      <c r="A3810">
        <v>4</v>
      </c>
      <c r="B3810" s="16" t="s">
        <v>59</v>
      </c>
      <c r="C3810" s="9">
        <v>46235</v>
      </c>
      <c r="D3810">
        <v>50</v>
      </c>
      <c r="E3810" s="16" t="s">
        <v>140</v>
      </c>
      <c r="F3810" s="16" t="s">
        <v>138</v>
      </c>
      <c r="G3810" s="22">
        <v>19.75</v>
      </c>
      <c r="H3810" s="18">
        <v>86.572500000000005</v>
      </c>
      <c r="I3810" s="18">
        <v>4.3834177219999999</v>
      </c>
      <c r="J3810" s="18">
        <v>4.43</v>
      </c>
      <c r="K3810" s="18">
        <v>4.34</v>
      </c>
      <c r="L3810" s="22">
        <v>8</v>
      </c>
    </row>
    <row r="3811" spans="1:12">
      <c r="A3811">
        <v>4</v>
      </c>
      <c r="B3811" s="16" t="s">
        <v>59</v>
      </c>
      <c r="C3811" s="9">
        <v>46266</v>
      </c>
      <c r="D3811">
        <v>50</v>
      </c>
      <c r="E3811" s="16" t="s">
        <v>140</v>
      </c>
      <c r="F3811" s="16" t="s">
        <v>138</v>
      </c>
      <c r="G3811" s="22">
        <v>17</v>
      </c>
      <c r="H3811" s="18">
        <v>74.492500000000007</v>
      </c>
      <c r="I3811" s="18">
        <v>4.3819117649999999</v>
      </c>
      <c r="J3811" s="18">
        <v>4.5</v>
      </c>
      <c r="K3811" s="18">
        <v>4.25</v>
      </c>
      <c r="L3811" s="22">
        <v>9</v>
      </c>
    </row>
    <row r="3812" spans="1:12">
      <c r="A3812">
        <v>4</v>
      </c>
      <c r="B3812" s="16" t="s">
        <v>59</v>
      </c>
      <c r="C3812" s="9">
        <v>45689</v>
      </c>
      <c r="D3812">
        <v>51</v>
      </c>
      <c r="E3812" s="16" t="s">
        <v>141</v>
      </c>
      <c r="F3812" s="16" t="s">
        <v>81</v>
      </c>
      <c r="G3812" s="22">
        <v>3.75</v>
      </c>
      <c r="H3812" s="18">
        <v>10.875</v>
      </c>
      <c r="I3812" s="18">
        <v>2.9</v>
      </c>
      <c r="J3812" s="18">
        <v>2.9</v>
      </c>
      <c r="K3812" s="18">
        <v>2.9</v>
      </c>
      <c r="L3812" s="22">
        <v>1</v>
      </c>
    </row>
    <row r="3813" spans="1:12">
      <c r="A3813">
        <v>4</v>
      </c>
      <c r="B3813" s="16" t="s">
        <v>59</v>
      </c>
      <c r="C3813" s="9">
        <v>45717</v>
      </c>
      <c r="D3813">
        <v>51</v>
      </c>
      <c r="E3813" s="16" t="s">
        <v>141</v>
      </c>
      <c r="F3813" s="16" t="s">
        <v>81</v>
      </c>
      <c r="G3813" s="22">
        <v>7.5</v>
      </c>
      <c r="H3813" s="18">
        <v>22.912500000000001</v>
      </c>
      <c r="I3813" s="18">
        <v>3.0550000000000002</v>
      </c>
      <c r="J3813" s="18">
        <v>3.16</v>
      </c>
      <c r="K3813" s="18">
        <v>2.95</v>
      </c>
      <c r="L3813" s="22">
        <v>2</v>
      </c>
    </row>
    <row r="3814" spans="1:12">
      <c r="A3814">
        <v>4</v>
      </c>
      <c r="B3814" s="16" t="s">
        <v>59</v>
      </c>
      <c r="C3814" s="9">
        <v>45748</v>
      </c>
      <c r="D3814">
        <v>51</v>
      </c>
      <c r="E3814" s="16" t="s">
        <v>141</v>
      </c>
      <c r="F3814" s="16" t="s">
        <v>81</v>
      </c>
      <c r="G3814" s="22">
        <v>3.75</v>
      </c>
      <c r="H3814" s="18">
        <v>11.0625</v>
      </c>
      <c r="I3814" s="18">
        <v>2.95</v>
      </c>
      <c r="J3814" s="18">
        <v>2.95</v>
      </c>
      <c r="K3814" s="18">
        <v>2.95</v>
      </c>
      <c r="L3814" s="22">
        <v>1</v>
      </c>
    </row>
    <row r="3815" spans="1:12">
      <c r="A3815">
        <v>4</v>
      </c>
      <c r="B3815" s="16" t="s">
        <v>59</v>
      </c>
      <c r="C3815" s="9">
        <v>45778</v>
      </c>
      <c r="D3815">
        <v>51</v>
      </c>
      <c r="E3815" s="16" t="s">
        <v>141</v>
      </c>
      <c r="F3815" s="16" t="s">
        <v>81</v>
      </c>
      <c r="G3815" s="22">
        <v>7.5</v>
      </c>
      <c r="H3815" s="18">
        <v>22.162500000000001</v>
      </c>
      <c r="I3815" s="18">
        <v>2.9550000000000001</v>
      </c>
      <c r="J3815" s="18">
        <v>2.96</v>
      </c>
      <c r="K3815" s="18">
        <v>2.95</v>
      </c>
      <c r="L3815" s="22">
        <v>2</v>
      </c>
    </row>
    <row r="3816" spans="1:12">
      <c r="A3816">
        <v>4</v>
      </c>
      <c r="B3816" s="16" t="s">
        <v>59</v>
      </c>
      <c r="C3816" s="9">
        <v>45809</v>
      </c>
      <c r="D3816">
        <v>51</v>
      </c>
      <c r="E3816" s="16" t="s">
        <v>141</v>
      </c>
      <c r="F3816" s="16" t="s">
        <v>81</v>
      </c>
      <c r="G3816" s="22">
        <v>7.5</v>
      </c>
      <c r="H3816" s="18">
        <v>22.574999999999999</v>
      </c>
      <c r="I3816" s="18">
        <v>3.01</v>
      </c>
      <c r="J3816" s="18">
        <v>3.01</v>
      </c>
      <c r="K3816" s="18">
        <v>3.01</v>
      </c>
      <c r="L3816" s="22">
        <v>2</v>
      </c>
    </row>
    <row r="3817" spans="1:12">
      <c r="A3817">
        <v>4</v>
      </c>
      <c r="B3817" s="16" t="s">
        <v>59</v>
      </c>
      <c r="C3817" s="9">
        <v>45839</v>
      </c>
      <c r="D3817">
        <v>51</v>
      </c>
      <c r="E3817" s="16" t="s">
        <v>141</v>
      </c>
      <c r="F3817" s="16" t="s">
        <v>81</v>
      </c>
      <c r="G3817" s="22">
        <v>7.5</v>
      </c>
      <c r="H3817" s="18">
        <v>22.462499999999999</v>
      </c>
      <c r="I3817" s="18">
        <v>2.9950000000000001</v>
      </c>
      <c r="J3817" s="18">
        <v>3.02</v>
      </c>
      <c r="K3817" s="18">
        <v>2.97</v>
      </c>
      <c r="L3817" s="22">
        <v>2</v>
      </c>
    </row>
    <row r="3818" spans="1:12">
      <c r="A3818">
        <v>4</v>
      </c>
      <c r="B3818" s="16" t="s">
        <v>59</v>
      </c>
      <c r="C3818" s="9">
        <v>45870</v>
      </c>
      <c r="D3818">
        <v>51</v>
      </c>
      <c r="E3818" s="16" t="s">
        <v>141</v>
      </c>
      <c r="F3818" s="16" t="s">
        <v>81</v>
      </c>
      <c r="G3818" s="22">
        <v>7.5</v>
      </c>
      <c r="H3818" s="18">
        <v>22.2</v>
      </c>
      <c r="I3818" s="18">
        <v>2.96</v>
      </c>
      <c r="J3818" s="18">
        <v>2.98</v>
      </c>
      <c r="K3818" s="18">
        <v>2.94</v>
      </c>
      <c r="L3818" s="22">
        <v>2</v>
      </c>
    </row>
    <row r="3819" spans="1:12">
      <c r="A3819">
        <v>4</v>
      </c>
      <c r="B3819" s="16" t="s">
        <v>59</v>
      </c>
      <c r="C3819" s="9">
        <v>45901</v>
      </c>
      <c r="D3819">
        <v>51</v>
      </c>
      <c r="E3819" s="16" t="s">
        <v>141</v>
      </c>
      <c r="F3819" s="16" t="s">
        <v>81</v>
      </c>
      <c r="G3819" s="22">
        <v>3.75</v>
      </c>
      <c r="H3819" s="18">
        <v>11.25</v>
      </c>
      <c r="I3819" s="18">
        <v>3</v>
      </c>
      <c r="J3819" s="18">
        <v>3</v>
      </c>
      <c r="K3819" s="18">
        <v>3</v>
      </c>
      <c r="L3819" s="22">
        <v>1</v>
      </c>
    </row>
    <row r="3820" spans="1:12">
      <c r="A3820">
        <v>4</v>
      </c>
      <c r="B3820" s="16" t="s">
        <v>59</v>
      </c>
      <c r="C3820" s="9">
        <v>45931</v>
      </c>
      <c r="D3820">
        <v>51</v>
      </c>
      <c r="E3820" s="16" t="s">
        <v>141</v>
      </c>
      <c r="F3820" s="16" t="s">
        <v>81</v>
      </c>
      <c r="G3820" s="22">
        <v>7.5</v>
      </c>
      <c r="H3820" s="18">
        <v>22.387499999999999</v>
      </c>
      <c r="I3820" s="18">
        <v>2.9849999999999999</v>
      </c>
      <c r="J3820" s="18">
        <v>3.03</v>
      </c>
      <c r="K3820" s="18">
        <v>2.94</v>
      </c>
      <c r="L3820" s="22">
        <v>2</v>
      </c>
    </row>
    <row r="3821" spans="1:12">
      <c r="A3821">
        <v>4</v>
      </c>
      <c r="B3821" s="16" t="s">
        <v>59</v>
      </c>
      <c r="C3821" s="9">
        <v>45962</v>
      </c>
      <c r="D3821">
        <v>51</v>
      </c>
      <c r="E3821" s="16" t="s">
        <v>141</v>
      </c>
      <c r="F3821" s="16" t="s">
        <v>81</v>
      </c>
      <c r="G3821" s="22">
        <v>3.75</v>
      </c>
      <c r="H3821" s="18">
        <v>11.25</v>
      </c>
      <c r="I3821" s="18">
        <v>3</v>
      </c>
      <c r="J3821" s="18">
        <v>3</v>
      </c>
      <c r="K3821" s="18">
        <v>3</v>
      </c>
      <c r="L3821" s="22">
        <v>1</v>
      </c>
    </row>
    <row r="3822" spans="1:12">
      <c r="A3822">
        <v>4</v>
      </c>
      <c r="B3822" s="16" t="s">
        <v>59</v>
      </c>
      <c r="C3822" s="9">
        <v>45992</v>
      </c>
      <c r="D3822">
        <v>51</v>
      </c>
      <c r="E3822" s="16" t="s">
        <v>141</v>
      </c>
      <c r="F3822" s="16" t="s">
        <v>81</v>
      </c>
      <c r="G3822" s="22">
        <v>15</v>
      </c>
      <c r="H3822" s="18">
        <v>45.975000000000001</v>
      </c>
      <c r="I3822" s="18">
        <v>3.0649999999999999</v>
      </c>
      <c r="J3822" s="18">
        <v>3.11</v>
      </c>
      <c r="K3822" s="18">
        <v>3</v>
      </c>
      <c r="L3822" s="22">
        <v>3</v>
      </c>
    </row>
    <row r="3823" spans="1:12">
      <c r="A3823">
        <v>4</v>
      </c>
      <c r="B3823" s="16" t="s">
        <v>59</v>
      </c>
      <c r="C3823" s="9">
        <v>46023</v>
      </c>
      <c r="D3823">
        <v>51</v>
      </c>
      <c r="E3823" s="16" t="s">
        <v>141</v>
      </c>
      <c r="F3823" s="16" t="s">
        <v>81</v>
      </c>
      <c r="G3823" s="22">
        <v>3.75</v>
      </c>
      <c r="H3823" s="18">
        <v>11.4</v>
      </c>
      <c r="I3823" s="18">
        <v>3.04</v>
      </c>
      <c r="J3823" s="18">
        <v>3.04</v>
      </c>
      <c r="K3823" s="18">
        <v>3.04</v>
      </c>
      <c r="L3823" s="22">
        <v>1</v>
      </c>
    </row>
    <row r="3824" spans="1:12">
      <c r="A3824">
        <v>4</v>
      </c>
      <c r="B3824" s="16" t="s">
        <v>59</v>
      </c>
      <c r="C3824" s="9">
        <v>46054</v>
      </c>
      <c r="D3824">
        <v>51</v>
      </c>
      <c r="E3824" s="16" t="s">
        <v>141</v>
      </c>
      <c r="F3824" s="16" t="s">
        <v>81</v>
      </c>
      <c r="G3824" s="22">
        <v>7.5</v>
      </c>
      <c r="H3824" s="18">
        <v>22.837499999999999</v>
      </c>
      <c r="I3824" s="18">
        <v>3.0449999999999999</v>
      </c>
      <c r="J3824" s="18">
        <v>3.07</v>
      </c>
      <c r="K3824" s="18">
        <v>3.02</v>
      </c>
      <c r="L3824" s="22">
        <v>2</v>
      </c>
    </row>
    <row r="3825" spans="1:12">
      <c r="A3825">
        <v>4</v>
      </c>
      <c r="B3825" s="16" t="s">
        <v>59</v>
      </c>
      <c r="C3825" s="9">
        <v>46082</v>
      </c>
      <c r="D3825">
        <v>51</v>
      </c>
      <c r="E3825" s="16" t="s">
        <v>141</v>
      </c>
      <c r="F3825" s="16" t="s">
        <v>81</v>
      </c>
      <c r="G3825" s="22">
        <v>3.75</v>
      </c>
      <c r="H3825" s="18">
        <v>11.55</v>
      </c>
      <c r="I3825" s="18">
        <v>3.08</v>
      </c>
      <c r="J3825" s="18">
        <v>3.08</v>
      </c>
      <c r="K3825" s="18">
        <v>3.08</v>
      </c>
      <c r="L3825" s="22">
        <v>1</v>
      </c>
    </row>
    <row r="3826" spans="1:12">
      <c r="A3826">
        <v>4</v>
      </c>
      <c r="B3826" s="16" t="s">
        <v>59</v>
      </c>
      <c r="C3826" s="9">
        <v>46113</v>
      </c>
      <c r="D3826">
        <v>51</v>
      </c>
      <c r="E3826" s="16" t="s">
        <v>141</v>
      </c>
      <c r="F3826" s="16" t="s">
        <v>81</v>
      </c>
      <c r="G3826" s="22">
        <v>3.75</v>
      </c>
      <c r="H3826" s="18">
        <v>11.362500000000001</v>
      </c>
      <c r="I3826" s="18">
        <v>3.03</v>
      </c>
      <c r="J3826" s="18">
        <v>3.03</v>
      </c>
      <c r="K3826" s="18">
        <v>3.03</v>
      </c>
      <c r="L3826" s="22">
        <v>1</v>
      </c>
    </row>
    <row r="3827" spans="1:12">
      <c r="A3827">
        <v>4</v>
      </c>
      <c r="B3827" s="16" t="s">
        <v>59</v>
      </c>
      <c r="C3827" s="9">
        <v>46143</v>
      </c>
      <c r="D3827">
        <v>51</v>
      </c>
      <c r="E3827" s="16" t="s">
        <v>141</v>
      </c>
      <c r="F3827" s="16" t="s">
        <v>81</v>
      </c>
      <c r="G3827" s="22">
        <v>7.5</v>
      </c>
      <c r="H3827" s="18">
        <v>22.837499999999999</v>
      </c>
      <c r="I3827" s="18">
        <v>3.0449999999999999</v>
      </c>
      <c r="J3827" s="18">
        <v>3.08</v>
      </c>
      <c r="K3827" s="18">
        <v>3.01</v>
      </c>
      <c r="L3827" s="22">
        <v>2</v>
      </c>
    </row>
    <row r="3828" spans="1:12">
      <c r="A3828">
        <v>4</v>
      </c>
      <c r="B3828" s="16" t="s">
        <v>59</v>
      </c>
      <c r="C3828" s="9">
        <v>46174</v>
      </c>
      <c r="D3828">
        <v>51</v>
      </c>
      <c r="E3828" s="16" t="s">
        <v>141</v>
      </c>
      <c r="F3828" s="16" t="s">
        <v>81</v>
      </c>
      <c r="G3828" s="22">
        <v>3.75</v>
      </c>
      <c r="H3828" s="18">
        <v>11.25</v>
      </c>
      <c r="I3828" s="18">
        <v>3</v>
      </c>
      <c r="J3828" s="18">
        <v>3</v>
      </c>
      <c r="K3828" s="18">
        <v>3</v>
      </c>
      <c r="L3828" s="22">
        <v>1</v>
      </c>
    </row>
    <row r="3829" spans="1:12">
      <c r="A3829">
        <v>4</v>
      </c>
      <c r="B3829" s="16" t="s">
        <v>59</v>
      </c>
      <c r="C3829" s="9">
        <v>46204</v>
      </c>
      <c r="D3829">
        <v>51</v>
      </c>
      <c r="E3829" s="16" t="s">
        <v>141</v>
      </c>
      <c r="F3829" s="16" t="s">
        <v>81</v>
      </c>
      <c r="G3829" s="22">
        <v>7.5</v>
      </c>
      <c r="H3829" s="18">
        <v>22.65</v>
      </c>
      <c r="I3829" s="18">
        <v>3.02</v>
      </c>
      <c r="J3829" s="18">
        <v>3.03</v>
      </c>
      <c r="K3829" s="18">
        <v>3.01</v>
      </c>
      <c r="L3829" s="22">
        <v>2</v>
      </c>
    </row>
    <row r="3830" spans="1:12">
      <c r="A3830">
        <v>4</v>
      </c>
      <c r="B3830" s="16" t="s">
        <v>59</v>
      </c>
      <c r="C3830" s="9">
        <v>46235</v>
      </c>
      <c r="D3830">
        <v>51</v>
      </c>
      <c r="E3830" s="16" t="s">
        <v>141</v>
      </c>
      <c r="F3830" s="16" t="s">
        <v>81</v>
      </c>
      <c r="G3830" s="22">
        <v>7.5</v>
      </c>
      <c r="H3830" s="18">
        <v>22.537500000000001</v>
      </c>
      <c r="I3830" s="18">
        <v>3.0049999999999999</v>
      </c>
      <c r="J3830" s="18">
        <v>3.03</v>
      </c>
      <c r="K3830" s="18">
        <v>2.98</v>
      </c>
      <c r="L3830" s="22">
        <v>2</v>
      </c>
    </row>
    <row r="3831" spans="1:12">
      <c r="A3831">
        <v>4</v>
      </c>
      <c r="B3831" s="16" t="s">
        <v>59</v>
      </c>
      <c r="C3831" s="9">
        <v>46266</v>
      </c>
      <c r="D3831">
        <v>51</v>
      </c>
      <c r="E3831" s="16" t="s">
        <v>141</v>
      </c>
      <c r="F3831" s="16" t="s">
        <v>81</v>
      </c>
      <c r="G3831" s="22">
        <v>3.75</v>
      </c>
      <c r="H3831" s="18">
        <v>11.2875</v>
      </c>
      <c r="I3831" s="18">
        <v>3.01</v>
      </c>
      <c r="J3831" s="18">
        <v>3.01</v>
      </c>
      <c r="K3831" s="18">
        <v>3.01</v>
      </c>
      <c r="L3831" s="22">
        <v>1</v>
      </c>
    </row>
    <row r="3832" spans="1:12">
      <c r="A3832">
        <v>4</v>
      </c>
      <c r="B3832" s="16" t="s">
        <v>59</v>
      </c>
      <c r="C3832" s="9">
        <v>45689</v>
      </c>
      <c r="D3832">
        <v>52</v>
      </c>
      <c r="E3832" s="16" t="s">
        <v>142</v>
      </c>
      <c r="F3832" s="16" t="s">
        <v>108</v>
      </c>
      <c r="G3832" s="22">
        <v>6</v>
      </c>
      <c r="H3832" s="18">
        <v>6.24</v>
      </c>
      <c r="I3832" s="18">
        <v>1.04</v>
      </c>
      <c r="J3832" s="18">
        <v>1.04</v>
      </c>
      <c r="K3832" s="18">
        <v>1.04</v>
      </c>
      <c r="L3832" s="22">
        <v>1</v>
      </c>
    </row>
    <row r="3833" spans="1:12">
      <c r="A3833">
        <v>4</v>
      </c>
      <c r="B3833" s="16" t="s">
        <v>59</v>
      </c>
      <c r="C3833" s="9">
        <v>45748</v>
      </c>
      <c r="D3833">
        <v>52</v>
      </c>
      <c r="E3833" s="16" t="s">
        <v>142</v>
      </c>
      <c r="F3833" s="16" t="s">
        <v>108</v>
      </c>
      <c r="G3833" s="22">
        <v>6</v>
      </c>
      <c r="H3833" s="18">
        <v>6.3</v>
      </c>
      <c r="I3833" s="18">
        <v>1.05</v>
      </c>
      <c r="J3833" s="18">
        <v>1.05</v>
      </c>
      <c r="K3833" s="18">
        <v>1.05</v>
      </c>
      <c r="L3833" s="22">
        <v>1</v>
      </c>
    </row>
    <row r="3834" spans="1:12">
      <c r="A3834">
        <v>4</v>
      </c>
      <c r="B3834" s="16" t="s">
        <v>59</v>
      </c>
      <c r="C3834" s="9">
        <v>45778</v>
      </c>
      <c r="D3834">
        <v>52</v>
      </c>
      <c r="E3834" s="16" t="s">
        <v>142</v>
      </c>
      <c r="F3834" s="16" t="s">
        <v>108</v>
      </c>
      <c r="G3834" s="22">
        <v>6</v>
      </c>
      <c r="H3834" s="18">
        <v>6.36</v>
      </c>
      <c r="I3834" s="18">
        <v>1.06</v>
      </c>
      <c r="J3834" s="18">
        <v>1.06</v>
      </c>
      <c r="K3834" s="18">
        <v>1.06</v>
      </c>
      <c r="L3834" s="22">
        <v>1</v>
      </c>
    </row>
    <row r="3835" spans="1:12">
      <c r="A3835">
        <v>4</v>
      </c>
      <c r="B3835" s="16" t="s">
        <v>59</v>
      </c>
      <c r="C3835" s="9">
        <v>45809</v>
      </c>
      <c r="D3835">
        <v>52</v>
      </c>
      <c r="E3835" s="16" t="s">
        <v>142</v>
      </c>
      <c r="F3835" s="16" t="s">
        <v>108</v>
      </c>
      <c r="G3835" s="22">
        <v>6</v>
      </c>
      <c r="H3835" s="18">
        <v>6.42</v>
      </c>
      <c r="I3835" s="18">
        <v>1.07</v>
      </c>
      <c r="J3835" s="18">
        <v>1.07</v>
      </c>
      <c r="K3835" s="18">
        <v>1.07</v>
      </c>
      <c r="L3835" s="22">
        <v>1</v>
      </c>
    </row>
    <row r="3836" spans="1:12">
      <c r="A3836">
        <v>4</v>
      </c>
      <c r="B3836" s="16" t="s">
        <v>59</v>
      </c>
      <c r="C3836" s="9">
        <v>45839</v>
      </c>
      <c r="D3836">
        <v>52</v>
      </c>
      <c r="E3836" s="16" t="s">
        <v>142</v>
      </c>
      <c r="F3836" s="16" t="s">
        <v>108</v>
      </c>
      <c r="G3836" s="22">
        <v>6</v>
      </c>
      <c r="H3836" s="18">
        <v>6.48</v>
      </c>
      <c r="I3836" s="18">
        <v>1.08</v>
      </c>
      <c r="J3836" s="18">
        <v>1.08</v>
      </c>
      <c r="K3836" s="18">
        <v>1.08</v>
      </c>
      <c r="L3836" s="22">
        <v>1</v>
      </c>
    </row>
    <row r="3837" spans="1:12">
      <c r="A3837">
        <v>4</v>
      </c>
      <c r="B3837" s="16" t="s">
        <v>59</v>
      </c>
      <c r="C3837" s="9">
        <v>45870</v>
      </c>
      <c r="D3837">
        <v>52</v>
      </c>
      <c r="E3837" s="16" t="s">
        <v>142</v>
      </c>
      <c r="F3837" s="16" t="s">
        <v>108</v>
      </c>
      <c r="G3837" s="22">
        <v>6</v>
      </c>
      <c r="H3837" s="18">
        <v>6.36</v>
      </c>
      <c r="I3837" s="18">
        <v>1.06</v>
      </c>
      <c r="J3837" s="18">
        <v>1.06</v>
      </c>
      <c r="K3837" s="18">
        <v>1.06</v>
      </c>
      <c r="L3837" s="22">
        <v>1</v>
      </c>
    </row>
    <row r="3838" spans="1:12">
      <c r="A3838">
        <v>4</v>
      </c>
      <c r="B3838" s="16" t="s">
        <v>59</v>
      </c>
      <c r="C3838" s="9">
        <v>45901</v>
      </c>
      <c r="D3838">
        <v>52</v>
      </c>
      <c r="E3838" s="16" t="s">
        <v>142</v>
      </c>
      <c r="F3838" s="16" t="s">
        <v>108</v>
      </c>
      <c r="G3838" s="22">
        <v>6</v>
      </c>
      <c r="H3838" s="18">
        <v>6.18</v>
      </c>
      <c r="I3838" s="18">
        <v>1.03</v>
      </c>
      <c r="J3838" s="18">
        <v>1.03</v>
      </c>
      <c r="K3838" s="18">
        <v>1.03</v>
      </c>
      <c r="L3838" s="22">
        <v>1</v>
      </c>
    </row>
    <row r="3839" spans="1:12">
      <c r="A3839">
        <v>4</v>
      </c>
      <c r="B3839" s="16" t="s">
        <v>59</v>
      </c>
      <c r="C3839" s="9">
        <v>45931</v>
      </c>
      <c r="D3839">
        <v>52</v>
      </c>
      <c r="E3839" s="16" t="s">
        <v>142</v>
      </c>
      <c r="F3839" s="16" t="s">
        <v>108</v>
      </c>
      <c r="G3839" s="22">
        <v>6</v>
      </c>
      <c r="H3839" s="18">
        <v>6.12</v>
      </c>
      <c r="I3839" s="18">
        <v>1.02</v>
      </c>
      <c r="J3839" s="18">
        <v>1.02</v>
      </c>
      <c r="K3839" s="18">
        <v>1.02</v>
      </c>
      <c r="L3839" s="22">
        <v>1</v>
      </c>
    </row>
    <row r="3840" spans="1:12">
      <c r="A3840">
        <v>4</v>
      </c>
      <c r="B3840" s="16" t="s">
        <v>59</v>
      </c>
      <c r="C3840" s="9">
        <v>45962</v>
      </c>
      <c r="D3840">
        <v>52</v>
      </c>
      <c r="E3840" s="16" t="s">
        <v>142</v>
      </c>
      <c r="F3840" s="16" t="s">
        <v>108</v>
      </c>
      <c r="G3840" s="22">
        <v>6</v>
      </c>
      <c r="H3840" s="18">
        <v>6.24</v>
      </c>
      <c r="I3840" s="18">
        <v>1.04</v>
      </c>
      <c r="J3840" s="18">
        <v>1.04</v>
      </c>
      <c r="K3840" s="18">
        <v>1.04</v>
      </c>
      <c r="L3840" s="22">
        <v>1</v>
      </c>
    </row>
    <row r="3841" spans="1:12">
      <c r="A3841">
        <v>4</v>
      </c>
      <c r="B3841" s="16" t="s">
        <v>59</v>
      </c>
      <c r="C3841" s="9">
        <v>45992</v>
      </c>
      <c r="D3841">
        <v>52</v>
      </c>
      <c r="E3841" s="16" t="s">
        <v>142</v>
      </c>
      <c r="F3841" s="16" t="s">
        <v>108</v>
      </c>
      <c r="G3841" s="22">
        <v>6</v>
      </c>
      <c r="H3841" s="18">
        <v>6.3</v>
      </c>
      <c r="I3841" s="18">
        <v>1.05</v>
      </c>
      <c r="J3841" s="18">
        <v>1.05</v>
      </c>
      <c r="K3841" s="18">
        <v>1.05</v>
      </c>
      <c r="L3841" s="22">
        <v>1</v>
      </c>
    </row>
    <row r="3842" spans="1:12">
      <c r="A3842">
        <v>4</v>
      </c>
      <c r="B3842" s="16" t="s">
        <v>59</v>
      </c>
      <c r="C3842" s="9">
        <v>46023</v>
      </c>
      <c r="D3842">
        <v>52</v>
      </c>
      <c r="E3842" s="16" t="s">
        <v>142</v>
      </c>
      <c r="F3842" s="16" t="s">
        <v>108</v>
      </c>
      <c r="G3842" s="22">
        <v>6</v>
      </c>
      <c r="H3842" s="18">
        <v>6.12</v>
      </c>
      <c r="I3842" s="18">
        <v>1.02</v>
      </c>
      <c r="J3842" s="18">
        <v>1.02</v>
      </c>
      <c r="K3842" s="18">
        <v>1.02</v>
      </c>
      <c r="L3842" s="22">
        <v>1</v>
      </c>
    </row>
    <row r="3843" spans="1:12">
      <c r="A3843">
        <v>4</v>
      </c>
      <c r="B3843" s="16" t="s">
        <v>59</v>
      </c>
      <c r="C3843" s="9">
        <v>46082</v>
      </c>
      <c r="D3843">
        <v>52</v>
      </c>
      <c r="E3843" s="16" t="s">
        <v>142</v>
      </c>
      <c r="F3843" s="16" t="s">
        <v>108</v>
      </c>
      <c r="G3843" s="22">
        <v>6</v>
      </c>
      <c r="H3843" s="18">
        <v>6.18</v>
      </c>
      <c r="I3843" s="18">
        <v>1.03</v>
      </c>
      <c r="J3843" s="18">
        <v>1.03</v>
      </c>
      <c r="K3843" s="18">
        <v>1.03</v>
      </c>
      <c r="L3843" s="22">
        <v>1</v>
      </c>
    </row>
    <row r="3844" spans="1:12">
      <c r="A3844">
        <v>4</v>
      </c>
      <c r="B3844" s="16" t="s">
        <v>59</v>
      </c>
      <c r="C3844" s="9">
        <v>46113</v>
      </c>
      <c r="D3844">
        <v>52</v>
      </c>
      <c r="E3844" s="16" t="s">
        <v>142</v>
      </c>
      <c r="F3844" s="16" t="s">
        <v>108</v>
      </c>
      <c r="G3844" s="22">
        <v>6</v>
      </c>
      <c r="H3844" s="18">
        <v>6.24</v>
      </c>
      <c r="I3844" s="18">
        <v>1.04</v>
      </c>
      <c r="J3844" s="18">
        <v>1.04</v>
      </c>
      <c r="K3844" s="18">
        <v>1.04</v>
      </c>
      <c r="L3844" s="22">
        <v>1</v>
      </c>
    </row>
    <row r="3845" spans="1:12">
      <c r="A3845">
        <v>4</v>
      </c>
      <c r="B3845" s="16" t="s">
        <v>59</v>
      </c>
      <c r="C3845" s="9">
        <v>46143</v>
      </c>
      <c r="D3845">
        <v>52</v>
      </c>
      <c r="E3845" s="16" t="s">
        <v>142</v>
      </c>
      <c r="F3845" s="16" t="s">
        <v>108</v>
      </c>
      <c r="G3845" s="22">
        <v>6</v>
      </c>
      <c r="H3845" s="18">
        <v>6.3</v>
      </c>
      <c r="I3845" s="18">
        <v>1.05</v>
      </c>
      <c r="J3845" s="18">
        <v>1.05</v>
      </c>
      <c r="K3845" s="18">
        <v>1.05</v>
      </c>
      <c r="L3845" s="22">
        <v>1</v>
      </c>
    </row>
    <row r="3846" spans="1:12">
      <c r="A3846">
        <v>4</v>
      </c>
      <c r="B3846" s="16" t="s">
        <v>59</v>
      </c>
      <c r="C3846" s="9">
        <v>46174</v>
      </c>
      <c r="D3846">
        <v>52</v>
      </c>
      <c r="E3846" s="16" t="s">
        <v>142</v>
      </c>
      <c r="F3846" s="16" t="s">
        <v>108</v>
      </c>
      <c r="G3846" s="22">
        <v>6</v>
      </c>
      <c r="H3846" s="18">
        <v>6.36</v>
      </c>
      <c r="I3846" s="18">
        <v>1.06</v>
      </c>
      <c r="J3846" s="18">
        <v>1.06</v>
      </c>
      <c r="K3846" s="18">
        <v>1.06</v>
      </c>
      <c r="L3846" s="22">
        <v>1</v>
      </c>
    </row>
    <row r="3847" spans="1:12">
      <c r="A3847">
        <v>4</v>
      </c>
      <c r="B3847" s="16" t="s">
        <v>59</v>
      </c>
      <c r="C3847" s="9">
        <v>46204</v>
      </c>
      <c r="D3847">
        <v>52</v>
      </c>
      <c r="E3847" s="16" t="s">
        <v>142</v>
      </c>
      <c r="F3847" s="16" t="s">
        <v>108</v>
      </c>
      <c r="G3847" s="22">
        <v>6</v>
      </c>
      <c r="H3847" s="18">
        <v>6.18</v>
      </c>
      <c r="I3847" s="18">
        <v>1.03</v>
      </c>
      <c r="J3847" s="18">
        <v>1.03</v>
      </c>
      <c r="K3847" s="18">
        <v>1.03</v>
      </c>
      <c r="L3847" s="22">
        <v>1</v>
      </c>
    </row>
    <row r="3848" spans="1:12">
      <c r="A3848">
        <v>4</v>
      </c>
      <c r="B3848" s="16" t="s">
        <v>59</v>
      </c>
      <c r="C3848" s="9">
        <v>46266</v>
      </c>
      <c r="D3848">
        <v>52</v>
      </c>
      <c r="E3848" s="16" t="s">
        <v>142</v>
      </c>
      <c r="F3848" s="16" t="s">
        <v>108</v>
      </c>
      <c r="G3848" s="22">
        <v>12</v>
      </c>
      <c r="H3848" s="18">
        <v>12.54</v>
      </c>
      <c r="I3848" s="18">
        <v>1.0449999999999999</v>
      </c>
      <c r="J3848" s="18">
        <v>1.05</v>
      </c>
      <c r="K3848" s="18">
        <v>1.04</v>
      </c>
      <c r="L3848" s="22">
        <v>2</v>
      </c>
    </row>
    <row r="3849" spans="1:12">
      <c r="A3849">
        <v>4</v>
      </c>
      <c r="B3849" s="16" t="s">
        <v>59</v>
      </c>
      <c r="C3849" s="9">
        <v>45689</v>
      </c>
      <c r="D3849">
        <v>53</v>
      </c>
      <c r="E3849" s="16" t="s">
        <v>143</v>
      </c>
      <c r="F3849" s="16" t="s">
        <v>103</v>
      </c>
      <c r="G3849" s="22">
        <v>4.5</v>
      </c>
      <c r="H3849" s="18">
        <v>35.865000000000002</v>
      </c>
      <c r="I3849" s="18">
        <v>7.97</v>
      </c>
      <c r="J3849" s="18">
        <v>7.97</v>
      </c>
      <c r="K3849" s="18">
        <v>7.97</v>
      </c>
      <c r="L3849" s="22">
        <v>1</v>
      </c>
    </row>
    <row r="3850" spans="1:12">
      <c r="A3850">
        <v>4</v>
      </c>
      <c r="B3850" s="16" t="s">
        <v>59</v>
      </c>
      <c r="C3850" s="9">
        <v>45717</v>
      </c>
      <c r="D3850">
        <v>53</v>
      </c>
      <c r="E3850" s="16" t="s">
        <v>143</v>
      </c>
      <c r="F3850" s="16" t="s">
        <v>103</v>
      </c>
      <c r="G3850" s="22">
        <v>9</v>
      </c>
      <c r="H3850" s="18">
        <v>71.685000000000002</v>
      </c>
      <c r="I3850" s="18">
        <v>7.9649999999999999</v>
      </c>
      <c r="J3850" s="18">
        <v>8.0399999999999991</v>
      </c>
      <c r="K3850" s="18">
        <v>7.89</v>
      </c>
      <c r="L3850" s="22">
        <v>2</v>
      </c>
    </row>
    <row r="3851" spans="1:12">
      <c r="A3851">
        <v>4</v>
      </c>
      <c r="B3851" s="16" t="s">
        <v>59</v>
      </c>
      <c r="C3851" s="9">
        <v>45748</v>
      </c>
      <c r="D3851">
        <v>53</v>
      </c>
      <c r="E3851" s="16" t="s">
        <v>143</v>
      </c>
      <c r="F3851" s="16" t="s">
        <v>103</v>
      </c>
      <c r="G3851" s="22">
        <v>9</v>
      </c>
      <c r="H3851" s="18">
        <v>70.875</v>
      </c>
      <c r="I3851" s="18">
        <v>7.875</v>
      </c>
      <c r="J3851" s="18">
        <v>8.0500000000000007</v>
      </c>
      <c r="K3851" s="18">
        <v>7.7</v>
      </c>
      <c r="L3851" s="22">
        <v>2</v>
      </c>
    </row>
    <row r="3852" spans="1:12">
      <c r="A3852">
        <v>4</v>
      </c>
      <c r="B3852" s="16" t="s">
        <v>59</v>
      </c>
      <c r="C3852" s="9">
        <v>45778</v>
      </c>
      <c r="D3852">
        <v>53</v>
      </c>
      <c r="E3852" s="16" t="s">
        <v>143</v>
      </c>
      <c r="F3852" s="16" t="s">
        <v>103</v>
      </c>
      <c r="G3852" s="22">
        <v>9</v>
      </c>
      <c r="H3852" s="18">
        <v>72.09</v>
      </c>
      <c r="I3852" s="18">
        <v>8.01</v>
      </c>
      <c r="J3852" s="18">
        <v>8.0399999999999991</v>
      </c>
      <c r="K3852" s="18">
        <v>7.98</v>
      </c>
      <c r="L3852" s="22">
        <v>2</v>
      </c>
    </row>
    <row r="3853" spans="1:12">
      <c r="A3853">
        <v>4</v>
      </c>
      <c r="B3853" s="16" t="s">
        <v>59</v>
      </c>
      <c r="C3853" s="9">
        <v>45809</v>
      </c>
      <c r="D3853">
        <v>53</v>
      </c>
      <c r="E3853" s="16" t="s">
        <v>143</v>
      </c>
      <c r="F3853" s="16" t="s">
        <v>103</v>
      </c>
      <c r="G3853" s="22">
        <v>4.5</v>
      </c>
      <c r="H3853" s="18">
        <v>35.865000000000002</v>
      </c>
      <c r="I3853" s="18">
        <v>7.97</v>
      </c>
      <c r="J3853" s="18">
        <v>7.97</v>
      </c>
      <c r="K3853" s="18">
        <v>7.97</v>
      </c>
      <c r="L3853" s="22">
        <v>1</v>
      </c>
    </row>
    <row r="3854" spans="1:12">
      <c r="A3854">
        <v>4</v>
      </c>
      <c r="B3854" s="16" t="s">
        <v>59</v>
      </c>
      <c r="C3854" s="9">
        <v>45839</v>
      </c>
      <c r="D3854">
        <v>53</v>
      </c>
      <c r="E3854" s="16" t="s">
        <v>143</v>
      </c>
      <c r="F3854" s="16" t="s">
        <v>103</v>
      </c>
      <c r="G3854" s="22">
        <v>9</v>
      </c>
      <c r="H3854" s="18">
        <v>72.855000000000004</v>
      </c>
      <c r="I3854" s="18">
        <v>8.0950000000000006</v>
      </c>
      <c r="J3854" s="18">
        <v>8.19</v>
      </c>
      <c r="K3854" s="18">
        <v>8</v>
      </c>
      <c r="L3854" s="22">
        <v>2</v>
      </c>
    </row>
    <row r="3855" spans="1:12">
      <c r="A3855">
        <v>4</v>
      </c>
      <c r="B3855" s="16" t="s">
        <v>59</v>
      </c>
      <c r="C3855" s="9">
        <v>45870</v>
      </c>
      <c r="D3855">
        <v>53</v>
      </c>
      <c r="E3855" s="16" t="s">
        <v>143</v>
      </c>
      <c r="F3855" s="16" t="s">
        <v>103</v>
      </c>
      <c r="G3855" s="22">
        <v>4.5</v>
      </c>
      <c r="H3855" s="18">
        <v>36.405000000000001</v>
      </c>
      <c r="I3855" s="18">
        <v>8.09</v>
      </c>
      <c r="J3855" s="18">
        <v>8.09</v>
      </c>
      <c r="K3855" s="18">
        <v>8.09</v>
      </c>
      <c r="L3855" s="22">
        <v>1</v>
      </c>
    </row>
    <row r="3856" spans="1:12">
      <c r="A3856">
        <v>4</v>
      </c>
      <c r="B3856" s="16" t="s">
        <v>59</v>
      </c>
      <c r="C3856" s="9">
        <v>45901</v>
      </c>
      <c r="D3856">
        <v>53</v>
      </c>
      <c r="E3856" s="16" t="s">
        <v>143</v>
      </c>
      <c r="F3856" s="16" t="s">
        <v>103</v>
      </c>
      <c r="G3856" s="22">
        <v>13.5</v>
      </c>
      <c r="H3856" s="18">
        <v>111.015</v>
      </c>
      <c r="I3856" s="18">
        <v>8.2233333329999994</v>
      </c>
      <c r="J3856" s="18">
        <v>8.3699999999999992</v>
      </c>
      <c r="K3856" s="18">
        <v>8.14</v>
      </c>
      <c r="L3856" s="22">
        <v>3</v>
      </c>
    </row>
    <row r="3857" spans="1:12">
      <c r="A3857">
        <v>4</v>
      </c>
      <c r="B3857" s="16" t="s">
        <v>59</v>
      </c>
      <c r="C3857" s="9">
        <v>45931</v>
      </c>
      <c r="D3857">
        <v>53</v>
      </c>
      <c r="E3857" s="16" t="s">
        <v>143</v>
      </c>
      <c r="F3857" s="16" t="s">
        <v>103</v>
      </c>
      <c r="G3857" s="22">
        <v>4.5</v>
      </c>
      <c r="H3857" s="18">
        <v>35.505000000000003</v>
      </c>
      <c r="I3857" s="18">
        <v>7.89</v>
      </c>
      <c r="J3857" s="18">
        <v>7.89</v>
      </c>
      <c r="K3857" s="18">
        <v>7.89</v>
      </c>
      <c r="L3857" s="22">
        <v>1</v>
      </c>
    </row>
    <row r="3858" spans="1:12">
      <c r="A3858">
        <v>4</v>
      </c>
      <c r="B3858" s="16" t="s">
        <v>59</v>
      </c>
      <c r="C3858" s="9">
        <v>45962</v>
      </c>
      <c r="D3858">
        <v>53</v>
      </c>
      <c r="E3858" s="16" t="s">
        <v>143</v>
      </c>
      <c r="F3858" s="16" t="s">
        <v>103</v>
      </c>
      <c r="G3858" s="22">
        <v>9</v>
      </c>
      <c r="H3858" s="18">
        <v>72.900000000000006</v>
      </c>
      <c r="I3858" s="18">
        <v>8.1</v>
      </c>
      <c r="J3858" s="18">
        <v>8.19</v>
      </c>
      <c r="K3858" s="18">
        <v>8.01</v>
      </c>
      <c r="L3858" s="22">
        <v>2</v>
      </c>
    </row>
    <row r="3859" spans="1:12">
      <c r="A3859">
        <v>4</v>
      </c>
      <c r="B3859" s="16" t="s">
        <v>59</v>
      </c>
      <c r="C3859" s="9">
        <v>45992</v>
      </c>
      <c r="D3859">
        <v>53</v>
      </c>
      <c r="E3859" s="16" t="s">
        <v>143</v>
      </c>
      <c r="F3859" s="16" t="s">
        <v>103</v>
      </c>
      <c r="G3859" s="22">
        <v>9</v>
      </c>
      <c r="H3859" s="18">
        <v>72.63</v>
      </c>
      <c r="I3859" s="18">
        <v>8.07</v>
      </c>
      <c r="J3859" s="18">
        <v>8.09</v>
      </c>
      <c r="K3859" s="18">
        <v>8.0500000000000007</v>
      </c>
      <c r="L3859" s="22">
        <v>2</v>
      </c>
    </row>
    <row r="3860" spans="1:12">
      <c r="A3860">
        <v>4</v>
      </c>
      <c r="B3860" s="16" t="s">
        <v>59</v>
      </c>
      <c r="C3860" s="9">
        <v>46023</v>
      </c>
      <c r="D3860">
        <v>53</v>
      </c>
      <c r="E3860" s="16" t="s">
        <v>143</v>
      </c>
      <c r="F3860" s="16" t="s">
        <v>103</v>
      </c>
      <c r="G3860" s="22">
        <v>4.5</v>
      </c>
      <c r="H3860" s="18">
        <v>36.99</v>
      </c>
      <c r="I3860" s="18">
        <v>8.2200000000000006</v>
      </c>
      <c r="J3860" s="18">
        <v>8.2200000000000006</v>
      </c>
      <c r="K3860" s="18">
        <v>8.2200000000000006</v>
      </c>
      <c r="L3860" s="22">
        <v>1</v>
      </c>
    </row>
    <row r="3861" spans="1:12">
      <c r="A3861">
        <v>4</v>
      </c>
      <c r="B3861" s="16" t="s">
        <v>59</v>
      </c>
      <c r="C3861" s="9">
        <v>46054</v>
      </c>
      <c r="D3861">
        <v>53</v>
      </c>
      <c r="E3861" s="16" t="s">
        <v>143</v>
      </c>
      <c r="F3861" s="16" t="s">
        <v>103</v>
      </c>
      <c r="G3861" s="22">
        <v>9</v>
      </c>
      <c r="H3861" s="18">
        <v>72.765000000000001</v>
      </c>
      <c r="I3861" s="18">
        <v>8.0850000000000009</v>
      </c>
      <c r="J3861" s="18">
        <v>8.14</v>
      </c>
      <c r="K3861" s="18">
        <v>8.0299999999999994</v>
      </c>
      <c r="L3861" s="22">
        <v>2</v>
      </c>
    </row>
    <row r="3862" spans="1:12">
      <c r="A3862">
        <v>4</v>
      </c>
      <c r="B3862" s="16" t="s">
        <v>59</v>
      </c>
      <c r="C3862" s="9">
        <v>46082</v>
      </c>
      <c r="D3862">
        <v>53</v>
      </c>
      <c r="E3862" s="16" t="s">
        <v>143</v>
      </c>
      <c r="F3862" s="16" t="s">
        <v>103</v>
      </c>
      <c r="G3862" s="22">
        <v>9</v>
      </c>
      <c r="H3862" s="18">
        <v>73.034999999999997</v>
      </c>
      <c r="I3862" s="18">
        <v>8.1150000000000002</v>
      </c>
      <c r="J3862" s="18">
        <v>8.15</v>
      </c>
      <c r="K3862" s="18">
        <v>8.08</v>
      </c>
      <c r="L3862" s="22">
        <v>2</v>
      </c>
    </row>
    <row r="3863" spans="1:12">
      <c r="A3863">
        <v>4</v>
      </c>
      <c r="B3863" s="16" t="s">
        <v>59</v>
      </c>
      <c r="C3863" s="9">
        <v>46113</v>
      </c>
      <c r="D3863">
        <v>53</v>
      </c>
      <c r="E3863" s="16" t="s">
        <v>143</v>
      </c>
      <c r="F3863" s="16" t="s">
        <v>103</v>
      </c>
      <c r="G3863" s="22">
        <v>9</v>
      </c>
      <c r="H3863" s="18">
        <v>73.125</v>
      </c>
      <c r="I3863" s="18">
        <v>8.125</v>
      </c>
      <c r="J3863" s="18">
        <v>8.26</v>
      </c>
      <c r="K3863" s="18">
        <v>7.99</v>
      </c>
      <c r="L3863" s="22">
        <v>2</v>
      </c>
    </row>
    <row r="3864" spans="1:12">
      <c r="A3864">
        <v>4</v>
      </c>
      <c r="B3864" s="16" t="s">
        <v>59</v>
      </c>
      <c r="C3864" s="9">
        <v>46143</v>
      </c>
      <c r="D3864">
        <v>53</v>
      </c>
      <c r="E3864" s="16" t="s">
        <v>143</v>
      </c>
      <c r="F3864" s="16" t="s">
        <v>103</v>
      </c>
      <c r="G3864" s="22">
        <v>4.5</v>
      </c>
      <c r="H3864" s="18">
        <v>37.71</v>
      </c>
      <c r="I3864" s="18">
        <v>8.3800000000000008</v>
      </c>
      <c r="J3864" s="18">
        <v>8.3800000000000008</v>
      </c>
      <c r="K3864" s="18">
        <v>8.3800000000000008</v>
      </c>
      <c r="L3864" s="22">
        <v>1</v>
      </c>
    </row>
    <row r="3865" spans="1:12">
      <c r="A3865">
        <v>4</v>
      </c>
      <c r="B3865" s="16" t="s">
        <v>59</v>
      </c>
      <c r="C3865" s="9">
        <v>46174</v>
      </c>
      <c r="D3865">
        <v>53</v>
      </c>
      <c r="E3865" s="16" t="s">
        <v>143</v>
      </c>
      <c r="F3865" s="16" t="s">
        <v>103</v>
      </c>
      <c r="G3865" s="22">
        <v>9</v>
      </c>
      <c r="H3865" s="18">
        <v>74.069999999999993</v>
      </c>
      <c r="I3865" s="18">
        <v>8.23</v>
      </c>
      <c r="J3865" s="18">
        <v>8.2899999999999991</v>
      </c>
      <c r="K3865" s="18">
        <v>8.17</v>
      </c>
      <c r="L3865" s="22">
        <v>2</v>
      </c>
    </row>
    <row r="3866" spans="1:12">
      <c r="A3866">
        <v>4</v>
      </c>
      <c r="B3866" s="16" t="s">
        <v>59</v>
      </c>
      <c r="C3866" s="9">
        <v>46204</v>
      </c>
      <c r="D3866">
        <v>53</v>
      </c>
      <c r="E3866" s="16" t="s">
        <v>143</v>
      </c>
      <c r="F3866" s="16" t="s">
        <v>103</v>
      </c>
      <c r="G3866" s="22">
        <v>4.5</v>
      </c>
      <c r="H3866" s="18">
        <v>36.494999999999997</v>
      </c>
      <c r="I3866" s="18">
        <v>8.11</v>
      </c>
      <c r="J3866" s="18">
        <v>8.11</v>
      </c>
      <c r="K3866" s="18">
        <v>8.11</v>
      </c>
      <c r="L3866" s="22">
        <v>1</v>
      </c>
    </row>
    <row r="3867" spans="1:12">
      <c r="A3867">
        <v>4</v>
      </c>
      <c r="B3867" s="16" t="s">
        <v>59</v>
      </c>
      <c r="C3867" s="9">
        <v>46235</v>
      </c>
      <c r="D3867">
        <v>53</v>
      </c>
      <c r="E3867" s="16" t="s">
        <v>143</v>
      </c>
      <c r="F3867" s="16" t="s">
        <v>103</v>
      </c>
      <c r="G3867" s="22">
        <v>9</v>
      </c>
      <c r="H3867" s="18">
        <v>72.81</v>
      </c>
      <c r="I3867" s="18">
        <v>8.09</v>
      </c>
      <c r="J3867" s="18">
        <v>8.09</v>
      </c>
      <c r="K3867" s="18">
        <v>8.09</v>
      </c>
      <c r="L3867" s="22">
        <v>2</v>
      </c>
    </row>
    <row r="3868" spans="1:12">
      <c r="A3868">
        <v>4</v>
      </c>
      <c r="B3868" s="16" t="s">
        <v>59</v>
      </c>
      <c r="C3868" s="9">
        <v>46266</v>
      </c>
      <c r="D3868">
        <v>53</v>
      </c>
      <c r="E3868" s="16" t="s">
        <v>143</v>
      </c>
      <c r="F3868" s="16" t="s">
        <v>103</v>
      </c>
      <c r="G3868" s="22">
        <v>4.5</v>
      </c>
      <c r="H3868" s="18">
        <v>36.405000000000001</v>
      </c>
      <c r="I3868" s="18">
        <v>8.09</v>
      </c>
      <c r="J3868" s="18">
        <v>8.09</v>
      </c>
      <c r="K3868" s="18">
        <v>8.09</v>
      </c>
      <c r="L3868" s="22">
        <v>1</v>
      </c>
    </row>
    <row r="3869" spans="1:12">
      <c r="A3869">
        <v>4</v>
      </c>
      <c r="B3869" s="16" t="s">
        <v>59</v>
      </c>
      <c r="C3869" s="9">
        <v>45689</v>
      </c>
      <c r="D3869">
        <v>54</v>
      </c>
      <c r="E3869" s="16" t="s">
        <v>144</v>
      </c>
      <c r="F3869" s="16" t="s">
        <v>103</v>
      </c>
      <c r="G3869" s="22">
        <v>1</v>
      </c>
      <c r="H3869" s="18">
        <v>9.98</v>
      </c>
      <c r="I3869" s="18">
        <v>9.98</v>
      </c>
      <c r="J3869" s="18">
        <v>9.98</v>
      </c>
      <c r="K3869" s="18">
        <v>9.98</v>
      </c>
      <c r="L3869" s="22">
        <v>1</v>
      </c>
    </row>
    <row r="3870" spans="1:12">
      <c r="A3870">
        <v>4</v>
      </c>
      <c r="B3870" s="16" t="s">
        <v>59</v>
      </c>
      <c r="C3870" s="9">
        <v>45717</v>
      </c>
      <c r="D3870">
        <v>54</v>
      </c>
      <c r="E3870" s="16" t="s">
        <v>144</v>
      </c>
      <c r="F3870" s="16" t="s">
        <v>103</v>
      </c>
      <c r="G3870" s="22">
        <v>1</v>
      </c>
      <c r="H3870" s="18">
        <v>10.210000000000001</v>
      </c>
      <c r="I3870" s="18">
        <v>10.210000000000001</v>
      </c>
      <c r="J3870" s="18">
        <v>10.210000000000001</v>
      </c>
      <c r="K3870" s="18">
        <v>10.210000000000001</v>
      </c>
      <c r="L3870" s="22">
        <v>1</v>
      </c>
    </row>
    <row r="3871" spans="1:12">
      <c r="A3871">
        <v>4</v>
      </c>
      <c r="B3871" s="16" t="s">
        <v>59</v>
      </c>
      <c r="C3871" s="9">
        <v>45748</v>
      </c>
      <c r="D3871">
        <v>54</v>
      </c>
      <c r="E3871" s="16" t="s">
        <v>144</v>
      </c>
      <c r="F3871" s="16" t="s">
        <v>103</v>
      </c>
      <c r="G3871" s="22">
        <v>1</v>
      </c>
      <c r="H3871" s="18">
        <v>9.98</v>
      </c>
      <c r="I3871" s="18">
        <v>9.98</v>
      </c>
      <c r="J3871" s="18">
        <v>9.98</v>
      </c>
      <c r="K3871" s="18">
        <v>9.98</v>
      </c>
      <c r="L3871" s="22">
        <v>1</v>
      </c>
    </row>
    <row r="3872" spans="1:12">
      <c r="A3872">
        <v>4</v>
      </c>
      <c r="B3872" s="16" t="s">
        <v>59</v>
      </c>
      <c r="C3872" s="9">
        <v>45778</v>
      </c>
      <c r="D3872">
        <v>54</v>
      </c>
      <c r="E3872" s="16" t="s">
        <v>144</v>
      </c>
      <c r="F3872" s="16" t="s">
        <v>103</v>
      </c>
      <c r="G3872" s="22">
        <v>1</v>
      </c>
      <c r="H3872" s="18">
        <v>10.220000000000001</v>
      </c>
      <c r="I3872" s="18">
        <v>10.220000000000001</v>
      </c>
      <c r="J3872" s="18">
        <v>10.220000000000001</v>
      </c>
      <c r="K3872" s="18">
        <v>10.220000000000001</v>
      </c>
      <c r="L3872" s="22">
        <v>1</v>
      </c>
    </row>
    <row r="3873" spans="1:12">
      <c r="A3873">
        <v>4</v>
      </c>
      <c r="B3873" s="16" t="s">
        <v>59</v>
      </c>
      <c r="C3873" s="9">
        <v>45809</v>
      </c>
      <c r="D3873">
        <v>54</v>
      </c>
      <c r="E3873" s="16" t="s">
        <v>144</v>
      </c>
      <c r="F3873" s="16" t="s">
        <v>103</v>
      </c>
      <c r="G3873" s="22">
        <v>1</v>
      </c>
      <c r="H3873" s="18">
        <v>9.9499999999999993</v>
      </c>
      <c r="I3873" s="18">
        <v>9.9499999999999993</v>
      </c>
      <c r="J3873" s="18">
        <v>9.9499999999999993</v>
      </c>
      <c r="K3873" s="18">
        <v>9.9499999999999993</v>
      </c>
      <c r="L3873" s="22">
        <v>1</v>
      </c>
    </row>
    <row r="3874" spans="1:12">
      <c r="A3874">
        <v>4</v>
      </c>
      <c r="B3874" s="16" t="s">
        <v>59</v>
      </c>
      <c r="C3874" s="9">
        <v>45839</v>
      </c>
      <c r="D3874">
        <v>54</v>
      </c>
      <c r="E3874" s="16" t="s">
        <v>144</v>
      </c>
      <c r="F3874" s="16" t="s">
        <v>103</v>
      </c>
      <c r="G3874" s="22">
        <v>1</v>
      </c>
      <c r="H3874" s="18">
        <v>10.050000000000001</v>
      </c>
      <c r="I3874" s="18">
        <v>10.050000000000001</v>
      </c>
      <c r="J3874" s="18">
        <v>10.050000000000001</v>
      </c>
      <c r="K3874" s="18">
        <v>10.050000000000001</v>
      </c>
      <c r="L3874" s="22">
        <v>1</v>
      </c>
    </row>
    <row r="3875" spans="1:12">
      <c r="A3875">
        <v>4</v>
      </c>
      <c r="B3875" s="16" t="s">
        <v>59</v>
      </c>
      <c r="C3875" s="9">
        <v>45870</v>
      </c>
      <c r="D3875">
        <v>54</v>
      </c>
      <c r="E3875" s="16" t="s">
        <v>144</v>
      </c>
      <c r="F3875" s="16" t="s">
        <v>103</v>
      </c>
      <c r="G3875" s="22">
        <v>1</v>
      </c>
      <c r="H3875" s="18">
        <v>10.11</v>
      </c>
      <c r="I3875" s="18">
        <v>10.11</v>
      </c>
      <c r="J3875" s="18">
        <v>10.11</v>
      </c>
      <c r="K3875" s="18">
        <v>10.11</v>
      </c>
      <c r="L3875" s="22">
        <v>1</v>
      </c>
    </row>
    <row r="3876" spans="1:12">
      <c r="A3876">
        <v>4</v>
      </c>
      <c r="B3876" s="16" t="s">
        <v>59</v>
      </c>
      <c r="C3876" s="9">
        <v>45931</v>
      </c>
      <c r="D3876">
        <v>54</v>
      </c>
      <c r="E3876" s="16" t="s">
        <v>144</v>
      </c>
      <c r="F3876" s="16" t="s">
        <v>103</v>
      </c>
      <c r="G3876" s="22">
        <v>1</v>
      </c>
      <c r="H3876" s="18">
        <v>10.06</v>
      </c>
      <c r="I3876" s="18">
        <v>10.06</v>
      </c>
      <c r="J3876" s="18">
        <v>10.06</v>
      </c>
      <c r="K3876" s="18">
        <v>10.06</v>
      </c>
      <c r="L3876" s="22">
        <v>1</v>
      </c>
    </row>
    <row r="3877" spans="1:12">
      <c r="A3877">
        <v>4</v>
      </c>
      <c r="B3877" s="16" t="s">
        <v>59</v>
      </c>
      <c r="C3877" s="9">
        <v>45962</v>
      </c>
      <c r="D3877">
        <v>54</v>
      </c>
      <c r="E3877" s="16" t="s">
        <v>144</v>
      </c>
      <c r="F3877" s="16" t="s">
        <v>103</v>
      </c>
      <c r="G3877" s="22">
        <v>1</v>
      </c>
      <c r="H3877" s="18">
        <v>10.17</v>
      </c>
      <c r="I3877" s="18">
        <v>10.17</v>
      </c>
      <c r="J3877" s="18">
        <v>10.17</v>
      </c>
      <c r="K3877" s="18">
        <v>10.17</v>
      </c>
      <c r="L3877" s="22">
        <v>1</v>
      </c>
    </row>
    <row r="3878" spans="1:12">
      <c r="A3878">
        <v>4</v>
      </c>
      <c r="B3878" s="16" t="s">
        <v>59</v>
      </c>
      <c r="C3878" s="9">
        <v>45992</v>
      </c>
      <c r="D3878">
        <v>54</v>
      </c>
      <c r="E3878" s="16" t="s">
        <v>144</v>
      </c>
      <c r="F3878" s="16" t="s">
        <v>103</v>
      </c>
      <c r="G3878" s="22">
        <v>2</v>
      </c>
      <c r="H3878" s="18">
        <v>20.74</v>
      </c>
      <c r="I3878" s="18">
        <v>10.37</v>
      </c>
      <c r="J3878" s="18">
        <v>10.39</v>
      </c>
      <c r="K3878" s="18">
        <v>10.35</v>
      </c>
      <c r="L3878" s="22">
        <v>2</v>
      </c>
    </row>
    <row r="3879" spans="1:12">
      <c r="A3879">
        <v>4</v>
      </c>
      <c r="B3879" s="16" t="s">
        <v>59</v>
      </c>
      <c r="C3879" s="9">
        <v>46054</v>
      </c>
      <c r="D3879">
        <v>54</v>
      </c>
      <c r="E3879" s="16" t="s">
        <v>144</v>
      </c>
      <c r="F3879" s="16" t="s">
        <v>103</v>
      </c>
      <c r="G3879" s="22">
        <v>1</v>
      </c>
      <c r="H3879" s="18">
        <v>10.199999999999999</v>
      </c>
      <c r="I3879" s="18">
        <v>10.199999999999999</v>
      </c>
      <c r="J3879" s="18">
        <v>10.199999999999999</v>
      </c>
      <c r="K3879" s="18">
        <v>10.199999999999999</v>
      </c>
      <c r="L3879" s="22">
        <v>1</v>
      </c>
    </row>
    <row r="3880" spans="1:12">
      <c r="A3880">
        <v>4</v>
      </c>
      <c r="B3880" s="16" t="s">
        <v>59</v>
      </c>
      <c r="C3880" s="9">
        <v>46082</v>
      </c>
      <c r="D3880">
        <v>54</v>
      </c>
      <c r="E3880" s="16" t="s">
        <v>144</v>
      </c>
      <c r="F3880" s="16" t="s">
        <v>103</v>
      </c>
      <c r="G3880" s="22">
        <v>1</v>
      </c>
      <c r="H3880" s="18">
        <v>10.1</v>
      </c>
      <c r="I3880" s="18">
        <v>10.1</v>
      </c>
      <c r="J3880" s="18">
        <v>10.1</v>
      </c>
      <c r="K3880" s="18">
        <v>10.1</v>
      </c>
      <c r="L3880" s="22">
        <v>1</v>
      </c>
    </row>
    <row r="3881" spans="1:12">
      <c r="A3881">
        <v>4</v>
      </c>
      <c r="B3881" s="16" t="s">
        <v>59</v>
      </c>
      <c r="C3881" s="9">
        <v>46143</v>
      </c>
      <c r="D3881">
        <v>54</v>
      </c>
      <c r="E3881" s="16" t="s">
        <v>144</v>
      </c>
      <c r="F3881" s="16" t="s">
        <v>103</v>
      </c>
      <c r="G3881" s="22">
        <v>1</v>
      </c>
      <c r="H3881" s="18">
        <v>10.4</v>
      </c>
      <c r="I3881" s="18">
        <v>10.4</v>
      </c>
      <c r="J3881" s="18">
        <v>10.4</v>
      </c>
      <c r="K3881" s="18">
        <v>10.4</v>
      </c>
      <c r="L3881" s="22">
        <v>1</v>
      </c>
    </row>
    <row r="3882" spans="1:12">
      <c r="A3882">
        <v>4</v>
      </c>
      <c r="B3882" s="16" t="s">
        <v>59</v>
      </c>
      <c r="C3882" s="9">
        <v>46174</v>
      </c>
      <c r="D3882">
        <v>54</v>
      </c>
      <c r="E3882" s="16" t="s">
        <v>144</v>
      </c>
      <c r="F3882" s="16" t="s">
        <v>103</v>
      </c>
      <c r="G3882" s="22">
        <v>1</v>
      </c>
      <c r="H3882" s="18">
        <v>10.3</v>
      </c>
      <c r="I3882" s="18">
        <v>10.3</v>
      </c>
      <c r="J3882" s="18">
        <v>10.3</v>
      </c>
      <c r="K3882" s="18">
        <v>10.3</v>
      </c>
      <c r="L3882" s="22">
        <v>1</v>
      </c>
    </row>
    <row r="3883" spans="1:12">
      <c r="A3883">
        <v>4</v>
      </c>
      <c r="B3883" s="16" t="s">
        <v>59</v>
      </c>
      <c r="C3883" s="9">
        <v>46204</v>
      </c>
      <c r="D3883">
        <v>54</v>
      </c>
      <c r="E3883" s="16" t="s">
        <v>144</v>
      </c>
      <c r="F3883" s="16" t="s">
        <v>103</v>
      </c>
      <c r="G3883" s="22">
        <v>1</v>
      </c>
      <c r="H3883" s="18">
        <v>10.54</v>
      </c>
      <c r="I3883" s="18">
        <v>10.54</v>
      </c>
      <c r="J3883" s="18">
        <v>10.54</v>
      </c>
      <c r="K3883" s="18">
        <v>10.54</v>
      </c>
      <c r="L3883" s="22">
        <v>1</v>
      </c>
    </row>
    <row r="3884" spans="1:12">
      <c r="A3884">
        <v>4</v>
      </c>
      <c r="B3884" s="16" t="s">
        <v>59</v>
      </c>
      <c r="C3884" s="9">
        <v>46235</v>
      </c>
      <c r="D3884">
        <v>54</v>
      </c>
      <c r="E3884" s="16" t="s">
        <v>144</v>
      </c>
      <c r="F3884" s="16" t="s">
        <v>103</v>
      </c>
      <c r="G3884" s="22">
        <v>1</v>
      </c>
      <c r="H3884" s="18">
        <v>10.039999999999999</v>
      </c>
      <c r="I3884" s="18">
        <v>10.039999999999999</v>
      </c>
      <c r="J3884" s="18">
        <v>10.039999999999999</v>
      </c>
      <c r="K3884" s="18">
        <v>10.039999999999999</v>
      </c>
      <c r="L3884" s="22">
        <v>1</v>
      </c>
    </row>
    <row r="3885" spans="1:12">
      <c r="A3885">
        <v>4</v>
      </c>
      <c r="B3885" s="16" t="s">
        <v>59</v>
      </c>
      <c r="C3885" s="9">
        <v>45689</v>
      </c>
      <c r="D3885">
        <v>55</v>
      </c>
      <c r="E3885" s="16" t="s">
        <v>145</v>
      </c>
      <c r="F3885" s="16" t="s">
        <v>83</v>
      </c>
      <c r="G3885" s="22">
        <v>8.5</v>
      </c>
      <c r="H3885" s="18">
        <v>35.765000000000001</v>
      </c>
      <c r="I3885" s="18">
        <v>4.2076470590000001</v>
      </c>
      <c r="J3885" s="18">
        <v>4.3</v>
      </c>
      <c r="K3885" s="18">
        <v>4.16</v>
      </c>
      <c r="L3885" s="22">
        <v>8</v>
      </c>
    </row>
    <row r="3886" spans="1:12">
      <c r="A3886">
        <v>4</v>
      </c>
      <c r="B3886" s="16" t="s">
        <v>59</v>
      </c>
      <c r="C3886" s="9">
        <v>45717</v>
      </c>
      <c r="D3886">
        <v>55</v>
      </c>
      <c r="E3886" s="16" t="s">
        <v>145</v>
      </c>
      <c r="F3886" s="16" t="s">
        <v>83</v>
      </c>
      <c r="G3886" s="22">
        <v>9.5</v>
      </c>
      <c r="H3886" s="18">
        <v>40.03</v>
      </c>
      <c r="I3886" s="18">
        <v>4.2136842110000003</v>
      </c>
      <c r="J3886" s="18">
        <v>4.32</v>
      </c>
      <c r="K3886" s="18">
        <v>4.1399999999999997</v>
      </c>
      <c r="L3886" s="22">
        <v>8</v>
      </c>
    </row>
    <row r="3887" spans="1:12">
      <c r="A3887">
        <v>4</v>
      </c>
      <c r="B3887" s="16" t="s">
        <v>59</v>
      </c>
      <c r="C3887" s="9">
        <v>45748</v>
      </c>
      <c r="D3887">
        <v>55</v>
      </c>
      <c r="E3887" s="16" t="s">
        <v>145</v>
      </c>
      <c r="F3887" s="16" t="s">
        <v>83</v>
      </c>
      <c r="G3887" s="22">
        <v>13</v>
      </c>
      <c r="H3887" s="18">
        <v>56.55</v>
      </c>
      <c r="I3887" s="18">
        <v>4.3499999999999996</v>
      </c>
      <c r="J3887" s="18">
        <v>4.6399999999999997</v>
      </c>
      <c r="K3887" s="18">
        <v>4.1500000000000004</v>
      </c>
      <c r="L3887" s="22">
        <v>9</v>
      </c>
    </row>
    <row r="3888" spans="1:12">
      <c r="A3888">
        <v>4</v>
      </c>
      <c r="B3888" s="16" t="s">
        <v>59</v>
      </c>
      <c r="C3888" s="9">
        <v>45778</v>
      </c>
      <c r="D3888">
        <v>55</v>
      </c>
      <c r="E3888" s="16" t="s">
        <v>145</v>
      </c>
      <c r="F3888" s="16" t="s">
        <v>83</v>
      </c>
      <c r="G3888" s="22">
        <v>16</v>
      </c>
      <c r="H3888" s="18">
        <v>70.239999999999995</v>
      </c>
      <c r="I3888" s="18">
        <v>4.3899999999999997</v>
      </c>
      <c r="J3888" s="18">
        <v>4.46</v>
      </c>
      <c r="K3888" s="18">
        <v>4.3099999999999996</v>
      </c>
      <c r="L3888" s="22">
        <v>9</v>
      </c>
    </row>
    <row r="3889" spans="1:12">
      <c r="A3889">
        <v>4</v>
      </c>
      <c r="B3889" s="16" t="s">
        <v>59</v>
      </c>
      <c r="C3889" s="9">
        <v>45809</v>
      </c>
      <c r="D3889">
        <v>55</v>
      </c>
      <c r="E3889" s="16" t="s">
        <v>145</v>
      </c>
      <c r="F3889" s="16" t="s">
        <v>83</v>
      </c>
      <c r="G3889" s="22">
        <v>14.5</v>
      </c>
      <c r="H3889" s="18">
        <v>63.314999999999998</v>
      </c>
      <c r="I3889" s="18">
        <v>4.3665517239999998</v>
      </c>
      <c r="J3889" s="18">
        <v>4.47</v>
      </c>
      <c r="K3889" s="18">
        <v>4.3</v>
      </c>
      <c r="L3889" s="22">
        <v>8</v>
      </c>
    </row>
    <row r="3890" spans="1:12">
      <c r="A3890">
        <v>4</v>
      </c>
      <c r="B3890" s="16" t="s">
        <v>59</v>
      </c>
      <c r="C3890" s="9">
        <v>45839</v>
      </c>
      <c r="D3890">
        <v>55</v>
      </c>
      <c r="E3890" s="16" t="s">
        <v>145</v>
      </c>
      <c r="F3890" s="16" t="s">
        <v>83</v>
      </c>
      <c r="G3890" s="22">
        <v>16</v>
      </c>
      <c r="H3890" s="18">
        <v>69.489999999999995</v>
      </c>
      <c r="I3890" s="18">
        <v>4.3431249999999997</v>
      </c>
      <c r="J3890" s="18">
        <v>4.46</v>
      </c>
      <c r="K3890" s="18">
        <v>4.3099999999999996</v>
      </c>
      <c r="L3890" s="22">
        <v>9</v>
      </c>
    </row>
    <row r="3891" spans="1:12">
      <c r="A3891">
        <v>4</v>
      </c>
      <c r="B3891" s="16" t="s">
        <v>59</v>
      </c>
      <c r="C3891" s="9">
        <v>45870</v>
      </c>
      <c r="D3891">
        <v>55</v>
      </c>
      <c r="E3891" s="16" t="s">
        <v>145</v>
      </c>
      <c r="F3891" s="16" t="s">
        <v>83</v>
      </c>
      <c r="G3891" s="22">
        <v>17</v>
      </c>
      <c r="H3891" s="18">
        <v>75.245000000000005</v>
      </c>
      <c r="I3891" s="18">
        <v>4.4261764709999998</v>
      </c>
      <c r="J3891" s="18">
        <v>4.4800000000000004</v>
      </c>
      <c r="K3891" s="18">
        <v>4.37</v>
      </c>
      <c r="L3891" s="22">
        <v>9</v>
      </c>
    </row>
    <row r="3892" spans="1:12">
      <c r="A3892">
        <v>4</v>
      </c>
      <c r="B3892" s="16" t="s">
        <v>59</v>
      </c>
      <c r="C3892" s="9">
        <v>45901</v>
      </c>
      <c r="D3892">
        <v>55</v>
      </c>
      <c r="E3892" s="16" t="s">
        <v>145</v>
      </c>
      <c r="F3892" s="16" t="s">
        <v>83</v>
      </c>
      <c r="G3892" s="22">
        <v>15.5</v>
      </c>
      <c r="H3892" s="18">
        <v>68.515000000000001</v>
      </c>
      <c r="I3892" s="18">
        <v>4.4203225809999998</v>
      </c>
      <c r="J3892" s="18">
        <v>4.62</v>
      </c>
      <c r="K3892" s="18">
        <v>4.3099999999999996</v>
      </c>
      <c r="L3892" s="22">
        <v>9</v>
      </c>
    </row>
    <row r="3893" spans="1:12">
      <c r="A3893">
        <v>4</v>
      </c>
      <c r="B3893" s="16" t="s">
        <v>59</v>
      </c>
      <c r="C3893" s="9">
        <v>45931</v>
      </c>
      <c r="D3893">
        <v>55</v>
      </c>
      <c r="E3893" s="16" t="s">
        <v>145</v>
      </c>
      <c r="F3893" s="16" t="s">
        <v>83</v>
      </c>
      <c r="G3893" s="22">
        <v>13.5</v>
      </c>
      <c r="H3893" s="18">
        <v>59.524999999999999</v>
      </c>
      <c r="I3893" s="18">
        <v>4.4092592589999997</v>
      </c>
      <c r="J3893" s="18">
        <v>4.49</v>
      </c>
      <c r="K3893" s="18">
        <v>4.29</v>
      </c>
      <c r="L3893" s="22">
        <v>9</v>
      </c>
    </row>
    <row r="3894" spans="1:12">
      <c r="A3894">
        <v>4</v>
      </c>
      <c r="B3894" s="16" t="s">
        <v>59</v>
      </c>
      <c r="C3894" s="9">
        <v>45962</v>
      </c>
      <c r="D3894">
        <v>55</v>
      </c>
      <c r="E3894" s="16" t="s">
        <v>145</v>
      </c>
      <c r="F3894" s="16" t="s">
        <v>83</v>
      </c>
      <c r="G3894" s="22">
        <v>10.5</v>
      </c>
      <c r="H3894" s="18">
        <v>46.825000000000003</v>
      </c>
      <c r="I3894" s="18">
        <v>4.4595238100000003</v>
      </c>
      <c r="J3894" s="18">
        <v>4.54</v>
      </c>
      <c r="K3894" s="18">
        <v>4.37</v>
      </c>
      <c r="L3894" s="22">
        <v>8</v>
      </c>
    </row>
    <row r="3895" spans="1:12">
      <c r="A3895">
        <v>4</v>
      </c>
      <c r="B3895" s="16" t="s">
        <v>59</v>
      </c>
      <c r="C3895" s="9">
        <v>45992</v>
      </c>
      <c r="D3895">
        <v>55</v>
      </c>
      <c r="E3895" s="16" t="s">
        <v>145</v>
      </c>
      <c r="F3895" s="16" t="s">
        <v>83</v>
      </c>
      <c r="G3895" s="22">
        <v>13.5</v>
      </c>
      <c r="H3895" s="18">
        <v>61.024999999999999</v>
      </c>
      <c r="I3895" s="18">
        <v>4.5203703700000002</v>
      </c>
      <c r="J3895" s="18">
        <v>4.6500000000000004</v>
      </c>
      <c r="K3895" s="18">
        <v>4.3899999999999997</v>
      </c>
      <c r="L3895" s="22">
        <v>9</v>
      </c>
    </row>
    <row r="3896" spans="1:12">
      <c r="A3896">
        <v>4</v>
      </c>
      <c r="B3896" s="16" t="s">
        <v>59</v>
      </c>
      <c r="C3896" s="9">
        <v>46023</v>
      </c>
      <c r="D3896">
        <v>55</v>
      </c>
      <c r="E3896" s="16" t="s">
        <v>145</v>
      </c>
      <c r="F3896" s="16" t="s">
        <v>83</v>
      </c>
      <c r="G3896" s="22">
        <v>10</v>
      </c>
      <c r="H3896" s="18">
        <v>44.46</v>
      </c>
      <c r="I3896" s="18">
        <v>4.4459999999999997</v>
      </c>
      <c r="J3896" s="18">
        <v>4.62</v>
      </c>
      <c r="K3896" s="18">
        <v>4.3499999999999996</v>
      </c>
      <c r="L3896" s="22">
        <v>9</v>
      </c>
    </row>
    <row r="3897" spans="1:12">
      <c r="A3897">
        <v>4</v>
      </c>
      <c r="B3897" s="16" t="s">
        <v>59</v>
      </c>
      <c r="C3897" s="9">
        <v>46054</v>
      </c>
      <c r="D3897">
        <v>55</v>
      </c>
      <c r="E3897" s="16" t="s">
        <v>145</v>
      </c>
      <c r="F3897" s="16" t="s">
        <v>83</v>
      </c>
      <c r="G3897" s="22">
        <v>9</v>
      </c>
      <c r="H3897" s="18">
        <v>39.914999999999999</v>
      </c>
      <c r="I3897" s="18">
        <v>4.4349999999999996</v>
      </c>
      <c r="J3897" s="18">
        <v>4.54</v>
      </c>
      <c r="K3897" s="18">
        <v>4.33</v>
      </c>
      <c r="L3897" s="22">
        <v>8</v>
      </c>
    </row>
    <row r="3898" spans="1:12">
      <c r="A3898">
        <v>4</v>
      </c>
      <c r="B3898" s="16" t="s">
        <v>59</v>
      </c>
      <c r="C3898" s="9">
        <v>46082</v>
      </c>
      <c r="D3898">
        <v>55</v>
      </c>
      <c r="E3898" s="16" t="s">
        <v>145</v>
      </c>
      <c r="F3898" s="16" t="s">
        <v>83</v>
      </c>
      <c r="G3898" s="22">
        <v>11</v>
      </c>
      <c r="H3898" s="18">
        <v>48.625</v>
      </c>
      <c r="I3898" s="18">
        <v>4.4204545450000001</v>
      </c>
      <c r="J3898" s="18">
        <v>4.5599999999999996</v>
      </c>
      <c r="K3898" s="18">
        <v>4.32</v>
      </c>
      <c r="L3898" s="22">
        <v>9</v>
      </c>
    </row>
    <row r="3899" spans="1:12">
      <c r="A3899">
        <v>4</v>
      </c>
      <c r="B3899" s="16" t="s">
        <v>59</v>
      </c>
      <c r="C3899" s="9">
        <v>46113</v>
      </c>
      <c r="D3899">
        <v>55</v>
      </c>
      <c r="E3899" s="16" t="s">
        <v>145</v>
      </c>
      <c r="F3899" s="16" t="s">
        <v>83</v>
      </c>
      <c r="G3899" s="22">
        <v>11.5</v>
      </c>
      <c r="H3899" s="18">
        <v>51.94</v>
      </c>
      <c r="I3899" s="18">
        <v>4.5165217389999999</v>
      </c>
      <c r="J3899" s="18">
        <v>4.62</v>
      </c>
      <c r="K3899" s="18">
        <v>4.4400000000000004</v>
      </c>
      <c r="L3899" s="22">
        <v>8</v>
      </c>
    </row>
    <row r="3900" spans="1:12">
      <c r="A3900">
        <v>4</v>
      </c>
      <c r="B3900" s="16" t="s">
        <v>59</v>
      </c>
      <c r="C3900" s="9">
        <v>46143</v>
      </c>
      <c r="D3900">
        <v>55</v>
      </c>
      <c r="E3900" s="16" t="s">
        <v>145</v>
      </c>
      <c r="F3900" s="16" t="s">
        <v>83</v>
      </c>
      <c r="G3900" s="22">
        <v>17</v>
      </c>
      <c r="H3900" s="18">
        <v>76.525000000000006</v>
      </c>
      <c r="I3900" s="18">
        <v>4.5014705880000001</v>
      </c>
      <c r="J3900" s="18">
        <v>4.58</v>
      </c>
      <c r="K3900" s="18">
        <v>4.42</v>
      </c>
      <c r="L3900" s="22">
        <v>9</v>
      </c>
    </row>
    <row r="3901" spans="1:12">
      <c r="A3901">
        <v>4</v>
      </c>
      <c r="B3901" s="16" t="s">
        <v>59</v>
      </c>
      <c r="C3901" s="9">
        <v>46174</v>
      </c>
      <c r="D3901">
        <v>55</v>
      </c>
      <c r="E3901" s="16" t="s">
        <v>145</v>
      </c>
      <c r="F3901" s="16" t="s">
        <v>83</v>
      </c>
      <c r="G3901" s="22">
        <v>16.5</v>
      </c>
      <c r="H3901" s="18">
        <v>74.924999999999997</v>
      </c>
      <c r="I3901" s="18">
        <v>4.5409090909999996</v>
      </c>
      <c r="J3901" s="18">
        <v>4.62</v>
      </c>
      <c r="K3901" s="18">
        <v>4.37</v>
      </c>
      <c r="L3901" s="22">
        <v>9</v>
      </c>
    </row>
    <row r="3902" spans="1:12">
      <c r="A3902">
        <v>4</v>
      </c>
      <c r="B3902" s="16" t="s">
        <v>59</v>
      </c>
      <c r="C3902" s="9">
        <v>46204</v>
      </c>
      <c r="D3902">
        <v>55</v>
      </c>
      <c r="E3902" s="16" t="s">
        <v>145</v>
      </c>
      <c r="F3902" s="16" t="s">
        <v>83</v>
      </c>
      <c r="G3902" s="22">
        <v>18</v>
      </c>
      <c r="H3902" s="18">
        <v>80.435000000000002</v>
      </c>
      <c r="I3902" s="18">
        <v>4.4686111110000004</v>
      </c>
      <c r="J3902" s="18">
        <v>4.58</v>
      </c>
      <c r="K3902" s="18">
        <v>4.3600000000000003</v>
      </c>
      <c r="L3902" s="22">
        <v>9</v>
      </c>
    </row>
    <row r="3903" spans="1:12">
      <c r="A3903">
        <v>4</v>
      </c>
      <c r="B3903" s="16" t="s">
        <v>59</v>
      </c>
      <c r="C3903" s="9">
        <v>46235</v>
      </c>
      <c r="D3903">
        <v>55</v>
      </c>
      <c r="E3903" s="16" t="s">
        <v>145</v>
      </c>
      <c r="F3903" s="16" t="s">
        <v>83</v>
      </c>
      <c r="G3903" s="22">
        <v>14</v>
      </c>
      <c r="H3903" s="18">
        <v>61.31</v>
      </c>
      <c r="I3903" s="18">
        <v>4.3792857139999999</v>
      </c>
      <c r="J3903" s="18">
        <v>4.43</v>
      </c>
      <c r="K3903" s="18">
        <v>4.29</v>
      </c>
      <c r="L3903" s="22">
        <v>8</v>
      </c>
    </row>
    <row r="3904" spans="1:12">
      <c r="A3904">
        <v>4</v>
      </c>
      <c r="B3904" s="16" t="s">
        <v>59</v>
      </c>
      <c r="C3904" s="9">
        <v>46266</v>
      </c>
      <c r="D3904">
        <v>55</v>
      </c>
      <c r="E3904" s="16" t="s">
        <v>145</v>
      </c>
      <c r="F3904" s="16" t="s">
        <v>83</v>
      </c>
      <c r="G3904" s="22">
        <v>10.5</v>
      </c>
      <c r="H3904" s="18">
        <v>46.8</v>
      </c>
      <c r="I3904" s="18">
        <v>4.457142857</v>
      </c>
      <c r="J3904" s="18">
        <v>4.58</v>
      </c>
      <c r="K3904" s="18">
        <v>4.3600000000000003</v>
      </c>
      <c r="L3904" s="22">
        <v>9</v>
      </c>
    </row>
    <row r="3905" spans="1:12">
      <c r="A3905">
        <v>4</v>
      </c>
      <c r="B3905" s="16" t="s">
        <v>59</v>
      </c>
      <c r="C3905" s="9">
        <v>45689</v>
      </c>
      <c r="D3905">
        <v>56</v>
      </c>
      <c r="E3905" s="16" t="s">
        <v>146</v>
      </c>
      <c r="F3905" s="16" t="s">
        <v>138</v>
      </c>
      <c r="G3905" s="22">
        <v>7.75</v>
      </c>
      <c r="H3905" s="18">
        <v>65.16</v>
      </c>
      <c r="I3905" s="18">
        <v>8.4077419350000007</v>
      </c>
      <c r="J3905" s="18">
        <v>8.5</v>
      </c>
      <c r="K3905" s="18">
        <v>8.25</v>
      </c>
      <c r="L3905" s="22">
        <v>8</v>
      </c>
    </row>
    <row r="3906" spans="1:12">
      <c r="A3906">
        <v>4</v>
      </c>
      <c r="B3906" s="16" t="s">
        <v>59</v>
      </c>
      <c r="C3906" s="9">
        <v>45717</v>
      </c>
      <c r="D3906">
        <v>56</v>
      </c>
      <c r="E3906" s="16" t="s">
        <v>146</v>
      </c>
      <c r="F3906" s="16" t="s">
        <v>138</v>
      </c>
      <c r="G3906" s="22">
        <v>9.5</v>
      </c>
      <c r="H3906" s="18">
        <v>80.232500000000002</v>
      </c>
      <c r="I3906" s="18">
        <v>8.4455263160000005</v>
      </c>
      <c r="J3906" s="18">
        <v>8.5399999999999991</v>
      </c>
      <c r="K3906" s="18">
        <v>8.33</v>
      </c>
      <c r="L3906" s="22">
        <v>8</v>
      </c>
    </row>
    <row r="3907" spans="1:12">
      <c r="A3907">
        <v>4</v>
      </c>
      <c r="B3907" s="16" t="s">
        <v>59</v>
      </c>
      <c r="C3907" s="9">
        <v>45748</v>
      </c>
      <c r="D3907">
        <v>56</v>
      </c>
      <c r="E3907" s="16" t="s">
        <v>146</v>
      </c>
      <c r="F3907" s="16" t="s">
        <v>138</v>
      </c>
      <c r="G3907" s="22">
        <v>13.5</v>
      </c>
      <c r="H3907" s="18">
        <v>114.21250000000001</v>
      </c>
      <c r="I3907" s="18">
        <v>8.4601851850000003</v>
      </c>
      <c r="J3907" s="18">
        <v>8.64</v>
      </c>
      <c r="K3907" s="18">
        <v>8.34</v>
      </c>
      <c r="L3907" s="22">
        <v>9</v>
      </c>
    </row>
    <row r="3908" spans="1:12">
      <c r="A3908">
        <v>4</v>
      </c>
      <c r="B3908" s="16" t="s">
        <v>59</v>
      </c>
      <c r="C3908" s="9">
        <v>45778</v>
      </c>
      <c r="D3908">
        <v>56</v>
      </c>
      <c r="E3908" s="16" t="s">
        <v>146</v>
      </c>
      <c r="F3908" s="16" t="s">
        <v>138</v>
      </c>
      <c r="G3908" s="22">
        <v>23.5</v>
      </c>
      <c r="H3908" s="18">
        <v>199.89250000000001</v>
      </c>
      <c r="I3908" s="18">
        <v>8.5060638300000004</v>
      </c>
      <c r="J3908" s="18">
        <v>8.99</v>
      </c>
      <c r="K3908" s="18">
        <v>8.2200000000000006</v>
      </c>
      <c r="L3908" s="22">
        <v>9</v>
      </c>
    </row>
    <row r="3909" spans="1:12">
      <c r="A3909">
        <v>4</v>
      </c>
      <c r="B3909" s="16" t="s">
        <v>59</v>
      </c>
      <c r="C3909" s="9">
        <v>45809</v>
      </c>
      <c r="D3909">
        <v>56</v>
      </c>
      <c r="E3909" s="16" t="s">
        <v>146</v>
      </c>
      <c r="F3909" s="16" t="s">
        <v>138</v>
      </c>
      <c r="G3909" s="22">
        <v>25</v>
      </c>
      <c r="H3909" s="18">
        <v>212.155</v>
      </c>
      <c r="I3909" s="18">
        <v>8.4862000000000002</v>
      </c>
      <c r="J3909" s="18">
        <v>8.61</v>
      </c>
      <c r="K3909" s="18">
        <v>8.27</v>
      </c>
      <c r="L3909" s="22">
        <v>8</v>
      </c>
    </row>
    <row r="3910" spans="1:12">
      <c r="A3910">
        <v>4</v>
      </c>
      <c r="B3910" s="16" t="s">
        <v>59</v>
      </c>
      <c r="C3910" s="9">
        <v>45839</v>
      </c>
      <c r="D3910">
        <v>56</v>
      </c>
      <c r="E3910" s="16" t="s">
        <v>146</v>
      </c>
      <c r="F3910" s="16" t="s">
        <v>138</v>
      </c>
      <c r="G3910" s="22">
        <v>26.5</v>
      </c>
      <c r="H3910" s="18">
        <v>223.4</v>
      </c>
      <c r="I3910" s="18">
        <v>8.4301886790000005</v>
      </c>
      <c r="J3910" s="18">
        <v>8.64</v>
      </c>
      <c r="K3910" s="18">
        <v>8.18</v>
      </c>
      <c r="L3910" s="22">
        <v>9</v>
      </c>
    </row>
    <row r="3911" spans="1:12">
      <c r="A3911">
        <v>4</v>
      </c>
      <c r="B3911" s="16" t="s">
        <v>59</v>
      </c>
      <c r="C3911" s="9">
        <v>45870</v>
      </c>
      <c r="D3911">
        <v>56</v>
      </c>
      <c r="E3911" s="16" t="s">
        <v>146</v>
      </c>
      <c r="F3911" s="16" t="s">
        <v>138</v>
      </c>
      <c r="G3911" s="22">
        <v>23</v>
      </c>
      <c r="H3911" s="18">
        <v>196.345</v>
      </c>
      <c r="I3911" s="18">
        <v>8.5367391300000008</v>
      </c>
      <c r="J3911" s="18">
        <v>8.94</v>
      </c>
      <c r="K3911" s="18">
        <v>8.32</v>
      </c>
      <c r="L3911" s="22">
        <v>9</v>
      </c>
    </row>
    <row r="3912" spans="1:12">
      <c r="A3912">
        <v>4</v>
      </c>
      <c r="B3912" s="16" t="s">
        <v>59</v>
      </c>
      <c r="C3912" s="9">
        <v>45901</v>
      </c>
      <c r="D3912">
        <v>56</v>
      </c>
      <c r="E3912" s="16" t="s">
        <v>146</v>
      </c>
      <c r="F3912" s="16" t="s">
        <v>138</v>
      </c>
      <c r="G3912" s="22">
        <v>22</v>
      </c>
      <c r="H3912" s="18">
        <v>186.4725</v>
      </c>
      <c r="I3912" s="18">
        <v>8.4760227270000001</v>
      </c>
      <c r="J3912" s="18">
        <v>8.59</v>
      </c>
      <c r="K3912" s="18">
        <v>8.39</v>
      </c>
      <c r="L3912" s="22">
        <v>9</v>
      </c>
    </row>
    <row r="3913" spans="1:12">
      <c r="A3913">
        <v>4</v>
      </c>
      <c r="B3913" s="16" t="s">
        <v>59</v>
      </c>
      <c r="C3913" s="9">
        <v>45931</v>
      </c>
      <c r="D3913">
        <v>56</v>
      </c>
      <c r="E3913" s="16" t="s">
        <v>146</v>
      </c>
      <c r="F3913" s="16" t="s">
        <v>138</v>
      </c>
      <c r="G3913" s="22">
        <v>11.75</v>
      </c>
      <c r="H3913" s="18">
        <v>99.26</v>
      </c>
      <c r="I3913" s="18">
        <v>8.4476595739999993</v>
      </c>
      <c r="J3913" s="18">
        <v>8.98</v>
      </c>
      <c r="K3913" s="18">
        <v>8.1999999999999993</v>
      </c>
      <c r="L3913" s="22">
        <v>9</v>
      </c>
    </row>
    <row r="3914" spans="1:12">
      <c r="A3914">
        <v>4</v>
      </c>
      <c r="B3914" s="16" t="s">
        <v>59</v>
      </c>
      <c r="C3914" s="9">
        <v>45962</v>
      </c>
      <c r="D3914">
        <v>56</v>
      </c>
      <c r="E3914" s="16" t="s">
        <v>146</v>
      </c>
      <c r="F3914" s="16" t="s">
        <v>138</v>
      </c>
      <c r="G3914" s="22">
        <v>8.5</v>
      </c>
      <c r="H3914" s="18">
        <v>75.807500000000005</v>
      </c>
      <c r="I3914" s="18">
        <v>8.9185294119999998</v>
      </c>
      <c r="J3914" s="18">
        <v>9.57</v>
      </c>
      <c r="K3914" s="18">
        <v>8.33</v>
      </c>
      <c r="L3914" s="22">
        <v>7</v>
      </c>
    </row>
    <row r="3915" spans="1:12">
      <c r="A3915">
        <v>4</v>
      </c>
      <c r="B3915" s="16" t="s">
        <v>59</v>
      </c>
      <c r="C3915" s="9">
        <v>45992</v>
      </c>
      <c r="D3915">
        <v>56</v>
      </c>
      <c r="E3915" s="16" t="s">
        <v>146</v>
      </c>
      <c r="F3915" s="16" t="s">
        <v>138</v>
      </c>
      <c r="G3915" s="22">
        <v>10.25</v>
      </c>
      <c r="H3915" s="18">
        <v>97.202500000000001</v>
      </c>
      <c r="I3915" s="18">
        <v>9.4831707319999996</v>
      </c>
      <c r="J3915" s="18">
        <v>9.69</v>
      </c>
      <c r="K3915" s="18">
        <v>9.26</v>
      </c>
      <c r="L3915" s="22">
        <v>9</v>
      </c>
    </row>
    <row r="3916" spans="1:12">
      <c r="A3916">
        <v>4</v>
      </c>
      <c r="B3916" s="16" t="s">
        <v>59</v>
      </c>
      <c r="C3916" s="9">
        <v>46023</v>
      </c>
      <c r="D3916">
        <v>56</v>
      </c>
      <c r="E3916" s="16" t="s">
        <v>146</v>
      </c>
      <c r="F3916" s="16" t="s">
        <v>138</v>
      </c>
      <c r="G3916" s="22">
        <v>6.75</v>
      </c>
      <c r="H3916" s="18">
        <v>57.35</v>
      </c>
      <c r="I3916" s="18">
        <v>8.4962962960000006</v>
      </c>
      <c r="J3916" s="18">
        <v>8.67</v>
      </c>
      <c r="K3916" s="18">
        <v>8.34</v>
      </c>
      <c r="L3916" s="22">
        <v>8</v>
      </c>
    </row>
    <row r="3917" spans="1:12">
      <c r="A3917">
        <v>4</v>
      </c>
      <c r="B3917" s="16" t="s">
        <v>59</v>
      </c>
      <c r="C3917" s="9">
        <v>46054</v>
      </c>
      <c r="D3917">
        <v>56</v>
      </c>
      <c r="E3917" s="16" t="s">
        <v>146</v>
      </c>
      <c r="F3917" s="16" t="s">
        <v>138</v>
      </c>
      <c r="G3917" s="22">
        <v>8.75</v>
      </c>
      <c r="H3917" s="18">
        <v>75.3125</v>
      </c>
      <c r="I3917" s="18">
        <v>8.6071428569999995</v>
      </c>
      <c r="J3917" s="18">
        <v>8.67</v>
      </c>
      <c r="K3917" s="18">
        <v>8.4499999999999993</v>
      </c>
      <c r="L3917" s="22">
        <v>8</v>
      </c>
    </row>
    <row r="3918" spans="1:12">
      <c r="A3918">
        <v>4</v>
      </c>
      <c r="B3918" s="16" t="s">
        <v>59</v>
      </c>
      <c r="C3918" s="9">
        <v>46082</v>
      </c>
      <c r="D3918">
        <v>56</v>
      </c>
      <c r="E3918" s="16" t="s">
        <v>146</v>
      </c>
      <c r="F3918" s="16" t="s">
        <v>138</v>
      </c>
      <c r="G3918" s="22">
        <v>10</v>
      </c>
      <c r="H3918" s="18">
        <v>85.757499999999993</v>
      </c>
      <c r="I3918" s="18">
        <v>8.5757499999999993</v>
      </c>
      <c r="J3918" s="18">
        <v>8.73</v>
      </c>
      <c r="K3918" s="18">
        <v>8.4499999999999993</v>
      </c>
      <c r="L3918" s="22">
        <v>9</v>
      </c>
    </row>
    <row r="3919" spans="1:12">
      <c r="A3919">
        <v>4</v>
      </c>
      <c r="B3919" s="16" t="s">
        <v>59</v>
      </c>
      <c r="C3919" s="9">
        <v>46113</v>
      </c>
      <c r="D3919">
        <v>56</v>
      </c>
      <c r="E3919" s="16" t="s">
        <v>146</v>
      </c>
      <c r="F3919" s="16" t="s">
        <v>138</v>
      </c>
      <c r="G3919" s="22">
        <v>12.25</v>
      </c>
      <c r="H3919" s="18">
        <v>105.26</v>
      </c>
      <c r="I3919" s="18">
        <v>8.592653061</v>
      </c>
      <c r="J3919" s="18">
        <v>8.6300000000000008</v>
      </c>
      <c r="K3919" s="18">
        <v>8.5500000000000007</v>
      </c>
      <c r="L3919" s="22">
        <v>8</v>
      </c>
    </row>
    <row r="3920" spans="1:12">
      <c r="A3920">
        <v>4</v>
      </c>
      <c r="B3920" s="16" t="s">
        <v>59</v>
      </c>
      <c r="C3920" s="9">
        <v>46143</v>
      </c>
      <c r="D3920">
        <v>56</v>
      </c>
      <c r="E3920" s="16" t="s">
        <v>146</v>
      </c>
      <c r="F3920" s="16" t="s">
        <v>138</v>
      </c>
      <c r="G3920" s="22">
        <v>21</v>
      </c>
      <c r="H3920" s="18">
        <v>180.19749999999999</v>
      </c>
      <c r="I3920" s="18">
        <v>8.5808333329999993</v>
      </c>
      <c r="J3920" s="18">
        <v>8.6999999999999993</v>
      </c>
      <c r="K3920" s="18">
        <v>8.3699999999999992</v>
      </c>
      <c r="L3920" s="22">
        <v>9</v>
      </c>
    </row>
    <row r="3921" spans="1:12">
      <c r="A3921">
        <v>4</v>
      </c>
      <c r="B3921" s="16" t="s">
        <v>59</v>
      </c>
      <c r="C3921" s="9">
        <v>46174</v>
      </c>
      <c r="D3921">
        <v>56</v>
      </c>
      <c r="E3921" s="16" t="s">
        <v>146</v>
      </c>
      <c r="F3921" s="16" t="s">
        <v>138</v>
      </c>
      <c r="G3921" s="22">
        <v>28</v>
      </c>
      <c r="H3921" s="18">
        <v>245.56</v>
      </c>
      <c r="I3921" s="18">
        <v>8.77</v>
      </c>
      <c r="J3921" s="18">
        <v>8.86</v>
      </c>
      <c r="K3921" s="18">
        <v>8.68</v>
      </c>
      <c r="L3921" s="22">
        <v>9</v>
      </c>
    </row>
    <row r="3922" spans="1:12">
      <c r="A3922">
        <v>4</v>
      </c>
      <c r="B3922" s="16" t="s">
        <v>59</v>
      </c>
      <c r="C3922" s="9">
        <v>46204</v>
      </c>
      <c r="D3922">
        <v>56</v>
      </c>
      <c r="E3922" s="16" t="s">
        <v>146</v>
      </c>
      <c r="F3922" s="16" t="s">
        <v>138</v>
      </c>
      <c r="G3922" s="22">
        <v>30</v>
      </c>
      <c r="H3922" s="18">
        <v>261.38749999999999</v>
      </c>
      <c r="I3922" s="18">
        <v>8.712916667</v>
      </c>
      <c r="J3922" s="18">
        <v>8.7899999999999991</v>
      </c>
      <c r="K3922" s="18">
        <v>8.6300000000000008</v>
      </c>
      <c r="L3922" s="22">
        <v>9</v>
      </c>
    </row>
    <row r="3923" spans="1:12">
      <c r="A3923">
        <v>4</v>
      </c>
      <c r="B3923" s="16" t="s">
        <v>59</v>
      </c>
      <c r="C3923" s="9">
        <v>46235</v>
      </c>
      <c r="D3923">
        <v>56</v>
      </c>
      <c r="E3923" s="16" t="s">
        <v>146</v>
      </c>
      <c r="F3923" s="16" t="s">
        <v>138</v>
      </c>
      <c r="G3923" s="22">
        <v>19.25</v>
      </c>
      <c r="H3923" s="18">
        <v>166.14750000000001</v>
      </c>
      <c r="I3923" s="18">
        <v>8.6310389609999998</v>
      </c>
      <c r="J3923" s="18">
        <v>8.77</v>
      </c>
      <c r="K3923" s="18">
        <v>8.52</v>
      </c>
      <c r="L3923" s="22">
        <v>8</v>
      </c>
    </row>
    <row r="3924" spans="1:12">
      <c r="A3924">
        <v>4</v>
      </c>
      <c r="B3924" s="16" t="s">
        <v>59</v>
      </c>
      <c r="C3924" s="9">
        <v>46266</v>
      </c>
      <c r="D3924">
        <v>56</v>
      </c>
      <c r="E3924" s="16" t="s">
        <v>146</v>
      </c>
      <c r="F3924" s="16" t="s">
        <v>138</v>
      </c>
      <c r="G3924" s="22">
        <v>16.75</v>
      </c>
      <c r="H3924" s="18">
        <v>145.66749999999999</v>
      </c>
      <c r="I3924" s="18">
        <v>8.6965671639999993</v>
      </c>
      <c r="J3924" s="18">
        <v>8.83</v>
      </c>
      <c r="K3924" s="18">
        <v>8.51</v>
      </c>
      <c r="L3924" s="22">
        <v>9</v>
      </c>
    </row>
    <row r="3925" spans="1:12">
      <c r="A3925">
        <v>5</v>
      </c>
      <c r="B3925" s="16" t="s">
        <v>60</v>
      </c>
      <c r="C3925" s="9">
        <v>45689</v>
      </c>
      <c r="D3925">
        <v>1</v>
      </c>
      <c r="E3925" s="16" t="s">
        <v>80</v>
      </c>
      <c r="F3925" s="16" t="s">
        <v>81</v>
      </c>
      <c r="G3925" s="22">
        <v>12</v>
      </c>
      <c r="H3925" s="18">
        <v>134.52000000000001</v>
      </c>
      <c r="I3925" s="18">
        <v>11.21</v>
      </c>
      <c r="J3925" s="18">
        <v>11.21</v>
      </c>
      <c r="K3925" s="18">
        <v>11.21</v>
      </c>
      <c r="L3925" s="22">
        <v>1</v>
      </c>
    </row>
    <row r="3926" spans="1:12">
      <c r="A3926">
        <v>5</v>
      </c>
      <c r="B3926" s="16" t="s">
        <v>60</v>
      </c>
      <c r="C3926" s="9">
        <v>45717</v>
      </c>
      <c r="D3926">
        <v>1</v>
      </c>
      <c r="E3926" s="16" t="s">
        <v>80</v>
      </c>
      <c r="F3926" s="16" t="s">
        <v>81</v>
      </c>
      <c r="G3926" s="22">
        <v>12</v>
      </c>
      <c r="H3926" s="18">
        <v>160.68</v>
      </c>
      <c r="I3926" s="18">
        <v>13.39</v>
      </c>
      <c r="J3926" s="18">
        <v>13.39</v>
      </c>
      <c r="K3926" s="18">
        <v>13.39</v>
      </c>
      <c r="L3926" s="22">
        <v>1</v>
      </c>
    </row>
    <row r="3927" spans="1:12">
      <c r="A3927">
        <v>5</v>
      </c>
      <c r="B3927" s="16" t="s">
        <v>60</v>
      </c>
      <c r="C3927" s="9">
        <v>45748</v>
      </c>
      <c r="D3927">
        <v>1</v>
      </c>
      <c r="E3927" s="16" t="s">
        <v>80</v>
      </c>
      <c r="F3927" s="16" t="s">
        <v>81</v>
      </c>
      <c r="G3927" s="22">
        <v>24</v>
      </c>
      <c r="H3927" s="18">
        <v>327.24</v>
      </c>
      <c r="I3927" s="18">
        <v>13.635</v>
      </c>
      <c r="J3927" s="18">
        <v>13.76</v>
      </c>
      <c r="K3927" s="18">
        <v>13.51</v>
      </c>
      <c r="L3927" s="22">
        <v>2</v>
      </c>
    </row>
    <row r="3928" spans="1:12">
      <c r="A3928">
        <v>5</v>
      </c>
      <c r="B3928" s="16" t="s">
        <v>60</v>
      </c>
      <c r="C3928" s="9">
        <v>45778</v>
      </c>
      <c r="D3928">
        <v>1</v>
      </c>
      <c r="E3928" s="16" t="s">
        <v>80</v>
      </c>
      <c r="F3928" s="16" t="s">
        <v>81</v>
      </c>
      <c r="G3928" s="22">
        <v>12</v>
      </c>
      <c r="H3928" s="18">
        <v>160.56</v>
      </c>
      <c r="I3928" s="18">
        <v>13.38</v>
      </c>
      <c r="J3928" s="18">
        <v>13.38</v>
      </c>
      <c r="K3928" s="18">
        <v>13.38</v>
      </c>
      <c r="L3928" s="22">
        <v>1</v>
      </c>
    </row>
    <row r="3929" spans="1:12">
      <c r="A3929">
        <v>5</v>
      </c>
      <c r="B3929" s="16" t="s">
        <v>60</v>
      </c>
      <c r="C3929" s="9">
        <v>45809</v>
      </c>
      <c r="D3929">
        <v>1</v>
      </c>
      <c r="E3929" s="16" t="s">
        <v>80</v>
      </c>
      <c r="F3929" s="16" t="s">
        <v>81</v>
      </c>
      <c r="G3929" s="22">
        <v>12</v>
      </c>
      <c r="H3929" s="18">
        <v>158.76</v>
      </c>
      <c r="I3929" s="18">
        <v>13.23</v>
      </c>
      <c r="J3929" s="18">
        <v>13.23</v>
      </c>
      <c r="K3929" s="18">
        <v>13.23</v>
      </c>
      <c r="L3929" s="22">
        <v>1</v>
      </c>
    </row>
    <row r="3930" spans="1:12">
      <c r="A3930">
        <v>5</v>
      </c>
      <c r="B3930" s="16" t="s">
        <v>60</v>
      </c>
      <c r="C3930" s="9">
        <v>45839</v>
      </c>
      <c r="D3930">
        <v>1</v>
      </c>
      <c r="E3930" s="16" t="s">
        <v>80</v>
      </c>
      <c r="F3930" s="16" t="s">
        <v>81</v>
      </c>
      <c r="G3930" s="22">
        <v>12</v>
      </c>
      <c r="H3930" s="18">
        <v>138</v>
      </c>
      <c r="I3930" s="18">
        <v>11.5</v>
      </c>
      <c r="J3930" s="18">
        <v>11.5</v>
      </c>
      <c r="K3930" s="18">
        <v>11.5</v>
      </c>
      <c r="L3930" s="22">
        <v>1</v>
      </c>
    </row>
    <row r="3931" spans="1:12">
      <c r="A3931">
        <v>5</v>
      </c>
      <c r="B3931" s="16" t="s">
        <v>60</v>
      </c>
      <c r="C3931" s="9">
        <v>45870</v>
      </c>
      <c r="D3931">
        <v>1</v>
      </c>
      <c r="E3931" s="16" t="s">
        <v>80</v>
      </c>
      <c r="F3931" s="16" t="s">
        <v>81</v>
      </c>
      <c r="G3931" s="22">
        <v>12</v>
      </c>
      <c r="H3931" s="18">
        <v>136.80000000000001</v>
      </c>
      <c r="I3931" s="18">
        <v>11.4</v>
      </c>
      <c r="J3931" s="18">
        <v>11.4</v>
      </c>
      <c r="K3931" s="18">
        <v>11.4</v>
      </c>
      <c r="L3931" s="22">
        <v>1</v>
      </c>
    </row>
    <row r="3932" spans="1:12">
      <c r="A3932">
        <v>5</v>
      </c>
      <c r="B3932" s="16" t="s">
        <v>60</v>
      </c>
      <c r="C3932" s="9">
        <v>45901</v>
      </c>
      <c r="D3932">
        <v>1</v>
      </c>
      <c r="E3932" s="16" t="s">
        <v>80</v>
      </c>
      <c r="F3932" s="16" t="s">
        <v>81</v>
      </c>
      <c r="G3932" s="22">
        <v>12</v>
      </c>
      <c r="H3932" s="18">
        <v>138.6</v>
      </c>
      <c r="I3932" s="18">
        <v>11.55</v>
      </c>
      <c r="J3932" s="18">
        <v>11.55</v>
      </c>
      <c r="K3932" s="18">
        <v>11.55</v>
      </c>
      <c r="L3932" s="22">
        <v>1</v>
      </c>
    </row>
    <row r="3933" spans="1:12">
      <c r="A3933">
        <v>5</v>
      </c>
      <c r="B3933" s="16" t="s">
        <v>60</v>
      </c>
      <c r="C3933" s="9">
        <v>45931</v>
      </c>
      <c r="D3933">
        <v>1</v>
      </c>
      <c r="E3933" s="16" t="s">
        <v>80</v>
      </c>
      <c r="F3933" s="16" t="s">
        <v>81</v>
      </c>
      <c r="G3933" s="22">
        <v>24</v>
      </c>
      <c r="H3933" s="18">
        <v>273.83999999999997</v>
      </c>
      <c r="I3933" s="18">
        <v>11.41</v>
      </c>
      <c r="J3933" s="18">
        <v>11.41</v>
      </c>
      <c r="K3933" s="18">
        <v>11.41</v>
      </c>
      <c r="L3933" s="22">
        <v>2</v>
      </c>
    </row>
    <row r="3934" spans="1:12">
      <c r="A3934">
        <v>5</v>
      </c>
      <c r="B3934" s="16" t="s">
        <v>60</v>
      </c>
      <c r="C3934" s="9">
        <v>45962</v>
      </c>
      <c r="D3934">
        <v>1</v>
      </c>
      <c r="E3934" s="16" t="s">
        <v>80</v>
      </c>
      <c r="F3934" s="16" t="s">
        <v>81</v>
      </c>
      <c r="G3934" s="22">
        <v>12</v>
      </c>
      <c r="H3934" s="18">
        <v>138.72</v>
      </c>
      <c r="I3934" s="18">
        <v>11.56</v>
      </c>
      <c r="J3934" s="18">
        <v>11.56</v>
      </c>
      <c r="K3934" s="18">
        <v>11.56</v>
      </c>
      <c r="L3934" s="22">
        <v>1</v>
      </c>
    </row>
    <row r="3935" spans="1:12">
      <c r="A3935">
        <v>5</v>
      </c>
      <c r="B3935" s="16" t="s">
        <v>60</v>
      </c>
      <c r="C3935" s="9">
        <v>45992</v>
      </c>
      <c r="D3935">
        <v>1</v>
      </c>
      <c r="E3935" s="16" t="s">
        <v>80</v>
      </c>
      <c r="F3935" s="16" t="s">
        <v>81</v>
      </c>
      <c r="G3935" s="22">
        <v>12</v>
      </c>
      <c r="H3935" s="18">
        <v>138.24</v>
      </c>
      <c r="I3935" s="18">
        <v>11.52</v>
      </c>
      <c r="J3935" s="18">
        <v>11.52</v>
      </c>
      <c r="K3935" s="18">
        <v>11.52</v>
      </c>
      <c r="L3935" s="22">
        <v>1</v>
      </c>
    </row>
    <row r="3936" spans="1:12">
      <c r="A3936">
        <v>5</v>
      </c>
      <c r="B3936" s="16" t="s">
        <v>60</v>
      </c>
      <c r="C3936" s="9">
        <v>46023</v>
      </c>
      <c r="D3936">
        <v>1</v>
      </c>
      <c r="E3936" s="16" t="s">
        <v>80</v>
      </c>
      <c r="F3936" s="16" t="s">
        <v>81</v>
      </c>
      <c r="G3936" s="22">
        <v>12</v>
      </c>
      <c r="H3936" s="18">
        <v>140.52000000000001</v>
      </c>
      <c r="I3936" s="18">
        <v>11.71</v>
      </c>
      <c r="J3936" s="18">
        <v>11.71</v>
      </c>
      <c r="K3936" s="18">
        <v>11.71</v>
      </c>
      <c r="L3936" s="22">
        <v>1</v>
      </c>
    </row>
    <row r="3937" spans="1:12">
      <c r="A3937">
        <v>5</v>
      </c>
      <c r="B3937" s="16" t="s">
        <v>60</v>
      </c>
      <c r="C3937" s="9">
        <v>46054</v>
      </c>
      <c r="D3937">
        <v>1</v>
      </c>
      <c r="E3937" s="16" t="s">
        <v>80</v>
      </c>
      <c r="F3937" s="16" t="s">
        <v>81</v>
      </c>
      <c r="G3937" s="22">
        <v>12</v>
      </c>
      <c r="H3937" s="18">
        <v>139.80000000000001</v>
      </c>
      <c r="I3937" s="18">
        <v>11.65</v>
      </c>
      <c r="J3937" s="18">
        <v>11.65</v>
      </c>
      <c r="K3937" s="18">
        <v>11.65</v>
      </c>
      <c r="L3937" s="22">
        <v>1</v>
      </c>
    </row>
    <row r="3938" spans="1:12">
      <c r="A3938">
        <v>5</v>
      </c>
      <c r="B3938" s="16" t="s">
        <v>60</v>
      </c>
      <c r="C3938" s="9">
        <v>46082</v>
      </c>
      <c r="D3938">
        <v>1</v>
      </c>
      <c r="E3938" s="16" t="s">
        <v>80</v>
      </c>
      <c r="F3938" s="16" t="s">
        <v>81</v>
      </c>
      <c r="G3938" s="22">
        <v>12</v>
      </c>
      <c r="H3938" s="18">
        <v>179.88</v>
      </c>
      <c r="I3938" s="18">
        <v>14.99</v>
      </c>
      <c r="J3938" s="18">
        <v>14.99</v>
      </c>
      <c r="K3938" s="18">
        <v>14.99</v>
      </c>
      <c r="L3938" s="22">
        <v>1</v>
      </c>
    </row>
    <row r="3939" spans="1:12">
      <c r="A3939">
        <v>5</v>
      </c>
      <c r="B3939" s="16" t="s">
        <v>60</v>
      </c>
      <c r="C3939" s="9">
        <v>46113</v>
      </c>
      <c r="D3939">
        <v>1</v>
      </c>
      <c r="E3939" s="16" t="s">
        <v>80</v>
      </c>
      <c r="F3939" s="16" t="s">
        <v>81</v>
      </c>
      <c r="G3939" s="22">
        <v>24</v>
      </c>
      <c r="H3939" s="18">
        <v>339.6</v>
      </c>
      <c r="I3939" s="18">
        <v>14.15</v>
      </c>
      <c r="J3939" s="18">
        <v>14.19</v>
      </c>
      <c r="K3939" s="18">
        <v>14.11</v>
      </c>
      <c r="L3939" s="22">
        <v>2</v>
      </c>
    </row>
    <row r="3940" spans="1:12">
      <c r="A3940">
        <v>5</v>
      </c>
      <c r="B3940" s="16" t="s">
        <v>60</v>
      </c>
      <c r="C3940" s="9">
        <v>46143</v>
      </c>
      <c r="D3940">
        <v>1</v>
      </c>
      <c r="E3940" s="16" t="s">
        <v>80</v>
      </c>
      <c r="F3940" s="16" t="s">
        <v>81</v>
      </c>
      <c r="G3940" s="22">
        <v>12</v>
      </c>
      <c r="H3940" s="18">
        <v>175.68</v>
      </c>
      <c r="I3940" s="18">
        <v>14.64</v>
      </c>
      <c r="J3940" s="18">
        <v>14.64</v>
      </c>
      <c r="K3940" s="18">
        <v>14.64</v>
      </c>
      <c r="L3940" s="22">
        <v>1</v>
      </c>
    </row>
    <row r="3941" spans="1:12">
      <c r="A3941">
        <v>5</v>
      </c>
      <c r="B3941" s="16" t="s">
        <v>60</v>
      </c>
      <c r="C3941" s="9">
        <v>46174</v>
      </c>
      <c r="D3941">
        <v>1</v>
      </c>
      <c r="E3941" s="16" t="s">
        <v>80</v>
      </c>
      <c r="F3941" s="16" t="s">
        <v>81</v>
      </c>
      <c r="G3941" s="22">
        <v>12</v>
      </c>
      <c r="H3941" s="18">
        <v>173.28</v>
      </c>
      <c r="I3941" s="18">
        <v>14.44</v>
      </c>
      <c r="J3941" s="18">
        <v>14.44</v>
      </c>
      <c r="K3941" s="18">
        <v>14.44</v>
      </c>
      <c r="L3941" s="22">
        <v>1</v>
      </c>
    </row>
    <row r="3942" spans="1:12">
      <c r="A3942">
        <v>5</v>
      </c>
      <c r="B3942" s="16" t="s">
        <v>60</v>
      </c>
      <c r="C3942" s="9">
        <v>46204</v>
      </c>
      <c r="D3942">
        <v>1</v>
      </c>
      <c r="E3942" s="16" t="s">
        <v>80</v>
      </c>
      <c r="F3942" s="16" t="s">
        <v>81</v>
      </c>
      <c r="G3942" s="22">
        <v>12</v>
      </c>
      <c r="H3942" s="18">
        <v>143.04</v>
      </c>
      <c r="I3942" s="18">
        <v>11.92</v>
      </c>
      <c r="J3942" s="18">
        <v>11.92</v>
      </c>
      <c r="K3942" s="18">
        <v>11.92</v>
      </c>
      <c r="L3942" s="22">
        <v>1</v>
      </c>
    </row>
    <row r="3943" spans="1:12">
      <c r="A3943">
        <v>5</v>
      </c>
      <c r="B3943" s="16" t="s">
        <v>60</v>
      </c>
      <c r="C3943" s="9">
        <v>46235</v>
      </c>
      <c r="D3943">
        <v>1</v>
      </c>
      <c r="E3943" s="16" t="s">
        <v>80</v>
      </c>
      <c r="F3943" s="16" t="s">
        <v>81</v>
      </c>
      <c r="G3943" s="22">
        <v>12</v>
      </c>
      <c r="H3943" s="18">
        <v>143.16</v>
      </c>
      <c r="I3943" s="18">
        <v>11.93</v>
      </c>
      <c r="J3943" s="18">
        <v>11.93</v>
      </c>
      <c r="K3943" s="18">
        <v>11.93</v>
      </c>
      <c r="L3943" s="22">
        <v>1</v>
      </c>
    </row>
    <row r="3944" spans="1:12">
      <c r="A3944">
        <v>5</v>
      </c>
      <c r="B3944" s="16" t="s">
        <v>60</v>
      </c>
      <c r="C3944" s="9">
        <v>46266</v>
      </c>
      <c r="D3944">
        <v>1</v>
      </c>
      <c r="E3944" s="16" t="s">
        <v>80</v>
      </c>
      <c r="F3944" s="16" t="s">
        <v>81</v>
      </c>
      <c r="G3944" s="22">
        <v>24</v>
      </c>
      <c r="H3944" s="18">
        <v>284.52</v>
      </c>
      <c r="I3944" s="18">
        <v>11.855</v>
      </c>
      <c r="J3944" s="18">
        <v>11.95</v>
      </c>
      <c r="K3944" s="18">
        <v>11.76</v>
      </c>
      <c r="L3944" s="22">
        <v>2</v>
      </c>
    </row>
    <row r="3945" spans="1:12">
      <c r="A3945">
        <v>5</v>
      </c>
      <c r="B3945" s="16" t="s">
        <v>60</v>
      </c>
      <c r="C3945" s="9">
        <v>45689</v>
      </c>
      <c r="D3945">
        <v>2</v>
      </c>
      <c r="E3945" s="16" t="s">
        <v>82</v>
      </c>
      <c r="F3945" s="16" t="s">
        <v>83</v>
      </c>
      <c r="G3945" s="22">
        <v>14</v>
      </c>
      <c r="H3945" s="18">
        <v>239.285</v>
      </c>
      <c r="I3945" s="18">
        <v>17.091785714</v>
      </c>
      <c r="J3945" s="18">
        <v>17.38</v>
      </c>
      <c r="K3945" s="18">
        <v>16.690000000000001</v>
      </c>
      <c r="L3945" s="22">
        <v>8</v>
      </c>
    </row>
    <row r="3946" spans="1:12">
      <c r="A3946">
        <v>5</v>
      </c>
      <c r="B3946" s="16" t="s">
        <v>60</v>
      </c>
      <c r="C3946" s="9">
        <v>45717</v>
      </c>
      <c r="D3946">
        <v>2</v>
      </c>
      <c r="E3946" s="16" t="s">
        <v>82</v>
      </c>
      <c r="F3946" s="16" t="s">
        <v>83</v>
      </c>
      <c r="G3946" s="22">
        <v>11.5</v>
      </c>
      <c r="H3946" s="18">
        <v>196.72499999999999</v>
      </c>
      <c r="I3946" s="18">
        <v>17.106521739000002</v>
      </c>
      <c r="J3946" s="18">
        <v>17.27</v>
      </c>
      <c r="K3946" s="18">
        <v>16.8</v>
      </c>
      <c r="L3946" s="22">
        <v>9</v>
      </c>
    </row>
    <row r="3947" spans="1:12">
      <c r="A3947">
        <v>5</v>
      </c>
      <c r="B3947" s="16" t="s">
        <v>60</v>
      </c>
      <c r="C3947" s="9">
        <v>45748</v>
      </c>
      <c r="D3947">
        <v>2</v>
      </c>
      <c r="E3947" s="16" t="s">
        <v>82</v>
      </c>
      <c r="F3947" s="16" t="s">
        <v>83</v>
      </c>
      <c r="G3947" s="22">
        <v>12</v>
      </c>
      <c r="H3947" s="18">
        <v>202.13</v>
      </c>
      <c r="I3947" s="18">
        <v>16.844166667</v>
      </c>
      <c r="J3947" s="18">
        <v>17.14</v>
      </c>
      <c r="K3947" s="18">
        <v>16.41</v>
      </c>
      <c r="L3947" s="22">
        <v>8</v>
      </c>
    </row>
    <row r="3948" spans="1:12">
      <c r="A3948">
        <v>5</v>
      </c>
      <c r="B3948" s="16" t="s">
        <v>60</v>
      </c>
      <c r="C3948" s="9">
        <v>45778</v>
      </c>
      <c r="D3948">
        <v>2</v>
      </c>
      <c r="E3948" s="16" t="s">
        <v>82</v>
      </c>
      <c r="F3948" s="16" t="s">
        <v>83</v>
      </c>
      <c r="G3948" s="22">
        <v>12.5</v>
      </c>
      <c r="H3948" s="18">
        <v>213.42500000000001</v>
      </c>
      <c r="I3948" s="18">
        <v>17.074000000000002</v>
      </c>
      <c r="J3948" s="18">
        <v>17.399999999999999</v>
      </c>
      <c r="K3948" s="18">
        <v>16.7</v>
      </c>
      <c r="L3948" s="22">
        <v>9</v>
      </c>
    </row>
    <row r="3949" spans="1:12">
      <c r="A3949">
        <v>5</v>
      </c>
      <c r="B3949" s="16" t="s">
        <v>60</v>
      </c>
      <c r="C3949" s="9">
        <v>45809</v>
      </c>
      <c r="D3949">
        <v>2</v>
      </c>
      <c r="E3949" s="16" t="s">
        <v>82</v>
      </c>
      <c r="F3949" s="16" t="s">
        <v>83</v>
      </c>
      <c r="G3949" s="22">
        <v>11.5</v>
      </c>
      <c r="H3949" s="18">
        <v>195.95500000000001</v>
      </c>
      <c r="I3949" s="18">
        <v>17.039565217</v>
      </c>
      <c r="J3949" s="18">
        <v>17.23</v>
      </c>
      <c r="K3949" s="18">
        <v>16.850000000000001</v>
      </c>
      <c r="L3949" s="22">
        <v>9</v>
      </c>
    </row>
    <row r="3950" spans="1:12">
      <c r="A3950">
        <v>5</v>
      </c>
      <c r="B3950" s="16" t="s">
        <v>60</v>
      </c>
      <c r="C3950" s="9">
        <v>45839</v>
      </c>
      <c r="D3950">
        <v>2</v>
      </c>
      <c r="E3950" s="16" t="s">
        <v>82</v>
      </c>
      <c r="F3950" s="16" t="s">
        <v>83</v>
      </c>
      <c r="G3950" s="22">
        <v>13</v>
      </c>
      <c r="H3950" s="18">
        <v>235.6</v>
      </c>
      <c r="I3950" s="18">
        <v>18.123076922999999</v>
      </c>
      <c r="J3950" s="18">
        <v>18.45</v>
      </c>
      <c r="K3950" s="18">
        <v>17.8</v>
      </c>
      <c r="L3950" s="22">
        <v>9</v>
      </c>
    </row>
    <row r="3951" spans="1:12">
      <c r="A3951">
        <v>5</v>
      </c>
      <c r="B3951" s="16" t="s">
        <v>60</v>
      </c>
      <c r="C3951" s="9">
        <v>45870</v>
      </c>
      <c r="D3951">
        <v>2</v>
      </c>
      <c r="E3951" s="16" t="s">
        <v>82</v>
      </c>
      <c r="F3951" s="16" t="s">
        <v>83</v>
      </c>
      <c r="G3951" s="22">
        <v>10</v>
      </c>
      <c r="H3951" s="18">
        <v>183.48500000000001</v>
      </c>
      <c r="I3951" s="18">
        <v>18.348500000000001</v>
      </c>
      <c r="J3951" s="18">
        <v>18.600000000000001</v>
      </c>
      <c r="K3951" s="18">
        <v>17.899999999999999</v>
      </c>
      <c r="L3951" s="22">
        <v>8</v>
      </c>
    </row>
    <row r="3952" spans="1:12">
      <c r="A3952">
        <v>5</v>
      </c>
      <c r="B3952" s="16" t="s">
        <v>60</v>
      </c>
      <c r="C3952" s="9">
        <v>45901</v>
      </c>
      <c r="D3952">
        <v>2</v>
      </c>
      <c r="E3952" s="16" t="s">
        <v>82</v>
      </c>
      <c r="F3952" s="16" t="s">
        <v>83</v>
      </c>
      <c r="G3952" s="22">
        <v>9</v>
      </c>
      <c r="H3952" s="18">
        <v>164.42</v>
      </c>
      <c r="I3952" s="18">
        <v>18.268888888999999</v>
      </c>
      <c r="J3952" s="18">
        <v>18.75</v>
      </c>
      <c r="K3952" s="18">
        <v>17.93</v>
      </c>
      <c r="L3952" s="22">
        <v>9</v>
      </c>
    </row>
    <row r="3953" spans="1:12">
      <c r="A3953">
        <v>5</v>
      </c>
      <c r="B3953" s="16" t="s">
        <v>60</v>
      </c>
      <c r="C3953" s="9">
        <v>45931</v>
      </c>
      <c r="D3953">
        <v>2</v>
      </c>
      <c r="E3953" s="16" t="s">
        <v>82</v>
      </c>
      <c r="F3953" s="16" t="s">
        <v>83</v>
      </c>
      <c r="G3953" s="22">
        <v>15</v>
      </c>
      <c r="H3953" s="18">
        <v>273.05500000000001</v>
      </c>
      <c r="I3953" s="18">
        <v>18.203666667</v>
      </c>
      <c r="J3953" s="18">
        <v>18.72</v>
      </c>
      <c r="K3953" s="18">
        <v>17.72</v>
      </c>
      <c r="L3953" s="22">
        <v>9</v>
      </c>
    </row>
    <row r="3954" spans="1:12">
      <c r="A3954">
        <v>5</v>
      </c>
      <c r="B3954" s="16" t="s">
        <v>60</v>
      </c>
      <c r="C3954" s="9">
        <v>45962</v>
      </c>
      <c r="D3954">
        <v>2</v>
      </c>
      <c r="E3954" s="16" t="s">
        <v>82</v>
      </c>
      <c r="F3954" s="16" t="s">
        <v>83</v>
      </c>
      <c r="G3954" s="22">
        <v>14</v>
      </c>
      <c r="H3954" s="18">
        <v>255.715</v>
      </c>
      <c r="I3954" s="18">
        <v>18.265357142999999</v>
      </c>
      <c r="J3954" s="18">
        <v>18.63</v>
      </c>
      <c r="K3954" s="18">
        <v>18.03</v>
      </c>
      <c r="L3954" s="22">
        <v>8</v>
      </c>
    </row>
    <row r="3955" spans="1:12">
      <c r="A3955">
        <v>5</v>
      </c>
      <c r="B3955" s="16" t="s">
        <v>60</v>
      </c>
      <c r="C3955" s="9">
        <v>45992</v>
      </c>
      <c r="D3955">
        <v>2</v>
      </c>
      <c r="E3955" s="16" t="s">
        <v>82</v>
      </c>
      <c r="F3955" s="16" t="s">
        <v>83</v>
      </c>
      <c r="G3955" s="22">
        <v>14.5</v>
      </c>
      <c r="H3955" s="18">
        <v>262.93</v>
      </c>
      <c r="I3955" s="18">
        <v>18.133103448</v>
      </c>
      <c r="J3955" s="18">
        <v>18.36</v>
      </c>
      <c r="K3955" s="18">
        <v>17.8</v>
      </c>
      <c r="L3955" s="22">
        <v>9</v>
      </c>
    </row>
    <row r="3956" spans="1:12">
      <c r="A3956">
        <v>5</v>
      </c>
      <c r="B3956" s="16" t="s">
        <v>60</v>
      </c>
      <c r="C3956" s="9">
        <v>46023</v>
      </c>
      <c r="D3956">
        <v>2</v>
      </c>
      <c r="E3956" s="16" t="s">
        <v>82</v>
      </c>
      <c r="F3956" s="16" t="s">
        <v>83</v>
      </c>
      <c r="G3956" s="22">
        <v>13.5</v>
      </c>
      <c r="H3956" s="18">
        <v>233.80500000000001</v>
      </c>
      <c r="I3956" s="18">
        <v>17.318888889</v>
      </c>
      <c r="J3956" s="18">
        <v>17.89</v>
      </c>
      <c r="K3956" s="18">
        <v>16.82</v>
      </c>
      <c r="L3956" s="22">
        <v>9</v>
      </c>
    </row>
    <row r="3957" spans="1:12">
      <c r="A3957">
        <v>5</v>
      </c>
      <c r="B3957" s="16" t="s">
        <v>60</v>
      </c>
      <c r="C3957" s="9">
        <v>46054</v>
      </c>
      <c r="D3957">
        <v>2</v>
      </c>
      <c r="E3957" s="16" t="s">
        <v>82</v>
      </c>
      <c r="F3957" s="16" t="s">
        <v>83</v>
      </c>
      <c r="G3957" s="22">
        <v>14.5</v>
      </c>
      <c r="H3957" s="18">
        <v>254.63499999999999</v>
      </c>
      <c r="I3957" s="18">
        <v>17.561034483</v>
      </c>
      <c r="J3957" s="18">
        <v>17.87</v>
      </c>
      <c r="K3957" s="18">
        <v>17.34</v>
      </c>
      <c r="L3957" s="22">
        <v>8</v>
      </c>
    </row>
    <row r="3958" spans="1:12">
      <c r="A3958">
        <v>5</v>
      </c>
      <c r="B3958" s="16" t="s">
        <v>60</v>
      </c>
      <c r="C3958" s="9">
        <v>46082</v>
      </c>
      <c r="D3958">
        <v>2</v>
      </c>
      <c r="E3958" s="16" t="s">
        <v>82</v>
      </c>
      <c r="F3958" s="16" t="s">
        <v>83</v>
      </c>
      <c r="G3958" s="22">
        <v>14.5</v>
      </c>
      <c r="H3958" s="18">
        <v>256.87</v>
      </c>
      <c r="I3958" s="18">
        <v>17.715172414000001</v>
      </c>
      <c r="J3958" s="18">
        <v>18.72</v>
      </c>
      <c r="K3958" s="18">
        <v>17.25</v>
      </c>
      <c r="L3958" s="22">
        <v>9</v>
      </c>
    </row>
    <row r="3959" spans="1:12">
      <c r="A3959">
        <v>5</v>
      </c>
      <c r="B3959" s="16" t="s">
        <v>60</v>
      </c>
      <c r="C3959" s="9">
        <v>46113</v>
      </c>
      <c r="D3959">
        <v>2</v>
      </c>
      <c r="E3959" s="16" t="s">
        <v>82</v>
      </c>
      <c r="F3959" s="16" t="s">
        <v>83</v>
      </c>
      <c r="G3959" s="22">
        <v>13.5</v>
      </c>
      <c r="H3959" s="18">
        <v>238.85499999999999</v>
      </c>
      <c r="I3959" s="18">
        <v>17.692962962999999</v>
      </c>
      <c r="J3959" s="18">
        <v>18.260000000000002</v>
      </c>
      <c r="K3959" s="18">
        <v>17.329999999999998</v>
      </c>
      <c r="L3959" s="22">
        <v>9</v>
      </c>
    </row>
    <row r="3960" spans="1:12">
      <c r="A3960">
        <v>5</v>
      </c>
      <c r="B3960" s="16" t="s">
        <v>60</v>
      </c>
      <c r="C3960" s="9">
        <v>46143</v>
      </c>
      <c r="D3960">
        <v>2</v>
      </c>
      <c r="E3960" s="16" t="s">
        <v>82</v>
      </c>
      <c r="F3960" s="16" t="s">
        <v>83</v>
      </c>
      <c r="G3960" s="22">
        <v>11</v>
      </c>
      <c r="H3960" s="18">
        <v>195.27</v>
      </c>
      <c r="I3960" s="18">
        <v>17.751818182000001</v>
      </c>
      <c r="J3960" s="18">
        <v>17.899999999999999</v>
      </c>
      <c r="K3960" s="18">
        <v>17.48</v>
      </c>
      <c r="L3960" s="22">
        <v>8</v>
      </c>
    </row>
    <row r="3961" spans="1:12">
      <c r="A3961">
        <v>5</v>
      </c>
      <c r="B3961" s="16" t="s">
        <v>60</v>
      </c>
      <c r="C3961" s="9">
        <v>46174</v>
      </c>
      <c r="D3961">
        <v>2</v>
      </c>
      <c r="E3961" s="16" t="s">
        <v>82</v>
      </c>
      <c r="F3961" s="16" t="s">
        <v>83</v>
      </c>
      <c r="G3961" s="22">
        <v>11.5</v>
      </c>
      <c r="H3961" s="18">
        <v>204.53</v>
      </c>
      <c r="I3961" s="18">
        <v>17.785217391</v>
      </c>
      <c r="J3961" s="18">
        <v>18.079999999999998</v>
      </c>
      <c r="K3961" s="18">
        <v>17.32</v>
      </c>
      <c r="L3961" s="22">
        <v>9</v>
      </c>
    </row>
    <row r="3962" spans="1:12">
      <c r="A3962">
        <v>5</v>
      </c>
      <c r="B3962" s="16" t="s">
        <v>60</v>
      </c>
      <c r="C3962" s="9">
        <v>46204</v>
      </c>
      <c r="D3962">
        <v>2</v>
      </c>
      <c r="E3962" s="16" t="s">
        <v>82</v>
      </c>
      <c r="F3962" s="16" t="s">
        <v>83</v>
      </c>
      <c r="G3962" s="22">
        <v>13.5</v>
      </c>
      <c r="H3962" s="18">
        <v>255.9</v>
      </c>
      <c r="I3962" s="18">
        <v>18.955555556</v>
      </c>
      <c r="J3962" s="18">
        <v>19.27</v>
      </c>
      <c r="K3962" s="18">
        <v>18.62</v>
      </c>
      <c r="L3962" s="22">
        <v>9</v>
      </c>
    </row>
    <row r="3963" spans="1:12">
      <c r="A3963">
        <v>5</v>
      </c>
      <c r="B3963" s="16" t="s">
        <v>60</v>
      </c>
      <c r="C3963" s="9">
        <v>46235</v>
      </c>
      <c r="D3963">
        <v>2</v>
      </c>
      <c r="E3963" s="16" t="s">
        <v>82</v>
      </c>
      <c r="F3963" s="16" t="s">
        <v>83</v>
      </c>
      <c r="G3963" s="22">
        <v>9.5</v>
      </c>
      <c r="H3963" s="18">
        <v>178.23500000000001</v>
      </c>
      <c r="I3963" s="18">
        <v>18.761578947</v>
      </c>
      <c r="J3963" s="18">
        <v>19.260000000000002</v>
      </c>
      <c r="K3963" s="18">
        <v>18.260000000000002</v>
      </c>
      <c r="L3963" s="22">
        <v>9</v>
      </c>
    </row>
    <row r="3964" spans="1:12">
      <c r="A3964">
        <v>5</v>
      </c>
      <c r="B3964" s="16" t="s">
        <v>60</v>
      </c>
      <c r="C3964" s="9">
        <v>46266</v>
      </c>
      <c r="D3964">
        <v>2</v>
      </c>
      <c r="E3964" s="16" t="s">
        <v>82</v>
      </c>
      <c r="F3964" s="16" t="s">
        <v>83</v>
      </c>
      <c r="G3964" s="22">
        <v>10</v>
      </c>
      <c r="H3964" s="18">
        <v>187.845</v>
      </c>
      <c r="I3964" s="18">
        <v>18.784500000000001</v>
      </c>
      <c r="J3964" s="18">
        <v>19.04</v>
      </c>
      <c r="K3964" s="18">
        <v>18.38</v>
      </c>
      <c r="L3964" s="22">
        <v>8</v>
      </c>
    </row>
    <row r="3965" spans="1:12">
      <c r="A3965">
        <v>5</v>
      </c>
      <c r="B3965" s="16" t="s">
        <v>60</v>
      </c>
      <c r="C3965" s="9">
        <v>45689</v>
      </c>
      <c r="D3965">
        <v>3</v>
      </c>
      <c r="E3965" s="16" t="s">
        <v>84</v>
      </c>
      <c r="F3965" s="16" t="s">
        <v>85</v>
      </c>
      <c r="G3965" s="22">
        <v>200</v>
      </c>
      <c r="H3965" s="18">
        <v>129</v>
      </c>
      <c r="I3965" s="18">
        <v>0.64500000000000002</v>
      </c>
      <c r="J3965" s="18">
        <v>0.65</v>
      </c>
      <c r="K3965" s="18">
        <v>0.64</v>
      </c>
      <c r="L3965" s="22">
        <v>2</v>
      </c>
    </row>
    <row r="3966" spans="1:12">
      <c r="A3966">
        <v>5</v>
      </c>
      <c r="B3966" s="16" t="s">
        <v>60</v>
      </c>
      <c r="C3966" s="9">
        <v>45717</v>
      </c>
      <c r="D3966">
        <v>3</v>
      </c>
      <c r="E3966" s="16" t="s">
        <v>84</v>
      </c>
      <c r="F3966" s="16" t="s">
        <v>85</v>
      </c>
      <c r="G3966" s="22">
        <v>100</v>
      </c>
      <c r="H3966" s="18">
        <v>64.5</v>
      </c>
      <c r="I3966" s="18">
        <v>0.64500000000000002</v>
      </c>
      <c r="J3966" s="18">
        <v>0.65</v>
      </c>
      <c r="K3966" s="18">
        <v>0.64</v>
      </c>
      <c r="L3966" s="22">
        <v>2</v>
      </c>
    </row>
    <row r="3967" spans="1:12">
      <c r="A3967">
        <v>5</v>
      </c>
      <c r="B3967" s="16" t="s">
        <v>60</v>
      </c>
      <c r="C3967" s="9">
        <v>45748</v>
      </c>
      <c r="D3967">
        <v>3</v>
      </c>
      <c r="E3967" s="16" t="s">
        <v>84</v>
      </c>
      <c r="F3967" s="16" t="s">
        <v>85</v>
      </c>
      <c r="G3967" s="22">
        <v>200</v>
      </c>
      <c r="H3967" s="18">
        <v>133</v>
      </c>
      <c r="I3967" s="18">
        <v>0.66500000000000004</v>
      </c>
      <c r="J3967" s="18">
        <v>0.67</v>
      </c>
      <c r="K3967" s="18">
        <v>0.66</v>
      </c>
      <c r="L3967" s="22">
        <v>2</v>
      </c>
    </row>
    <row r="3968" spans="1:12">
      <c r="A3968">
        <v>5</v>
      </c>
      <c r="B3968" s="16" t="s">
        <v>60</v>
      </c>
      <c r="C3968" s="9">
        <v>45778</v>
      </c>
      <c r="D3968">
        <v>3</v>
      </c>
      <c r="E3968" s="16" t="s">
        <v>84</v>
      </c>
      <c r="F3968" s="16" t="s">
        <v>85</v>
      </c>
      <c r="G3968" s="22">
        <v>150</v>
      </c>
      <c r="H3968" s="18">
        <v>98.5</v>
      </c>
      <c r="I3968" s="18">
        <v>0.65666666699999998</v>
      </c>
      <c r="J3968" s="18">
        <v>0.66</v>
      </c>
      <c r="K3968" s="18">
        <v>0.65</v>
      </c>
      <c r="L3968" s="22">
        <v>2</v>
      </c>
    </row>
    <row r="3969" spans="1:12">
      <c r="A3969">
        <v>5</v>
      </c>
      <c r="B3969" s="16" t="s">
        <v>60</v>
      </c>
      <c r="C3969" s="9">
        <v>45809</v>
      </c>
      <c r="D3969">
        <v>3</v>
      </c>
      <c r="E3969" s="16" t="s">
        <v>84</v>
      </c>
      <c r="F3969" s="16" t="s">
        <v>85</v>
      </c>
      <c r="G3969" s="22">
        <v>150</v>
      </c>
      <c r="H3969" s="18">
        <v>99</v>
      </c>
      <c r="I3969" s="18">
        <v>0.66</v>
      </c>
      <c r="J3969" s="18">
        <v>0.66</v>
      </c>
      <c r="K3969" s="18">
        <v>0.66</v>
      </c>
      <c r="L3969" s="22">
        <v>2</v>
      </c>
    </row>
    <row r="3970" spans="1:12">
      <c r="A3970">
        <v>5</v>
      </c>
      <c r="B3970" s="16" t="s">
        <v>60</v>
      </c>
      <c r="C3970" s="9">
        <v>45839</v>
      </c>
      <c r="D3970">
        <v>3</v>
      </c>
      <c r="E3970" s="16" t="s">
        <v>84</v>
      </c>
      <c r="F3970" s="16" t="s">
        <v>85</v>
      </c>
      <c r="G3970" s="22">
        <v>250</v>
      </c>
      <c r="H3970" s="18">
        <v>163</v>
      </c>
      <c r="I3970" s="18">
        <v>0.65200000000000002</v>
      </c>
      <c r="J3970" s="18">
        <v>0.68</v>
      </c>
      <c r="K3970" s="18">
        <v>0.64</v>
      </c>
      <c r="L3970" s="22">
        <v>3</v>
      </c>
    </row>
    <row r="3971" spans="1:12">
      <c r="A3971">
        <v>5</v>
      </c>
      <c r="B3971" s="16" t="s">
        <v>60</v>
      </c>
      <c r="C3971" s="9">
        <v>45870</v>
      </c>
      <c r="D3971">
        <v>3</v>
      </c>
      <c r="E3971" s="16" t="s">
        <v>84</v>
      </c>
      <c r="F3971" s="16" t="s">
        <v>85</v>
      </c>
      <c r="G3971" s="22">
        <v>100</v>
      </c>
      <c r="H3971" s="18">
        <v>65.5</v>
      </c>
      <c r="I3971" s="18">
        <v>0.65500000000000003</v>
      </c>
      <c r="J3971" s="18">
        <v>0.66</v>
      </c>
      <c r="K3971" s="18">
        <v>0.65</v>
      </c>
      <c r="L3971" s="22">
        <v>2</v>
      </c>
    </row>
    <row r="3972" spans="1:12">
      <c r="A3972">
        <v>5</v>
      </c>
      <c r="B3972" s="16" t="s">
        <v>60</v>
      </c>
      <c r="C3972" s="9">
        <v>45901</v>
      </c>
      <c r="D3972">
        <v>3</v>
      </c>
      <c r="E3972" s="16" t="s">
        <v>84</v>
      </c>
      <c r="F3972" s="16" t="s">
        <v>85</v>
      </c>
      <c r="G3972" s="22">
        <v>150</v>
      </c>
      <c r="H3972" s="18">
        <v>98</v>
      </c>
      <c r="I3972" s="18">
        <v>0.65333333299999996</v>
      </c>
      <c r="J3972" s="18">
        <v>0.66</v>
      </c>
      <c r="K3972" s="18">
        <v>0.64</v>
      </c>
      <c r="L3972" s="22">
        <v>2</v>
      </c>
    </row>
    <row r="3973" spans="1:12">
      <c r="A3973">
        <v>5</v>
      </c>
      <c r="B3973" s="16" t="s">
        <v>60</v>
      </c>
      <c r="C3973" s="9">
        <v>45931</v>
      </c>
      <c r="D3973">
        <v>3</v>
      </c>
      <c r="E3973" s="16" t="s">
        <v>84</v>
      </c>
      <c r="F3973" s="16" t="s">
        <v>85</v>
      </c>
      <c r="G3973" s="22">
        <v>150</v>
      </c>
      <c r="H3973" s="18">
        <v>98</v>
      </c>
      <c r="I3973" s="18">
        <v>0.65333333299999996</v>
      </c>
      <c r="J3973" s="18">
        <v>0.66</v>
      </c>
      <c r="K3973" s="18">
        <v>0.65</v>
      </c>
      <c r="L3973" s="22">
        <v>2</v>
      </c>
    </row>
    <row r="3974" spans="1:12">
      <c r="A3974">
        <v>5</v>
      </c>
      <c r="B3974" s="16" t="s">
        <v>60</v>
      </c>
      <c r="C3974" s="9">
        <v>45962</v>
      </c>
      <c r="D3974">
        <v>3</v>
      </c>
      <c r="E3974" s="16" t="s">
        <v>84</v>
      </c>
      <c r="F3974" s="16" t="s">
        <v>85</v>
      </c>
      <c r="G3974" s="22">
        <v>150</v>
      </c>
      <c r="H3974" s="18">
        <v>98.5</v>
      </c>
      <c r="I3974" s="18">
        <v>0.65666666699999998</v>
      </c>
      <c r="J3974" s="18">
        <v>0.66</v>
      </c>
      <c r="K3974" s="18">
        <v>0.65</v>
      </c>
      <c r="L3974" s="22">
        <v>2</v>
      </c>
    </row>
    <row r="3975" spans="1:12">
      <c r="A3975">
        <v>5</v>
      </c>
      <c r="B3975" s="16" t="s">
        <v>60</v>
      </c>
      <c r="C3975" s="9">
        <v>45992</v>
      </c>
      <c r="D3975">
        <v>3</v>
      </c>
      <c r="E3975" s="16" t="s">
        <v>84</v>
      </c>
      <c r="F3975" s="16" t="s">
        <v>85</v>
      </c>
      <c r="G3975" s="22">
        <v>150</v>
      </c>
      <c r="H3975" s="18">
        <v>98.5</v>
      </c>
      <c r="I3975" s="18">
        <v>0.65666666699999998</v>
      </c>
      <c r="J3975" s="18">
        <v>0.66</v>
      </c>
      <c r="K3975" s="18">
        <v>0.65</v>
      </c>
      <c r="L3975" s="22">
        <v>2</v>
      </c>
    </row>
    <row r="3976" spans="1:12">
      <c r="A3976">
        <v>5</v>
      </c>
      <c r="B3976" s="16" t="s">
        <v>60</v>
      </c>
      <c r="C3976" s="9">
        <v>46023</v>
      </c>
      <c r="D3976">
        <v>3</v>
      </c>
      <c r="E3976" s="16" t="s">
        <v>84</v>
      </c>
      <c r="F3976" s="16" t="s">
        <v>85</v>
      </c>
      <c r="G3976" s="22">
        <v>250</v>
      </c>
      <c r="H3976" s="18">
        <v>163</v>
      </c>
      <c r="I3976" s="18">
        <v>0.65200000000000002</v>
      </c>
      <c r="J3976" s="18">
        <v>0.66</v>
      </c>
      <c r="K3976" s="18">
        <v>0.65</v>
      </c>
      <c r="L3976" s="22">
        <v>3</v>
      </c>
    </row>
    <row r="3977" spans="1:12">
      <c r="A3977">
        <v>5</v>
      </c>
      <c r="B3977" s="16" t="s">
        <v>60</v>
      </c>
      <c r="C3977" s="9">
        <v>46054</v>
      </c>
      <c r="D3977">
        <v>3</v>
      </c>
      <c r="E3977" s="16" t="s">
        <v>84</v>
      </c>
      <c r="F3977" s="16" t="s">
        <v>85</v>
      </c>
      <c r="G3977" s="22">
        <v>150</v>
      </c>
      <c r="H3977" s="18">
        <v>100.5</v>
      </c>
      <c r="I3977" s="18">
        <v>0.67</v>
      </c>
      <c r="J3977" s="18">
        <v>0.67</v>
      </c>
      <c r="K3977" s="18">
        <v>0.67</v>
      </c>
      <c r="L3977" s="22">
        <v>2</v>
      </c>
    </row>
    <row r="3978" spans="1:12">
      <c r="A3978">
        <v>5</v>
      </c>
      <c r="B3978" s="16" t="s">
        <v>60</v>
      </c>
      <c r="C3978" s="9">
        <v>46082</v>
      </c>
      <c r="D3978">
        <v>3</v>
      </c>
      <c r="E3978" s="16" t="s">
        <v>84</v>
      </c>
      <c r="F3978" s="16" t="s">
        <v>85</v>
      </c>
      <c r="G3978" s="22">
        <v>200</v>
      </c>
      <c r="H3978" s="18">
        <v>134</v>
      </c>
      <c r="I3978" s="18">
        <v>0.67</v>
      </c>
      <c r="J3978" s="18">
        <v>0.67</v>
      </c>
      <c r="K3978" s="18">
        <v>0.67</v>
      </c>
      <c r="L3978" s="22">
        <v>2</v>
      </c>
    </row>
    <row r="3979" spans="1:12">
      <c r="A3979">
        <v>5</v>
      </c>
      <c r="B3979" s="16" t="s">
        <v>60</v>
      </c>
      <c r="C3979" s="9">
        <v>46113</v>
      </c>
      <c r="D3979">
        <v>3</v>
      </c>
      <c r="E3979" s="16" t="s">
        <v>84</v>
      </c>
      <c r="F3979" s="16" t="s">
        <v>85</v>
      </c>
      <c r="G3979" s="22">
        <v>150</v>
      </c>
      <c r="H3979" s="18">
        <v>100.5</v>
      </c>
      <c r="I3979" s="18">
        <v>0.67</v>
      </c>
      <c r="J3979" s="18">
        <v>0.67</v>
      </c>
      <c r="K3979" s="18">
        <v>0.67</v>
      </c>
      <c r="L3979" s="22">
        <v>2</v>
      </c>
    </row>
    <row r="3980" spans="1:12">
      <c r="A3980">
        <v>5</v>
      </c>
      <c r="B3980" s="16" t="s">
        <v>60</v>
      </c>
      <c r="C3980" s="9">
        <v>46143</v>
      </c>
      <c r="D3980">
        <v>3</v>
      </c>
      <c r="E3980" s="16" t="s">
        <v>84</v>
      </c>
      <c r="F3980" s="16" t="s">
        <v>85</v>
      </c>
      <c r="G3980" s="22">
        <v>150</v>
      </c>
      <c r="H3980" s="18">
        <v>103.5</v>
      </c>
      <c r="I3980" s="18">
        <v>0.69</v>
      </c>
      <c r="J3980" s="18">
        <v>0.69</v>
      </c>
      <c r="K3980" s="18">
        <v>0.69</v>
      </c>
      <c r="L3980" s="22">
        <v>2</v>
      </c>
    </row>
    <row r="3981" spans="1:12">
      <c r="A3981">
        <v>5</v>
      </c>
      <c r="B3981" s="16" t="s">
        <v>60</v>
      </c>
      <c r="C3981" s="9">
        <v>46174</v>
      </c>
      <c r="D3981">
        <v>3</v>
      </c>
      <c r="E3981" s="16" t="s">
        <v>84</v>
      </c>
      <c r="F3981" s="16" t="s">
        <v>85</v>
      </c>
      <c r="G3981" s="22">
        <v>150</v>
      </c>
      <c r="H3981" s="18">
        <v>103</v>
      </c>
      <c r="I3981" s="18">
        <v>0.68666666700000001</v>
      </c>
      <c r="J3981" s="18">
        <v>0.69</v>
      </c>
      <c r="K3981" s="18">
        <v>0.68</v>
      </c>
      <c r="L3981" s="22">
        <v>2</v>
      </c>
    </row>
    <row r="3982" spans="1:12">
      <c r="A3982">
        <v>5</v>
      </c>
      <c r="B3982" s="16" t="s">
        <v>60</v>
      </c>
      <c r="C3982" s="9">
        <v>46204</v>
      </c>
      <c r="D3982">
        <v>3</v>
      </c>
      <c r="E3982" s="16" t="s">
        <v>84</v>
      </c>
      <c r="F3982" s="16" t="s">
        <v>85</v>
      </c>
      <c r="G3982" s="22">
        <v>200</v>
      </c>
      <c r="H3982" s="18">
        <v>136.5</v>
      </c>
      <c r="I3982" s="18">
        <v>0.6825</v>
      </c>
      <c r="J3982" s="18">
        <v>0.69</v>
      </c>
      <c r="K3982" s="18">
        <v>0.68</v>
      </c>
      <c r="L3982" s="22">
        <v>3</v>
      </c>
    </row>
    <row r="3983" spans="1:12">
      <c r="A3983">
        <v>5</v>
      </c>
      <c r="B3983" s="16" t="s">
        <v>60</v>
      </c>
      <c r="C3983" s="9">
        <v>46235</v>
      </c>
      <c r="D3983">
        <v>3</v>
      </c>
      <c r="E3983" s="16" t="s">
        <v>84</v>
      </c>
      <c r="F3983" s="16" t="s">
        <v>85</v>
      </c>
      <c r="G3983" s="22">
        <v>150</v>
      </c>
      <c r="H3983" s="18">
        <v>102.5</v>
      </c>
      <c r="I3983" s="18">
        <v>0.68333333299999999</v>
      </c>
      <c r="J3983" s="18">
        <v>0.69</v>
      </c>
      <c r="K3983" s="18">
        <v>0.67</v>
      </c>
      <c r="L3983" s="22">
        <v>2</v>
      </c>
    </row>
    <row r="3984" spans="1:12">
      <c r="A3984">
        <v>5</v>
      </c>
      <c r="B3984" s="16" t="s">
        <v>60</v>
      </c>
      <c r="C3984" s="9">
        <v>46266</v>
      </c>
      <c r="D3984">
        <v>3</v>
      </c>
      <c r="E3984" s="16" t="s">
        <v>84</v>
      </c>
      <c r="F3984" s="16" t="s">
        <v>85</v>
      </c>
      <c r="G3984" s="22">
        <v>100</v>
      </c>
      <c r="H3984" s="18">
        <v>68.5</v>
      </c>
      <c r="I3984" s="18">
        <v>0.68500000000000005</v>
      </c>
      <c r="J3984" s="18">
        <v>0.69</v>
      </c>
      <c r="K3984" s="18">
        <v>0.68</v>
      </c>
      <c r="L3984" s="22">
        <v>2</v>
      </c>
    </row>
    <row r="3985" spans="1:12">
      <c r="A3985">
        <v>5</v>
      </c>
      <c r="B3985" s="16" t="s">
        <v>60</v>
      </c>
      <c r="C3985" s="9">
        <v>45689</v>
      </c>
      <c r="D3985">
        <v>4</v>
      </c>
      <c r="E3985" s="16" t="s">
        <v>86</v>
      </c>
      <c r="F3985" s="16" t="s">
        <v>87</v>
      </c>
      <c r="G3985" s="22">
        <v>22</v>
      </c>
      <c r="H3985" s="18">
        <v>387.65249999999997</v>
      </c>
      <c r="I3985" s="18">
        <v>17.620568182</v>
      </c>
      <c r="J3985" s="18">
        <v>17.850000000000001</v>
      </c>
      <c r="K3985" s="18">
        <v>17.399999999999999</v>
      </c>
      <c r="L3985" s="22">
        <v>8</v>
      </c>
    </row>
    <row r="3986" spans="1:12">
      <c r="A3986">
        <v>5</v>
      </c>
      <c r="B3986" s="16" t="s">
        <v>60</v>
      </c>
      <c r="C3986" s="9">
        <v>45717</v>
      </c>
      <c r="D3986">
        <v>4</v>
      </c>
      <c r="E3986" s="16" t="s">
        <v>86</v>
      </c>
      <c r="F3986" s="16" t="s">
        <v>87</v>
      </c>
      <c r="G3986" s="22">
        <v>19.5</v>
      </c>
      <c r="H3986" s="18">
        <v>345.19749999999999</v>
      </c>
      <c r="I3986" s="18">
        <v>17.702435897000001</v>
      </c>
      <c r="J3986" s="18">
        <v>18.53</v>
      </c>
      <c r="K3986" s="18">
        <v>17.399999999999999</v>
      </c>
      <c r="L3986" s="22">
        <v>9</v>
      </c>
    </row>
    <row r="3987" spans="1:12">
      <c r="A3987">
        <v>5</v>
      </c>
      <c r="B3987" s="16" t="s">
        <v>60</v>
      </c>
      <c r="C3987" s="9">
        <v>45748</v>
      </c>
      <c r="D3987">
        <v>4</v>
      </c>
      <c r="E3987" s="16" t="s">
        <v>86</v>
      </c>
      <c r="F3987" s="16" t="s">
        <v>87</v>
      </c>
      <c r="G3987" s="22">
        <v>20.25</v>
      </c>
      <c r="H3987" s="18">
        <v>360.04750000000001</v>
      </c>
      <c r="I3987" s="18">
        <v>17.780123456999998</v>
      </c>
      <c r="J3987" s="18">
        <v>18.21</v>
      </c>
      <c r="K3987" s="18">
        <v>17.3</v>
      </c>
      <c r="L3987" s="22">
        <v>8</v>
      </c>
    </row>
    <row r="3988" spans="1:12">
      <c r="A3988">
        <v>5</v>
      </c>
      <c r="B3988" s="16" t="s">
        <v>60</v>
      </c>
      <c r="C3988" s="9">
        <v>45778</v>
      </c>
      <c r="D3988">
        <v>4</v>
      </c>
      <c r="E3988" s="16" t="s">
        <v>86</v>
      </c>
      <c r="F3988" s="16" t="s">
        <v>87</v>
      </c>
      <c r="G3988" s="22">
        <v>25.75</v>
      </c>
      <c r="H3988" s="18">
        <v>467.1875</v>
      </c>
      <c r="I3988" s="18">
        <v>18.143203883000002</v>
      </c>
      <c r="J3988" s="18">
        <v>18.53</v>
      </c>
      <c r="K3988" s="18">
        <v>17.75</v>
      </c>
      <c r="L3988" s="22">
        <v>9</v>
      </c>
    </row>
    <row r="3989" spans="1:12">
      <c r="A3989">
        <v>5</v>
      </c>
      <c r="B3989" s="16" t="s">
        <v>60</v>
      </c>
      <c r="C3989" s="9">
        <v>45809</v>
      </c>
      <c r="D3989">
        <v>4</v>
      </c>
      <c r="E3989" s="16" t="s">
        <v>86</v>
      </c>
      <c r="F3989" s="16" t="s">
        <v>87</v>
      </c>
      <c r="G3989" s="22">
        <v>22.75</v>
      </c>
      <c r="H3989" s="18">
        <v>414.51499999999999</v>
      </c>
      <c r="I3989" s="18">
        <v>18.220439559999999</v>
      </c>
      <c r="J3989" s="18">
        <v>18.350000000000001</v>
      </c>
      <c r="K3989" s="18">
        <v>18.079999999999998</v>
      </c>
      <c r="L3989" s="22">
        <v>9</v>
      </c>
    </row>
    <row r="3990" spans="1:12">
      <c r="A3990">
        <v>5</v>
      </c>
      <c r="B3990" s="16" t="s">
        <v>60</v>
      </c>
      <c r="C3990" s="9">
        <v>45839</v>
      </c>
      <c r="D3990">
        <v>4</v>
      </c>
      <c r="E3990" s="16" t="s">
        <v>86</v>
      </c>
      <c r="F3990" s="16" t="s">
        <v>87</v>
      </c>
      <c r="G3990" s="22">
        <v>29</v>
      </c>
      <c r="H3990" s="18">
        <v>529.35249999999996</v>
      </c>
      <c r="I3990" s="18">
        <v>18.253534482999999</v>
      </c>
      <c r="J3990" s="18">
        <v>18.440000000000001</v>
      </c>
      <c r="K3990" s="18">
        <v>17.899999999999999</v>
      </c>
      <c r="L3990" s="22">
        <v>9</v>
      </c>
    </row>
    <row r="3991" spans="1:12">
      <c r="A3991">
        <v>5</v>
      </c>
      <c r="B3991" s="16" t="s">
        <v>60</v>
      </c>
      <c r="C3991" s="9">
        <v>45870</v>
      </c>
      <c r="D3991">
        <v>4</v>
      </c>
      <c r="E3991" s="16" t="s">
        <v>86</v>
      </c>
      <c r="F3991" s="16" t="s">
        <v>87</v>
      </c>
      <c r="G3991" s="22">
        <v>22.75</v>
      </c>
      <c r="H3991" s="18">
        <v>421.28750000000002</v>
      </c>
      <c r="I3991" s="18">
        <v>18.518131868000001</v>
      </c>
      <c r="J3991" s="18">
        <v>18.88</v>
      </c>
      <c r="K3991" s="18">
        <v>18.11</v>
      </c>
      <c r="L3991" s="22">
        <v>8</v>
      </c>
    </row>
    <row r="3992" spans="1:12">
      <c r="A3992">
        <v>5</v>
      </c>
      <c r="B3992" s="16" t="s">
        <v>60</v>
      </c>
      <c r="C3992" s="9">
        <v>45901</v>
      </c>
      <c r="D3992">
        <v>4</v>
      </c>
      <c r="E3992" s="16" t="s">
        <v>86</v>
      </c>
      <c r="F3992" s="16" t="s">
        <v>87</v>
      </c>
      <c r="G3992" s="22">
        <v>20.25</v>
      </c>
      <c r="H3992" s="18">
        <v>374.59</v>
      </c>
      <c r="I3992" s="18">
        <v>18.498271604999999</v>
      </c>
      <c r="J3992" s="18">
        <v>18.95</v>
      </c>
      <c r="K3992" s="18">
        <v>18.03</v>
      </c>
      <c r="L3992" s="22">
        <v>9</v>
      </c>
    </row>
    <row r="3993" spans="1:12">
      <c r="A3993">
        <v>5</v>
      </c>
      <c r="B3993" s="16" t="s">
        <v>60</v>
      </c>
      <c r="C3993" s="9">
        <v>45931</v>
      </c>
      <c r="D3993">
        <v>4</v>
      </c>
      <c r="E3993" s="16" t="s">
        <v>86</v>
      </c>
      <c r="F3993" s="16" t="s">
        <v>87</v>
      </c>
      <c r="G3993" s="22">
        <v>26.75</v>
      </c>
      <c r="H3993" s="18">
        <v>488.34249999999997</v>
      </c>
      <c r="I3993" s="18">
        <v>18.255794392999999</v>
      </c>
      <c r="J3993" s="18">
        <v>18.559999999999999</v>
      </c>
      <c r="K3993" s="18">
        <v>17.809999999999999</v>
      </c>
      <c r="L3993" s="22">
        <v>9</v>
      </c>
    </row>
    <row r="3994" spans="1:12">
      <c r="A3994">
        <v>5</v>
      </c>
      <c r="B3994" s="16" t="s">
        <v>60</v>
      </c>
      <c r="C3994" s="9">
        <v>45962</v>
      </c>
      <c r="D3994">
        <v>4</v>
      </c>
      <c r="E3994" s="16" t="s">
        <v>86</v>
      </c>
      <c r="F3994" s="16" t="s">
        <v>87</v>
      </c>
      <c r="G3994" s="22">
        <v>21.25</v>
      </c>
      <c r="H3994" s="18">
        <v>387.48500000000001</v>
      </c>
      <c r="I3994" s="18">
        <v>18.234588235</v>
      </c>
      <c r="J3994" s="18">
        <v>18.489999999999998</v>
      </c>
      <c r="K3994" s="18">
        <v>17.989999999999998</v>
      </c>
      <c r="L3994" s="22">
        <v>8</v>
      </c>
    </row>
    <row r="3995" spans="1:12">
      <c r="A3995">
        <v>5</v>
      </c>
      <c r="B3995" s="16" t="s">
        <v>60</v>
      </c>
      <c r="C3995" s="9">
        <v>45992</v>
      </c>
      <c r="D3995">
        <v>4</v>
      </c>
      <c r="E3995" s="16" t="s">
        <v>86</v>
      </c>
      <c r="F3995" s="16" t="s">
        <v>87</v>
      </c>
      <c r="G3995" s="22">
        <v>17.75</v>
      </c>
      <c r="H3995" s="18">
        <v>321.98</v>
      </c>
      <c r="I3995" s="18">
        <v>18.139718309999999</v>
      </c>
      <c r="J3995" s="18">
        <v>18.43</v>
      </c>
      <c r="K3995" s="18">
        <v>17.86</v>
      </c>
      <c r="L3995" s="22">
        <v>9</v>
      </c>
    </row>
    <row r="3996" spans="1:12">
      <c r="A3996">
        <v>5</v>
      </c>
      <c r="B3996" s="16" t="s">
        <v>60</v>
      </c>
      <c r="C3996" s="9">
        <v>46023</v>
      </c>
      <c r="D3996">
        <v>4</v>
      </c>
      <c r="E3996" s="16" t="s">
        <v>86</v>
      </c>
      <c r="F3996" s="16" t="s">
        <v>87</v>
      </c>
      <c r="G3996" s="22">
        <v>21</v>
      </c>
      <c r="H3996" s="18">
        <v>383.82249999999999</v>
      </c>
      <c r="I3996" s="18">
        <v>18.277261905</v>
      </c>
      <c r="J3996" s="18">
        <v>18.54</v>
      </c>
      <c r="K3996" s="18">
        <v>17.899999999999999</v>
      </c>
      <c r="L3996" s="22">
        <v>9</v>
      </c>
    </row>
    <row r="3997" spans="1:12">
      <c r="A3997">
        <v>5</v>
      </c>
      <c r="B3997" s="16" t="s">
        <v>60</v>
      </c>
      <c r="C3997" s="9">
        <v>46054</v>
      </c>
      <c r="D3997">
        <v>4</v>
      </c>
      <c r="E3997" s="16" t="s">
        <v>86</v>
      </c>
      <c r="F3997" s="16" t="s">
        <v>87</v>
      </c>
      <c r="G3997" s="22">
        <v>18.25</v>
      </c>
      <c r="H3997" s="18">
        <v>334.08</v>
      </c>
      <c r="I3997" s="18">
        <v>18.305753424999999</v>
      </c>
      <c r="J3997" s="18">
        <v>18.62</v>
      </c>
      <c r="K3997" s="18">
        <v>17.809999999999999</v>
      </c>
      <c r="L3997" s="22">
        <v>8</v>
      </c>
    </row>
    <row r="3998" spans="1:12">
      <c r="A3998">
        <v>5</v>
      </c>
      <c r="B3998" s="16" t="s">
        <v>60</v>
      </c>
      <c r="C3998" s="9">
        <v>46082</v>
      </c>
      <c r="D3998">
        <v>4</v>
      </c>
      <c r="E3998" s="16" t="s">
        <v>86</v>
      </c>
      <c r="F3998" s="16" t="s">
        <v>87</v>
      </c>
      <c r="G3998" s="22">
        <v>20.5</v>
      </c>
      <c r="H3998" s="18">
        <v>380.03</v>
      </c>
      <c r="I3998" s="18">
        <v>18.53804878</v>
      </c>
      <c r="J3998" s="18">
        <v>19.559999999999999</v>
      </c>
      <c r="K3998" s="18">
        <v>17.97</v>
      </c>
      <c r="L3998" s="22">
        <v>9</v>
      </c>
    </row>
    <row r="3999" spans="1:12">
      <c r="A3999">
        <v>5</v>
      </c>
      <c r="B3999" s="16" t="s">
        <v>60</v>
      </c>
      <c r="C3999" s="9">
        <v>46113</v>
      </c>
      <c r="D3999">
        <v>4</v>
      </c>
      <c r="E3999" s="16" t="s">
        <v>86</v>
      </c>
      <c r="F3999" s="16" t="s">
        <v>87</v>
      </c>
      <c r="G3999" s="22">
        <v>25.25</v>
      </c>
      <c r="H3999" s="18">
        <v>469.7</v>
      </c>
      <c r="I3999" s="18">
        <v>18.601980198</v>
      </c>
      <c r="J3999" s="18">
        <v>18.84</v>
      </c>
      <c r="K3999" s="18">
        <v>18.309999999999999</v>
      </c>
      <c r="L3999" s="22">
        <v>9</v>
      </c>
    </row>
    <row r="4000" spans="1:12">
      <c r="A4000">
        <v>5</v>
      </c>
      <c r="B4000" s="16" t="s">
        <v>60</v>
      </c>
      <c r="C4000" s="9">
        <v>46143</v>
      </c>
      <c r="D4000">
        <v>4</v>
      </c>
      <c r="E4000" s="16" t="s">
        <v>86</v>
      </c>
      <c r="F4000" s="16" t="s">
        <v>87</v>
      </c>
      <c r="G4000" s="22">
        <v>21.75</v>
      </c>
      <c r="H4000" s="18">
        <v>401.87</v>
      </c>
      <c r="I4000" s="18">
        <v>18.476781609</v>
      </c>
      <c r="J4000" s="18">
        <v>19.63</v>
      </c>
      <c r="K4000" s="18">
        <v>18.170000000000002</v>
      </c>
      <c r="L4000" s="22">
        <v>8</v>
      </c>
    </row>
    <row r="4001" spans="1:12">
      <c r="A4001">
        <v>5</v>
      </c>
      <c r="B4001" s="16" t="s">
        <v>60</v>
      </c>
      <c r="C4001" s="9">
        <v>46174</v>
      </c>
      <c r="D4001">
        <v>4</v>
      </c>
      <c r="E4001" s="16" t="s">
        <v>86</v>
      </c>
      <c r="F4001" s="16" t="s">
        <v>87</v>
      </c>
      <c r="G4001" s="22">
        <v>23.5</v>
      </c>
      <c r="H4001" s="18">
        <v>436.315</v>
      </c>
      <c r="I4001" s="18">
        <v>18.566595745000001</v>
      </c>
      <c r="J4001" s="18">
        <v>19.87</v>
      </c>
      <c r="K4001" s="18">
        <v>18.22</v>
      </c>
      <c r="L4001" s="22">
        <v>9</v>
      </c>
    </row>
    <row r="4002" spans="1:12">
      <c r="A4002">
        <v>5</v>
      </c>
      <c r="B4002" s="16" t="s">
        <v>60</v>
      </c>
      <c r="C4002" s="9">
        <v>46204</v>
      </c>
      <c r="D4002">
        <v>4</v>
      </c>
      <c r="E4002" s="16" t="s">
        <v>86</v>
      </c>
      <c r="F4002" s="16" t="s">
        <v>87</v>
      </c>
      <c r="G4002" s="22">
        <v>26.5</v>
      </c>
      <c r="H4002" s="18">
        <v>499.36250000000001</v>
      </c>
      <c r="I4002" s="18">
        <v>18.843867925000001</v>
      </c>
      <c r="J4002" s="18">
        <v>19.02</v>
      </c>
      <c r="K4002" s="18">
        <v>18.600000000000001</v>
      </c>
      <c r="L4002" s="22">
        <v>9</v>
      </c>
    </row>
    <row r="4003" spans="1:12">
      <c r="A4003">
        <v>5</v>
      </c>
      <c r="B4003" s="16" t="s">
        <v>60</v>
      </c>
      <c r="C4003" s="9">
        <v>46235</v>
      </c>
      <c r="D4003">
        <v>4</v>
      </c>
      <c r="E4003" s="16" t="s">
        <v>86</v>
      </c>
      <c r="F4003" s="16" t="s">
        <v>87</v>
      </c>
      <c r="G4003" s="22">
        <v>22</v>
      </c>
      <c r="H4003" s="18">
        <v>411.00749999999999</v>
      </c>
      <c r="I4003" s="18">
        <v>18.682159090999999</v>
      </c>
      <c r="J4003" s="18">
        <v>18.97</v>
      </c>
      <c r="K4003" s="18">
        <v>18.36</v>
      </c>
      <c r="L4003" s="22">
        <v>9</v>
      </c>
    </row>
    <row r="4004" spans="1:12">
      <c r="A4004">
        <v>5</v>
      </c>
      <c r="B4004" s="16" t="s">
        <v>60</v>
      </c>
      <c r="C4004" s="9">
        <v>46266</v>
      </c>
      <c r="D4004">
        <v>4</v>
      </c>
      <c r="E4004" s="16" t="s">
        <v>86</v>
      </c>
      <c r="F4004" s="16" t="s">
        <v>87</v>
      </c>
      <c r="G4004" s="22">
        <v>15.5</v>
      </c>
      <c r="H4004" s="18">
        <v>289.60250000000002</v>
      </c>
      <c r="I4004" s="18">
        <v>18.684032257999998</v>
      </c>
      <c r="J4004" s="18">
        <v>18.920000000000002</v>
      </c>
      <c r="K4004" s="18">
        <v>18.329999999999998</v>
      </c>
      <c r="L4004" s="22">
        <v>8</v>
      </c>
    </row>
    <row r="4005" spans="1:12">
      <c r="A4005">
        <v>5</v>
      </c>
      <c r="B4005" s="16" t="s">
        <v>60</v>
      </c>
      <c r="C4005" s="9">
        <v>45689</v>
      </c>
      <c r="D4005">
        <v>5</v>
      </c>
      <c r="E4005" s="16" t="s">
        <v>88</v>
      </c>
      <c r="F4005" s="16" t="s">
        <v>83</v>
      </c>
      <c r="G4005" s="22">
        <v>372</v>
      </c>
      <c r="H4005" s="18">
        <v>152.76</v>
      </c>
      <c r="I4005" s="18">
        <v>0.41064516099999998</v>
      </c>
      <c r="J4005" s="18">
        <v>0.42</v>
      </c>
      <c r="K4005" s="18">
        <v>0.41</v>
      </c>
      <c r="L4005" s="22">
        <v>8</v>
      </c>
    </row>
    <row r="4006" spans="1:12">
      <c r="A4006">
        <v>5</v>
      </c>
      <c r="B4006" s="16" t="s">
        <v>60</v>
      </c>
      <c r="C4006" s="9">
        <v>45717</v>
      </c>
      <c r="D4006">
        <v>5</v>
      </c>
      <c r="E4006" s="16" t="s">
        <v>88</v>
      </c>
      <c r="F4006" s="16" t="s">
        <v>83</v>
      </c>
      <c r="G4006" s="22">
        <v>270</v>
      </c>
      <c r="H4006" s="18">
        <v>110.82</v>
      </c>
      <c r="I4006" s="18">
        <v>0.41044444400000002</v>
      </c>
      <c r="J4006" s="18">
        <v>0.42</v>
      </c>
      <c r="K4006" s="18">
        <v>0.41</v>
      </c>
      <c r="L4006" s="22">
        <v>8</v>
      </c>
    </row>
    <row r="4007" spans="1:12">
      <c r="A4007">
        <v>5</v>
      </c>
      <c r="B4007" s="16" t="s">
        <v>60</v>
      </c>
      <c r="C4007" s="9">
        <v>45748</v>
      </c>
      <c r="D4007">
        <v>5</v>
      </c>
      <c r="E4007" s="16" t="s">
        <v>88</v>
      </c>
      <c r="F4007" s="16" t="s">
        <v>83</v>
      </c>
      <c r="G4007" s="22">
        <v>366</v>
      </c>
      <c r="H4007" s="18">
        <v>149.28</v>
      </c>
      <c r="I4007" s="18">
        <v>0.407868852</v>
      </c>
      <c r="J4007" s="18">
        <v>0.42</v>
      </c>
      <c r="K4007" s="18">
        <v>0.4</v>
      </c>
      <c r="L4007" s="22">
        <v>9</v>
      </c>
    </row>
    <row r="4008" spans="1:12">
      <c r="A4008">
        <v>5</v>
      </c>
      <c r="B4008" s="16" t="s">
        <v>60</v>
      </c>
      <c r="C4008" s="9">
        <v>45778</v>
      </c>
      <c r="D4008">
        <v>5</v>
      </c>
      <c r="E4008" s="16" t="s">
        <v>88</v>
      </c>
      <c r="F4008" s="16" t="s">
        <v>83</v>
      </c>
      <c r="G4008" s="22">
        <v>462</v>
      </c>
      <c r="H4008" s="18">
        <v>191.16</v>
      </c>
      <c r="I4008" s="18">
        <v>0.41376623400000001</v>
      </c>
      <c r="J4008" s="18">
        <v>0.42</v>
      </c>
      <c r="K4008" s="18">
        <v>0.41</v>
      </c>
      <c r="L4008" s="22">
        <v>9</v>
      </c>
    </row>
    <row r="4009" spans="1:12">
      <c r="A4009">
        <v>5</v>
      </c>
      <c r="B4009" s="16" t="s">
        <v>60</v>
      </c>
      <c r="C4009" s="9">
        <v>45809</v>
      </c>
      <c r="D4009">
        <v>5</v>
      </c>
      <c r="E4009" s="16" t="s">
        <v>88</v>
      </c>
      <c r="F4009" s="16" t="s">
        <v>83</v>
      </c>
      <c r="G4009" s="22">
        <v>384</v>
      </c>
      <c r="H4009" s="18">
        <v>158.76</v>
      </c>
      <c r="I4009" s="18">
        <v>0.41343750000000001</v>
      </c>
      <c r="J4009" s="18">
        <v>0.43</v>
      </c>
      <c r="K4009" s="18">
        <v>0.41</v>
      </c>
      <c r="L4009" s="22">
        <v>8</v>
      </c>
    </row>
    <row r="4010" spans="1:12">
      <c r="A4010">
        <v>5</v>
      </c>
      <c r="B4010" s="16" t="s">
        <v>60</v>
      </c>
      <c r="C4010" s="9">
        <v>45839</v>
      </c>
      <c r="D4010">
        <v>5</v>
      </c>
      <c r="E4010" s="16" t="s">
        <v>88</v>
      </c>
      <c r="F4010" s="16" t="s">
        <v>83</v>
      </c>
      <c r="G4010" s="22">
        <v>510</v>
      </c>
      <c r="H4010" s="18">
        <v>213.48</v>
      </c>
      <c r="I4010" s="18">
        <v>0.41858823499999998</v>
      </c>
      <c r="J4010" s="18">
        <v>0.44</v>
      </c>
      <c r="K4010" s="18">
        <v>0.41</v>
      </c>
      <c r="L4010" s="22">
        <v>10</v>
      </c>
    </row>
    <row r="4011" spans="1:12">
      <c r="A4011">
        <v>5</v>
      </c>
      <c r="B4011" s="16" t="s">
        <v>60</v>
      </c>
      <c r="C4011" s="9">
        <v>45870</v>
      </c>
      <c r="D4011">
        <v>5</v>
      </c>
      <c r="E4011" s="16" t="s">
        <v>88</v>
      </c>
      <c r="F4011" s="16" t="s">
        <v>83</v>
      </c>
      <c r="G4011" s="22">
        <v>378</v>
      </c>
      <c r="H4011" s="18">
        <v>156.06</v>
      </c>
      <c r="I4011" s="18">
        <v>0.41285714299999998</v>
      </c>
      <c r="J4011" s="18">
        <v>0.42</v>
      </c>
      <c r="K4011" s="18">
        <v>0.41</v>
      </c>
      <c r="L4011" s="22">
        <v>8</v>
      </c>
    </row>
    <row r="4012" spans="1:12">
      <c r="A4012">
        <v>5</v>
      </c>
      <c r="B4012" s="16" t="s">
        <v>60</v>
      </c>
      <c r="C4012" s="9">
        <v>45901</v>
      </c>
      <c r="D4012">
        <v>5</v>
      </c>
      <c r="E4012" s="16" t="s">
        <v>88</v>
      </c>
      <c r="F4012" s="16" t="s">
        <v>83</v>
      </c>
      <c r="G4012" s="22">
        <v>330</v>
      </c>
      <c r="H4012" s="18">
        <v>136.97999999999999</v>
      </c>
      <c r="I4012" s="18">
        <v>0.41509090900000001</v>
      </c>
      <c r="J4012" s="18">
        <v>0.42</v>
      </c>
      <c r="K4012" s="18">
        <v>0.41</v>
      </c>
      <c r="L4012" s="22">
        <v>9</v>
      </c>
    </row>
    <row r="4013" spans="1:12">
      <c r="A4013">
        <v>5</v>
      </c>
      <c r="B4013" s="16" t="s">
        <v>60</v>
      </c>
      <c r="C4013" s="9">
        <v>45931</v>
      </c>
      <c r="D4013">
        <v>5</v>
      </c>
      <c r="E4013" s="16" t="s">
        <v>88</v>
      </c>
      <c r="F4013" s="16" t="s">
        <v>83</v>
      </c>
      <c r="G4013" s="22">
        <v>438</v>
      </c>
      <c r="H4013" s="18">
        <v>186.3</v>
      </c>
      <c r="I4013" s="18">
        <v>0.42534246599999997</v>
      </c>
      <c r="J4013" s="18">
        <v>0.44</v>
      </c>
      <c r="K4013" s="18">
        <v>0.42</v>
      </c>
      <c r="L4013" s="22">
        <v>9</v>
      </c>
    </row>
    <row r="4014" spans="1:12">
      <c r="A4014">
        <v>5</v>
      </c>
      <c r="B4014" s="16" t="s">
        <v>60</v>
      </c>
      <c r="C4014" s="9">
        <v>45962</v>
      </c>
      <c r="D4014">
        <v>5</v>
      </c>
      <c r="E4014" s="16" t="s">
        <v>88</v>
      </c>
      <c r="F4014" s="16" t="s">
        <v>83</v>
      </c>
      <c r="G4014" s="22">
        <v>342</v>
      </c>
      <c r="H4014" s="18">
        <v>147</v>
      </c>
      <c r="I4014" s="18">
        <v>0.42982456099999999</v>
      </c>
      <c r="J4014" s="18">
        <v>0.44</v>
      </c>
      <c r="K4014" s="18">
        <v>0.42</v>
      </c>
      <c r="L4014" s="22">
        <v>8</v>
      </c>
    </row>
    <row r="4015" spans="1:12">
      <c r="A4015">
        <v>5</v>
      </c>
      <c r="B4015" s="16" t="s">
        <v>60</v>
      </c>
      <c r="C4015" s="9">
        <v>45992</v>
      </c>
      <c r="D4015">
        <v>5</v>
      </c>
      <c r="E4015" s="16" t="s">
        <v>88</v>
      </c>
      <c r="F4015" s="16" t="s">
        <v>83</v>
      </c>
      <c r="G4015" s="22">
        <v>312</v>
      </c>
      <c r="H4015" s="18">
        <v>134.58000000000001</v>
      </c>
      <c r="I4015" s="18">
        <v>0.43134615399999998</v>
      </c>
      <c r="J4015" s="18">
        <v>0.44</v>
      </c>
      <c r="K4015" s="18">
        <v>0.42</v>
      </c>
      <c r="L4015" s="22">
        <v>9</v>
      </c>
    </row>
    <row r="4016" spans="1:12">
      <c r="A4016">
        <v>5</v>
      </c>
      <c r="B4016" s="16" t="s">
        <v>60</v>
      </c>
      <c r="C4016" s="9">
        <v>46023</v>
      </c>
      <c r="D4016">
        <v>5</v>
      </c>
      <c r="E4016" s="16" t="s">
        <v>88</v>
      </c>
      <c r="F4016" s="16" t="s">
        <v>83</v>
      </c>
      <c r="G4016" s="22">
        <v>378</v>
      </c>
      <c r="H4016" s="18">
        <v>164.04</v>
      </c>
      <c r="I4016" s="18">
        <v>0.433968254</v>
      </c>
      <c r="J4016" s="18">
        <v>0.44</v>
      </c>
      <c r="K4016" s="18">
        <v>0.42</v>
      </c>
      <c r="L4016" s="22">
        <v>9</v>
      </c>
    </row>
    <row r="4017" spans="1:12">
      <c r="A4017">
        <v>5</v>
      </c>
      <c r="B4017" s="16" t="s">
        <v>60</v>
      </c>
      <c r="C4017" s="9">
        <v>46054</v>
      </c>
      <c r="D4017">
        <v>5</v>
      </c>
      <c r="E4017" s="16" t="s">
        <v>88</v>
      </c>
      <c r="F4017" s="16" t="s">
        <v>83</v>
      </c>
      <c r="G4017" s="22">
        <v>330</v>
      </c>
      <c r="H4017" s="18">
        <v>143.28</v>
      </c>
      <c r="I4017" s="18">
        <v>0.434181818</v>
      </c>
      <c r="J4017" s="18">
        <v>0.44</v>
      </c>
      <c r="K4017" s="18">
        <v>0.43</v>
      </c>
      <c r="L4017" s="22">
        <v>8</v>
      </c>
    </row>
    <row r="4018" spans="1:12">
      <c r="A4018">
        <v>5</v>
      </c>
      <c r="B4018" s="16" t="s">
        <v>60</v>
      </c>
      <c r="C4018" s="9">
        <v>46082</v>
      </c>
      <c r="D4018">
        <v>5</v>
      </c>
      <c r="E4018" s="16" t="s">
        <v>88</v>
      </c>
      <c r="F4018" s="16" t="s">
        <v>83</v>
      </c>
      <c r="G4018" s="22">
        <v>354</v>
      </c>
      <c r="H4018" s="18">
        <v>155.16</v>
      </c>
      <c r="I4018" s="18">
        <v>0.43830508499999998</v>
      </c>
      <c r="J4018" s="18">
        <v>0.44</v>
      </c>
      <c r="K4018" s="18">
        <v>0.43</v>
      </c>
      <c r="L4018" s="22">
        <v>9</v>
      </c>
    </row>
    <row r="4019" spans="1:12">
      <c r="A4019">
        <v>5</v>
      </c>
      <c r="B4019" s="16" t="s">
        <v>60</v>
      </c>
      <c r="C4019" s="9">
        <v>46113</v>
      </c>
      <c r="D4019">
        <v>5</v>
      </c>
      <c r="E4019" s="16" t="s">
        <v>88</v>
      </c>
      <c r="F4019" s="16" t="s">
        <v>83</v>
      </c>
      <c r="G4019" s="22">
        <v>450</v>
      </c>
      <c r="H4019" s="18">
        <v>194.52</v>
      </c>
      <c r="I4019" s="18">
        <v>0.43226666699999999</v>
      </c>
      <c r="J4019" s="18">
        <v>0.45</v>
      </c>
      <c r="K4019" s="18">
        <v>0.41</v>
      </c>
      <c r="L4019" s="22">
        <v>9</v>
      </c>
    </row>
    <row r="4020" spans="1:12">
      <c r="A4020">
        <v>5</v>
      </c>
      <c r="B4020" s="16" t="s">
        <v>60</v>
      </c>
      <c r="C4020" s="9">
        <v>46143</v>
      </c>
      <c r="D4020">
        <v>5</v>
      </c>
      <c r="E4020" s="16" t="s">
        <v>88</v>
      </c>
      <c r="F4020" s="16" t="s">
        <v>83</v>
      </c>
      <c r="G4020" s="22">
        <v>366</v>
      </c>
      <c r="H4020" s="18">
        <v>156.47999999999999</v>
      </c>
      <c r="I4020" s="18">
        <v>0.42754098400000001</v>
      </c>
      <c r="J4020" s="18">
        <v>0.43</v>
      </c>
      <c r="K4020" s="18">
        <v>0.42</v>
      </c>
      <c r="L4020" s="22">
        <v>8</v>
      </c>
    </row>
    <row r="4021" spans="1:12">
      <c r="A4021">
        <v>5</v>
      </c>
      <c r="B4021" s="16" t="s">
        <v>60</v>
      </c>
      <c r="C4021" s="9">
        <v>46174</v>
      </c>
      <c r="D4021">
        <v>5</v>
      </c>
      <c r="E4021" s="16" t="s">
        <v>88</v>
      </c>
      <c r="F4021" s="16" t="s">
        <v>83</v>
      </c>
      <c r="G4021" s="22">
        <v>414</v>
      </c>
      <c r="H4021" s="18">
        <v>176.04</v>
      </c>
      <c r="I4021" s="18">
        <v>0.425217391</v>
      </c>
      <c r="J4021" s="18">
        <v>0.44</v>
      </c>
      <c r="K4021" s="18">
        <v>0.42</v>
      </c>
      <c r="L4021" s="22">
        <v>9</v>
      </c>
    </row>
    <row r="4022" spans="1:12">
      <c r="A4022">
        <v>5</v>
      </c>
      <c r="B4022" s="16" t="s">
        <v>60</v>
      </c>
      <c r="C4022" s="9">
        <v>46204</v>
      </c>
      <c r="D4022">
        <v>5</v>
      </c>
      <c r="E4022" s="16" t="s">
        <v>88</v>
      </c>
      <c r="F4022" s="16" t="s">
        <v>83</v>
      </c>
      <c r="G4022" s="22">
        <v>480</v>
      </c>
      <c r="H4022" s="18">
        <v>204.96</v>
      </c>
      <c r="I4022" s="18">
        <v>0.42699999999999999</v>
      </c>
      <c r="J4022" s="18">
        <v>0.43</v>
      </c>
      <c r="K4022" s="18">
        <v>0.42</v>
      </c>
      <c r="L4022" s="22">
        <v>9</v>
      </c>
    </row>
    <row r="4023" spans="1:12">
      <c r="A4023">
        <v>5</v>
      </c>
      <c r="B4023" s="16" t="s">
        <v>60</v>
      </c>
      <c r="C4023" s="9">
        <v>46235</v>
      </c>
      <c r="D4023">
        <v>5</v>
      </c>
      <c r="E4023" s="16" t="s">
        <v>88</v>
      </c>
      <c r="F4023" s="16" t="s">
        <v>83</v>
      </c>
      <c r="G4023" s="22">
        <v>354</v>
      </c>
      <c r="H4023" s="18">
        <v>151.56</v>
      </c>
      <c r="I4023" s="18">
        <v>0.42813559299999998</v>
      </c>
      <c r="J4023" s="18">
        <v>0.44</v>
      </c>
      <c r="K4023" s="18">
        <v>0.42</v>
      </c>
      <c r="L4023" s="22">
        <v>8</v>
      </c>
    </row>
    <row r="4024" spans="1:12">
      <c r="A4024">
        <v>5</v>
      </c>
      <c r="B4024" s="16" t="s">
        <v>60</v>
      </c>
      <c r="C4024" s="9">
        <v>46266</v>
      </c>
      <c r="D4024">
        <v>5</v>
      </c>
      <c r="E4024" s="16" t="s">
        <v>88</v>
      </c>
      <c r="F4024" s="16" t="s">
        <v>83</v>
      </c>
      <c r="G4024" s="22">
        <v>306</v>
      </c>
      <c r="H4024" s="18">
        <v>132.24</v>
      </c>
      <c r="I4024" s="18">
        <v>0.432156863</v>
      </c>
      <c r="J4024" s="18">
        <v>0.44</v>
      </c>
      <c r="K4024" s="18">
        <v>0.43</v>
      </c>
      <c r="L4024" s="22">
        <v>9</v>
      </c>
    </row>
    <row r="4025" spans="1:12">
      <c r="A4025">
        <v>5</v>
      </c>
      <c r="B4025" s="16" t="s">
        <v>60</v>
      </c>
      <c r="C4025" s="9">
        <v>45689</v>
      </c>
      <c r="D4025">
        <v>6</v>
      </c>
      <c r="E4025" s="16" t="s">
        <v>89</v>
      </c>
      <c r="F4025" s="16" t="s">
        <v>90</v>
      </c>
      <c r="G4025" s="22">
        <v>8</v>
      </c>
      <c r="H4025" s="18">
        <v>218.08</v>
      </c>
      <c r="I4025" s="18">
        <v>27.26</v>
      </c>
      <c r="J4025" s="18">
        <v>27.4</v>
      </c>
      <c r="K4025" s="18">
        <v>27.12</v>
      </c>
      <c r="L4025" s="22">
        <v>2</v>
      </c>
    </row>
    <row r="4026" spans="1:12">
      <c r="A4026">
        <v>5</v>
      </c>
      <c r="B4026" s="16" t="s">
        <v>60</v>
      </c>
      <c r="C4026" s="9">
        <v>45717</v>
      </c>
      <c r="D4026">
        <v>6</v>
      </c>
      <c r="E4026" s="16" t="s">
        <v>89</v>
      </c>
      <c r="F4026" s="16" t="s">
        <v>90</v>
      </c>
      <c r="G4026" s="22">
        <v>10</v>
      </c>
      <c r="H4026" s="18">
        <v>270.58</v>
      </c>
      <c r="I4026" s="18">
        <v>27.058</v>
      </c>
      <c r="J4026" s="18">
        <v>27.19</v>
      </c>
      <c r="K4026" s="18">
        <v>26.97</v>
      </c>
      <c r="L4026" s="22">
        <v>2</v>
      </c>
    </row>
    <row r="4027" spans="1:12">
      <c r="A4027">
        <v>5</v>
      </c>
      <c r="B4027" s="16" t="s">
        <v>60</v>
      </c>
      <c r="C4027" s="9">
        <v>45748</v>
      </c>
      <c r="D4027">
        <v>6</v>
      </c>
      <c r="E4027" s="16" t="s">
        <v>89</v>
      </c>
      <c r="F4027" s="16" t="s">
        <v>90</v>
      </c>
      <c r="G4027" s="22">
        <v>14</v>
      </c>
      <c r="H4027" s="18">
        <v>382.52</v>
      </c>
      <c r="I4027" s="18">
        <v>27.322857143</v>
      </c>
      <c r="J4027" s="18">
        <v>27.62</v>
      </c>
      <c r="K4027" s="18">
        <v>26.91</v>
      </c>
      <c r="L4027" s="22">
        <v>3</v>
      </c>
    </row>
    <row r="4028" spans="1:12">
      <c r="A4028">
        <v>5</v>
      </c>
      <c r="B4028" s="16" t="s">
        <v>60</v>
      </c>
      <c r="C4028" s="9">
        <v>45778</v>
      </c>
      <c r="D4028">
        <v>6</v>
      </c>
      <c r="E4028" s="16" t="s">
        <v>89</v>
      </c>
      <c r="F4028" s="16" t="s">
        <v>90</v>
      </c>
      <c r="G4028" s="22">
        <v>8</v>
      </c>
      <c r="H4028" s="18">
        <v>217.68</v>
      </c>
      <c r="I4028" s="18">
        <v>27.21</v>
      </c>
      <c r="J4028" s="18">
        <v>27.36</v>
      </c>
      <c r="K4028" s="18">
        <v>27.06</v>
      </c>
      <c r="L4028" s="22">
        <v>2</v>
      </c>
    </row>
    <row r="4029" spans="1:12">
      <c r="A4029">
        <v>5</v>
      </c>
      <c r="B4029" s="16" t="s">
        <v>60</v>
      </c>
      <c r="C4029" s="9">
        <v>45809</v>
      </c>
      <c r="D4029">
        <v>6</v>
      </c>
      <c r="E4029" s="16" t="s">
        <v>89</v>
      </c>
      <c r="F4029" s="16" t="s">
        <v>90</v>
      </c>
      <c r="G4029" s="22">
        <v>10</v>
      </c>
      <c r="H4029" s="18">
        <v>272.94</v>
      </c>
      <c r="I4029" s="18">
        <v>27.294</v>
      </c>
      <c r="J4029" s="18">
        <v>27.49</v>
      </c>
      <c r="K4029" s="18">
        <v>27</v>
      </c>
      <c r="L4029" s="22">
        <v>2</v>
      </c>
    </row>
    <row r="4030" spans="1:12">
      <c r="A4030">
        <v>5</v>
      </c>
      <c r="B4030" s="16" t="s">
        <v>60</v>
      </c>
      <c r="C4030" s="9">
        <v>45839</v>
      </c>
      <c r="D4030">
        <v>6</v>
      </c>
      <c r="E4030" s="16" t="s">
        <v>89</v>
      </c>
      <c r="F4030" s="16" t="s">
        <v>90</v>
      </c>
      <c r="G4030" s="22">
        <v>10</v>
      </c>
      <c r="H4030" s="18">
        <v>277.89999999999998</v>
      </c>
      <c r="I4030" s="18">
        <v>27.79</v>
      </c>
      <c r="J4030" s="18">
        <v>28.09</v>
      </c>
      <c r="K4030" s="18">
        <v>27.34</v>
      </c>
      <c r="L4030" s="22">
        <v>2</v>
      </c>
    </row>
    <row r="4031" spans="1:12">
      <c r="A4031">
        <v>5</v>
      </c>
      <c r="B4031" s="16" t="s">
        <v>60</v>
      </c>
      <c r="C4031" s="9">
        <v>45870</v>
      </c>
      <c r="D4031">
        <v>6</v>
      </c>
      <c r="E4031" s="16" t="s">
        <v>89</v>
      </c>
      <c r="F4031" s="16" t="s">
        <v>90</v>
      </c>
      <c r="G4031" s="22">
        <v>10</v>
      </c>
      <c r="H4031" s="18">
        <v>279.82</v>
      </c>
      <c r="I4031" s="18">
        <v>27.981999999999999</v>
      </c>
      <c r="J4031" s="18">
        <v>28.03</v>
      </c>
      <c r="K4031" s="18">
        <v>27.91</v>
      </c>
      <c r="L4031" s="22">
        <v>2</v>
      </c>
    </row>
    <row r="4032" spans="1:12">
      <c r="A4032">
        <v>5</v>
      </c>
      <c r="B4032" s="16" t="s">
        <v>60</v>
      </c>
      <c r="C4032" s="9">
        <v>45901</v>
      </c>
      <c r="D4032">
        <v>6</v>
      </c>
      <c r="E4032" s="16" t="s">
        <v>89</v>
      </c>
      <c r="F4032" s="16" t="s">
        <v>90</v>
      </c>
      <c r="G4032" s="22">
        <v>6</v>
      </c>
      <c r="H4032" s="18">
        <v>165.8</v>
      </c>
      <c r="I4032" s="18">
        <v>27.633333332999999</v>
      </c>
      <c r="J4032" s="18">
        <v>27.7</v>
      </c>
      <c r="K4032" s="18">
        <v>27.5</v>
      </c>
      <c r="L4032" s="22">
        <v>2</v>
      </c>
    </row>
    <row r="4033" spans="1:12">
      <c r="A4033">
        <v>5</v>
      </c>
      <c r="B4033" s="16" t="s">
        <v>60</v>
      </c>
      <c r="C4033" s="9">
        <v>45931</v>
      </c>
      <c r="D4033">
        <v>6</v>
      </c>
      <c r="E4033" s="16" t="s">
        <v>89</v>
      </c>
      <c r="F4033" s="16" t="s">
        <v>90</v>
      </c>
      <c r="G4033" s="22">
        <v>12</v>
      </c>
      <c r="H4033" s="18">
        <v>333.52</v>
      </c>
      <c r="I4033" s="18">
        <v>27.793333333</v>
      </c>
      <c r="J4033" s="18">
        <v>28.22</v>
      </c>
      <c r="K4033" s="18">
        <v>27.36</v>
      </c>
      <c r="L4033" s="22">
        <v>3</v>
      </c>
    </row>
    <row r="4034" spans="1:12">
      <c r="A4034">
        <v>5</v>
      </c>
      <c r="B4034" s="16" t="s">
        <v>60</v>
      </c>
      <c r="C4034" s="9">
        <v>45962</v>
      </c>
      <c r="D4034">
        <v>6</v>
      </c>
      <c r="E4034" s="16" t="s">
        <v>89</v>
      </c>
      <c r="F4034" s="16" t="s">
        <v>90</v>
      </c>
      <c r="G4034" s="22">
        <v>8</v>
      </c>
      <c r="H4034" s="18">
        <v>219.16</v>
      </c>
      <c r="I4034" s="18">
        <v>27.395</v>
      </c>
      <c r="J4034" s="18">
        <v>27.83</v>
      </c>
      <c r="K4034" s="18">
        <v>26.96</v>
      </c>
      <c r="L4034" s="22">
        <v>2</v>
      </c>
    </row>
    <row r="4035" spans="1:12">
      <c r="A4035">
        <v>5</v>
      </c>
      <c r="B4035" s="16" t="s">
        <v>60</v>
      </c>
      <c r="C4035" s="9">
        <v>45992</v>
      </c>
      <c r="D4035">
        <v>6</v>
      </c>
      <c r="E4035" s="16" t="s">
        <v>89</v>
      </c>
      <c r="F4035" s="16" t="s">
        <v>90</v>
      </c>
      <c r="G4035" s="22">
        <v>8</v>
      </c>
      <c r="H4035" s="18">
        <v>220.8</v>
      </c>
      <c r="I4035" s="18">
        <v>27.6</v>
      </c>
      <c r="J4035" s="18">
        <v>27.67</v>
      </c>
      <c r="K4035" s="18">
        <v>27.53</v>
      </c>
      <c r="L4035" s="22">
        <v>2</v>
      </c>
    </row>
    <row r="4036" spans="1:12">
      <c r="A4036">
        <v>5</v>
      </c>
      <c r="B4036" s="16" t="s">
        <v>60</v>
      </c>
      <c r="C4036" s="9">
        <v>46023</v>
      </c>
      <c r="D4036">
        <v>6</v>
      </c>
      <c r="E4036" s="16" t="s">
        <v>89</v>
      </c>
      <c r="F4036" s="16" t="s">
        <v>90</v>
      </c>
      <c r="G4036" s="22">
        <v>8</v>
      </c>
      <c r="H4036" s="18">
        <v>220.28</v>
      </c>
      <c r="I4036" s="18">
        <v>27.535</v>
      </c>
      <c r="J4036" s="18">
        <v>27.81</v>
      </c>
      <c r="K4036" s="18">
        <v>27.26</v>
      </c>
      <c r="L4036" s="22">
        <v>2</v>
      </c>
    </row>
    <row r="4037" spans="1:12">
      <c r="A4037">
        <v>5</v>
      </c>
      <c r="B4037" s="16" t="s">
        <v>60</v>
      </c>
      <c r="C4037" s="9">
        <v>46054</v>
      </c>
      <c r="D4037">
        <v>6</v>
      </c>
      <c r="E4037" s="16" t="s">
        <v>89</v>
      </c>
      <c r="F4037" s="16" t="s">
        <v>90</v>
      </c>
      <c r="G4037" s="22">
        <v>8</v>
      </c>
      <c r="H4037" s="18">
        <v>226.44</v>
      </c>
      <c r="I4037" s="18">
        <v>28.305</v>
      </c>
      <c r="J4037" s="18">
        <v>28.43</v>
      </c>
      <c r="K4037" s="18">
        <v>28.18</v>
      </c>
      <c r="L4037" s="22">
        <v>2</v>
      </c>
    </row>
    <row r="4038" spans="1:12">
      <c r="A4038">
        <v>5</v>
      </c>
      <c r="B4038" s="16" t="s">
        <v>60</v>
      </c>
      <c r="C4038" s="9">
        <v>46082</v>
      </c>
      <c r="D4038">
        <v>6</v>
      </c>
      <c r="E4038" s="16" t="s">
        <v>89</v>
      </c>
      <c r="F4038" s="16" t="s">
        <v>90</v>
      </c>
      <c r="G4038" s="22">
        <v>8</v>
      </c>
      <c r="H4038" s="18">
        <v>223.04</v>
      </c>
      <c r="I4038" s="18">
        <v>27.88</v>
      </c>
      <c r="J4038" s="18">
        <v>27.89</v>
      </c>
      <c r="K4038" s="18">
        <v>27.87</v>
      </c>
      <c r="L4038" s="22">
        <v>2</v>
      </c>
    </row>
    <row r="4039" spans="1:12">
      <c r="A4039">
        <v>5</v>
      </c>
      <c r="B4039" s="16" t="s">
        <v>60</v>
      </c>
      <c r="C4039" s="9">
        <v>46113</v>
      </c>
      <c r="D4039">
        <v>6</v>
      </c>
      <c r="E4039" s="16" t="s">
        <v>89</v>
      </c>
      <c r="F4039" s="16" t="s">
        <v>90</v>
      </c>
      <c r="G4039" s="22">
        <v>12</v>
      </c>
      <c r="H4039" s="18">
        <v>335.56</v>
      </c>
      <c r="I4039" s="18">
        <v>27.963333333000001</v>
      </c>
      <c r="J4039" s="18">
        <v>28.07</v>
      </c>
      <c r="K4039" s="18">
        <v>27.79</v>
      </c>
      <c r="L4039" s="22">
        <v>3</v>
      </c>
    </row>
    <row r="4040" spans="1:12">
      <c r="A4040">
        <v>5</v>
      </c>
      <c r="B4040" s="16" t="s">
        <v>60</v>
      </c>
      <c r="C4040" s="9">
        <v>46143</v>
      </c>
      <c r="D4040">
        <v>6</v>
      </c>
      <c r="E4040" s="16" t="s">
        <v>89</v>
      </c>
      <c r="F4040" s="16" t="s">
        <v>90</v>
      </c>
      <c r="G4040" s="22">
        <v>10</v>
      </c>
      <c r="H4040" s="18">
        <v>280.48</v>
      </c>
      <c r="I4040" s="18">
        <v>28.047999999999998</v>
      </c>
      <c r="J4040" s="18">
        <v>28.57</v>
      </c>
      <c r="K4040" s="18">
        <v>27.7</v>
      </c>
      <c r="L4040" s="22">
        <v>2</v>
      </c>
    </row>
    <row r="4041" spans="1:12">
      <c r="A4041">
        <v>5</v>
      </c>
      <c r="B4041" s="16" t="s">
        <v>60</v>
      </c>
      <c r="C4041" s="9">
        <v>46174</v>
      </c>
      <c r="D4041">
        <v>6</v>
      </c>
      <c r="E4041" s="16" t="s">
        <v>89</v>
      </c>
      <c r="F4041" s="16" t="s">
        <v>90</v>
      </c>
      <c r="G4041" s="22">
        <v>10</v>
      </c>
      <c r="H4041" s="18">
        <v>283.7</v>
      </c>
      <c r="I4041" s="18">
        <v>28.37</v>
      </c>
      <c r="J4041" s="18">
        <v>28.45</v>
      </c>
      <c r="K4041" s="18">
        <v>28.25</v>
      </c>
      <c r="L4041" s="22">
        <v>2</v>
      </c>
    </row>
    <row r="4042" spans="1:12">
      <c r="A4042">
        <v>5</v>
      </c>
      <c r="B4042" s="16" t="s">
        <v>60</v>
      </c>
      <c r="C4042" s="9">
        <v>46204</v>
      </c>
      <c r="D4042">
        <v>6</v>
      </c>
      <c r="E4042" s="16" t="s">
        <v>89</v>
      </c>
      <c r="F4042" s="16" t="s">
        <v>90</v>
      </c>
      <c r="G4042" s="22">
        <v>8</v>
      </c>
      <c r="H4042" s="18">
        <v>223.68</v>
      </c>
      <c r="I4042" s="18">
        <v>27.96</v>
      </c>
      <c r="J4042" s="18">
        <v>28.15</v>
      </c>
      <c r="K4042" s="18">
        <v>27.77</v>
      </c>
      <c r="L4042" s="22">
        <v>2</v>
      </c>
    </row>
    <row r="4043" spans="1:12">
      <c r="A4043">
        <v>5</v>
      </c>
      <c r="B4043" s="16" t="s">
        <v>60</v>
      </c>
      <c r="C4043" s="9">
        <v>46235</v>
      </c>
      <c r="D4043">
        <v>6</v>
      </c>
      <c r="E4043" s="16" t="s">
        <v>89</v>
      </c>
      <c r="F4043" s="16" t="s">
        <v>90</v>
      </c>
      <c r="G4043" s="22">
        <v>8</v>
      </c>
      <c r="H4043" s="18">
        <v>222.24</v>
      </c>
      <c r="I4043" s="18">
        <v>27.78</v>
      </c>
      <c r="J4043" s="18">
        <v>27.94</v>
      </c>
      <c r="K4043" s="18">
        <v>27.62</v>
      </c>
      <c r="L4043" s="22">
        <v>2</v>
      </c>
    </row>
    <row r="4044" spans="1:12">
      <c r="A4044">
        <v>5</v>
      </c>
      <c r="B4044" s="16" t="s">
        <v>60</v>
      </c>
      <c r="C4044" s="9">
        <v>46266</v>
      </c>
      <c r="D4044">
        <v>6</v>
      </c>
      <c r="E4044" s="16" t="s">
        <v>89</v>
      </c>
      <c r="F4044" s="16" t="s">
        <v>90</v>
      </c>
      <c r="G4044" s="22">
        <v>10</v>
      </c>
      <c r="H4044" s="18">
        <v>282.22000000000003</v>
      </c>
      <c r="I4044" s="18">
        <v>28.222000000000001</v>
      </c>
      <c r="J4044" s="18">
        <v>29.09</v>
      </c>
      <c r="K4044" s="18">
        <v>27.76</v>
      </c>
      <c r="L4044" s="22">
        <v>3</v>
      </c>
    </row>
    <row r="4045" spans="1:12">
      <c r="A4045">
        <v>5</v>
      </c>
      <c r="B4045" s="16" t="s">
        <v>60</v>
      </c>
      <c r="C4045" s="9">
        <v>45689</v>
      </c>
      <c r="D4045">
        <v>7</v>
      </c>
      <c r="E4045" s="16" t="s">
        <v>91</v>
      </c>
      <c r="F4045" s="16" t="s">
        <v>92</v>
      </c>
      <c r="G4045" s="22">
        <v>166</v>
      </c>
      <c r="H4045" s="18">
        <v>107.42</v>
      </c>
      <c r="I4045" s="18">
        <v>0.64710843399999995</v>
      </c>
      <c r="J4045" s="18">
        <v>0.66</v>
      </c>
      <c r="K4045" s="18">
        <v>0.64</v>
      </c>
      <c r="L4045" s="22">
        <v>12</v>
      </c>
    </row>
    <row r="4046" spans="1:12">
      <c r="A4046">
        <v>5</v>
      </c>
      <c r="B4046" s="16" t="s">
        <v>60</v>
      </c>
      <c r="C4046" s="9">
        <v>45717</v>
      </c>
      <c r="D4046">
        <v>7</v>
      </c>
      <c r="E4046" s="16" t="s">
        <v>91</v>
      </c>
      <c r="F4046" s="16" t="s">
        <v>92</v>
      </c>
      <c r="G4046" s="22">
        <v>148</v>
      </c>
      <c r="H4046" s="18">
        <v>91.72</v>
      </c>
      <c r="I4046" s="18">
        <v>0.61972972999999998</v>
      </c>
      <c r="J4046" s="18">
        <v>0.64</v>
      </c>
      <c r="K4046" s="18">
        <v>0.6</v>
      </c>
      <c r="L4046" s="22">
        <v>13</v>
      </c>
    </row>
    <row r="4047" spans="1:12">
      <c r="A4047">
        <v>5</v>
      </c>
      <c r="B4047" s="16" t="s">
        <v>60</v>
      </c>
      <c r="C4047" s="9">
        <v>45748</v>
      </c>
      <c r="D4047">
        <v>7</v>
      </c>
      <c r="E4047" s="16" t="s">
        <v>91</v>
      </c>
      <c r="F4047" s="16" t="s">
        <v>92</v>
      </c>
      <c r="G4047" s="22">
        <v>182</v>
      </c>
      <c r="H4047" s="18">
        <v>107.4</v>
      </c>
      <c r="I4047" s="18">
        <v>0.59010989000000003</v>
      </c>
      <c r="J4047" s="18">
        <v>0.6</v>
      </c>
      <c r="K4047" s="18">
        <v>0.57999999999999996</v>
      </c>
      <c r="L4047" s="22">
        <v>13</v>
      </c>
    </row>
    <row r="4048" spans="1:12">
      <c r="A4048">
        <v>5</v>
      </c>
      <c r="B4048" s="16" t="s">
        <v>60</v>
      </c>
      <c r="C4048" s="9">
        <v>45778</v>
      </c>
      <c r="D4048">
        <v>7</v>
      </c>
      <c r="E4048" s="16" t="s">
        <v>91</v>
      </c>
      <c r="F4048" s="16" t="s">
        <v>92</v>
      </c>
      <c r="G4048" s="22">
        <v>200</v>
      </c>
      <c r="H4048" s="18">
        <v>111.42</v>
      </c>
      <c r="I4048" s="18">
        <v>0.55710000000000004</v>
      </c>
      <c r="J4048" s="18">
        <v>0.57999999999999996</v>
      </c>
      <c r="K4048" s="18">
        <v>0.55000000000000004</v>
      </c>
      <c r="L4048" s="22">
        <v>13</v>
      </c>
    </row>
    <row r="4049" spans="1:12">
      <c r="A4049">
        <v>5</v>
      </c>
      <c r="B4049" s="16" t="s">
        <v>60</v>
      </c>
      <c r="C4049" s="9">
        <v>45809</v>
      </c>
      <c r="D4049">
        <v>7</v>
      </c>
      <c r="E4049" s="16" t="s">
        <v>91</v>
      </c>
      <c r="F4049" s="16" t="s">
        <v>92</v>
      </c>
      <c r="G4049" s="22">
        <v>200</v>
      </c>
      <c r="H4049" s="18">
        <v>105.5</v>
      </c>
      <c r="I4049" s="18">
        <v>0.52749999999999997</v>
      </c>
      <c r="J4049" s="18">
        <v>0.54</v>
      </c>
      <c r="K4049" s="18">
        <v>0.52</v>
      </c>
      <c r="L4049" s="22">
        <v>13</v>
      </c>
    </row>
    <row r="4050" spans="1:12">
      <c r="A4050">
        <v>5</v>
      </c>
      <c r="B4050" s="16" t="s">
        <v>60</v>
      </c>
      <c r="C4050" s="9">
        <v>45839</v>
      </c>
      <c r="D4050">
        <v>7</v>
      </c>
      <c r="E4050" s="16" t="s">
        <v>91</v>
      </c>
      <c r="F4050" s="16" t="s">
        <v>92</v>
      </c>
      <c r="G4050" s="22">
        <v>200</v>
      </c>
      <c r="H4050" s="18">
        <v>103.26</v>
      </c>
      <c r="I4050" s="18">
        <v>0.51629999999999998</v>
      </c>
      <c r="J4050" s="18">
        <v>0.52</v>
      </c>
      <c r="K4050" s="18">
        <v>0.51</v>
      </c>
      <c r="L4050" s="22">
        <v>13</v>
      </c>
    </row>
    <row r="4051" spans="1:12">
      <c r="A4051">
        <v>5</v>
      </c>
      <c r="B4051" s="16" t="s">
        <v>60</v>
      </c>
      <c r="C4051" s="9">
        <v>45870</v>
      </c>
      <c r="D4051">
        <v>7</v>
      </c>
      <c r="E4051" s="16" t="s">
        <v>91</v>
      </c>
      <c r="F4051" s="16" t="s">
        <v>92</v>
      </c>
      <c r="G4051" s="22">
        <v>216</v>
      </c>
      <c r="H4051" s="18">
        <v>113.84</v>
      </c>
      <c r="I4051" s="18">
        <v>0.52703703700000004</v>
      </c>
      <c r="J4051" s="18">
        <v>0.54</v>
      </c>
      <c r="K4051" s="18">
        <v>0.52</v>
      </c>
      <c r="L4051" s="22">
        <v>13</v>
      </c>
    </row>
    <row r="4052" spans="1:12">
      <c r="A4052">
        <v>5</v>
      </c>
      <c r="B4052" s="16" t="s">
        <v>60</v>
      </c>
      <c r="C4052" s="9">
        <v>45901</v>
      </c>
      <c r="D4052">
        <v>7</v>
      </c>
      <c r="E4052" s="16" t="s">
        <v>91</v>
      </c>
      <c r="F4052" s="16" t="s">
        <v>92</v>
      </c>
      <c r="G4052" s="22">
        <v>140</v>
      </c>
      <c r="H4052" s="18">
        <v>77.3</v>
      </c>
      <c r="I4052" s="18">
        <v>0.55214285699999999</v>
      </c>
      <c r="J4052" s="18">
        <v>0.56000000000000005</v>
      </c>
      <c r="K4052" s="18">
        <v>0.54</v>
      </c>
      <c r="L4052" s="22">
        <v>13</v>
      </c>
    </row>
    <row r="4053" spans="1:12">
      <c r="A4053">
        <v>5</v>
      </c>
      <c r="B4053" s="16" t="s">
        <v>60</v>
      </c>
      <c r="C4053" s="9">
        <v>45931</v>
      </c>
      <c r="D4053">
        <v>7</v>
      </c>
      <c r="E4053" s="16" t="s">
        <v>91</v>
      </c>
      <c r="F4053" s="16" t="s">
        <v>92</v>
      </c>
      <c r="G4053" s="22">
        <v>222</v>
      </c>
      <c r="H4053" s="18">
        <v>131.1</v>
      </c>
      <c r="I4053" s="18">
        <v>0.59054054099999997</v>
      </c>
      <c r="J4053" s="18">
        <v>0.63</v>
      </c>
      <c r="K4053" s="18">
        <v>0.57999999999999996</v>
      </c>
      <c r="L4053" s="22">
        <v>14</v>
      </c>
    </row>
    <row r="4054" spans="1:12">
      <c r="A4054">
        <v>5</v>
      </c>
      <c r="B4054" s="16" t="s">
        <v>60</v>
      </c>
      <c r="C4054" s="9">
        <v>45962</v>
      </c>
      <c r="D4054">
        <v>7</v>
      </c>
      <c r="E4054" s="16" t="s">
        <v>91</v>
      </c>
      <c r="F4054" s="16" t="s">
        <v>92</v>
      </c>
      <c r="G4054" s="22">
        <v>150</v>
      </c>
      <c r="H4054" s="18">
        <v>91.08</v>
      </c>
      <c r="I4054" s="18">
        <v>0.60719999999999996</v>
      </c>
      <c r="J4054" s="18">
        <v>0.62</v>
      </c>
      <c r="K4054" s="18">
        <v>0.6</v>
      </c>
      <c r="L4054" s="22">
        <v>12</v>
      </c>
    </row>
    <row r="4055" spans="1:12">
      <c r="A4055">
        <v>5</v>
      </c>
      <c r="B4055" s="16" t="s">
        <v>60</v>
      </c>
      <c r="C4055" s="9">
        <v>45992</v>
      </c>
      <c r="D4055">
        <v>7</v>
      </c>
      <c r="E4055" s="16" t="s">
        <v>91</v>
      </c>
      <c r="F4055" s="16" t="s">
        <v>92</v>
      </c>
      <c r="G4055" s="22">
        <v>152</v>
      </c>
      <c r="H4055" s="18">
        <v>97.12</v>
      </c>
      <c r="I4055" s="18">
        <v>0.63894736799999996</v>
      </c>
      <c r="J4055" s="18">
        <v>0.65</v>
      </c>
      <c r="K4055" s="18">
        <v>0.63</v>
      </c>
      <c r="L4055" s="22">
        <v>14</v>
      </c>
    </row>
    <row r="4056" spans="1:12">
      <c r="A4056">
        <v>5</v>
      </c>
      <c r="B4056" s="16" t="s">
        <v>60</v>
      </c>
      <c r="C4056" s="9">
        <v>46023</v>
      </c>
      <c r="D4056">
        <v>7</v>
      </c>
      <c r="E4056" s="16" t="s">
        <v>91</v>
      </c>
      <c r="F4056" s="16" t="s">
        <v>92</v>
      </c>
      <c r="G4056" s="22">
        <v>148</v>
      </c>
      <c r="H4056" s="18">
        <v>96.56</v>
      </c>
      <c r="I4056" s="18">
        <v>0.65243243200000001</v>
      </c>
      <c r="J4056" s="18">
        <v>0.66</v>
      </c>
      <c r="K4056" s="18">
        <v>0.64</v>
      </c>
      <c r="L4056" s="22">
        <v>13</v>
      </c>
    </row>
    <row r="4057" spans="1:12">
      <c r="A4057">
        <v>5</v>
      </c>
      <c r="B4057" s="16" t="s">
        <v>60</v>
      </c>
      <c r="C4057" s="9">
        <v>46054</v>
      </c>
      <c r="D4057">
        <v>7</v>
      </c>
      <c r="E4057" s="16" t="s">
        <v>91</v>
      </c>
      <c r="F4057" s="16" t="s">
        <v>92</v>
      </c>
      <c r="G4057" s="22">
        <v>166</v>
      </c>
      <c r="H4057" s="18">
        <v>107.04</v>
      </c>
      <c r="I4057" s="18">
        <v>0.64481927699999997</v>
      </c>
      <c r="J4057" s="18">
        <v>0.66</v>
      </c>
      <c r="K4057" s="18">
        <v>0.63</v>
      </c>
      <c r="L4057" s="22">
        <v>12</v>
      </c>
    </row>
    <row r="4058" spans="1:12">
      <c r="A4058">
        <v>5</v>
      </c>
      <c r="B4058" s="16" t="s">
        <v>60</v>
      </c>
      <c r="C4058" s="9">
        <v>46082</v>
      </c>
      <c r="D4058">
        <v>7</v>
      </c>
      <c r="E4058" s="16" t="s">
        <v>91</v>
      </c>
      <c r="F4058" s="16" t="s">
        <v>92</v>
      </c>
      <c r="G4058" s="22">
        <v>180</v>
      </c>
      <c r="H4058" s="18">
        <v>111.6</v>
      </c>
      <c r="I4058" s="18">
        <v>0.62</v>
      </c>
      <c r="J4058" s="18">
        <v>0.63</v>
      </c>
      <c r="K4058" s="18">
        <v>0.61</v>
      </c>
      <c r="L4058" s="22">
        <v>13</v>
      </c>
    </row>
    <row r="4059" spans="1:12">
      <c r="A4059">
        <v>5</v>
      </c>
      <c r="B4059" s="16" t="s">
        <v>60</v>
      </c>
      <c r="C4059" s="9">
        <v>46113</v>
      </c>
      <c r="D4059">
        <v>7</v>
      </c>
      <c r="E4059" s="16" t="s">
        <v>91</v>
      </c>
      <c r="F4059" s="16" t="s">
        <v>92</v>
      </c>
      <c r="G4059" s="22">
        <v>172</v>
      </c>
      <c r="H4059" s="18">
        <v>102.04</v>
      </c>
      <c r="I4059" s="18">
        <v>0.59325581400000005</v>
      </c>
      <c r="J4059" s="18">
        <v>0.63</v>
      </c>
      <c r="K4059" s="18">
        <v>0.56999999999999995</v>
      </c>
      <c r="L4059" s="22">
        <v>13</v>
      </c>
    </row>
    <row r="4060" spans="1:12">
      <c r="A4060">
        <v>5</v>
      </c>
      <c r="B4060" s="16" t="s">
        <v>60</v>
      </c>
      <c r="C4060" s="9">
        <v>46143</v>
      </c>
      <c r="D4060">
        <v>7</v>
      </c>
      <c r="E4060" s="16" t="s">
        <v>91</v>
      </c>
      <c r="F4060" s="16" t="s">
        <v>92</v>
      </c>
      <c r="G4060" s="22">
        <v>224</v>
      </c>
      <c r="H4060" s="18">
        <v>126.78</v>
      </c>
      <c r="I4060" s="18">
        <v>0.56598214300000005</v>
      </c>
      <c r="J4060" s="18">
        <v>0.56999999999999995</v>
      </c>
      <c r="K4060" s="18">
        <v>0.55000000000000004</v>
      </c>
      <c r="L4060" s="22">
        <v>13</v>
      </c>
    </row>
    <row r="4061" spans="1:12">
      <c r="A4061">
        <v>5</v>
      </c>
      <c r="B4061" s="16" t="s">
        <v>60</v>
      </c>
      <c r="C4061" s="9">
        <v>46174</v>
      </c>
      <c r="D4061">
        <v>7</v>
      </c>
      <c r="E4061" s="16" t="s">
        <v>91</v>
      </c>
      <c r="F4061" s="16" t="s">
        <v>92</v>
      </c>
      <c r="G4061" s="22">
        <v>192</v>
      </c>
      <c r="H4061" s="18">
        <v>103.04</v>
      </c>
      <c r="I4061" s="18">
        <v>0.53666666699999999</v>
      </c>
      <c r="J4061" s="18">
        <v>0.55000000000000004</v>
      </c>
      <c r="K4061" s="18">
        <v>0.53</v>
      </c>
      <c r="L4061" s="22">
        <v>13</v>
      </c>
    </row>
    <row r="4062" spans="1:12">
      <c r="A4062">
        <v>5</v>
      </c>
      <c r="B4062" s="16" t="s">
        <v>60</v>
      </c>
      <c r="C4062" s="9">
        <v>46204</v>
      </c>
      <c r="D4062">
        <v>7</v>
      </c>
      <c r="E4062" s="16" t="s">
        <v>91</v>
      </c>
      <c r="F4062" s="16" t="s">
        <v>92</v>
      </c>
      <c r="G4062" s="22">
        <v>230</v>
      </c>
      <c r="H4062" s="18">
        <v>120.34</v>
      </c>
      <c r="I4062" s="18">
        <v>0.52321739099999998</v>
      </c>
      <c r="J4062" s="18">
        <v>0.54</v>
      </c>
      <c r="K4062" s="18">
        <v>0.51</v>
      </c>
      <c r="L4062" s="22">
        <v>14</v>
      </c>
    </row>
    <row r="4063" spans="1:12">
      <c r="A4063">
        <v>5</v>
      </c>
      <c r="B4063" s="16" t="s">
        <v>60</v>
      </c>
      <c r="C4063" s="9">
        <v>46235</v>
      </c>
      <c r="D4063">
        <v>7</v>
      </c>
      <c r="E4063" s="16" t="s">
        <v>91</v>
      </c>
      <c r="F4063" s="16" t="s">
        <v>92</v>
      </c>
      <c r="G4063" s="22">
        <v>176</v>
      </c>
      <c r="H4063" s="18">
        <v>93.1</v>
      </c>
      <c r="I4063" s="18">
        <v>0.52897727299999997</v>
      </c>
      <c r="J4063" s="18">
        <v>0.54</v>
      </c>
      <c r="K4063" s="18">
        <v>0.52</v>
      </c>
      <c r="L4063" s="22">
        <v>13</v>
      </c>
    </row>
    <row r="4064" spans="1:12">
      <c r="A4064">
        <v>5</v>
      </c>
      <c r="B4064" s="16" t="s">
        <v>60</v>
      </c>
      <c r="C4064" s="9">
        <v>46266</v>
      </c>
      <c r="D4064">
        <v>7</v>
      </c>
      <c r="E4064" s="16" t="s">
        <v>91</v>
      </c>
      <c r="F4064" s="16" t="s">
        <v>92</v>
      </c>
      <c r="G4064" s="22">
        <v>164</v>
      </c>
      <c r="H4064" s="18">
        <v>92.1</v>
      </c>
      <c r="I4064" s="18">
        <v>0.56158536599999997</v>
      </c>
      <c r="J4064" s="18">
        <v>0.56999999999999995</v>
      </c>
      <c r="K4064" s="18">
        <v>0.54</v>
      </c>
      <c r="L4064" s="22">
        <v>13</v>
      </c>
    </row>
    <row r="4065" spans="1:12">
      <c r="A4065">
        <v>5</v>
      </c>
      <c r="B4065" s="16" t="s">
        <v>60</v>
      </c>
      <c r="C4065" s="9">
        <v>45689</v>
      </c>
      <c r="D4065">
        <v>8</v>
      </c>
      <c r="E4065" s="16" t="s">
        <v>93</v>
      </c>
      <c r="F4065" s="16" t="s">
        <v>83</v>
      </c>
      <c r="G4065" s="22">
        <v>100</v>
      </c>
      <c r="H4065" s="18">
        <v>2020.7125000000001</v>
      </c>
      <c r="I4065" s="18">
        <v>20.207125000000001</v>
      </c>
      <c r="J4065" s="18">
        <v>20.61</v>
      </c>
      <c r="K4065" s="18">
        <v>19.87</v>
      </c>
      <c r="L4065" s="22">
        <v>8</v>
      </c>
    </row>
    <row r="4066" spans="1:12">
      <c r="A4066">
        <v>5</v>
      </c>
      <c r="B4066" s="16" t="s">
        <v>60</v>
      </c>
      <c r="C4066" s="9">
        <v>45717</v>
      </c>
      <c r="D4066">
        <v>8</v>
      </c>
      <c r="E4066" s="16" t="s">
        <v>93</v>
      </c>
      <c r="F4066" s="16" t="s">
        <v>83</v>
      </c>
      <c r="G4066" s="22">
        <v>80</v>
      </c>
      <c r="H4066" s="18">
        <v>1639.75</v>
      </c>
      <c r="I4066" s="18">
        <v>20.496874999999999</v>
      </c>
      <c r="J4066" s="18">
        <v>20.96</v>
      </c>
      <c r="K4066" s="18">
        <v>19.78</v>
      </c>
      <c r="L4066" s="22">
        <v>8</v>
      </c>
    </row>
    <row r="4067" spans="1:12">
      <c r="A4067">
        <v>5</v>
      </c>
      <c r="B4067" s="16" t="s">
        <v>60</v>
      </c>
      <c r="C4067" s="9">
        <v>45748</v>
      </c>
      <c r="D4067">
        <v>8</v>
      </c>
      <c r="E4067" s="16" t="s">
        <v>93</v>
      </c>
      <c r="F4067" s="16" t="s">
        <v>83</v>
      </c>
      <c r="G4067" s="22">
        <v>98.75</v>
      </c>
      <c r="H4067" s="18">
        <v>2009.9749999999999</v>
      </c>
      <c r="I4067" s="18">
        <v>20.354177215</v>
      </c>
      <c r="J4067" s="18">
        <v>20.86</v>
      </c>
      <c r="K4067" s="18">
        <v>20.02</v>
      </c>
      <c r="L4067" s="22">
        <v>9</v>
      </c>
    </row>
    <row r="4068" spans="1:12">
      <c r="A4068">
        <v>5</v>
      </c>
      <c r="B4068" s="16" t="s">
        <v>60</v>
      </c>
      <c r="C4068" s="9">
        <v>45778</v>
      </c>
      <c r="D4068">
        <v>8</v>
      </c>
      <c r="E4068" s="16" t="s">
        <v>93</v>
      </c>
      <c r="F4068" s="16" t="s">
        <v>83</v>
      </c>
      <c r="G4068" s="22">
        <v>116.25</v>
      </c>
      <c r="H4068" s="18">
        <v>2386.2125000000001</v>
      </c>
      <c r="I4068" s="18">
        <v>20.52655914</v>
      </c>
      <c r="J4068" s="18">
        <v>20.7</v>
      </c>
      <c r="K4068" s="18">
        <v>20</v>
      </c>
      <c r="L4068" s="22">
        <v>9</v>
      </c>
    </row>
    <row r="4069" spans="1:12">
      <c r="A4069">
        <v>5</v>
      </c>
      <c r="B4069" s="16" t="s">
        <v>60</v>
      </c>
      <c r="C4069" s="9">
        <v>45809</v>
      </c>
      <c r="D4069">
        <v>8</v>
      </c>
      <c r="E4069" s="16" t="s">
        <v>93</v>
      </c>
      <c r="F4069" s="16" t="s">
        <v>83</v>
      </c>
      <c r="G4069" s="22">
        <v>100</v>
      </c>
      <c r="H4069" s="18">
        <v>2069.75</v>
      </c>
      <c r="I4069" s="18">
        <v>20.697500000000002</v>
      </c>
      <c r="J4069" s="18">
        <v>20.97</v>
      </c>
      <c r="K4069" s="18">
        <v>20.12</v>
      </c>
      <c r="L4069" s="22">
        <v>8</v>
      </c>
    </row>
    <row r="4070" spans="1:12">
      <c r="A4070">
        <v>5</v>
      </c>
      <c r="B4070" s="16" t="s">
        <v>60</v>
      </c>
      <c r="C4070" s="9">
        <v>45839</v>
      </c>
      <c r="D4070">
        <v>8</v>
      </c>
      <c r="E4070" s="16" t="s">
        <v>93</v>
      </c>
      <c r="F4070" s="16" t="s">
        <v>83</v>
      </c>
      <c r="G4070" s="22">
        <v>130</v>
      </c>
      <c r="H4070" s="18">
        <v>2665.4124999999999</v>
      </c>
      <c r="I4070" s="18">
        <v>20.503173077</v>
      </c>
      <c r="J4070" s="18">
        <v>20.77</v>
      </c>
      <c r="K4070" s="18">
        <v>19.95</v>
      </c>
      <c r="L4070" s="22">
        <v>10</v>
      </c>
    </row>
    <row r="4071" spans="1:12">
      <c r="A4071">
        <v>5</v>
      </c>
      <c r="B4071" s="16" t="s">
        <v>60</v>
      </c>
      <c r="C4071" s="9">
        <v>45870</v>
      </c>
      <c r="D4071">
        <v>8</v>
      </c>
      <c r="E4071" s="16" t="s">
        <v>93</v>
      </c>
      <c r="F4071" s="16" t="s">
        <v>83</v>
      </c>
      <c r="G4071" s="22">
        <v>92.5</v>
      </c>
      <c r="H4071" s="18">
        <v>1891.05</v>
      </c>
      <c r="I4071" s="18">
        <v>20.443783784000001</v>
      </c>
      <c r="J4071" s="18">
        <v>20.71</v>
      </c>
      <c r="K4071" s="18">
        <v>20.03</v>
      </c>
      <c r="L4071" s="22">
        <v>8</v>
      </c>
    </row>
    <row r="4072" spans="1:12">
      <c r="A4072">
        <v>5</v>
      </c>
      <c r="B4072" s="16" t="s">
        <v>60</v>
      </c>
      <c r="C4072" s="9">
        <v>45901</v>
      </c>
      <c r="D4072">
        <v>8</v>
      </c>
      <c r="E4072" s="16" t="s">
        <v>93</v>
      </c>
      <c r="F4072" s="16" t="s">
        <v>83</v>
      </c>
      <c r="G4072" s="22">
        <v>75</v>
      </c>
      <c r="H4072" s="18">
        <v>1541.8875</v>
      </c>
      <c r="I4072" s="18">
        <v>20.558499999999999</v>
      </c>
      <c r="J4072" s="18">
        <v>20.9</v>
      </c>
      <c r="K4072" s="18">
        <v>20.309999999999999</v>
      </c>
      <c r="L4072" s="22">
        <v>9</v>
      </c>
    </row>
    <row r="4073" spans="1:12">
      <c r="A4073">
        <v>5</v>
      </c>
      <c r="B4073" s="16" t="s">
        <v>60</v>
      </c>
      <c r="C4073" s="9">
        <v>45931</v>
      </c>
      <c r="D4073">
        <v>8</v>
      </c>
      <c r="E4073" s="16" t="s">
        <v>93</v>
      </c>
      <c r="F4073" s="16" t="s">
        <v>83</v>
      </c>
      <c r="G4073" s="22">
        <v>111.25</v>
      </c>
      <c r="H4073" s="18">
        <v>2300</v>
      </c>
      <c r="I4073" s="18">
        <v>20.674157303000001</v>
      </c>
      <c r="J4073" s="18">
        <v>21.08</v>
      </c>
      <c r="K4073" s="18">
        <v>20.36</v>
      </c>
      <c r="L4073" s="22">
        <v>9</v>
      </c>
    </row>
    <row r="4074" spans="1:12">
      <c r="A4074">
        <v>5</v>
      </c>
      <c r="B4074" s="16" t="s">
        <v>60</v>
      </c>
      <c r="C4074" s="9">
        <v>45962</v>
      </c>
      <c r="D4074">
        <v>8</v>
      </c>
      <c r="E4074" s="16" t="s">
        <v>93</v>
      </c>
      <c r="F4074" s="16" t="s">
        <v>83</v>
      </c>
      <c r="G4074" s="22">
        <v>93.75</v>
      </c>
      <c r="H4074" s="18">
        <v>1936.55</v>
      </c>
      <c r="I4074" s="18">
        <v>20.656533332999999</v>
      </c>
      <c r="J4074" s="18">
        <v>20.95</v>
      </c>
      <c r="K4074" s="18">
        <v>20.07</v>
      </c>
      <c r="L4074" s="22">
        <v>8</v>
      </c>
    </row>
    <row r="4075" spans="1:12">
      <c r="A4075">
        <v>5</v>
      </c>
      <c r="B4075" s="16" t="s">
        <v>60</v>
      </c>
      <c r="C4075" s="9">
        <v>45992</v>
      </c>
      <c r="D4075">
        <v>8</v>
      </c>
      <c r="E4075" s="16" t="s">
        <v>93</v>
      </c>
      <c r="F4075" s="16" t="s">
        <v>83</v>
      </c>
      <c r="G4075" s="22">
        <v>83.75</v>
      </c>
      <c r="H4075" s="18">
        <v>1723.7249999999999</v>
      </c>
      <c r="I4075" s="18">
        <v>20.581791044999999</v>
      </c>
      <c r="J4075" s="18">
        <v>20.92</v>
      </c>
      <c r="K4075" s="18">
        <v>20.149999999999999</v>
      </c>
      <c r="L4075" s="22">
        <v>9</v>
      </c>
    </row>
    <row r="4076" spans="1:12">
      <c r="A4076">
        <v>5</v>
      </c>
      <c r="B4076" s="16" t="s">
        <v>60</v>
      </c>
      <c r="C4076" s="9">
        <v>46023</v>
      </c>
      <c r="D4076">
        <v>8</v>
      </c>
      <c r="E4076" s="16" t="s">
        <v>93</v>
      </c>
      <c r="F4076" s="16" t="s">
        <v>83</v>
      </c>
      <c r="G4076" s="22">
        <v>97.5</v>
      </c>
      <c r="H4076" s="18">
        <v>2053.7375000000002</v>
      </c>
      <c r="I4076" s="18">
        <v>21.063974358999999</v>
      </c>
      <c r="J4076" s="18">
        <v>21.32</v>
      </c>
      <c r="K4076" s="18">
        <v>20.79</v>
      </c>
      <c r="L4076" s="22">
        <v>9</v>
      </c>
    </row>
    <row r="4077" spans="1:12">
      <c r="A4077">
        <v>5</v>
      </c>
      <c r="B4077" s="16" t="s">
        <v>60</v>
      </c>
      <c r="C4077" s="9">
        <v>46054</v>
      </c>
      <c r="D4077">
        <v>8</v>
      </c>
      <c r="E4077" s="16" t="s">
        <v>93</v>
      </c>
      <c r="F4077" s="16" t="s">
        <v>83</v>
      </c>
      <c r="G4077" s="22">
        <v>98.75</v>
      </c>
      <c r="H4077" s="18">
        <v>2126.2750000000001</v>
      </c>
      <c r="I4077" s="18">
        <v>21.531898733999999</v>
      </c>
      <c r="J4077" s="18">
        <v>22.6</v>
      </c>
      <c r="K4077" s="18">
        <v>20.81</v>
      </c>
      <c r="L4077" s="22">
        <v>8</v>
      </c>
    </row>
    <row r="4078" spans="1:12">
      <c r="A4078">
        <v>5</v>
      </c>
      <c r="B4078" s="16" t="s">
        <v>60</v>
      </c>
      <c r="C4078" s="9">
        <v>46082</v>
      </c>
      <c r="D4078">
        <v>8</v>
      </c>
      <c r="E4078" s="16" t="s">
        <v>93</v>
      </c>
      <c r="F4078" s="16" t="s">
        <v>83</v>
      </c>
      <c r="G4078" s="22">
        <v>97.5</v>
      </c>
      <c r="H4078" s="18">
        <v>2043.5250000000001</v>
      </c>
      <c r="I4078" s="18">
        <v>20.959230769000001</v>
      </c>
      <c r="J4078" s="18">
        <v>21.33</v>
      </c>
      <c r="K4078" s="18">
        <v>20.68</v>
      </c>
      <c r="L4078" s="22">
        <v>9</v>
      </c>
    </row>
    <row r="4079" spans="1:12">
      <c r="A4079">
        <v>5</v>
      </c>
      <c r="B4079" s="16" t="s">
        <v>60</v>
      </c>
      <c r="C4079" s="9">
        <v>46113</v>
      </c>
      <c r="D4079">
        <v>8</v>
      </c>
      <c r="E4079" s="16" t="s">
        <v>93</v>
      </c>
      <c r="F4079" s="16" t="s">
        <v>83</v>
      </c>
      <c r="G4079" s="22">
        <v>117.5</v>
      </c>
      <c r="H4079" s="18">
        <v>2503.6624999999999</v>
      </c>
      <c r="I4079" s="18">
        <v>21.307765957000001</v>
      </c>
      <c r="J4079" s="18">
        <v>21.57</v>
      </c>
      <c r="K4079" s="18">
        <v>21.18</v>
      </c>
      <c r="L4079" s="22">
        <v>9</v>
      </c>
    </row>
    <row r="4080" spans="1:12">
      <c r="A4080">
        <v>5</v>
      </c>
      <c r="B4080" s="16" t="s">
        <v>60</v>
      </c>
      <c r="C4080" s="9">
        <v>46143</v>
      </c>
      <c r="D4080">
        <v>8</v>
      </c>
      <c r="E4080" s="16" t="s">
        <v>93</v>
      </c>
      <c r="F4080" s="16" t="s">
        <v>83</v>
      </c>
      <c r="G4080" s="22">
        <v>105</v>
      </c>
      <c r="H4080" s="18">
        <v>2241.5124999999998</v>
      </c>
      <c r="I4080" s="18">
        <v>21.347738095</v>
      </c>
      <c r="J4080" s="18">
        <v>21.64</v>
      </c>
      <c r="K4080" s="18">
        <v>20.87</v>
      </c>
      <c r="L4080" s="22">
        <v>8</v>
      </c>
    </row>
    <row r="4081" spans="1:12">
      <c r="A4081">
        <v>5</v>
      </c>
      <c r="B4081" s="16" t="s">
        <v>60</v>
      </c>
      <c r="C4081" s="9">
        <v>46174</v>
      </c>
      <c r="D4081">
        <v>8</v>
      </c>
      <c r="E4081" s="16" t="s">
        <v>93</v>
      </c>
      <c r="F4081" s="16" t="s">
        <v>83</v>
      </c>
      <c r="G4081" s="22">
        <v>100</v>
      </c>
      <c r="H4081" s="18">
        <v>2125.9</v>
      </c>
      <c r="I4081" s="18">
        <v>21.259</v>
      </c>
      <c r="J4081" s="18">
        <v>21.62</v>
      </c>
      <c r="K4081" s="18">
        <v>20.92</v>
      </c>
      <c r="L4081" s="22">
        <v>9</v>
      </c>
    </row>
    <row r="4082" spans="1:12">
      <c r="A4082">
        <v>5</v>
      </c>
      <c r="B4082" s="16" t="s">
        <v>60</v>
      </c>
      <c r="C4082" s="9">
        <v>46204</v>
      </c>
      <c r="D4082">
        <v>8</v>
      </c>
      <c r="E4082" s="16" t="s">
        <v>93</v>
      </c>
      <c r="F4082" s="16" t="s">
        <v>83</v>
      </c>
      <c r="G4082" s="22">
        <v>117.5</v>
      </c>
      <c r="H4082" s="18">
        <v>2543.5124999999998</v>
      </c>
      <c r="I4082" s="18">
        <v>21.646914893999998</v>
      </c>
      <c r="J4082" s="18">
        <v>22.17</v>
      </c>
      <c r="K4082" s="18">
        <v>21.24</v>
      </c>
      <c r="L4082" s="22">
        <v>9</v>
      </c>
    </row>
    <row r="4083" spans="1:12">
      <c r="A4083">
        <v>5</v>
      </c>
      <c r="B4083" s="16" t="s">
        <v>60</v>
      </c>
      <c r="C4083" s="9">
        <v>46235</v>
      </c>
      <c r="D4083">
        <v>8</v>
      </c>
      <c r="E4083" s="16" t="s">
        <v>93</v>
      </c>
      <c r="F4083" s="16" t="s">
        <v>83</v>
      </c>
      <c r="G4083" s="22">
        <v>85</v>
      </c>
      <c r="H4083" s="18">
        <v>1806.5</v>
      </c>
      <c r="I4083" s="18">
        <v>21.252941176</v>
      </c>
      <c r="J4083" s="18">
        <v>21.68</v>
      </c>
      <c r="K4083" s="18">
        <v>21</v>
      </c>
      <c r="L4083" s="22">
        <v>8</v>
      </c>
    </row>
    <row r="4084" spans="1:12">
      <c r="A4084">
        <v>5</v>
      </c>
      <c r="B4084" s="16" t="s">
        <v>60</v>
      </c>
      <c r="C4084" s="9">
        <v>46266</v>
      </c>
      <c r="D4084">
        <v>8</v>
      </c>
      <c r="E4084" s="16" t="s">
        <v>93</v>
      </c>
      <c r="F4084" s="16" t="s">
        <v>83</v>
      </c>
      <c r="G4084" s="22">
        <v>83.75</v>
      </c>
      <c r="H4084" s="18">
        <v>1808.3875</v>
      </c>
      <c r="I4084" s="18">
        <v>21.592686567000001</v>
      </c>
      <c r="J4084" s="18">
        <v>21.86</v>
      </c>
      <c r="K4084" s="18">
        <v>21.09</v>
      </c>
      <c r="L4084" s="22">
        <v>9</v>
      </c>
    </row>
    <row r="4085" spans="1:12">
      <c r="A4085">
        <v>5</v>
      </c>
      <c r="B4085" s="16" t="s">
        <v>60</v>
      </c>
      <c r="C4085" s="9">
        <v>45689</v>
      </c>
      <c r="D4085">
        <v>9</v>
      </c>
      <c r="E4085" s="16" t="s">
        <v>94</v>
      </c>
      <c r="F4085" s="16" t="s">
        <v>85</v>
      </c>
      <c r="G4085" s="22">
        <v>25</v>
      </c>
      <c r="H4085" s="18">
        <v>81</v>
      </c>
      <c r="I4085" s="18">
        <v>3.24</v>
      </c>
      <c r="J4085" s="18">
        <v>3.25</v>
      </c>
      <c r="K4085" s="18">
        <v>3.23</v>
      </c>
      <c r="L4085" s="22">
        <v>2</v>
      </c>
    </row>
    <row r="4086" spans="1:12">
      <c r="A4086">
        <v>5</v>
      </c>
      <c r="B4086" s="16" t="s">
        <v>60</v>
      </c>
      <c r="C4086" s="9">
        <v>45717</v>
      </c>
      <c r="D4086">
        <v>9</v>
      </c>
      <c r="E4086" s="16" t="s">
        <v>94</v>
      </c>
      <c r="F4086" s="16" t="s">
        <v>85</v>
      </c>
      <c r="G4086" s="22">
        <v>12.5</v>
      </c>
      <c r="H4086" s="18">
        <v>41.125</v>
      </c>
      <c r="I4086" s="18">
        <v>3.29</v>
      </c>
      <c r="J4086" s="18">
        <v>3.29</v>
      </c>
      <c r="K4086" s="18">
        <v>3.29</v>
      </c>
      <c r="L4086" s="22">
        <v>1</v>
      </c>
    </row>
    <row r="4087" spans="1:12">
      <c r="A4087">
        <v>5</v>
      </c>
      <c r="B4087" s="16" t="s">
        <v>60</v>
      </c>
      <c r="C4087" s="9">
        <v>45748</v>
      </c>
      <c r="D4087">
        <v>9</v>
      </c>
      <c r="E4087" s="16" t="s">
        <v>94</v>
      </c>
      <c r="F4087" s="16" t="s">
        <v>85</v>
      </c>
      <c r="G4087" s="22">
        <v>25</v>
      </c>
      <c r="H4087" s="18">
        <v>83.125</v>
      </c>
      <c r="I4087" s="18">
        <v>3.3250000000000002</v>
      </c>
      <c r="J4087" s="18">
        <v>3.34</v>
      </c>
      <c r="K4087" s="18">
        <v>3.31</v>
      </c>
      <c r="L4087" s="22">
        <v>2</v>
      </c>
    </row>
    <row r="4088" spans="1:12">
      <c r="A4088">
        <v>5</v>
      </c>
      <c r="B4088" s="16" t="s">
        <v>60</v>
      </c>
      <c r="C4088" s="9">
        <v>45778</v>
      </c>
      <c r="D4088">
        <v>9</v>
      </c>
      <c r="E4088" s="16" t="s">
        <v>94</v>
      </c>
      <c r="F4088" s="16" t="s">
        <v>85</v>
      </c>
      <c r="G4088" s="22">
        <v>12.5</v>
      </c>
      <c r="H4088" s="18">
        <v>40.875</v>
      </c>
      <c r="I4088" s="18">
        <v>3.27</v>
      </c>
      <c r="J4088" s="18">
        <v>3.27</v>
      </c>
      <c r="K4088" s="18">
        <v>3.27</v>
      </c>
      <c r="L4088" s="22">
        <v>1</v>
      </c>
    </row>
    <row r="4089" spans="1:12">
      <c r="A4089">
        <v>5</v>
      </c>
      <c r="B4089" s="16" t="s">
        <v>60</v>
      </c>
      <c r="C4089" s="9">
        <v>45809</v>
      </c>
      <c r="D4089">
        <v>9</v>
      </c>
      <c r="E4089" s="16" t="s">
        <v>94</v>
      </c>
      <c r="F4089" s="16" t="s">
        <v>85</v>
      </c>
      <c r="G4089" s="22">
        <v>12.5</v>
      </c>
      <c r="H4089" s="18">
        <v>42.875</v>
      </c>
      <c r="I4089" s="18">
        <v>3.43</v>
      </c>
      <c r="J4089" s="18">
        <v>3.43</v>
      </c>
      <c r="K4089" s="18">
        <v>3.43</v>
      </c>
      <c r="L4089" s="22">
        <v>1</v>
      </c>
    </row>
    <row r="4090" spans="1:12">
      <c r="A4090">
        <v>5</v>
      </c>
      <c r="B4090" s="16" t="s">
        <v>60</v>
      </c>
      <c r="C4090" s="9">
        <v>45839</v>
      </c>
      <c r="D4090">
        <v>9</v>
      </c>
      <c r="E4090" s="16" t="s">
        <v>94</v>
      </c>
      <c r="F4090" s="16" t="s">
        <v>85</v>
      </c>
      <c r="G4090" s="22">
        <v>12.5</v>
      </c>
      <c r="H4090" s="18">
        <v>41.375</v>
      </c>
      <c r="I4090" s="18">
        <v>3.31</v>
      </c>
      <c r="J4090" s="18">
        <v>3.31</v>
      </c>
      <c r="K4090" s="18">
        <v>3.31</v>
      </c>
      <c r="L4090" s="22">
        <v>1</v>
      </c>
    </row>
    <row r="4091" spans="1:12">
      <c r="A4091">
        <v>5</v>
      </c>
      <c r="B4091" s="16" t="s">
        <v>60</v>
      </c>
      <c r="C4091" s="9">
        <v>45870</v>
      </c>
      <c r="D4091">
        <v>9</v>
      </c>
      <c r="E4091" s="16" t="s">
        <v>94</v>
      </c>
      <c r="F4091" s="16" t="s">
        <v>85</v>
      </c>
      <c r="G4091" s="22">
        <v>25</v>
      </c>
      <c r="H4091" s="18">
        <v>79</v>
      </c>
      <c r="I4091" s="18">
        <v>3.16</v>
      </c>
      <c r="J4091" s="18">
        <v>3.18</v>
      </c>
      <c r="K4091" s="18">
        <v>3.14</v>
      </c>
      <c r="L4091" s="22">
        <v>2</v>
      </c>
    </row>
    <row r="4092" spans="1:12">
      <c r="A4092">
        <v>5</v>
      </c>
      <c r="B4092" s="16" t="s">
        <v>60</v>
      </c>
      <c r="C4092" s="9">
        <v>45901</v>
      </c>
      <c r="D4092">
        <v>9</v>
      </c>
      <c r="E4092" s="16" t="s">
        <v>94</v>
      </c>
      <c r="F4092" s="16" t="s">
        <v>85</v>
      </c>
      <c r="G4092" s="22">
        <v>12.5</v>
      </c>
      <c r="H4092" s="18">
        <v>39.25</v>
      </c>
      <c r="I4092" s="18">
        <v>3.14</v>
      </c>
      <c r="J4092" s="18">
        <v>3.14</v>
      </c>
      <c r="K4092" s="18">
        <v>3.14</v>
      </c>
      <c r="L4092" s="22">
        <v>1</v>
      </c>
    </row>
    <row r="4093" spans="1:12">
      <c r="A4093">
        <v>5</v>
      </c>
      <c r="B4093" s="16" t="s">
        <v>60</v>
      </c>
      <c r="C4093" s="9">
        <v>45931</v>
      </c>
      <c r="D4093">
        <v>9</v>
      </c>
      <c r="E4093" s="16" t="s">
        <v>94</v>
      </c>
      <c r="F4093" s="16" t="s">
        <v>85</v>
      </c>
      <c r="G4093" s="22">
        <v>25</v>
      </c>
      <c r="H4093" s="18">
        <v>79.75</v>
      </c>
      <c r="I4093" s="18">
        <v>3.19</v>
      </c>
      <c r="J4093" s="18">
        <v>3.2</v>
      </c>
      <c r="K4093" s="18">
        <v>3.18</v>
      </c>
      <c r="L4093" s="22">
        <v>2</v>
      </c>
    </row>
    <row r="4094" spans="1:12">
      <c r="A4094">
        <v>5</v>
      </c>
      <c r="B4094" s="16" t="s">
        <v>60</v>
      </c>
      <c r="C4094" s="9">
        <v>45962</v>
      </c>
      <c r="D4094">
        <v>9</v>
      </c>
      <c r="E4094" s="16" t="s">
        <v>94</v>
      </c>
      <c r="F4094" s="16" t="s">
        <v>85</v>
      </c>
      <c r="G4094" s="22">
        <v>25</v>
      </c>
      <c r="H4094" s="18">
        <v>81</v>
      </c>
      <c r="I4094" s="18">
        <v>3.24</v>
      </c>
      <c r="J4094" s="18">
        <v>3.25</v>
      </c>
      <c r="K4094" s="18">
        <v>3.23</v>
      </c>
      <c r="L4094" s="22">
        <v>2</v>
      </c>
    </row>
    <row r="4095" spans="1:12">
      <c r="A4095">
        <v>5</v>
      </c>
      <c r="B4095" s="16" t="s">
        <v>60</v>
      </c>
      <c r="C4095" s="9">
        <v>45992</v>
      </c>
      <c r="D4095">
        <v>9</v>
      </c>
      <c r="E4095" s="16" t="s">
        <v>94</v>
      </c>
      <c r="F4095" s="16" t="s">
        <v>85</v>
      </c>
      <c r="G4095" s="22">
        <v>12.5</v>
      </c>
      <c r="H4095" s="18">
        <v>40.75</v>
      </c>
      <c r="I4095" s="18">
        <v>3.26</v>
      </c>
      <c r="J4095" s="18">
        <v>3.26</v>
      </c>
      <c r="K4095" s="18">
        <v>3.26</v>
      </c>
      <c r="L4095" s="22">
        <v>1</v>
      </c>
    </row>
    <row r="4096" spans="1:12">
      <c r="A4096">
        <v>5</v>
      </c>
      <c r="B4096" s="16" t="s">
        <v>60</v>
      </c>
      <c r="C4096" s="9">
        <v>46023</v>
      </c>
      <c r="D4096">
        <v>9</v>
      </c>
      <c r="E4096" s="16" t="s">
        <v>94</v>
      </c>
      <c r="F4096" s="16" t="s">
        <v>85</v>
      </c>
      <c r="G4096" s="22">
        <v>25</v>
      </c>
      <c r="H4096" s="18">
        <v>79.375</v>
      </c>
      <c r="I4096" s="18">
        <v>3.1749999999999998</v>
      </c>
      <c r="J4096" s="18">
        <v>3.18</v>
      </c>
      <c r="K4096" s="18">
        <v>3.17</v>
      </c>
      <c r="L4096" s="22">
        <v>2</v>
      </c>
    </row>
    <row r="4097" spans="1:12">
      <c r="A4097">
        <v>5</v>
      </c>
      <c r="B4097" s="16" t="s">
        <v>60</v>
      </c>
      <c r="C4097" s="9">
        <v>46054</v>
      </c>
      <c r="D4097">
        <v>9</v>
      </c>
      <c r="E4097" s="16" t="s">
        <v>94</v>
      </c>
      <c r="F4097" s="16" t="s">
        <v>85</v>
      </c>
      <c r="G4097" s="22">
        <v>25</v>
      </c>
      <c r="H4097" s="18">
        <v>79.75</v>
      </c>
      <c r="I4097" s="18">
        <v>3.19</v>
      </c>
      <c r="J4097" s="18">
        <v>3.19</v>
      </c>
      <c r="K4097" s="18">
        <v>3.19</v>
      </c>
      <c r="L4097" s="22">
        <v>2</v>
      </c>
    </row>
    <row r="4098" spans="1:12">
      <c r="A4098">
        <v>5</v>
      </c>
      <c r="B4098" s="16" t="s">
        <v>60</v>
      </c>
      <c r="C4098" s="9">
        <v>46082</v>
      </c>
      <c r="D4098">
        <v>9</v>
      </c>
      <c r="E4098" s="16" t="s">
        <v>94</v>
      </c>
      <c r="F4098" s="16" t="s">
        <v>85</v>
      </c>
      <c r="G4098" s="22">
        <v>12.5</v>
      </c>
      <c r="H4098" s="18">
        <v>40.375</v>
      </c>
      <c r="I4098" s="18">
        <v>3.23</v>
      </c>
      <c r="J4098" s="18">
        <v>3.23</v>
      </c>
      <c r="K4098" s="18">
        <v>3.23</v>
      </c>
      <c r="L4098" s="22">
        <v>1</v>
      </c>
    </row>
    <row r="4099" spans="1:12">
      <c r="A4099">
        <v>5</v>
      </c>
      <c r="B4099" s="16" t="s">
        <v>60</v>
      </c>
      <c r="C4099" s="9">
        <v>46113</v>
      </c>
      <c r="D4099">
        <v>9</v>
      </c>
      <c r="E4099" s="16" t="s">
        <v>94</v>
      </c>
      <c r="F4099" s="16" t="s">
        <v>85</v>
      </c>
      <c r="G4099" s="22">
        <v>25</v>
      </c>
      <c r="H4099" s="18">
        <v>79.75</v>
      </c>
      <c r="I4099" s="18">
        <v>3.19</v>
      </c>
      <c r="J4099" s="18">
        <v>3.21</v>
      </c>
      <c r="K4099" s="18">
        <v>3.17</v>
      </c>
      <c r="L4099" s="22">
        <v>2</v>
      </c>
    </row>
    <row r="4100" spans="1:12">
      <c r="A4100">
        <v>5</v>
      </c>
      <c r="B4100" s="16" t="s">
        <v>60</v>
      </c>
      <c r="C4100" s="9">
        <v>46143</v>
      </c>
      <c r="D4100">
        <v>9</v>
      </c>
      <c r="E4100" s="16" t="s">
        <v>94</v>
      </c>
      <c r="F4100" s="16" t="s">
        <v>85</v>
      </c>
      <c r="G4100" s="22">
        <v>25</v>
      </c>
      <c r="H4100" s="18">
        <v>80.375</v>
      </c>
      <c r="I4100" s="18">
        <v>3.2149999999999999</v>
      </c>
      <c r="J4100" s="18">
        <v>3.22</v>
      </c>
      <c r="K4100" s="18">
        <v>3.21</v>
      </c>
      <c r="L4100" s="22">
        <v>2</v>
      </c>
    </row>
    <row r="4101" spans="1:12">
      <c r="A4101">
        <v>5</v>
      </c>
      <c r="B4101" s="16" t="s">
        <v>60</v>
      </c>
      <c r="C4101" s="9">
        <v>46174</v>
      </c>
      <c r="D4101">
        <v>9</v>
      </c>
      <c r="E4101" s="16" t="s">
        <v>94</v>
      </c>
      <c r="F4101" s="16" t="s">
        <v>85</v>
      </c>
      <c r="G4101" s="22">
        <v>12.5</v>
      </c>
      <c r="H4101" s="18">
        <v>39.375</v>
      </c>
      <c r="I4101" s="18">
        <v>3.15</v>
      </c>
      <c r="J4101" s="18">
        <v>3.15</v>
      </c>
      <c r="K4101" s="18">
        <v>3.15</v>
      </c>
      <c r="L4101" s="22">
        <v>1</v>
      </c>
    </row>
    <row r="4102" spans="1:12">
      <c r="A4102">
        <v>5</v>
      </c>
      <c r="B4102" s="16" t="s">
        <v>60</v>
      </c>
      <c r="C4102" s="9">
        <v>46204</v>
      </c>
      <c r="D4102">
        <v>9</v>
      </c>
      <c r="E4102" s="16" t="s">
        <v>94</v>
      </c>
      <c r="F4102" s="16" t="s">
        <v>85</v>
      </c>
      <c r="G4102" s="22">
        <v>12.5</v>
      </c>
      <c r="H4102" s="18">
        <v>39.5</v>
      </c>
      <c r="I4102" s="18">
        <v>3.16</v>
      </c>
      <c r="J4102" s="18">
        <v>3.16</v>
      </c>
      <c r="K4102" s="18">
        <v>3.16</v>
      </c>
      <c r="L4102" s="22">
        <v>1</v>
      </c>
    </row>
    <row r="4103" spans="1:12">
      <c r="A4103">
        <v>5</v>
      </c>
      <c r="B4103" s="16" t="s">
        <v>60</v>
      </c>
      <c r="C4103" s="9">
        <v>46235</v>
      </c>
      <c r="D4103">
        <v>9</v>
      </c>
      <c r="E4103" s="16" t="s">
        <v>94</v>
      </c>
      <c r="F4103" s="16" t="s">
        <v>85</v>
      </c>
      <c r="G4103" s="22">
        <v>12.5</v>
      </c>
      <c r="H4103" s="18">
        <v>40.25</v>
      </c>
      <c r="I4103" s="18">
        <v>3.22</v>
      </c>
      <c r="J4103" s="18">
        <v>3.22</v>
      </c>
      <c r="K4103" s="18">
        <v>3.22</v>
      </c>
      <c r="L4103" s="22">
        <v>1</v>
      </c>
    </row>
    <row r="4104" spans="1:12">
      <c r="A4104">
        <v>5</v>
      </c>
      <c r="B4104" s="16" t="s">
        <v>60</v>
      </c>
      <c r="C4104" s="9">
        <v>46266</v>
      </c>
      <c r="D4104">
        <v>9</v>
      </c>
      <c r="E4104" s="16" t="s">
        <v>94</v>
      </c>
      <c r="F4104" s="16" t="s">
        <v>85</v>
      </c>
      <c r="G4104" s="22">
        <v>12.5</v>
      </c>
      <c r="H4104" s="18">
        <v>40.5</v>
      </c>
      <c r="I4104" s="18">
        <v>3.24</v>
      </c>
      <c r="J4104" s="18">
        <v>3.24</v>
      </c>
      <c r="K4104" s="18">
        <v>3.24</v>
      </c>
      <c r="L4104" s="22">
        <v>1</v>
      </c>
    </row>
    <row r="4105" spans="1:12">
      <c r="A4105">
        <v>5</v>
      </c>
      <c r="B4105" s="16" t="s">
        <v>60</v>
      </c>
      <c r="C4105" s="9">
        <v>45689</v>
      </c>
      <c r="D4105">
        <v>10</v>
      </c>
      <c r="E4105" s="16" t="s">
        <v>95</v>
      </c>
      <c r="F4105" s="16" t="s">
        <v>83</v>
      </c>
      <c r="G4105" s="22">
        <v>30</v>
      </c>
      <c r="H4105" s="18">
        <v>470.55</v>
      </c>
      <c r="I4105" s="18">
        <v>15.685</v>
      </c>
      <c r="J4105" s="18">
        <v>15.83</v>
      </c>
      <c r="K4105" s="18">
        <v>15.45</v>
      </c>
      <c r="L4105" s="22">
        <v>6</v>
      </c>
    </row>
    <row r="4106" spans="1:12">
      <c r="A4106">
        <v>5</v>
      </c>
      <c r="B4106" s="16" t="s">
        <v>60</v>
      </c>
      <c r="C4106" s="9">
        <v>45717</v>
      </c>
      <c r="D4106">
        <v>10</v>
      </c>
      <c r="E4106" s="16" t="s">
        <v>95</v>
      </c>
      <c r="F4106" s="16" t="s">
        <v>83</v>
      </c>
      <c r="G4106" s="22">
        <v>25</v>
      </c>
      <c r="H4106" s="18">
        <v>396</v>
      </c>
      <c r="I4106" s="18">
        <v>15.84</v>
      </c>
      <c r="J4106" s="18">
        <v>16.02</v>
      </c>
      <c r="K4106" s="18">
        <v>15.65</v>
      </c>
      <c r="L4106" s="22">
        <v>5</v>
      </c>
    </row>
    <row r="4107" spans="1:12">
      <c r="A4107">
        <v>5</v>
      </c>
      <c r="B4107" s="16" t="s">
        <v>60</v>
      </c>
      <c r="C4107" s="9">
        <v>45748</v>
      </c>
      <c r="D4107">
        <v>10</v>
      </c>
      <c r="E4107" s="16" t="s">
        <v>95</v>
      </c>
      <c r="F4107" s="16" t="s">
        <v>83</v>
      </c>
      <c r="G4107" s="22">
        <v>20</v>
      </c>
      <c r="H4107" s="18">
        <v>319.7</v>
      </c>
      <c r="I4107" s="18">
        <v>15.984999999999999</v>
      </c>
      <c r="J4107" s="18">
        <v>16.32</v>
      </c>
      <c r="K4107" s="18">
        <v>15.69</v>
      </c>
      <c r="L4107" s="22">
        <v>4</v>
      </c>
    </row>
    <row r="4108" spans="1:12">
      <c r="A4108">
        <v>5</v>
      </c>
      <c r="B4108" s="16" t="s">
        <v>60</v>
      </c>
      <c r="C4108" s="9">
        <v>45778</v>
      </c>
      <c r="D4108">
        <v>10</v>
      </c>
      <c r="E4108" s="16" t="s">
        <v>95</v>
      </c>
      <c r="F4108" s="16" t="s">
        <v>83</v>
      </c>
      <c r="G4108" s="22">
        <v>30</v>
      </c>
      <c r="H4108" s="18">
        <v>482.6</v>
      </c>
      <c r="I4108" s="18">
        <v>16.086666666999999</v>
      </c>
      <c r="J4108" s="18">
        <v>16.37</v>
      </c>
      <c r="K4108" s="18">
        <v>15.76</v>
      </c>
      <c r="L4108" s="22">
        <v>6</v>
      </c>
    </row>
    <row r="4109" spans="1:12">
      <c r="A4109">
        <v>5</v>
      </c>
      <c r="B4109" s="16" t="s">
        <v>60</v>
      </c>
      <c r="C4109" s="9">
        <v>45809</v>
      </c>
      <c r="D4109">
        <v>10</v>
      </c>
      <c r="E4109" s="16" t="s">
        <v>95</v>
      </c>
      <c r="F4109" s="16" t="s">
        <v>83</v>
      </c>
      <c r="G4109" s="22">
        <v>25</v>
      </c>
      <c r="H4109" s="18">
        <v>397.55</v>
      </c>
      <c r="I4109" s="18">
        <v>15.901999999999999</v>
      </c>
      <c r="J4109" s="18">
        <v>16.149999999999999</v>
      </c>
      <c r="K4109" s="18">
        <v>15.75</v>
      </c>
      <c r="L4109" s="22">
        <v>5</v>
      </c>
    </row>
    <row r="4110" spans="1:12">
      <c r="A4110">
        <v>5</v>
      </c>
      <c r="B4110" s="16" t="s">
        <v>60</v>
      </c>
      <c r="C4110" s="9">
        <v>45839</v>
      </c>
      <c r="D4110">
        <v>10</v>
      </c>
      <c r="E4110" s="16" t="s">
        <v>95</v>
      </c>
      <c r="F4110" s="16" t="s">
        <v>83</v>
      </c>
      <c r="G4110" s="22">
        <v>35</v>
      </c>
      <c r="H4110" s="18">
        <v>597.29999999999995</v>
      </c>
      <c r="I4110" s="18">
        <v>17.065714285999999</v>
      </c>
      <c r="J4110" s="18">
        <v>17.21</v>
      </c>
      <c r="K4110" s="18">
        <v>16.920000000000002</v>
      </c>
      <c r="L4110" s="22">
        <v>7</v>
      </c>
    </row>
    <row r="4111" spans="1:12">
      <c r="A4111">
        <v>5</v>
      </c>
      <c r="B4111" s="16" t="s">
        <v>60</v>
      </c>
      <c r="C4111" s="9">
        <v>45870</v>
      </c>
      <c r="D4111">
        <v>10</v>
      </c>
      <c r="E4111" s="16" t="s">
        <v>95</v>
      </c>
      <c r="F4111" s="16" t="s">
        <v>83</v>
      </c>
      <c r="G4111" s="22">
        <v>25</v>
      </c>
      <c r="H4111" s="18">
        <v>427.2</v>
      </c>
      <c r="I4111" s="18">
        <v>17.088000000000001</v>
      </c>
      <c r="J4111" s="18">
        <v>17.170000000000002</v>
      </c>
      <c r="K4111" s="18">
        <v>16.940000000000001</v>
      </c>
      <c r="L4111" s="22">
        <v>5</v>
      </c>
    </row>
    <row r="4112" spans="1:12">
      <c r="A4112">
        <v>5</v>
      </c>
      <c r="B4112" s="16" t="s">
        <v>60</v>
      </c>
      <c r="C4112" s="9">
        <v>45901</v>
      </c>
      <c r="D4112">
        <v>10</v>
      </c>
      <c r="E4112" s="16" t="s">
        <v>95</v>
      </c>
      <c r="F4112" s="16" t="s">
        <v>83</v>
      </c>
      <c r="G4112" s="22">
        <v>20</v>
      </c>
      <c r="H4112" s="18">
        <v>340.65</v>
      </c>
      <c r="I4112" s="18">
        <v>17.032499999999999</v>
      </c>
      <c r="J4112" s="18">
        <v>17.34</v>
      </c>
      <c r="K4112" s="18">
        <v>16.77</v>
      </c>
      <c r="L4112" s="22">
        <v>4</v>
      </c>
    </row>
    <row r="4113" spans="1:12">
      <c r="A4113">
        <v>5</v>
      </c>
      <c r="B4113" s="16" t="s">
        <v>60</v>
      </c>
      <c r="C4113" s="9">
        <v>45931</v>
      </c>
      <c r="D4113">
        <v>10</v>
      </c>
      <c r="E4113" s="16" t="s">
        <v>95</v>
      </c>
      <c r="F4113" s="16" t="s">
        <v>83</v>
      </c>
      <c r="G4113" s="22">
        <v>30</v>
      </c>
      <c r="H4113" s="18">
        <v>511.75</v>
      </c>
      <c r="I4113" s="18">
        <v>17.058333333</v>
      </c>
      <c r="J4113" s="18">
        <v>17.18</v>
      </c>
      <c r="K4113" s="18">
        <v>16.940000000000001</v>
      </c>
      <c r="L4113" s="22">
        <v>6</v>
      </c>
    </row>
    <row r="4114" spans="1:12">
      <c r="A4114">
        <v>5</v>
      </c>
      <c r="B4114" s="16" t="s">
        <v>60</v>
      </c>
      <c r="C4114" s="9">
        <v>45962</v>
      </c>
      <c r="D4114">
        <v>10</v>
      </c>
      <c r="E4114" s="16" t="s">
        <v>95</v>
      </c>
      <c r="F4114" s="16" t="s">
        <v>83</v>
      </c>
      <c r="G4114" s="22">
        <v>30</v>
      </c>
      <c r="H4114" s="18">
        <v>506.55</v>
      </c>
      <c r="I4114" s="18">
        <v>16.885000000000002</v>
      </c>
      <c r="J4114" s="18">
        <v>17.010000000000002</v>
      </c>
      <c r="K4114" s="18">
        <v>16.760000000000002</v>
      </c>
      <c r="L4114" s="22">
        <v>6</v>
      </c>
    </row>
    <row r="4115" spans="1:12">
      <c r="A4115">
        <v>5</v>
      </c>
      <c r="B4115" s="16" t="s">
        <v>60</v>
      </c>
      <c r="C4115" s="9">
        <v>45992</v>
      </c>
      <c r="D4115">
        <v>10</v>
      </c>
      <c r="E4115" s="16" t="s">
        <v>95</v>
      </c>
      <c r="F4115" s="16" t="s">
        <v>83</v>
      </c>
      <c r="G4115" s="22">
        <v>25</v>
      </c>
      <c r="H4115" s="18">
        <v>423.75</v>
      </c>
      <c r="I4115" s="18">
        <v>16.95</v>
      </c>
      <c r="J4115" s="18">
        <v>17.14</v>
      </c>
      <c r="K4115" s="18">
        <v>16.649999999999999</v>
      </c>
      <c r="L4115" s="22">
        <v>5</v>
      </c>
    </row>
    <row r="4116" spans="1:12">
      <c r="A4116">
        <v>5</v>
      </c>
      <c r="B4116" s="16" t="s">
        <v>60</v>
      </c>
      <c r="C4116" s="9">
        <v>46023</v>
      </c>
      <c r="D4116">
        <v>10</v>
      </c>
      <c r="E4116" s="16" t="s">
        <v>95</v>
      </c>
      <c r="F4116" s="16" t="s">
        <v>83</v>
      </c>
      <c r="G4116" s="22">
        <v>25</v>
      </c>
      <c r="H4116" s="18">
        <v>400.3</v>
      </c>
      <c r="I4116" s="18">
        <v>16.012</v>
      </c>
      <c r="J4116" s="18">
        <v>16.2</v>
      </c>
      <c r="K4116" s="18">
        <v>15.78</v>
      </c>
      <c r="L4116" s="22">
        <v>5</v>
      </c>
    </row>
    <row r="4117" spans="1:12">
      <c r="A4117">
        <v>5</v>
      </c>
      <c r="B4117" s="16" t="s">
        <v>60</v>
      </c>
      <c r="C4117" s="9">
        <v>46054</v>
      </c>
      <c r="D4117">
        <v>10</v>
      </c>
      <c r="E4117" s="16" t="s">
        <v>95</v>
      </c>
      <c r="F4117" s="16" t="s">
        <v>83</v>
      </c>
      <c r="G4117" s="22">
        <v>30</v>
      </c>
      <c r="H4117" s="18">
        <v>482.95</v>
      </c>
      <c r="I4117" s="18">
        <v>16.098333332999999</v>
      </c>
      <c r="J4117" s="18">
        <v>16.309999999999999</v>
      </c>
      <c r="K4117" s="18">
        <v>15.79</v>
      </c>
      <c r="L4117" s="22">
        <v>6</v>
      </c>
    </row>
    <row r="4118" spans="1:12">
      <c r="A4118">
        <v>5</v>
      </c>
      <c r="B4118" s="16" t="s">
        <v>60</v>
      </c>
      <c r="C4118" s="9">
        <v>46082</v>
      </c>
      <c r="D4118">
        <v>10</v>
      </c>
      <c r="E4118" s="16" t="s">
        <v>95</v>
      </c>
      <c r="F4118" s="16" t="s">
        <v>83</v>
      </c>
      <c r="G4118" s="22">
        <v>30</v>
      </c>
      <c r="H4118" s="18">
        <v>485.6</v>
      </c>
      <c r="I4118" s="18">
        <v>16.186666667000001</v>
      </c>
      <c r="J4118" s="18">
        <v>16.489999999999998</v>
      </c>
      <c r="K4118" s="18">
        <v>16.04</v>
      </c>
      <c r="L4118" s="22">
        <v>6</v>
      </c>
    </row>
    <row r="4119" spans="1:12">
      <c r="A4119">
        <v>5</v>
      </c>
      <c r="B4119" s="16" t="s">
        <v>60</v>
      </c>
      <c r="C4119" s="9">
        <v>46113</v>
      </c>
      <c r="D4119">
        <v>10</v>
      </c>
      <c r="E4119" s="16" t="s">
        <v>95</v>
      </c>
      <c r="F4119" s="16" t="s">
        <v>83</v>
      </c>
      <c r="G4119" s="22">
        <v>30</v>
      </c>
      <c r="H4119" s="18">
        <v>485.4</v>
      </c>
      <c r="I4119" s="18">
        <v>16.18</v>
      </c>
      <c r="J4119" s="18">
        <v>16.350000000000001</v>
      </c>
      <c r="K4119" s="18">
        <v>16.010000000000002</v>
      </c>
      <c r="L4119" s="22">
        <v>6</v>
      </c>
    </row>
    <row r="4120" spans="1:12">
      <c r="A4120">
        <v>5</v>
      </c>
      <c r="B4120" s="16" t="s">
        <v>60</v>
      </c>
      <c r="C4120" s="9">
        <v>46143</v>
      </c>
      <c r="D4120">
        <v>10</v>
      </c>
      <c r="E4120" s="16" t="s">
        <v>95</v>
      </c>
      <c r="F4120" s="16" t="s">
        <v>83</v>
      </c>
      <c r="G4120" s="22">
        <v>25</v>
      </c>
      <c r="H4120" s="18">
        <v>405.8</v>
      </c>
      <c r="I4120" s="18">
        <v>16.231999999999999</v>
      </c>
      <c r="J4120" s="18">
        <v>16.399999999999999</v>
      </c>
      <c r="K4120" s="18">
        <v>15.9</v>
      </c>
      <c r="L4120" s="22">
        <v>4</v>
      </c>
    </row>
    <row r="4121" spans="1:12">
      <c r="A4121">
        <v>5</v>
      </c>
      <c r="B4121" s="16" t="s">
        <v>60</v>
      </c>
      <c r="C4121" s="9">
        <v>46174</v>
      </c>
      <c r="D4121">
        <v>10</v>
      </c>
      <c r="E4121" s="16" t="s">
        <v>95</v>
      </c>
      <c r="F4121" s="16" t="s">
        <v>83</v>
      </c>
      <c r="G4121" s="22">
        <v>30</v>
      </c>
      <c r="H4121" s="18">
        <v>487.1</v>
      </c>
      <c r="I4121" s="18">
        <v>16.236666667000001</v>
      </c>
      <c r="J4121" s="18">
        <v>16.489999999999998</v>
      </c>
      <c r="K4121" s="18">
        <v>16.04</v>
      </c>
      <c r="L4121" s="22">
        <v>6</v>
      </c>
    </row>
    <row r="4122" spans="1:12">
      <c r="A4122">
        <v>5</v>
      </c>
      <c r="B4122" s="16" t="s">
        <v>60</v>
      </c>
      <c r="C4122" s="9">
        <v>46204</v>
      </c>
      <c r="D4122">
        <v>10</v>
      </c>
      <c r="E4122" s="16" t="s">
        <v>95</v>
      </c>
      <c r="F4122" s="16" t="s">
        <v>83</v>
      </c>
      <c r="G4122" s="22">
        <v>30</v>
      </c>
      <c r="H4122" s="18">
        <v>524.79999999999995</v>
      </c>
      <c r="I4122" s="18">
        <v>17.493333332999999</v>
      </c>
      <c r="J4122" s="18">
        <v>17.59</v>
      </c>
      <c r="K4122" s="18">
        <v>17.350000000000001</v>
      </c>
      <c r="L4122" s="22">
        <v>6</v>
      </c>
    </row>
    <row r="4123" spans="1:12">
      <c r="A4123">
        <v>5</v>
      </c>
      <c r="B4123" s="16" t="s">
        <v>60</v>
      </c>
      <c r="C4123" s="9">
        <v>46235</v>
      </c>
      <c r="D4123">
        <v>10</v>
      </c>
      <c r="E4123" s="16" t="s">
        <v>95</v>
      </c>
      <c r="F4123" s="16" t="s">
        <v>83</v>
      </c>
      <c r="G4123" s="22">
        <v>25</v>
      </c>
      <c r="H4123" s="18">
        <v>429.95</v>
      </c>
      <c r="I4123" s="18">
        <v>17.198</v>
      </c>
      <c r="J4123" s="18">
        <v>17.559999999999999</v>
      </c>
      <c r="K4123" s="18">
        <v>16.87</v>
      </c>
      <c r="L4123" s="22">
        <v>5</v>
      </c>
    </row>
    <row r="4124" spans="1:12">
      <c r="A4124">
        <v>5</v>
      </c>
      <c r="B4124" s="16" t="s">
        <v>60</v>
      </c>
      <c r="C4124" s="9">
        <v>46266</v>
      </c>
      <c r="D4124">
        <v>10</v>
      </c>
      <c r="E4124" s="16" t="s">
        <v>95</v>
      </c>
      <c r="F4124" s="16" t="s">
        <v>83</v>
      </c>
      <c r="G4124" s="22">
        <v>20</v>
      </c>
      <c r="H4124" s="18">
        <v>357.75</v>
      </c>
      <c r="I4124" s="18">
        <v>17.887499999999999</v>
      </c>
      <c r="J4124" s="18">
        <v>18.61</v>
      </c>
      <c r="K4124" s="18">
        <v>17.48</v>
      </c>
      <c r="L4124" s="22">
        <v>4</v>
      </c>
    </row>
    <row r="4125" spans="1:12">
      <c r="A4125">
        <v>5</v>
      </c>
      <c r="B4125" s="16" t="s">
        <v>60</v>
      </c>
      <c r="C4125" s="9">
        <v>45689</v>
      </c>
      <c r="D4125">
        <v>13</v>
      </c>
      <c r="E4125" s="16" t="s">
        <v>97</v>
      </c>
      <c r="F4125" s="16" t="s">
        <v>98</v>
      </c>
      <c r="G4125" s="22">
        <v>100</v>
      </c>
      <c r="H4125" s="18">
        <v>207.4</v>
      </c>
      <c r="I4125" s="18">
        <v>2.0739999999999998</v>
      </c>
      <c r="J4125" s="18">
        <v>2.08</v>
      </c>
      <c r="K4125" s="18">
        <v>2.0699999999999998</v>
      </c>
      <c r="L4125" s="22">
        <v>2</v>
      </c>
    </row>
    <row r="4126" spans="1:12">
      <c r="A4126">
        <v>5</v>
      </c>
      <c r="B4126" s="16" t="s">
        <v>60</v>
      </c>
      <c r="C4126" s="9">
        <v>45717</v>
      </c>
      <c r="D4126">
        <v>13</v>
      </c>
      <c r="E4126" s="16" t="s">
        <v>97</v>
      </c>
      <c r="F4126" s="16" t="s">
        <v>98</v>
      </c>
      <c r="G4126" s="22">
        <v>80</v>
      </c>
      <c r="H4126" s="18">
        <v>168.8</v>
      </c>
      <c r="I4126" s="18">
        <v>2.11</v>
      </c>
      <c r="J4126" s="18">
        <v>2.12</v>
      </c>
      <c r="K4126" s="18">
        <v>2.1</v>
      </c>
      <c r="L4126" s="22">
        <v>2</v>
      </c>
    </row>
    <row r="4127" spans="1:12">
      <c r="A4127">
        <v>5</v>
      </c>
      <c r="B4127" s="16" t="s">
        <v>60</v>
      </c>
      <c r="C4127" s="9">
        <v>45748</v>
      </c>
      <c r="D4127">
        <v>13</v>
      </c>
      <c r="E4127" s="16" t="s">
        <v>97</v>
      </c>
      <c r="F4127" s="16" t="s">
        <v>98</v>
      </c>
      <c r="G4127" s="22">
        <v>100</v>
      </c>
      <c r="H4127" s="18">
        <v>213.6</v>
      </c>
      <c r="I4127" s="18">
        <v>2.1360000000000001</v>
      </c>
      <c r="J4127" s="18">
        <v>2.14</v>
      </c>
      <c r="K4127" s="18">
        <v>2.13</v>
      </c>
      <c r="L4127" s="22">
        <v>2</v>
      </c>
    </row>
    <row r="4128" spans="1:12">
      <c r="A4128">
        <v>5</v>
      </c>
      <c r="B4128" s="16" t="s">
        <v>60</v>
      </c>
      <c r="C4128" s="9">
        <v>45778</v>
      </c>
      <c r="D4128">
        <v>13</v>
      </c>
      <c r="E4128" s="16" t="s">
        <v>97</v>
      </c>
      <c r="F4128" s="16" t="s">
        <v>98</v>
      </c>
      <c r="G4128" s="22">
        <v>140</v>
      </c>
      <c r="H4128" s="18">
        <v>299.2</v>
      </c>
      <c r="I4128" s="18">
        <v>2.1371428570000002</v>
      </c>
      <c r="J4128" s="18">
        <v>2.16</v>
      </c>
      <c r="K4128" s="18">
        <v>2.11</v>
      </c>
      <c r="L4128" s="22">
        <v>3</v>
      </c>
    </row>
    <row r="4129" spans="1:12">
      <c r="A4129">
        <v>5</v>
      </c>
      <c r="B4129" s="16" t="s">
        <v>60</v>
      </c>
      <c r="C4129" s="9">
        <v>45809</v>
      </c>
      <c r="D4129">
        <v>13</v>
      </c>
      <c r="E4129" s="16" t="s">
        <v>97</v>
      </c>
      <c r="F4129" s="16" t="s">
        <v>98</v>
      </c>
      <c r="G4129" s="22">
        <v>100</v>
      </c>
      <c r="H4129" s="18">
        <v>214.4</v>
      </c>
      <c r="I4129" s="18">
        <v>2.1440000000000001</v>
      </c>
      <c r="J4129" s="18">
        <v>2.16</v>
      </c>
      <c r="K4129" s="18">
        <v>2.12</v>
      </c>
      <c r="L4129" s="22">
        <v>2</v>
      </c>
    </row>
    <row r="4130" spans="1:12">
      <c r="A4130">
        <v>5</v>
      </c>
      <c r="B4130" s="16" t="s">
        <v>60</v>
      </c>
      <c r="C4130" s="9">
        <v>45839</v>
      </c>
      <c r="D4130">
        <v>13</v>
      </c>
      <c r="E4130" s="16" t="s">
        <v>97</v>
      </c>
      <c r="F4130" s="16" t="s">
        <v>98</v>
      </c>
      <c r="G4130" s="22">
        <v>100</v>
      </c>
      <c r="H4130" s="18">
        <v>212.8</v>
      </c>
      <c r="I4130" s="18">
        <v>2.1280000000000001</v>
      </c>
      <c r="J4130" s="18">
        <v>2.14</v>
      </c>
      <c r="K4130" s="18">
        <v>2.11</v>
      </c>
      <c r="L4130" s="22">
        <v>2</v>
      </c>
    </row>
    <row r="4131" spans="1:12">
      <c r="A4131">
        <v>5</v>
      </c>
      <c r="B4131" s="16" t="s">
        <v>60</v>
      </c>
      <c r="C4131" s="9">
        <v>45870</v>
      </c>
      <c r="D4131">
        <v>13</v>
      </c>
      <c r="E4131" s="16" t="s">
        <v>97</v>
      </c>
      <c r="F4131" s="16" t="s">
        <v>98</v>
      </c>
      <c r="G4131" s="22">
        <v>120</v>
      </c>
      <c r="H4131" s="18">
        <v>261.60000000000002</v>
      </c>
      <c r="I4131" s="18">
        <v>2.1800000000000002</v>
      </c>
      <c r="J4131" s="18">
        <v>2.19</v>
      </c>
      <c r="K4131" s="18">
        <v>2.17</v>
      </c>
      <c r="L4131" s="22">
        <v>2</v>
      </c>
    </row>
    <row r="4132" spans="1:12">
      <c r="A4132">
        <v>5</v>
      </c>
      <c r="B4132" s="16" t="s">
        <v>60</v>
      </c>
      <c r="C4132" s="9">
        <v>45901</v>
      </c>
      <c r="D4132">
        <v>13</v>
      </c>
      <c r="E4132" s="16" t="s">
        <v>97</v>
      </c>
      <c r="F4132" s="16" t="s">
        <v>98</v>
      </c>
      <c r="G4132" s="22">
        <v>80</v>
      </c>
      <c r="H4132" s="18">
        <v>175.8</v>
      </c>
      <c r="I4132" s="18">
        <v>2.1974999999999998</v>
      </c>
      <c r="J4132" s="18">
        <v>2.2000000000000002</v>
      </c>
      <c r="K4132" s="18">
        <v>2.19</v>
      </c>
      <c r="L4132" s="22">
        <v>2</v>
      </c>
    </row>
    <row r="4133" spans="1:12">
      <c r="A4133">
        <v>5</v>
      </c>
      <c r="B4133" s="16" t="s">
        <v>60</v>
      </c>
      <c r="C4133" s="9">
        <v>45931</v>
      </c>
      <c r="D4133">
        <v>13</v>
      </c>
      <c r="E4133" s="16" t="s">
        <v>97</v>
      </c>
      <c r="F4133" s="16" t="s">
        <v>98</v>
      </c>
      <c r="G4133" s="22">
        <v>160</v>
      </c>
      <c r="H4133" s="18">
        <v>345.6</v>
      </c>
      <c r="I4133" s="18">
        <v>2.16</v>
      </c>
      <c r="J4133" s="18">
        <v>2.19</v>
      </c>
      <c r="K4133" s="18">
        <v>2.15</v>
      </c>
      <c r="L4133" s="22">
        <v>3</v>
      </c>
    </row>
    <row r="4134" spans="1:12">
      <c r="A4134">
        <v>5</v>
      </c>
      <c r="B4134" s="16" t="s">
        <v>60</v>
      </c>
      <c r="C4134" s="9">
        <v>45962</v>
      </c>
      <c r="D4134">
        <v>13</v>
      </c>
      <c r="E4134" s="16" t="s">
        <v>97</v>
      </c>
      <c r="F4134" s="16" t="s">
        <v>98</v>
      </c>
      <c r="G4134" s="22">
        <v>80</v>
      </c>
      <c r="H4134" s="18">
        <v>174.8</v>
      </c>
      <c r="I4134" s="18">
        <v>2.1850000000000001</v>
      </c>
      <c r="J4134" s="18">
        <v>2.21</v>
      </c>
      <c r="K4134" s="18">
        <v>2.16</v>
      </c>
      <c r="L4134" s="22">
        <v>2</v>
      </c>
    </row>
    <row r="4135" spans="1:12">
      <c r="A4135">
        <v>5</v>
      </c>
      <c r="B4135" s="16" t="s">
        <v>60</v>
      </c>
      <c r="C4135" s="9">
        <v>45992</v>
      </c>
      <c r="D4135">
        <v>13</v>
      </c>
      <c r="E4135" s="16" t="s">
        <v>97</v>
      </c>
      <c r="F4135" s="16" t="s">
        <v>98</v>
      </c>
      <c r="G4135" s="22">
        <v>80</v>
      </c>
      <c r="H4135" s="18">
        <v>176</v>
      </c>
      <c r="I4135" s="18">
        <v>2.2000000000000002</v>
      </c>
      <c r="J4135" s="18">
        <v>2.21</v>
      </c>
      <c r="K4135" s="18">
        <v>2.19</v>
      </c>
      <c r="L4135" s="22">
        <v>2</v>
      </c>
    </row>
    <row r="4136" spans="1:12">
      <c r="A4136">
        <v>5</v>
      </c>
      <c r="B4136" s="16" t="s">
        <v>60</v>
      </c>
      <c r="C4136" s="9">
        <v>46023</v>
      </c>
      <c r="D4136">
        <v>13</v>
      </c>
      <c r="E4136" s="16" t="s">
        <v>97</v>
      </c>
      <c r="F4136" s="16" t="s">
        <v>98</v>
      </c>
      <c r="G4136" s="22">
        <v>80</v>
      </c>
      <c r="H4136" s="18">
        <v>174.8</v>
      </c>
      <c r="I4136" s="18">
        <v>2.1850000000000001</v>
      </c>
      <c r="J4136" s="18">
        <v>2.2000000000000002</v>
      </c>
      <c r="K4136" s="18">
        <v>2.17</v>
      </c>
      <c r="L4136" s="22">
        <v>2</v>
      </c>
    </row>
    <row r="4137" spans="1:12">
      <c r="A4137">
        <v>5</v>
      </c>
      <c r="B4137" s="16" t="s">
        <v>60</v>
      </c>
      <c r="C4137" s="9">
        <v>46054</v>
      </c>
      <c r="D4137">
        <v>13</v>
      </c>
      <c r="E4137" s="16" t="s">
        <v>97</v>
      </c>
      <c r="F4137" s="16" t="s">
        <v>98</v>
      </c>
      <c r="G4137" s="22">
        <v>80</v>
      </c>
      <c r="H4137" s="18">
        <v>178.8</v>
      </c>
      <c r="I4137" s="18">
        <v>2.2349999999999999</v>
      </c>
      <c r="J4137" s="18">
        <v>2.2400000000000002</v>
      </c>
      <c r="K4137" s="18">
        <v>2.23</v>
      </c>
      <c r="L4137" s="22">
        <v>2</v>
      </c>
    </row>
    <row r="4138" spans="1:12">
      <c r="A4138">
        <v>5</v>
      </c>
      <c r="B4138" s="16" t="s">
        <v>60</v>
      </c>
      <c r="C4138" s="9">
        <v>46082</v>
      </c>
      <c r="D4138">
        <v>13</v>
      </c>
      <c r="E4138" s="16" t="s">
        <v>97</v>
      </c>
      <c r="F4138" s="16" t="s">
        <v>98</v>
      </c>
      <c r="G4138" s="22">
        <v>120</v>
      </c>
      <c r="H4138" s="18">
        <v>264.60000000000002</v>
      </c>
      <c r="I4138" s="18">
        <v>2.2050000000000001</v>
      </c>
      <c r="J4138" s="18">
        <v>2.21</v>
      </c>
      <c r="K4138" s="18">
        <v>2.2000000000000002</v>
      </c>
      <c r="L4138" s="22">
        <v>2</v>
      </c>
    </row>
    <row r="4139" spans="1:12">
      <c r="A4139">
        <v>5</v>
      </c>
      <c r="B4139" s="16" t="s">
        <v>60</v>
      </c>
      <c r="C4139" s="9">
        <v>46113</v>
      </c>
      <c r="D4139">
        <v>13</v>
      </c>
      <c r="E4139" s="16" t="s">
        <v>97</v>
      </c>
      <c r="F4139" s="16" t="s">
        <v>98</v>
      </c>
      <c r="G4139" s="22">
        <v>140</v>
      </c>
      <c r="H4139" s="18">
        <v>312.2</v>
      </c>
      <c r="I4139" s="18">
        <v>2.23</v>
      </c>
      <c r="J4139" s="18">
        <v>2.33</v>
      </c>
      <c r="K4139" s="18">
        <v>2.19</v>
      </c>
      <c r="L4139" s="22">
        <v>3</v>
      </c>
    </row>
    <row r="4140" spans="1:12">
      <c r="A4140">
        <v>5</v>
      </c>
      <c r="B4140" s="16" t="s">
        <v>60</v>
      </c>
      <c r="C4140" s="9">
        <v>46143</v>
      </c>
      <c r="D4140">
        <v>13</v>
      </c>
      <c r="E4140" s="16" t="s">
        <v>97</v>
      </c>
      <c r="F4140" s="16" t="s">
        <v>98</v>
      </c>
      <c r="G4140" s="22">
        <v>100</v>
      </c>
      <c r="H4140" s="18">
        <v>225.2</v>
      </c>
      <c r="I4140" s="18">
        <v>2.2519999999999998</v>
      </c>
      <c r="J4140" s="18">
        <v>2.2599999999999998</v>
      </c>
      <c r="K4140" s="18">
        <v>2.2400000000000002</v>
      </c>
      <c r="L4140" s="22">
        <v>2</v>
      </c>
    </row>
    <row r="4141" spans="1:12">
      <c r="A4141">
        <v>5</v>
      </c>
      <c r="B4141" s="16" t="s">
        <v>60</v>
      </c>
      <c r="C4141" s="9">
        <v>46174</v>
      </c>
      <c r="D4141">
        <v>13</v>
      </c>
      <c r="E4141" s="16" t="s">
        <v>97</v>
      </c>
      <c r="F4141" s="16" t="s">
        <v>98</v>
      </c>
      <c r="G4141" s="22">
        <v>120</v>
      </c>
      <c r="H4141" s="18">
        <v>265.8</v>
      </c>
      <c r="I4141" s="18">
        <v>2.2149999999999999</v>
      </c>
      <c r="J4141" s="18">
        <v>2.2200000000000002</v>
      </c>
      <c r="K4141" s="18">
        <v>2.21</v>
      </c>
      <c r="L4141" s="22">
        <v>2</v>
      </c>
    </row>
    <row r="4142" spans="1:12">
      <c r="A4142">
        <v>5</v>
      </c>
      <c r="B4142" s="16" t="s">
        <v>60</v>
      </c>
      <c r="C4142" s="9">
        <v>46204</v>
      </c>
      <c r="D4142">
        <v>13</v>
      </c>
      <c r="E4142" s="16" t="s">
        <v>97</v>
      </c>
      <c r="F4142" s="16" t="s">
        <v>98</v>
      </c>
      <c r="G4142" s="22">
        <v>100</v>
      </c>
      <c r="H4142" s="18">
        <v>224.6</v>
      </c>
      <c r="I4142" s="18">
        <v>2.246</v>
      </c>
      <c r="J4142" s="18">
        <v>2.25</v>
      </c>
      <c r="K4142" s="18">
        <v>2.2400000000000002</v>
      </c>
      <c r="L4142" s="22">
        <v>2</v>
      </c>
    </row>
    <row r="4143" spans="1:12">
      <c r="A4143">
        <v>5</v>
      </c>
      <c r="B4143" s="16" t="s">
        <v>60</v>
      </c>
      <c r="C4143" s="9">
        <v>46235</v>
      </c>
      <c r="D4143">
        <v>13</v>
      </c>
      <c r="E4143" s="16" t="s">
        <v>97</v>
      </c>
      <c r="F4143" s="16" t="s">
        <v>98</v>
      </c>
      <c r="G4143" s="22">
        <v>100</v>
      </c>
      <c r="H4143" s="18">
        <v>217.8</v>
      </c>
      <c r="I4143" s="18">
        <v>2.1779999999999999</v>
      </c>
      <c r="J4143" s="18">
        <v>2.19</v>
      </c>
      <c r="K4143" s="18">
        <v>2.16</v>
      </c>
      <c r="L4143" s="22">
        <v>2</v>
      </c>
    </row>
    <row r="4144" spans="1:12">
      <c r="A4144">
        <v>5</v>
      </c>
      <c r="B4144" s="16" t="s">
        <v>60</v>
      </c>
      <c r="C4144" s="9">
        <v>46266</v>
      </c>
      <c r="D4144">
        <v>13</v>
      </c>
      <c r="E4144" s="16" t="s">
        <v>97</v>
      </c>
      <c r="F4144" s="16" t="s">
        <v>98</v>
      </c>
      <c r="G4144" s="22">
        <v>80</v>
      </c>
      <c r="H4144" s="18">
        <v>173.2</v>
      </c>
      <c r="I4144" s="18">
        <v>2.165</v>
      </c>
      <c r="J4144" s="18">
        <v>2.17</v>
      </c>
      <c r="K4144" s="18">
        <v>2.16</v>
      </c>
      <c r="L4144" s="22">
        <v>2</v>
      </c>
    </row>
    <row r="4145" spans="1:12">
      <c r="A4145">
        <v>5</v>
      </c>
      <c r="B4145" s="16" t="s">
        <v>60</v>
      </c>
      <c r="C4145" s="9">
        <v>45689</v>
      </c>
      <c r="D4145">
        <v>14</v>
      </c>
      <c r="E4145" s="16" t="s">
        <v>99</v>
      </c>
      <c r="F4145" s="16" t="s">
        <v>90</v>
      </c>
      <c r="G4145" s="22">
        <v>0.75</v>
      </c>
      <c r="H4145" s="18">
        <v>15.225</v>
      </c>
      <c r="I4145" s="18">
        <v>20.3</v>
      </c>
      <c r="J4145" s="18">
        <v>20.3</v>
      </c>
      <c r="K4145" s="18">
        <v>20.3</v>
      </c>
      <c r="L4145" s="22">
        <v>1</v>
      </c>
    </row>
    <row r="4146" spans="1:12">
      <c r="A4146">
        <v>5</v>
      </c>
      <c r="B4146" s="16" t="s">
        <v>60</v>
      </c>
      <c r="C4146" s="9">
        <v>45717</v>
      </c>
      <c r="D4146">
        <v>14</v>
      </c>
      <c r="E4146" s="16" t="s">
        <v>99</v>
      </c>
      <c r="F4146" s="16" t="s">
        <v>90</v>
      </c>
      <c r="G4146" s="22">
        <v>0.75</v>
      </c>
      <c r="H4146" s="18">
        <v>15.1275</v>
      </c>
      <c r="I4146" s="18">
        <v>20.170000000000002</v>
      </c>
      <c r="J4146" s="18">
        <v>20.170000000000002</v>
      </c>
      <c r="K4146" s="18">
        <v>20.170000000000002</v>
      </c>
      <c r="L4146" s="22">
        <v>1</v>
      </c>
    </row>
    <row r="4147" spans="1:12">
      <c r="A4147">
        <v>5</v>
      </c>
      <c r="B4147" s="16" t="s">
        <v>60</v>
      </c>
      <c r="C4147" s="9">
        <v>45748</v>
      </c>
      <c r="D4147">
        <v>14</v>
      </c>
      <c r="E4147" s="16" t="s">
        <v>99</v>
      </c>
      <c r="F4147" s="16" t="s">
        <v>90</v>
      </c>
      <c r="G4147" s="22">
        <v>1.5</v>
      </c>
      <c r="H4147" s="18">
        <v>31.192499999999999</v>
      </c>
      <c r="I4147" s="18">
        <v>20.795000000000002</v>
      </c>
      <c r="J4147" s="18">
        <v>21.06</v>
      </c>
      <c r="K4147" s="18">
        <v>20.53</v>
      </c>
      <c r="L4147" s="22">
        <v>2</v>
      </c>
    </row>
    <row r="4148" spans="1:12">
      <c r="A4148">
        <v>5</v>
      </c>
      <c r="B4148" s="16" t="s">
        <v>60</v>
      </c>
      <c r="C4148" s="9">
        <v>45778</v>
      </c>
      <c r="D4148">
        <v>14</v>
      </c>
      <c r="E4148" s="16" t="s">
        <v>99</v>
      </c>
      <c r="F4148" s="16" t="s">
        <v>90</v>
      </c>
      <c r="G4148" s="22">
        <v>0.75</v>
      </c>
      <c r="H4148" s="18">
        <v>15.202500000000001</v>
      </c>
      <c r="I4148" s="18">
        <v>20.27</v>
      </c>
      <c r="J4148" s="18">
        <v>20.27</v>
      </c>
      <c r="K4148" s="18">
        <v>20.27</v>
      </c>
      <c r="L4148" s="22">
        <v>1</v>
      </c>
    </row>
    <row r="4149" spans="1:12">
      <c r="A4149">
        <v>5</v>
      </c>
      <c r="B4149" s="16" t="s">
        <v>60</v>
      </c>
      <c r="C4149" s="9">
        <v>45809</v>
      </c>
      <c r="D4149">
        <v>14</v>
      </c>
      <c r="E4149" s="16" t="s">
        <v>99</v>
      </c>
      <c r="F4149" s="16" t="s">
        <v>90</v>
      </c>
      <c r="G4149" s="22">
        <v>1.5</v>
      </c>
      <c r="H4149" s="18">
        <v>30.855</v>
      </c>
      <c r="I4149" s="18">
        <v>20.57</v>
      </c>
      <c r="J4149" s="18">
        <v>20.58</v>
      </c>
      <c r="K4149" s="18">
        <v>20.56</v>
      </c>
      <c r="L4149" s="22">
        <v>2</v>
      </c>
    </row>
    <row r="4150" spans="1:12">
      <c r="A4150">
        <v>5</v>
      </c>
      <c r="B4150" s="16" t="s">
        <v>60</v>
      </c>
      <c r="C4150" s="9">
        <v>45839</v>
      </c>
      <c r="D4150">
        <v>14</v>
      </c>
      <c r="E4150" s="16" t="s">
        <v>99</v>
      </c>
      <c r="F4150" s="16" t="s">
        <v>90</v>
      </c>
      <c r="G4150" s="22">
        <v>0.75</v>
      </c>
      <c r="H4150" s="18">
        <v>15.352499999999999</v>
      </c>
      <c r="I4150" s="18">
        <v>20.47</v>
      </c>
      <c r="J4150" s="18">
        <v>20.47</v>
      </c>
      <c r="K4150" s="18">
        <v>20.47</v>
      </c>
      <c r="L4150" s="22">
        <v>1</v>
      </c>
    </row>
    <row r="4151" spans="1:12">
      <c r="A4151">
        <v>5</v>
      </c>
      <c r="B4151" s="16" t="s">
        <v>60</v>
      </c>
      <c r="C4151" s="9">
        <v>45870</v>
      </c>
      <c r="D4151">
        <v>14</v>
      </c>
      <c r="E4151" s="16" t="s">
        <v>99</v>
      </c>
      <c r="F4151" s="16" t="s">
        <v>90</v>
      </c>
      <c r="G4151" s="22">
        <v>1.5</v>
      </c>
      <c r="H4151" s="18">
        <v>30.914999999999999</v>
      </c>
      <c r="I4151" s="18">
        <v>20.61</v>
      </c>
      <c r="J4151" s="18">
        <v>20.91</v>
      </c>
      <c r="K4151" s="18">
        <v>20.309999999999999</v>
      </c>
      <c r="L4151" s="22">
        <v>2</v>
      </c>
    </row>
    <row r="4152" spans="1:12">
      <c r="A4152">
        <v>5</v>
      </c>
      <c r="B4152" s="16" t="s">
        <v>60</v>
      </c>
      <c r="C4152" s="9">
        <v>45901</v>
      </c>
      <c r="D4152">
        <v>14</v>
      </c>
      <c r="E4152" s="16" t="s">
        <v>99</v>
      </c>
      <c r="F4152" s="16" t="s">
        <v>90</v>
      </c>
      <c r="G4152" s="22">
        <v>0.75</v>
      </c>
      <c r="H4152" s="18">
        <v>15.6225</v>
      </c>
      <c r="I4152" s="18">
        <v>20.83</v>
      </c>
      <c r="J4152" s="18">
        <v>20.83</v>
      </c>
      <c r="K4152" s="18">
        <v>20.83</v>
      </c>
      <c r="L4152" s="22">
        <v>1</v>
      </c>
    </row>
    <row r="4153" spans="1:12">
      <c r="A4153">
        <v>5</v>
      </c>
      <c r="B4153" s="16" t="s">
        <v>60</v>
      </c>
      <c r="C4153" s="9">
        <v>45931</v>
      </c>
      <c r="D4153">
        <v>14</v>
      </c>
      <c r="E4153" s="16" t="s">
        <v>99</v>
      </c>
      <c r="F4153" s="16" t="s">
        <v>90</v>
      </c>
      <c r="G4153" s="22">
        <v>1.5</v>
      </c>
      <c r="H4153" s="18">
        <v>31.252500000000001</v>
      </c>
      <c r="I4153" s="18">
        <v>20.835000000000001</v>
      </c>
      <c r="J4153" s="18">
        <v>20.94</v>
      </c>
      <c r="K4153" s="18">
        <v>20.73</v>
      </c>
      <c r="L4153" s="22">
        <v>2</v>
      </c>
    </row>
    <row r="4154" spans="1:12">
      <c r="A4154">
        <v>5</v>
      </c>
      <c r="B4154" s="16" t="s">
        <v>60</v>
      </c>
      <c r="C4154" s="9">
        <v>45962</v>
      </c>
      <c r="D4154">
        <v>14</v>
      </c>
      <c r="E4154" s="16" t="s">
        <v>99</v>
      </c>
      <c r="F4154" s="16" t="s">
        <v>90</v>
      </c>
      <c r="G4154" s="22">
        <v>0.75</v>
      </c>
      <c r="H4154" s="18">
        <v>15.615</v>
      </c>
      <c r="I4154" s="18">
        <v>20.82</v>
      </c>
      <c r="J4154" s="18">
        <v>20.82</v>
      </c>
      <c r="K4154" s="18">
        <v>20.82</v>
      </c>
      <c r="L4154" s="22">
        <v>1</v>
      </c>
    </row>
    <row r="4155" spans="1:12">
      <c r="A4155">
        <v>5</v>
      </c>
      <c r="B4155" s="16" t="s">
        <v>60</v>
      </c>
      <c r="C4155" s="9">
        <v>45992</v>
      </c>
      <c r="D4155">
        <v>14</v>
      </c>
      <c r="E4155" s="16" t="s">
        <v>99</v>
      </c>
      <c r="F4155" s="16" t="s">
        <v>90</v>
      </c>
      <c r="G4155" s="22">
        <v>0.75</v>
      </c>
      <c r="H4155" s="18">
        <v>15.75</v>
      </c>
      <c r="I4155" s="18">
        <v>21</v>
      </c>
      <c r="J4155" s="18">
        <v>21</v>
      </c>
      <c r="K4155" s="18">
        <v>21</v>
      </c>
      <c r="L4155" s="22">
        <v>1</v>
      </c>
    </row>
    <row r="4156" spans="1:12">
      <c r="A4156">
        <v>5</v>
      </c>
      <c r="B4156" s="16" t="s">
        <v>60</v>
      </c>
      <c r="C4156" s="9">
        <v>46023</v>
      </c>
      <c r="D4156">
        <v>14</v>
      </c>
      <c r="E4156" s="16" t="s">
        <v>99</v>
      </c>
      <c r="F4156" s="16" t="s">
        <v>90</v>
      </c>
      <c r="G4156" s="22">
        <v>0.75</v>
      </c>
      <c r="H4156" s="18">
        <v>15.765000000000001</v>
      </c>
      <c r="I4156" s="18">
        <v>21.02</v>
      </c>
      <c r="J4156" s="18">
        <v>21.02</v>
      </c>
      <c r="K4156" s="18">
        <v>21.02</v>
      </c>
      <c r="L4156" s="22">
        <v>1</v>
      </c>
    </row>
    <row r="4157" spans="1:12">
      <c r="A4157">
        <v>5</v>
      </c>
      <c r="B4157" s="16" t="s">
        <v>60</v>
      </c>
      <c r="C4157" s="9">
        <v>46054</v>
      </c>
      <c r="D4157">
        <v>14</v>
      </c>
      <c r="E4157" s="16" t="s">
        <v>99</v>
      </c>
      <c r="F4157" s="16" t="s">
        <v>90</v>
      </c>
      <c r="G4157" s="22">
        <v>0.75</v>
      </c>
      <c r="H4157" s="18">
        <v>15.6075</v>
      </c>
      <c r="I4157" s="18">
        <v>20.81</v>
      </c>
      <c r="J4157" s="18">
        <v>20.81</v>
      </c>
      <c r="K4157" s="18">
        <v>20.81</v>
      </c>
      <c r="L4157" s="22">
        <v>1</v>
      </c>
    </row>
    <row r="4158" spans="1:12">
      <c r="A4158">
        <v>5</v>
      </c>
      <c r="B4158" s="16" t="s">
        <v>60</v>
      </c>
      <c r="C4158" s="9">
        <v>46082</v>
      </c>
      <c r="D4158">
        <v>14</v>
      </c>
      <c r="E4158" s="16" t="s">
        <v>99</v>
      </c>
      <c r="F4158" s="16" t="s">
        <v>90</v>
      </c>
      <c r="G4158" s="22">
        <v>1.5</v>
      </c>
      <c r="H4158" s="18">
        <v>31.155000000000001</v>
      </c>
      <c r="I4158" s="18">
        <v>20.77</v>
      </c>
      <c r="J4158" s="18">
        <v>20.84</v>
      </c>
      <c r="K4158" s="18">
        <v>20.7</v>
      </c>
      <c r="L4158" s="22">
        <v>2</v>
      </c>
    </row>
    <row r="4159" spans="1:12">
      <c r="A4159">
        <v>5</v>
      </c>
      <c r="B4159" s="16" t="s">
        <v>60</v>
      </c>
      <c r="C4159" s="9">
        <v>46113</v>
      </c>
      <c r="D4159">
        <v>14</v>
      </c>
      <c r="E4159" s="16" t="s">
        <v>99</v>
      </c>
      <c r="F4159" s="16" t="s">
        <v>90</v>
      </c>
      <c r="G4159" s="22">
        <v>1.5</v>
      </c>
      <c r="H4159" s="18">
        <v>31.38</v>
      </c>
      <c r="I4159" s="18">
        <v>20.92</v>
      </c>
      <c r="J4159" s="18">
        <v>20.95</v>
      </c>
      <c r="K4159" s="18">
        <v>20.89</v>
      </c>
      <c r="L4159" s="22">
        <v>2</v>
      </c>
    </row>
    <row r="4160" spans="1:12">
      <c r="A4160">
        <v>5</v>
      </c>
      <c r="B4160" s="16" t="s">
        <v>60</v>
      </c>
      <c r="C4160" s="9">
        <v>46143</v>
      </c>
      <c r="D4160">
        <v>14</v>
      </c>
      <c r="E4160" s="16" t="s">
        <v>99</v>
      </c>
      <c r="F4160" s="16" t="s">
        <v>90</v>
      </c>
      <c r="G4160" s="22">
        <v>0.75</v>
      </c>
      <c r="H4160" s="18">
        <v>15.69</v>
      </c>
      <c r="I4160" s="18">
        <v>20.92</v>
      </c>
      <c r="J4160" s="18">
        <v>20.92</v>
      </c>
      <c r="K4160" s="18">
        <v>20.92</v>
      </c>
      <c r="L4160" s="22">
        <v>1</v>
      </c>
    </row>
    <row r="4161" spans="1:12">
      <c r="A4161">
        <v>5</v>
      </c>
      <c r="B4161" s="16" t="s">
        <v>60</v>
      </c>
      <c r="C4161" s="9">
        <v>46174</v>
      </c>
      <c r="D4161">
        <v>14</v>
      </c>
      <c r="E4161" s="16" t="s">
        <v>99</v>
      </c>
      <c r="F4161" s="16" t="s">
        <v>90</v>
      </c>
      <c r="G4161" s="22">
        <v>1.5</v>
      </c>
      <c r="H4161" s="18">
        <v>31.38</v>
      </c>
      <c r="I4161" s="18">
        <v>20.92</v>
      </c>
      <c r="J4161" s="18">
        <v>20.93</v>
      </c>
      <c r="K4161" s="18">
        <v>20.91</v>
      </c>
      <c r="L4161" s="22">
        <v>2</v>
      </c>
    </row>
    <row r="4162" spans="1:12">
      <c r="A4162">
        <v>5</v>
      </c>
      <c r="B4162" s="16" t="s">
        <v>60</v>
      </c>
      <c r="C4162" s="9">
        <v>46204</v>
      </c>
      <c r="D4162">
        <v>14</v>
      </c>
      <c r="E4162" s="16" t="s">
        <v>99</v>
      </c>
      <c r="F4162" s="16" t="s">
        <v>90</v>
      </c>
      <c r="G4162" s="22">
        <v>0.75</v>
      </c>
      <c r="H4162" s="18">
        <v>15.1425</v>
      </c>
      <c r="I4162" s="18">
        <v>20.190000000000001</v>
      </c>
      <c r="J4162" s="18">
        <v>20.190000000000001</v>
      </c>
      <c r="K4162" s="18">
        <v>20.190000000000001</v>
      </c>
      <c r="L4162" s="22">
        <v>1</v>
      </c>
    </row>
    <row r="4163" spans="1:12">
      <c r="A4163">
        <v>5</v>
      </c>
      <c r="B4163" s="16" t="s">
        <v>60</v>
      </c>
      <c r="C4163" s="9">
        <v>46235</v>
      </c>
      <c r="D4163">
        <v>14</v>
      </c>
      <c r="E4163" s="16" t="s">
        <v>99</v>
      </c>
      <c r="F4163" s="16" t="s">
        <v>90</v>
      </c>
      <c r="G4163" s="22">
        <v>0.75</v>
      </c>
      <c r="H4163" s="18">
        <v>15.5175</v>
      </c>
      <c r="I4163" s="18">
        <v>20.69</v>
      </c>
      <c r="J4163" s="18">
        <v>20.69</v>
      </c>
      <c r="K4163" s="18">
        <v>20.69</v>
      </c>
      <c r="L4163" s="22">
        <v>1</v>
      </c>
    </row>
    <row r="4164" spans="1:12">
      <c r="A4164">
        <v>5</v>
      </c>
      <c r="B4164" s="16" t="s">
        <v>60</v>
      </c>
      <c r="C4164" s="9">
        <v>46266</v>
      </c>
      <c r="D4164">
        <v>14</v>
      </c>
      <c r="E4164" s="16" t="s">
        <v>99</v>
      </c>
      <c r="F4164" s="16" t="s">
        <v>90</v>
      </c>
      <c r="G4164" s="22">
        <v>1.5</v>
      </c>
      <c r="H4164" s="18">
        <v>31.432500000000001</v>
      </c>
      <c r="I4164" s="18">
        <v>20.954999999999998</v>
      </c>
      <c r="J4164" s="18">
        <v>21.29</v>
      </c>
      <c r="K4164" s="18">
        <v>20.62</v>
      </c>
      <c r="L4164" s="22">
        <v>2</v>
      </c>
    </row>
    <row r="4165" spans="1:12">
      <c r="A4165">
        <v>5</v>
      </c>
      <c r="B4165" s="16" t="s">
        <v>60</v>
      </c>
      <c r="C4165" s="9">
        <v>45689</v>
      </c>
      <c r="D4165">
        <v>15</v>
      </c>
      <c r="E4165" s="16" t="s">
        <v>100</v>
      </c>
      <c r="F4165" s="16" t="s">
        <v>92</v>
      </c>
      <c r="G4165" s="22">
        <v>300</v>
      </c>
      <c r="H4165" s="18">
        <v>65.489999999999995</v>
      </c>
      <c r="I4165" s="18">
        <v>0.21829999999999999</v>
      </c>
      <c r="J4165" s="18">
        <v>0.22</v>
      </c>
      <c r="K4165" s="18">
        <v>0.21</v>
      </c>
      <c r="L4165" s="22">
        <v>12</v>
      </c>
    </row>
    <row r="4166" spans="1:12">
      <c r="A4166">
        <v>5</v>
      </c>
      <c r="B4166" s="16" t="s">
        <v>60</v>
      </c>
      <c r="C4166" s="9">
        <v>45717</v>
      </c>
      <c r="D4166">
        <v>15</v>
      </c>
      <c r="E4166" s="16" t="s">
        <v>100</v>
      </c>
      <c r="F4166" s="16" t="s">
        <v>92</v>
      </c>
      <c r="G4166" s="22">
        <v>273</v>
      </c>
      <c r="H4166" s="18">
        <v>58.2</v>
      </c>
      <c r="I4166" s="18">
        <v>0.213186813</v>
      </c>
      <c r="J4166" s="18">
        <v>0.22</v>
      </c>
      <c r="K4166" s="18">
        <v>0.21</v>
      </c>
      <c r="L4166" s="22">
        <v>13</v>
      </c>
    </row>
    <row r="4167" spans="1:12">
      <c r="A4167">
        <v>5</v>
      </c>
      <c r="B4167" s="16" t="s">
        <v>60</v>
      </c>
      <c r="C4167" s="9">
        <v>45748</v>
      </c>
      <c r="D4167">
        <v>15</v>
      </c>
      <c r="E4167" s="16" t="s">
        <v>100</v>
      </c>
      <c r="F4167" s="16" t="s">
        <v>92</v>
      </c>
      <c r="G4167" s="22">
        <v>309</v>
      </c>
      <c r="H4167" s="18">
        <v>63.09</v>
      </c>
      <c r="I4167" s="18">
        <v>0.20417475700000001</v>
      </c>
      <c r="J4167" s="18">
        <v>0.21</v>
      </c>
      <c r="K4167" s="18">
        <v>0.2</v>
      </c>
      <c r="L4167" s="22">
        <v>13</v>
      </c>
    </row>
    <row r="4168" spans="1:12">
      <c r="A4168">
        <v>5</v>
      </c>
      <c r="B4168" s="16" t="s">
        <v>60</v>
      </c>
      <c r="C4168" s="9">
        <v>45778</v>
      </c>
      <c r="D4168">
        <v>15</v>
      </c>
      <c r="E4168" s="16" t="s">
        <v>100</v>
      </c>
      <c r="F4168" s="16" t="s">
        <v>92</v>
      </c>
      <c r="G4168" s="22">
        <v>348</v>
      </c>
      <c r="H4168" s="18">
        <v>68.58</v>
      </c>
      <c r="I4168" s="18">
        <v>0.19706896600000001</v>
      </c>
      <c r="J4168" s="18">
        <v>0.2</v>
      </c>
      <c r="K4168" s="18">
        <v>0.19</v>
      </c>
      <c r="L4168" s="22">
        <v>13</v>
      </c>
    </row>
    <row r="4169" spans="1:12">
      <c r="A4169">
        <v>5</v>
      </c>
      <c r="B4169" s="16" t="s">
        <v>60</v>
      </c>
      <c r="C4169" s="9">
        <v>45809</v>
      </c>
      <c r="D4169">
        <v>15</v>
      </c>
      <c r="E4169" s="16" t="s">
        <v>100</v>
      </c>
      <c r="F4169" s="16" t="s">
        <v>92</v>
      </c>
      <c r="G4169" s="22">
        <v>294</v>
      </c>
      <c r="H4169" s="18">
        <v>56.37</v>
      </c>
      <c r="I4169" s="18">
        <v>0.19173469400000001</v>
      </c>
      <c r="J4169" s="18">
        <v>0.2</v>
      </c>
      <c r="K4169" s="18">
        <v>0.19</v>
      </c>
      <c r="L4169" s="22">
        <v>13</v>
      </c>
    </row>
    <row r="4170" spans="1:12">
      <c r="A4170">
        <v>5</v>
      </c>
      <c r="B4170" s="16" t="s">
        <v>60</v>
      </c>
      <c r="C4170" s="9">
        <v>45839</v>
      </c>
      <c r="D4170">
        <v>15</v>
      </c>
      <c r="E4170" s="16" t="s">
        <v>100</v>
      </c>
      <c r="F4170" s="16" t="s">
        <v>92</v>
      </c>
      <c r="G4170" s="22">
        <v>336</v>
      </c>
      <c r="H4170" s="18">
        <v>65.28</v>
      </c>
      <c r="I4170" s="18">
        <v>0.194285714</v>
      </c>
      <c r="J4170" s="18">
        <v>0.21</v>
      </c>
      <c r="K4170" s="18">
        <v>0.19</v>
      </c>
      <c r="L4170" s="22">
        <v>13</v>
      </c>
    </row>
    <row r="4171" spans="1:12">
      <c r="A4171">
        <v>5</v>
      </c>
      <c r="B4171" s="16" t="s">
        <v>60</v>
      </c>
      <c r="C4171" s="9">
        <v>45870</v>
      </c>
      <c r="D4171">
        <v>15</v>
      </c>
      <c r="E4171" s="16" t="s">
        <v>100</v>
      </c>
      <c r="F4171" s="16" t="s">
        <v>92</v>
      </c>
      <c r="G4171" s="22">
        <v>375</v>
      </c>
      <c r="H4171" s="18">
        <v>71.819999999999993</v>
      </c>
      <c r="I4171" s="18">
        <v>0.19152</v>
      </c>
      <c r="J4171" s="18">
        <v>0.2</v>
      </c>
      <c r="K4171" s="18">
        <v>0.19</v>
      </c>
      <c r="L4171" s="22">
        <v>13</v>
      </c>
    </row>
    <row r="4172" spans="1:12">
      <c r="A4172">
        <v>5</v>
      </c>
      <c r="B4172" s="16" t="s">
        <v>60</v>
      </c>
      <c r="C4172" s="9">
        <v>45901</v>
      </c>
      <c r="D4172">
        <v>15</v>
      </c>
      <c r="E4172" s="16" t="s">
        <v>100</v>
      </c>
      <c r="F4172" s="16" t="s">
        <v>92</v>
      </c>
      <c r="G4172" s="22">
        <v>240</v>
      </c>
      <c r="H4172" s="18">
        <v>48</v>
      </c>
      <c r="I4172" s="18">
        <v>0.2</v>
      </c>
      <c r="J4172" s="18">
        <v>0.2</v>
      </c>
      <c r="K4172" s="18">
        <v>0.2</v>
      </c>
      <c r="L4172" s="22">
        <v>13</v>
      </c>
    </row>
    <row r="4173" spans="1:12">
      <c r="A4173">
        <v>5</v>
      </c>
      <c r="B4173" s="16" t="s">
        <v>60</v>
      </c>
      <c r="C4173" s="9">
        <v>45931</v>
      </c>
      <c r="D4173">
        <v>15</v>
      </c>
      <c r="E4173" s="16" t="s">
        <v>100</v>
      </c>
      <c r="F4173" s="16" t="s">
        <v>92</v>
      </c>
      <c r="G4173" s="22">
        <v>357</v>
      </c>
      <c r="H4173" s="18">
        <v>74.61</v>
      </c>
      <c r="I4173" s="18">
        <v>0.208991597</v>
      </c>
      <c r="J4173" s="18">
        <v>0.21</v>
      </c>
      <c r="K4173" s="18">
        <v>0.2</v>
      </c>
      <c r="L4173" s="22">
        <v>14</v>
      </c>
    </row>
    <row r="4174" spans="1:12">
      <c r="A4174">
        <v>5</v>
      </c>
      <c r="B4174" s="16" t="s">
        <v>60</v>
      </c>
      <c r="C4174" s="9">
        <v>45962</v>
      </c>
      <c r="D4174">
        <v>15</v>
      </c>
      <c r="E4174" s="16" t="s">
        <v>100</v>
      </c>
      <c r="F4174" s="16" t="s">
        <v>92</v>
      </c>
      <c r="G4174" s="22">
        <v>282</v>
      </c>
      <c r="H4174" s="18">
        <v>62.04</v>
      </c>
      <c r="I4174" s="18">
        <v>0.22</v>
      </c>
      <c r="J4174" s="18">
        <v>0.22</v>
      </c>
      <c r="K4174" s="18">
        <v>0.22</v>
      </c>
      <c r="L4174" s="22">
        <v>12</v>
      </c>
    </row>
    <row r="4175" spans="1:12">
      <c r="A4175">
        <v>5</v>
      </c>
      <c r="B4175" s="16" t="s">
        <v>60</v>
      </c>
      <c r="C4175" s="9">
        <v>45992</v>
      </c>
      <c r="D4175">
        <v>15</v>
      </c>
      <c r="E4175" s="16" t="s">
        <v>100</v>
      </c>
      <c r="F4175" s="16" t="s">
        <v>92</v>
      </c>
      <c r="G4175" s="22">
        <v>297</v>
      </c>
      <c r="H4175" s="18">
        <v>65.94</v>
      </c>
      <c r="I4175" s="18">
        <v>0.222020202</v>
      </c>
      <c r="J4175" s="18">
        <v>0.23</v>
      </c>
      <c r="K4175" s="18">
        <v>0.22</v>
      </c>
      <c r="L4175" s="22">
        <v>14</v>
      </c>
    </row>
    <row r="4176" spans="1:12">
      <c r="A4176">
        <v>5</v>
      </c>
      <c r="B4176" s="16" t="s">
        <v>60</v>
      </c>
      <c r="C4176" s="9">
        <v>46023</v>
      </c>
      <c r="D4176">
        <v>15</v>
      </c>
      <c r="E4176" s="16" t="s">
        <v>100</v>
      </c>
      <c r="F4176" s="16" t="s">
        <v>92</v>
      </c>
      <c r="G4176" s="22">
        <v>282</v>
      </c>
      <c r="H4176" s="18">
        <v>64.47</v>
      </c>
      <c r="I4176" s="18">
        <v>0.228617021</v>
      </c>
      <c r="J4176" s="18">
        <v>0.23</v>
      </c>
      <c r="K4176" s="18">
        <v>0.22</v>
      </c>
      <c r="L4176" s="22">
        <v>13</v>
      </c>
    </row>
    <row r="4177" spans="1:12">
      <c r="A4177">
        <v>5</v>
      </c>
      <c r="B4177" s="16" t="s">
        <v>60</v>
      </c>
      <c r="C4177" s="9">
        <v>46054</v>
      </c>
      <c r="D4177">
        <v>15</v>
      </c>
      <c r="E4177" s="16" t="s">
        <v>100</v>
      </c>
      <c r="F4177" s="16" t="s">
        <v>92</v>
      </c>
      <c r="G4177" s="22">
        <v>306</v>
      </c>
      <c r="H4177" s="18">
        <v>68.73</v>
      </c>
      <c r="I4177" s="18">
        <v>0.224607843</v>
      </c>
      <c r="J4177" s="18">
        <v>0.23</v>
      </c>
      <c r="K4177" s="18">
        <v>0.22</v>
      </c>
      <c r="L4177" s="22">
        <v>12</v>
      </c>
    </row>
    <row r="4178" spans="1:12">
      <c r="A4178">
        <v>5</v>
      </c>
      <c r="B4178" s="16" t="s">
        <v>60</v>
      </c>
      <c r="C4178" s="9">
        <v>46082</v>
      </c>
      <c r="D4178">
        <v>15</v>
      </c>
      <c r="E4178" s="16" t="s">
        <v>100</v>
      </c>
      <c r="F4178" s="16" t="s">
        <v>92</v>
      </c>
      <c r="G4178" s="22">
        <v>303</v>
      </c>
      <c r="H4178" s="18">
        <v>66.180000000000007</v>
      </c>
      <c r="I4178" s="18">
        <v>0.218415842</v>
      </c>
      <c r="J4178" s="18">
        <v>0.22</v>
      </c>
      <c r="K4178" s="18">
        <v>0.21</v>
      </c>
      <c r="L4178" s="22">
        <v>13</v>
      </c>
    </row>
    <row r="4179" spans="1:12">
      <c r="A4179">
        <v>5</v>
      </c>
      <c r="B4179" s="16" t="s">
        <v>60</v>
      </c>
      <c r="C4179" s="9">
        <v>46113</v>
      </c>
      <c r="D4179">
        <v>15</v>
      </c>
      <c r="E4179" s="16" t="s">
        <v>100</v>
      </c>
      <c r="F4179" s="16" t="s">
        <v>92</v>
      </c>
      <c r="G4179" s="22">
        <v>282</v>
      </c>
      <c r="H4179" s="18">
        <v>59.22</v>
      </c>
      <c r="I4179" s="18">
        <v>0.21</v>
      </c>
      <c r="J4179" s="18">
        <v>0.21</v>
      </c>
      <c r="K4179" s="18">
        <v>0.21</v>
      </c>
      <c r="L4179" s="22">
        <v>13</v>
      </c>
    </row>
    <row r="4180" spans="1:12">
      <c r="A4180">
        <v>5</v>
      </c>
      <c r="B4180" s="16" t="s">
        <v>60</v>
      </c>
      <c r="C4180" s="9">
        <v>46143</v>
      </c>
      <c r="D4180">
        <v>15</v>
      </c>
      <c r="E4180" s="16" t="s">
        <v>100</v>
      </c>
      <c r="F4180" s="16" t="s">
        <v>92</v>
      </c>
      <c r="G4180" s="22">
        <v>333</v>
      </c>
      <c r="H4180" s="18">
        <v>66.959999999999994</v>
      </c>
      <c r="I4180" s="18">
        <v>0.20108108099999999</v>
      </c>
      <c r="J4180" s="18">
        <v>0.21</v>
      </c>
      <c r="K4180" s="18">
        <v>0.2</v>
      </c>
      <c r="L4180" s="22">
        <v>13</v>
      </c>
    </row>
    <row r="4181" spans="1:12">
      <c r="A4181">
        <v>5</v>
      </c>
      <c r="B4181" s="16" t="s">
        <v>60</v>
      </c>
      <c r="C4181" s="9">
        <v>46174</v>
      </c>
      <c r="D4181">
        <v>15</v>
      </c>
      <c r="E4181" s="16" t="s">
        <v>100</v>
      </c>
      <c r="F4181" s="16" t="s">
        <v>92</v>
      </c>
      <c r="G4181" s="22">
        <v>312</v>
      </c>
      <c r="H4181" s="18">
        <v>62.4</v>
      </c>
      <c r="I4181" s="18">
        <v>0.2</v>
      </c>
      <c r="J4181" s="18">
        <v>0.2</v>
      </c>
      <c r="K4181" s="18">
        <v>0.2</v>
      </c>
      <c r="L4181" s="22">
        <v>13</v>
      </c>
    </row>
    <row r="4182" spans="1:12">
      <c r="A4182">
        <v>5</v>
      </c>
      <c r="B4182" s="16" t="s">
        <v>60</v>
      </c>
      <c r="C4182" s="9">
        <v>46204</v>
      </c>
      <c r="D4182">
        <v>15</v>
      </c>
      <c r="E4182" s="16" t="s">
        <v>100</v>
      </c>
      <c r="F4182" s="16" t="s">
        <v>92</v>
      </c>
      <c r="G4182" s="22">
        <v>372</v>
      </c>
      <c r="H4182" s="18">
        <v>72.03</v>
      </c>
      <c r="I4182" s="18">
        <v>0.19362903200000001</v>
      </c>
      <c r="J4182" s="18">
        <v>0.2</v>
      </c>
      <c r="K4182" s="18">
        <v>0.19</v>
      </c>
      <c r="L4182" s="22">
        <v>14</v>
      </c>
    </row>
    <row r="4183" spans="1:12">
      <c r="A4183">
        <v>5</v>
      </c>
      <c r="B4183" s="16" t="s">
        <v>60</v>
      </c>
      <c r="C4183" s="9">
        <v>46235</v>
      </c>
      <c r="D4183">
        <v>15</v>
      </c>
      <c r="E4183" s="16" t="s">
        <v>100</v>
      </c>
      <c r="F4183" s="16" t="s">
        <v>92</v>
      </c>
      <c r="G4183" s="22">
        <v>288</v>
      </c>
      <c r="H4183" s="18">
        <v>57.12</v>
      </c>
      <c r="I4183" s="18">
        <v>0.198333333</v>
      </c>
      <c r="J4183" s="18">
        <v>0.21</v>
      </c>
      <c r="K4183" s="18">
        <v>0.19</v>
      </c>
      <c r="L4183" s="22">
        <v>13</v>
      </c>
    </row>
    <row r="4184" spans="1:12">
      <c r="A4184">
        <v>5</v>
      </c>
      <c r="B4184" s="16" t="s">
        <v>60</v>
      </c>
      <c r="C4184" s="9">
        <v>46266</v>
      </c>
      <c r="D4184">
        <v>15</v>
      </c>
      <c r="E4184" s="16" t="s">
        <v>100</v>
      </c>
      <c r="F4184" s="16" t="s">
        <v>92</v>
      </c>
      <c r="G4184" s="22">
        <v>258</v>
      </c>
      <c r="H4184" s="18">
        <v>52.77</v>
      </c>
      <c r="I4184" s="18">
        <v>0.204534884</v>
      </c>
      <c r="J4184" s="18">
        <v>0.21</v>
      </c>
      <c r="K4184" s="18">
        <v>0.2</v>
      </c>
      <c r="L4184" s="22">
        <v>13</v>
      </c>
    </row>
    <row r="4185" spans="1:12">
      <c r="A4185">
        <v>5</v>
      </c>
      <c r="B4185" s="16" t="s">
        <v>60</v>
      </c>
      <c r="C4185" s="9">
        <v>45689</v>
      </c>
      <c r="D4185">
        <v>16</v>
      </c>
      <c r="E4185" s="16" t="s">
        <v>101</v>
      </c>
      <c r="F4185" s="16" t="s">
        <v>92</v>
      </c>
      <c r="G4185" s="22">
        <v>22.5</v>
      </c>
      <c r="H4185" s="18">
        <v>12.45</v>
      </c>
      <c r="I4185" s="18">
        <v>0.55333333299999998</v>
      </c>
      <c r="J4185" s="18">
        <v>0.56000000000000005</v>
      </c>
      <c r="K4185" s="18">
        <v>0.55000000000000004</v>
      </c>
      <c r="L4185" s="22">
        <v>10</v>
      </c>
    </row>
    <row r="4186" spans="1:12">
      <c r="A4186">
        <v>5</v>
      </c>
      <c r="B4186" s="16" t="s">
        <v>60</v>
      </c>
      <c r="C4186" s="9">
        <v>45717</v>
      </c>
      <c r="D4186">
        <v>16</v>
      </c>
      <c r="E4186" s="16" t="s">
        <v>101</v>
      </c>
      <c r="F4186" s="16" t="s">
        <v>92</v>
      </c>
      <c r="G4186" s="22">
        <v>19.5</v>
      </c>
      <c r="H4186" s="18">
        <v>10.62</v>
      </c>
      <c r="I4186" s="18">
        <v>0.54461538499999995</v>
      </c>
      <c r="J4186" s="18">
        <v>0.56000000000000005</v>
      </c>
      <c r="K4186" s="18">
        <v>0.54</v>
      </c>
      <c r="L4186" s="22">
        <v>11</v>
      </c>
    </row>
    <row r="4187" spans="1:12">
      <c r="A4187">
        <v>5</v>
      </c>
      <c r="B4187" s="16" t="s">
        <v>60</v>
      </c>
      <c r="C4187" s="9">
        <v>45748</v>
      </c>
      <c r="D4187">
        <v>16</v>
      </c>
      <c r="E4187" s="16" t="s">
        <v>101</v>
      </c>
      <c r="F4187" s="16" t="s">
        <v>92</v>
      </c>
      <c r="G4187" s="22">
        <v>22.5</v>
      </c>
      <c r="H4187" s="18">
        <v>11.91</v>
      </c>
      <c r="I4187" s="18">
        <v>0.52933333299999996</v>
      </c>
      <c r="J4187" s="18">
        <v>0.54</v>
      </c>
      <c r="K4187" s="18">
        <v>0.52</v>
      </c>
      <c r="L4187" s="22">
        <v>8</v>
      </c>
    </row>
    <row r="4188" spans="1:12">
      <c r="A4188">
        <v>5</v>
      </c>
      <c r="B4188" s="16" t="s">
        <v>60</v>
      </c>
      <c r="C4188" s="9">
        <v>45778</v>
      </c>
      <c r="D4188">
        <v>16</v>
      </c>
      <c r="E4188" s="16" t="s">
        <v>101</v>
      </c>
      <c r="F4188" s="16" t="s">
        <v>92</v>
      </c>
      <c r="G4188" s="22">
        <v>24</v>
      </c>
      <c r="H4188" s="18">
        <v>12.135</v>
      </c>
      <c r="I4188" s="18">
        <v>0.50562499999999999</v>
      </c>
      <c r="J4188" s="18">
        <v>0.51</v>
      </c>
      <c r="K4188" s="18">
        <v>0.5</v>
      </c>
      <c r="L4188" s="22">
        <v>10</v>
      </c>
    </row>
    <row r="4189" spans="1:12">
      <c r="A4189">
        <v>5</v>
      </c>
      <c r="B4189" s="16" t="s">
        <v>60</v>
      </c>
      <c r="C4189" s="9">
        <v>45809</v>
      </c>
      <c r="D4189">
        <v>16</v>
      </c>
      <c r="E4189" s="16" t="s">
        <v>101</v>
      </c>
      <c r="F4189" s="16" t="s">
        <v>92</v>
      </c>
      <c r="G4189" s="22">
        <v>19.5</v>
      </c>
      <c r="H4189" s="18">
        <v>9.6</v>
      </c>
      <c r="I4189" s="18">
        <v>0.49230769200000002</v>
      </c>
      <c r="J4189" s="18">
        <v>0.5</v>
      </c>
      <c r="K4189" s="18">
        <v>0.48</v>
      </c>
      <c r="L4189" s="22">
        <v>12</v>
      </c>
    </row>
    <row r="4190" spans="1:12">
      <c r="A4190">
        <v>5</v>
      </c>
      <c r="B4190" s="16" t="s">
        <v>60</v>
      </c>
      <c r="C4190" s="9">
        <v>45839</v>
      </c>
      <c r="D4190">
        <v>16</v>
      </c>
      <c r="E4190" s="16" t="s">
        <v>101</v>
      </c>
      <c r="F4190" s="16" t="s">
        <v>92</v>
      </c>
      <c r="G4190" s="22">
        <v>21</v>
      </c>
      <c r="H4190" s="18">
        <v>10.275</v>
      </c>
      <c r="I4190" s="18">
        <v>0.48928571399999998</v>
      </c>
      <c r="J4190" s="18">
        <v>0.5</v>
      </c>
      <c r="K4190" s="18">
        <v>0.48</v>
      </c>
      <c r="L4190" s="22">
        <v>10</v>
      </c>
    </row>
    <row r="4191" spans="1:12">
      <c r="A4191">
        <v>5</v>
      </c>
      <c r="B4191" s="16" t="s">
        <v>60</v>
      </c>
      <c r="C4191" s="9">
        <v>45870</v>
      </c>
      <c r="D4191">
        <v>16</v>
      </c>
      <c r="E4191" s="16" t="s">
        <v>101</v>
      </c>
      <c r="F4191" s="16" t="s">
        <v>92</v>
      </c>
      <c r="G4191" s="22">
        <v>22.5</v>
      </c>
      <c r="H4191" s="18">
        <v>11.175000000000001</v>
      </c>
      <c r="I4191" s="18">
        <v>0.49666666700000001</v>
      </c>
      <c r="J4191" s="18">
        <v>0.51</v>
      </c>
      <c r="K4191" s="18">
        <v>0.48</v>
      </c>
      <c r="L4191" s="22">
        <v>11</v>
      </c>
    </row>
    <row r="4192" spans="1:12">
      <c r="A4192">
        <v>5</v>
      </c>
      <c r="B4192" s="16" t="s">
        <v>60</v>
      </c>
      <c r="C4192" s="9">
        <v>45901</v>
      </c>
      <c r="D4192">
        <v>16</v>
      </c>
      <c r="E4192" s="16" t="s">
        <v>101</v>
      </c>
      <c r="F4192" s="16" t="s">
        <v>92</v>
      </c>
      <c r="G4192" s="22">
        <v>16.5</v>
      </c>
      <c r="H4192" s="18">
        <v>8.43</v>
      </c>
      <c r="I4192" s="18">
        <v>0.51090909100000004</v>
      </c>
      <c r="J4192" s="18">
        <v>0.52</v>
      </c>
      <c r="K4192" s="18">
        <v>0.5</v>
      </c>
      <c r="L4192" s="22">
        <v>8</v>
      </c>
    </row>
    <row r="4193" spans="1:12">
      <c r="A4193">
        <v>5</v>
      </c>
      <c r="B4193" s="16" t="s">
        <v>60</v>
      </c>
      <c r="C4193" s="9">
        <v>45931</v>
      </c>
      <c r="D4193">
        <v>16</v>
      </c>
      <c r="E4193" s="16" t="s">
        <v>101</v>
      </c>
      <c r="F4193" s="16" t="s">
        <v>92</v>
      </c>
      <c r="G4193" s="22">
        <v>27</v>
      </c>
      <c r="H4193" s="18">
        <v>14.34</v>
      </c>
      <c r="I4193" s="18">
        <v>0.53111111099999997</v>
      </c>
      <c r="J4193" s="18">
        <v>0.54</v>
      </c>
      <c r="K4193" s="18">
        <v>0.52</v>
      </c>
      <c r="L4193" s="22">
        <v>13</v>
      </c>
    </row>
    <row r="4194" spans="1:12">
      <c r="A4194">
        <v>5</v>
      </c>
      <c r="B4194" s="16" t="s">
        <v>60</v>
      </c>
      <c r="C4194" s="9">
        <v>45962</v>
      </c>
      <c r="D4194">
        <v>16</v>
      </c>
      <c r="E4194" s="16" t="s">
        <v>101</v>
      </c>
      <c r="F4194" s="16" t="s">
        <v>92</v>
      </c>
      <c r="G4194" s="22">
        <v>19.5</v>
      </c>
      <c r="H4194" s="18">
        <v>10.83</v>
      </c>
      <c r="I4194" s="18">
        <v>0.55538461500000003</v>
      </c>
      <c r="J4194" s="18">
        <v>0.56999999999999995</v>
      </c>
      <c r="K4194" s="18">
        <v>0.54</v>
      </c>
      <c r="L4194" s="22">
        <v>10</v>
      </c>
    </row>
    <row r="4195" spans="1:12">
      <c r="A4195">
        <v>5</v>
      </c>
      <c r="B4195" s="16" t="s">
        <v>60</v>
      </c>
      <c r="C4195" s="9">
        <v>45992</v>
      </c>
      <c r="D4195">
        <v>16</v>
      </c>
      <c r="E4195" s="16" t="s">
        <v>101</v>
      </c>
      <c r="F4195" s="16" t="s">
        <v>92</v>
      </c>
      <c r="G4195" s="22">
        <v>24</v>
      </c>
      <c r="H4195" s="18">
        <v>13.755000000000001</v>
      </c>
      <c r="I4195" s="18">
        <v>0.573125</v>
      </c>
      <c r="J4195" s="18">
        <v>0.59</v>
      </c>
      <c r="K4195" s="18">
        <v>0.56000000000000005</v>
      </c>
      <c r="L4195" s="22">
        <v>11</v>
      </c>
    </row>
    <row r="4196" spans="1:12">
      <c r="A4196">
        <v>5</v>
      </c>
      <c r="B4196" s="16" t="s">
        <v>60</v>
      </c>
      <c r="C4196" s="9">
        <v>46023</v>
      </c>
      <c r="D4196">
        <v>16</v>
      </c>
      <c r="E4196" s="16" t="s">
        <v>101</v>
      </c>
      <c r="F4196" s="16" t="s">
        <v>92</v>
      </c>
      <c r="G4196" s="22">
        <v>22.5</v>
      </c>
      <c r="H4196" s="18">
        <v>13.125</v>
      </c>
      <c r="I4196" s="18">
        <v>0.58333333300000001</v>
      </c>
      <c r="J4196" s="18">
        <v>0.61</v>
      </c>
      <c r="K4196" s="18">
        <v>0.56999999999999995</v>
      </c>
      <c r="L4196" s="22">
        <v>10</v>
      </c>
    </row>
    <row r="4197" spans="1:12">
      <c r="A4197">
        <v>5</v>
      </c>
      <c r="B4197" s="16" t="s">
        <v>60</v>
      </c>
      <c r="C4197" s="9">
        <v>46054</v>
      </c>
      <c r="D4197">
        <v>16</v>
      </c>
      <c r="E4197" s="16" t="s">
        <v>101</v>
      </c>
      <c r="F4197" s="16" t="s">
        <v>92</v>
      </c>
      <c r="G4197" s="22">
        <v>24</v>
      </c>
      <c r="H4197" s="18">
        <v>13.815</v>
      </c>
      <c r="I4197" s="18">
        <v>0.57562500000000005</v>
      </c>
      <c r="J4197" s="18">
        <v>0.59</v>
      </c>
      <c r="K4197" s="18">
        <v>0.56000000000000005</v>
      </c>
      <c r="L4197" s="22">
        <v>9</v>
      </c>
    </row>
    <row r="4198" spans="1:12">
      <c r="A4198">
        <v>5</v>
      </c>
      <c r="B4198" s="16" t="s">
        <v>60</v>
      </c>
      <c r="C4198" s="9">
        <v>46082</v>
      </c>
      <c r="D4198">
        <v>16</v>
      </c>
      <c r="E4198" s="16" t="s">
        <v>101</v>
      </c>
      <c r="F4198" s="16" t="s">
        <v>92</v>
      </c>
      <c r="G4198" s="22">
        <v>22.5</v>
      </c>
      <c r="H4198" s="18">
        <v>12.645</v>
      </c>
      <c r="I4198" s="18">
        <v>0.56200000000000006</v>
      </c>
      <c r="J4198" s="18">
        <v>0.56999999999999995</v>
      </c>
      <c r="K4198" s="18">
        <v>0.55000000000000004</v>
      </c>
      <c r="L4198" s="22">
        <v>10</v>
      </c>
    </row>
    <row r="4199" spans="1:12">
      <c r="A4199">
        <v>5</v>
      </c>
      <c r="B4199" s="16" t="s">
        <v>60</v>
      </c>
      <c r="C4199" s="9">
        <v>46113</v>
      </c>
      <c r="D4199">
        <v>16</v>
      </c>
      <c r="E4199" s="16" t="s">
        <v>101</v>
      </c>
      <c r="F4199" s="16" t="s">
        <v>92</v>
      </c>
      <c r="G4199" s="22">
        <v>21</v>
      </c>
      <c r="H4199" s="18">
        <v>11.22</v>
      </c>
      <c r="I4199" s="18">
        <v>0.53428571400000002</v>
      </c>
      <c r="J4199" s="18">
        <v>0.56000000000000005</v>
      </c>
      <c r="K4199" s="18">
        <v>0.52</v>
      </c>
      <c r="L4199" s="22">
        <v>11</v>
      </c>
    </row>
    <row r="4200" spans="1:12">
      <c r="A4200">
        <v>5</v>
      </c>
      <c r="B4200" s="16" t="s">
        <v>60</v>
      </c>
      <c r="C4200" s="9">
        <v>46143</v>
      </c>
      <c r="D4200">
        <v>16</v>
      </c>
      <c r="E4200" s="16" t="s">
        <v>101</v>
      </c>
      <c r="F4200" s="16" t="s">
        <v>92</v>
      </c>
      <c r="G4200" s="22">
        <v>25.5</v>
      </c>
      <c r="H4200" s="18">
        <v>12.87</v>
      </c>
      <c r="I4200" s="18">
        <v>0.50470588199999999</v>
      </c>
      <c r="J4200" s="18">
        <v>0.52</v>
      </c>
      <c r="K4200" s="18">
        <v>0.49</v>
      </c>
      <c r="L4200" s="22">
        <v>10</v>
      </c>
    </row>
    <row r="4201" spans="1:12">
      <c r="A4201">
        <v>5</v>
      </c>
      <c r="B4201" s="16" t="s">
        <v>60</v>
      </c>
      <c r="C4201" s="9">
        <v>46174</v>
      </c>
      <c r="D4201">
        <v>16</v>
      </c>
      <c r="E4201" s="16" t="s">
        <v>101</v>
      </c>
      <c r="F4201" s="16" t="s">
        <v>92</v>
      </c>
      <c r="G4201" s="22">
        <v>19.5</v>
      </c>
      <c r="H4201" s="18">
        <v>9.6750000000000007</v>
      </c>
      <c r="I4201" s="18">
        <v>0.49615384600000001</v>
      </c>
      <c r="J4201" s="18">
        <v>0.5</v>
      </c>
      <c r="K4201" s="18">
        <v>0.49</v>
      </c>
      <c r="L4201" s="22">
        <v>10</v>
      </c>
    </row>
    <row r="4202" spans="1:12">
      <c r="A4202">
        <v>5</v>
      </c>
      <c r="B4202" s="16" t="s">
        <v>60</v>
      </c>
      <c r="C4202" s="9">
        <v>46204</v>
      </c>
      <c r="D4202">
        <v>16</v>
      </c>
      <c r="E4202" s="16" t="s">
        <v>101</v>
      </c>
      <c r="F4202" s="16" t="s">
        <v>92</v>
      </c>
      <c r="G4202" s="22">
        <v>25.5</v>
      </c>
      <c r="H4202" s="18">
        <v>12.57</v>
      </c>
      <c r="I4202" s="18">
        <v>0.49294117599999998</v>
      </c>
      <c r="J4202" s="18">
        <v>0.5</v>
      </c>
      <c r="K4202" s="18">
        <v>0.48</v>
      </c>
      <c r="L4202" s="22">
        <v>12</v>
      </c>
    </row>
    <row r="4203" spans="1:12">
      <c r="A4203">
        <v>5</v>
      </c>
      <c r="B4203" s="16" t="s">
        <v>60</v>
      </c>
      <c r="C4203" s="9">
        <v>46235</v>
      </c>
      <c r="D4203">
        <v>16</v>
      </c>
      <c r="E4203" s="16" t="s">
        <v>101</v>
      </c>
      <c r="F4203" s="16" t="s">
        <v>92</v>
      </c>
      <c r="G4203" s="22">
        <v>19.5</v>
      </c>
      <c r="H4203" s="18">
        <v>9.69</v>
      </c>
      <c r="I4203" s="18">
        <v>0.49692307699999999</v>
      </c>
      <c r="J4203" s="18">
        <v>0.51</v>
      </c>
      <c r="K4203" s="18">
        <v>0.49</v>
      </c>
      <c r="L4203" s="22">
        <v>12</v>
      </c>
    </row>
    <row r="4204" spans="1:12">
      <c r="A4204">
        <v>5</v>
      </c>
      <c r="B4204" s="16" t="s">
        <v>60</v>
      </c>
      <c r="C4204" s="9">
        <v>46266</v>
      </c>
      <c r="D4204">
        <v>16</v>
      </c>
      <c r="E4204" s="16" t="s">
        <v>101</v>
      </c>
      <c r="F4204" s="16" t="s">
        <v>92</v>
      </c>
      <c r="G4204" s="22">
        <v>18</v>
      </c>
      <c r="H4204" s="18">
        <v>9.27</v>
      </c>
      <c r="I4204" s="18">
        <v>0.51500000000000001</v>
      </c>
      <c r="J4204" s="18">
        <v>0.52</v>
      </c>
      <c r="K4204" s="18">
        <v>0.51</v>
      </c>
      <c r="L4204" s="22">
        <v>9</v>
      </c>
    </row>
    <row r="4205" spans="1:12">
      <c r="A4205">
        <v>5</v>
      </c>
      <c r="B4205" s="16" t="s">
        <v>60</v>
      </c>
      <c r="C4205" s="9">
        <v>45689</v>
      </c>
      <c r="D4205">
        <v>18</v>
      </c>
      <c r="E4205" s="16" t="s">
        <v>104</v>
      </c>
      <c r="F4205" s="16" t="s">
        <v>103</v>
      </c>
      <c r="G4205" s="22">
        <v>3</v>
      </c>
      <c r="H4205" s="18">
        <v>25.62</v>
      </c>
      <c r="I4205" s="18">
        <v>8.5399999999999991</v>
      </c>
      <c r="J4205" s="18">
        <v>8.5399999999999991</v>
      </c>
      <c r="K4205" s="18">
        <v>8.5399999999999991</v>
      </c>
      <c r="L4205" s="22">
        <v>1</v>
      </c>
    </row>
    <row r="4206" spans="1:12">
      <c r="A4206">
        <v>5</v>
      </c>
      <c r="B4206" s="16" t="s">
        <v>60</v>
      </c>
      <c r="C4206" s="9">
        <v>45717</v>
      </c>
      <c r="D4206">
        <v>18</v>
      </c>
      <c r="E4206" s="16" t="s">
        <v>104</v>
      </c>
      <c r="F4206" s="16" t="s">
        <v>103</v>
      </c>
      <c r="G4206" s="22">
        <v>3</v>
      </c>
      <c r="H4206" s="18">
        <v>26.1</v>
      </c>
      <c r="I4206" s="18">
        <v>8.6999999999999993</v>
      </c>
      <c r="J4206" s="18">
        <v>8.6999999999999993</v>
      </c>
      <c r="K4206" s="18">
        <v>8.6999999999999993</v>
      </c>
      <c r="L4206" s="22">
        <v>1</v>
      </c>
    </row>
    <row r="4207" spans="1:12">
      <c r="A4207">
        <v>5</v>
      </c>
      <c r="B4207" s="16" t="s">
        <v>60</v>
      </c>
      <c r="C4207" s="9">
        <v>45748</v>
      </c>
      <c r="D4207">
        <v>18</v>
      </c>
      <c r="E4207" s="16" t="s">
        <v>104</v>
      </c>
      <c r="F4207" s="16" t="s">
        <v>103</v>
      </c>
      <c r="G4207" s="22">
        <v>6</v>
      </c>
      <c r="H4207" s="18">
        <v>50.76</v>
      </c>
      <c r="I4207" s="18">
        <v>8.4600000000000009</v>
      </c>
      <c r="J4207" s="18">
        <v>8.6</v>
      </c>
      <c r="K4207" s="18">
        <v>8.32</v>
      </c>
      <c r="L4207" s="22">
        <v>2</v>
      </c>
    </row>
    <row r="4208" spans="1:12">
      <c r="A4208">
        <v>5</v>
      </c>
      <c r="B4208" s="16" t="s">
        <v>60</v>
      </c>
      <c r="C4208" s="9">
        <v>45778</v>
      </c>
      <c r="D4208">
        <v>18</v>
      </c>
      <c r="E4208" s="16" t="s">
        <v>104</v>
      </c>
      <c r="F4208" s="16" t="s">
        <v>103</v>
      </c>
      <c r="G4208" s="22">
        <v>3</v>
      </c>
      <c r="H4208" s="18">
        <v>25.29</v>
      </c>
      <c r="I4208" s="18">
        <v>8.43</v>
      </c>
      <c r="J4208" s="18">
        <v>8.43</v>
      </c>
      <c r="K4208" s="18">
        <v>8.43</v>
      </c>
      <c r="L4208" s="22">
        <v>1</v>
      </c>
    </row>
    <row r="4209" spans="1:12">
      <c r="A4209">
        <v>5</v>
      </c>
      <c r="B4209" s="16" t="s">
        <v>60</v>
      </c>
      <c r="C4209" s="9">
        <v>45809</v>
      </c>
      <c r="D4209">
        <v>18</v>
      </c>
      <c r="E4209" s="16" t="s">
        <v>104</v>
      </c>
      <c r="F4209" s="16" t="s">
        <v>103</v>
      </c>
      <c r="G4209" s="22">
        <v>3</v>
      </c>
      <c r="H4209" s="18">
        <v>25.23</v>
      </c>
      <c r="I4209" s="18">
        <v>8.41</v>
      </c>
      <c r="J4209" s="18">
        <v>8.41</v>
      </c>
      <c r="K4209" s="18">
        <v>8.41</v>
      </c>
      <c r="L4209" s="22">
        <v>1</v>
      </c>
    </row>
    <row r="4210" spans="1:12">
      <c r="A4210">
        <v>5</v>
      </c>
      <c r="B4210" s="16" t="s">
        <v>60</v>
      </c>
      <c r="C4210" s="9">
        <v>45839</v>
      </c>
      <c r="D4210">
        <v>18</v>
      </c>
      <c r="E4210" s="16" t="s">
        <v>104</v>
      </c>
      <c r="F4210" s="16" t="s">
        <v>103</v>
      </c>
      <c r="G4210" s="22">
        <v>6</v>
      </c>
      <c r="H4210" s="18">
        <v>52.17</v>
      </c>
      <c r="I4210" s="18">
        <v>8.6950000000000003</v>
      </c>
      <c r="J4210" s="18">
        <v>8.81</v>
      </c>
      <c r="K4210" s="18">
        <v>8.58</v>
      </c>
      <c r="L4210" s="22">
        <v>2</v>
      </c>
    </row>
    <row r="4211" spans="1:12">
      <c r="A4211">
        <v>5</v>
      </c>
      <c r="B4211" s="16" t="s">
        <v>60</v>
      </c>
      <c r="C4211" s="9">
        <v>45870</v>
      </c>
      <c r="D4211">
        <v>18</v>
      </c>
      <c r="E4211" s="16" t="s">
        <v>104</v>
      </c>
      <c r="F4211" s="16" t="s">
        <v>103</v>
      </c>
      <c r="G4211" s="22">
        <v>3</v>
      </c>
      <c r="H4211" s="18">
        <v>25.86</v>
      </c>
      <c r="I4211" s="18">
        <v>8.6199999999999992</v>
      </c>
      <c r="J4211" s="18">
        <v>8.6199999999999992</v>
      </c>
      <c r="K4211" s="18">
        <v>8.6199999999999992</v>
      </c>
      <c r="L4211" s="22">
        <v>1</v>
      </c>
    </row>
    <row r="4212" spans="1:12">
      <c r="A4212">
        <v>5</v>
      </c>
      <c r="B4212" s="16" t="s">
        <v>60</v>
      </c>
      <c r="C4212" s="9">
        <v>45901</v>
      </c>
      <c r="D4212">
        <v>18</v>
      </c>
      <c r="E4212" s="16" t="s">
        <v>104</v>
      </c>
      <c r="F4212" s="16" t="s">
        <v>103</v>
      </c>
      <c r="G4212" s="22">
        <v>3</v>
      </c>
      <c r="H4212" s="18">
        <v>26.37</v>
      </c>
      <c r="I4212" s="18">
        <v>8.7899999999999991</v>
      </c>
      <c r="J4212" s="18">
        <v>8.7899999999999991</v>
      </c>
      <c r="K4212" s="18">
        <v>8.7899999999999991</v>
      </c>
      <c r="L4212" s="22">
        <v>1</v>
      </c>
    </row>
    <row r="4213" spans="1:12">
      <c r="A4213">
        <v>5</v>
      </c>
      <c r="B4213" s="16" t="s">
        <v>60</v>
      </c>
      <c r="C4213" s="9">
        <v>45931</v>
      </c>
      <c r="D4213">
        <v>18</v>
      </c>
      <c r="E4213" s="16" t="s">
        <v>104</v>
      </c>
      <c r="F4213" s="16" t="s">
        <v>103</v>
      </c>
      <c r="G4213" s="22">
        <v>6</v>
      </c>
      <c r="H4213" s="18">
        <v>52.62</v>
      </c>
      <c r="I4213" s="18">
        <v>8.77</v>
      </c>
      <c r="J4213" s="18">
        <v>8.85</v>
      </c>
      <c r="K4213" s="18">
        <v>8.69</v>
      </c>
      <c r="L4213" s="22">
        <v>2</v>
      </c>
    </row>
    <row r="4214" spans="1:12">
      <c r="A4214">
        <v>5</v>
      </c>
      <c r="B4214" s="16" t="s">
        <v>60</v>
      </c>
      <c r="C4214" s="9">
        <v>45962</v>
      </c>
      <c r="D4214">
        <v>18</v>
      </c>
      <c r="E4214" s="16" t="s">
        <v>104</v>
      </c>
      <c r="F4214" s="16" t="s">
        <v>103</v>
      </c>
      <c r="G4214" s="22">
        <v>3</v>
      </c>
      <c r="H4214" s="18">
        <v>26.85</v>
      </c>
      <c r="I4214" s="18">
        <v>8.9499999999999993</v>
      </c>
      <c r="J4214" s="18">
        <v>8.9499999999999993</v>
      </c>
      <c r="K4214" s="18">
        <v>8.9499999999999993</v>
      </c>
      <c r="L4214" s="22">
        <v>1</v>
      </c>
    </row>
    <row r="4215" spans="1:12">
      <c r="A4215">
        <v>5</v>
      </c>
      <c r="B4215" s="16" t="s">
        <v>60</v>
      </c>
      <c r="C4215" s="9">
        <v>45992</v>
      </c>
      <c r="D4215">
        <v>18</v>
      </c>
      <c r="E4215" s="16" t="s">
        <v>104</v>
      </c>
      <c r="F4215" s="16" t="s">
        <v>103</v>
      </c>
      <c r="G4215" s="22">
        <v>6</v>
      </c>
      <c r="H4215" s="18">
        <v>53.13</v>
      </c>
      <c r="I4215" s="18">
        <v>8.8550000000000004</v>
      </c>
      <c r="J4215" s="18">
        <v>8.89</v>
      </c>
      <c r="K4215" s="18">
        <v>8.82</v>
      </c>
      <c r="L4215" s="22">
        <v>2</v>
      </c>
    </row>
    <row r="4216" spans="1:12">
      <c r="A4216">
        <v>5</v>
      </c>
      <c r="B4216" s="16" t="s">
        <v>60</v>
      </c>
      <c r="C4216" s="9">
        <v>46023</v>
      </c>
      <c r="D4216">
        <v>18</v>
      </c>
      <c r="E4216" s="16" t="s">
        <v>104</v>
      </c>
      <c r="F4216" s="16" t="s">
        <v>103</v>
      </c>
      <c r="G4216" s="22">
        <v>3</v>
      </c>
      <c r="H4216" s="18">
        <v>27.45</v>
      </c>
      <c r="I4216" s="18">
        <v>9.15</v>
      </c>
      <c r="J4216" s="18">
        <v>9.15</v>
      </c>
      <c r="K4216" s="18">
        <v>9.15</v>
      </c>
      <c r="L4216" s="22">
        <v>1</v>
      </c>
    </row>
    <row r="4217" spans="1:12">
      <c r="A4217">
        <v>5</v>
      </c>
      <c r="B4217" s="16" t="s">
        <v>60</v>
      </c>
      <c r="C4217" s="9">
        <v>46054</v>
      </c>
      <c r="D4217">
        <v>18</v>
      </c>
      <c r="E4217" s="16" t="s">
        <v>104</v>
      </c>
      <c r="F4217" s="16" t="s">
        <v>103</v>
      </c>
      <c r="G4217" s="22">
        <v>3</v>
      </c>
      <c r="H4217" s="18">
        <v>26.82</v>
      </c>
      <c r="I4217" s="18">
        <v>8.94</v>
      </c>
      <c r="J4217" s="18">
        <v>8.94</v>
      </c>
      <c r="K4217" s="18">
        <v>8.94</v>
      </c>
      <c r="L4217" s="22">
        <v>1</v>
      </c>
    </row>
    <row r="4218" spans="1:12">
      <c r="A4218">
        <v>5</v>
      </c>
      <c r="B4218" s="16" t="s">
        <v>60</v>
      </c>
      <c r="C4218" s="9">
        <v>46082</v>
      </c>
      <c r="D4218">
        <v>18</v>
      </c>
      <c r="E4218" s="16" t="s">
        <v>104</v>
      </c>
      <c r="F4218" s="16" t="s">
        <v>103</v>
      </c>
      <c r="G4218" s="22">
        <v>3</v>
      </c>
      <c r="H4218" s="18">
        <v>27.03</v>
      </c>
      <c r="I4218" s="18">
        <v>9.01</v>
      </c>
      <c r="J4218" s="18">
        <v>9.01</v>
      </c>
      <c r="K4218" s="18">
        <v>9.01</v>
      </c>
      <c r="L4218" s="22">
        <v>1</v>
      </c>
    </row>
    <row r="4219" spans="1:12">
      <c r="A4219">
        <v>5</v>
      </c>
      <c r="B4219" s="16" t="s">
        <v>60</v>
      </c>
      <c r="C4219" s="9">
        <v>46113</v>
      </c>
      <c r="D4219">
        <v>18</v>
      </c>
      <c r="E4219" s="16" t="s">
        <v>104</v>
      </c>
      <c r="F4219" s="16" t="s">
        <v>103</v>
      </c>
      <c r="G4219" s="22">
        <v>3</v>
      </c>
      <c r="H4219" s="18">
        <v>26.61</v>
      </c>
      <c r="I4219" s="18">
        <v>8.8699999999999992</v>
      </c>
      <c r="J4219" s="18">
        <v>8.8699999999999992</v>
      </c>
      <c r="K4219" s="18">
        <v>8.8699999999999992</v>
      </c>
      <c r="L4219" s="22">
        <v>1</v>
      </c>
    </row>
    <row r="4220" spans="1:12">
      <c r="A4220">
        <v>5</v>
      </c>
      <c r="B4220" s="16" t="s">
        <v>60</v>
      </c>
      <c r="C4220" s="9">
        <v>46143</v>
      </c>
      <c r="D4220">
        <v>18</v>
      </c>
      <c r="E4220" s="16" t="s">
        <v>104</v>
      </c>
      <c r="F4220" s="16" t="s">
        <v>103</v>
      </c>
      <c r="G4220" s="22">
        <v>3</v>
      </c>
      <c r="H4220" s="18">
        <v>26.58</v>
      </c>
      <c r="I4220" s="18">
        <v>8.86</v>
      </c>
      <c r="J4220" s="18">
        <v>8.86</v>
      </c>
      <c r="K4220" s="18">
        <v>8.86</v>
      </c>
      <c r="L4220" s="22">
        <v>1</v>
      </c>
    </row>
    <row r="4221" spans="1:12">
      <c r="A4221">
        <v>5</v>
      </c>
      <c r="B4221" s="16" t="s">
        <v>60</v>
      </c>
      <c r="C4221" s="9">
        <v>46174</v>
      </c>
      <c r="D4221">
        <v>18</v>
      </c>
      <c r="E4221" s="16" t="s">
        <v>104</v>
      </c>
      <c r="F4221" s="16" t="s">
        <v>103</v>
      </c>
      <c r="G4221" s="22">
        <v>3</v>
      </c>
      <c r="H4221" s="18">
        <v>26.79</v>
      </c>
      <c r="I4221" s="18">
        <v>8.93</v>
      </c>
      <c r="J4221" s="18">
        <v>8.93</v>
      </c>
      <c r="K4221" s="18">
        <v>8.93</v>
      </c>
      <c r="L4221" s="22">
        <v>1</v>
      </c>
    </row>
    <row r="4222" spans="1:12">
      <c r="A4222">
        <v>5</v>
      </c>
      <c r="B4222" s="16" t="s">
        <v>60</v>
      </c>
      <c r="C4222" s="9">
        <v>46204</v>
      </c>
      <c r="D4222">
        <v>18</v>
      </c>
      <c r="E4222" s="16" t="s">
        <v>104</v>
      </c>
      <c r="F4222" s="16" t="s">
        <v>103</v>
      </c>
      <c r="G4222" s="22">
        <v>6</v>
      </c>
      <c r="H4222" s="18">
        <v>53.88</v>
      </c>
      <c r="I4222" s="18">
        <v>8.98</v>
      </c>
      <c r="J4222" s="18">
        <v>9.0399999999999991</v>
      </c>
      <c r="K4222" s="18">
        <v>8.92</v>
      </c>
      <c r="L4222" s="22">
        <v>2</v>
      </c>
    </row>
    <row r="4223" spans="1:12">
      <c r="A4223">
        <v>5</v>
      </c>
      <c r="B4223" s="16" t="s">
        <v>60</v>
      </c>
      <c r="C4223" s="9">
        <v>46235</v>
      </c>
      <c r="D4223">
        <v>18</v>
      </c>
      <c r="E4223" s="16" t="s">
        <v>104</v>
      </c>
      <c r="F4223" s="16" t="s">
        <v>103</v>
      </c>
      <c r="G4223" s="22">
        <v>3</v>
      </c>
      <c r="H4223" s="18">
        <v>26.43</v>
      </c>
      <c r="I4223" s="18">
        <v>8.81</v>
      </c>
      <c r="J4223" s="18">
        <v>8.81</v>
      </c>
      <c r="K4223" s="18">
        <v>8.81</v>
      </c>
      <c r="L4223" s="22">
        <v>1</v>
      </c>
    </row>
    <row r="4224" spans="1:12">
      <c r="A4224">
        <v>5</v>
      </c>
      <c r="B4224" s="16" t="s">
        <v>60</v>
      </c>
      <c r="C4224" s="9">
        <v>46266</v>
      </c>
      <c r="D4224">
        <v>18</v>
      </c>
      <c r="E4224" s="16" t="s">
        <v>104</v>
      </c>
      <c r="F4224" s="16" t="s">
        <v>103</v>
      </c>
      <c r="G4224" s="22">
        <v>3</v>
      </c>
      <c r="H4224" s="18">
        <v>26.4</v>
      </c>
      <c r="I4224" s="18">
        <v>8.8000000000000007</v>
      </c>
      <c r="J4224" s="18">
        <v>8.8000000000000007</v>
      </c>
      <c r="K4224" s="18">
        <v>8.8000000000000007</v>
      </c>
      <c r="L4224" s="22">
        <v>1</v>
      </c>
    </row>
    <row r="4225" spans="1:12">
      <c r="A4225">
        <v>5</v>
      </c>
      <c r="B4225" s="16" t="s">
        <v>60</v>
      </c>
      <c r="C4225" s="9">
        <v>45689</v>
      </c>
      <c r="D4225">
        <v>19</v>
      </c>
      <c r="E4225" s="16" t="s">
        <v>105</v>
      </c>
      <c r="F4225" s="16" t="s">
        <v>106</v>
      </c>
      <c r="G4225" s="22">
        <v>48</v>
      </c>
      <c r="H4225" s="18">
        <v>42.24</v>
      </c>
      <c r="I4225" s="18">
        <v>0.88</v>
      </c>
      <c r="J4225" s="18">
        <v>0.88</v>
      </c>
      <c r="K4225" s="18">
        <v>0.88</v>
      </c>
      <c r="L4225" s="22">
        <v>2</v>
      </c>
    </row>
    <row r="4226" spans="1:12">
      <c r="A4226">
        <v>5</v>
      </c>
      <c r="B4226" s="16" t="s">
        <v>60</v>
      </c>
      <c r="C4226" s="9">
        <v>45717</v>
      </c>
      <c r="D4226">
        <v>19</v>
      </c>
      <c r="E4226" s="16" t="s">
        <v>105</v>
      </c>
      <c r="F4226" s="16" t="s">
        <v>106</v>
      </c>
      <c r="G4226" s="22">
        <v>32</v>
      </c>
      <c r="H4226" s="18">
        <v>28.48</v>
      </c>
      <c r="I4226" s="18">
        <v>0.89</v>
      </c>
      <c r="J4226" s="18">
        <v>0.9</v>
      </c>
      <c r="K4226" s="18">
        <v>0.88</v>
      </c>
      <c r="L4226" s="22">
        <v>2</v>
      </c>
    </row>
    <row r="4227" spans="1:12">
      <c r="A4227">
        <v>5</v>
      </c>
      <c r="B4227" s="16" t="s">
        <v>60</v>
      </c>
      <c r="C4227" s="9">
        <v>45748</v>
      </c>
      <c r="D4227">
        <v>19</v>
      </c>
      <c r="E4227" s="16" t="s">
        <v>105</v>
      </c>
      <c r="F4227" s="16" t="s">
        <v>106</v>
      </c>
      <c r="G4227" s="22">
        <v>32</v>
      </c>
      <c r="H4227" s="18">
        <v>28.32</v>
      </c>
      <c r="I4227" s="18">
        <v>0.88500000000000001</v>
      </c>
      <c r="J4227" s="18">
        <v>0.89</v>
      </c>
      <c r="K4227" s="18">
        <v>0.88</v>
      </c>
      <c r="L4227" s="22">
        <v>2</v>
      </c>
    </row>
    <row r="4228" spans="1:12">
      <c r="A4228">
        <v>5</v>
      </c>
      <c r="B4228" s="16" t="s">
        <v>60</v>
      </c>
      <c r="C4228" s="9">
        <v>45778</v>
      </c>
      <c r="D4228">
        <v>19</v>
      </c>
      <c r="E4228" s="16" t="s">
        <v>105</v>
      </c>
      <c r="F4228" s="16" t="s">
        <v>106</v>
      </c>
      <c r="G4228" s="22">
        <v>32</v>
      </c>
      <c r="H4228" s="18">
        <v>28</v>
      </c>
      <c r="I4228" s="18">
        <v>0.875</v>
      </c>
      <c r="J4228" s="18">
        <v>0.88</v>
      </c>
      <c r="K4228" s="18">
        <v>0.87</v>
      </c>
      <c r="L4228" s="22">
        <v>2</v>
      </c>
    </row>
    <row r="4229" spans="1:12">
      <c r="A4229">
        <v>5</v>
      </c>
      <c r="B4229" s="16" t="s">
        <v>60</v>
      </c>
      <c r="C4229" s="9">
        <v>45809</v>
      </c>
      <c r="D4229">
        <v>19</v>
      </c>
      <c r="E4229" s="16" t="s">
        <v>105</v>
      </c>
      <c r="F4229" s="16" t="s">
        <v>106</v>
      </c>
      <c r="G4229" s="22">
        <v>48</v>
      </c>
      <c r="H4229" s="18">
        <v>41.76</v>
      </c>
      <c r="I4229" s="18">
        <v>0.87</v>
      </c>
      <c r="J4229" s="18">
        <v>0.89</v>
      </c>
      <c r="K4229" s="18">
        <v>0.86</v>
      </c>
      <c r="L4229" s="22">
        <v>2</v>
      </c>
    </row>
    <row r="4230" spans="1:12">
      <c r="A4230">
        <v>5</v>
      </c>
      <c r="B4230" s="16" t="s">
        <v>60</v>
      </c>
      <c r="C4230" s="9">
        <v>45839</v>
      </c>
      <c r="D4230">
        <v>19</v>
      </c>
      <c r="E4230" s="16" t="s">
        <v>105</v>
      </c>
      <c r="F4230" s="16" t="s">
        <v>106</v>
      </c>
      <c r="G4230" s="22">
        <v>48</v>
      </c>
      <c r="H4230" s="18">
        <v>41.6</v>
      </c>
      <c r="I4230" s="18">
        <v>0.86666666699999995</v>
      </c>
      <c r="J4230" s="18">
        <v>0.87</v>
      </c>
      <c r="K4230" s="18">
        <v>0.86</v>
      </c>
      <c r="L4230" s="22">
        <v>3</v>
      </c>
    </row>
    <row r="4231" spans="1:12">
      <c r="A4231">
        <v>5</v>
      </c>
      <c r="B4231" s="16" t="s">
        <v>60</v>
      </c>
      <c r="C4231" s="9">
        <v>45870</v>
      </c>
      <c r="D4231">
        <v>19</v>
      </c>
      <c r="E4231" s="16" t="s">
        <v>105</v>
      </c>
      <c r="F4231" s="16" t="s">
        <v>106</v>
      </c>
      <c r="G4231" s="22">
        <v>32</v>
      </c>
      <c r="H4231" s="18">
        <v>28</v>
      </c>
      <c r="I4231" s="18">
        <v>0.875</v>
      </c>
      <c r="J4231" s="18">
        <v>0.88</v>
      </c>
      <c r="K4231" s="18">
        <v>0.87</v>
      </c>
      <c r="L4231" s="22">
        <v>2</v>
      </c>
    </row>
    <row r="4232" spans="1:12">
      <c r="A4232">
        <v>5</v>
      </c>
      <c r="B4232" s="16" t="s">
        <v>60</v>
      </c>
      <c r="C4232" s="9">
        <v>45901</v>
      </c>
      <c r="D4232">
        <v>19</v>
      </c>
      <c r="E4232" s="16" t="s">
        <v>105</v>
      </c>
      <c r="F4232" s="16" t="s">
        <v>106</v>
      </c>
      <c r="G4232" s="22">
        <v>32</v>
      </c>
      <c r="H4232" s="18">
        <v>27.84</v>
      </c>
      <c r="I4232" s="18">
        <v>0.87</v>
      </c>
      <c r="J4232" s="18">
        <v>0.87</v>
      </c>
      <c r="K4232" s="18">
        <v>0.87</v>
      </c>
      <c r="L4232" s="22">
        <v>1</v>
      </c>
    </row>
    <row r="4233" spans="1:12">
      <c r="A4233">
        <v>5</v>
      </c>
      <c r="B4233" s="16" t="s">
        <v>60</v>
      </c>
      <c r="C4233" s="9">
        <v>45931</v>
      </c>
      <c r="D4233">
        <v>19</v>
      </c>
      <c r="E4233" s="16" t="s">
        <v>105</v>
      </c>
      <c r="F4233" s="16" t="s">
        <v>106</v>
      </c>
      <c r="G4233" s="22">
        <v>32</v>
      </c>
      <c r="H4233" s="18">
        <v>28</v>
      </c>
      <c r="I4233" s="18">
        <v>0.875</v>
      </c>
      <c r="J4233" s="18">
        <v>0.88</v>
      </c>
      <c r="K4233" s="18">
        <v>0.87</v>
      </c>
      <c r="L4233" s="22">
        <v>2</v>
      </c>
    </row>
    <row r="4234" spans="1:12">
      <c r="A4234">
        <v>5</v>
      </c>
      <c r="B4234" s="16" t="s">
        <v>60</v>
      </c>
      <c r="C4234" s="9">
        <v>45962</v>
      </c>
      <c r="D4234">
        <v>19</v>
      </c>
      <c r="E4234" s="16" t="s">
        <v>105</v>
      </c>
      <c r="F4234" s="16" t="s">
        <v>106</v>
      </c>
      <c r="G4234" s="22">
        <v>32</v>
      </c>
      <c r="H4234" s="18">
        <v>28.16</v>
      </c>
      <c r="I4234" s="18">
        <v>0.88</v>
      </c>
      <c r="J4234" s="18">
        <v>0.88</v>
      </c>
      <c r="K4234" s="18">
        <v>0.88</v>
      </c>
      <c r="L4234" s="22">
        <v>2</v>
      </c>
    </row>
    <row r="4235" spans="1:12">
      <c r="A4235">
        <v>5</v>
      </c>
      <c r="B4235" s="16" t="s">
        <v>60</v>
      </c>
      <c r="C4235" s="9">
        <v>45992</v>
      </c>
      <c r="D4235">
        <v>19</v>
      </c>
      <c r="E4235" s="16" t="s">
        <v>105</v>
      </c>
      <c r="F4235" s="16" t="s">
        <v>106</v>
      </c>
      <c r="G4235" s="22">
        <v>32</v>
      </c>
      <c r="H4235" s="18">
        <v>28</v>
      </c>
      <c r="I4235" s="18">
        <v>0.875</v>
      </c>
      <c r="J4235" s="18">
        <v>0.88</v>
      </c>
      <c r="K4235" s="18">
        <v>0.87</v>
      </c>
      <c r="L4235" s="22">
        <v>2</v>
      </c>
    </row>
    <row r="4236" spans="1:12">
      <c r="A4236">
        <v>5</v>
      </c>
      <c r="B4236" s="16" t="s">
        <v>60</v>
      </c>
      <c r="C4236" s="9">
        <v>46023</v>
      </c>
      <c r="D4236">
        <v>19</v>
      </c>
      <c r="E4236" s="16" t="s">
        <v>105</v>
      </c>
      <c r="F4236" s="16" t="s">
        <v>106</v>
      </c>
      <c r="G4236" s="22">
        <v>48</v>
      </c>
      <c r="H4236" s="18">
        <v>42.08</v>
      </c>
      <c r="I4236" s="18">
        <v>0.87666666699999996</v>
      </c>
      <c r="J4236" s="18">
        <v>0.89</v>
      </c>
      <c r="K4236" s="18">
        <v>0.87</v>
      </c>
      <c r="L4236" s="22">
        <v>3</v>
      </c>
    </row>
    <row r="4237" spans="1:12">
      <c r="A4237">
        <v>5</v>
      </c>
      <c r="B4237" s="16" t="s">
        <v>60</v>
      </c>
      <c r="C4237" s="9">
        <v>46054</v>
      </c>
      <c r="D4237">
        <v>19</v>
      </c>
      <c r="E4237" s="16" t="s">
        <v>105</v>
      </c>
      <c r="F4237" s="16" t="s">
        <v>106</v>
      </c>
      <c r="G4237" s="22">
        <v>48</v>
      </c>
      <c r="H4237" s="18">
        <v>41.92</v>
      </c>
      <c r="I4237" s="18">
        <v>0.87333333300000004</v>
      </c>
      <c r="J4237" s="18">
        <v>0.88</v>
      </c>
      <c r="K4237" s="18">
        <v>0.86</v>
      </c>
      <c r="L4237" s="22">
        <v>2</v>
      </c>
    </row>
    <row r="4238" spans="1:12">
      <c r="A4238">
        <v>5</v>
      </c>
      <c r="B4238" s="16" t="s">
        <v>60</v>
      </c>
      <c r="C4238" s="9">
        <v>46082</v>
      </c>
      <c r="D4238">
        <v>19</v>
      </c>
      <c r="E4238" s="16" t="s">
        <v>105</v>
      </c>
      <c r="F4238" s="16" t="s">
        <v>106</v>
      </c>
      <c r="G4238" s="22">
        <v>32</v>
      </c>
      <c r="H4238" s="18">
        <v>28.48</v>
      </c>
      <c r="I4238" s="18">
        <v>0.89</v>
      </c>
      <c r="J4238" s="18">
        <v>0.89</v>
      </c>
      <c r="K4238" s="18">
        <v>0.89</v>
      </c>
      <c r="L4238" s="22">
        <v>2</v>
      </c>
    </row>
    <row r="4239" spans="1:12">
      <c r="A4239">
        <v>5</v>
      </c>
      <c r="B4239" s="16" t="s">
        <v>60</v>
      </c>
      <c r="C4239" s="9">
        <v>46113</v>
      </c>
      <c r="D4239">
        <v>19</v>
      </c>
      <c r="E4239" s="16" t="s">
        <v>105</v>
      </c>
      <c r="F4239" s="16" t="s">
        <v>106</v>
      </c>
      <c r="G4239" s="22">
        <v>32</v>
      </c>
      <c r="H4239" s="18">
        <v>28.64</v>
      </c>
      <c r="I4239" s="18">
        <v>0.89500000000000002</v>
      </c>
      <c r="J4239" s="18">
        <v>0.91</v>
      </c>
      <c r="K4239" s="18">
        <v>0.88</v>
      </c>
      <c r="L4239" s="22">
        <v>2</v>
      </c>
    </row>
    <row r="4240" spans="1:12">
      <c r="A4240">
        <v>5</v>
      </c>
      <c r="B4240" s="16" t="s">
        <v>60</v>
      </c>
      <c r="C4240" s="9">
        <v>46143</v>
      </c>
      <c r="D4240">
        <v>19</v>
      </c>
      <c r="E4240" s="16" t="s">
        <v>105</v>
      </c>
      <c r="F4240" s="16" t="s">
        <v>106</v>
      </c>
      <c r="G4240" s="22">
        <v>48</v>
      </c>
      <c r="H4240" s="18">
        <v>42.56</v>
      </c>
      <c r="I4240" s="18">
        <v>0.88666666699999996</v>
      </c>
      <c r="J4240" s="18">
        <v>0.9</v>
      </c>
      <c r="K4240" s="18">
        <v>0.88</v>
      </c>
      <c r="L4240" s="22">
        <v>2</v>
      </c>
    </row>
    <row r="4241" spans="1:12">
      <c r="A4241">
        <v>5</v>
      </c>
      <c r="B4241" s="16" t="s">
        <v>60</v>
      </c>
      <c r="C4241" s="9">
        <v>46174</v>
      </c>
      <c r="D4241">
        <v>19</v>
      </c>
      <c r="E4241" s="16" t="s">
        <v>105</v>
      </c>
      <c r="F4241" s="16" t="s">
        <v>106</v>
      </c>
      <c r="G4241" s="22">
        <v>32</v>
      </c>
      <c r="H4241" s="18">
        <v>28.32</v>
      </c>
      <c r="I4241" s="18">
        <v>0.88500000000000001</v>
      </c>
      <c r="J4241" s="18">
        <v>0.89</v>
      </c>
      <c r="K4241" s="18">
        <v>0.88</v>
      </c>
      <c r="L4241" s="22">
        <v>2</v>
      </c>
    </row>
    <row r="4242" spans="1:12">
      <c r="A4242">
        <v>5</v>
      </c>
      <c r="B4242" s="16" t="s">
        <v>60</v>
      </c>
      <c r="C4242" s="9">
        <v>46204</v>
      </c>
      <c r="D4242">
        <v>19</v>
      </c>
      <c r="E4242" s="16" t="s">
        <v>105</v>
      </c>
      <c r="F4242" s="16" t="s">
        <v>106</v>
      </c>
      <c r="G4242" s="22">
        <v>48</v>
      </c>
      <c r="H4242" s="18">
        <v>43.2</v>
      </c>
      <c r="I4242" s="18">
        <v>0.9</v>
      </c>
      <c r="J4242" s="18">
        <v>0.9</v>
      </c>
      <c r="K4242" s="18">
        <v>0.9</v>
      </c>
      <c r="L4242" s="22">
        <v>3</v>
      </c>
    </row>
    <row r="4243" spans="1:12">
      <c r="A4243">
        <v>5</v>
      </c>
      <c r="B4243" s="16" t="s">
        <v>60</v>
      </c>
      <c r="C4243" s="9">
        <v>46235</v>
      </c>
      <c r="D4243">
        <v>19</v>
      </c>
      <c r="E4243" s="16" t="s">
        <v>105</v>
      </c>
      <c r="F4243" s="16" t="s">
        <v>106</v>
      </c>
      <c r="G4243" s="22">
        <v>32</v>
      </c>
      <c r="H4243" s="18">
        <v>28.96</v>
      </c>
      <c r="I4243" s="18">
        <v>0.90500000000000003</v>
      </c>
      <c r="J4243" s="18">
        <v>0.91</v>
      </c>
      <c r="K4243" s="18">
        <v>0.9</v>
      </c>
      <c r="L4243" s="22">
        <v>2</v>
      </c>
    </row>
    <row r="4244" spans="1:12">
      <c r="A4244">
        <v>5</v>
      </c>
      <c r="B4244" s="16" t="s">
        <v>60</v>
      </c>
      <c r="C4244" s="9">
        <v>46266</v>
      </c>
      <c r="D4244">
        <v>19</v>
      </c>
      <c r="E4244" s="16" t="s">
        <v>105</v>
      </c>
      <c r="F4244" s="16" t="s">
        <v>106</v>
      </c>
      <c r="G4244" s="22">
        <v>32</v>
      </c>
      <c r="H4244" s="18">
        <v>28.64</v>
      </c>
      <c r="I4244" s="18">
        <v>0.89500000000000002</v>
      </c>
      <c r="J4244" s="18">
        <v>0.9</v>
      </c>
      <c r="K4244" s="18">
        <v>0.89</v>
      </c>
      <c r="L4244" s="22">
        <v>2</v>
      </c>
    </row>
    <row r="4245" spans="1:12">
      <c r="A4245">
        <v>5</v>
      </c>
      <c r="B4245" s="16" t="s">
        <v>60</v>
      </c>
      <c r="C4245" s="9">
        <v>45717</v>
      </c>
      <c r="D4245">
        <v>20</v>
      </c>
      <c r="E4245" s="16" t="s">
        <v>107</v>
      </c>
      <c r="F4245" s="16" t="s">
        <v>108</v>
      </c>
      <c r="G4245" s="22">
        <v>6.25</v>
      </c>
      <c r="H4245" s="18">
        <v>65.5625</v>
      </c>
      <c r="I4245" s="18">
        <v>10.49</v>
      </c>
      <c r="J4245" s="18">
        <v>10.49</v>
      </c>
      <c r="K4245" s="18">
        <v>10.49</v>
      </c>
      <c r="L4245" s="22">
        <v>1</v>
      </c>
    </row>
    <row r="4246" spans="1:12">
      <c r="A4246">
        <v>5</v>
      </c>
      <c r="B4246" s="16" t="s">
        <v>60</v>
      </c>
      <c r="C4246" s="9">
        <v>45870</v>
      </c>
      <c r="D4246">
        <v>20</v>
      </c>
      <c r="E4246" s="16" t="s">
        <v>107</v>
      </c>
      <c r="F4246" s="16" t="s">
        <v>108</v>
      </c>
      <c r="G4246" s="22">
        <v>6.25</v>
      </c>
      <c r="H4246" s="18">
        <v>66.125</v>
      </c>
      <c r="I4246" s="18">
        <v>10.58</v>
      </c>
      <c r="J4246" s="18">
        <v>10.58</v>
      </c>
      <c r="K4246" s="18">
        <v>10.58</v>
      </c>
      <c r="L4246" s="22">
        <v>1</v>
      </c>
    </row>
    <row r="4247" spans="1:12">
      <c r="A4247">
        <v>5</v>
      </c>
      <c r="B4247" s="16" t="s">
        <v>60</v>
      </c>
      <c r="C4247" s="9">
        <v>45962</v>
      </c>
      <c r="D4247">
        <v>20</v>
      </c>
      <c r="E4247" s="16" t="s">
        <v>107</v>
      </c>
      <c r="F4247" s="16" t="s">
        <v>108</v>
      </c>
      <c r="G4247" s="22">
        <v>6.25</v>
      </c>
      <c r="H4247" s="18">
        <v>79.8125</v>
      </c>
      <c r="I4247" s="18">
        <v>12.77</v>
      </c>
      <c r="J4247" s="18">
        <v>12.77</v>
      </c>
      <c r="K4247" s="18">
        <v>12.77</v>
      </c>
      <c r="L4247" s="22">
        <v>1</v>
      </c>
    </row>
    <row r="4248" spans="1:12">
      <c r="A4248">
        <v>5</v>
      </c>
      <c r="B4248" s="16" t="s">
        <v>60</v>
      </c>
      <c r="C4248" s="9">
        <v>46054</v>
      </c>
      <c r="D4248">
        <v>20</v>
      </c>
      <c r="E4248" s="16" t="s">
        <v>107</v>
      </c>
      <c r="F4248" s="16" t="s">
        <v>108</v>
      </c>
      <c r="G4248" s="22">
        <v>6.25</v>
      </c>
      <c r="H4248" s="18">
        <v>66.9375</v>
      </c>
      <c r="I4248" s="18">
        <v>10.71</v>
      </c>
      <c r="J4248" s="18">
        <v>10.71</v>
      </c>
      <c r="K4248" s="18">
        <v>10.71</v>
      </c>
      <c r="L4248" s="22">
        <v>1</v>
      </c>
    </row>
    <row r="4249" spans="1:12">
      <c r="A4249">
        <v>5</v>
      </c>
      <c r="B4249" s="16" t="s">
        <v>60</v>
      </c>
      <c r="C4249" s="9">
        <v>46174</v>
      </c>
      <c r="D4249">
        <v>20</v>
      </c>
      <c r="E4249" s="16" t="s">
        <v>107</v>
      </c>
      <c r="F4249" s="16" t="s">
        <v>108</v>
      </c>
      <c r="G4249" s="22">
        <v>6.25</v>
      </c>
      <c r="H4249" s="18">
        <v>67.8125</v>
      </c>
      <c r="I4249" s="18">
        <v>10.85</v>
      </c>
      <c r="J4249" s="18">
        <v>10.85</v>
      </c>
      <c r="K4249" s="18">
        <v>10.85</v>
      </c>
      <c r="L4249" s="22">
        <v>1</v>
      </c>
    </row>
    <row r="4250" spans="1:12">
      <c r="A4250">
        <v>5</v>
      </c>
      <c r="B4250" s="16" t="s">
        <v>60</v>
      </c>
      <c r="C4250" s="9">
        <v>45689</v>
      </c>
      <c r="D4250">
        <v>21</v>
      </c>
      <c r="E4250" s="16" t="s">
        <v>109</v>
      </c>
      <c r="F4250" s="16" t="s">
        <v>83</v>
      </c>
      <c r="G4250" s="22">
        <v>10</v>
      </c>
      <c r="H4250" s="18">
        <v>50.9</v>
      </c>
      <c r="I4250" s="18">
        <v>5.09</v>
      </c>
      <c r="J4250" s="18">
        <v>5.13</v>
      </c>
      <c r="K4250" s="18">
        <v>5.05</v>
      </c>
      <c r="L4250" s="22">
        <v>2</v>
      </c>
    </row>
    <row r="4251" spans="1:12">
      <c r="A4251">
        <v>5</v>
      </c>
      <c r="B4251" s="16" t="s">
        <v>60</v>
      </c>
      <c r="C4251" s="9">
        <v>45717</v>
      </c>
      <c r="D4251">
        <v>21</v>
      </c>
      <c r="E4251" s="16" t="s">
        <v>109</v>
      </c>
      <c r="F4251" s="16" t="s">
        <v>83</v>
      </c>
      <c r="G4251" s="22">
        <v>5</v>
      </c>
      <c r="H4251" s="18">
        <v>25.9</v>
      </c>
      <c r="I4251" s="18">
        <v>5.18</v>
      </c>
      <c r="J4251" s="18">
        <v>5.18</v>
      </c>
      <c r="K4251" s="18">
        <v>5.18</v>
      </c>
      <c r="L4251" s="22">
        <v>1</v>
      </c>
    </row>
    <row r="4252" spans="1:12">
      <c r="A4252">
        <v>5</v>
      </c>
      <c r="B4252" s="16" t="s">
        <v>60</v>
      </c>
      <c r="C4252" s="9">
        <v>45748</v>
      </c>
      <c r="D4252">
        <v>21</v>
      </c>
      <c r="E4252" s="16" t="s">
        <v>109</v>
      </c>
      <c r="F4252" s="16" t="s">
        <v>83</v>
      </c>
      <c r="G4252" s="22">
        <v>5</v>
      </c>
      <c r="H4252" s="18">
        <v>25.8</v>
      </c>
      <c r="I4252" s="18">
        <v>5.16</v>
      </c>
      <c r="J4252" s="18">
        <v>5.16</v>
      </c>
      <c r="K4252" s="18">
        <v>5.16</v>
      </c>
      <c r="L4252" s="22">
        <v>1</v>
      </c>
    </row>
    <row r="4253" spans="1:12">
      <c r="A4253">
        <v>5</v>
      </c>
      <c r="B4253" s="16" t="s">
        <v>60</v>
      </c>
      <c r="C4253" s="9">
        <v>45778</v>
      </c>
      <c r="D4253">
        <v>21</v>
      </c>
      <c r="E4253" s="16" t="s">
        <v>109</v>
      </c>
      <c r="F4253" s="16" t="s">
        <v>83</v>
      </c>
      <c r="G4253" s="22">
        <v>10</v>
      </c>
      <c r="H4253" s="18">
        <v>52.8</v>
      </c>
      <c r="I4253" s="18">
        <v>5.28</v>
      </c>
      <c r="J4253" s="18">
        <v>5.31</v>
      </c>
      <c r="K4253" s="18">
        <v>5.25</v>
      </c>
      <c r="L4253" s="22">
        <v>2</v>
      </c>
    </row>
    <row r="4254" spans="1:12">
      <c r="A4254">
        <v>5</v>
      </c>
      <c r="B4254" s="16" t="s">
        <v>60</v>
      </c>
      <c r="C4254" s="9">
        <v>45809</v>
      </c>
      <c r="D4254">
        <v>21</v>
      </c>
      <c r="E4254" s="16" t="s">
        <v>109</v>
      </c>
      <c r="F4254" s="16" t="s">
        <v>83</v>
      </c>
      <c r="G4254" s="22">
        <v>5</v>
      </c>
      <c r="H4254" s="18">
        <v>26.6</v>
      </c>
      <c r="I4254" s="18">
        <v>5.32</v>
      </c>
      <c r="J4254" s="18">
        <v>5.32</v>
      </c>
      <c r="K4254" s="18">
        <v>5.32</v>
      </c>
      <c r="L4254" s="22">
        <v>1</v>
      </c>
    </row>
    <row r="4255" spans="1:12">
      <c r="A4255">
        <v>5</v>
      </c>
      <c r="B4255" s="16" t="s">
        <v>60</v>
      </c>
      <c r="C4255" s="9">
        <v>45839</v>
      </c>
      <c r="D4255">
        <v>21</v>
      </c>
      <c r="E4255" s="16" t="s">
        <v>109</v>
      </c>
      <c r="F4255" s="16" t="s">
        <v>83</v>
      </c>
      <c r="G4255" s="22">
        <v>10</v>
      </c>
      <c r="H4255" s="18">
        <v>52.2</v>
      </c>
      <c r="I4255" s="18">
        <v>5.22</v>
      </c>
      <c r="J4255" s="18">
        <v>5.26</v>
      </c>
      <c r="K4255" s="18">
        <v>5.18</v>
      </c>
      <c r="L4255" s="22">
        <v>2</v>
      </c>
    </row>
    <row r="4256" spans="1:12">
      <c r="A4256">
        <v>5</v>
      </c>
      <c r="B4256" s="16" t="s">
        <v>60</v>
      </c>
      <c r="C4256" s="9">
        <v>45870</v>
      </c>
      <c r="D4256">
        <v>21</v>
      </c>
      <c r="E4256" s="16" t="s">
        <v>109</v>
      </c>
      <c r="F4256" s="16" t="s">
        <v>83</v>
      </c>
      <c r="G4256" s="22">
        <v>5</v>
      </c>
      <c r="H4256" s="18">
        <v>26.15</v>
      </c>
      <c r="I4256" s="18">
        <v>5.23</v>
      </c>
      <c r="J4256" s="18">
        <v>5.23</v>
      </c>
      <c r="K4256" s="18">
        <v>5.23</v>
      </c>
      <c r="L4256" s="22">
        <v>1</v>
      </c>
    </row>
    <row r="4257" spans="1:12">
      <c r="A4257">
        <v>5</v>
      </c>
      <c r="B4257" s="16" t="s">
        <v>60</v>
      </c>
      <c r="C4257" s="9">
        <v>45901</v>
      </c>
      <c r="D4257">
        <v>21</v>
      </c>
      <c r="E4257" s="16" t="s">
        <v>109</v>
      </c>
      <c r="F4257" s="16" t="s">
        <v>83</v>
      </c>
      <c r="G4257" s="22">
        <v>5</v>
      </c>
      <c r="H4257" s="18">
        <v>26.35</v>
      </c>
      <c r="I4257" s="18">
        <v>5.27</v>
      </c>
      <c r="J4257" s="18">
        <v>5.27</v>
      </c>
      <c r="K4257" s="18">
        <v>5.27</v>
      </c>
      <c r="L4257" s="22">
        <v>1</v>
      </c>
    </row>
    <row r="4258" spans="1:12">
      <c r="A4258">
        <v>5</v>
      </c>
      <c r="B4258" s="16" t="s">
        <v>60</v>
      </c>
      <c r="C4258" s="9">
        <v>45931</v>
      </c>
      <c r="D4258">
        <v>21</v>
      </c>
      <c r="E4258" s="16" t="s">
        <v>109</v>
      </c>
      <c r="F4258" s="16" t="s">
        <v>83</v>
      </c>
      <c r="G4258" s="22">
        <v>5</v>
      </c>
      <c r="H4258" s="18">
        <v>29</v>
      </c>
      <c r="I4258" s="18">
        <v>5.8</v>
      </c>
      <c r="J4258" s="18">
        <v>5.8</v>
      </c>
      <c r="K4258" s="18">
        <v>5.8</v>
      </c>
      <c r="L4258" s="22">
        <v>1</v>
      </c>
    </row>
    <row r="4259" spans="1:12">
      <c r="A4259">
        <v>5</v>
      </c>
      <c r="B4259" s="16" t="s">
        <v>60</v>
      </c>
      <c r="C4259" s="9">
        <v>45962</v>
      </c>
      <c r="D4259">
        <v>21</v>
      </c>
      <c r="E4259" s="16" t="s">
        <v>109</v>
      </c>
      <c r="F4259" s="16" t="s">
        <v>83</v>
      </c>
      <c r="G4259" s="22">
        <v>10</v>
      </c>
      <c r="H4259" s="18">
        <v>57.7</v>
      </c>
      <c r="I4259" s="18">
        <v>5.77</v>
      </c>
      <c r="J4259" s="18">
        <v>5.8</v>
      </c>
      <c r="K4259" s="18">
        <v>5.74</v>
      </c>
      <c r="L4259" s="22">
        <v>2</v>
      </c>
    </row>
    <row r="4260" spans="1:12">
      <c r="A4260">
        <v>5</v>
      </c>
      <c r="B4260" s="16" t="s">
        <v>60</v>
      </c>
      <c r="C4260" s="9">
        <v>45992</v>
      </c>
      <c r="D4260">
        <v>21</v>
      </c>
      <c r="E4260" s="16" t="s">
        <v>109</v>
      </c>
      <c r="F4260" s="16" t="s">
        <v>83</v>
      </c>
      <c r="G4260" s="22">
        <v>5</v>
      </c>
      <c r="H4260" s="18">
        <v>29.05</v>
      </c>
      <c r="I4260" s="18">
        <v>5.81</v>
      </c>
      <c r="J4260" s="18">
        <v>5.81</v>
      </c>
      <c r="K4260" s="18">
        <v>5.81</v>
      </c>
      <c r="L4260" s="22">
        <v>1</v>
      </c>
    </row>
    <row r="4261" spans="1:12">
      <c r="A4261">
        <v>5</v>
      </c>
      <c r="B4261" s="16" t="s">
        <v>60</v>
      </c>
      <c r="C4261" s="9">
        <v>46023</v>
      </c>
      <c r="D4261">
        <v>21</v>
      </c>
      <c r="E4261" s="16" t="s">
        <v>109</v>
      </c>
      <c r="F4261" s="16" t="s">
        <v>83</v>
      </c>
      <c r="G4261" s="22">
        <v>10</v>
      </c>
      <c r="H4261" s="18">
        <v>53.4</v>
      </c>
      <c r="I4261" s="18">
        <v>5.34</v>
      </c>
      <c r="J4261" s="18">
        <v>5.38</v>
      </c>
      <c r="K4261" s="18">
        <v>5.3</v>
      </c>
      <c r="L4261" s="22">
        <v>2</v>
      </c>
    </row>
    <row r="4262" spans="1:12">
      <c r="A4262">
        <v>5</v>
      </c>
      <c r="B4262" s="16" t="s">
        <v>60</v>
      </c>
      <c r="C4262" s="9">
        <v>46054</v>
      </c>
      <c r="D4262">
        <v>21</v>
      </c>
      <c r="E4262" s="16" t="s">
        <v>109</v>
      </c>
      <c r="F4262" s="16" t="s">
        <v>83</v>
      </c>
      <c r="G4262" s="22">
        <v>5</v>
      </c>
      <c r="H4262" s="18">
        <v>26.45</v>
      </c>
      <c r="I4262" s="18">
        <v>5.29</v>
      </c>
      <c r="J4262" s="18">
        <v>5.29</v>
      </c>
      <c r="K4262" s="18">
        <v>5.29</v>
      </c>
      <c r="L4262" s="22">
        <v>1</v>
      </c>
    </row>
    <row r="4263" spans="1:12">
      <c r="A4263">
        <v>5</v>
      </c>
      <c r="B4263" s="16" t="s">
        <v>60</v>
      </c>
      <c r="C4263" s="9">
        <v>46082</v>
      </c>
      <c r="D4263">
        <v>21</v>
      </c>
      <c r="E4263" s="16" t="s">
        <v>109</v>
      </c>
      <c r="F4263" s="16" t="s">
        <v>83</v>
      </c>
      <c r="G4263" s="22">
        <v>10</v>
      </c>
      <c r="H4263" s="18">
        <v>53.9</v>
      </c>
      <c r="I4263" s="18">
        <v>5.39</v>
      </c>
      <c r="J4263" s="18">
        <v>5.43</v>
      </c>
      <c r="K4263" s="18">
        <v>5.35</v>
      </c>
      <c r="L4263" s="22">
        <v>2</v>
      </c>
    </row>
    <row r="4264" spans="1:12">
      <c r="A4264">
        <v>5</v>
      </c>
      <c r="B4264" s="16" t="s">
        <v>60</v>
      </c>
      <c r="C4264" s="9">
        <v>46113</v>
      </c>
      <c r="D4264">
        <v>21</v>
      </c>
      <c r="E4264" s="16" t="s">
        <v>109</v>
      </c>
      <c r="F4264" s="16" t="s">
        <v>83</v>
      </c>
      <c r="G4264" s="22">
        <v>5</v>
      </c>
      <c r="H4264" s="18">
        <v>27.1</v>
      </c>
      <c r="I4264" s="18">
        <v>5.42</v>
      </c>
      <c r="J4264" s="18">
        <v>5.42</v>
      </c>
      <c r="K4264" s="18">
        <v>5.42</v>
      </c>
      <c r="L4264" s="22">
        <v>1</v>
      </c>
    </row>
    <row r="4265" spans="1:12">
      <c r="A4265">
        <v>5</v>
      </c>
      <c r="B4265" s="16" t="s">
        <v>60</v>
      </c>
      <c r="C4265" s="9">
        <v>46143</v>
      </c>
      <c r="D4265">
        <v>21</v>
      </c>
      <c r="E4265" s="16" t="s">
        <v>109</v>
      </c>
      <c r="F4265" s="16" t="s">
        <v>83</v>
      </c>
      <c r="G4265" s="22">
        <v>10</v>
      </c>
      <c r="H4265" s="18">
        <v>53.85</v>
      </c>
      <c r="I4265" s="18">
        <v>5.3849999999999998</v>
      </c>
      <c r="J4265" s="18">
        <v>5.39</v>
      </c>
      <c r="K4265" s="18">
        <v>5.38</v>
      </c>
      <c r="L4265" s="22">
        <v>2</v>
      </c>
    </row>
    <row r="4266" spans="1:12">
      <c r="A4266">
        <v>5</v>
      </c>
      <c r="B4266" s="16" t="s">
        <v>60</v>
      </c>
      <c r="C4266" s="9">
        <v>46174</v>
      </c>
      <c r="D4266">
        <v>21</v>
      </c>
      <c r="E4266" s="16" t="s">
        <v>109</v>
      </c>
      <c r="F4266" s="16" t="s">
        <v>83</v>
      </c>
      <c r="G4266" s="22">
        <v>5</v>
      </c>
      <c r="H4266" s="18">
        <v>26.9</v>
      </c>
      <c r="I4266" s="18">
        <v>5.38</v>
      </c>
      <c r="J4266" s="18">
        <v>5.38</v>
      </c>
      <c r="K4266" s="18">
        <v>5.38</v>
      </c>
      <c r="L4266" s="22">
        <v>1</v>
      </c>
    </row>
    <row r="4267" spans="1:12">
      <c r="A4267">
        <v>5</v>
      </c>
      <c r="B4267" s="16" t="s">
        <v>60</v>
      </c>
      <c r="C4267" s="9">
        <v>46204</v>
      </c>
      <c r="D4267">
        <v>21</v>
      </c>
      <c r="E4267" s="16" t="s">
        <v>109</v>
      </c>
      <c r="F4267" s="16" t="s">
        <v>83</v>
      </c>
      <c r="G4267" s="22">
        <v>10</v>
      </c>
      <c r="H4267" s="18">
        <v>54.15</v>
      </c>
      <c r="I4267" s="18">
        <v>5.415</v>
      </c>
      <c r="J4267" s="18">
        <v>5.42</v>
      </c>
      <c r="K4267" s="18">
        <v>5.41</v>
      </c>
      <c r="L4267" s="22">
        <v>2</v>
      </c>
    </row>
    <row r="4268" spans="1:12">
      <c r="A4268">
        <v>5</v>
      </c>
      <c r="B4268" s="16" t="s">
        <v>60</v>
      </c>
      <c r="C4268" s="9">
        <v>46235</v>
      </c>
      <c r="D4268">
        <v>21</v>
      </c>
      <c r="E4268" s="16" t="s">
        <v>109</v>
      </c>
      <c r="F4268" s="16" t="s">
        <v>83</v>
      </c>
      <c r="G4268" s="22">
        <v>5</v>
      </c>
      <c r="H4268" s="18">
        <v>26.8</v>
      </c>
      <c r="I4268" s="18">
        <v>5.36</v>
      </c>
      <c r="J4268" s="18">
        <v>5.36</v>
      </c>
      <c r="K4268" s="18">
        <v>5.36</v>
      </c>
      <c r="L4268" s="22">
        <v>1</v>
      </c>
    </row>
    <row r="4269" spans="1:12">
      <c r="A4269">
        <v>5</v>
      </c>
      <c r="B4269" s="16" t="s">
        <v>60</v>
      </c>
      <c r="C4269" s="9">
        <v>46266</v>
      </c>
      <c r="D4269">
        <v>21</v>
      </c>
      <c r="E4269" s="16" t="s">
        <v>109</v>
      </c>
      <c r="F4269" s="16" t="s">
        <v>83</v>
      </c>
      <c r="G4269" s="22">
        <v>5</v>
      </c>
      <c r="H4269" s="18">
        <v>27.75</v>
      </c>
      <c r="I4269" s="18">
        <v>5.55</v>
      </c>
      <c r="J4269" s="18">
        <v>5.55</v>
      </c>
      <c r="K4269" s="18">
        <v>5.55</v>
      </c>
      <c r="L4269" s="22">
        <v>1</v>
      </c>
    </row>
    <row r="4270" spans="1:12">
      <c r="A4270">
        <v>5</v>
      </c>
      <c r="B4270" s="16" t="s">
        <v>60</v>
      </c>
      <c r="C4270" s="9">
        <v>45689</v>
      </c>
      <c r="D4270">
        <v>22</v>
      </c>
      <c r="E4270" s="16" t="s">
        <v>110</v>
      </c>
      <c r="F4270" s="16" t="s">
        <v>90</v>
      </c>
      <c r="G4270" s="22">
        <v>36.25</v>
      </c>
      <c r="H4270" s="18">
        <v>137.55000000000001</v>
      </c>
      <c r="I4270" s="18">
        <v>3.7944827590000001</v>
      </c>
      <c r="J4270" s="18">
        <v>3.86</v>
      </c>
      <c r="K4270" s="18">
        <v>3.76</v>
      </c>
      <c r="L4270" s="22">
        <v>2</v>
      </c>
    </row>
    <row r="4271" spans="1:12">
      <c r="A4271">
        <v>5</v>
      </c>
      <c r="B4271" s="16" t="s">
        <v>60</v>
      </c>
      <c r="C4271" s="9">
        <v>45717</v>
      </c>
      <c r="D4271">
        <v>22</v>
      </c>
      <c r="E4271" s="16" t="s">
        <v>110</v>
      </c>
      <c r="F4271" s="16" t="s">
        <v>90</v>
      </c>
      <c r="G4271" s="22">
        <v>33.75</v>
      </c>
      <c r="H4271" s="18">
        <v>126.71250000000001</v>
      </c>
      <c r="I4271" s="18">
        <v>3.7544444440000002</v>
      </c>
      <c r="J4271" s="18">
        <v>3.79</v>
      </c>
      <c r="K4271" s="18">
        <v>3.73</v>
      </c>
      <c r="L4271" s="22">
        <v>2</v>
      </c>
    </row>
    <row r="4272" spans="1:12">
      <c r="A4272">
        <v>5</v>
      </c>
      <c r="B4272" s="16" t="s">
        <v>60</v>
      </c>
      <c r="C4272" s="9">
        <v>45748</v>
      </c>
      <c r="D4272">
        <v>22</v>
      </c>
      <c r="E4272" s="16" t="s">
        <v>110</v>
      </c>
      <c r="F4272" s="16" t="s">
        <v>90</v>
      </c>
      <c r="G4272" s="22">
        <v>31.25</v>
      </c>
      <c r="H4272" s="18">
        <v>118.9375</v>
      </c>
      <c r="I4272" s="18">
        <v>3.806</v>
      </c>
      <c r="J4272" s="18">
        <v>3.81</v>
      </c>
      <c r="K4272" s="18">
        <v>3.8</v>
      </c>
      <c r="L4272" s="22">
        <v>2</v>
      </c>
    </row>
    <row r="4273" spans="1:12">
      <c r="A4273">
        <v>5</v>
      </c>
      <c r="B4273" s="16" t="s">
        <v>60</v>
      </c>
      <c r="C4273" s="9">
        <v>45778</v>
      </c>
      <c r="D4273">
        <v>22</v>
      </c>
      <c r="E4273" s="16" t="s">
        <v>110</v>
      </c>
      <c r="F4273" s="16" t="s">
        <v>90</v>
      </c>
      <c r="G4273" s="22">
        <v>30</v>
      </c>
      <c r="H4273" s="18">
        <v>114.45</v>
      </c>
      <c r="I4273" s="18">
        <v>3.8149999999999999</v>
      </c>
      <c r="J4273" s="18">
        <v>3.84</v>
      </c>
      <c r="K4273" s="18">
        <v>3.79</v>
      </c>
      <c r="L4273" s="22">
        <v>2</v>
      </c>
    </row>
    <row r="4274" spans="1:12">
      <c r="A4274">
        <v>5</v>
      </c>
      <c r="B4274" s="16" t="s">
        <v>60</v>
      </c>
      <c r="C4274" s="9">
        <v>45809</v>
      </c>
      <c r="D4274">
        <v>22</v>
      </c>
      <c r="E4274" s="16" t="s">
        <v>110</v>
      </c>
      <c r="F4274" s="16" t="s">
        <v>90</v>
      </c>
      <c r="G4274" s="22">
        <v>22.5</v>
      </c>
      <c r="H4274" s="18">
        <v>85.825000000000003</v>
      </c>
      <c r="I4274" s="18">
        <v>3.8144444439999998</v>
      </c>
      <c r="J4274" s="18">
        <v>3.87</v>
      </c>
      <c r="K4274" s="18">
        <v>3.77</v>
      </c>
      <c r="L4274" s="22">
        <v>2</v>
      </c>
    </row>
    <row r="4275" spans="1:12">
      <c r="A4275">
        <v>5</v>
      </c>
      <c r="B4275" s="16" t="s">
        <v>60</v>
      </c>
      <c r="C4275" s="9">
        <v>45839</v>
      </c>
      <c r="D4275">
        <v>22</v>
      </c>
      <c r="E4275" s="16" t="s">
        <v>110</v>
      </c>
      <c r="F4275" s="16" t="s">
        <v>90</v>
      </c>
      <c r="G4275" s="22">
        <v>40</v>
      </c>
      <c r="H4275" s="18">
        <v>154.17500000000001</v>
      </c>
      <c r="I4275" s="18">
        <v>3.8543750000000001</v>
      </c>
      <c r="J4275" s="18">
        <v>3.9</v>
      </c>
      <c r="K4275" s="18">
        <v>3.78</v>
      </c>
      <c r="L4275" s="22">
        <v>3</v>
      </c>
    </row>
    <row r="4276" spans="1:12">
      <c r="A4276">
        <v>5</v>
      </c>
      <c r="B4276" s="16" t="s">
        <v>60</v>
      </c>
      <c r="C4276" s="9">
        <v>45870</v>
      </c>
      <c r="D4276">
        <v>22</v>
      </c>
      <c r="E4276" s="16" t="s">
        <v>110</v>
      </c>
      <c r="F4276" s="16" t="s">
        <v>90</v>
      </c>
      <c r="G4276" s="22">
        <v>26.25</v>
      </c>
      <c r="H4276" s="18">
        <v>99.037499999999994</v>
      </c>
      <c r="I4276" s="18">
        <v>3.772857143</v>
      </c>
      <c r="J4276" s="18">
        <v>3.79</v>
      </c>
      <c r="K4276" s="18">
        <v>3.76</v>
      </c>
      <c r="L4276" s="22">
        <v>2</v>
      </c>
    </row>
    <row r="4277" spans="1:12">
      <c r="A4277">
        <v>5</v>
      </c>
      <c r="B4277" s="16" t="s">
        <v>60</v>
      </c>
      <c r="C4277" s="9">
        <v>45901</v>
      </c>
      <c r="D4277">
        <v>22</v>
      </c>
      <c r="E4277" s="16" t="s">
        <v>110</v>
      </c>
      <c r="F4277" s="16" t="s">
        <v>90</v>
      </c>
      <c r="G4277" s="22">
        <v>23.75</v>
      </c>
      <c r="H4277" s="18">
        <v>91.05</v>
      </c>
      <c r="I4277" s="18">
        <v>3.833684211</v>
      </c>
      <c r="J4277" s="18">
        <v>3.84</v>
      </c>
      <c r="K4277" s="18">
        <v>3.82</v>
      </c>
      <c r="L4277" s="22">
        <v>2</v>
      </c>
    </row>
    <row r="4278" spans="1:12">
      <c r="A4278">
        <v>5</v>
      </c>
      <c r="B4278" s="16" t="s">
        <v>60</v>
      </c>
      <c r="C4278" s="9">
        <v>45931</v>
      </c>
      <c r="D4278">
        <v>22</v>
      </c>
      <c r="E4278" s="16" t="s">
        <v>110</v>
      </c>
      <c r="F4278" s="16" t="s">
        <v>90</v>
      </c>
      <c r="G4278" s="22">
        <v>35</v>
      </c>
      <c r="H4278" s="18">
        <v>131.19999999999999</v>
      </c>
      <c r="I4278" s="18">
        <v>3.7485714290000001</v>
      </c>
      <c r="J4278" s="18">
        <v>3.76</v>
      </c>
      <c r="K4278" s="18">
        <v>3.74</v>
      </c>
      <c r="L4278" s="22">
        <v>2</v>
      </c>
    </row>
    <row r="4279" spans="1:12">
      <c r="A4279">
        <v>5</v>
      </c>
      <c r="B4279" s="16" t="s">
        <v>60</v>
      </c>
      <c r="C4279" s="9">
        <v>45962</v>
      </c>
      <c r="D4279">
        <v>22</v>
      </c>
      <c r="E4279" s="16" t="s">
        <v>110</v>
      </c>
      <c r="F4279" s="16" t="s">
        <v>90</v>
      </c>
      <c r="G4279" s="22">
        <v>32.5</v>
      </c>
      <c r="H4279" s="18">
        <v>122.65</v>
      </c>
      <c r="I4279" s="18">
        <v>3.7738461540000001</v>
      </c>
      <c r="J4279" s="18">
        <v>3.82</v>
      </c>
      <c r="K4279" s="18">
        <v>3.72</v>
      </c>
      <c r="L4279" s="22">
        <v>2</v>
      </c>
    </row>
    <row r="4280" spans="1:12">
      <c r="A4280">
        <v>5</v>
      </c>
      <c r="B4280" s="16" t="s">
        <v>60</v>
      </c>
      <c r="C4280" s="9">
        <v>45992</v>
      </c>
      <c r="D4280">
        <v>22</v>
      </c>
      <c r="E4280" s="16" t="s">
        <v>110</v>
      </c>
      <c r="F4280" s="16" t="s">
        <v>90</v>
      </c>
      <c r="G4280" s="22">
        <v>58.75</v>
      </c>
      <c r="H4280" s="18">
        <v>220.45</v>
      </c>
      <c r="I4280" s="18">
        <v>3.752340426</v>
      </c>
      <c r="J4280" s="18">
        <v>3.81</v>
      </c>
      <c r="K4280" s="18">
        <v>3.7</v>
      </c>
      <c r="L4280" s="22">
        <v>3</v>
      </c>
    </row>
    <row r="4281" spans="1:12">
      <c r="A4281">
        <v>5</v>
      </c>
      <c r="B4281" s="16" t="s">
        <v>60</v>
      </c>
      <c r="C4281" s="9">
        <v>46023</v>
      </c>
      <c r="D4281">
        <v>22</v>
      </c>
      <c r="E4281" s="16" t="s">
        <v>110</v>
      </c>
      <c r="F4281" s="16" t="s">
        <v>90</v>
      </c>
      <c r="G4281" s="22">
        <v>35</v>
      </c>
      <c r="H4281" s="18">
        <v>136.41249999999999</v>
      </c>
      <c r="I4281" s="18">
        <v>3.8975</v>
      </c>
      <c r="J4281" s="18">
        <v>4.01</v>
      </c>
      <c r="K4281" s="18">
        <v>3.8</v>
      </c>
      <c r="L4281" s="22">
        <v>2</v>
      </c>
    </row>
    <row r="4282" spans="1:12">
      <c r="A4282">
        <v>5</v>
      </c>
      <c r="B4282" s="16" t="s">
        <v>60</v>
      </c>
      <c r="C4282" s="9">
        <v>46054</v>
      </c>
      <c r="D4282">
        <v>22</v>
      </c>
      <c r="E4282" s="16" t="s">
        <v>110</v>
      </c>
      <c r="F4282" s="16" t="s">
        <v>90</v>
      </c>
      <c r="G4282" s="22">
        <v>42.5</v>
      </c>
      <c r="H4282" s="18">
        <v>161.07499999999999</v>
      </c>
      <c r="I4282" s="18">
        <v>3.79</v>
      </c>
      <c r="J4282" s="18">
        <v>3.8</v>
      </c>
      <c r="K4282" s="18">
        <v>3.78</v>
      </c>
      <c r="L4282" s="22">
        <v>2</v>
      </c>
    </row>
    <row r="4283" spans="1:12">
      <c r="A4283">
        <v>5</v>
      </c>
      <c r="B4283" s="16" t="s">
        <v>60</v>
      </c>
      <c r="C4283" s="9">
        <v>46082</v>
      </c>
      <c r="D4283">
        <v>22</v>
      </c>
      <c r="E4283" s="16" t="s">
        <v>110</v>
      </c>
      <c r="F4283" s="16" t="s">
        <v>90</v>
      </c>
      <c r="G4283" s="22">
        <v>33.75</v>
      </c>
      <c r="H4283" s="18">
        <v>129.78749999999999</v>
      </c>
      <c r="I4283" s="18">
        <v>3.8455555559999999</v>
      </c>
      <c r="J4283" s="18">
        <v>3.89</v>
      </c>
      <c r="K4283" s="18">
        <v>3.81</v>
      </c>
      <c r="L4283" s="22">
        <v>2</v>
      </c>
    </row>
    <row r="4284" spans="1:12">
      <c r="A4284">
        <v>5</v>
      </c>
      <c r="B4284" s="16" t="s">
        <v>60</v>
      </c>
      <c r="C4284" s="9">
        <v>46113</v>
      </c>
      <c r="D4284">
        <v>22</v>
      </c>
      <c r="E4284" s="16" t="s">
        <v>110</v>
      </c>
      <c r="F4284" s="16" t="s">
        <v>90</v>
      </c>
      <c r="G4284" s="22">
        <v>32.5</v>
      </c>
      <c r="H4284" s="18">
        <v>125.77500000000001</v>
      </c>
      <c r="I4284" s="18">
        <v>3.87</v>
      </c>
      <c r="J4284" s="18">
        <v>3.88</v>
      </c>
      <c r="K4284" s="18">
        <v>3.86</v>
      </c>
      <c r="L4284" s="22">
        <v>2</v>
      </c>
    </row>
    <row r="4285" spans="1:12">
      <c r="A4285">
        <v>5</v>
      </c>
      <c r="B4285" s="16" t="s">
        <v>60</v>
      </c>
      <c r="C4285" s="9">
        <v>46143</v>
      </c>
      <c r="D4285">
        <v>22</v>
      </c>
      <c r="E4285" s="16" t="s">
        <v>110</v>
      </c>
      <c r="F4285" s="16" t="s">
        <v>90</v>
      </c>
      <c r="G4285" s="22">
        <v>35</v>
      </c>
      <c r="H4285" s="18">
        <v>136.13749999999999</v>
      </c>
      <c r="I4285" s="18">
        <v>3.8896428570000001</v>
      </c>
      <c r="J4285" s="18">
        <v>3.95</v>
      </c>
      <c r="K4285" s="18">
        <v>3.82</v>
      </c>
      <c r="L4285" s="22">
        <v>2</v>
      </c>
    </row>
    <row r="4286" spans="1:12">
      <c r="A4286">
        <v>5</v>
      </c>
      <c r="B4286" s="16" t="s">
        <v>60</v>
      </c>
      <c r="C4286" s="9">
        <v>46174</v>
      </c>
      <c r="D4286">
        <v>22</v>
      </c>
      <c r="E4286" s="16" t="s">
        <v>110</v>
      </c>
      <c r="F4286" s="16" t="s">
        <v>90</v>
      </c>
      <c r="G4286" s="22">
        <v>23.75</v>
      </c>
      <c r="H4286" s="18">
        <v>92</v>
      </c>
      <c r="I4286" s="18">
        <v>3.873684211</v>
      </c>
      <c r="J4286" s="18">
        <v>3.9</v>
      </c>
      <c r="K4286" s="18">
        <v>3.85</v>
      </c>
      <c r="L4286" s="22">
        <v>2</v>
      </c>
    </row>
    <row r="4287" spans="1:12">
      <c r="A4287">
        <v>5</v>
      </c>
      <c r="B4287" s="16" t="s">
        <v>60</v>
      </c>
      <c r="C4287" s="9">
        <v>46204</v>
      </c>
      <c r="D4287">
        <v>22</v>
      </c>
      <c r="E4287" s="16" t="s">
        <v>110</v>
      </c>
      <c r="F4287" s="16" t="s">
        <v>90</v>
      </c>
      <c r="G4287" s="22">
        <v>42.5</v>
      </c>
      <c r="H4287" s="18">
        <v>166.86250000000001</v>
      </c>
      <c r="I4287" s="18">
        <v>3.9261764709999998</v>
      </c>
      <c r="J4287" s="18">
        <v>4.12</v>
      </c>
      <c r="K4287" s="18">
        <v>3.82</v>
      </c>
      <c r="L4287" s="22">
        <v>3</v>
      </c>
    </row>
    <row r="4288" spans="1:12">
      <c r="A4288">
        <v>5</v>
      </c>
      <c r="B4288" s="16" t="s">
        <v>60</v>
      </c>
      <c r="C4288" s="9">
        <v>46235</v>
      </c>
      <c r="D4288">
        <v>22</v>
      </c>
      <c r="E4288" s="16" t="s">
        <v>110</v>
      </c>
      <c r="F4288" s="16" t="s">
        <v>90</v>
      </c>
      <c r="G4288" s="22">
        <v>22.5</v>
      </c>
      <c r="H4288" s="18">
        <v>84.724999999999994</v>
      </c>
      <c r="I4288" s="18">
        <v>3.7655555559999998</v>
      </c>
      <c r="J4288" s="18">
        <v>3.77</v>
      </c>
      <c r="K4288" s="18">
        <v>3.76</v>
      </c>
      <c r="L4288" s="22">
        <v>2</v>
      </c>
    </row>
    <row r="4289" spans="1:12">
      <c r="A4289">
        <v>5</v>
      </c>
      <c r="B4289" s="16" t="s">
        <v>60</v>
      </c>
      <c r="C4289" s="9">
        <v>46266</v>
      </c>
      <c r="D4289">
        <v>22</v>
      </c>
      <c r="E4289" s="16" t="s">
        <v>110</v>
      </c>
      <c r="F4289" s="16" t="s">
        <v>90</v>
      </c>
      <c r="G4289" s="22">
        <v>30</v>
      </c>
      <c r="H4289" s="18">
        <v>114.6</v>
      </c>
      <c r="I4289" s="18">
        <v>3.82</v>
      </c>
      <c r="J4289" s="18">
        <v>3.88</v>
      </c>
      <c r="K4289" s="18">
        <v>3.76</v>
      </c>
      <c r="L4289" s="22">
        <v>2</v>
      </c>
    </row>
    <row r="4290" spans="1:12">
      <c r="A4290">
        <v>5</v>
      </c>
      <c r="B4290" s="16" t="s">
        <v>60</v>
      </c>
      <c r="C4290" s="9">
        <v>45689</v>
      </c>
      <c r="D4290">
        <v>24</v>
      </c>
      <c r="E4290" s="16" t="s">
        <v>112</v>
      </c>
      <c r="F4290" s="16" t="s">
        <v>83</v>
      </c>
      <c r="G4290" s="22">
        <v>21</v>
      </c>
      <c r="H4290" s="18">
        <v>203.64</v>
      </c>
      <c r="I4290" s="18">
        <v>9.6971428569999993</v>
      </c>
      <c r="J4290" s="18">
        <v>9.9499999999999993</v>
      </c>
      <c r="K4290" s="18">
        <v>9.49</v>
      </c>
      <c r="L4290" s="22">
        <v>8</v>
      </c>
    </row>
    <row r="4291" spans="1:12">
      <c r="A4291">
        <v>5</v>
      </c>
      <c r="B4291" s="16" t="s">
        <v>60</v>
      </c>
      <c r="C4291" s="9">
        <v>45717</v>
      </c>
      <c r="D4291">
        <v>24</v>
      </c>
      <c r="E4291" s="16" t="s">
        <v>112</v>
      </c>
      <c r="F4291" s="16" t="s">
        <v>83</v>
      </c>
      <c r="G4291" s="22">
        <v>13.5</v>
      </c>
      <c r="H4291" s="18">
        <v>130.4</v>
      </c>
      <c r="I4291" s="18">
        <v>9.6592592590000006</v>
      </c>
      <c r="J4291" s="18">
        <v>9.8000000000000007</v>
      </c>
      <c r="K4291" s="18">
        <v>9.3800000000000008</v>
      </c>
      <c r="L4291" s="22">
        <v>8</v>
      </c>
    </row>
    <row r="4292" spans="1:12">
      <c r="A4292">
        <v>5</v>
      </c>
      <c r="B4292" s="16" t="s">
        <v>60</v>
      </c>
      <c r="C4292" s="9">
        <v>45748</v>
      </c>
      <c r="D4292">
        <v>24</v>
      </c>
      <c r="E4292" s="16" t="s">
        <v>112</v>
      </c>
      <c r="F4292" s="16" t="s">
        <v>83</v>
      </c>
      <c r="G4292" s="22">
        <v>16</v>
      </c>
      <c r="H4292" s="18">
        <v>152.41999999999999</v>
      </c>
      <c r="I4292" s="18">
        <v>9.5262499999999992</v>
      </c>
      <c r="J4292" s="18">
        <v>9.8699999999999992</v>
      </c>
      <c r="K4292" s="18">
        <v>9.2799999999999994</v>
      </c>
      <c r="L4292" s="22">
        <v>9</v>
      </c>
    </row>
    <row r="4293" spans="1:12">
      <c r="A4293">
        <v>5</v>
      </c>
      <c r="B4293" s="16" t="s">
        <v>60</v>
      </c>
      <c r="C4293" s="9">
        <v>45778</v>
      </c>
      <c r="D4293">
        <v>24</v>
      </c>
      <c r="E4293" s="16" t="s">
        <v>112</v>
      </c>
      <c r="F4293" s="16" t="s">
        <v>83</v>
      </c>
      <c r="G4293" s="22">
        <v>22</v>
      </c>
      <c r="H4293" s="18">
        <v>209.125</v>
      </c>
      <c r="I4293" s="18">
        <v>9.5056818179999993</v>
      </c>
      <c r="J4293" s="18">
        <v>9.66</v>
      </c>
      <c r="K4293" s="18">
        <v>9.2200000000000006</v>
      </c>
      <c r="L4293" s="22">
        <v>9</v>
      </c>
    </row>
    <row r="4294" spans="1:12">
      <c r="A4294">
        <v>5</v>
      </c>
      <c r="B4294" s="16" t="s">
        <v>60</v>
      </c>
      <c r="C4294" s="9">
        <v>45809</v>
      </c>
      <c r="D4294">
        <v>24</v>
      </c>
      <c r="E4294" s="16" t="s">
        <v>112</v>
      </c>
      <c r="F4294" s="16" t="s">
        <v>83</v>
      </c>
      <c r="G4294" s="22">
        <v>18</v>
      </c>
      <c r="H4294" s="18">
        <v>169.595</v>
      </c>
      <c r="I4294" s="18">
        <v>9.4219444439999993</v>
      </c>
      <c r="J4294" s="18">
        <v>9.6</v>
      </c>
      <c r="K4294" s="18">
        <v>9.16</v>
      </c>
      <c r="L4294" s="22">
        <v>8</v>
      </c>
    </row>
    <row r="4295" spans="1:12">
      <c r="A4295">
        <v>5</v>
      </c>
      <c r="B4295" s="16" t="s">
        <v>60</v>
      </c>
      <c r="C4295" s="9">
        <v>45839</v>
      </c>
      <c r="D4295">
        <v>24</v>
      </c>
      <c r="E4295" s="16" t="s">
        <v>112</v>
      </c>
      <c r="F4295" s="16" t="s">
        <v>83</v>
      </c>
      <c r="G4295" s="22">
        <v>21.5</v>
      </c>
      <c r="H4295" s="18">
        <v>204.14500000000001</v>
      </c>
      <c r="I4295" s="18">
        <v>9.4951162789999994</v>
      </c>
      <c r="J4295" s="18">
        <v>9.83</v>
      </c>
      <c r="K4295" s="18">
        <v>9.32</v>
      </c>
      <c r="L4295" s="22">
        <v>10</v>
      </c>
    </row>
    <row r="4296" spans="1:12">
      <c r="A4296">
        <v>5</v>
      </c>
      <c r="B4296" s="16" t="s">
        <v>60</v>
      </c>
      <c r="C4296" s="9">
        <v>45870</v>
      </c>
      <c r="D4296">
        <v>24</v>
      </c>
      <c r="E4296" s="16" t="s">
        <v>112</v>
      </c>
      <c r="F4296" s="16" t="s">
        <v>83</v>
      </c>
      <c r="G4296" s="22">
        <v>16.5</v>
      </c>
      <c r="H4296" s="18">
        <v>160.39500000000001</v>
      </c>
      <c r="I4296" s="18">
        <v>9.7209090909999993</v>
      </c>
      <c r="J4296" s="18">
        <v>9.89</v>
      </c>
      <c r="K4296" s="18">
        <v>9.4700000000000006</v>
      </c>
      <c r="L4296" s="22">
        <v>8</v>
      </c>
    </row>
    <row r="4297" spans="1:12">
      <c r="A4297">
        <v>5</v>
      </c>
      <c r="B4297" s="16" t="s">
        <v>60</v>
      </c>
      <c r="C4297" s="9">
        <v>45901</v>
      </c>
      <c r="D4297">
        <v>24</v>
      </c>
      <c r="E4297" s="16" t="s">
        <v>112</v>
      </c>
      <c r="F4297" s="16" t="s">
        <v>83</v>
      </c>
      <c r="G4297" s="22">
        <v>14</v>
      </c>
      <c r="H4297" s="18">
        <v>136.85</v>
      </c>
      <c r="I4297" s="18">
        <v>9.7750000000000004</v>
      </c>
      <c r="J4297" s="18">
        <v>10.01</v>
      </c>
      <c r="K4297" s="18">
        <v>9.48</v>
      </c>
      <c r="L4297" s="22">
        <v>9</v>
      </c>
    </row>
    <row r="4298" spans="1:12">
      <c r="A4298">
        <v>5</v>
      </c>
      <c r="B4298" s="16" t="s">
        <v>60</v>
      </c>
      <c r="C4298" s="9">
        <v>45931</v>
      </c>
      <c r="D4298">
        <v>24</v>
      </c>
      <c r="E4298" s="16" t="s">
        <v>112</v>
      </c>
      <c r="F4298" s="16" t="s">
        <v>83</v>
      </c>
      <c r="G4298" s="22">
        <v>20.5</v>
      </c>
      <c r="H4298" s="18">
        <v>199.67</v>
      </c>
      <c r="I4298" s="18">
        <v>9.74</v>
      </c>
      <c r="J4298" s="18">
        <v>10</v>
      </c>
      <c r="K4298" s="18">
        <v>9.5500000000000007</v>
      </c>
      <c r="L4298" s="22">
        <v>9</v>
      </c>
    </row>
    <row r="4299" spans="1:12">
      <c r="A4299">
        <v>5</v>
      </c>
      <c r="B4299" s="16" t="s">
        <v>60</v>
      </c>
      <c r="C4299" s="9">
        <v>45962</v>
      </c>
      <c r="D4299">
        <v>24</v>
      </c>
      <c r="E4299" s="16" t="s">
        <v>112</v>
      </c>
      <c r="F4299" s="16" t="s">
        <v>83</v>
      </c>
      <c r="G4299" s="22">
        <v>16.5</v>
      </c>
      <c r="H4299" s="18">
        <v>159.32499999999999</v>
      </c>
      <c r="I4299" s="18">
        <v>9.6560606060000005</v>
      </c>
      <c r="J4299" s="18">
        <v>9.93</v>
      </c>
      <c r="K4299" s="18">
        <v>9.48</v>
      </c>
      <c r="L4299" s="22">
        <v>8</v>
      </c>
    </row>
    <row r="4300" spans="1:12">
      <c r="A4300">
        <v>5</v>
      </c>
      <c r="B4300" s="16" t="s">
        <v>60</v>
      </c>
      <c r="C4300" s="9">
        <v>45992</v>
      </c>
      <c r="D4300">
        <v>24</v>
      </c>
      <c r="E4300" s="16" t="s">
        <v>112</v>
      </c>
      <c r="F4300" s="16" t="s">
        <v>83</v>
      </c>
      <c r="G4300" s="22">
        <v>18.5</v>
      </c>
      <c r="H4300" s="18">
        <v>180.11500000000001</v>
      </c>
      <c r="I4300" s="18">
        <v>9.7359459459999993</v>
      </c>
      <c r="J4300" s="18">
        <v>9.8800000000000008</v>
      </c>
      <c r="K4300" s="18">
        <v>9.44</v>
      </c>
      <c r="L4300" s="22">
        <v>9</v>
      </c>
    </row>
    <row r="4301" spans="1:12">
      <c r="A4301">
        <v>5</v>
      </c>
      <c r="B4301" s="16" t="s">
        <v>60</v>
      </c>
      <c r="C4301" s="9">
        <v>46023</v>
      </c>
      <c r="D4301">
        <v>24</v>
      </c>
      <c r="E4301" s="16" t="s">
        <v>112</v>
      </c>
      <c r="F4301" s="16" t="s">
        <v>83</v>
      </c>
      <c r="G4301" s="22">
        <v>18</v>
      </c>
      <c r="H4301" s="18">
        <v>176.3</v>
      </c>
      <c r="I4301" s="18">
        <v>9.7944444439999998</v>
      </c>
      <c r="J4301" s="18">
        <v>9.92</v>
      </c>
      <c r="K4301" s="18">
        <v>9.61</v>
      </c>
      <c r="L4301" s="22">
        <v>9</v>
      </c>
    </row>
    <row r="4302" spans="1:12">
      <c r="A4302">
        <v>5</v>
      </c>
      <c r="B4302" s="16" t="s">
        <v>60</v>
      </c>
      <c r="C4302" s="9">
        <v>46054</v>
      </c>
      <c r="D4302">
        <v>24</v>
      </c>
      <c r="E4302" s="16" t="s">
        <v>112</v>
      </c>
      <c r="F4302" s="16" t="s">
        <v>83</v>
      </c>
      <c r="G4302" s="22">
        <v>19.5</v>
      </c>
      <c r="H4302" s="18">
        <v>192.94499999999999</v>
      </c>
      <c r="I4302" s="18">
        <v>9.8946153849999998</v>
      </c>
      <c r="J4302" s="18">
        <v>9.99</v>
      </c>
      <c r="K4302" s="18">
        <v>9.76</v>
      </c>
      <c r="L4302" s="22">
        <v>8</v>
      </c>
    </row>
    <row r="4303" spans="1:12">
      <c r="A4303">
        <v>5</v>
      </c>
      <c r="B4303" s="16" t="s">
        <v>60</v>
      </c>
      <c r="C4303" s="9">
        <v>46082</v>
      </c>
      <c r="D4303">
        <v>24</v>
      </c>
      <c r="E4303" s="16" t="s">
        <v>112</v>
      </c>
      <c r="F4303" s="16" t="s">
        <v>83</v>
      </c>
      <c r="G4303" s="22">
        <v>15.5</v>
      </c>
      <c r="H4303" s="18">
        <v>151.78</v>
      </c>
      <c r="I4303" s="18">
        <v>9.7922580650000004</v>
      </c>
      <c r="J4303" s="18">
        <v>10.02</v>
      </c>
      <c r="K4303" s="18">
        <v>9.65</v>
      </c>
      <c r="L4303" s="22">
        <v>9</v>
      </c>
    </row>
    <row r="4304" spans="1:12">
      <c r="A4304">
        <v>5</v>
      </c>
      <c r="B4304" s="16" t="s">
        <v>60</v>
      </c>
      <c r="C4304" s="9">
        <v>46113</v>
      </c>
      <c r="D4304">
        <v>24</v>
      </c>
      <c r="E4304" s="16" t="s">
        <v>112</v>
      </c>
      <c r="F4304" s="16" t="s">
        <v>83</v>
      </c>
      <c r="G4304" s="22">
        <v>17</v>
      </c>
      <c r="H4304" s="18">
        <v>169.82499999999999</v>
      </c>
      <c r="I4304" s="18">
        <v>9.9897058820000009</v>
      </c>
      <c r="J4304" s="18">
        <v>10.199999999999999</v>
      </c>
      <c r="K4304" s="18">
        <v>9.7200000000000006</v>
      </c>
      <c r="L4304" s="22">
        <v>9</v>
      </c>
    </row>
    <row r="4305" spans="1:12">
      <c r="A4305">
        <v>5</v>
      </c>
      <c r="B4305" s="16" t="s">
        <v>60</v>
      </c>
      <c r="C4305" s="9">
        <v>46143</v>
      </c>
      <c r="D4305">
        <v>24</v>
      </c>
      <c r="E4305" s="16" t="s">
        <v>112</v>
      </c>
      <c r="F4305" s="16" t="s">
        <v>83</v>
      </c>
      <c r="G4305" s="22">
        <v>13.5</v>
      </c>
      <c r="H4305" s="18">
        <v>135.97999999999999</v>
      </c>
      <c r="I4305" s="18">
        <v>10.072592593</v>
      </c>
      <c r="J4305" s="18">
        <v>10.61</v>
      </c>
      <c r="K4305" s="18">
        <v>9.9499999999999993</v>
      </c>
      <c r="L4305" s="22">
        <v>8</v>
      </c>
    </row>
    <row r="4306" spans="1:12">
      <c r="A4306">
        <v>5</v>
      </c>
      <c r="B4306" s="16" t="s">
        <v>60</v>
      </c>
      <c r="C4306" s="9">
        <v>46174</v>
      </c>
      <c r="D4306">
        <v>24</v>
      </c>
      <c r="E4306" s="16" t="s">
        <v>112</v>
      </c>
      <c r="F4306" s="16" t="s">
        <v>83</v>
      </c>
      <c r="G4306" s="22">
        <v>16</v>
      </c>
      <c r="H4306" s="18">
        <v>159.655</v>
      </c>
      <c r="I4306" s="18">
        <v>9.9784375000000001</v>
      </c>
      <c r="J4306" s="18">
        <v>10.23</v>
      </c>
      <c r="K4306" s="18">
        <v>9.7899999999999991</v>
      </c>
      <c r="L4306" s="22">
        <v>8</v>
      </c>
    </row>
    <row r="4307" spans="1:12">
      <c r="A4307">
        <v>5</v>
      </c>
      <c r="B4307" s="16" t="s">
        <v>60</v>
      </c>
      <c r="C4307" s="9">
        <v>46204</v>
      </c>
      <c r="D4307">
        <v>24</v>
      </c>
      <c r="E4307" s="16" t="s">
        <v>112</v>
      </c>
      <c r="F4307" s="16" t="s">
        <v>83</v>
      </c>
      <c r="G4307" s="22">
        <v>18</v>
      </c>
      <c r="H4307" s="18">
        <v>181.715</v>
      </c>
      <c r="I4307" s="18">
        <v>10.095277778</v>
      </c>
      <c r="J4307" s="18">
        <v>10.220000000000001</v>
      </c>
      <c r="K4307" s="18">
        <v>9.91</v>
      </c>
      <c r="L4307" s="22">
        <v>9</v>
      </c>
    </row>
    <row r="4308" spans="1:12">
      <c r="A4308">
        <v>5</v>
      </c>
      <c r="B4308" s="16" t="s">
        <v>60</v>
      </c>
      <c r="C4308" s="9">
        <v>46235</v>
      </c>
      <c r="D4308">
        <v>24</v>
      </c>
      <c r="E4308" s="16" t="s">
        <v>112</v>
      </c>
      <c r="F4308" s="16" t="s">
        <v>83</v>
      </c>
      <c r="G4308" s="22">
        <v>13</v>
      </c>
      <c r="H4308" s="18">
        <v>128.505</v>
      </c>
      <c r="I4308" s="18">
        <v>9.8849999999999998</v>
      </c>
      <c r="J4308" s="18">
        <v>10.11</v>
      </c>
      <c r="K4308" s="18">
        <v>9.65</v>
      </c>
      <c r="L4308" s="22">
        <v>8</v>
      </c>
    </row>
    <row r="4309" spans="1:12">
      <c r="A4309">
        <v>5</v>
      </c>
      <c r="B4309" s="16" t="s">
        <v>60</v>
      </c>
      <c r="C4309" s="9">
        <v>46266</v>
      </c>
      <c r="D4309">
        <v>24</v>
      </c>
      <c r="E4309" s="16" t="s">
        <v>112</v>
      </c>
      <c r="F4309" s="16" t="s">
        <v>83</v>
      </c>
      <c r="G4309" s="22">
        <v>12.5</v>
      </c>
      <c r="H4309" s="18">
        <v>126.65</v>
      </c>
      <c r="I4309" s="18">
        <v>10.132</v>
      </c>
      <c r="J4309" s="18">
        <v>10.27</v>
      </c>
      <c r="K4309" s="18">
        <v>9.9600000000000009</v>
      </c>
      <c r="L4309" s="22">
        <v>9</v>
      </c>
    </row>
    <row r="4310" spans="1:12">
      <c r="A4310">
        <v>5</v>
      </c>
      <c r="B4310" s="16" t="s">
        <v>60</v>
      </c>
      <c r="C4310" s="9">
        <v>45689</v>
      </c>
      <c r="D4310">
        <v>25</v>
      </c>
      <c r="E4310" s="16" t="s">
        <v>113</v>
      </c>
      <c r="F4310" s="16" t="s">
        <v>114</v>
      </c>
      <c r="G4310" s="22">
        <v>500</v>
      </c>
      <c r="H4310" s="18">
        <v>133</v>
      </c>
      <c r="I4310" s="18">
        <v>0.26600000000000001</v>
      </c>
      <c r="J4310" s="18">
        <v>0.27</v>
      </c>
      <c r="K4310" s="18">
        <v>0.26</v>
      </c>
      <c r="L4310" s="22">
        <v>8</v>
      </c>
    </row>
    <row r="4311" spans="1:12">
      <c r="A4311">
        <v>5</v>
      </c>
      <c r="B4311" s="16" t="s">
        <v>60</v>
      </c>
      <c r="C4311" s="9">
        <v>45717</v>
      </c>
      <c r="D4311">
        <v>25</v>
      </c>
      <c r="E4311" s="16" t="s">
        <v>113</v>
      </c>
      <c r="F4311" s="16" t="s">
        <v>114</v>
      </c>
      <c r="G4311" s="22">
        <v>300</v>
      </c>
      <c r="H4311" s="18">
        <v>79.5</v>
      </c>
      <c r="I4311" s="18">
        <v>0.26500000000000001</v>
      </c>
      <c r="J4311" s="18">
        <v>0.27</v>
      </c>
      <c r="K4311" s="18">
        <v>0.26</v>
      </c>
      <c r="L4311" s="22">
        <v>5</v>
      </c>
    </row>
    <row r="4312" spans="1:12">
      <c r="A4312">
        <v>5</v>
      </c>
      <c r="B4312" s="16" t="s">
        <v>60</v>
      </c>
      <c r="C4312" s="9">
        <v>45748</v>
      </c>
      <c r="D4312">
        <v>25</v>
      </c>
      <c r="E4312" s="16" t="s">
        <v>113</v>
      </c>
      <c r="F4312" s="16" t="s">
        <v>114</v>
      </c>
      <c r="G4312" s="22">
        <v>350</v>
      </c>
      <c r="H4312" s="18">
        <v>94.5</v>
      </c>
      <c r="I4312" s="18">
        <v>0.27</v>
      </c>
      <c r="J4312" s="18">
        <v>0.27</v>
      </c>
      <c r="K4312" s="18">
        <v>0.27</v>
      </c>
      <c r="L4312" s="22">
        <v>7</v>
      </c>
    </row>
    <row r="4313" spans="1:12">
      <c r="A4313">
        <v>5</v>
      </c>
      <c r="B4313" s="16" t="s">
        <v>60</v>
      </c>
      <c r="C4313" s="9">
        <v>45778</v>
      </c>
      <c r="D4313">
        <v>25</v>
      </c>
      <c r="E4313" s="16" t="s">
        <v>113</v>
      </c>
      <c r="F4313" s="16" t="s">
        <v>114</v>
      </c>
      <c r="G4313" s="22">
        <v>500</v>
      </c>
      <c r="H4313" s="18">
        <v>134.5</v>
      </c>
      <c r="I4313" s="18">
        <v>0.26900000000000002</v>
      </c>
      <c r="J4313" s="18">
        <v>0.27</v>
      </c>
      <c r="K4313" s="18">
        <v>0.26</v>
      </c>
      <c r="L4313" s="22">
        <v>8</v>
      </c>
    </row>
    <row r="4314" spans="1:12">
      <c r="A4314">
        <v>5</v>
      </c>
      <c r="B4314" s="16" t="s">
        <v>60</v>
      </c>
      <c r="C4314" s="9">
        <v>45809</v>
      </c>
      <c r="D4314">
        <v>25</v>
      </c>
      <c r="E4314" s="16" t="s">
        <v>113</v>
      </c>
      <c r="F4314" s="16" t="s">
        <v>114</v>
      </c>
      <c r="G4314" s="22">
        <v>400</v>
      </c>
      <c r="H4314" s="18">
        <v>108.5</v>
      </c>
      <c r="I4314" s="18">
        <v>0.27124999999999999</v>
      </c>
      <c r="J4314" s="18">
        <v>0.28000000000000003</v>
      </c>
      <c r="K4314" s="18">
        <v>0.27</v>
      </c>
      <c r="L4314" s="22">
        <v>7</v>
      </c>
    </row>
    <row r="4315" spans="1:12">
      <c r="A4315">
        <v>5</v>
      </c>
      <c r="B4315" s="16" t="s">
        <v>60</v>
      </c>
      <c r="C4315" s="9">
        <v>45839</v>
      </c>
      <c r="D4315">
        <v>25</v>
      </c>
      <c r="E4315" s="16" t="s">
        <v>113</v>
      </c>
      <c r="F4315" s="16" t="s">
        <v>114</v>
      </c>
      <c r="G4315" s="22">
        <v>450</v>
      </c>
      <c r="H4315" s="18">
        <v>122</v>
      </c>
      <c r="I4315" s="18">
        <v>0.27111111100000002</v>
      </c>
      <c r="J4315" s="18">
        <v>0.28000000000000003</v>
      </c>
      <c r="K4315" s="18">
        <v>0.27</v>
      </c>
      <c r="L4315" s="22">
        <v>9</v>
      </c>
    </row>
    <row r="4316" spans="1:12">
      <c r="A4316">
        <v>5</v>
      </c>
      <c r="B4316" s="16" t="s">
        <v>60</v>
      </c>
      <c r="C4316" s="9">
        <v>45870</v>
      </c>
      <c r="D4316">
        <v>25</v>
      </c>
      <c r="E4316" s="16" t="s">
        <v>113</v>
      </c>
      <c r="F4316" s="16" t="s">
        <v>114</v>
      </c>
      <c r="G4316" s="22">
        <v>400</v>
      </c>
      <c r="H4316" s="18">
        <v>107.5</v>
      </c>
      <c r="I4316" s="18">
        <v>0.26874999999999999</v>
      </c>
      <c r="J4316" s="18">
        <v>0.27</v>
      </c>
      <c r="K4316" s="18">
        <v>0.26</v>
      </c>
      <c r="L4316" s="22">
        <v>7</v>
      </c>
    </row>
    <row r="4317" spans="1:12">
      <c r="A4317">
        <v>5</v>
      </c>
      <c r="B4317" s="16" t="s">
        <v>60</v>
      </c>
      <c r="C4317" s="9">
        <v>45901</v>
      </c>
      <c r="D4317">
        <v>25</v>
      </c>
      <c r="E4317" s="16" t="s">
        <v>113</v>
      </c>
      <c r="F4317" s="16" t="s">
        <v>114</v>
      </c>
      <c r="G4317" s="22">
        <v>300</v>
      </c>
      <c r="H4317" s="18">
        <v>81</v>
      </c>
      <c r="I4317" s="18">
        <v>0.27</v>
      </c>
      <c r="J4317" s="18">
        <v>0.27</v>
      </c>
      <c r="K4317" s="18">
        <v>0.27</v>
      </c>
      <c r="L4317" s="22">
        <v>6</v>
      </c>
    </row>
    <row r="4318" spans="1:12">
      <c r="A4318">
        <v>5</v>
      </c>
      <c r="B4318" s="16" t="s">
        <v>60</v>
      </c>
      <c r="C4318" s="9">
        <v>45931</v>
      </c>
      <c r="D4318">
        <v>25</v>
      </c>
      <c r="E4318" s="16" t="s">
        <v>113</v>
      </c>
      <c r="F4318" s="16" t="s">
        <v>114</v>
      </c>
      <c r="G4318" s="22">
        <v>500</v>
      </c>
      <c r="H4318" s="18">
        <v>136.5</v>
      </c>
      <c r="I4318" s="18">
        <v>0.27300000000000002</v>
      </c>
      <c r="J4318" s="18">
        <v>0.28000000000000003</v>
      </c>
      <c r="K4318" s="18">
        <v>0.27</v>
      </c>
      <c r="L4318" s="22">
        <v>9</v>
      </c>
    </row>
    <row r="4319" spans="1:12">
      <c r="A4319">
        <v>5</v>
      </c>
      <c r="B4319" s="16" t="s">
        <v>60</v>
      </c>
      <c r="C4319" s="9">
        <v>45962</v>
      </c>
      <c r="D4319">
        <v>25</v>
      </c>
      <c r="E4319" s="16" t="s">
        <v>113</v>
      </c>
      <c r="F4319" s="16" t="s">
        <v>114</v>
      </c>
      <c r="G4319" s="22">
        <v>350</v>
      </c>
      <c r="H4319" s="18">
        <v>96</v>
      </c>
      <c r="I4319" s="18">
        <v>0.27428571400000001</v>
      </c>
      <c r="J4319" s="18">
        <v>0.28000000000000003</v>
      </c>
      <c r="K4319" s="18">
        <v>0.27</v>
      </c>
      <c r="L4319" s="22">
        <v>6</v>
      </c>
    </row>
    <row r="4320" spans="1:12">
      <c r="A4320">
        <v>5</v>
      </c>
      <c r="B4320" s="16" t="s">
        <v>60</v>
      </c>
      <c r="C4320" s="9">
        <v>45992</v>
      </c>
      <c r="D4320">
        <v>25</v>
      </c>
      <c r="E4320" s="16" t="s">
        <v>113</v>
      </c>
      <c r="F4320" s="16" t="s">
        <v>114</v>
      </c>
      <c r="G4320" s="22">
        <v>450</v>
      </c>
      <c r="H4320" s="18">
        <v>124</v>
      </c>
      <c r="I4320" s="18">
        <v>0.27555555599999998</v>
      </c>
      <c r="J4320" s="18">
        <v>0.28000000000000003</v>
      </c>
      <c r="K4320" s="18">
        <v>0.27</v>
      </c>
      <c r="L4320" s="22">
        <v>7</v>
      </c>
    </row>
    <row r="4321" spans="1:12">
      <c r="A4321">
        <v>5</v>
      </c>
      <c r="B4321" s="16" t="s">
        <v>60</v>
      </c>
      <c r="C4321" s="9">
        <v>46023</v>
      </c>
      <c r="D4321">
        <v>25</v>
      </c>
      <c r="E4321" s="16" t="s">
        <v>113</v>
      </c>
      <c r="F4321" s="16" t="s">
        <v>114</v>
      </c>
      <c r="G4321" s="22">
        <v>350</v>
      </c>
      <c r="H4321" s="18">
        <v>95.5</v>
      </c>
      <c r="I4321" s="18">
        <v>0.27285714300000002</v>
      </c>
      <c r="J4321" s="18">
        <v>0.28000000000000003</v>
      </c>
      <c r="K4321" s="18">
        <v>0.27</v>
      </c>
      <c r="L4321" s="22">
        <v>6</v>
      </c>
    </row>
    <row r="4322" spans="1:12">
      <c r="A4322">
        <v>5</v>
      </c>
      <c r="B4322" s="16" t="s">
        <v>60</v>
      </c>
      <c r="C4322" s="9">
        <v>46054</v>
      </c>
      <c r="D4322">
        <v>25</v>
      </c>
      <c r="E4322" s="16" t="s">
        <v>113</v>
      </c>
      <c r="F4322" s="16" t="s">
        <v>114</v>
      </c>
      <c r="G4322" s="22">
        <v>450</v>
      </c>
      <c r="H4322" s="18">
        <v>122.5</v>
      </c>
      <c r="I4322" s="18">
        <v>0.27222222200000001</v>
      </c>
      <c r="J4322" s="18">
        <v>0.28000000000000003</v>
      </c>
      <c r="K4322" s="18">
        <v>0.27</v>
      </c>
      <c r="L4322" s="22">
        <v>8</v>
      </c>
    </row>
    <row r="4323" spans="1:12">
      <c r="A4323">
        <v>5</v>
      </c>
      <c r="B4323" s="16" t="s">
        <v>60</v>
      </c>
      <c r="C4323" s="9">
        <v>46082</v>
      </c>
      <c r="D4323">
        <v>25</v>
      </c>
      <c r="E4323" s="16" t="s">
        <v>113</v>
      </c>
      <c r="F4323" s="16" t="s">
        <v>114</v>
      </c>
      <c r="G4323" s="22">
        <v>350</v>
      </c>
      <c r="H4323" s="18">
        <v>98</v>
      </c>
      <c r="I4323" s="18">
        <v>0.28000000000000003</v>
      </c>
      <c r="J4323" s="18">
        <v>0.28999999999999998</v>
      </c>
      <c r="K4323" s="18">
        <v>0.27</v>
      </c>
      <c r="L4323" s="22">
        <v>7</v>
      </c>
    </row>
    <row r="4324" spans="1:12">
      <c r="A4324">
        <v>5</v>
      </c>
      <c r="B4324" s="16" t="s">
        <v>60</v>
      </c>
      <c r="C4324" s="9">
        <v>46113</v>
      </c>
      <c r="D4324">
        <v>25</v>
      </c>
      <c r="E4324" s="16" t="s">
        <v>113</v>
      </c>
      <c r="F4324" s="16" t="s">
        <v>114</v>
      </c>
      <c r="G4324" s="22">
        <v>350</v>
      </c>
      <c r="H4324" s="18">
        <v>97</v>
      </c>
      <c r="I4324" s="18">
        <v>0.27714285700000002</v>
      </c>
      <c r="J4324" s="18">
        <v>0.28000000000000003</v>
      </c>
      <c r="K4324" s="18">
        <v>0.27</v>
      </c>
      <c r="L4324" s="22">
        <v>6</v>
      </c>
    </row>
    <row r="4325" spans="1:12">
      <c r="A4325">
        <v>5</v>
      </c>
      <c r="B4325" s="16" t="s">
        <v>60</v>
      </c>
      <c r="C4325" s="9">
        <v>46143</v>
      </c>
      <c r="D4325">
        <v>25</v>
      </c>
      <c r="E4325" s="16" t="s">
        <v>113</v>
      </c>
      <c r="F4325" s="16" t="s">
        <v>114</v>
      </c>
      <c r="G4325" s="22">
        <v>350</v>
      </c>
      <c r="H4325" s="18">
        <v>96.5</v>
      </c>
      <c r="I4325" s="18">
        <v>0.27571428599999998</v>
      </c>
      <c r="J4325" s="18">
        <v>0.28000000000000003</v>
      </c>
      <c r="K4325" s="18">
        <v>0.27</v>
      </c>
      <c r="L4325" s="22">
        <v>6</v>
      </c>
    </row>
    <row r="4326" spans="1:12">
      <c r="A4326">
        <v>5</v>
      </c>
      <c r="B4326" s="16" t="s">
        <v>60</v>
      </c>
      <c r="C4326" s="9">
        <v>46174</v>
      </c>
      <c r="D4326">
        <v>25</v>
      </c>
      <c r="E4326" s="16" t="s">
        <v>113</v>
      </c>
      <c r="F4326" s="16" t="s">
        <v>114</v>
      </c>
      <c r="G4326" s="22">
        <v>350</v>
      </c>
      <c r="H4326" s="18">
        <v>97.5</v>
      </c>
      <c r="I4326" s="18">
        <v>0.27857142899999998</v>
      </c>
      <c r="J4326" s="18">
        <v>0.28000000000000003</v>
      </c>
      <c r="K4326" s="18">
        <v>0.27</v>
      </c>
      <c r="L4326" s="22">
        <v>7</v>
      </c>
    </row>
    <row r="4327" spans="1:12">
      <c r="A4327">
        <v>5</v>
      </c>
      <c r="B4327" s="16" t="s">
        <v>60</v>
      </c>
      <c r="C4327" s="9">
        <v>46204</v>
      </c>
      <c r="D4327">
        <v>25</v>
      </c>
      <c r="E4327" s="16" t="s">
        <v>113</v>
      </c>
      <c r="F4327" s="16" t="s">
        <v>114</v>
      </c>
      <c r="G4327" s="22">
        <v>400</v>
      </c>
      <c r="H4327" s="18">
        <v>112</v>
      </c>
      <c r="I4327" s="18">
        <v>0.28000000000000003</v>
      </c>
      <c r="J4327" s="18">
        <v>0.28000000000000003</v>
      </c>
      <c r="K4327" s="18">
        <v>0.28000000000000003</v>
      </c>
      <c r="L4327" s="22">
        <v>8</v>
      </c>
    </row>
    <row r="4328" spans="1:12">
      <c r="A4328">
        <v>5</v>
      </c>
      <c r="B4328" s="16" t="s">
        <v>60</v>
      </c>
      <c r="C4328" s="9">
        <v>46235</v>
      </c>
      <c r="D4328">
        <v>25</v>
      </c>
      <c r="E4328" s="16" t="s">
        <v>113</v>
      </c>
      <c r="F4328" s="16" t="s">
        <v>114</v>
      </c>
      <c r="G4328" s="22">
        <v>350</v>
      </c>
      <c r="H4328" s="18">
        <v>97.5</v>
      </c>
      <c r="I4328" s="18">
        <v>0.27857142899999998</v>
      </c>
      <c r="J4328" s="18">
        <v>0.28000000000000003</v>
      </c>
      <c r="K4328" s="18">
        <v>0.27</v>
      </c>
      <c r="L4328" s="22">
        <v>7</v>
      </c>
    </row>
    <row r="4329" spans="1:12">
      <c r="A4329">
        <v>5</v>
      </c>
      <c r="B4329" s="16" t="s">
        <v>60</v>
      </c>
      <c r="C4329" s="9">
        <v>46266</v>
      </c>
      <c r="D4329">
        <v>25</v>
      </c>
      <c r="E4329" s="16" t="s">
        <v>113</v>
      </c>
      <c r="F4329" s="16" t="s">
        <v>114</v>
      </c>
      <c r="G4329" s="22">
        <v>250</v>
      </c>
      <c r="H4329" s="18">
        <v>70</v>
      </c>
      <c r="I4329" s="18">
        <v>0.28000000000000003</v>
      </c>
      <c r="J4329" s="18">
        <v>0.28000000000000003</v>
      </c>
      <c r="K4329" s="18">
        <v>0.28000000000000003</v>
      </c>
      <c r="L4329" s="22">
        <v>4</v>
      </c>
    </row>
    <row r="4330" spans="1:12">
      <c r="A4330">
        <v>5</v>
      </c>
      <c r="B4330" s="16" t="s">
        <v>60</v>
      </c>
      <c r="C4330" s="9">
        <v>45689</v>
      </c>
      <c r="D4330">
        <v>26</v>
      </c>
      <c r="E4330" s="16" t="s">
        <v>115</v>
      </c>
      <c r="F4330" s="16" t="s">
        <v>90</v>
      </c>
      <c r="G4330" s="22">
        <v>2.5</v>
      </c>
      <c r="H4330" s="18">
        <v>16.8125</v>
      </c>
      <c r="I4330" s="18">
        <v>6.7249999999999996</v>
      </c>
      <c r="J4330" s="18">
        <v>6.8</v>
      </c>
      <c r="K4330" s="18">
        <v>6.65</v>
      </c>
      <c r="L4330" s="22">
        <v>2</v>
      </c>
    </row>
    <row r="4331" spans="1:12">
      <c r="A4331">
        <v>5</v>
      </c>
      <c r="B4331" s="16" t="s">
        <v>60</v>
      </c>
      <c r="C4331" s="9">
        <v>45717</v>
      </c>
      <c r="D4331">
        <v>26</v>
      </c>
      <c r="E4331" s="16" t="s">
        <v>115</v>
      </c>
      <c r="F4331" s="16" t="s">
        <v>90</v>
      </c>
      <c r="G4331" s="22">
        <v>2.5</v>
      </c>
      <c r="H4331" s="18">
        <v>16.55</v>
      </c>
      <c r="I4331" s="18">
        <v>6.62</v>
      </c>
      <c r="J4331" s="18">
        <v>6.65</v>
      </c>
      <c r="K4331" s="18">
        <v>6.59</v>
      </c>
      <c r="L4331" s="22">
        <v>2</v>
      </c>
    </row>
    <row r="4332" spans="1:12">
      <c r="A4332">
        <v>5</v>
      </c>
      <c r="B4332" s="16" t="s">
        <v>60</v>
      </c>
      <c r="C4332" s="9">
        <v>45748</v>
      </c>
      <c r="D4332">
        <v>26</v>
      </c>
      <c r="E4332" s="16" t="s">
        <v>115</v>
      </c>
      <c r="F4332" s="16" t="s">
        <v>90</v>
      </c>
      <c r="G4332" s="22">
        <v>2.5</v>
      </c>
      <c r="H4332" s="18">
        <v>16.95</v>
      </c>
      <c r="I4332" s="18">
        <v>6.78</v>
      </c>
      <c r="J4332" s="18">
        <v>6.83</v>
      </c>
      <c r="K4332" s="18">
        <v>6.73</v>
      </c>
      <c r="L4332" s="22">
        <v>2</v>
      </c>
    </row>
    <row r="4333" spans="1:12">
      <c r="A4333">
        <v>5</v>
      </c>
      <c r="B4333" s="16" t="s">
        <v>60</v>
      </c>
      <c r="C4333" s="9">
        <v>45778</v>
      </c>
      <c r="D4333">
        <v>26</v>
      </c>
      <c r="E4333" s="16" t="s">
        <v>115</v>
      </c>
      <c r="F4333" s="16" t="s">
        <v>90</v>
      </c>
      <c r="G4333" s="22">
        <v>2.5</v>
      </c>
      <c r="H4333" s="18">
        <v>16.824999999999999</v>
      </c>
      <c r="I4333" s="18">
        <v>6.73</v>
      </c>
      <c r="J4333" s="18">
        <v>6.77</v>
      </c>
      <c r="K4333" s="18">
        <v>6.69</v>
      </c>
      <c r="L4333" s="22">
        <v>2</v>
      </c>
    </row>
    <row r="4334" spans="1:12">
      <c r="A4334">
        <v>5</v>
      </c>
      <c r="B4334" s="16" t="s">
        <v>60</v>
      </c>
      <c r="C4334" s="9">
        <v>45809</v>
      </c>
      <c r="D4334">
        <v>26</v>
      </c>
      <c r="E4334" s="16" t="s">
        <v>115</v>
      </c>
      <c r="F4334" s="16" t="s">
        <v>90</v>
      </c>
      <c r="G4334" s="22">
        <v>2.5</v>
      </c>
      <c r="H4334" s="18">
        <v>16.6875</v>
      </c>
      <c r="I4334" s="18">
        <v>6.6749999999999998</v>
      </c>
      <c r="J4334" s="18">
        <v>6.7</v>
      </c>
      <c r="K4334" s="18">
        <v>6.65</v>
      </c>
      <c r="L4334" s="22">
        <v>2</v>
      </c>
    </row>
    <row r="4335" spans="1:12">
      <c r="A4335">
        <v>5</v>
      </c>
      <c r="B4335" s="16" t="s">
        <v>60</v>
      </c>
      <c r="C4335" s="9">
        <v>45839</v>
      </c>
      <c r="D4335">
        <v>26</v>
      </c>
      <c r="E4335" s="16" t="s">
        <v>115</v>
      </c>
      <c r="F4335" s="16" t="s">
        <v>90</v>
      </c>
      <c r="G4335" s="22">
        <v>2.5</v>
      </c>
      <c r="H4335" s="18">
        <v>16.737500000000001</v>
      </c>
      <c r="I4335" s="18">
        <v>6.6950000000000003</v>
      </c>
      <c r="J4335" s="18">
        <v>6.74</v>
      </c>
      <c r="K4335" s="18">
        <v>6.65</v>
      </c>
      <c r="L4335" s="22">
        <v>2</v>
      </c>
    </row>
    <row r="4336" spans="1:12">
      <c r="A4336">
        <v>5</v>
      </c>
      <c r="B4336" s="16" t="s">
        <v>60</v>
      </c>
      <c r="C4336" s="9">
        <v>45870</v>
      </c>
      <c r="D4336">
        <v>26</v>
      </c>
      <c r="E4336" s="16" t="s">
        <v>115</v>
      </c>
      <c r="F4336" s="16" t="s">
        <v>90</v>
      </c>
      <c r="G4336" s="22">
        <v>2.5</v>
      </c>
      <c r="H4336" s="18">
        <v>16.987500000000001</v>
      </c>
      <c r="I4336" s="18">
        <v>6.7949999999999999</v>
      </c>
      <c r="J4336" s="18">
        <v>6.83</v>
      </c>
      <c r="K4336" s="18">
        <v>6.76</v>
      </c>
      <c r="L4336" s="22">
        <v>2</v>
      </c>
    </row>
    <row r="4337" spans="1:12">
      <c r="A4337">
        <v>5</v>
      </c>
      <c r="B4337" s="16" t="s">
        <v>60</v>
      </c>
      <c r="C4337" s="9">
        <v>45901</v>
      </c>
      <c r="D4337">
        <v>26</v>
      </c>
      <c r="E4337" s="16" t="s">
        <v>115</v>
      </c>
      <c r="F4337" s="16" t="s">
        <v>90</v>
      </c>
      <c r="G4337" s="22">
        <v>2.5</v>
      </c>
      <c r="H4337" s="18">
        <v>17.237500000000001</v>
      </c>
      <c r="I4337" s="18">
        <v>6.8949999999999996</v>
      </c>
      <c r="J4337" s="18">
        <v>6.98</v>
      </c>
      <c r="K4337" s="18">
        <v>6.81</v>
      </c>
      <c r="L4337" s="22">
        <v>2</v>
      </c>
    </row>
    <row r="4338" spans="1:12">
      <c r="A4338">
        <v>5</v>
      </c>
      <c r="B4338" s="16" t="s">
        <v>60</v>
      </c>
      <c r="C4338" s="9">
        <v>45931</v>
      </c>
      <c r="D4338">
        <v>26</v>
      </c>
      <c r="E4338" s="16" t="s">
        <v>115</v>
      </c>
      <c r="F4338" s="16" t="s">
        <v>90</v>
      </c>
      <c r="G4338" s="22">
        <v>1.25</v>
      </c>
      <c r="H4338" s="18">
        <v>8.5</v>
      </c>
      <c r="I4338" s="18">
        <v>6.8</v>
      </c>
      <c r="J4338" s="18">
        <v>6.8</v>
      </c>
      <c r="K4338" s="18">
        <v>6.8</v>
      </c>
      <c r="L4338" s="22">
        <v>1</v>
      </c>
    </row>
    <row r="4339" spans="1:12">
      <c r="A4339">
        <v>5</v>
      </c>
      <c r="B4339" s="16" t="s">
        <v>60</v>
      </c>
      <c r="C4339" s="9">
        <v>45962</v>
      </c>
      <c r="D4339">
        <v>26</v>
      </c>
      <c r="E4339" s="16" t="s">
        <v>115</v>
      </c>
      <c r="F4339" s="16" t="s">
        <v>90</v>
      </c>
      <c r="G4339" s="22">
        <v>2.5</v>
      </c>
      <c r="H4339" s="18">
        <v>17.137499999999999</v>
      </c>
      <c r="I4339" s="18">
        <v>6.8550000000000004</v>
      </c>
      <c r="J4339" s="18">
        <v>6.88</v>
      </c>
      <c r="K4339" s="18">
        <v>6.83</v>
      </c>
      <c r="L4339" s="22">
        <v>2</v>
      </c>
    </row>
    <row r="4340" spans="1:12">
      <c r="A4340">
        <v>5</v>
      </c>
      <c r="B4340" s="16" t="s">
        <v>60</v>
      </c>
      <c r="C4340" s="9">
        <v>45992</v>
      </c>
      <c r="D4340">
        <v>26</v>
      </c>
      <c r="E4340" s="16" t="s">
        <v>115</v>
      </c>
      <c r="F4340" s="16" t="s">
        <v>90</v>
      </c>
      <c r="G4340" s="22">
        <v>2.5</v>
      </c>
      <c r="H4340" s="18">
        <v>17.3125</v>
      </c>
      <c r="I4340" s="18">
        <v>6.9249999999999998</v>
      </c>
      <c r="J4340" s="18">
        <v>6.94</v>
      </c>
      <c r="K4340" s="18">
        <v>6.91</v>
      </c>
      <c r="L4340" s="22">
        <v>2</v>
      </c>
    </row>
    <row r="4341" spans="1:12">
      <c r="A4341">
        <v>5</v>
      </c>
      <c r="B4341" s="16" t="s">
        <v>60</v>
      </c>
      <c r="C4341" s="9">
        <v>46023</v>
      </c>
      <c r="D4341">
        <v>26</v>
      </c>
      <c r="E4341" s="16" t="s">
        <v>115</v>
      </c>
      <c r="F4341" s="16" t="s">
        <v>90</v>
      </c>
      <c r="G4341" s="22">
        <v>3.75</v>
      </c>
      <c r="H4341" s="18">
        <v>25.962499999999999</v>
      </c>
      <c r="I4341" s="18">
        <v>6.9233333330000004</v>
      </c>
      <c r="J4341" s="18">
        <v>6.99</v>
      </c>
      <c r="K4341" s="18">
        <v>6.85</v>
      </c>
      <c r="L4341" s="22">
        <v>3</v>
      </c>
    </row>
    <row r="4342" spans="1:12">
      <c r="A4342">
        <v>5</v>
      </c>
      <c r="B4342" s="16" t="s">
        <v>60</v>
      </c>
      <c r="C4342" s="9">
        <v>46054</v>
      </c>
      <c r="D4342">
        <v>26</v>
      </c>
      <c r="E4342" s="16" t="s">
        <v>115</v>
      </c>
      <c r="F4342" s="16" t="s">
        <v>90</v>
      </c>
      <c r="G4342" s="22">
        <v>2.5</v>
      </c>
      <c r="H4342" s="18">
        <v>17.475000000000001</v>
      </c>
      <c r="I4342" s="18">
        <v>6.99</v>
      </c>
      <c r="J4342" s="18">
        <v>6.99</v>
      </c>
      <c r="K4342" s="18">
        <v>6.99</v>
      </c>
      <c r="L4342" s="22">
        <v>2</v>
      </c>
    </row>
    <row r="4343" spans="1:12">
      <c r="A4343">
        <v>5</v>
      </c>
      <c r="B4343" s="16" t="s">
        <v>60</v>
      </c>
      <c r="C4343" s="9">
        <v>46082</v>
      </c>
      <c r="D4343">
        <v>26</v>
      </c>
      <c r="E4343" s="16" t="s">
        <v>115</v>
      </c>
      <c r="F4343" s="16" t="s">
        <v>90</v>
      </c>
      <c r="G4343" s="22">
        <v>2.5</v>
      </c>
      <c r="H4343" s="18">
        <v>17.137499999999999</v>
      </c>
      <c r="I4343" s="18">
        <v>6.8550000000000004</v>
      </c>
      <c r="J4343" s="18">
        <v>6.89</v>
      </c>
      <c r="K4343" s="18">
        <v>6.82</v>
      </c>
      <c r="L4343" s="22">
        <v>2</v>
      </c>
    </row>
    <row r="4344" spans="1:12">
      <c r="A4344">
        <v>5</v>
      </c>
      <c r="B4344" s="16" t="s">
        <v>60</v>
      </c>
      <c r="C4344" s="9">
        <v>46113</v>
      </c>
      <c r="D4344">
        <v>26</v>
      </c>
      <c r="E4344" s="16" t="s">
        <v>115</v>
      </c>
      <c r="F4344" s="16" t="s">
        <v>90</v>
      </c>
      <c r="G4344" s="22">
        <v>1.25</v>
      </c>
      <c r="H4344" s="18">
        <v>8.7375000000000007</v>
      </c>
      <c r="I4344" s="18">
        <v>6.99</v>
      </c>
      <c r="J4344" s="18">
        <v>6.99</v>
      </c>
      <c r="K4344" s="18">
        <v>6.99</v>
      </c>
      <c r="L4344" s="22">
        <v>1</v>
      </c>
    </row>
    <row r="4345" spans="1:12">
      <c r="A4345">
        <v>5</v>
      </c>
      <c r="B4345" s="16" t="s">
        <v>60</v>
      </c>
      <c r="C4345" s="9">
        <v>46143</v>
      </c>
      <c r="D4345">
        <v>26</v>
      </c>
      <c r="E4345" s="16" t="s">
        <v>115</v>
      </c>
      <c r="F4345" s="16" t="s">
        <v>90</v>
      </c>
      <c r="G4345" s="22">
        <v>2.5</v>
      </c>
      <c r="H4345" s="18">
        <v>17.012499999999999</v>
      </c>
      <c r="I4345" s="18">
        <v>6.8049999999999997</v>
      </c>
      <c r="J4345" s="18">
        <v>6.88</v>
      </c>
      <c r="K4345" s="18">
        <v>6.73</v>
      </c>
      <c r="L4345" s="22">
        <v>2</v>
      </c>
    </row>
    <row r="4346" spans="1:12">
      <c r="A4346">
        <v>5</v>
      </c>
      <c r="B4346" s="16" t="s">
        <v>60</v>
      </c>
      <c r="C4346" s="9">
        <v>46174</v>
      </c>
      <c r="D4346">
        <v>26</v>
      </c>
      <c r="E4346" s="16" t="s">
        <v>115</v>
      </c>
      <c r="F4346" s="16" t="s">
        <v>90</v>
      </c>
      <c r="G4346" s="22">
        <v>1.25</v>
      </c>
      <c r="H4346" s="18">
        <v>8.4749999999999996</v>
      </c>
      <c r="I4346" s="18">
        <v>6.78</v>
      </c>
      <c r="J4346" s="18">
        <v>6.78</v>
      </c>
      <c r="K4346" s="18">
        <v>6.78</v>
      </c>
      <c r="L4346" s="22">
        <v>1</v>
      </c>
    </row>
    <row r="4347" spans="1:12">
      <c r="A4347">
        <v>5</v>
      </c>
      <c r="B4347" s="16" t="s">
        <v>60</v>
      </c>
      <c r="C4347" s="9">
        <v>46204</v>
      </c>
      <c r="D4347">
        <v>26</v>
      </c>
      <c r="E4347" s="16" t="s">
        <v>115</v>
      </c>
      <c r="F4347" s="16" t="s">
        <v>90</v>
      </c>
      <c r="G4347" s="22">
        <v>3.75</v>
      </c>
      <c r="H4347" s="18">
        <v>26.05</v>
      </c>
      <c r="I4347" s="18">
        <v>6.9466666669999997</v>
      </c>
      <c r="J4347" s="18">
        <v>7.02</v>
      </c>
      <c r="K4347" s="18">
        <v>6.91</v>
      </c>
      <c r="L4347" s="22">
        <v>3</v>
      </c>
    </row>
    <row r="4348" spans="1:12">
      <c r="A4348">
        <v>5</v>
      </c>
      <c r="B4348" s="16" t="s">
        <v>60</v>
      </c>
      <c r="C4348" s="9">
        <v>46235</v>
      </c>
      <c r="D4348">
        <v>26</v>
      </c>
      <c r="E4348" s="16" t="s">
        <v>115</v>
      </c>
      <c r="F4348" s="16" t="s">
        <v>90</v>
      </c>
      <c r="G4348" s="22">
        <v>1.25</v>
      </c>
      <c r="H4348" s="18">
        <v>8.4875000000000007</v>
      </c>
      <c r="I4348" s="18">
        <v>6.79</v>
      </c>
      <c r="J4348" s="18">
        <v>6.79</v>
      </c>
      <c r="K4348" s="18">
        <v>6.79</v>
      </c>
      <c r="L4348" s="22">
        <v>1</v>
      </c>
    </row>
    <row r="4349" spans="1:12">
      <c r="A4349">
        <v>5</v>
      </c>
      <c r="B4349" s="16" t="s">
        <v>60</v>
      </c>
      <c r="C4349" s="9">
        <v>46266</v>
      </c>
      <c r="D4349">
        <v>26</v>
      </c>
      <c r="E4349" s="16" t="s">
        <v>115</v>
      </c>
      <c r="F4349" s="16" t="s">
        <v>90</v>
      </c>
      <c r="G4349" s="22">
        <v>2.5</v>
      </c>
      <c r="H4349" s="18">
        <v>17.237500000000001</v>
      </c>
      <c r="I4349" s="18">
        <v>6.8949999999999996</v>
      </c>
      <c r="J4349" s="18">
        <v>6.98</v>
      </c>
      <c r="K4349" s="18">
        <v>6.81</v>
      </c>
      <c r="L4349" s="22">
        <v>2</v>
      </c>
    </row>
    <row r="4350" spans="1:12">
      <c r="A4350">
        <v>5</v>
      </c>
      <c r="B4350" s="16" t="s">
        <v>60</v>
      </c>
      <c r="C4350" s="9">
        <v>45689</v>
      </c>
      <c r="D4350">
        <v>27</v>
      </c>
      <c r="E4350" s="16" t="s">
        <v>116</v>
      </c>
      <c r="F4350" s="16" t="s">
        <v>90</v>
      </c>
      <c r="G4350" s="22">
        <v>12.5</v>
      </c>
      <c r="H4350" s="18">
        <v>10.1875</v>
      </c>
      <c r="I4350" s="18">
        <v>0.81499999999999995</v>
      </c>
      <c r="J4350" s="18">
        <v>0.82</v>
      </c>
      <c r="K4350" s="18">
        <v>0.81</v>
      </c>
      <c r="L4350" s="22">
        <v>2</v>
      </c>
    </row>
    <row r="4351" spans="1:12">
      <c r="A4351">
        <v>5</v>
      </c>
      <c r="B4351" s="16" t="s">
        <v>60</v>
      </c>
      <c r="C4351" s="9">
        <v>45717</v>
      </c>
      <c r="D4351">
        <v>27</v>
      </c>
      <c r="E4351" s="16" t="s">
        <v>116</v>
      </c>
      <c r="F4351" s="16" t="s">
        <v>90</v>
      </c>
      <c r="G4351" s="22">
        <v>6.25</v>
      </c>
      <c r="H4351" s="18">
        <v>5.125</v>
      </c>
      <c r="I4351" s="18">
        <v>0.82</v>
      </c>
      <c r="J4351" s="18">
        <v>0.82</v>
      </c>
      <c r="K4351" s="18">
        <v>0.82</v>
      </c>
      <c r="L4351" s="22">
        <v>1</v>
      </c>
    </row>
    <row r="4352" spans="1:12">
      <c r="A4352">
        <v>5</v>
      </c>
      <c r="B4352" s="16" t="s">
        <v>60</v>
      </c>
      <c r="C4352" s="9">
        <v>45748</v>
      </c>
      <c r="D4352">
        <v>27</v>
      </c>
      <c r="E4352" s="16" t="s">
        <v>116</v>
      </c>
      <c r="F4352" s="16" t="s">
        <v>90</v>
      </c>
      <c r="G4352" s="22">
        <v>12.5</v>
      </c>
      <c r="H4352" s="18">
        <v>10.5</v>
      </c>
      <c r="I4352" s="18">
        <v>0.84</v>
      </c>
      <c r="J4352" s="18">
        <v>0.86</v>
      </c>
      <c r="K4352" s="18">
        <v>0.82</v>
      </c>
      <c r="L4352" s="22">
        <v>2</v>
      </c>
    </row>
    <row r="4353" spans="1:12">
      <c r="A4353">
        <v>5</v>
      </c>
      <c r="B4353" s="16" t="s">
        <v>60</v>
      </c>
      <c r="C4353" s="9">
        <v>45778</v>
      </c>
      <c r="D4353">
        <v>27</v>
      </c>
      <c r="E4353" s="16" t="s">
        <v>116</v>
      </c>
      <c r="F4353" s="16" t="s">
        <v>90</v>
      </c>
      <c r="G4353" s="22">
        <v>18.75</v>
      </c>
      <c r="H4353" s="18">
        <v>16.375</v>
      </c>
      <c r="I4353" s="18">
        <v>0.87333333300000004</v>
      </c>
      <c r="J4353" s="18">
        <v>0.9</v>
      </c>
      <c r="K4353" s="18">
        <v>0.82</v>
      </c>
      <c r="L4353" s="22">
        <v>2</v>
      </c>
    </row>
    <row r="4354" spans="1:12">
      <c r="A4354">
        <v>5</v>
      </c>
      <c r="B4354" s="16" t="s">
        <v>60</v>
      </c>
      <c r="C4354" s="9">
        <v>45809</v>
      </c>
      <c r="D4354">
        <v>27</v>
      </c>
      <c r="E4354" s="16" t="s">
        <v>116</v>
      </c>
      <c r="F4354" s="16" t="s">
        <v>90</v>
      </c>
      <c r="G4354" s="22">
        <v>12.5</v>
      </c>
      <c r="H4354" s="18">
        <v>10.25</v>
      </c>
      <c r="I4354" s="18">
        <v>0.82</v>
      </c>
      <c r="J4354" s="18">
        <v>0.82</v>
      </c>
      <c r="K4354" s="18">
        <v>0.82</v>
      </c>
      <c r="L4354" s="22">
        <v>2</v>
      </c>
    </row>
    <row r="4355" spans="1:12">
      <c r="A4355">
        <v>5</v>
      </c>
      <c r="B4355" s="16" t="s">
        <v>60</v>
      </c>
      <c r="C4355" s="9">
        <v>45839</v>
      </c>
      <c r="D4355">
        <v>27</v>
      </c>
      <c r="E4355" s="16" t="s">
        <v>116</v>
      </c>
      <c r="F4355" s="16" t="s">
        <v>90</v>
      </c>
      <c r="G4355" s="22">
        <v>18.75</v>
      </c>
      <c r="H4355" s="18">
        <v>15.5625</v>
      </c>
      <c r="I4355" s="18">
        <v>0.83</v>
      </c>
      <c r="J4355" s="18">
        <v>0.85</v>
      </c>
      <c r="K4355" s="18">
        <v>0.82</v>
      </c>
      <c r="L4355" s="22">
        <v>3</v>
      </c>
    </row>
    <row r="4356" spans="1:12">
      <c r="A4356">
        <v>5</v>
      </c>
      <c r="B4356" s="16" t="s">
        <v>60</v>
      </c>
      <c r="C4356" s="9">
        <v>45870</v>
      </c>
      <c r="D4356">
        <v>27</v>
      </c>
      <c r="E4356" s="16" t="s">
        <v>116</v>
      </c>
      <c r="F4356" s="16" t="s">
        <v>90</v>
      </c>
      <c r="G4356" s="22">
        <v>12.5</v>
      </c>
      <c r="H4356" s="18">
        <v>10.5</v>
      </c>
      <c r="I4356" s="18">
        <v>0.84</v>
      </c>
      <c r="J4356" s="18">
        <v>0.84</v>
      </c>
      <c r="K4356" s="18">
        <v>0.84</v>
      </c>
      <c r="L4356" s="22">
        <v>2</v>
      </c>
    </row>
    <row r="4357" spans="1:12">
      <c r="A4357">
        <v>5</v>
      </c>
      <c r="B4357" s="16" t="s">
        <v>60</v>
      </c>
      <c r="C4357" s="9">
        <v>45901</v>
      </c>
      <c r="D4357">
        <v>27</v>
      </c>
      <c r="E4357" s="16" t="s">
        <v>116</v>
      </c>
      <c r="F4357" s="16" t="s">
        <v>90</v>
      </c>
      <c r="G4357" s="22">
        <v>12.5</v>
      </c>
      <c r="H4357" s="18">
        <v>10.5</v>
      </c>
      <c r="I4357" s="18">
        <v>0.84</v>
      </c>
      <c r="J4357" s="18">
        <v>0.85</v>
      </c>
      <c r="K4357" s="18">
        <v>0.83</v>
      </c>
      <c r="L4357" s="22">
        <v>2</v>
      </c>
    </row>
    <row r="4358" spans="1:12">
      <c r="A4358">
        <v>5</v>
      </c>
      <c r="B4358" s="16" t="s">
        <v>60</v>
      </c>
      <c r="C4358" s="9">
        <v>45931</v>
      </c>
      <c r="D4358">
        <v>27</v>
      </c>
      <c r="E4358" s="16" t="s">
        <v>116</v>
      </c>
      <c r="F4358" s="16" t="s">
        <v>90</v>
      </c>
      <c r="G4358" s="22">
        <v>12.5</v>
      </c>
      <c r="H4358" s="18">
        <v>10.625</v>
      </c>
      <c r="I4358" s="18">
        <v>0.85</v>
      </c>
      <c r="J4358" s="18">
        <v>0.85</v>
      </c>
      <c r="K4358" s="18">
        <v>0.85</v>
      </c>
      <c r="L4358" s="22">
        <v>2</v>
      </c>
    </row>
    <row r="4359" spans="1:12">
      <c r="A4359">
        <v>5</v>
      </c>
      <c r="B4359" s="16" t="s">
        <v>60</v>
      </c>
      <c r="C4359" s="9">
        <v>45962</v>
      </c>
      <c r="D4359">
        <v>27</v>
      </c>
      <c r="E4359" s="16" t="s">
        <v>116</v>
      </c>
      <c r="F4359" s="16" t="s">
        <v>90</v>
      </c>
      <c r="G4359" s="22">
        <v>12.5</v>
      </c>
      <c r="H4359" s="18">
        <v>10.5625</v>
      </c>
      <c r="I4359" s="18">
        <v>0.84499999999999997</v>
      </c>
      <c r="J4359" s="18">
        <v>0.85</v>
      </c>
      <c r="K4359" s="18">
        <v>0.84</v>
      </c>
      <c r="L4359" s="22">
        <v>2</v>
      </c>
    </row>
    <row r="4360" spans="1:12">
      <c r="A4360">
        <v>5</v>
      </c>
      <c r="B4360" s="16" t="s">
        <v>60</v>
      </c>
      <c r="C4360" s="9">
        <v>45992</v>
      </c>
      <c r="D4360">
        <v>27</v>
      </c>
      <c r="E4360" s="16" t="s">
        <v>116</v>
      </c>
      <c r="F4360" s="16" t="s">
        <v>90</v>
      </c>
      <c r="G4360" s="22">
        <v>12.5</v>
      </c>
      <c r="H4360" s="18">
        <v>10.6875</v>
      </c>
      <c r="I4360" s="18">
        <v>0.85499999999999998</v>
      </c>
      <c r="J4360" s="18">
        <v>0.86</v>
      </c>
      <c r="K4360" s="18">
        <v>0.85</v>
      </c>
      <c r="L4360" s="22">
        <v>2</v>
      </c>
    </row>
    <row r="4361" spans="1:12">
      <c r="A4361">
        <v>5</v>
      </c>
      <c r="B4361" s="16" t="s">
        <v>60</v>
      </c>
      <c r="C4361" s="9">
        <v>46023</v>
      </c>
      <c r="D4361">
        <v>27</v>
      </c>
      <c r="E4361" s="16" t="s">
        <v>116</v>
      </c>
      <c r="F4361" s="16" t="s">
        <v>90</v>
      </c>
      <c r="G4361" s="22">
        <v>12.5</v>
      </c>
      <c r="H4361" s="18">
        <v>10.5625</v>
      </c>
      <c r="I4361" s="18">
        <v>0.84499999999999997</v>
      </c>
      <c r="J4361" s="18">
        <v>0.86</v>
      </c>
      <c r="K4361" s="18">
        <v>0.83</v>
      </c>
      <c r="L4361" s="22">
        <v>2</v>
      </c>
    </row>
    <row r="4362" spans="1:12">
      <c r="A4362">
        <v>5</v>
      </c>
      <c r="B4362" s="16" t="s">
        <v>60</v>
      </c>
      <c r="C4362" s="9">
        <v>46054</v>
      </c>
      <c r="D4362">
        <v>27</v>
      </c>
      <c r="E4362" s="16" t="s">
        <v>116</v>
      </c>
      <c r="F4362" s="16" t="s">
        <v>90</v>
      </c>
      <c r="G4362" s="22">
        <v>12.5</v>
      </c>
      <c r="H4362" s="18">
        <v>10.75</v>
      </c>
      <c r="I4362" s="18">
        <v>0.86</v>
      </c>
      <c r="J4362" s="18">
        <v>0.86</v>
      </c>
      <c r="K4362" s="18">
        <v>0.86</v>
      </c>
      <c r="L4362" s="22">
        <v>1</v>
      </c>
    </row>
    <row r="4363" spans="1:12">
      <c r="A4363">
        <v>5</v>
      </c>
      <c r="B4363" s="16" t="s">
        <v>60</v>
      </c>
      <c r="C4363" s="9">
        <v>46082</v>
      </c>
      <c r="D4363">
        <v>27</v>
      </c>
      <c r="E4363" s="16" t="s">
        <v>116</v>
      </c>
      <c r="F4363" s="16" t="s">
        <v>90</v>
      </c>
      <c r="G4363" s="22">
        <v>18.75</v>
      </c>
      <c r="H4363" s="18">
        <v>16.125</v>
      </c>
      <c r="I4363" s="18">
        <v>0.86</v>
      </c>
      <c r="J4363" s="18">
        <v>0.86</v>
      </c>
      <c r="K4363" s="18">
        <v>0.86</v>
      </c>
      <c r="L4363" s="22">
        <v>2</v>
      </c>
    </row>
    <row r="4364" spans="1:12">
      <c r="A4364">
        <v>5</v>
      </c>
      <c r="B4364" s="16" t="s">
        <v>60</v>
      </c>
      <c r="C4364" s="9">
        <v>46113</v>
      </c>
      <c r="D4364">
        <v>27</v>
      </c>
      <c r="E4364" s="16" t="s">
        <v>116</v>
      </c>
      <c r="F4364" s="16" t="s">
        <v>90</v>
      </c>
      <c r="G4364" s="22">
        <v>12.5</v>
      </c>
      <c r="H4364" s="18">
        <v>10.6875</v>
      </c>
      <c r="I4364" s="18">
        <v>0.85499999999999998</v>
      </c>
      <c r="J4364" s="18">
        <v>0.86</v>
      </c>
      <c r="K4364" s="18">
        <v>0.85</v>
      </c>
      <c r="L4364" s="22">
        <v>2</v>
      </c>
    </row>
    <row r="4365" spans="1:12">
      <c r="A4365">
        <v>5</v>
      </c>
      <c r="B4365" s="16" t="s">
        <v>60</v>
      </c>
      <c r="C4365" s="9">
        <v>46143</v>
      </c>
      <c r="D4365">
        <v>27</v>
      </c>
      <c r="E4365" s="16" t="s">
        <v>116</v>
      </c>
      <c r="F4365" s="16" t="s">
        <v>90</v>
      </c>
      <c r="G4365" s="22">
        <v>12.5</v>
      </c>
      <c r="H4365" s="18">
        <v>10.875</v>
      </c>
      <c r="I4365" s="18">
        <v>0.87</v>
      </c>
      <c r="J4365" s="18">
        <v>0.88</v>
      </c>
      <c r="K4365" s="18">
        <v>0.86</v>
      </c>
      <c r="L4365" s="22">
        <v>2</v>
      </c>
    </row>
    <row r="4366" spans="1:12">
      <c r="A4366">
        <v>5</v>
      </c>
      <c r="B4366" s="16" t="s">
        <v>60</v>
      </c>
      <c r="C4366" s="9">
        <v>46174</v>
      </c>
      <c r="D4366">
        <v>27</v>
      </c>
      <c r="E4366" s="16" t="s">
        <v>116</v>
      </c>
      <c r="F4366" s="16" t="s">
        <v>90</v>
      </c>
      <c r="G4366" s="22">
        <v>12.5</v>
      </c>
      <c r="H4366" s="18">
        <v>10.9375</v>
      </c>
      <c r="I4366" s="18">
        <v>0.875</v>
      </c>
      <c r="J4366" s="18">
        <v>0.88</v>
      </c>
      <c r="K4366" s="18">
        <v>0.87</v>
      </c>
      <c r="L4366" s="22">
        <v>2</v>
      </c>
    </row>
    <row r="4367" spans="1:12">
      <c r="A4367">
        <v>5</v>
      </c>
      <c r="B4367" s="16" t="s">
        <v>60</v>
      </c>
      <c r="C4367" s="9">
        <v>46204</v>
      </c>
      <c r="D4367">
        <v>27</v>
      </c>
      <c r="E4367" s="16" t="s">
        <v>116</v>
      </c>
      <c r="F4367" s="16" t="s">
        <v>90</v>
      </c>
      <c r="G4367" s="22">
        <v>25</v>
      </c>
      <c r="H4367" s="18">
        <v>21.75</v>
      </c>
      <c r="I4367" s="18">
        <v>0.87</v>
      </c>
      <c r="J4367" s="18">
        <v>0.88</v>
      </c>
      <c r="K4367" s="18">
        <v>0.86</v>
      </c>
      <c r="L4367" s="22">
        <v>3</v>
      </c>
    </row>
    <row r="4368" spans="1:12">
      <c r="A4368">
        <v>5</v>
      </c>
      <c r="B4368" s="16" t="s">
        <v>60</v>
      </c>
      <c r="C4368" s="9">
        <v>46235</v>
      </c>
      <c r="D4368">
        <v>27</v>
      </c>
      <c r="E4368" s="16" t="s">
        <v>116</v>
      </c>
      <c r="F4368" s="16" t="s">
        <v>90</v>
      </c>
      <c r="G4368" s="22">
        <v>12.5</v>
      </c>
      <c r="H4368" s="18">
        <v>11</v>
      </c>
      <c r="I4368" s="18">
        <v>0.88</v>
      </c>
      <c r="J4368" s="18">
        <v>0.89</v>
      </c>
      <c r="K4368" s="18">
        <v>0.87</v>
      </c>
      <c r="L4368" s="22">
        <v>2</v>
      </c>
    </row>
    <row r="4369" spans="1:12">
      <c r="A4369">
        <v>5</v>
      </c>
      <c r="B4369" s="16" t="s">
        <v>60</v>
      </c>
      <c r="C4369" s="9">
        <v>46266</v>
      </c>
      <c r="D4369">
        <v>27</v>
      </c>
      <c r="E4369" s="16" t="s">
        <v>116</v>
      </c>
      <c r="F4369" s="16" t="s">
        <v>90</v>
      </c>
      <c r="G4369" s="22">
        <v>12.5</v>
      </c>
      <c r="H4369" s="18">
        <v>10.625</v>
      </c>
      <c r="I4369" s="18">
        <v>0.85</v>
      </c>
      <c r="J4369" s="18">
        <v>0.85</v>
      </c>
      <c r="K4369" s="18">
        <v>0.85</v>
      </c>
      <c r="L4369" s="22">
        <v>2</v>
      </c>
    </row>
    <row r="4370" spans="1:12">
      <c r="A4370">
        <v>5</v>
      </c>
      <c r="B4370" s="16" t="s">
        <v>60</v>
      </c>
      <c r="C4370" s="9">
        <v>45689</v>
      </c>
      <c r="D4370">
        <v>28</v>
      </c>
      <c r="E4370" s="16" t="s">
        <v>117</v>
      </c>
      <c r="F4370" s="16" t="s">
        <v>92</v>
      </c>
      <c r="G4370" s="22">
        <v>28</v>
      </c>
      <c r="H4370" s="18">
        <v>33.994999999999997</v>
      </c>
      <c r="I4370" s="18">
        <v>1.2141071430000001</v>
      </c>
      <c r="J4370" s="18">
        <v>1.24</v>
      </c>
      <c r="K4370" s="18">
        <v>1.2</v>
      </c>
      <c r="L4370" s="22">
        <v>12</v>
      </c>
    </row>
    <row r="4371" spans="1:12">
      <c r="A4371">
        <v>5</v>
      </c>
      <c r="B4371" s="16" t="s">
        <v>60</v>
      </c>
      <c r="C4371" s="9">
        <v>45717</v>
      </c>
      <c r="D4371">
        <v>28</v>
      </c>
      <c r="E4371" s="16" t="s">
        <v>117</v>
      </c>
      <c r="F4371" s="16" t="s">
        <v>92</v>
      </c>
      <c r="G4371" s="22">
        <v>24.5</v>
      </c>
      <c r="H4371" s="18">
        <v>28.864999999999998</v>
      </c>
      <c r="I4371" s="18">
        <v>1.178163265</v>
      </c>
      <c r="J4371" s="18">
        <v>1.23</v>
      </c>
      <c r="K4371" s="18">
        <v>1.1599999999999999</v>
      </c>
      <c r="L4371" s="22">
        <v>13</v>
      </c>
    </row>
    <row r="4372" spans="1:12">
      <c r="A4372">
        <v>5</v>
      </c>
      <c r="B4372" s="16" t="s">
        <v>60</v>
      </c>
      <c r="C4372" s="9">
        <v>45748</v>
      </c>
      <c r="D4372">
        <v>28</v>
      </c>
      <c r="E4372" s="16" t="s">
        <v>117</v>
      </c>
      <c r="F4372" s="16" t="s">
        <v>92</v>
      </c>
      <c r="G4372" s="22">
        <v>25.5</v>
      </c>
      <c r="H4372" s="18">
        <v>28.984999999999999</v>
      </c>
      <c r="I4372" s="18">
        <v>1.1366666670000001</v>
      </c>
      <c r="J4372" s="18">
        <v>1.2</v>
      </c>
      <c r="K4372" s="18">
        <v>1.1100000000000001</v>
      </c>
      <c r="L4372" s="22">
        <v>13</v>
      </c>
    </row>
    <row r="4373" spans="1:12">
      <c r="A4373">
        <v>5</v>
      </c>
      <c r="B4373" s="16" t="s">
        <v>60</v>
      </c>
      <c r="C4373" s="9">
        <v>45778</v>
      </c>
      <c r="D4373">
        <v>28</v>
      </c>
      <c r="E4373" s="16" t="s">
        <v>117</v>
      </c>
      <c r="F4373" s="16" t="s">
        <v>92</v>
      </c>
      <c r="G4373" s="22">
        <v>29</v>
      </c>
      <c r="H4373" s="18">
        <v>31.58</v>
      </c>
      <c r="I4373" s="18">
        <v>1.0889655170000001</v>
      </c>
      <c r="J4373" s="18">
        <v>1.1100000000000001</v>
      </c>
      <c r="K4373" s="18">
        <v>1.07</v>
      </c>
      <c r="L4373" s="22">
        <v>13</v>
      </c>
    </row>
    <row r="4374" spans="1:12">
      <c r="A4374">
        <v>5</v>
      </c>
      <c r="B4374" s="16" t="s">
        <v>60</v>
      </c>
      <c r="C4374" s="9">
        <v>45809</v>
      </c>
      <c r="D4374">
        <v>28</v>
      </c>
      <c r="E4374" s="16" t="s">
        <v>117</v>
      </c>
      <c r="F4374" s="16" t="s">
        <v>92</v>
      </c>
      <c r="G4374" s="22">
        <v>22</v>
      </c>
      <c r="H4374" s="18">
        <v>23.414999999999999</v>
      </c>
      <c r="I4374" s="18">
        <v>1.0643181820000001</v>
      </c>
      <c r="J4374" s="18">
        <v>1.1100000000000001</v>
      </c>
      <c r="K4374" s="18">
        <v>1.03</v>
      </c>
      <c r="L4374" s="22">
        <v>13</v>
      </c>
    </row>
    <row r="4375" spans="1:12">
      <c r="A4375">
        <v>5</v>
      </c>
      <c r="B4375" s="16" t="s">
        <v>60</v>
      </c>
      <c r="C4375" s="9">
        <v>45839</v>
      </c>
      <c r="D4375">
        <v>28</v>
      </c>
      <c r="E4375" s="16" t="s">
        <v>117</v>
      </c>
      <c r="F4375" s="16" t="s">
        <v>92</v>
      </c>
      <c r="G4375" s="22">
        <v>26.5</v>
      </c>
      <c r="H4375" s="18">
        <v>27.864999999999998</v>
      </c>
      <c r="I4375" s="18">
        <v>1.051509434</v>
      </c>
      <c r="J4375" s="18">
        <v>1.08</v>
      </c>
      <c r="K4375" s="18">
        <v>1.03</v>
      </c>
      <c r="L4375" s="22">
        <v>13</v>
      </c>
    </row>
    <row r="4376" spans="1:12">
      <c r="A4376">
        <v>5</v>
      </c>
      <c r="B4376" s="16" t="s">
        <v>60</v>
      </c>
      <c r="C4376" s="9">
        <v>45870</v>
      </c>
      <c r="D4376">
        <v>28</v>
      </c>
      <c r="E4376" s="16" t="s">
        <v>117</v>
      </c>
      <c r="F4376" s="16" t="s">
        <v>92</v>
      </c>
      <c r="G4376" s="22">
        <v>28.5</v>
      </c>
      <c r="H4376" s="18">
        <v>30.29</v>
      </c>
      <c r="I4376" s="18">
        <v>1.062807018</v>
      </c>
      <c r="J4376" s="18">
        <v>1.08</v>
      </c>
      <c r="K4376" s="18">
        <v>1.05</v>
      </c>
      <c r="L4376" s="22">
        <v>13</v>
      </c>
    </row>
    <row r="4377" spans="1:12">
      <c r="A4377">
        <v>5</v>
      </c>
      <c r="B4377" s="16" t="s">
        <v>60</v>
      </c>
      <c r="C4377" s="9">
        <v>45901</v>
      </c>
      <c r="D4377">
        <v>28</v>
      </c>
      <c r="E4377" s="16" t="s">
        <v>117</v>
      </c>
      <c r="F4377" s="16" t="s">
        <v>92</v>
      </c>
      <c r="G4377" s="22">
        <v>20.5</v>
      </c>
      <c r="H4377" s="18">
        <v>22.61</v>
      </c>
      <c r="I4377" s="18">
        <v>1.1029268290000001</v>
      </c>
      <c r="J4377" s="18">
        <v>1.1200000000000001</v>
      </c>
      <c r="K4377" s="18">
        <v>1.08</v>
      </c>
      <c r="L4377" s="22">
        <v>13</v>
      </c>
    </row>
    <row r="4378" spans="1:12">
      <c r="A4378">
        <v>5</v>
      </c>
      <c r="B4378" s="16" t="s">
        <v>60</v>
      </c>
      <c r="C4378" s="9">
        <v>45931</v>
      </c>
      <c r="D4378">
        <v>28</v>
      </c>
      <c r="E4378" s="16" t="s">
        <v>117</v>
      </c>
      <c r="F4378" s="16" t="s">
        <v>92</v>
      </c>
      <c r="G4378" s="22">
        <v>29.5</v>
      </c>
      <c r="H4378" s="18">
        <v>34.03</v>
      </c>
      <c r="I4378" s="18">
        <v>1.153559322</v>
      </c>
      <c r="J4378" s="18">
        <v>1.19</v>
      </c>
      <c r="K4378" s="18">
        <v>1.1399999999999999</v>
      </c>
      <c r="L4378" s="22">
        <v>14</v>
      </c>
    </row>
    <row r="4379" spans="1:12">
      <c r="A4379">
        <v>5</v>
      </c>
      <c r="B4379" s="16" t="s">
        <v>60</v>
      </c>
      <c r="C4379" s="9">
        <v>45962</v>
      </c>
      <c r="D4379">
        <v>28</v>
      </c>
      <c r="E4379" s="16" t="s">
        <v>117</v>
      </c>
      <c r="F4379" s="16" t="s">
        <v>92</v>
      </c>
      <c r="G4379" s="22">
        <v>26</v>
      </c>
      <c r="H4379" s="18">
        <v>31.51</v>
      </c>
      <c r="I4379" s="18">
        <v>1.211923077</v>
      </c>
      <c r="J4379" s="18">
        <v>1.26</v>
      </c>
      <c r="K4379" s="18">
        <v>1.19</v>
      </c>
      <c r="L4379" s="22">
        <v>12</v>
      </c>
    </row>
    <row r="4380" spans="1:12">
      <c r="A4380">
        <v>5</v>
      </c>
      <c r="B4380" s="16" t="s">
        <v>60</v>
      </c>
      <c r="C4380" s="9">
        <v>45992</v>
      </c>
      <c r="D4380">
        <v>28</v>
      </c>
      <c r="E4380" s="16" t="s">
        <v>117</v>
      </c>
      <c r="F4380" s="16" t="s">
        <v>92</v>
      </c>
      <c r="G4380" s="22">
        <v>29</v>
      </c>
      <c r="H4380" s="18">
        <v>36.354999999999997</v>
      </c>
      <c r="I4380" s="18">
        <v>1.25362069</v>
      </c>
      <c r="J4380" s="18">
        <v>1.29</v>
      </c>
      <c r="K4380" s="18">
        <v>1.22</v>
      </c>
      <c r="L4380" s="22">
        <v>14</v>
      </c>
    </row>
    <row r="4381" spans="1:12">
      <c r="A4381">
        <v>5</v>
      </c>
      <c r="B4381" s="16" t="s">
        <v>60</v>
      </c>
      <c r="C4381" s="9">
        <v>46023</v>
      </c>
      <c r="D4381">
        <v>28</v>
      </c>
      <c r="E4381" s="16" t="s">
        <v>117</v>
      </c>
      <c r="F4381" s="16" t="s">
        <v>92</v>
      </c>
      <c r="G4381" s="22">
        <v>27.5</v>
      </c>
      <c r="H4381" s="18">
        <v>34.715000000000003</v>
      </c>
      <c r="I4381" s="18">
        <v>1.2623636359999999</v>
      </c>
      <c r="J4381" s="18">
        <v>1.35</v>
      </c>
      <c r="K4381" s="18">
        <v>1.24</v>
      </c>
      <c r="L4381" s="22">
        <v>13</v>
      </c>
    </row>
    <row r="4382" spans="1:12">
      <c r="A4382">
        <v>5</v>
      </c>
      <c r="B4382" s="16" t="s">
        <v>60</v>
      </c>
      <c r="C4382" s="9">
        <v>46054</v>
      </c>
      <c r="D4382">
        <v>28</v>
      </c>
      <c r="E4382" s="16" t="s">
        <v>117</v>
      </c>
      <c r="F4382" s="16" t="s">
        <v>92</v>
      </c>
      <c r="G4382" s="22">
        <v>29.5</v>
      </c>
      <c r="H4382" s="18">
        <v>36.555</v>
      </c>
      <c r="I4382" s="18">
        <v>1.239152542</v>
      </c>
      <c r="J4382" s="18">
        <v>1.28</v>
      </c>
      <c r="K4382" s="18">
        <v>1.22</v>
      </c>
      <c r="L4382" s="22">
        <v>12</v>
      </c>
    </row>
    <row r="4383" spans="1:12">
      <c r="A4383">
        <v>5</v>
      </c>
      <c r="B4383" s="16" t="s">
        <v>60</v>
      </c>
      <c r="C4383" s="9">
        <v>46082</v>
      </c>
      <c r="D4383">
        <v>28</v>
      </c>
      <c r="E4383" s="16" t="s">
        <v>117</v>
      </c>
      <c r="F4383" s="16" t="s">
        <v>92</v>
      </c>
      <c r="G4383" s="22">
        <v>27.5</v>
      </c>
      <c r="H4383" s="18">
        <v>33.475000000000001</v>
      </c>
      <c r="I4383" s="18">
        <v>1.2172727270000001</v>
      </c>
      <c r="J4383" s="18">
        <v>1.27</v>
      </c>
      <c r="K4383" s="18">
        <v>1.19</v>
      </c>
      <c r="L4383" s="22">
        <v>13</v>
      </c>
    </row>
    <row r="4384" spans="1:12">
      <c r="A4384">
        <v>5</v>
      </c>
      <c r="B4384" s="16" t="s">
        <v>60</v>
      </c>
      <c r="C4384" s="9">
        <v>46113</v>
      </c>
      <c r="D4384">
        <v>28</v>
      </c>
      <c r="E4384" s="16" t="s">
        <v>117</v>
      </c>
      <c r="F4384" s="16" t="s">
        <v>92</v>
      </c>
      <c r="G4384" s="22">
        <v>24.5</v>
      </c>
      <c r="H4384" s="18">
        <v>28.324999999999999</v>
      </c>
      <c r="I4384" s="18">
        <v>1.1561224489999999</v>
      </c>
      <c r="J4384" s="18">
        <v>1.17</v>
      </c>
      <c r="K4384" s="18">
        <v>1.1299999999999999</v>
      </c>
      <c r="L4384" s="22">
        <v>13</v>
      </c>
    </row>
    <row r="4385" spans="1:12">
      <c r="A4385">
        <v>5</v>
      </c>
      <c r="B4385" s="16" t="s">
        <v>60</v>
      </c>
      <c r="C4385" s="9">
        <v>46143</v>
      </c>
      <c r="D4385">
        <v>28</v>
      </c>
      <c r="E4385" s="16" t="s">
        <v>117</v>
      </c>
      <c r="F4385" s="16" t="s">
        <v>92</v>
      </c>
      <c r="G4385" s="22">
        <v>27</v>
      </c>
      <c r="H4385" s="18">
        <v>29.995000000000001</v>
      </c>
      <c r="I4385" s="18">
        <v>1.110925926</v>
      </c>
      <c r="J4385" s="18">
        <v>1.1399999999999999</v>
      </c>
      <c r="K4385" s="18">
        <v>1.0900000000000001</v>
      </c>
      <c r="L4385" s="22">
        <v>13</v>
      </c>
    </row>
    <row r="4386" spans="1:12">
      <c r="A4386">
        <v>5</v>
      </c>
      <c r="B4386" s="16" t="s">
        <v>60</v>
      </c>
      <c r="C4386" s="9">
        <v>46174</v>
      </c>
      <c r="D4386">
        <v>28</v>
      </c>
      <c r="E4386" s="16" t="s">
        <v>117</v>
      </c>
      <c r="F4386" s="16" t="s">
        <v>92</v>
      </c>
      <c r="G4386" s="22">
        <v>23</v>
      </c>
      <c r="H4386" s="18">
        <v>24.934999999999999</v>
      </c>
      <c r="I4386" s="18">
        <v>1.0841304350000001</v>
      </c>
      <c r="J4386" s="18">
        <v>1.1100000000000001</v>
      </c>
      <c r="K4386" s="18">
        <v>1.07</v>
      </c>
      <c r="L4386" s="22">
        <v>13</v>
      </c>
    </row>
    <row r="4387" spans="1:12">
      <c r="A4387">
        <v>5</v>
      </c>
      <c r="B4387" s="16" t="s">
        <v>60</v>
      </c>
      <c r="C4387" s="9">
        <v>46204</v>
      </c>
      <c r="D4387">
        <v>28</v>
      </c>
      <c r="E4387" s="16" t="s">
        <v>117</v>
      </c>
      <c r="F4387" s="16" t="s">
        <v>92</v>
      </c>
      <c r="G4387" s="22">
        <v>27.5</v>
      </c>
      <c r="H4387" s="18">
        <v>29.254999999999999</v>
      </c>
      <c r="I4387" s="18">
        <v>1.0638181819999999</v>
      </c>
      <c r="J4387" s="18">
        <v>1.0900000000000001</v>
      </c>
      <c r="K4387" s="18">
        <v>1.04</v>
      </c>
      <c r="L4387" s="22">
        <v>14</v>
      </c>
    </row>
    <row r="4388" spans="1:12">
      <c r="A4388">
        <v>5</v>
      </c>
      <c r="B4388" s="16" t="s">
        <v>60</v>
      </c>
      <c r="C4388" s="9">
        <v>46235</v>
      </c>
      <c r="D4388">
        <v>28</v>
      </c>
      <c r="E4388" s="16" t="s">
        <v>117</v>
      </c>
      <c r="F4388" s="16" t="s">
        <v>92</v>
      </c>
      <c r="G4388" s="22">
        <v>22</v>
      </c>
      <c r="H4388" s="18">
        <v>23.47</v>
      </c>
      <c r="I4388" s="18">
        <v>1.066818182</v>
      </c>
      <c r="J4388" s="18">
        <v>1.0900000000000001</v>
      </c>
      <c r="K4388" s="18">
        <v>1.05</v>
      </c>
      <c r="L4388" s="22">
        <v>13</v>
      </c>
    </row>
    <row r="4389" spans="1:12">
      <c r="A4389">
        <v>5</v>
      </c>
      <c r="B4389" s="16" t="s">
        <v>60</v>
      </c>
      <c r="C4389" s="9">
        <v>46266</v>
      </c>
      <c r="D4389">
        <v>28</v>
      </c>
      <c r="E4389" s="16" t="s">
        <v>117</v>
      </c>
      <c r="F4389" s="16" t="s">
        <v>92</v>
      </c>
      <c r="G4389" s="22">
        <v>21.5</v>
      </c>
      <c r="H4389" s="18">
        <v>23.725000000000001</v>
      </c>
      <c r="I4389" s="18">
        <v>1.1034883719999999</v>
      </c>
      <c r="J4389" s="18">
        <v>1.1200000000000001</v>
      </c>
      <c r="K4389" s="18">
        <v>1.08</v>
      </c>
      <c r="L4389" s="22">
        <v>13</v>
      </c>
    </row>
    <row r="4390" spans="1:12">
      <c r="A4390">
        <v>5</v>
      </c>
      <c r="B4390" s="16" t="s">
        <v>60</v>
      </c>
      <c r="C4390" s="9">
        <v>45689</v>
      </c>
      <c r="D4390">
        <v>31</v>
      </c>
      <c r="E4390" s="16" t="s">
        <v>120</v>
      </c>
      <c r="F4390" s="16" t="s">
        <v>92</v>
      </c>
      <c r="G4390" s="22">
        <v>4.5</v>
      </c>
      <c r="H4390" s="18">
        <v>4.4850000000000003</v>
      </c>
      <c r="I4390" s="18">
        <v>0.99666666699999995</v>
      </c>
      <c r="J4390" s="18">
        <v>1.01</v>
      </c>
      <c r="K4390" s="18">
        <v>0.99</v>
      </c>
      <c r="L4390" s="22">
        <v>6</v>
      </c>
    </row>
    <row r="4391" spans="1:12">
      <c r="A4391">
        <v>5</v>
      </c>
      <c r="B4391" s="16" t="s">
        <v>60</v>
      </c>
      <c r="C4391" s="9">
        <v>45717</v>
      </c>
      <c r="D4391">
        <v>31</v>
      </c>
      <c r="E4391" s="16" t="s">
        <v>120</v>
      </c>
      <c r="F4391" s="16" t="s">
        <v>92</v>
      </c>
      <c r="G4391" s="22">
        <v>5.25</v>
      </c>
      <c r="H4391" s="18">
        <v>5.0999999999999996</v>
      </c>
      <c r="I4391" s="18">
        <v>0.97142857100000002</v>
      </c>
      <c r="J4391" s="18">
        <v>0.98</v>
      </c>
      <c r="K4391" s="18">
        <v>0.96</v>
      </c>
      <c r="L4391" s="22">
        <v>7</v>
      </c>
    </row>
    <row r="4392" spans="1:12">
      <c r="A4392">
        <v>5</v>
      </c>
      <c r="B4392" s="16" t="s">
        <v>60</v>
      </c>
      <c r="C4392" s="9">
        <v>45748</v>
      </c>
      <c r="D4392">
        <v>31</v>
      </c>
      <c r="E4392" s="16" t="s">
        <v>120</v>
      </c>
      <c r="F4392" s="16" t="s">
        <v>92</v>
      </c>
      <c r="G4392" s="22">
        <v>6</v>
      </c>
      <c r="H4392" s="18">
        <v>5.625</v>
      </c>
      <c r="I4392" s="18">
        <v>0.9375</v>
      </c>
      <c r="J4392" s="18">
        <v>0.96</v>
      </c>
      <c r="K4392" s="18">
        <v>0.92</v>
      </c>
      <c r="L4392" s="22">
        <v>8</v>
      </c>
    </row>
    <row r="4393" spans="1:12">
      <c r="A4393">
        <v>5</v>
      </c>
      <c r="B4393" s="16" t="s">
        <v>60</v>
      </c>
      <c r="C4393" s="9">
        <v>45778</v>
      </c>
      <c r="D4393">
        <v>31</v>
      </c>
      <c r="E4393" s="16" t="s">
        <v>120</v>
      </c>
      <c r="F4393" s="16" t="s">
        <v>92</v>
      </c>
      <c r="G4393" s="22">
        <v>6.75</v>
      </c>
      <c r="H4393" s="18">
        <v>6.06</v>
      </c>
      <c r="I4393" s="18">
        <v>0.89777777800000003</v>
      </c>
      <c r="J4393" s="18">
        <v>0.91</v>
      </c>
      <c r="K4393" s="18">
        <v>0.87</v>
      </c>
      <c r="L4393" s="22">
        <v>9</v>
      </c>
    </row>
    <row r="4394" spans="1:12">
      <c r="A4394">
        <v>5</v>
      </c>
      <c r="B4394" s="16" t="s">
        <v>60</v>
      </c>
      <c r="C4394" s="9">
        <v>45809</v>
      </c>
      <c r="D4394">
        <v>31</v>
      </c>
      <c r="E4394" s="16" t="s">
        <v>120</v>
      </c>
      <c r="F4394" s="16" t="s">
        <v>92</v>
      </c>
      <c r="G4394" s="22">
        <v>7.5</v>
      </c>
      <c r="H4394" s="18">
        <v>6.48</v>
      </c>
      <c r="I4394" s="18">
        <v>0.86399999999999999</v>
      </c>
      <c r="J4394" s="18">
        <v>0.88</v>
      </c>
      <c r="K4394" s="18">
        <v>0.85</v>
      </c>
      <c r="L4394" s="22">
        <v>10</v>
      </c>
    </row>
    <row r="4395" spans="1:12">
      <c r="A4395">
        <v>5</v>
      </c>
      <c r="B4395" s="16" t="s">
        <v>60</v>
      </c>
      <c r="C4395" s="9">
        <v>45839</v>
      </c>
      <c r="D4395">
        <v>31</v>
      </c>
      <c r="E4395" s="16" t="s">
        <v>120</v>
      </c>
      <c r="F4395" s="16" t="s">
        <v>92</v>
      </c>
      <c r="G4395" s="22">
        <v>6.75</v>
      </c>
      <c r="H4395" s="18">
        <v>5.8425000000000002</v>
      </c>
      <c r="I4395" s="18">
        <v>0.865555556</v>
      </c>
      <c r="J4395" s="18">
        <v>0.91</v>
      </c>
      <c r="K4395" s="18">
        <v>0.85</v>
      </c>
      <c r="L4395" s="22">
        <v>9</v>
      </c>
    </row>
    <row r="4396" spans="1:12">
      <c r="A4396">
        <v>5</v>
      </c>
      <c r="B4396" s="16" t="s">
        <v>60</v>
      </c>
      <c r="C4396" s="9">
        <v>45870</v>
      </c>
      <c r="D4396">
        <v>31</v>
      </c>
      <c r="E4396" s="16" t="s">
        <v>120</v>
      </c>
      <c r="F4396" s="16" t="s">
        <v>92</v>
      </c>
      <c r="G4396" s="22">
        <v>8.25</v>
      </c>
      <c r="H4396" s="18">
        <v>7.2975000000000003</v>
      </c>
      <c r="I4396" s="18">
        <v>0.88454545500000004</v>
      </c>
      <c r="J4396" s="18">
        <v>0.9</v>
      </c>
      <c r="K4396" s="18">
        <v>0.87</v>
      </c>
      <c r="L4396" s="22">
        <v>10</v>
      </c>
    </row>
    <row r="4397" spans="1:12">
      <c r="A4397">
        <v>5</v>
      </c>
      <c r="B4397" s="16" t="s">
        <v>60</v>
      </c>
      <c r="C4397" s="9">
        <v>45901</v>
      </c>
      <c r="D4397">
        <v>31</v>
      </c>
      <c r="E4397" s="16" t="s">
        <v>120</v>
      </c>
      <c r="F4397" s="16" t="s">
        <v>92</v>
      </c>
      <c r="G4397" s="22">
        <v>6</v>
      </c>
      <c r="H4397" s="18">
        <v>5.49</v>
      </c>
      <c r="I4397" s="18">
        <v>0.91500000000000004</v>
      </c>
      <c r="J4397" s="18">
        <v>0.93</v>
      </c>
      <c r="K4397" s="18">
        <v>0.89</v>
      </c>
      <c r="L4397" s="22">
        <v>8</v>
      </c>
    </row>
    <row r="4398" spans="1:12">
      <c r="A4398">
        <v>5</v>
      </c>
      <c r="B4398" s="16" t="s">
        <v>60</v>
      </c>
      <c r="C4398" s="9">
        <v>45931</v>
      </c>
      <c r="D4398">
        <v>31</v>
      </c>
      <c r="E4398" s="16" t="s">
        <v>120</v>
      </c>
      <c r="F4398" s="16" t="s">
        <v>92</v>
      </c>
      <c r="G4398" s="22">
        <v>6</v>
      </c>
      <c r="H4398" s="18">
        <v>5.6849999999999996</v>
      </c>
      <c r="I4398" s="18">
        <v>0.94750000000000001</v>
      </c>
      <c r="J4398" s="18">
        <v>0.96</v>
      </c>
      <c r="K4398" s="18">
        <v>0.93</v>
      </c>
      <c r="L4398" s="22">
        <v>8</v>
      </c>
    </row>
    <row r="4399" spans="1:12">
      <c r="A4399">
        <v>5</v>
      </c>
      <c r="B4399" s="16" t="s">
        <v>60</v>
      </c>
      <c r="C4399" s="9">
        <v>45962</v>
      </c>
      <c r="D4399">
        <v>31</v>
      </c>
      <c r="E4399" s="16" t="s">
        <v>120</v>
      </c>
      <c r="F4399" s="16" t="s">
        <v>92</v>
      </c>
      <c r="G4399" s="22">
        <v>4.5</v>
      </c>
      <c r="H4399" s="18">
        <v>4.4625000000000004</v>
      </c>
      <c r="I4399" s="18">
        <v>0.99166666699999995</v>
      </c>
      <c r="J4399" s="18">
        <v>1.01</v>
      </c>
      <c r="K4399" s="18">
        <v>0.97</v>
      </c>
      <c r="L4399" s="22">
        <v>6</v>
      </c>
    </row>
    <row r="4400" spans="1:12">
      <c r="A4400">
        <v>5</v>
      </c>
      <c r="B4400" s="16" t="s">
        <v>60</v>
      </c>
      <c r="C4400" s="9">
        <v>45992</v>
      </c>
      <c r="D4400">
        <v>31</v>
      </c>
      <c r="E4400" s="16" t="s">
        <v>120</v>
      </c>
      <c r="F4400" s="16" t="s">
        <v>92</v>
      </c>
      <c r="G4400" s="22">
        <v>5.25</v>
      </c>
      <c r="H4400" s="18">
        <v>5.3624999999999998</v>
      </c>
      <c r="I4400" s="18">
        <v>1.021428571</v>
      </c>
      <c r="J4400" s="18">
        <v>1.03</v>
      </c>
      <c r="K4400" s="18">
        <v>1.01</v>
      </c>
      <c r="L4400" s="22">
        <v>7</v>
      </c>
    </row>
    <row r="4401" spans="1:12">
      <c r="A4401">
        <v>5</v>
      </c>
      <c r="B4401" s="16" t="s">
        <v>60</v>
      </c>
      <c r="C4401" s="9">
        <v>46023</v>
      </c>
      <c r="D4401">
        <v>31</v>
      </c>
      <c r="E4401" s="16" t="s">
        <v>120</v>
      </c>
      <c r="F4401" s="16" t="s">
        <v>92</v>
      </c>
      <c r="G4401" s="22">
        <v>3.75</v>
      </c>
      <c r="H4401" s="18">
        <v>3.915</v>
      </c>
      <c r="I4401" s="18">
        <v>1.044</v>
      </c>
      <c r="J4401" s="18">
        <v>1.06</v>
      </c>
      <c r="K4401" s="18">
        <v>1.04</v>
      </c>
      <c r="L4401" s="22">
        <v>5</v>
      </c>
    </row>
    <row r="4402" spans="1:12">
      <c r="A4402">
        <v>5</v>
      </c>
      <c r="B4402" s="16" t="s">
        <v>60</v>
      </c>
      <c r="C4402" s="9">
        <v>46054</v>
      </c>
      <c r="D4402">
        <v>31</v>
      </c>
      <c r="E4402" s="16" t="s">
        <v>120</v>
      </c>
      <c r="F4402" s="16" t="s">
        <v>92</v>
      </c>
      <c r="G4402" s="22">
        <v>4.5</v>
      </c>
      <c r="H4402" s="18">
        <v>4.6124999999999998</v>
      </c>
      <c r="I4402" s="18">
        <v>1.0249999999999999</v>
      </c>
      <c r="J4402" s="18">
        <v>1.05</v>
      </c>
      <c r="K4402" s="18">
        <v>1.01</v>
      </c>
      <c r="L4402" s="22">
        <v>6</v>
      </c>
    </row>
    <row r="4403" spans="1:12">
      <c r="A4403">
        <v>5</v>
      </c>
      <c r="B4403" s="16" t="s">
        <v>60</v>
      </c>
      <c r="C4403" s="9">
        <v>46082</v>
      </c>
      <c r="D4403">
        <v>31</v>
      </c>
      <c r="E4403" s="16" t="s">
        <v>120</v>
      </c>
      <c r="F4403" s="16" t="s">
        <v>92</v>
      </c>
      <c r="G4403" s="22">
        <v>5.25</v>
      </c>
      <c r="H4403" s="18">
        <v>5.2725</v>
      </c>
      <c r="I4403" s="18">
        <v>1.0042857140000001</v>
      </c>
      <c r="J4403" s="18">
        <v>1.02</v>
      </c>
      <c r="K4403" s="18">
        <v>0.99</v>
      </c>
      <c r="L4403" s="22">
        <v>7</v>
      </c>
    </row>
    <row r="4404" spans="1:12">
      <c r="A4404">
        <v>5</v>
      </c>
      <c r="B4404" s="16" t="s">
        <v>60</v>
      </c>
      <c r="C4404" s="9">
        <v>46113</v>
      </c>
      <c r="D4404">
        <v>31</v>
      </c>
      <c r="E4404" s="16" t="s">
        <v>120</v>
      </c>
      <c r="F4404" s="16" t="s">
        <v>92</v>
      </c>
      <c r="G4404" s="22">
        <v>6</v>
      </c>
      <c r="H4404" s="18">
        <v>5.7675000000000001</v>
      </c>
      <c r="I4404" s="18">
        <v>0.96125000000000005</v>
      </c>
      <c r="J4404" s="18">
        <v>0.97</v>
      </c>
      <c r="K4404" s="18">
        <v>0.94</v>
      </c>
      <c r="L4404" s="22">
        <v>8</v>
      </c>
    </row>
    <row r="4405" spans="1:12">
      <c r="A4405">
        <v>5</v>
      </c>
      <c r="B4405" s="16" t="s">
        <v>60</v>
      </c>
      <c r="C4405" s="9">
        <v>46143</v>
      </c>
      <c r="D4405">
        <v>31</v>
      </c>
      <c r="E4405" s="16" t="s">
        <v>120</v>
      </c>
      <c r="F4405" s="16" t="s">
        <v>92</v>
      </c>
      <c r="G4405" s="22">
        <v>6.75</v>
      </c>
      <c r="H4405" s="18">
        <v>6.24</v>
      </c>
      <c r="I4405" s="18">
        <v>0.92444444400000003</v>
      </c>
      <c r="J4405" s="18">
        <v>0.97</v>
      </c>
      <c r="K4405" s="18">
        <v>0.89</v>
      </c>
      <c r="L4405" s="22">
        <v>9</v>
      </c>
    </row>
    <row r="4406" spans="1:12">
      <c r="A4406">
        <v>5</v>
      </c>
      <c r="B4406" s="16" t="s">
        <v>60</v>
      </c>
      <c r="C4406" s="9">
        <v>46174</v>
      </c>
      <c r="D4406">
        <v>31</v>
      </c>
      <c r="E4406" s="16" t="s">
        <v>120</v>
      </c>
      <c r="F4406" s="16" t="s">
        <v>92</v>
      </c>
      <c r="G4406" s="22">
        <v>7.5</v>
      </c>
      <c r="H4406" s="18">
        <v>6.6449999999999996</v>
      </c>
      <c r="I4406" s="18">
        <v>0.88600000000000001</v>
      </c>
      <c r="J4406" s="18">
        <v>0.9</v>
      </c>
      <c r="K4406" s="18">
        <v>0.87</v>
      </c>
      <c r="L4406" s="22">
        <v>9</v>
      </c>
    </row>
    <row r="4407" spans="1:12">
      <c r="A4407">
        <v>5</v>
      </c>
      <c r="B4407" s="16" t="s">
        <v>60</v>
      </c>
      <c r="C4407" s="9">
        <v>46204</v>
      </c>
      <c r="D4407">
        <v>31</v>
      </c>
      <c r="E4407" s="16" t="s">
        <v>120</v>
      </c>
      <c r="F4407" s="16" t="s">
        <v>92</v>
      </c>
      <c r="G4407" s="22">
        <v>9</v>
      </c>
      <c r="H4407" s="18">
        <v>7.9574999999999996</v>
      </c>
      <c r="I4407" s="18">
        <v>0.88416666700000002</v>
      </c>
      <c r="J4407" s="18">
        <v>0.9</v>
      </c>
      <c r="K4407" s="18">
        <v>0.86</v>
      </c>
      <c r="L4407" s="22">
        <v>12</v>
      </c>
    </row>
    <row r="4408" spans="1:12">
      <c r="A4408">
        <v>5</v>
      </c>
      <c r="B4408" s="16" t="s">
        <v>60</v>
      </c>
      <c r="C4408" s="9">
        <v>46235</v>
      </c>
      <c r="D4408">
        <v>31</v>
      </c>
      <c r="E4408" s="16" t="s">
        <v>120</v>
      </c>
      <c r="F4408" s="16" t="s">
        <v>92</v>
      </c>
      <c r="G4408" s="22">
        <v>6.75</v>
      </c>
      <c r="H4408" s="18">
        <v>6.06</v>
      </c>
      <c r="I4408" s="18">
        <v>0.89777777800000003</v>
      </c>
      <c r="J4408" s="18">
        <v>0.95</v>
      </c>
      <c r="K4408" s="18">
        <v>0.88</v>
      </c>
      <c r="L4408" s="22">
        <v>8</v>
      </c>
    </row>
    <row r="4409" spans="1:12">
      <c r="A4409">
        <v>5</v>
      </c>
      <c r="B4409" s="16" t="s">
        <v>60</v>
      </c>
      <c r="C4409" s="9">
        <v>46266</v>
      </c>
      <c r="D4409">
        <v>31</v>
      </c>
      <c r="E4409" s="16" t="s">
        <v>120</v>
      </c>
      <c r="F4409" s="16" t="s">
        <v>92</v>
      </c>
      <c r="G4409" s="22">
        <v>5.25</v>
      </c>
      <c r="H4409" s="18">
        <v>4.8825000000000003</v>
      </c>
      <c r="I4409" s="18">
        <v>0.93</v>
      </c>
      <c r="J4409" s="18">
        <v>0.99</v>
      </c>
      <c r="K4409" s="18">
        <v>0.91</v>
      </c>
      <c r="L4409" s="22">
        <v>7</v>
      </c>
    </row>
    <row r="4410" spans="1:12">
      <c r="A4410">
        <v>5</v>
      </c>
      <c r="B4410" s="16" t="s">
        <v>60</v>
      </c>
      <c r="C4410" s="9">
        <v>45689</v>
      </c>
      <c r="D4410">
        <v>32</v>
      </c>
      <c r="E4410" s="16" t="s">
        <v>121</v>
      </c>
      <c r="F4410" s="16" t="s">
        <v>92</v>
      </c>
      <c r="G4410" s="22">
        <v>9.5</v>
      </c>
      <c r="H4410" s="18">
        <v>4.6100000000000003</v>
      </c>
      <c r="I4410" s="18">
        <v>0.48526315799999997</v>
      </c>
      <c r="J4410" s="18">
        <v>0.49</v>
      </c>
      <c r="K4410" s="18">
        <v>0.48</v>
      </c>
      <c r="L4410" s="22">
        <v>11</v>
      </c>
    </row>
    <row r="4411" spans="1:12">
      <c r="A4411">
        <v>5</v>
      </c>
      <c r="B4411" s="16" t="s">
        <v>60</v>
      </c>
      <c r="C4411" s="9">
        <v>45717</v>
      </c>
      <c r="D4411">
        <v>32</v>
      </c>
      <c r="E4411" s="16" t="s">
        <v>121</v>
      </c>
      <c r="F4411" s="16" t="s">
        <v>92</v>
      </c>
      <c r="G4411" s="22">
        <v>12</v>
      </c>
      <c r="H4411" s="18">
        <v>5.66</v>
      </c>
      <c r="I4411" s="18">
        <v>0.47166666699999998</v>
      </c>
      <c r="J4411" s="18">
        <v>0.48</v>
      </c>
      <c r="K4411" s="18">
        <v>0.46</v>
      </c>
      <c r="L4411" s="22">
        <v>13</v>
      </c>
    </row>
    <row r="4412" spans="1:12">
      <c r="A4412">
        <v>5</v>
      </c>
      <c r="B4412" s="16" t="s">
        <v>60</v>
      </c>
      <c r="C4412" s="9">
        <v>45748</v>
      </c>
      <c r="D4412">
        <v>32</v>
      </c>
      <c r="E4412" s="16" t="s">
        <v>121</v>
      </c>
      <c r="F4412" s="16" t="s">
        <v>92</v>
      </c>
      <c r="G4412" s="22">
        <v>15</v>
      </c>
      <c r="H4412" s="18">
        <v>6.915</v>
      </c>
      <c r="I4412" s="18">
        <v>0.46100000000000002</v>
      </c>
      <c r="J4412" s="18">
        <v>0.47</v>
      </c>
      <c r="K4412" s="18">
        <v>0.45</v>
      </c>
      <c r="L4412" s="22">
        <v>12</v>
      </c>
    </row>
    <row r="4413" spans="1:12">
      <c r="A4413">
        <v>5</v>
      </c>
      <c r="B4413" s="16" t="s">
        <v>60</v>
      </c>
      <c r="C4413" s="9">
        <v>45778</v>
      </c>
      <c r="D4413">
        <v>32</v>
      </c>
      <c r="E4413" s="16" t="s">
        <v>121</v>
      </c>
      <c r="F4413" s="16" t="s">
        <v>92</v>
      </c>
      <c r="G4413" s="22">
        <v>19.5</v>
      </c>
      <c r="H4413" s="18">
        <v>8.5850000000000009</v>
      </c>
      <c r="I4413" s="18">
        <v>0.44025640999999999</v>
      </c>
      <c r="J4413" s="18">
        <v>0.45</v>
      </c>
      <c r="K4413" s="18">
        <v>0.43</v>
      </c>
      <c r="L4413" s="22">
        <v>13</v>
      </c>
    </row>
    <row r="4414" spans="1:12">
      <c r="A4414">
        <v>5</v>
      </c>
      <c r="B4414" s="16" t="s">
        <v>60</v>
      </c>
      <c r="C4414" s="9">
        <v>45809</v>
      </c>
      <c r="D4414">
        <v>32</v>
      </c>
      <c r="E4414" s="16" t="s">
        <v>121</v>
      </c>
      <c r="F4414" s="16" t="s">
        <v>92</v>
      </c>
      <c r="G4414" s="22">
        <v>19</v>
      </c>
      <c r="H4414" s="18">
        <v>8.09</v>
      </c>
      <c r="I4414" s="18">
        <v>0.425789474</v>
      </c>
      <c r="J4414" s="18">
        <v>0.44</v>
      </c>
      <c r="K4414" s="18">
        <v>0.42</v>
      </c>
      <c r="L4414" s="22">
        <v>13</v>
      </c>
    </row>
    <row r="4415" spans="1:12">
      <c r="A4415">
        <v>5</v>
      </c>
      <c r="B4415" s="16" t="s">
        <v>60</v>
      </c>
      <c r="C4415" s="9">
        <v>45839</v>
      </c>
      <c r="D4415">
        <v>32</v>
      </c>
      <c r="E4415" s="16" t="s">
        <v>121</v>
      </c>
      <c r="F4415" s="16" t="s">
        <v>92</v>
      </c>
      <c r="G4415" s="22">
        <v>19.5</v>
      </c>
      <c r="H4415" s="18">
        <v>8.1850000000000005</v>
      </c>
      <c r="I4415" s="18">
        <v>0.41974359</v>
      </c>
      <c r="J4415" s="18">
        <v>0.43</v>
      </c>
      <c r="K4415" s="18">
        <v>0.41</v>
      </c>
      <c r="L4415" s="22">
        <v>13</v>
      </c>
    </row>
    <row r="4416" spans="1:12">
      <c r="A4416">
        <v>5</v>
      </c>
      <c r="B4416" s="16" t="s">
        <v>60</v>
      </c>
      <c r="C4416" s="9">
        <v>45870</v>
      </c>
      <c r="D4416">
        <v>32</v>
      </c>
      <c r="E4416" s="16" t="s">
        <v>121</v>
      </c>
      <c r="F4416" s="16" t="s">
        <v>92</v>
      </c>
      <c r="G4416" s="22">
        <v>24</v>
      </c>
      <c r="H4416" s="18">
        <v>10.29</v>
      </c>
      <c r="I4416" s="18">
        <v>0.42875000000000002</v>
      </c>
      <c r="J4416" s="18">
        <v>0.44</v>
      </c>
      <c r="K4416" s="18">
        <v>0.42</v>
      </c>
      <c r="L4416" s="22">
        <v>13</v>
      </c>
    </row>
    <row r="4417" spans="1:12">
      <c r="A4417">
        <v>5</v>
      </c>
      <c r="B4417" s="16" t="s">
        <v>60</v>
      </c>
      <c r="C4417" s="9">
        <v>45901</v>
      </c>
      <c r="D4417">
        <v>32</v>
      </c>
      <c r="E4417" s="16" t="s">
        <v>121</v>
      </c>
      <c r="F4417" s="16" t="s">
        <v>92</v>
      </c>
      <c r="G4417" s="22">
        <v>14.5</v>
      </c>
      <c r="H4417" s="18">
        <v>6.4850000000000003</v>
      </c>
      <c r="I4417" s="18">
        <v>0.44724137899999999</v>
      </c>
      <c r="J4417" s="18">
        <v>0.47</v>
      </c>
      <c r="K4417" s="18">
        <v>0.43</v>
      </c>
      <c r="L4417" s="22">
        <v>13</v>
      </c>
    </row>
    <row r="4418" spans="1:12">
      <c r="A4418">
        <v>5</v>
      </c>
      <c r="B4418" s="16" t="s">
        <v>60</v>
      </c>
      <c r="C4418" s="9">
        <v>45931</v>
      </c>
      <c r="D4418">
        <v>32</v>
      </c>
      <c r="E4418" s="16" t="s">
        <v>121</v>
      </c>
      <c r="F4418" s="16" t="s">
        <v>92</v>
      </c>
      <c r="G4418" s="22">
        <v>15.5</v>
      </c>
      <c r="H4418" s="18">
        <v>7.19</v>
      </c>
      <c r="I4418" s="18">
        <v>0.46387096799999999</v>
      </c>
      <c r="J4418" s="18">
        <v>0.47</v>
      </c>
      <c r="K4418" s="18">
        <v>0.45</v>
      </c>
      <c r="L4418" s="22">
        <v>14</v>
      </c>
    </row>
    <row r="4419" spans="1:12">
      <c r="A4419">
        <v>5</v>
      </c>
      <c r="B4419" s="16" t="s">
        <v>60</v>
      </c>
      <c r="C4419" s="9">
        <v>45962</v>
      </c>
      <c r="D4419">
        <v>32</v>
      </c>
      <c r="E4419" s="16" t="s">
        <v>121</v>
      </c>
      <c r="F4419" s="16" t="s">
        <v>92</v>
      </c>
      <c r="G4419" s="22">
        <v>10.5</v>
      </c>
      <c r="H4419" s="18">
        <v>5.0949999999999998</v>
      </c>
      <c r="I4419" s="18">
        <v>0.48523809499999998</v>
      </c>
      <c r="J4419" s="18">
        <v>0.5</v>
      </c>
      <c r="K4419" s="18">
        <v>0.47</v>
      </c>
      <c r="L4419" s="22">
        <v>12</v>
      </c>
    </row>
    <row r="4420" spans="1:12">
      <c r="A4420">
        <v>5</v>
      </c>
      <c r="B4420" s="16" t="s">
        <v>60</v>
      </c>
      <c r="C4420" s="9">
        <v>45992</v>
      </c>
      <c r="D4420">
        <v>32</v>
      </c>
      <c r="E4420" s="16" t="s">
        <v>121</v>
      </c>
      <c r="F4420" s="16" t="s">
        <v>92</v>
      </c>
      <c r="G4420" s="22">
        <v>10</v>
      </c>
      <c r="H4420" s="18">
        <v>5.0750000000000002</v>
      </c>
      <c r="I4420" s="18">
        <v>0.50749999999999995</v>
      </c>
      <c r="J4420" s="18">
        <v>0.53</v>
      </c>
      <c r="K4420" s="18">
        <v>0.49</v>
      </c>
      <c r="L4420" s="22">
        <v>13</v>
      </c>
    </row>
    <row r="4421" spans="1:12">
      <c r="A4421">
        <v>5</v>
      </c>
      <c r="B4421" s="16" t="s">
        <v>60</v>
      </c>
      <c r="C4421" s="9">
        <v>46023</v>
      </c>
      <c r="D4421">
        <v>32</v>
      </c>
      <c r="E4421" s="16" t="s">
        <v>121</v>
      </c>
      <c r="F4421" s="16" t="s">
        <v>92</v>
      </c>
      <c r="G4421" s="22">
        <v>10</v>
      </c>
      <c r="H4421" s="18">
        <v>5.0999999999999996</v>
      </c>
      <c r="I4421" s="18">
        <v>0.51</v>
      </c>
      <c r="J4421" s="18">
        <v>0.52</v>
      </c>
      <c r="K4421" s="18">
        <v>0.5</v>
      </c>
      <c r="L4421" s="22">
        <v>10</v>
      </c>
    </row>
    <row r="4422" spans="1:12">
      <c r="A4422">
        <v>5</v>
      </c>
      <c r="B4422" s="16" t="s">
        <v>60</v>
      </c>
      <c r="C4422" s="9">
        <v>46054</v>
      </c>
      <c r="D4422">
        <v>32</v>
      </c>
      <c r="E4422" s="16" t="s">
        <v>121</v>
      </c>
      <c r="F4422" s="16" t="s">
        <v>92</v>
      </c>
      <c r="G4422" s="22">
        <v>10.5</v>
      </c>
      <c r="H4422" s="18">
        <v>5.2750000000000004</v>
      </c>
      <c r="I4422" s="18">
        <v>0.50238095199999999</v>
      </c>
      <c r="J4422" s="18">
        <v>0.51</v>
      </c>
      <c r="K4422" s="18">
        <v>0.49</v>
      </c>
      <c r="L4422" s="22">
        <v>12</v>
      </c>
    </row>
    <row r="4423" spans="1:12">
      <c r="A4423">
        <v>5</v>
      </c>
      <c r="B4423" s="16" t="s">
        <v>60</v>
      </c>
      <c r="C4423" s="9">
        <v>46082</v>
      </c>
      <c r="D4423">
        <v>32</v>
      </c>
      <c r="E4423" s="16" t="s">
        <v>121</v>
      </c>
      <c r="F4423" s="16" t="s">
        <v>92</v>
      </c>
      <c r="G4423" s="22">
        <v>12</v>
      </c>
      <c r="H4423" s="18">
        <v>5.8150000000000004</v>
      </c>
      <c r="I4423" s="18">
        <v>0.484583333</v>
      </c>
      <c r="J4423" s="18">
        <v>0.5</v>
      </c>
      <c r="K4423" s="18">
        <v>0.47</v>
      </c>
      <c r="L4423" s="22">
        <v>13</v>
      </c>
    </row>
    <row r="4424" spans="1:12">
      <c r="A4424">
        <v>5</v>
      </c>
      <c r="B4424" s="16" t="s">
        <v>60</v>
      </c>
      <c r="C4424" s="9">
        <v>46113</v>
      </c>
      <c r="D4424">
        <v>32</v>
      </c>
      <c r="E4424" s="16" t="s">
        <v>121</v>
      </c>
      <c r="F4424" s="16" t="s">
        <v>92</v>
      </c>
      <c r="G4424" s="22">
        <v>13</v>
      </c>
      <c r="H4424" s="18">
        <v>6.0949999999999998</v>
      </c>
      <c r="I4424" s="18">
        <v>0.46884615400000001</v>
      </c>
      <c r="J4424" s="18">
        <v>0.49</v>
      </c>
      <c r="K4424" s="18">
        <v>0.45</v>
      </c>
      <c r="L4424" s="22">
        <v>13</v>
      </c>
    </row>
    <row r="4425" spans="1:12">
      <c r="A4425">
        <v>5</v>
      </c>
      <c r="B4425" s="16" t="s">
        <v>60</v>
      </c>
      <c r="C4425" s="9">
        <v>46143</v>
      </c>
      <c r="D4425">
        <v>32</v>
      </c>
      <c r="E4425" s="16" t="s">
        <v>121</v>
      </c>
      <c r="F4425" s="16" t="s">
        <v>92</v>
      </c>
      <c r="G4425" s="22">
        <v>18.5</v>
      </c>
      <c r="H4425" s="18">
        <v>8.19</v>
      </c>
      <c r="I4425" s="18">
        <v>0.44270270299999998</v>
      </c>
      <c r="J4425" s="18">
        <v>0.45</v>
      </c>
      <c r="K4425" s="18">
        <v>0.43</v>
      </c>
      <c r="L4425" s="22">
        <v>13</v>
      </c>
    </row>
    <row r="4426" spans="1:12">
      <c r="A4426">
        <v>5</v>
      </c>
      <c r="B4426" s="16" t="s">
        <v>60</v>
      </c>
      <c r="C4426" s="9">
        <v>46174</v>
      </c>
      <c r="D4426">
        <v>32</v>
      </c>
      <c r="E4426" s="16" t="s">
        <v>121</v>
      </c>
      <c r="F4426" s="16" t="s">
        <v>92</v>
      </c>
      <c r="G4426" s="22">
        <v>20.5</v>
      </c>
      <c r="H4426" s="18">
        <v>8.7899999999999991</v>
      </c>
      <c r="I4426" s="18">
        <v>0.42878048800000002</v>
      </c>
      <c r="J4426" s="18">
        <v>0.46</v>
      </c>
      <c r="K4426" s="18">
        <v>0.42</v>
      </c>
      <c r="L4426" s="22">
        <v>13</v>
      </c>
    </row>
    <row r="4427" spans="1:12">
      <c r="A4427">
        <v>5</v>
      </c>
      <c r="B4427" s="16" t="s">
        <v>60</v>
      </c>
      <c r="C4427" s="9">
        <v>46204</v>
      </c>
      <c r="D4427">
        <v>32</v>
      </c>
      <c r="E4427" s="16" t="s">
        <v>121</v>
      </c>
      <c r="F4427" s="16" t="s">
        <v>92</v>
      </c>
      <c r="G4427" s="22">
        <v>26.5</v>
      </c>
      <c r="H4427" s="18">
        <v>11.07</v>
      </c>
      <c r="I4427" s="18">
        <v>0.41773584899999999</v>
      </c>
      <c r="J4427" s="18">
        <v>0.43</v>
      </c>
      <c r="K4427" s="18">
        <v>0.41</v>
      </c>
      <c r="L4427" s="22">
        <v>14</v>
      </c>
    </row>
    <row r="4428" spans="1:12">
      <c r="A4428">
        <v>5</v>
      </c>
      <c r="B4428" s="16" t="s">
        <v>60</v>
      </c>
      <c r="C4428" s="9">
        <v>46235</v>
      </c>
      <c r="D4428">
        <v>32</v>
      </c>
      <c r="E4428" s="16" t="s">
        <v>121</v>
      </c>
      <c r="F4428" s="16" t="s">
        <v>92</v>
      </c>
      <c r="G4428" s="22">
        <v>17</v>
      </c>
      <c r="H4428" s="18">
        <v>7.1849999999999996</v>
      </c>
      <c r="I4428" s="18">
        <v>0.42264705899999999</v>
      </c>
      <c r="J4428" s="18">
        <v>0.45</v>
      </c>
      <c r="K4428" s="18">
        <v>0.41</v>
      </c>
      <c r="L4428" s="22">
        <v>13</v>
      </c>
    </row>
    <row r="4429" spans="1:12">
      <c r="A4429">
        <v>5</v>
      </c>
      <c r="B4429" s="16" t="s">
        <v>60</v>
      </c>
      <c r="C4429" s="9">
        <v>46266</v>
      </c>
      <c r="D4429">
        <v>32</v>
      </c>
      <c r="E4429" s="16" t="s">
        <v>121</v>
      </c>
      <c r="F4429" s="16" t="s">
        <v>92</v>
      </c>
      <c r="G4429" s="22">
        <v>13</v>
      </c>
      <c r="H4429" s="18">
        <v>5.7050000000000001</v>
      </c>
      <c r="I4429" s="18">
        <v>0.43884615399999999</v>
      </c>
      <c r="J4429" s="18">
        <v>0.45</v>
      </c>
      <c r="K4429" s="18">
        <v>0.43</v>
      </c>
      <c r="L4429" s="22">
        <v>12</v>
      </c>
    </row>
    <row r="4430" spans="1:12">
      <c r="A4430">
        <v>5</v>
      </c>
      <c r="B4430" s="16" t="s">
        <v>60</v>
      </c>
      <c r="C4430" s="9">
        <v>45689</v>
      </c>
      <c r="D4430">
        <v>33</v>
      </c>
      <c r="E4430" s="16" t="s">
        <v>122</v>
      </c>
      <c r="F4430" s="16" t="s">
        <v>92</v>
      </c>
      <c r="G4430" s="22">
        <v>86</v>
      </c>
      <c r="H4430" s="18">
        <v>61.64</v>
      </c>
      <c r="I4430" s="18">
        <v>0.71674418600000001</v>
      </c>
      <c r="J4430" s="18">
        <v>0.73</v>
      </c>
      <c r="K4430" s="18">
        <v>0.7</v>
      </c>
      <c r="L4430" s="22">
        <v>12</v>
      </c>
    </row>
    <row r="4431" spans="1:12">
      <c r="A4431">
        <v>5</v>
      </c>
      <c r="B4431" s="16" t="s">
        <v>60</v>
      </c>
      <c r="C4431" s="9">
        <v>45717</v>
      </c>
      <c r="D4431">
        <v>33</v>
      </c>
      <c r="E4431" s="16" t="s">
        <v>122</v>
      </c>
      <c r="F4431" s="16" t="s">
        <v>92</v>
      </c>
      <c r="G4431" s="22">
        <v>84</v>
      </c>
      <c r="H4431" s="18">
        <v>57.94</v>
      </c>
      <c r="I4431" s="18">
        <v>0.68976190500000001</v>
      </c>
      <c r="J4431" s="18">
        <v>0.7</v>
      </c>
      <c r="K4431" s="18">
        <v>0.67</v>
      </c>
      <c r="L4431" s="22">
        <v>13</v>
      </c>
    </row>
    <row r="4432" spans="1:12">
      <c r="A4432">
        <v>5</v>
      </c>
      <c r="B4432" s="16" t="s">
        <v>60</v>
      </c>
      <c r="C4432" s="9">
        <v>45748</v>
      </c>
      <c r="D4432">
        <v>33</v>
      </c>
      <c r="E4432" s="16" t="s">
        <v>122</v>
      </c>
      <c r="F4432" s="16" t="s">
        <v>92</v>
      </c>
      <c r="G4432" s="22">
        <v>98</v>
      </c>
      <c r="H4432" s="18">
        <v>65.12</v>
      </c>
      <c r="I4432" s="18">
        <v>0.66448979600000002</v>
      </c>
      <c r="J4432" s="18">
        <v>0.68</v>
      </c>
      <c r="K4432" s="18">
        <v>0.65</v>
      </c>
      <c r="L4432" s="22">
        <v>13</v>
      </c>
    </row>
    <row r="4433" spans="1:12">
      <c r="A4433">
        <v>5</v>
      </c>
      <c r="B4433" s="16" t="s">
        <v>60</v>
      </c>
      <c r="C4433" s="9">
        <v>45778</v>
      </c>
      <c r="D4433">
        <v>33</v>
      </c>
      <c r="E4433" s="16" t="s">
        <v>122</v>
      </c>
      <c r="F4433" s="16" t="s">
        <v>92</v>
      </c>
      <c r="G4433" s="22">
        <v>120</v>
      </c>
      <c r="H4433" s="18">
        <v>77.540000000000006</v>
      </c>
      <c r="I4433" s="18">
        <v>0.64616666700000003</v>
      </c>
      <c r="J4433" s="18">
        <v>0.66</v>
      </c>
      <c r="K4433" s="18">
        <v>0.64</v>
      </c>
      <c r="L4433" s="22">
        <v>13</v>
      </c>
    </row>
    <row r="4434" spans="1:12">
      <c r="A4434">
        <v>5</v>
      </c>
      <c r="B4434" s="16" t="s">
        <v>60</v>
      </c>
      <c r="C4434" s="9">
        <v>45809</v>
      </c>
      <c r="D4434">
        <v>33</v>
      </c>
      <c r="E4434" s="16" t="s">
        <v>122</v>
      </c>
      <c r="F4434" s="16" t="s">
        <v>92</v>
      </c>
      <c r="G4434" s="22">
        <v>106</v>
      </c>
      <c r="H4434" s="18">
        <v>66.239999999999995</v>
      </c>
      <c r="I4434" s="18">
        <v>0.62490566000000003</v>
      </c>
      <c r="J4434" s="18">
        <v>0.67</v>
      </c>
      <c r="K4434" s="18">
        <v>0.61</v>
      </c>
      <c r="L4434" s="22">
        <v>13</v>
      </c>
    </row>
    <row r="4435" spans="1:12">
      <c r="A4435">
        <v>5</v>
      </c>
      <c r="B4435" s="16" t="s">
        <v>60</v>
      </c>
      <c r="C4435" s="9">
        <v>45839</v>
      </c>
      <c r="D4435">
        <v>33</v>
      </c>
      <c r="E4435" s="16" t="s">
        <v>122</v>
      </c>
      <c r="F4435" s="16" t="s">
        <v>92</v>
      </c>
      <c r="G4435" s="22">
        <v>120</v>
      </c>
      <c r="H4435" s="18">
        <v>73.66</v>
      </c>
      <c r="I4435" s="18">
        <v>0.61383333299999998</v>
      </c>
      <c r="J4435" s="18">
        <v>0.62</v>
      </c>
      <c r="K4435" s="18">
        <v>0.6</v>
      </c>
      <c r="L4435" s="22">
        <v>13</v>
      </c>
    </row>
    <row r="4436" spans="1:12">
      <c r="A4436">
        <v>5</v>
      </c>
      <c r="B4436" s="16" t="s">
        <v>60</v>
      </c>
      <c r="C4436" s="9">
        <v>45870</v>
      </c>
      <c r="D4436">
        <v>33</v>
      </c>
      <c r="E4436" s="16" t="s">
        <v>122</v>
      </c>
      <c r="F4436" s="16" t="s">
        <v>92</v>
      </c>
      <c r="G4436" s="22">
        <v>138</v>
      </c>
      <c r="H4436" s="18">
        <v>85.26</v>
      </c>
      <c r="I4436" s="18">
        <v>0.61782608699999997</v>
      </c>
      <c r="J4436" s="18">
        <v>0.63</v>
      </c>
      <c r="K4436" s="18">
        <v>0.6</v>
      </c>
      <c r="L4436" s="22">
        <v>13</v>
      </c>
    </row>
    <row r="4437" spans="1:12">
      <c r="A4437">
        <v>5</v>
      </c>
      <c r="B4437" s="16" t="s">
        <v>60</v>
      </c>
      <c r="C4437" s="9">
        <v>45901</v>
      </c>
      <c r="D4437">
        <v>33</v>
      </c>
      <c r="E4437" s="16" t="s">
        <v>122</v>
      </c>
      <c r="F4437" s="16" t="s">
        <v>92</v>
      </c>
      <c r="G4437" s="22">
        <v>84</v>
      </c>
      <c r="H4437" s="18">
        <v>53.26</v>
      </c>
      <c r="I4437" s="18">
        <v>0.63404761899999995</v>
      </c>
      <c r="J4437" s="18">
        <v>0.65</v>
      </c>
      <c r="K4437" s="18">
        <v>0.62</v>
      </c>
      <c r="L4437" s="22">
        <v>13</v>
      </c>
    </row>
    <row r="4438" spans="1:12">
      <c r="A4438">
        <v>5</v>
      </c>
      <c r="B4438" s="16" t="s">
        <v>60</v>
      </c>
      <c r="C4438" s="9">
        <v>45931</v>
      </c>
      <c r="D4438">
        <v>33</v>
      </c>
      <c r="E4438" s="16" t="s">
        <v>122</v>
      </c>
      <c r="F4438" s="16" t="s">
        <v>92</v>
      </c>
      <c r="G4438" s="22">
        <v>108</v>
      </c>
      <c r="H4438" s="18">
        <v>72.34</v>
      </c>
      <c r="I4438" s="18">
        <v>0.66981481499999995</v>
      </c>
      <c r="J4438" s="18">
        <v>0.68</v>
      </c>
      <c r="K4438" s="18">
        <v>0.66</v>
      </c>
      <c r="L4438" s="22">
        <v>14</v>
      </c>
    </row>
    <row r="4439" spans="1:12">
      <c r="A4439">
        <v>5</v>
      </c>
      <c r="B4439" s="16" t="s">
        <v>60</v>
      </c>
      <c r="C4439" s="9">
        <v>45962</v>
      </c>
      <c r="D4439">
        <v>33</v>
      </c>
      <c r="E4439" s="16" t="s">
        <v>122</v>
      </c>
      <c r="F4439" s="16" t="s">
        <v>92</v>
      </c>
      <c r="G4439" s="22">
        <v>84</v>
      </c>
      <c r="H4439" s="18">
        <v>58.2</v>
      </c>
      <c r="I4439" s="18">
        <v>0.69285714300000001</v>
      </c>
      <c r="J4439" s="18">
        <v>0.71</v>
      </c>
      <c r="K4439" s="18">
        <v>0.68</v>
      </c>
      <c r="L4439" s="22">
        <v>12</v>
      </c>
    </row>
    <row r="4440" spans="1:12">
      <c r="A4440">
        <v>5</v>
      </c>
      <c r="B4440" s="16" t="s">
        <v>60</v>
      </c>
      <c r="C4440" s="9">
        <v>45992</v>
      </c>
      <c r="D4440">
        <v>33</v>
      </c>
      <c r="E4440" s="16" t="s">
        <v>122</v>
      </c>
      <c r="F4440" s="16" t="s">
        <v>92</v>
      </c>
      <c r="G4440" s="22">
        <v>86</v>
      </c>
      <c r="H4440" s="18">
        <v>61.56</v>
      </c>
      <c r="I4440" s="18">
        <v>0.71581395299999995</v>
      </c>
      <c r="J4440" s="18">
        <v>0.77</v>
      </c>
      <c r="K4440" s="18">
        <v>0.7</v>
      </c>
      <c r="L4440" s="22">
        <v>14</v>
      </c>
    </row>
    <row r="4441" spans="1:12">
      <c r="A4441">
        <v>5</v>
      </c>
      <c r="B4441" s="16" t="s">
        <v>60</v>
      </c>
      <c r="C4441" s="9">
        <v>46023</v>
      </c>
      <c r="D4441">
        <v>33</v>
      </c>
      <c r="E4441" s="16" t="s">
        <v>122</v>
      </c>
      <c r="F4441" s="16" t="s">
        <v>92</v>
      </c>
      <c r="G4441" s="22">
        <v>80</v>
      </c>
      <c r="H4441" s="18">
        <v>57.88</v>
      </c>
      <c r="I4441" s="18">
        <v>0.72350000000000003</v>
      </c>
      <c r="J4441" s="18">
        <v>0.74</v>
      </c>
      <c r="K4441" s="18">
        <v>0.7</v>
      </c>
      <c r="L4441" s="22">
        <v>12</v>
      </c>
    </row>
    <row r="4442" spans="1:12">
      <c r="A4442">
        <v>5</v>
      </c>
      <c r="B4442" s="16" t="s">
        <v>60</v>
      </c>
      <c r="C4442" s="9">
        <v>46054</v>
      </c>
      <c r="D4442">
        <v>33</v>
      </c>
      <c r="E4442" s="16" t="s">
        <v>122</v>
      </c>
      <c r="F4442" s="16" t="s">
        <v>92</v>
      </c>
      <c r="G4442" s="22">
        <v>86</v>
      </c>
      <c r="H4442" s="18">
        <v>62.08</v>
      </c>
      <c r="I4442" s="18">
        <v>0.72186046500000001</v>
      </c>
      <c r="J4442" s="18">
        <v>0.74</v>
      </c>
      <c r="K4442" s="18">
        <v>0.71</v>
      </c>
      <c r="L4442" s="22">
        <v>12</v>
      </c>
    </row>
    <row r="4443" spans="1:12">
      <c r="A4443">
        <v>5</v>
      </c>
      <c r="B4443" s="16" t="s">
        <v>60</v>
      </c>
      <c r="C4443" s="9">
        <v>46082</v>
      </c>
      <c r="D4443">
        <v>33</v>
      </c>
      <c r="E4443" s="16" t="s">
        <v>122</v>
      </c>
      <c r="F4443" s="16" t="s">
        <v>92</v>
      </c>
      <c r="G4443" s="22">
        <v>88</v>
      </c>
      <c r="H4443" s="18">
        <v>62.12</v>
      </c>
      <c r="I4443" s="18">
        <v>0.70590909099999999</v>
      </c>
      <c r="J4443" s="18">
        <v>0.72</v>
      </c>
      <c r="K4443" s="18">
        <v>0.68</v>
      </c>
      <c r="L4443" s="22">
        <v>13</v>
      </c>
    </row>
    <row r="4444" spans="1:12">
      <c r="A4444">
        <v>5</v>
      </c>
      <c r="B4444" s="16" t="s">
        <v>60</v>
      </c>
      <c r="C4444" s="9">
        <v>46113</v>
      </c>
      <c r="D4444">
        <v>33</v>
      </c>
      <c r="E4444" s="16" t="s">
        <v>122</v>
      </c>
      <c r="F4444" s="16" t="s">
        <v>92</v>
      </c>
      <c r="G4444" s="22">
        <v>92</v>
      </c>
      <c r="H4444" s="18">
        <v>62.68</v>
      </c>
      <c r="I4444" s="18">
        <v>0.68130434799999995</v>
      </c>
      <c r="J4444" s="18">
        <v>0.7</v>
      </c>
      <c r="K4444" s="18">
        <v>0.67</v>
      </c>
      <c r="L4444" s="22">
        <v>13</v>
      </c>
    </row>
    <row r="4445" spans="1:12">
      <c r="A4445">
        <v>5</v>
      </c>
      <c r="B4445" s="16" t="s">
        <v>60</v>
      </c>
      <c r="C4445" s="9">
        <v>46143</v>
      </c>
      <c r="D4445">
        <v>33</v>
      </c>
      <c r="E4445" s="16" t="s">
        <v>122</v>
      </c>
      <c r="F4445" s="16" t="s">
        <v>92</v>
      </c>
      <c r="G4445" s="22">
        <v>110</v>
      </c>
      <c r="H4445" s="18">
        <v>71.44</v>
      </c>
      <c r="I4445" s="18">
        <v>0.64945454499999999</v>
      </c>
      <c r="J4445" s="18">
        <v>0.67</v>
      </c>
      <c r="K4445" s="18">
        <v>0.63</v>
      </c>
      <c r="L4445" s="22">
        <v>13</v>
      </c>
    </row>
    <row r="4446" spans="1:12">
      <c r="A4446">
        <v>5</v>
      </c>
      <c r="B4446" s="16" t="s">
        <v>60</v>
      </c>
      <c r="C4446" s="9">
        <v>46174</v>
      </c>
      <c r="D4446">
        <v>33</v>
      </c>
      <c r="E4446" s="16" t="s">
        <v>122</v>
      </c>
      <c r="F4446" s="16" t="s">
        <v>92</v>
      </c>
      <c r="G4446" s="22">
        <v>116</v>
      </c>
      <c r="H4446" s="18">
        <v>73.260000000000005</v>
      </c>
      <c r="I4446" s="18">
        <v>0.63155172400000004</v>
      </c>
      <c r="J4446" s="18">
        <v>0.64</v>
      </c>
      <c r="K4446" s="18">
        <v>0.62</v>
      </c>
      <c r="L4446" s="22">
        <v>13</v>
      </c>
    </row>
    <row r="4447" spans="1:12">
      <c r="A4447">
        <v>5</v>
      </c>
      <c r="B4447" s="16" t="s">
        <v>60</v>
      </c>
      <c r="C4447" s="9">
        <v>46204</v>
      </c>
      <c r="D4447">
        <v>33</v>
      </c>
      <c r="E4447" s="16" t="s">
        <v>122</v>
      </c>
      <c r="F4447" s="16" t="s">
        <v>92</v>
      </c>
      <c r="G4447" s="22">
        <v>144</v>
      </c>
      <c r="H4447" s="18">
        <v>89.12</v>
      </c>
      <c r="I4447" s="18">
        <v>0.61888888900000005</v>
      </c>
      <c r="J4447" s="18">
        <v>0.63</v>
      </c>
      <c r="K4447" s="18">
        <v>0.6</v>
      </c>
      <c r="L4447" s="22">
        <v>14</v>
      </c>
    </row>
    <row r="4448" spans="1:12">
      <c r="A4448">
        <v>5</v>
      </c>
      <c r="B4448" s="16" t="s">
        <v>60</v>
      </c>
      <c r="C4448" s="9">
        <v>46235</v>
      </c>
      <c r="D4448">
        <v>33</v>
      </c>
      <c r="E4448" s="16" t="s">
        <v>122</v>
      </c>
      <c r="F4448" s="16" t="s">
        <v>92</v>
      </c>
      <c r="G4448" s="22">
        <v>102</v>
      </c>
      <c r="H4448" s="18">
        <v>63.62</v>
      </c>
      <c r="I4448" s="18">
        <v>0.62372548999999999</v>
      </c>
      <c r="J4448" s="18">
        <v>0.63</v>
      </c>
      <c r="K4448" s="18">
        <v>0.62</v>
      </c>
      <c r="L4448" s="22">
        <v>13</v>
      </c>
    </row>
    <row r="4449" spans="1:12">
      <c r="A4449">
        <v>5</v>
      </c>
      <c r="B4449" s="16" t="s">
        <v>60</v>
      </c>
      <c r="C4449" s="9">
        <v>46266</v>
      </c>
      <c r="D4449">
        <v>33</v>
      </c>
      <c r="E4449" s="16" t="s">
        <v>122</v>
      </c>
      <c r="F4449" s="16" t="s">
        <v>92</v>
      </c>
      <c r="G4449" s="22">
        <v>84</v>
      </c>
      <c r="H4449" s="18">
        <v>54.26</v>
      </c>
      <c r="I4449" s="18">
        <v>0.64595238099999996</v>
      </c>
      <c r="J4449" s="18">
        <v>0.65</v>
      </c>
      <c r="K4449" s="18">
        <v>0.63</v>
      </c>
      <c r="L4449" s="22">
        <v>12</v>
      </c>
    </row>
    <row r="4450" spans="1:12">
      <c r="A4450">
        <v>5</v>
      </c>
      <c r="B4450" s="16" t="s">
        <v>60</v>
      </c>
      <c r="C4450" s="9">
        <v>45689</v>
      </c>
      <c r="D4450">
        <v>34</v>
      </c>
      <c r="E4450" s="16" t="s">
        <v>123</v>
      </c>
      <c r="F4450" s="16" t="s">
        <v>114</v>
      </c>
      <c r="G4450" s="22">
        <v>12.75</v>
      </c>
      <c r="H4450" s="18">
        <v>43.657499999999999</v>
      </c>
      <c r="I4450" s="18">
        <v>3.4241176470000001</v>
      </c>
      <c r="J4450" s="18">
        <v>3.48</v>
      </c>
      <c r="K4450" s="18">
        <v>3.34</v>
      </c>
      <c r="L4450" s="22">
        <v>10</v>
      </c>
    </row>
    <row r="4451" spans="1:12">
      <c r="A4451">
        <v>5</v>
      </c>
      <c r="B4451" s="16" t="s">
        <v>60</v>
      </c>
      <c r="C4451" s="9">
        <v>45717</v>
      </c>
      <c r="D4451">
        <v>34</v>
      </c>
      <c r="E4451" s="16" t="s">
        <v>123</v>
      </c>
      <c r="F4451" s="16" t="s">
        <v>114</v>
      </c>
      <c r="G4451" s="22">
        <v>12.75</v>
      </c>
      <c r="H4451" s="18">
        <v>43.702500000000001</v>
      </c>
      <c r="I4451" s="18">
        <v>3.4276470589999999</v>
      </c>
      <c r="J4451" s="18">
        <v>3.49</v>
      </c>
      <c r="K4451" s="18">
        <v>3.36</v>
      </c>
      <c r="L4451" s="22">
        <v>13</v>
      </c>
    </row>
    <row r="4452" spans="1:12">
      <c r="A4452">
        <v>5</v>
      </c>
      <c r="B4452" s="16" t="s">
        <v>60</v>
      </c>
      <c r="C4452" s="9">
        <v>45748</v>
      </c>
      <c r="D4452">
        <v>34</v>
      </c>
      <c r="E4452" s="16" t="s">
        <v>123</v>
      </c>
      <c r="F4452" s="16" t="s">
        <v>114</v>
      </c>
      <c r="G4452" s="22">
        <v>15.75</v>
      </c>
      <c r="H4452" s="18">
        <v>54.524999999999999</v>
      </c>
      <c r="I4452" s="18">
        <v>3.4619047620000001</v>
      </c>
      <c r="J4452" s="18">
        <v>3.7</v>
      </c>
      <c r="K4452" s="18">
        <v>3.35</v>
      </c>
      <c r="L4452" s="22">
        <v>13</v>
      </c>
    </row>
    <row r="4453" spans="1:12">
      <c r="A4453">
        <v>5</v>
      </c>
      <c r="B4453" s="16" t="s">
        <v>60</v>
      </c>
      <c r="C4453" s="9">
        <v>45778</v>
      </c>
      <c r="D4453">
        <v>34</v>
      </c>
      <c r="E4453" s="16" t="s">
        <v>123</v>
      </c>
      <c r="F4453" s="16" t="s">
        <v>114</v>
      </c>
      <c r="G4453" s="22">
        <v>18.75</v>
      </c>
      <c r="H4453" s="18">
        <v>64.424999999999997</v>
      </c>
      <c r="I4453" s="18">
        <v>3.4359999999999999</v>
      </c>
      <c r="J4453" s="18">
        <v>3.47</v>
      </c>
      <c r="K4453" s="18">
        <v>3.37</v>
      </c>
      <c r="L4453" s="22">
        <v>13</v>
      </c>
    </row>
    <row r="4454" spans="1:12">
      <c r="A4454">
        <v>5</v>
      </c>
      <c r="B4454" s="16" t="s">
        <v>60</v>
      </c>
      <c r="C4454" s="9">
        <v>45809</v>
      </c>
      <c r="D4454">
        <v>34</v>
      </c>
      <c r="E4454" s="16" t="s">
        <v>123</v>
      </c>
      <c r="F4454" s="16" t="s">
        <v>114</v>
      </c>
      <c r="G4454" s="22">
        <v>16.5</v>
      </c>
      <c r="H4454" s="18">
        <v>57.03</v>
      </c>
      <c r="I4454" s="18">
        <v>3.4563636359999999</v>
      </c>
      <c r="J4454" s="18">
        <v>3.53</v>
      </c>
      <c r="K4454" s="18">
        <v>3.39</v>
      </c>
      <c r="L4454" s="22">
        <v>13</v>
      </c>
    </row>
    <row r="4455" spans="1:12">
      <c r="A4455">
        <v>5</v>
      </c>
      <c r="B4455" s="16" t="s">
        <v>60</v>
      </c>
      <c r="C4455" s="9">
        <v>45839</v>
      </c>
      <c r="D4455">
        <v>34</v>
      </c>
      <c r="E4455" s="16" t="s">
        <v>123</v>
      </c>
      <c r="F4455" s="16" t="s">
        <v>114</v>
      </c>
      <c r="G4455" s="22">
        <v>16.5</v>
      </c>
      <c r="H4455" s="18">
        <v>57.33</v>
      </c>
      <c r="I4455" s="18">
        <v>3.4745454549999999</v>
      </c>
      <c r="J4455" s="18">
        <v>3.67</v>
      </c>
      <c r="K4455" s="18">
        <v>3.43</v>
      </c>
      <c r="L4455" s="22">
        <v>13</v>
      </c>
    </row>
    <row r="4456" spans="1:12">
      <c r="A4456">
        <v>5</v>
      </c>
      <c r="B4456" s="16" t="s">
        <v>60</v>
      </c>
      <c r="C4456" s="9">
        <v>45870</v>
      </c>
      <c r="D4456">
        <v>34</v>
      </c>
      <c r="E4456" s="16" t="s">
        <v>123</v>
      </c>
      <c r="F4456" s="16" t="s">
        <v>114</v>
      </c>
      <c r="G4456" s="22">
        <v>18</v>
      </c>
      <c r="H4456" s="18">
        <v>62.7</v>
      </c>
      <c r="I4456" s="18">
        <v>3.483333333</v>
      </c>
      <c r="J4456" s="18">
        <v>3.57</v>
      </c>
      <c r="K4456" s="18">
        <v>3.43</v>
      </c>
      <c r="L4456" s="22">
        <v>13</v>
      </c>
    </row>
    <row r="4457" spans="1:12">
      <c r="A4457">
        <v>5</v>
      </c>
      <c r="B4457" s="16" t="s">
        <v>60</v>
      </c>
      <c r="C4457" s="9">
        <v>45901</v>
      </c>
      <c r="D4457">
        <v>34</v>
      </c>
      <c r="E4457" s="16" t="s">
        <v>123</v>
      </c>
      <c r="F4457" s="16" t="s">
        <v>114</v>
      </c>
      <c r="G4457" s="22">
        <v>13.5</v>
      </c>
      <c r="H4457" s="18">
        <v>47.055</v>
      </c>
      <c r="I4457" s="18">
        <v>3.485555556</v>
      </c>
      <c r="J4457" s="18">
        <v>3.52</v>
      </c>
      <c r="K4457" s="18">
        <v>3.43</v>
      </c>
      <c r="L4457" s="22">
        <v>12</v>
      </c>
    </row>
    <row r="4458" spans="1:12">
      <c r="A4458">
        <v>5</v>
      </c>
      <c r="B4458" s="16" t="s">
        <v>60</v>
      </c>
      <c r="C4458" s="9">
        <v>45931</v>
      </c>
      <c r="D4458">
        <v>34</v>
      </c>
      <c r="E4458" s="16" t="s">
        <v>123</v>
      </c>
      <c r="F4458" s="16" t="s">
        <v>114</v>
      </c>
      <c r="G4458" s="22">
        <v>18.75</v>
      </c>
      <c r="H4458" s="18">
        <v>65.984999999999999</v>
      </c>
      <c r="I4458" s="18">
        <v>3.5192000000000001</v>
      </c>
      <c r="J4458" s="18">
        <v>3.63</v>
      </c>
      <c r="K4458" s="18">
        <v>3.42</v>
      </c>
      <c r="L4458" s="22">
        <v>14</v>
      </c>
    </row>
    <row r="4459" spans="1:12">
      <c r="A4459">
        <v>5</v>
      </c>
      <c r="B4459" s="16" t="s">
        <v>60</v>
      </c>
      <c r="C4459" s="9">
        <v>45962</v>
      </c>
      <c r="D4459">
        <v>34</v>
      </c>
      <c r="E4459" s="16" t="s">
        <v>123</v>
      </c>
      <c r="F4459" s="16" t="s">
        <v>114</v>
      </c>
      <c r="G4459" s="22">
        <v>12.75</v>
      </c>
      <c r="H4459" s="18">
        <v>45.494999999999997</v>
      </c>
      <c r="I4459" s="18">
        <v>3.5682352939999999</v>
      </c>
      <c r="J4459" s="18">
        <v>3.74</v>
      </c>
      <c r="K4459" s="18">
        <v>3.47</v>
      </c>
      <c r="L4459" s="22">
        <v>12</v>
      </c>
    </row>
    <row r="4460" spans="1:12">
      <c r="A4460">
        <v>5</v>
      </c>
      <c r="B4460" s="16" t="s">
        <v>60</v>
      </c>
      <c r="C4460" s="9">
        <v>45992</v>
      </c>
      <c r="D4460">
        <v>34</v>
      </c>
      <c r="E4460" s="16" t="s">
        <v>123</v>
      </c>
      <c r="F4460" s="16" t="s">
        <v>114</v>
      </c>
      <c r="G4460" s="22">
        <v>12.75</v>
      </c>
      <c r="H4460" s="18">
        <v>45.42</v>
      </c>
      <c r="I4460" s="18">
        <v>3.5623529409999999</v>
      </c>
      <c r="J4460" s="18">
        <v>3.64</v>
      </c>
      <c r="K4460" s="18">
        <v>3.46</v>
      </c>
      <c r="L4460" s="22">
        <v>12</v>
      </c>
    </row>
    <row r="4461" spans="1:12">
      <c r="A4461">
        <v>5</v>
      </c>
      <c r="B4461" s="16" t="s">
        <v>60</v>
      </c>
      <c r="C4461" s="9">
        <v>46023</v>
      </c>
      <c r="D4461">
        <v>34</v>
      </c>
      <c r="E4461" s="16" t="s">
        <v>123</v>
      </c>
      <c r="F4461" s="16" t="s">
        <v>114</v>
      </c>
      <c r="G4461" s="22">
        <v>15</v>
      </c>
      <c r="H4461" s="18">
        <v>53.8125</v>
      </c>
      <c r="I4461" s="18">
        <v>3.5874999999999999</v>
      </c>
      <c r="J4461" s="18">
        <v>3.7</v>
      </c>
      <c r="K4461" s="18">
        <v>3.48</v>
      </c>
      <c r="L4461" s="22">
        <v>12</v>
      </c>
    </row>
    <row r="4462" spans="1:12">
      <c r="A4462">
        <v>5</v>
      </c>
      <c r="B4462" s="16" t="s">
        <v>60</v>
      </c>
      <c r="C4462" s="9">
        <v>46054</v>
      </c>
      <c r="D4462">
        <v>34</v>
      </c>
      <c r="E4462" s="16" t="s">
        <v>123</v>
      </c>
      <c r="F4462" s="16" t="s">
        <v>114</v>
      </c>
      <c r="G4462" s="22">
        <v>14.25</v>
      </c>
      <c r="H4462" s="18">
        <v>51.232500000000002</v>
      </c>
      <c r="I4462" s="18">
        <v>3.5952631579999998</v>
      </c>
      <c r="J4462" s="18">
        <v>3.64</v>
      </c>
      <c r="K4462" s="18">
        <v>3.55</v>
      </c>
      <c r="L4462" s="22">
        <v>12</v>
      </c>
    </row>
    <row r="4463" spans="1:12">
      <c r="A4463">
        <v>5</v>
      </c>
      <c r="B4463" s="16" t="s">
        <v>60</v>
      </c>
      <c r="C4463" s="9">
        <v>46082</v>
      </c>
      <c r="D4463">
        <v>34</v>
      </c>
      <c r="E4463" s="16" t="s">
        <v>123</v>
      </c>
      <c r="F4463" s="16" t="s">
        <v>114</v>
      </c>
      <c r="G4463" s="22">
        <v>15.75</v>
      </c>
      <c r="H4463" s="18">
        <v>57.472499999999997</v>
      </c>
      <c r="I4463" s="18">
        <v>3.6490476190000001</v>
      </c>
      <c r="J4463" s="18">
        <v>3.91</v>
      </c>
      <c r="K4463" s="18">
        <v>3.58</v>
      </c>
      <c r="L4463" s="22">
        <v>13</v>
      </c>
    </row>
    <row r="4464" spans="1:12">
      <c r="A4464">
        <v>5</v>
      </c>
      <c r="B4464" s="16" t="s">
        <v>60</v>
      </c>
      <c r="C4464" s="9">
        <v>46113</v>
      </c>
      <c r="D4464">
        <v>34</v>
      </c>
      <c r="E4464" s="16" t="s">
        <v>123</v>
      </c>
      <c r="F4464" s="16" t="s">
        <v>114</v>
      </c>
      <c r="G4464" s="22">
        <v>14.25</v>
      </c>
      <c r="H4464" s="18">
        <v>51.487499999999997</v>
      </c>
      <c r="I4464" s="18">
        <v>3.6131578950000001</v>
      </c>
      <c r="J4464" s="18">
        <v>3.72</v>
      </c>
      <c r="K4464" s="18">
        <v>3.52</v>
      </c>
      <c r="L4464" s="22">
        <v>13</v>
      </c>
    </row>
    <row r="4465" spans="1:12">
      <c r="A4465">
        <v>5</v>
      </c>
      <c r="B4465" s="16" t="s">
        <v>60</v>
      </c>
      <c r="C4465" s="9">
        <v>46143</v>
      </c>
      <c r="D4465">
        <v>34</v>
      </c>
      <c r="E4465" s="16" t="s">
        <v>123</v>
      </c>
      <c r="F4465" s="16" t="s">
        <v>114</v>
      </c>
      <c r="G4465" s="22">
        <v>16.5</v>
      </c>
      <c r="H4465" s="18">
        <v>60.022500000000001</v>
      </c>
      <c r="I4465" s="18">
        <v>3.6377272729999999</v>
      </c>
      <c r="J4465" s="18">
        <v>3.81</v>
      </c>
      <c r="K4465" s="18">
        <v>3.54</v>
      </c>
      <c r="L4465" s="22">
        <v>13</v>
      </c>
    </row>
    <row r="4466" spans="1:12">
      <c r="A4466">
        <v>5</v>
      </c>
      <c r="B4466" s="16" t="s">
        <v>60</v>
      </c>
      <c r="C4466" s="9">
        <v>46174</v>
      </c>
      <c r="D4466">
        <v>34</v>
      </c>
      <c r="E4466" s="16" t="s">
        <v>123</v>
      </c>
      <c r="F4466" s="16" t="s">
        <v>114</v>
      </c>
      <c r="G4466" s="22">
        <v>17.25</v>
      </c>
      <c r="H4466" s="18">
        <v>62.145000000000003</v>
      </c>
      <c r="I4466" s="18">
        <v>3.6026086959999999</v>
      </c>
      <c r="J4466" s="18">
        <v>3.64</v>
      </c>
      <c r="K4466" s="18">
        <v>3.54</v>
      </c>
      <c r="L4466" s="22">
        <v>13</v>
      </c>
    </row>
    <row r="4467" spans="1:12">
      <c r="A4467">
        <v>5</v>
      </c>
      <c r="B4467" s="16" t="s">
        <v>60</v>
      </c>
      <c r="C4467" s="9">
        <v>46204</v>
      </c>
      <c r="D4467">
        <v>34</v>
      </c>
      <c r="E4467" s="16" t="s">
        <v>123</v>
      </c>
      <c r="F4467" s="16" t="s">
        <v>114</v>
      </c>
      <c r="G4467" s="22">
        <v>19.5</v>
      </c>
      <c r="H4467" s="18">
        <v>69.892499999999998</v>
      </c>
      <c r="I4467" s="18">
        <v>3.5842307689999999</v>
      </c>
      <c r="J4467" s="18">
        <v>3.67</v>
      </c>
      <c r="K4467" s="18">
        <v>3.46</v>
      </c>
      <c r="L4467" s="22">
        <v>14</v>
      </c>
    </row>
    <row r="4468" spans="1:12">
      <c r="A4468">
        <v>5</v>
      </c>
      <c r="B4468" s="16" t="s">
        <v>60</v>
      </c>
      <c r="C4468" s="9">
        <v>46235</v>
      </c>
      <c r="D4468">
        <v>34</v>
      </c>
      <c r="E4468" s="16" t="s">
        <v>123</v>
      </c>
      <c r="F4468" s="16" t="s">
        <v>114</v>
      </c>
      <c r="G4468" s="22">
        <v>15</v>
      </c>
      <c r="H4468" s="18">
        <v>53.835000000000001</v>
      </c>
      <c r="I4468" s="18">
        <v>3.589</v>
      </c>
      <c r="J4468" s="18">
        <v>3.64</v>
      </c>
      <c r="K4468" s="18">
        <v>3.46</v>
      </c>
      <c r="L4468" s="22">
        <v>13</v>
      </c>
    </row>
    <row r="4469" spans="1:12">
      <c r="A4469">
        <v>5</v>
      </c>
      <c r="B4469" s="16" t="s">
        <v>60</v>
      </c>
      <c r="C4469" s="9">
        <v>46266</v>
      </c>
      <c r="D4469">
        <v>34</v>
      </c>
      <c r="E4469" s="16" t="s">
        <v>123</v>
      </c>
      <c r="F4469" s="16" t="s">
        <v>114</v>
      </c>
      <c r="G4469" s="22">
        <v>13.5</v>
      </c>
      <c r="H4469" s="18">
        <v>48.3</v>
      </c>
      <c r="I4469" s="18">
        <v>3.5777777780000002</v>
      </c>
      <c r="J4469" s="18">
        <v>3.65</v>
      </c>
      <c r="K4469" s="18">
        <v>3.53</v>
      </c>
      <c r="L4469" s="22">
        <v>13</v>
      </c>
    </row>
    <row r="4470" spans="1:12">
      <c r="A4470">
        <v>5</v>
      </c>
      <c r="B4470" s="16" t="s">
        <v>60</v>
      </c>
      <c r="C4470" s="9">
        <v>45717</v>
      </c>
      <c r="D4470">
        <v>35</v>
      </c>
      <c r="E4470" s="16" t="s">
        <v>124</v>
      </c>
      <c r="F4470" s="16" t="s">
        <v>90</v>
      </c>
      <c r="G4470" s="22">
        <v>1</v>
      </c>
      <c r="H4470" s="18">
        <v>7.11</v>
      </c>
      <c r="I4470" s="18">
        <v>7.11</v>
      </c>
      <c r="J4470" s="18">
        <v>7.11</v>
      </c>
      <c r="K4470" s="18">
        <v>7.11</v>
      </c>
      <c r="L4470" s="22">
        <v>1</v>
      </c>
    </row>
    <row r="4471" spans="1:12">
      <c r="A4471">
        <v>5</v>
      </c>
      <c r="B4471" s="16" t="s">
        <v>60</v>
      </c>
      <c r="C4471" s="9">
        <v>45748</v>
      </c>
      <c r="D4471">
        <v>35</v>
      </c>
      <c r="E4471" s="16" t="s">
        <v>124</v>
      </c>
      <c r="F4471" s="16" t="s">
        <v>90</v>
      </c>
      <c r="G4471" s="22">
        <v>1</v>
      </c>
      <c r="H4471" s="18">
        <v>7.12</v>
      </c>
      <c r="I4471" s="18">
        <v>7.12</v>
      </c>
      <c r="J4471" s="18">
        <v>7.12</v>
      </c>
      <c r="K4471" s="18">
        <v>7.12</v>
      </c>
      <c r="L4471" s="22">
        <v>1</v>
      </c>
    </row>
    <row r="4472" spans="1:12">
      <c r="A4472">
        <v>5</v>
      </c>
      <c r="B4472" s="16" t="s">
        <v>60</v>
      </c>
      <c r="C4472" s="9">
        <v>45809</v>
      </c>
      <c r="D4472">
        <v>35</v>
      </c>
      <c r="E4472" s="16" t="s">
        <v>124</v>
      </c>
      <c r="F4472" s="16" t="s">
        <v>90</v>
      </c>
      <c r="G4472" s="22">
        <v>1</v>
      </c>
      <c r="H4472" s="18">
        <v>7.13</v>
      </c>
      <c r="I4472" s="18">
        <v>7.13</v>
      </c>
      <c r="J4472" s="18">
        <v>7.13</v>
      </c>
      <c r="K4472" s="18">
        <v>7.13</v>
      </c>
      <c r="L4472" s="22">
        <v>1</v>
      </c>
    </row>
    <row r="4473" spans="1:12">
      <c r="A4473">
        <v>5</v>
      </c>
      <c r="B4473" s="16" t="s">
        <v>60</v>
      </c>
      <c r="C4473" s="9">
        <v>45839</v>
      </c>
      <c r="D4473">
        <v>35</v>
      </c>
      <c r="E4473" s="16" t="s">
        <v>124</v>
      </c>
      <c r="F4473" s="16" t="s">
        <v>90</v>
      </c>
      <c r="G4473" s="22">
        <v>1</v>
      </c>
      <c r="H4473" s="18">
        <v>7.19</v>
      </c>
      <c r="I4473" s="18">
        <v>7.19</v>
      </c>
      <c r="J4473" s="18">
        <v>7.19</v>
      </c>
      <c r="K4473" s="18">
        <v>7.19</v>
      </c>
      <c r="L4473" s="22">
        <v>1</v>
      </c>
    </row>
    <row r="4474" spans="1:12">
      <c r="A4474">
        <v>5</v>
      </c>
      <c r="B4474" s="16" t="s">
        <v>60</v>
      </c>
      <c r="C4474" s="9">
        <v>45870</v>
      </c>
      <c r="D4474">
        <v>35</v>
      </c>
      <c r="E4474" s="16" t="s">
        <v>124</v>
      </c>
      <c r="F4474" s="16" t="s">
        <v>90</v>
      </c>
      <c r="G4474" s="22">
        <v>1</v>
      </c>
      <c r="H4474" s="18">
        <v>7.32</v>
      </c>
      <c r="I4474" s="18">
        <v>7.32</v>
      </c>
      <c r="J4474" s="18">
        <v>7.32</v>
      </c>
      <c r="K4474" s="18">
        <v>7.32</v>
      </c>
      <c r="L4474" s="22">
        <v>1</v>
      </c>
    </row>
    <row r="4475" spans="1:12">
      <c r="A4475">
        <v>5</v>
      </c>
      <c r="B4475" s="16" t="s">
        <v>60</v>
      </c>
      <c r="C4475" s="9">
        <v>45931</v>
      </c>
      <c r="D4475">
        <v>35</v>
      </c>
      <c r="E4475" s="16" t="s">
        <v>124</v>
      </c>
      <c r="F4475" s="16" t="s">
        <v>90</v>
      </c>
      <c r="G4475" s="22">
        <v>1</v>
      </c>
      <c r="H4475" s="18">
        <v>7.55</v>
      </c>
      <c r="I4475" s="18">
        <v>7.55</v>
      </c>
      <c r="J4475" s="18">
        <v>7.55</v>
      </c>
      <c r="K4475" s="18">
        <v>7.55</v>
      </c>
      <c r="L4475" s="22">
        <v>1</v>
      </c>
    </row>
    <row r="4476" spans="1:12">
      <c r="A4476">
        <v>5</v>
      </c>
      <c r="B4476" s="16" t="s">
        <v>60</v>
      </c>
      <c r="C4476" s="9">
        <v>45962</v>
      </c>
      <c r="D4476">
        <v>35</v>
      </c>
      <c r="E4476" s="16" t="s">
        <v>124</v>
      </c>
      <c r="F4476" s="16" t="s">
        <v>90</v>
      </c>
      <c r="G4476" s="22">
        <v>1</v>
      </c>
      <c r="H4476" s="18">
        <v>7.44</v>
      </c>
      <c r="I4476" s="18">
        <v>7.44</v>
      </c>
      <c r="J4476" s="18">
        <v>7.44</v>
      </c>
      <c r="K4476" s="18">
        <v>7.44</v>
      </c>
      <c r="L4476" s="22">
        <v>1</v>
      </c>
    </row>
    <row r="4477" spans="1:12">
      <c r="A4477">
        <v>5</v>
      </c>
      <c r="B4477" s="16" t="s">
        <v>60</v>
      </c>
      <c r="C4477" s="9">
        <v>45992</v>
      </c>
      <c r="D4477">
        <v>35</v>
      </c>
      <c r="E4477" s="16" t="s">
        <v>124</v>
      </c>
      <c r="F4477" s="16" t="s">
        <v>90</v>
      </c>
      <c r="G4477" s="22">
        <v>1</v>
      </c>
      <c r="H4477" s="18">
        <v>7.41</v>
      </c>
      <c r="I4477" s="18">
        <v>7.41</v>
      </c>
      <c r="J4477" s="18">
        <v>7.41</v>
      </c>
      <c r="K4477" s="18">
        <v>7.41</v>
      </c>
      <c r="L4477" s="22">
        <v>1</v>
      </c>
    </row>
    <row r="4478" spans="1:12">
      <c r="A4478">
        <v>5</v>
      </c>
      <c r="B4478" s="16" t="s">
        <v>60</v>
      </c>
      <c r="C4478" s="9">
        <v>46054</v>
      </c>
      <c r="D4478">
        <v>35</v>
      </c>
      <c r="E4478" s="16" t="s">
        <v>124</v>
      </c>
      <c r="F4478" s="16" t="s">
        <v>90</v>
      </c>
      <c r="G4478" s="22">
        <v>1</v>
      </c>
      <c r="H4478" s="18">
        <v>7.33</v>
      </c>
      <c r="I4478" s="18">
        <v>7.33</v>
      </c>
      <c r="J4478" s="18">
        <v>7.33</v>
      </c>
      <c r="K4478" s="18">
        <v>7.33</v>
      </c>
      <c r="L4478" s="22">
        <v>1</v>
      </c>
    </row>
    <row r="4479" spans="1:12">
      <c r="A4479">
        <v>5</v>
      </c>
      <c r="B4479" s="16" t="s">
        <v>60</v>
      </c>
      <c r="C4479" s="9">
        <v>46113</v>
      </c>
      <c r="D4479">
        <v>35</v>
      </c>
      <c r="E4479" s="16" t="s">
        <v>124</v>
      </c>
      <c r="F4479" s="16" t="s">
        <v>90</v>
      </c>
      <c r="G4479" s="22">
        <v>1</v>
      </c>
      <c r="H4479" s="18">
        <v>7.46</v>
      </c>
      <c r="I4479" s="18">
        <v>7.46</v>
      </c>
      <c r="J4479" s="18">
        <v>7.46</v>
      </c>
      <c r="K4479" s="18">
        <v>7.46</v>
      </c>
      <c r="L4479" s="22">
        <v>1</v>
      </c>
    </row>
    <row r="4480" spans="1:12">
      <c r="A4480">
        <v>5</v>
      </c>
      <c r="B4480" s="16" t="s">
        <v>60</v>
      </c>
      <c r="C4480" s="9">
        <v>46143</v>
      </c>
      <c r="D4480">
        <v>35</v>
      </c>
      <c r="E4480" s="16" t="s">
        <v>124</v>
      </c>
      <c r="F4480" s="16" t="s">
        <v>90</v>
      </c>
      <c r="G4480" s="22">
        <v>1</v>
      </c>
      <c r="H4480" s="18">
        <v>7.76</v>
      </c>
      <c r="I4480" s="18">
        <v>7.76</v>
      </c>
      <c r="J4480" s="18">
        <v>7.76</v>
      </c>
      <c r="K4480" s="18">
        <v>7.76</v>
      </c>
      <c r="L4480" s="22">
        <v>1</v>
      </c>
    </row>
    <row r="4481" spans="1:12">
      <c r="A4481">
        <v>5</v>
      </c>
      <c r="B4481" s="16" t="s">
        <v>60</v>
      </c>
      <c r="C4481" s="9">
        <v>46174</v>
      </c>
      <c r="D4481">
        <v>35</v>
      </c>
      <c r="E4481" s="16" t="s">
        <v>124</v>
      </c>
      <c r="F4481" s="16" t="s">
        <v>90</v>
      </c>
      <c r="G4481" s="22">
        <v>1</v>
      </c>
      <c r="H4481" s="18">
        <v>7.4</v>
      </c>
      <c r="I4481" s="18">
        <v>7.4</v>
      </c>
      <c r="J4481" s="18">
        <v>7.4</v>
      </c>
      <c r="K4481" s="18">
        <v>7.4</v>
      </c>
      <c r="L4481" s="22">
        <v>1</v>
      </c>
    </row>
    <row r="4482" spans="1:12">
      <c r="A4482">
        <v>5</v>
      </c>
      <c r="B4482" s="16" t="s">
        <v>60</v>
      </c>
      <c r="C4482" s="9">
        <v>46204</v>
      </c>
      <c r="D4482">
        <v>35</v>
      </c>
      <c r="E4482" s="16" t="s">
        <v>124</v>
      </c>
      <c r="F4482" s="16" t="s">
        <v>90</v>
      </c>
      <c r="G4482" s="22">
        <v>1</v>
      </c>
      <c r="H4482" s="18">
        <v>7.42</v>
      </c>
      <c r="I4482" s="18">
        <v>7.42</v>
      </c>
      <c r="J4482" s="18">
        <v>7.42</v>
      </c>
      <c r="K4482" s="18">
        <v>7.42</v>
      </c>
      <c r="L4482" s="22">
        <v>1</v>
      </c>
    </row>
    <row r="4483" spans="1:12">
      <c r="A4483">
        <v>5</v>
      </c>
      <c r="B4483" s="16" t="s">
        <v>60</v>
      </c>
      <c r="C4483" s="9">
        <v>46266</v>
      </c>
      <c r="D4483">
        <v>35</v>
      </c>
      <c r="E4483" s="16" t="s">
        <v>124</v>
      </c>
      <c r="F4483" s="16" t="s">
        <v>90</v>
      </c>
      <c r="G4483" s="22">
        <v>1</v>
      </c>
      <c r="H4483" s="18">
        <v>7.5</v>
      </c>
      <c r="I4483" s="18">
        <v>7.5</v>
      </c>
      <c r="J4483" s="18">
        <v>7.5</v>
      </c>
      <c r="K4483" s="18">
        <v>7.5</v>
      </c>
      <c r="L4483" s="22">
        <v>1</v>
      </c>
    </row>
    <row r="4484" spans="1:12">
      <c r="A4484">
        <v>5</v>
      </c>
      <c r="B4484" s="16" t="s">
        <v>60</v>
      </c>
      <c r="C4484" s="9">
        <v>45689</v>
      </c>
      <c r="D4484">
        <v>37</v>
      </c>
      <c r="E4484" s="16" t="s">
        <v>126</v>
      </c>
      <c r="F4484" s="16" t="s">
        <v>90</v>
      </c>
      <c r="G4484" s="22">
        <v>64</v>
      </c>
      <c r="H4484" s="18">
        <v>84.48</v>
      </c>
      <c r="I4484" s="18">
        <v>1.32</v>
      </c>
      <c r="J4484" s="18">
        <v>1.34</v>
      </c>
      <c r="K4484" s="18">
        <v>1.3</v>
      </c>
      <c r="L4484" s="22">
        <v>2</v>
      </c>
    </row>
    <row r="4485" spans="1:12">
      <c r="A4485">
        <v>5</v>
      </c>
      <c r="B4485" s="16" t="s">
        <v>60</v>
      </c>
      <c r="C4485" s="9">
        <v>45717</v>
      </c>
      <c r="D4485">
        <v>37</v>
      </c>
      <c r="E4485" s="16" t="s">
        <v>126</v>
      </c>
      <c r="F4485" s="16" t="s">
        <v>90</v>
      </c>
      <c r="G4485" s="22">
        <v>32</v>
      </c>
      <c r="H4485" s="18">
        <v>42.24</v>
      </c>
      <c r="I4485" s="18">
        <v>1.32</v>
      </c>
      <c r="J4485" s="18">
        <v>1.32</v>
      </c>
      <c r="K4485" s="18">
        <v>1.32</v>
      </c>
      <c r="L4485" s="22">
        <v>1</v>
      </c>
    </row>
    <row r="4486" spans="1:12">
      <c r="A4486">
        <v>5</v>
      </c>
      <c r="B4486" s="16" t="s">
        <v>60</v>
      </c>
      <c r="C4486" s="9">
        <v>45748</v>
      </c>
      <c r="D4486">
        <v>37</v>
      </c>
      <c r="E4486" s="16" t="s">
        <v>126</v>
      </c>
      <c r="F4486" s="16" t="s">
        <v>90</v>
      </c>
      <c r="G4486" s="22">
        <v>64</v>
      </c>
      <c r="H4486" s="18">
        <v>84.16</v>
      </c>
      <c r="I4486" s="18">
        <v>1.3149999999999999</v>
      </c>
      <c r="J4486" s="18">
        <v>1.33</v>
      </c>
      <c r="K4486" s="18">
        <v>1.3</v>
      </c>
      <c r="L4486" s="22">
        <v>2</v>
      </c>
    </row>
    <row r="4487" spans="1:12">
      <c r="A4487">
        <v>5</v>
      </c>
      <c r="B4487" s="16" t="s">
        <v>60</v>
      </c>
      <c r="C4487" s="9">
        <v>45778</v>
      </c>
      <c r="D4487">
        <v>37</v>
      </c>
      <c r="E4487" s="16" t="s">
        <v>126</v>
      </c>
      <c r="F4487" s="16" t="s">
        <v>90</v>
      </c>
      <c r="G4487" s="22">
        <v>32</v>
      </c>
      <c r="H4487" s="18">
        <v>42.56</v>
      </c>
      <c r="I4487" s="18">
        <v>1.33</v>
      </c>
      <c r="J4487" s="18">
        <v>1.33</v>
      </c>
      <c r="K4487" s="18">
        <v>1.33</v>
      </c>
      <c r="L4487" s="22">
        <v>1</v>
      </c>
    </row>
    <row r="4488" spans="1:12">
      <c r="A4488">
        <v>5</v>
      </c>
      <c r="B4488" s="16" t="s">
        <v>60</v>
      </c>
      <c r="C4488" s="9">
        <v>45809</v>
      </c>
      <c r="D4488">
        <v>37</v>
      </c>
      <c r="E4488" s="16" t="s">
        <v>126</v>
      </c>
      <c r="F4488" s="16" t="s">
        <v>90</v>
      </c>
      <c r="G4488" s="22">
        <v>64</v>
      </c>
      <c r="H4488" s="18">
        <v>84.8</v>
      </c>
      <c r="I4488" s="18">
        <v>1.325</v>
      </c>
      <c r="J4488" s="18">
        <v>1.33</v>
      </c>
      <c r="K4488" s="18">
        <v>1.32</v>
      </c>
      <c r="L4488" s="22">
        <v>2</v>
      </c>
    </row>
    <row r="4489" spans="1:12">
      <c r="A4489">
        <v>5</v>
      </c>
      <c r="B4489" s="16" t="s">
        <v>60</v>
      </c>
      <c r="C4489" s="9">
        <v>45839</v>
      </c>
      <c r="D4489">
        <v>37</v>
      </c>
      <c r="E4489" s="16" t="s">
        <v>126</v>
      </c>
      <c r="F4489" s="16" t="s">
        <v>90</v>
      </c>
      <c r="G4489" s="22">
        <v>96</v>
      </c>
      <c r="H4489" s="18">
        <v>129.6</v>
      </c>
      <c r="I4489" s="18">
        <v>1.35</v>
      </c>
      <c r="J4489" s="18">
        <v>1.38</v>
      </c>
      <c r="K4489" s="18">
        <v>1.33</v>
      </c>
      <c r="L4489" s="22">
        <v>3</v>
      </c>
    </row>
    <row r="4490" spans="1:12">
      <c r="A4490">
        <v>5</v>
      </c>
      <c r="B4490" s="16" t="s">
        <v>60</v>
      </c>
      <c r="C4490" s="9">
        <v>45870</v>
      </c>
      <c r="D4490">
        <v>37</v>
      </c>
      <c r="E4490" s="16" t="s">
        <v>126</v>
      </c>
      <c r="F4490" s="16" t="s">
        <v>90</v>
      </c>
      <c r="G4490" s="22">
        <v>64</v>
      </c>
      <c r="H4490" s="18">
        <v>86.4</v>
      </c>
      <c r="I4490" s="18">
        <v>1.35</v>
      </c>
      <c r="J4490" s="18">
        <v>1.35</v>
      </c>
      <c r="K4490" s="18">
        <v>1.35</v>
      </c>
      <c r="L4490" s="22">
        <v>2</v>
      </c>
    </row>
    <row r="4491" spans="1:12">
      <c r="A4491">
        <v>5</v>
      </c>
      <c r="B4491" s="16" t="s">
        <v>60</v>
      </c>
      <c r="C4491" s="9">
        <v>45901</v>
      </c>
      <c r="D4491">
        <v>37</v>
      </c>
      <c r="E4491" s="16" t="s">
        <v>126</v>
      </c>
      <c r="F4491" s="16" t="s">
        <v>90</v>
      </c>
      <c r="G4491" s="22">
        <v>32</v>
      </c>
      <c r="H4491" s="18">
        <v>43.84</v>
      </c>
      <c r="I4491" s="18">
        <v>1.37</v>
      </c>
      <c r="J4491" s="18">
        <v>1.37</v>
      </c>
      <c r="K4491" s="18">
        <v>1.37</v>
      </c>
      <c r="L4491" s="22">
        <v>1</v>
      </c>
    </row>
    <row r="4492" spans="1:12">
      <c r="A4492">
        <v>5</v>
      </c>
      <c r="B4492" s="16" t="s">
        <v>60</v>
      </c>
      <c r="C4492" s="9">
        <v>45931</v>
      </c>
      <c r="D4492">
        <v>37</v>
      </c>
      <c r="E4492" s="16" t="s">
        <v>126</v>
      </c>
      <c r="F4492" s="16" t="s">
        <v>90</v>
      </c>
      <c r="G4492" s="22">
        <v>64</v>
      </c>
      <c r="H4492" s="18">
        <v>86.08</v>
      </c>
      <c r="I4492" s="18">
        <v>1.345</v>
      </c>
      <c r="J4492" s="18">
        <v>1.35</v>
      </c>
      <c r="K4492" s="18">
        <v>1.34</v>
      </c>
      <c r="L4492" s="22">
        <v>2</v>
      </c>
    </row>
    <row r="4493" spans="1:12">
      <c r="A4493">
        <v>5</v>
      </c>
      <c r="B4493" s="16" t="s">
        <v>60</v>
      </c>
      <c r="C4493" s="9">
        <v>45962</v>
      </c>
      <c r="D4493">
        <v>37</v>
      </c>
      <c r="E4493" s="16" t="s">
        <v>126</v>
      </c>
      <c r="F4493" s="16" t="s">
        <v>90</v>
      </c>
      <c r="G4493" s="22">
        <v>32</v>
      </c>
      <c r="H4493" s="18">
        <v>43.84</v>
      </c>
      <c r="I4493" s="18">
        <v>1.37</v>
      </c>
      <c r="J4493" s="18">
        <v>1.37</v>
      </c>
      <c r="K4493" s="18">
        <v>1.37</v>
      </c>
      <c r="L4493" s="22">
        <v>1</v>
      </c>
    </row>
    <row r="4494" spans="1:12">
      <c r="A4494">
        <v>5</v>
      </c>
      <c r="B4494" s="16" t="s">
        <v>60</v>
      </c>
      <c r="C4494" s="9">
        <v>45992</v>
      </c>
      <c r="D4494">
        <v>37</v>
      </c>
      <c r="E4494" s="16" t="s">
        <v>126</v>
      </c>
      <c r="F4494" s="16" t="s">
        <v>90</v>
      </c>
      <c r="G4494" s="22">
        <v>64</v>
      </c>
      <c r="H4494" s="18">
        <v>87.68</v>
      </c>
      <c r="I4494" s="18">
        <v>1.37</v>
      </c>
      <c r="J4494" s="18">
        <v>1.39</v>
      </c>
      <c r="K4494" s="18">
        <v>1.35</v>
      </c>
      <c r="L4494" s="22">
        <v>2</v>
      </c>
    </row>
    <row r="4495" spans="1:12">
      <c r="A4495">
        <v>5</v>
      </c>
      <c r="B4495" s="16" t="s">
        <v>60</v>
      </c>
      <c r="C4495" s="9">
        <v>46023</v>
      </c>
      <c r="D4495">
        <v>37</v>
      </c>
      <c r="E4495" s="16" t="s">
        <v>126</v>
      </c>
      <c r="F4495" s="16" t="s">
        <v>90</v>
      </c>
      <c r="G4495" s="22">
        <v>32</v>
      </c>
      <c r="H4495" s="18">
        <v>43.84</v>
      </c>
      <c r="I4495" s="18">
        <v>1.37</v>
      </c>
      <c r="J4495" s="18">
        <v>1.37</v>
      </c>
      <c r="K4495" s="18">
        <v>1.37</v>
      </c>
      <c r="L4495" s="22">
        <v>1</v>
      </c>
    </row>
    <row r="4496" spans="1:12">
      <c r="A4496">
        <v>5</v>
      </c>
      <c r="B4496" s="16" t="s">
        <v>60</v>
      </c>
      <c r="C4496" s="9">
        <v>46054</v>
      </c>
      <c r="D4496">
        <v>37</v>
      </c>
      <c r="E4496" s="16" t="s">
        <v>126</v>
      </c>
      <c r="F4496" s="16" t="s">
        <v>90</v>
      </c>
      <c r="G4496" s="22">
        <v>64</v>
      </c>
      <c r="H4496" s="18">
        <v>88.96</v>
      </c>
      <c r="I4496" s="18">
        <v>1.39</v>
      </c>
      <c r="J4496" s="18">
        <v>1.39</v>
      </c>
      <c r="K4496" s="18">
        <v>1.39</v>
      </c>
      <c r="L4496" s="22">
        <v>2</v>
      </c>
    </row>
    <row r="4497" spans="1:12">
      <c r="A4497">
        <v>5</v>
      </c>
      <c r="B4497" s="16" t="s">
        <v>60</v>
      </c>
      <c r="C4497" s="9">
        <v>46082</v>
      </c>
      <c r="D4497">
        <v>37</v>
      </c>
      <c r="E4497" s="16" t="s">
        <v>126</v>
      </c>
      <c r="F4497" s="16" t="s">
        <v>90</v>
      </c>
      <c r="G4497" s="22">
        <v>64</v>
      </c>
      <c r="H4497" s="18">
        <v>90.24</v>
      </c>
      <c r="I4497" s="18">
        <v>1.41</v>
      </c>
      <c r="J4497" s="18">
        <v>1.42</v>
      </c>
      <c r="K4497" s="18">
        <v>1.4</v>
      </c>
      <c r="L4497" s="22">
        <v>2</v>
      </c>
    </row>
    <row r="4498" spans="1:12">
      <c r="A4498">
        <v>5</v>
      </c>
      <c r="B4498" s="16" t="s">
        <v>60</v>
      </c>
      <c r="C4498" s="9">
        <v>46113</v>
      </c>
      <c r="D4498">
        <v>37</v>
      </c>
      <c r="E4498" s="16" t="s">
        <v>126</v>
      </c>
      <c r="F4498" s="16" t="s">
        <v>90</v>
      </c>
      <c r="G4498" s="22">
        <v>32</v>
      </c>
      <c r="H4498" s="18">
        <v>45.76</v>
      </c>
      <c r="I4498" s="18">
        <v>1.43</v>
      </c>
      <c r="J4498" s="18">
        <v>1.43</v>
      </c>
      <c r="K4498" s="18">
        <v>1.43</v>
      </c>
      <c r="L4498" s="22">
        <v>1</v>
      </c>
    </row>
    <row r="4499" spans="1:12">
      <c r="A4499">
        <v>5</v>
      </c>
      <c r="B4499" s="16" t="s">
        <v>60</v>
      </c>
      <c r="C4499" s="9">
        <v>46143</v>
      </c>
      <c r="D4499">
        <v>37</v>
      </c>
      <c r="E4499" s="16" t="s">
        <v>126</v>
      </c>
      <c r="F4499" s="16" t="s">
        <v>90</v>
      </c>
      <c r="G4499" s="22">
        <v>64</v>
      </c>
      <c r="H4499" s="18">
        <v>90.88</v>
      </c>
      <c r="I4499" s="18">
        <v>1.42</v>
      </c>
      <c r="J4499" s="18">
        <v>1.43</v>
      </c>
      <c r="K4499" s="18">
        <v>1.41</v>
      </c>
      <c r="L4499" s="22">
        <v>2</v>
      </c>
    </row>
    <row r="4500" spans="1:12">
      <c r="A4500">
        <v>5</v>
      </c>
      <c r="B4500" s="16" t="s">
        <v>60</v>
      </c>
      <c r="C4500" s="9">
        <v>46174</v>
      </c>
      <c r="D4500">
        <v>37</v>
      </c>
      <c r="E4500" s="16" t="s">
        <v>126</v>
      </c>
      <c r="F4500" s="16" t="s">
        <v>90</v>
      </c>
      <c r="G4500" s="22">
        <v>64</v>
      </c>
      <c r="H4500" s="18">
        <v>90.88</v>
      </c>
      <c r="I4500" s="18">
        <v>1.42</v>
      </c>
      <c r="J4500" s="18">
        <v>1.43</v>
      </c>
      <c r="K4500" s="18">
        <v>1.41</v>
      </c>
      <c r="L4500" s="22">
        <v>2</v>
      </c>
    </row>
    <row r="4501" spans="1:12">
      <c r="A4501">
        <v>5</v>
      </c>
      <c r="B4501" s="16" t="s">
        <v>60</v>
      </c>
      <c r="C4501" s="9">
        <v>46204</v>
      </c>
      <c r="D4501">
        <v>37</v>
      </c>
      <c r="E4501" s="16" t="s">
        <v>126</v>
      </c>
      <c r="F4501" s="16" t="s">
        <v>90</v>
      </c>
      <c r="G4501" s="22">
        <v>96</v>
      </c>
      <c r="H4501" s="18">
        <v>137.91999999999999</v>
      </c>
      <c r="I4501" s="18">
        <v>1.4366666669999999</v>
      </c>
      <c r="J4501" s="18">
        <v>1.45</v>
      </c>
      <c r="K4501" s="18">
        <v>1.42</v>
      </c>
      <c r="L4501" s="22">
        <v>3</v>
      </c>
    </row>
    <row r="4502" spans="1:12">
      <c r="A4502">
        <v>5</v>
      </c>
      <c r="B4502" s="16" t="s">
        <v>60</v>
      </c>
      <c r="C4502" s="9">
        <v>46235</v>
      </c>
      <c r="D4502">
        <v>37</v>
      </c>
      <c r="E4502" s="16" t="s">
        <v>126</v>
      </c>
      <c r="F4502" s="16" t="s">
        <v>90</v>
      </c>
      <c r="G4502" s="22">
        <v>32</v>
      </c>
      <c r="H4502" s="18">
        <v>45.76</v>
      </c>
      <c r="I4502" s="18">
        <v>1.43</v>
      </c>
      <c r="J4502" s="18">
        <v>1.43</v>
      </c>
      <c r="K4502" s="18">
        <v>1.43</v>
      </c>
      <c r="L4502" s="22">
        <v>1</v>
      </c>
    </row>
    <row r="4503" spans="1:12">
      <c r="A4503">
        <v>5</v>
      </c>
      <c r="B4503" s="16" t="s">
        <v>60</v>
      </c>
      <c r="C4503" s="9">
        <v>46266</v>
      </c>
      <c r="D4503">
        <v>37</v>
      </c>
      <c r="E4503" s="16" t="s">
        <v>126</v>
      </c>
      <c r="F4503" s="16" t="s">
        <v>90</v>
      </c>
      <c r="G4503" s="22">
        <v>64</v>
      </c>
      <c r="H4503" s="18">
        <v>93.12</v>
      </c>
      <c r="I4503" s="18">
        <v>1.4550000000000001</v>
      </c>
      <c r="J4503" s="18">
        <v>1.47</v>
      </c>
      <c r="K4503" s="18">
        <v>1.44</v>
      </c>
      <c r="L4503" s="22">
        <v>2</v>
      </c>
    </row>
    <row r="4504" spans="1:12">
      <c r="A4504">
        <v>5</v>
      </c>
      <c r="B4504" s="16" t="s">
        <v>60</v>
      </c>
      <c r="C4504" s="9">
        <v>45689</v>
      </c>
      <c r="D4504">
        <v>38</v>
      </c>
      <c r="E4504" s="16" t="s">
        <v>127</v>
      </c>
      <c r="F4504" s="16" t="s">
        <v>83</v>
      </c>
      <c r="G4504" s="22">
        <v>16</v>
      </c>
      <c r="H4504" s="18">
        <v>224.08</v>
      </c>
      <c r="I4504" s="18">
        <v>14.005000000000001</v>
      </c>
      <c r="J4504" s="18">
        <v>14.36</v>
      </c>
      <c r="K4504" s="18">
        <v>13.83</v>
      </c>
      <c r="L4504" s="22">
        <v>8</v>
      </c>
    </row>
    <row r="4505" spans="1:12">
      <c r="A4505">
        <v>5</v>
      </c>
      <c r="B4505" s="16" t="s">
        <v>60</v>
      </c>
      <c r="C4505" s="9">
        <v>45717</v>
      </c>
      <c r="D4505">
        <v>38</v>
      </c>
      <c r="E4505" s="16" t="s">
        <v>127</v>
      </c>
      <c r="F4505" s="16" t="s">
        <v>83</v>
      </c>
      <c r="G4505" s="22">
        <v>12</v>
      </c>
      <c r="H4505" s="18">
        <v>167.72499999999999</v>
      </c>
      <c r="I4505" s="18">
        <v>13.977083332999999</v>
      </c>
      <c r="J4505" s="18">
        <v>14.33</v>
      </c>
      <c r="K4505" s="18">
        <v>13.86</v>
      </c>
      <c r="L4505" s="22">
        <v>9</v>
      </c>
    </row>
    <row r="4506" spans="1:12">
      <c r="A4506">
        <v>5</v>
      </c>
      <c r="B4506" s="16" t="s">
        <v>60</v>
      </c>
      <c r="C4506" s="9">
        <v>45748</v>
      </c>
      <c r="D4506">
        <v>38</v>
      </c>
      <c r="E4506" s="16" t="s">
        <v>127</v>
      </c>
      <c r="F4506" s="16" t="s">
        <v>83</v>
      </c>
      <c r="G4506" s="22">
        <v>11</v>
      </c>
      <c r="H4506" s="18">
        <v>155.41499999999999</v>
      </c>
      <c r="I4506" s="18">
        <v>14.128636364</v>
      </c>
      <c r="J4506" s="18">
        <v>14.54</v>
      </c>
      <c r="K4506" s="18">
        <v>13.6</v>
      </c>
      <c r="L4506" s="22">
        <v>8</v>
      </c>
    </row>
    <row r="4507" spans="1:12">
      <c r="A4507">
        <v>5</v>
      </c>
      <c r="B4507" s="16" t="s">
        <v>60</v>
      </c>
      <c r="C4507" s="9">
        <v>45778</v>
      </c>
      <c r="D4507">
        <v>38</v>
      </c>
      <c r="E4507" s="16" t="s">
        <v>127</v>
      </c>
      <c r="F4507" s="16" t="s">
        <v>83</v>
      </c>
      <c r="G4507" s="22">
        <v>12</v>
      </c>
      <c r="H4507" s="18">
        <v>173.005</v>
      </c>
      <c r="I4507" s="18">
        <v>14.417083333000001</v>
      </c>
      <c r="J4507" s="18">
        <v>14.52</v>
      </c>
      <c r="K4507" s="18">
        <v>14.23</v>
      </c>
      <c r="L4507" s="22">
        <v>9</v>
      </c>
    </row>
    <row r="4508" spans="1:12">
      <c r="A4508">
        <v>5</v>
      </c>
      <c r="B4508" s="16" t="s">
        <v>60</v>
      </c>
      <c r="C4508" s="9">
        <v>45809</v>
      </c>
      <c r="D4508">
        <v>38</v>
      </c>
      <c r="E4508" s="16" t="s">
        <v>127</v>
      </c>
      <c r="F4508" s="16" t="s">
        <v>83</v>
      </c>
      <c r="G4508" s="22">
        <v>12</v>
      </c>
      <c r="H4508" s="18">
        <v>172.995</v>
      </c>
      <c r="I4508" s="18">
        <v>14.41625</v>
      </c>
      <c r="J4508" s="18">
        <v>14.69</v>
      </c>
      <c r="K4508" s="18">
        <v>14.12</v>
      </c>
      <c r="L4508" s="22">
        <v>9</v>
      </c>
    </row>
    <row r="4509" spans="1:12">
      <c r="A4509">
        <v>5</v>
      </c>
      <c r="B4509" s="16" t="s">
        <v>60</v>
      </c>
      <c r="C4509" s="9">
        <v>45839</v>
      </c>
      <c r="D4509">
        <v>38</v>
      </c>
      <c r="E4509" s="16" t="s">
        <v>127</v>
      </c>
      <c r="F4509" s="16" t="s">
        <v>83</v>
      </c>
      <c r="G4509" s="22">
        <v>12</v>
      </c>
      <c r="H4509" s="18">
        <v>172.09</v>
      </c>
      <c r="I4509" s="18">
        <v>14.340833333000001</v>
      </c>
      <c r="J4509" s="18">
        <v>14.58</v>
      </c>
      <c r="K4509" s="18">
        <v>14.18</v>
      </c>
      <c r="L4509" s="22">
        <v>9</v>
      </c>
    </row>
    <row r="4510" spans="1:12">
      <c r="A4510">
        <v>5</v>
      </c>
      <c r="B4510" s="16" t="s">
        <v>60</v>
      </c>
      <c r="C4510" s="9">
        <v>45870</v>
      </c>
      <c r="D4510">
        <v>38</v>
      </c>
      <c r="E4510" s="16" t="s">
        <v>127</v>
      </c>
      <c r="F4510" s="16" t="s">
        <v>83</v>
      </c>
      <c r="G4510" s="22">
        <v>9.5</v>
      </c>
      <c r="H4510" s="18">
        <v>135.07499999999999</v>
      </c>
      <c r="I4510" s="18">
        <v>14.218421053</v>
      </c>
      <c r="J4510" s="18">
        <v>14.45</v>
      </c>
      <c r="K4510" s="18">
        <v>14.01</v>
      </c>
      <c r="L4510" s="22">
        <v>8</v>
      </c>
    </row>
    <row r="4511" spans="1:12">
      <c r="A4511">
        <v>5</v>
      </c>
      <c r="B4511" s="16" t="s">
        <v>60</v>
      </c>
      <c r="C4511" s="9">
        <v>45901</v>
      </c>
      <c r="D4511">
        <v>38</v>
      </c>
      <c r="E4511" s="16" t="s">
        <v>127</v>
      </c>
      <c r="F4511" s="16" t="s">
        <v>83</v>
      </c>
      <c r="G4511" s="22">
        <v>8.5</v>
      </c>
      <c r="H4511" s="18">
        <v>121.625</v>
      </c>
      <c r="I4511" s="18">
        <v>14.308823529</v>
      </c>
      <c r="J4511" s="18">
        <v>14.61</v>
      </c>
      <c r="K4511" s="18">
        <v>14.07</v>
      </c>
      <c r="L4511" s="22">
        <v>8</v>
      </c>
    </row>
    <row r="4512" spans="1:12">
      <c r="A4512">
        <v>5</v>
      </c>
      <c r="B4512" s="16" t="s">
        <v>60</v>
      </c>
      <c r="C4512" s="9">
        <v>45931</v>
      </c>
      <c r="D4512">
        <v>38</v>
      </c>
      <c r="E4512" s="16" t="s">
        <v>127</v>
      </c>
      <c r="F4512" s="16" t="s">
        <v>83</v>
      </c>
      <c r="G4512" s="22">
        <v>13.5</v>
      </c>
      <c r="H4512" s="18">
        <v>192.86</v>
      </c>
      <c r="I4512" s="18">
        <v>14.285925926000001</v>
      </c>
      <c r="J4512" s="18">
        <v>14.55</v>
      </c>
      <c r="K4512" s="18">
        <v>13.93</v>
      </c>
      <c r="L4512" s="22">
        <v>9</v>
      </c>
    </row>
    <row r="4513" spans="1:12">
      <c r="A4513">
        <v>5</v>
      </c>
      <c r="B4513" s="16" t="s">
        <v>60</v>
      </c>
      <c r="C4513" s="9">
        <v>45962</v>
      </c>
      <c r="D4513">
        <v>38</v>
      </c>
      <c r="E4513" s="16" t="s">
        <v>127</v>
      </c>
      <c r="F4513" s="16" t="s">
        <v>83</v>
      </c>
      <c r="G4513" s="22">
        <v>16.5</v>
      </c>
      <c r="H4513" s="18">
        <v>234.42</v>
      </c>
      <c r="I4513" s="18">
        <v>14.207272726999999</v>
      </c>
      <c r="J4513" s="18">
        <v>14.58</v>
      </c>
      <c r="K4513" s="18">
        <v>13.87</v>
      </c>
      <c r="L4513" s="22">
        <v>8</v>
      </c>
    </row>
    <row r="4514" spans="1:12">
      <c r="A4514">
        <v>5</v>
      </c>
      <c r="B4514" s="16" t="s">
        <v>60</v>
      </c>
      <c r="C4514" s="9">
        <v>45992</v>
      </c>
      <c r="D4514">
        <v>38</v>
      </c>
      <c r="E4514" s="16" t="s">
        <v>127</v>
      </c>
      <c r="F4514" s="16" t="s">
        <v>83</v>
      </c>
      <c r="G4514" s="22">
        <v>16.5</v>
      </c>
      <c r="H4514" s="18">
        <v>236</v>
      </c>
      <c r="I4514" s="18">
        <v>14.303030303</v>
      </c>
      <c r="J4514" s="18">
        <v>14.64</v>
      </c>
      <c r="K4514" s="18">
        <v>14.07</v>
      </c>
      <c r="L4514" s="22">
        <v>9</v>
      </c>
    </row>
    <row r="4515" spans="1:12">
      <c r="A4515">
        <v>5</v>
      </c>
      <c r="B4515" s="16" t="s">
        <v>60</v>
      </c>
      <c r="C4515" s="9">
        <v>46023</v>
      </c>
      <c r="D4515">
        <v>38</v>
      </c>
      <c r="E4515" s="16" t="s">
        <v>127</v>
      </c>
      <c r="F4515" s="16" t="s">
        <v>83</v>
      </c>
      <c r="G4515" s="22">
        <v>16</v>
      </c>
      <c r="H4515" s="18">
        <v>228.64500000000001</v>
      </c>
      <c r="I4515" s="18">
        <v>14.290312500000001</v>
      </c>
      <c r="J4515" s="18">
        <v>14.52</v>
      </c>
      <c r="K4515" s="18">
        <v>14.05</v>
      </c>
      <c r="L4515" s="22">
        <v>9</v>
      </c>
    </row>
    <row r="4516" spans="1:12">
      <c r="A4516">
        <v>5</v>
      </c>
      <c r="B4516" s="16" t="s">
        <v>60</v>
      </c>
      <c r="C4516" s="9">
        <v>46054</v>
      </c>
      <c r="D4516">
        <v>38</v>
      </c>
      <c r="E4516" s="16" t="s">
        <v>127</v>
      </c>
      <c r="F4516" s="16" t="s">
        <v>83</v>
      </c>
      <c r="G4516" s="22">
        <v>15.5</v>
      </c>
      <c r="H4516" s="18">
        <v>221.1</v>
      </c>
      <c r="I4516" s="18">
        <v>14.264516129</v>
      </c>
      <c r="J4516" s="18">
        <v>14.83</v>
      </c>
      <c r="K4516" s="18">
        <v>13.97</v>
      </c>
      <c r="L4516" s="22">
        <v>8</v>
      </c>
    </row>
    <row r="4517" spans="1:12">
      <c r="A4517">
        <v>5</v>
      </c>
      <c r="B4517" s="16" t="s">
        <v>60</v>
      </c>
      <c r="C4517" s="9">
        <v>46082</v>
      </c>
      <c r="D4517">
        <v>38</v>
      </c>
      <c r="E4517" s="16" t="s">
        <v>127</v>
      </c>
      <c r="F4517" s="16" t="s">
        <v>83</v>
      </c>
      <c r="G4517" s="22">
        <v>15</v>
      </c>
      <c r="H4517" s="18">
        <v>214.75</v>
      </c>
      <c r="I4517" s="18">
        <v>14.316666667</v>
      </c>
      <c r="J4517" s="18">
        <v>14.6</v>
      </c>
      <c r="K4517" s="18">
        <v>14.1</v>
      </c>
      <c r="L4517" s="22">
        <v>9</v>
      </c>
    </row>
    <row r="4518" spans="1:12">
      <c r="A4518">
        <v>5</v>
      </c>
      <c r="B4518" s="16" t="s">
        <v>60</v>
      </c>
      <c r="C4518" s="9">
        <v>46113</v>
      </c>
      <c r="D4518">
        <v>38</v>
      </c>
      <c r="E4518" s="16" t="s">
        <v>127</v>
      </c>
      <c r="F4518" s="16" t="s">
        <v>83</v>
      </c>
      <c r="G4518" s="22">
        <v>14</v>
      </c>
      <c r="H4518" s="18">
        <v>201.44499999999999</v>
      </c>
      <c r="I4518" s="18">
        <v>14.388928570999999</v>
      </c>
      <c r="J4518" s="18">
        <v>14.71</v>
      </c>
      <c r="K4518" s="18">
        <v>13.99</v>
      </c>
      <c r="L4518" s="22">
        <v>9</v>
      </c>
    </row>
    <row r="4519" spans="1:12">
      <c r="A4519">
        <v>5</v>
      </c>
      <c r="B4519" s="16" t="s">
        <v>60</v>
      </c>
      <c r="C4519" s="9">
        <v>46143</v>
      </c>
      <c r="D4519">
        <v>38</v>
      </c>
      <c r="E4519" s="16" t="s">
        <v>127</v>
      </c>
      <c r="F4519" s="16" t="s">
        <v>83</v>
      </c>
      <c r="G4519" s="22">
        <v>9.5</v>
      </c>
      <c r="H4519" s="18">
        <v>137.68</v>
      </c>
      <c r="I4519" s="18">
        <v>14.492631578999999</v>
      </c>
      <c r="J4519" s="18">
        <v>14.7</v>
      </c>
      <c r="K4519" s="18">
        <v>14.32</v>
      </c>
      <c r="L4519" s="22">
        <v>8</v>
      </c>
    </row>
    <row r="4520" spans="1:12">
      <c r="A4520">
        <v>5</v>
      </c>
      <c r="B4520" s="16" t="s">
        <v>60</v>
      </c>
      <c r="C4520" s="9">
        <v>46174</v>
      </c>
      <c r="D4520">
        <v>38</v>
      </c>
      <c r="E4520" s="16" t="s">
        <v>127</v>
      </c>
      <c r="F4520" s="16" t="s">
        <v>83</v>
      </c>
      <c r="G4520" s="22">
        <v>12</v>
      </c>
      <c r="H4520" s="18">
        <v>174.995</v>
      </c>
      <c r="I4520" s="18">
        <v>14.582916666999999</v>
      </c>
      <c r="J4520" s="18">
        <v>14.72</v>
      </c>
      <c r="K4520" s="18">
        <v>14.47</v>
      </c>
      <c r="L4520" s="22">
        <v>9</v>
      </c>
    </row>
    <row r="4521" spans="1:12">
      <c r="A4521">
        <v>5</v>
      </c>
      <c r="B4521" s="16" t="s">
        <v>60</v>
      </c>
      <c r="C4521" s="9">
        <v>46204</v>
      </c>
      <c r="D4521">
        <v>38</v>
      </c>
      <c r="E4521" s="16" t="s">
        <v>127</v>
      </c>
      <c r="F4521" s="16" t="s">
        <v>83</v>
      </c>
      <c r="G4521" s="22">
        <v>12</v>
      </c>
      <c r="H4521" s="18">
        <v>175.12</v>
      </c>
      <c r="I4521" s="18">
        <v>14.593333333</v>
      </c>
      <c r="J4521" s="18">
        <v>14.78</v>
      </c>
      <c r="K4521" s="18">
        <v>14.34</v>
      </c>
      <c r="L4521" s="22">
        <v>9</v>
      </c>
    </row>
    <row r="4522" spans="1:12">
      <c r="A4522">
        <v>5</v>
      </c>
      <c r="B4522" s="16" t="s">
        <v>60</v>
      </c>
      <c r="C4522" s="9">
        <v>46235</v>
      </c>
      <c r="D4522">
        <v>38</v>
      </c>
      <c r="E4522" s="16" t="s">
        <v>127</v>
      </c>
      <c r="F4522" s="16" t="s">
        <v>83</v>
      </c>
      <c r="G4522" s="22">
        <v>9</v>
      </c>
      <c r="H4522" s="18">
        <v>131.995</v>
      </c>
      <c r="I4522" s="18">
        <v>14.666111110999999</v>
      </c>
      <c r="J4522" s="18">
        <v>15.09</v>
      </c>
      <c r="K4522" s="18">
        <v>14.31</v>
      </c>
      <c r="L4522" s="22">
        <v>9</v>
      </c>
    </row>
    <row r="4523" spans="1:12">
      <c r="A4523">
        <v>5</v>
      </c>
      <c r="B4523" s="16" t="s">
        <v>60</v>
      </c>
      <c r="C4523" s="9">
        <v>46266</v>
      </c>
      <c r="D4523">
        <v>38</v>
      </c>
      <c r="E4523" s="16" t="s">
        <v>127</v>
      </c>
      <c r="F4523" s="16" t="s">
        <v>83</v>
      </c>
      <c r="G4523" s="22">
        <v>8.5</v>
      </c>
      <c r="H4523" s="18">
        <v>125.295</v>
      </c>
      <c r="I4523" s="18">
        <v>14.740588235000001</v>
      </c>
      <c r="J4523" s="18">
        <v>14.93</v>
      </c>
      <c r="K4523" s="18">
        <v>14.43</v>
      </c>
      <c r="L4523" s="22">
        <v>8</v>
      </c>
    </row>
    <row r="4524" spans="1:12">
      <c r="A4524">
        <v>5</v>
      </c>
      <c r="B4524" s="16" t="s">
        <v>60</v>
      </c>
      <c r="C4524" s="9">
        <v>45689</v>
      </c>
      <c r="D4524">
        <v>39</v>
      </c>
      <c r="E4524" s="16" t="s">
        <v>128</v>
      </c>
      <c r="F4524" s="16" t="s">
        <v>87</v>
      </c>
      <c r="G4524" s="22">
        <v>55.75</v>
      </c>
      <c r="H4524" s="18">
        <v>390.79500000000002</v>
      </c>
      <c r="I4524" s="18">
        <v>7.0097757850000004</v>
      </c>
      <c r="J4524" s="18">
        <v>7.09</v>
      </c>
      <c r="K4524" s="18">
        <v>6.92</v>
      </c>
      <c r="L4524" s="22">
        <v>8</v>
      </c>
    </row>
    <row r="4525" spans="1:12">
      <c r="A4525">
        <v>5</v>
      </c>
      <c r="B4525" s="16" t="s">
        <v>60</v>
      </c>
      <c r="C4525" s="9">
        <v>45717</v>
      </c>
      <c r="D4525">
        <v>39</v>
      </c>
      <c r="E4525" s="16" t="s">
        <v>128</v>
      </c>
      <c r="F4525" s="16" t="s">
        <v>87</v>
      </c>
      <c r="G4525" s="22">
        <v>36.75</v>
      </c>
      <c r="H4525" s="18">
        <v>259.58999999999997</v>
      </c>
      <c r="I4525" s="18">
        <v>7.0636734690000003</v>
      </c>
      <c r="J4525" s="18">
        <v>7.21</v>
      </c>
      <c r="K4525" s="18">
        <v>6.93</v>
      </c>
      <c r="L4525" s="22">
        <v>9</v>
      </c>
    </row>
    <row r="4526" spans="1:12">
      <c r="A4526">
        <v>5</v>
      </c>
      <c r="B4526" s="16" t="s">
        <v>60</v>
      </c>
      <c r="C4526" s="9">
        <v>45748</v>
      </c>
      <c r="D4526">
        <v>39</v>
      </c>
      <c r="E4526" s="16" t="s">
        <v>128</v>
      </c>
      <c r="F4526" s="16" t="s">
        <v>87</v>
      </c>
      <c r="G4526" s="22">
        <v>41</v>
      </c>
      <c r="H4526" s="18">
        <v>290.58499999999998</v>
      </c>
      <c r="I4526" s="18">
        <v>7.087439024</v>
      </c>
      <c r="J4526" s="18">
        <v>7.21</v>
      </c>
      <c r="K4526" s="18">
        <v>6.81</v>
      </c>
      <c r="L4526" s="22">
        <v>8</v>
      </c>
    </row>
    <row r="4527" spans="1:12">
      <c r="A4527">
        <v>5</v>
      </c>
      <c r="B4527" s="16" t="s">
        <v>60</v>
      </c>
      <c r="C4527" s="9">
        <v>45778</v>
      </c>
      <c r="D4527">
        <v>39</v>
      </c>
      <c r="E4527" s="16" t="s">
        <v>128</v>
      </c>
      <c r="F4527" s="16" t="s">
        <v>87</v>
      </c>
      <c r="G4527" s="22">
        <v>43.75</v>
      </c>
      <c r="H4527" s="18">
        <v>308.95999999999998</v>
      </c>
      <c r="I4527" s="18">
        <v>7.061942857</v>
      </c>
      <c r="J4527" s="18">
        <v>7.29</v>
      </c>
      <c r="K4527" s="18">
        <v>6.88</v>
      </c>
      <c r="L4527" s="22">
        <v>9</v>
      </c>
    </row>
    <row r="4528" spans="1:12">
      <c r="A4528">
        <v>5</v>
      </c>
      <c r="B4528" s="16" t="s">
        <v>60</v>
      </c>
      <c r="C4528" s="9">
        <v>45809</v>
      </c>
      <c r="D4528">
        <v>39</v>
      </c>
      <c r="E4528" s="16" t="s">
        <v>128</v>
      </c>
      <c r="F4528" s="16" t="s">
        <v>87</v>
      </c>
      <c r="G4528" s="22">
        <v>33.5</v>
      </c>
      <c r="H4528" s="18">
        <v>240.45</v>
      </c>
      <c r="I4528" s="18">
        <v>7.1776119400000002</v>
      </c>
      <c r="J4528" s="18">
        <v>7.3</v>
      </c>
      <c r="K4528" s="18">
        <v>7.02</v>
      </c>
      <c r="L4528" s="22">
        <v>9</v>
      </c>
    </row>
    <row r="4529" spans="1:12">
      <c r="A4529">
        <v>5</v>
      </c>
      <c r="B4529" s="16" t="s">
        <v>60</v>
      </c>
      <c r="C4529" s="9">
        <v>45839</v>
      </c>
      <c r="D4529">
        <v>39</v>
      </c>
      <c r="E4529" s="16" t="s">
        <v>128</v>
      </c>
      <c r="F4529" s="16" t="s">
        <v>87</v>
      </c>
      <c r="G4529" s="22">
        <v>38.5</v>
      </c>
      <c r="H4529" s="18">
        <v>278.19499999999999</v>
      </c>
      <c r="I4529" s="18">
        <v>7.225844156</v>
      </c>
      <c r="J4529" s="18">
        <v>7.41</v>
      </c>
      <c r="K4529" s="18">
        <v>7.07</v>
      </c>
      <c r="L4529" s="22">
        <v>9</v>
      </c>
    </row>
    <row r="4530" spans="1:12">
      <c r="A4530">
        <v>5</v>
      </c>
      <c r="B4530" s="16" t="s">
        <v>60</v>
      </c>
      <c r="C4530" s="9">
        <v>45870</v>
      </c>
      <c r="D4530">
        <v>39</v>
      </c>
      <c r="E4530" s="16" t="s">
        <v>128</v>
      </c>
      <c r="F4530" s="16" t="s">
        <v>87</v>
      </c>
      <c r="G4530" s="22">
        <v>32.5</v>
      </c>
      <c r="H4530" s="18">
        <v>233.4675</v>
      </c>
      <c r="I4530" s="18">
        <v>7.1836153850000004</v>
      </c>
      <c r="J4530" s="18">
        <v>7.24</v>
      </c>
      <c r="K4530" s="18">
        <v>7.06</v>
      </c>
      <c r="L4530" s="22">
        <v>8</v>
      </c>
    </row>
    <row r="4531" spans="1:12">
      <c r="A4531">
        <v>5</v>
      </c>
      <c r="B4531" s="16" t="s">
        <v>60</v>
      </c>
      <c r="C4531" s="9">
        <v>45901</v>
      </c>
      <c r="D4531">
        <v>39</v>
      </c>
      <c r="E4531" s="16" t="s">
        <v>128</v>
      </c>
      <c r="F4531" s="16" t="s">
        <v>87</v>
      </c>
      <c r="G4531" s="22">
        <v>28</v>
      </c>
      <c r="H4531" s="18">
        <v>200.04750000000001</v>
      </c>
      <c r="I4531" s="18">
        <v>7.1445535710000003</v>
      </c>
      <c r="J4531" s="18">
        <v>7.25</v>
      </c>
      <c r="K4531" s="18">
        <v>7.02</v>
      </c>
      <c r="L4531" s="22">
        <v>8</v>
      </c>
    </row>
    <row r="4532" spans="1:12">
      <c r="A4532">
        <v>5</v>
      </c>
      <c r="B4532" s="16" t="s">
        <v>60</v>
      </c>
      <c r="C4532" s="9">
        <v>45931</v>
      </c>
      <c r="D4532">
        <v>39</v>
      </c>
      <c r="E4532" s="16" t="s">
        <v>128</v>
      </c>
      <c r="F4532" s="16" t="s">
        <v>87</v>
      </c>
      <c r="G4532" s="22">
        <v>42.25</v>
      </c>
      <c r="H4532" s="18">
        <v>311.40750000000003</v>
      </c>
      <c r="I4532" s="18">
        <v>7.3705917159999998</v>
      </c>
      <c r="J4532" s="18">
        <v>7.63</v>
      </c>
      <c r="K4532" s="18">
        <v>7.15</v>
      </c>
      <c r="L4532" s="22">
        <v>9</v>
      </c>
    </row>
    <row r="4533" spans="1:12">
      <c r="A4533">
        <v>5</v>
      </c>
      <c r="B4533" s="16" t="s">
        <v>60</v>
      </c>
      <c r="C4533" s="9">
        <v>45962</v>
      </c>
      <c r="D4533">
        <v>39</v>
      </c>
      <c r="E4533" s="16" t="s">
        <v>128</v>
      </c>
      <c r="F4533" s="16" t="s">
        <v>87</v>
      </c>
      <c r="G4533" s="22">
        <v>47</v>
      </c>
      <c r="H4533" s="18">
        <v>345.565</v>
      </c>
      <c r="I4533" s="18">
        <v>7.3524468089999999</v>
      </c>
      <c r="J4533" s="18">
        <v>7.43</v>
      </c>
      <c r="K4533" s="18">
        <v>7.21</v>
      </c>
      <c r="L4533" s="22">
        <v>8</v>
      </c>
    </row>
    <row r="4534" spans="1:12">
      <c r="A4534">
        <v>5</v>
      </c>
      <c r="B4534" s="16" t="s">
        <v>60</v>
      </c>
      <c r="C4534" s="9">
        <v>45992</v>
      </c>
      <c r="D4534">
        <v>39</v>
      </c>
      <c r="E4534" s="16" t="s">
        <v>128</v>
      </c>
      <c r="F4534" s="16" t="s">
        <v>87</v>
      </c>
      <c r="G4534" s="22">
        <v>44.75</v>
      </c>
      <c r="H4534" s="18">
        <v>328.56</v>
      </c>
      <c r="I4534" s="18">
        <v>7.3421229050000001</v>
      </c>
      <c r="J4534" s="18">
        <v>7.46</v>
      </c>
      <c r="K4534" s="18">
        <v>7.21</v>
      </c>
      <c r="L4534" s="22">
        <v>9</v>
      </c>
    </row>
    <row r="4535" spans="1:12">
      <c r="A4535">
        <v>5</v>
      </c>
      <c r="B4535" s="16" t="s">
        <v>60</v>
      </c>
      <c r="C4535" s="9">
        <v>46023</v>
      </c>
      <c r="D4535">
        <v>39</v>
      </c>
      <c r="E4535" s="16" t="s">
        <v>128</v>
      </c>
      <c r="F4535" s="16" t="s">
        <v>87</v>
      </c>
      <c r="G4535" s="22">
        <v>54</v>
      </c>
      <c r="H4535" s="18">
        <v>396.95499999999998</v>
      </c>
      <c r="I4535" s="18">
        <v>7.3510185190000001</v>
      </c>
      <c r="J4535" s="18">
        <v>7.47</v>
      </c>
      <c r="K4535" s="18">
        <v>7.23</v>
      </c>
      <c r="L4535" s="22">
        <v>9</v>
      </c>
    </row>
    <row r="4536" spans="1:12">
      <c r="A4536">
        <v>5</v>
      </c>
      <c r="B4536" s="16" t="s">
        <v>60</v>
      </c>
      <c r="C4536" s="9">
        <v>46054</v>
      </c>
      <c r="D4536">
        <v>39</v>
      </c>
      <c r="E4536" s="16" t="s">
        <v>128</v>
      </c>
      <c r="F4536" s="16" t="s">
        <v>87</v>
      </c>
      <c r="G4536" s="22">
        <v>52.5</v>
      </c>
      <c r="H4536" s="18">
        <v>385.435</v>
      </c>
      <c r="I4536" s="18">
        <v>7.3416190480000001</v>
      </c>
      <c r="J4536" s="18">
        <v>7.47</v>
      </c>
      <c r="K4536" s="18">
        <v>7.18</v>
      </c>
      <c r="L4536" s="22">
        <v>8</v>
      </c>
    </row>
    <row r="4537" spans="1:12">
      <c r="A4537">
        <v>5</v>
      </c>
      <c r="B4537" s="16" t="s">
        <v>60</v>
      </c>
      <c r="C4537" s="9">
        <v>46082</v>
      </c>
      <c r="D4537">
        <v>39</v>
      </c>
      <c r="E4537" s="16" t="s">
        <v>128</v>
      </c>
      <c r="F4537" s="16" t="s">
        <v>87</v>
      </c>
      <c r="G4537" s="22">
        <v>44.25</v>
      </c>
      <c r="H4537" s="18">
        <v>327.85</v>
      </c>
      <c r="I4537" s="18">
        <v>7.409039548</v>
      </c>
      <c r="J4537" s="18">
        <v>7.59</v>
      </c>
      <c r="K4537" s="18">
        <v>7.27</v>
      </c>
      <c r="L4537" s="22">
        <v>9</v>
      </c>
    </row>
    <row r="4538" spans="1:12">
      <c r="A4538">
        <v>5</v>
      </c>
      <c r="B4538" s="16" t="s">
        <v>60</v>
      </c>
      <c r="C4538" s="9">
        <v>46113</v>
      </c>
      <c r="D4538">
        <v>39</v>
      </c>
      <c r="E4538" s="16" t="s">
        <v>128</v>
      </c>
      <c r="F4538" s="16" t="s">
        <v>87</v>
      </c>
      <c r="G4538" s="22">
        <v>39.75</v>
      </c>
      <c r="H4538" s="18">
        <v>292.86750000000001</v>
      </c>
      <c r="I4538" s="18">
        <v>7.3677358489999998</v>
      </c>
      <c r="J4538" s="18">
        <v>7.53</v>
      </c>
      <c r="K4538" s="18">
        <v>7.26</v>
      </c>
      <c r="L4538" s="22">
        <v>9</v>
      </c>
    </row>
    <row r="4539" spans="1:12">
      <c r="A4539">
        <v>5</v>
      </c>
      <c r="B4539" s="16" t="s">
        <v>60</v>
      </c>
      <c r="C4539" s="9">
        <v>46143</v>
      </c>
      <c r="D4539">
        <v>39</v>
      </c>
      <c r="E4539" s="16" t="s">
        <v>128</v>
      </c>
      <c r="F4539" s="16" t="s">
        <v>87</v>
      </c>
      <c r="G4539" s="22">
        <v>36</v>
      </c>
      <c r="H4539" s="18">
        <v>266.33</v>
      </c>
      <c r="I4539" s="18">
        <v>7.3980555560000001</v>
      </c>
      <c r="J4539" s="18">
        <v>7.54</v>
      </c>
      <c r="K4539" s="18">
        <v>7.3</v>
      </c>
      <c r="L4539" s="22">
        <v>8</v>
      </c>
    </row>
    <row r="4540" spans="1:12">
      <c r="A4540">
        <v>5</v>
      </c>
      <c r="B4540" s="16" t="s">
        <v>60</v>
      </c>
      <c r="C4540" s="9">
        <v>46174</v>
      </c>
      <c r="D4540">
        <v>39</v>
      </c>
      <c r="E4540" s="16" t="s">
        <v>128</v>
      </c>
      <c r="F4540" s="16" t="s">
        <v>87</v>
      </c>
      <c r="G4540" s="22">
        <v>27.75</v>
      </c>
      <c r="H4540" s="18">
        <v>204.13499999999999</v>
      </c>
      <c r="I4540" s="18">
        <v>7.356216216</v>
      </c>
      <c r="J4540" s="18">
        <v>7.6</v>
      </c>
      <c r="K4540" s="18">
        <v>7.25</v>
      </c>
      <c r="L4540" s="22">
        <v>9</v>
      </c>
    </row>
    <row r="4541" spans="1:12">
      <c r="A4541">
        <v>5</v>
      </c>
      <c r="B4541" s="16" t="s">
        <v>60</v>
      </c>
      <c r="C4541" s="9">
        <v>46204</v>
      </c>
      <c r="D4541">
        <v>39</v>
      </c>
      <c r="E4541" s="16" t="s">
        <v>128</v>
      </c>
      <c r="F4541" s="16" t="s">
        <v>87</v>
      </c>
      <c r="G4541" s="22">
        <v>32</v>
      </c>
      <c r="H4541" s="18">
        <v>236.99</v>
      </c>
      <c r="I4541" s="18">
        <v>7.4059375000000003</v>
      </c>
      <c r="J4541" s="18">
        <v>7.6</v>
      </c>
      <c r="K4541" s="18">
        <v>7.29</v>
      </c>
      <c r="L4541" s="22">
        <v>9</v>
      </c>
    </row>
    <row r="4542" spans="1:12">
      <c r="A4542">
        <v>5</v>
      </c>
      <c r="B4542" s="16" t="s">
        <v>60</v>
      </c>
      <c r="C4542" s="9">
        <v>46235</v>
      </c>
      <c r="D4542">
        <v>39</v>
      </c>
      <c r="E4542" s="16" t="s">
        <v>128</v>
      </c>
      <c r="F4542" s="16" t="s">
        <v>87</v>
      </c>
      <c r="G4542" s="22">
        <v>29.5</v>
      </c>
      <c r="H4542" s="18">
        <v>217.32499999999999</v>
      </c>
      <c r="I4542" s="18">
        <v>7.3669491530000002</v>
      </c>
      <c r="J4542" s="18">
        <v>7.47</v>
      </c>
      <c r="K4542" s="18">
        <v>7.2</v>
      </c>
      <c r="L4542" s="22">
        <v>9</v>
      </c>
    </row>
    <row r="4543" spans="1:12">
      <c r="A4543">
        <v>5</v>
      </c>
      <c r="B4543" s="16" t="s">
        <v>60</v>
      </c>
      <c r="C4543" s="9">
        <v>46266</v>
      </c>
      <c r="D4543">
        <v>39</v>
      </c>
      <c r="E4543" s="16" t="s">
        <v>128</v>
      </c>
      <c r="F4543" s="16" t="s">
        <v>87</v>
      </c>
      <c r="G4543" s="22">
        <v>26.75</v>
      </c>
      <c r="H4543" s="18">
        <v>197.9425</v>
      </c>
      <c r="I4543" s="18">
        <v>7.3997196260000004</v>
      </c>
      <c r="J4543" s="18">
        <v>7.48</v>
      </c>
      <c r="K4543" s="18">
        <v>7.21</v>
      </c>
      <c r="L4543" s="22">
        <v>8</v>
      </c>
    </row>
    <row r="4544" spans="1:12">
      <c r="A4544">
        <v>5</v>
      </c>
      <c r="B4544" s="16" t="s">
        <v>60</v>
      </c>
      <c r="C4544" s="9">
        <v>45689</v>
      </c>
      <c r="D4544">
        <v>40</v>
      </c>
      <c r="E4544" s="16" t="s">
        <v>129</v>
      </c>
      <c r="F4544" s="16" t="s">
        <v>108</v>
      </c>
      <c r="G4544" s="22">
        <v>4</v>
      </c>
      <c r="H4544" s="18">
        <v>2.4</v>
      </c>
      <c r="I4544" s="18">
        <v>0.6</v>
      </c>
      <c r="J4544" s="18">
        <v>0.6</v>
      </c>
      <c r="K4544" s="18">
        <v>0.6</v>
      </c>
      <c r="L4544" s="22">
        <v>1</v>
      </c>
    </row>
    <row r="4545" spans="1:12">
      <c r="A4545">
        <v>5</v>
      </c>
      <c r="B4545" s="16" t="s">
        <v>60</v>
      </c>
      <c r="C4545" s="9">
        <v>45748</v>
      </c>
      <c r="D4545">
        <v>40</v>
      </c>
      <c r="E4545" s="16" t="s">
        <v>129</v>
      </c>
      <c r="F4545" s="16" t="s">
        <v>108</v>
      </c>
      <c r="G4545" s="22">
        <v>4</v>
      </c>
      <c r="H4545" s="18">
        <v>2.44</v>
      </c>
      <c r="I4545" s="18">
        <v>0.61</v>
      </c>
      <c r="J4545" s="18">
        <v>0.61</v>
      </c>
      <c r="K4545" s="18">
        <v>0.61</v>
      </c>
      <c r="L4545" s="22">
        <v>1</v>
      </c>
    </row>
    <row r="4546" spans="1:12">
      <c r="A4546">
        <v>5</v>
      </c>
      <c r="B4546" s="16" t="s">
        <v>60</v>
      </c>
      <c r="C4546" s="9">
        <v>45809</v>
      </c>
      <c r="D4546">
        <v>40</v>
      </c>
      <c r="E4546" s="16" t="s">
        <v>129</v>
      </c>
      <c r="F4546" s="16" t="s">
        <v>108</v>
      </c>
      <c r="G4546" s="22">
        <v>4</v>
      </c>
      <c r="H4546" s="18">
        <v>2.48</v>
      </c>
      <c r="I4546" s="18">
        <v>0.62</v>
      </c>
      <c r="J4546" s="18">
        <v>0.62</v>
      </c>
      <c r="K4546" s="18">
        <v>0.62</v>
      </c>
      <c r="L4546" s="22">
        <v>1</v>
      </c>
    </row>
    <row r="4547" spans="1:12">
      <c r="A4547">
        <v>5</v>
      </c>
      <c r="B4547" s="16" t="s">
        <v>60</v>
      </c>
      <c r="C4547" s="9">
        <v>45870</v>
      </c>
      <c r="D4547">
        <v>40</v>
      </c>
      <c r="E4547" s="16" t="s">
        <v>129</v>
      </c>
      <c r="F4547" s="16" t="s">
        <v>108</v>
      </c>
      <c r="G4547" s="22">
        <v>4</v>
      </c>
      <c r="H4547" s="18">
        <v>2.48</v>
      </c>
      <c r="I4547" s="18">
        <v>0.62</v>
      </c>
      <c r="J4547" s="18">
        <v>0.62</v>
      </c>
      <c r="K4547" s="18">
        <v>0.62</v>
      </c>
      <c r="L4547" s="22">
        <v>1</v>
      </c>
    </row>
    <row r="4548" spans="1:12">
      <c r="A4548">
        <v>5</v>
      </c>
      <c r="B4548" s="16" t="s">
        <v>60</v>
      </c>
      <c r="C4548" s="9">
        <v>45931</v>
      </c>
      <c r="D4548">
        <v>40</v>
      </c>
      <c r="E4548" s="16" t="s">
        <v>129</v>
      </c>
      <c r="F4548" s="16" t="s">
        <v>108</v>
      </c>
      <c r="G4548" s="22">
        <v>4</v>
      </c>
      <c r="H4548" s="18">
        <v>2.52</v>
      </c>
      <c r="I4548" s="18">
        <v>0.63</v>
      </c>
      <c r="J4548" s="18">
        <v>0.63</v>
      </c>
      <c r="K4548" s="18">
        <v>0.63</v>
      </c>
      <c r="L4548" s="22">
        <v>1</v>
      </c>
    </row>
    <row r="4549" spans="1:12">
      <c r="A4549">
        <v>5</v>
      </c>
      <c r="B4549" s="16" t="s">
        <v>60</v>
      </c>
      <c r="C4549" s="9">
        <v>45962</v>
      </c>
      <c r="D4549">
        <v>40</v>
      </c>
      <c r="E4549" s="16" t="s">
        <v>129</v>
      </c>
      <c r="F4549" s="16" t="s">
        <v>108</v>
      </c>
      <c r="G4549" s="22">
        <v>4</v>
      </c>
      <c r="H4549" s="18">
        <v>2.48</v>
      </c>
      <c r="I4549" s="18">
        <v>0.62</v>
      </c>
      <c r="J4549" s="18">
        <v>0.62</v>
      </c>
      <c r="K4549" s="18">
        <v>0.62</v>
      </c>
      <c r="L4549" s="22">
        <v>1</v>
      </c>
    </row>
    <row r="4550" spans="1:12">
      <c r="A4550">
        <v>5</v>
      </c>
      <c r="B4550" s="16" t="s">
        <v>60</v>
      </c>
      <c r="C4550" s="9">
        <v>45992</v>
      </c>
      <c r="D4550">
        <v>40</v>
      </c>
      <c r="E4550" s="16" t="s">
        <v>129</v>
      </c>
      <c r="F4550" s="16" t="s">
        <v>108</v>
      </c>
      <c r="G4550" s="22">
        <v>4</v>
      </c>
      <c r="H4550" s="18">
        <v>2.48</v>
      </c>
      <c r="I4550" s="18">
        <v>0.62</v>
      </c>
      <c r="J4550" s="18">
        <v>0.62</v>
      </c>
      <c r="K4550" s="18">
        <v>0.62</v>
      </c>
      <c r="L4550" s="22">
        <v>1</v>
      </c>
    </row>
    <row r="4551" spans="1:12">
      <c r="A4551">
        <v>5</v>
      </c>
      <c r="B4551" s="16" t="s">
        <v>60</v>
      </c>
      <c r="C4551" s="9">
        <v>46023</v>
      </c>
      <c r="D4551">
        <v>40</v>
      </c>
      <c r="E4551" s="16" t="s">
        <v>129</v>
      </c>
      <c r="F4551" s="16" t="s">
        <v>108</v>
      </c>
      <c r="G4551" s="22">
        <v>4</v>
      </c>
      <c r="H4551" s="18">
        <v>2.44</v>
      </c>
      <c r="I4551" s="18">
        <v>0.61</v>
      </c>
      <c r="J4551" s="18">
        <v>0.61</v>
      </c>
      <c r="K4551" s="18">
        <v>0.61</v>
      </c>
      <c r="L4551" s="22">
        <v>1</v>
      </c>
    </row>
    <row r="4552" spans="1:12">
      <c r="A4552">
        <v>5</v>
      </c>
      <c r="B4552" s="16" t="s">
        <v>60</v>
      </c>
      <c r="C4552" s="9">
        <v>46082</v>
      </c>
      <c r="D4552">
        <v>40</v>
      </c>
      <c r="E4552" s="16" t="s">
        <v>129</v>
      </c>
      <c r="F4552" s="16" t="s">
        <v>108</v>
      </c>
      <c r="G4552" s="22">
        <v>4</v>
      </c>
      <c r="H4552" s="18">
        <v>2.48</v>
      </c>
      <c r="I4552" s="18">
        <v>0.62</v>
      </c>
      <c r="J4552" s="18">
        <v>0.62</v>
      </c>
      <c r="K4552" s="18">
        <v>0.62</v>
      </c>
      <c r="L4552" s="22">
        <v>1</v>
      </c>
    </row>
    <row r="4553" spans="1:12">
      <c r="A4553">
        <v>5</v>
      </c>
      <c r="B4553" s="16" t="s">
        <v>60</v>
      </c>
      <c r="C4553" s="9">
        <v>46143</v>
      </c>
      <c r="D4553">
        <v>40</v>
      </c>
      <c r="E4553" s="16" t="s">
        <v>129</v>
      </c>
      <c r="F4553" s="16" t="s">
        <v>108</v>
      </c>
      <c r="G4553" s="22">
        <v>4</v>
      </c>
      <c r="H4553" s="18">
        <v>2.4</v>
      </c>
      <c r="I4553" s="18">
        <v>0.6</v>
      </c>
      <c r="J4553" s="18">
        <v>0.6</v>
      </c>
      <c r="K4553" s="18">
        <v>0.6</v>
      </c>
      <c r="L4553" s="22">
        <v>1</v>
      </c>
    </row>
    <row r="4554" spans="1:12">
      <c r="A4554">
        <v>5</v>
      </c>
      <c r="B4554" s="16" t="s">
        <v>60</v>
      </c>
      <c r="C4554" s="9">
        <v>46204</v>
      </c>
      <c r="D4554">
        <v>40</v>
      </c>
      <c r="E4554" s="16" t="s">
        <v>129</v>
      </c>
      <c r="F4554" s="16" t="s">
        <v>108</v>
      </c>
      <c r="G4554" s="22">
        <v>4</v>
      </c>
      <c r="H4554" s="18">
        <v>2.44</v>
      </c>
      <c r="I4554" s="18">
        <v>0.61</v>
      </c>
      <c r="J4554" s="18">
        <v>0.61</v>
      </c>
      <c r="K4554" s="18">
        <v>0.61</v>
      </c>
      <c r="L4554" s="22">
        <v>1</v>
      </c>
    </row>
    <row r="4555" spans="1:12">
      <c r="A4555">
        <v>5</v>
      </c>
      <c r="B4555" s="16" t="s">
        <v>60</v>
      </c>
      <c r="C4555" s="9">
        <v>46266</v>
      </c>
      <c r="D4555">
        <v>40</v>
      </c>
      <c r="E4555" s="16" t="s">
        <v>129</v>
      </c>
      <c r="F4555" s="16" t="s">
        <v>108</v>
      </c>
      <c r="G4555" s="22">
        <v>4</v>
      </c>
      <c r="H4555" s="18">
        <v>2.4</v>
      </c>
      <c r="I4555" s="18">
        <v>0.6</v>
      </c>
      <c r="J4555" s="18">
        <v>0.6</v>
      </c>
      <c r="K4555" s="18">
        <v>0.6</v>
      </c>
      <c r="L4555" s="22">
        <v>1</v>
      </c>
    </row>
    <row r="4556" spans="1:12">
      <c r="A4556">
        <v>5</v>
      </c>
      <c r="B4556" s="16" t="s">
        <v>60</v>
      </c>
      <c r="C4556" s="9">
        <v>45689</v>
      </c>
      <c r="D4556">
        <v>41</v>
      </c>
      <c r="E4556" s="16" t="s">
        <v>130</v>
      </c>
      <c r="F4556" s="16" t="s">
        <v>87</v>
      </c>
      <c r="G4556" s="22">
        <v>77.5</v>
      </c>
      <c r="H4556" s="18">
        <v>312.86750000000001</v>
      </c>
      <c r="I4556" s="18">
        <v>4.0369999999999999</v>
      </c>
      <c r="J4556" s="18">
        <v>4.1100000000000003</v>
      </c>
      <c r="K4556" s="18">
        <v>3.95</v>
      </c>
      <c r="L4556" s="22">
        <v>8</v>
      </c>
    </row>
    <row r="4557" spans="1:12">
      <c r="A4557">
        <v>5</v>
      </c>
      <c r="B4557" s="16" t="s">
        <v>60</v>
      </c>
      <c r="C4557" s="9">
        <v>45717</v>
      </c>
      <c r="D4557">
        <v>41</v>
      </c>
      <c r="E4557" s="16" t="s">
        <v>130</v>
      </c>
      <c r="F4557" s="16" t="s">
        <v>87</v>
      </c>
      <c r="G4557" s="22">
        <v>77.75</v>
      </c>
      <c r="H4557" s="18">
        <v>318.11</v>
      </c>
      <c r="I4557" s="18">
        <v>4.0914469450000004</v>
      </c>
      <c r="J4557" s="18">
        <v>4.33</v>
      </c>
      <c r="K4557" s="18">
        <v>3.97</v>
      </c>
      <c r="L4557" s="22">
        <v>9</v>
      </c>
    </row>
    <row r="4558" spans="1:12">
      <c r="A4558">
        <v>5</v>
      </c>
      <c r="B4558" s="16" t="s">
        <v>60</v>
      </c>
      <c r="C4558" s="9">
        <v>45748</v>
      </c>
      <c r="D4558">
        <v>41</v>
      </c>
      <c r="E4558" s="16" t="s">
        <v>130</v>
      </c>
      <c r="F4558" s="16" t="s">
        <v>87</v>
      </c>
      <c r="G4558" s="22">
        <v>66</v>
      </c>
      <c r="H4558" s="18">
        <v>267.70249999999999</v>
      </c>
      <c r="I4558" s="18">
        <v>4.0560984849999997</v>
      </c>
      <c r="J4558" s="18">
        <v>4.12</v>
      </c>
      <c r="K4558" s="18">
        <v>3.97</v>
      </c>
      <c r="L4558" s="22">
        <v>8</v>
      </c>
    </row>
    <row r="4559" spans="1:12">
      <c r="A4559">
        <v>5</v>
      </c>
      <c r="B4559" s="16" t="s">
        <v>60</v>
      </c>
      <c r="C4559" s="9">
        <v>45778</v>
      </c>
      <c r="D4559">
        <v>41</v>
      </c>
      <c r="E4559" s="16" t="s">
        <v>130</v>
      </c>
      <c r="F4559" s="16" t="s">
        <v>87</v>
      </c>
      <c r="G4559" s="22">
        <v>94</v>
      </c>
      <c r="H4559" s="18">
        <v>386.73</v>
      </c>
      <c r="I4559" s="18">
        <v>4.1141489360000003</v>
      </c>
      <c r="J4559" s="18">
        <v>4.32</v>
      </c>
      <c r="K4559" s="18">
        <v>4.01</v>
      </c>
      <c r="L4559" s="22">
        <v>9</v>
      </c>
    </row>
    <row r="4560" spans="1:12">
      <c r="A4560">
        <v>5</v>
      </c>
      <c r="B4560" s="16" t="s">
        <v>60</v>
      </c>
      <c r="C4560" s="9">
        <v>45809</v>
      </c>
      <c r="D4560">
        <v>41</v>
      </c>
      <c r="E4560" s="16" t="s">
        <v>130</v>
      </c>
      <c r="F4560" s="16" t="s">
        <v>87</v>
      </c>
      <c r="G4560" s="22">
        <v>69.75</v>
      </c>
      <c r="H4560" s="18">
        <v>285.10500000000002</v>
      </c>
      <c r="I4560" s="18">
        <v>4.0875268819999997</v>
      </c>
      <c r="J4560" s="18">
        <v>4.1500000000000004</v>
      </c>
      <c r="K4560" s="18">
        <v>4.03</v>
      </c>
      <c r="L4560" s="22">
        <v>9</v>
      </c>
    </row>
    <row r="4561" spans="1:12">
      <c r="A4561">
        <v>5</v>
      </c>
      <c r="B4561" s="16" t="s">
        <v>60</v>
      </c>
      <c r="C4561" s="9">
        <v>45839</v>
      </c>
      <c r="D4561">
        <v>41</v>
      </c>
      <c r="E4561" s="16" t="s">
        <v>130</v>
      </c>
      <c r="F4561" s="16" t="s">
        <v>87</v>
      </c>
      <c r="G4561" s="22">
        <v>97.25</v>
      </c>
      <c r="H4561" s="18">
        <v>401.19499999999999</v>
      </c>
      <c r="I4561" s="18">
        <v>4.1253984580000003</v>
      </c>
      <c r="J4561" s="18">
        <v>4.21</v>
      </c>
      <c r="K4561" s="18">
        <v>4.04</v>
      </c>
      <c r="L4561" s="22">
        <v>9</v>
      </c>
    </row>
    <row r="4562" spans="1:12">
      <c r="A4562">
        <v>5</v>
      </c>
      <c r="B4562" s="16" t="s">
        <v>60</v>
      </c>
      <c r="C4562" s="9">
        <v>45870</v>
      </c>
      <c r="D4562">
        <v>41</v>
      </c>
      <c r="E4562" s="16" t="s">
        <v>130</v>
      </c>
      <c r="F4562" s="16" t="s">
        <v>87</v>
      </c>
      <c r="G4562" s="22">
        <v>84.75</v>
      </c>
      <c r="H4562" s="18">
        <v>349.995</v>
      </c>
      <c r="I4562" s="18">
        <v>4.1297345129999998</v>
      </c>
      <c r="J4562" s="18">
        <v>4.22</v>
      </c>
      <c r="K4562" s="18">
        <v>4.04</v>
      </c>
      <c r="L4562" s="22">
        <v>8</v>
      </c>
    </row>
    <row r="4563" spans="1:12">
      <c r="A4563">
        <v>5</v>
      </c>
      <c r="B4563" s="16" t="s">
        <v>60</v>
      </c>
      <c r="C4563" s="9">
        <v>45901</v>
      </c>
      <c r="D4563">
        <v>41</v>
      </c>
      <c r="E4563" s="16" t="s">
        <v>130</v>
      </c>
      <c r="F4563" s="16" t="s">
        <v>87</v>
      </c>
      <c r="G4563" s="22">
        <v>60</v>
      </c>
      <c r="H4563" s="18">
        <v>249.12</v>
      </c>
      <c r="I4563" s="18">
        <v>4.1520000000000001</v>
      </c>
      <c r="J4563" s="18">
        <v>4.2300000000000004</v>
      </c>
      <c r="K4563" s="18">
        <v>4.07</v>
      </c>
      <c r="L4563" s="22">
        <v>9</v>
      </c>
    </row>
    <row r="4564" spans="1:12">
      <c r="A4564">
        <v>5</v>
      </c>
      <c r="B4564" s="16" t="s">
        <v>60</v>
      </c>
      <c r="C4564" s="9">
        <v>45931</v>
      </c>
      <c r="D4564">
        <v>41</v>
      </c>
      <c r="E4564" s="16" t="s">
        <v>130</v>
      </c>
      <c r="F4564" s="16" t="s">
        <v>87</v>
      </c>
      <c r="G4564" s="22">
        <v>91.5</v>
      </c>
      <c r="H4564" s="18">
        <v>377.83749999999998</v>
      </c>
      <c r="I4564" s="18">
        <v>4.1293715850000003</v>
      </c>
      <c r="J4564" s="18">
        <v>4.24</v>
      </c>
      <c r="K4564" s="18">
        <v>3.97</v>
      </c>
      <c r="L4564" s="22">
        <v>9</v>
      </c>
    </row>
    <row r="4565" spans="1:12">
      <c r="A4565">
        <v>5</v>
      </c>
      <c r="B4565" s="16" t="s">
        <v>60</v>
      </c>
      <c r="C4565" s="9">
        <v>45962</v>
      </c>
      <c r="D4565">
        <v>41</v>
      </c>
      <c r="E4565" s="16" t="s">
        <v>130</v>
      </c>
      <c r="F4565" s="16" t="s">
        <v>87</v>
      </c>
      <c r="G4565" s="22">
        <v>73.25</v>
      </c>
      <c r="H4565" s="18">
        <v>303.44749999999999</v>
      </c>
      <c r="I4565" s="18">
        <v>4.1426279859999999</v>
      </c>
      <c r="J4565" s="18">
        <v>4.16</v>
      </c>
      <c r="K4565" s="18">
        <v>4.12</v>
      </c>
      <c r="L4565" s="22">
        <v>8</v>
      </c>
    </row>
    <row r="4566" spans="1:12">
      <c r="A4566">
        <v>5</v>
      </c>
      <c r="B4566" s="16" t="s">
        <v>60</v>
      </c>
      <c r="C4566" s="9">
        <v>45992</v>
      </c>
      <c r="D4566">
        <v>41</v>
      </c>
      <c r="E4566" s="16" t="s">
        <v>130</v>
      </c>
      <c r="F4566" s="16" t="s">
        <v>87</v>
      </c>
      <c r="G4566" s="22">
        <v>79.25</v>
      </c>
      <c r="H4566" s="18">
        <v>329.745</v>
      </c>
      <c r="I4566" s="18">
        <v>4.1608201889999998</v>
      </c>
      <c r="J4566" s="18">
        <v>4.22</v>
      </c>
      <c r="K4566" s="18">
        <v>4.0599999999999996</v>
      </c>
      <c r="L4566" s="22">
        <v>9</v>
      </c>
    </row>
    <row r="4567" spans="1:12">
      <c r="A4567">
        <v>5</v>
      </c>
      <c r="B4567" s="16" t="s">
        <v>60</v>
      </c>
      <c r="C4567" s="9">
        <v>46023</v>
      </c>
      <c r="D4567">
        <v>41</v>
      </c>
      <c r="E4567" s="16" t="s">
        <v>130</v>
      </c>
      <c r="F4567" s="16" t="s">
        <v>87</v>
      </c>
      <c r="G4567" s="22">
        <v>73.25</v>
      </c>
      <c r="H4567" s="18">
        <v>305.60250000000002</v>
      </c>
      <c r="I4567" s="18">
        <v>4.1720477819999999</v>
      </c>
      <c r="J4567" s="18">
        <v>4.2699999999999996</v>
      </c>
      <c r="K4567" s="18">
        <v>4.0999999999999996</v>
      </c>
      <c r="L4567" s="22">
        <v>9</v>
      </c>
    </row>
    <row r="4568" spans="1:12">
      <c r="A4568">
        <v>5</v>
      </c>
      <c r="B4568" s="16" t="s">
        <v>60</v>
      </c>
      <c r="C4568" s="9">
        <v>46054</v>
      </c>
      <c r="D4568">
        <v>41</v>
      </c>
      <c r="E4568" s="16" t="s">
        <v>130</v>
      </c>
      <c r="F4568" s="16" t="s">
        <v>87</v>
      </c>
      <c r="G4568" s="22">
        <v>80.75</v>
      </c>
      <c r="H4568" s="18">
        <v>334.14499999999998</v>
      </c>
      <c r="I4568" s="18">
        <v>4.1380185760000003</v>
      </c>
      <c r="J4568" s="18">
        <v>4.21</v>
      </c>
      <c r="K4568" s="18">
        <v>4.09</v>
      </c>
      <c r="L4568" s="22">
        <v>8</v>
      </c>
    </row>
    <row r="4569" spans="1:12">
      <c r="A4569">
        <v>5</v>
      </c>
      <c r="B4569" s="16" t="s">
        <v>60</v>
      </c>
      <c r="C4569" s="9">
        <v>46082</v>
      </c>
      <c r="D4569">
        <v>41</v>
      </c>
      <c r="E4569" s="16" t="s">
        <v>130</v>
      </c>
      <c r="F4569" s="16" t="s">
        <v>87</v>
      </c>
      <c r="G4569" s="22">
        <v>77</v>
      </c>
      <c r="H4569" s="18">
        <v>317.58</v>
      </c>
      <c r="I4569" s="18">
        <v>4.1244155840000003</v>
      </c>
      <c r="J4569" s="18">
        <v>4.18</v>
      </c>
      <c r="K4569" s="18">
        <v>4.04</v>
      </c>
      <c r="L4569" s="22">
        <v>9</v>
      </c>
    </row>
    <row r="4570" spans="1:12">
      <c r="A4570">
        <v>5</v>
      </c>
      <c r="B4570" s="16" t="s">
        <v>60</v>
      </c>
      <c r="C4570" s="9">
        <v>46113</v>
      </c>
      <c r="D4570">
        <v>41</v>
      </c>
      <c r="E4570" s="16" t="s">
        <v>130</v>
      </c>
      <c r="F4570" s="16" t="s">
        <v>87</v>
      </c>
      <c r="G4570" s="22">
        <v>82.25</v>
      </c>
      <c r="H4570" s="18">
        <v>343.1825</v>
      </c>
      <c r="I4570" s="18">
        <v>4.1724316110000004</v>
      </c>
      <c r="J4570" s="18">
        <v>4.38</v>
      </c>
      <c r="K4570" s="18">
        <v>4.08</v>
      </c>
      <c r="L4570" s="22">
        <v>9</v>
      </c>
    </row>
    <row r="4571" spans="1:12">
      <c r="A4571">
        <v>5</v>
      </c>
      <c r="B4571" s="16" t="s">
        <v>60</v>
      </c>
      <c r="C4571" s="9">
        <v>46143</v>
      </c>
      <c r="D4571">
        <v>41</v>
      </c>
      <c r="E4571" s="16" t="s">
        <v>130</v>
      </c>
      <c r="F4571" s="16" t="s">
        <v>87</v>
      </c>
      <c r="G4571" s="22">
        <v>73.75</v>
      </c>
      <c r="H4571" s="18">
        <v>305.70999999999998</v>
      </c>
      <c r="I4571" s="18">
        <v>4.1452203389999998</v>
      </c>
      <c r="J4571" s="18">
        <v>4.2300000000000004</v>
      </c>
      <c r="K4571" s="18">
        <v>4.04</v>
      </c>
      <c r="L4571" s="22">
        <v>8</v>
      </c>
    </row>
    <row r="4572" spans="1:12">
      <c r="A4572">
        <v>5</v>
      </c>
      <c r="B4572" s="16" t="s">
        <v>60</v>
      </c>
      <c r="C4572" s="9">
        <v>46174</v>
      </c>
      <c r="D4572">
        <v>41</v>
      </c>
      <c r="E4572" s="16" t="s">
        <v>130</v>
      </c>
      <c r="F4572" s="16" t="s">
        <v>87</v>
      </c>
      <c r="G4572" s="22">
        <v>84.25</v>
      </c>
      <c r="H4572" s="18">
        <v>352.52249999999998</v>
      </c>
      <c r="I4572" s="18">
        <v>4.1842433229999996</v>
      </c>
      <c r="J4572" s="18">
        <v>4.3600000000000003</v>
      </c>
      <c r="K4572" s="18">
        <v>4.08</v>
      </c>
      <c r="L4572" s="22">
        <v>9</v>
      </c>
    </row>
    <row r="4573" spans="1:12">
      <c r="A4573">
        <v>5</v>
      </c>
      <c r="B4573" s="16" t="s">
        <v>60</v>
      </c>
      <c r="C4573" s="9">
        <v>46204</v>
      </c>
      <c r="D4573">
        <v>41</v>
      </c>
      <c r="E4573" s="16" t="s">
        <v>130</v>
      </c>
      <c r="F4573" s="16" t="s">
        <v>87</v>
      </c>
      <c r="G4573" s="22">
        <v>95.5</v>
      </c>
      <c r="H4573" s="18">
        <v>397.46499999999997</v>
      </c>
      <c r="I4573" s="18">
        <v>4.1619371730000001</v>
      </c>
      <c r="J4573" s="18">
        <v>4.26</v>
      </c>
      <c r="K4573" s="18">
        <v>4.08</v>
      </c>
      <c r="L4573" s="22">
        <v>9</v>
      </c>
    </row>
    <row r="4574" spans="1:12">
      <c r="A4574">
        <v>5</v>
      </c>
      <c r="B4574" s="16" t="s">
        <v>60</v>
      </c>
      <c r="C4574" s="9">
        <v>46235</v>
      </c>
      <c r="D4574">
        <v>41</v>
      </c>
      <c r="E4574" s="16" t="s">
        <v>130</v>
      </c>
      <c r="F4574" s="16" t="s">
        <v>87</v>
      </c>
      <c r="G4574" s="22">
        <v>76.25</v>
      </c>
      <c r="H4574" s="18">
        <v>318.125</v>
      </c>
      <c r="I4574" s="18">
        <v>4.1721311480000001</v>
      </c>
      <c r="J4574" s="18">
        <v>4.2699999999999996</v>
      </c>
      <c r="K4574" s="18">
        <v>4.08</v>
      </c>
      <c r="L4574" s="22">
        <v>9</v>
      </c>
    </row>
    <row r="4575" spans="1:12">
      <c r="A4575">
        <v>5</v>
      </c>
      <c r="B4575" s="16" t="s">
        <v>60</v>
      </c>
      <c r="C4575" s="9">
        <v>46266</v>
      </c>
      <c r="D4575">
        <v>41</v>
      </c>
      <c r="E4575" s="16" t="s">
        <v>130</v>
      </c>
      <c r="F4575" s="16" t="s">
        <v>87</v>
      </c>
      <c r="G4575" s="22">
        <v>66.25</v>
      </c>
      <c r="H4575" s="18">
        <v>281.9325</v>
      </c>
      <c r="I4575" s="18">
        <v>4.2555849060000002</v>
      </c>
      <c r="J4575" s="18">
        <v>4.46</v>
      </c>
      <c r="K4575" s="18">
        <v>4.16</v>
      </c>
      <c r="L4575" s="22">
        <v>8</v>
      </c>
    </row>
    <row r="4576" spans="1:12">
      <c r="A4576">
        <v>5</v>
      </c>
      <c r="B4576" s="16" t="s">
        <v>60</v>
      </c>
      <c r="C4576" s="9">
        <v>45689</v>
      </c>
      <c r="D4576">
        <v>42</v>
      </c>
      <c r="E4576" s="16" t="s">
        <v>131</v>
      </c>
      <c r="F4576" s="16" t="s">
        <v>83</v>
      </c>
      <c r="G4576" s="22">
        <v>20</v>
      </c>
      <c r="H4576" s="18">
        <v>128.33000000000001</v>
      </c>
      <c r="I4576" s="18">
        <v>6.4165000000000001</v>
      </c>
      <c r="J4576" s="18">
        <v>6.5</v>
      </c>
      <c r="K4576" s="18">
        <v>6.28</v>
      </c>
      <c r="L4576" s="22">
        <v>8</v>
      </c>
    </row>
    <row r="4577" spans="1:12">
      <c r="A4577">
        <v>5</v>
      </c>
      <c r="B4577" s="16" t="s">
        <v>60</v>
      </c>
      <c r="C4577" s="9">
        <v>45717</v>
      </c>
      <c r="D4577">
        <v>42</v>
      </c>
      <c r="E4577" s="16" t="s">
        <v>131</v>
      </c>
      <c r="F4577" s="16" t="s">
        <v>83</v>
      </c>
      <c r="G4577" s="22">
        <v>16</v>
      </c>
      <c r="H4577" s="18">
        <v>103.29</v>
      </c>
      <c r="I4577" s="18">
        <v>6.4556250000000004</v>
      </c>
      <c r="J4577" s="18">
        <v>6.64</v>
      </c>
      <c r="K4577" s="18">
        <v>6.35</v>
      </c>
      <c r="L4577" s="22">
        <v>8</v>
      </c>
    </row>
    <row r="4578" spans="1:12">
      <c r="A4578">
        <v>5</v>
      </c>
      <c r="B4578" s="16" t="s">
        <v>60</v>
      </c>
      <c r="C4578" s="9">
        <v>45748</v>
      </c>
      <c r="D4578">
        <v>42</v>
      </c>
      <c r="E4578" s="16" t="s">
        <v>131</v>
      </c>
      <c r="F4578" s="16" t="s">
        <v>83</v>
      </c>
      <c r="G4578" s="22">
        <v>17.5</v>
      </c>
      <c r="H4578" s="18">
        <v>113.61</v>
      </c>
      <c r="I4578" s="18">
        <v>6.492</v>
      </c>
      <c r="J4578" s="18">
        <v>6.7</v>
      </c>
      <c r="K4578" s="18">
        <v>6.26</v>
      </c>
      <c r="L4578" s="22">
        <v>9</v>
      </c>
    </row>
    <row r="4579" spans="1:12">
      <c r="A4579">
        <v>5</v>
      </c>
      <c r="B4579" s="16" t="s">
        <v>60</v>
      </c>
      <c r="C4579" s="9">
        <v>45778</v>
      </c>
      <c r="D4579">
        <v>42</v>
      </c>
      <c r="E4579" s="16" t="s">
        <v>131</v>
      </c>
      <c r="F4579" s="16" t="s">
        <v>83</v>
      </c>
      <c r="G4579" s="22">
        <v>17.5</v>
      </c>
      <c r="H4579" s="18">
        <v>114.83</v>
      </c>
      <c r="I4579" s="18">
        <v>6.561714286</v>
      </c>
      <c r="J4579" s="18">
        <v>6.68</v>
      </c>
      <c r="K4579" s="18">
        <v>6.48</v>
      </c>
      <c r="L4579" s="22">
        <v>9</v>
      </c>
    </row>
    <row r="4580" spans="1:12">
      <c r="A4580">
        <v>5</v>
      </c>
      <c r="B4580" s="16" t="s">
        <v>60</v>
      </c>
      <c r="C4580" s="9">
        <v>45809</v>
      </c>
      <c r="D4580">
        <v>42</v>
      </c>
      <c r="E4580" s="16" t="s">
        <v>131</v>
      </c>
      <c r="F4580" s="16" t="s">
        <v>83</v>
      </c>
      <c r="G4580" s="22">
        <v>16.5</v>
      </c>
      <c r="H4580" s="18">
        <v>107.69499999999999</v>
      </c>
      <c r="I4580" s="18">
        <v>6.5269696970000002</v>
      </c>
      <c r="J4580" s="18">
        <v>6.64</v>
      </c>
      <c r="K4580" s="18">
        <v>6.47</v>
      </c>
      <c r="L4580" s="22">
        <v>8</v>
      </c>
    </row>
    <row r="4581" spans="1:12">
      <c r="A4581">
        <v>5</v>
      </c>
      <c r="B4581" s="16" t="s">
        <v>60</v>
      </c>
      <c r="C4581" s="9">
        <v>45839</v>
      </c>
      <c r="D4581">
        <v>42</v>
      </c>
      <c r="E4581" s="16" t="s">
        <v>131</v>
      </c>
      <c r="F4581" s="16" t="s">
        <v>83</v>
      </c>
      <c r="G4581" s="22">
        <v>18.5</v>
      </c>
      <c r="H4581" s="18">
        <v>121.79</v>
      </c>
      <c r="I4581" s="18">
        <v>6.5832432430000001</v>
      </c>
      <c r="J4581" s="18">
        <v>6.69</v>
      </c>
      <c r="K4581" s="18">
        <v>6.49</v>
      </c>
      <c r="L4581" s="22">
        <v>9</v>
      </c>
    </row>
    <row r="4582" spans="1:12">
      <c r="A4582">
        <v>5</v>
      </c>
      <c r="B4582" s="16" t="s">
        <v>60</v>
      </c>
      <c r="C4582" s="9">
        <v>45870</v>
      </c>
      <c r="D4582">
        <v>42</v>
      </c>
      <c r="E4582" s="16" t="s">
        <v>131</v>
      </c>
      <c r="F4582" s="16" t="s">
        <v>83</v>
      </c>
      <c r="G4582" s="22">
        <v>16.5</v>
      </c>
      <c r="H4582" s="18">
        <v>109.27500000000001</v>
      </c>
      <c r="I4582" s="18">
        <v>6.6227272729999997</v>
      </c>
      <c r="J4582" s="18">
        <v>6.7</v>
      </c>
      <c r="K4582" s="18">
        <v>6.54</v>
      </c>
      <c r="L4582" s="22">
        <v>7</v>
      </c>
    </row>
    <row r="4583" spans="1:12">
      <c r="A4583">
        <v>5</v>
      </c>
      <c r="B4583" s="16" t="s">
        <v>60</v>
      </c>
      <c r="C4583" s="9">
        <v>45901</v>
      </c>
      <c r="D4583">
        <v>42</v>
      </c>
      <c r="E4583" s="16" t="s">
        <v>131</v>
      </c>
      <c r="F4583" s="16" t="s">
        <v>83</v>
      </c>
      <c r="G4583" s="22">
        <v>10.5</v>
      </c>
      <c r="H4583" s="18">
        <v>68.935000000000002</v>
      </c>
      <c r="I4583" s="18">
        <v>6.5652380949999998</v>
      </c>
      <c r="J4583" s="18">
        <v>6.69</v>
      </c>
      <c r="K4583" s="18">
        <v>6.45</v>
      </c>
      <c r="L4583" s="22">
        <v>8</v>
      </c>
    </row>
    <row r="4584" spans="1:12">
      <c r="A4584">
        <v>5</v>
      </c>
      <c r="B4584" s="16" t="s">
        <v>60</v>
      </c>
      <c r="C4584" s="9">
        <v>45931</v>
      </c>
      <c r="D4584">
        <v>42</v>
      </c>
      <c r="E4584" s="16" t="s">
        <v>131</v>
      </c>
      <c r="F4584" s="16" t="s">
        <v>83</v>
      </c>
      <c r="G4584" s="22">
        <v>17</v>
      </c>
      <c r="H4584" s="18">
        <v>113.235</v>
      </c>
      <c r="I4584" s="18">
        <v>6.6608823529999999</v>
      </c>
      <c r="J4584" s="18">
        <v>6.81</v>
      </c>
      <c r="K4584" s="18">
        <v>6.57</v>
      </c>
      <c r="L4584" s="22">
        <v>9</v>
      </c>
    </row>
    <row r="4585" spans="1:12">
      <c r="A4585">
        <v>5</v>
      </c>
      <c r="B4585" s="16" t="s">
        <v>60</v>
      </c>
      <c r="C4585" s="9">
        <v>45962</v>
      </c>
      <c r="D4585">
        <v>42</v>
      </c>
      <c r="E4585" s="16" t="s">
        <v>131</v>
      </c>
      <c r="F4585" s="16" t="s">
        <v>83</v>
      </c>
      <c r="G4585" s="22">
        <v>15</v>
      </c>
      <c r="H4585" s="18">
        <v>99.375</v>
      </c>
      <c r="I4585" s="18">
        <v>6.625</v>
      </c>
      <c r="J4585" s="18">
        <v>6.81</v>
      </c>
      <c r="K4585" s="18">
        <v>6.46</v>
      </c>
      <c r="L4585" s="22">
        <v>8</v>
      </c>
    </row>
    <row r="4586" spans="1:12">
      <c r="A4586">
        <v>5</v>
      </c>
      <c r="B4586" s="16" t="s">
        <v>60</v>
      </c>
      <c r="C4586" s="9">
        <v>45992</v>
      </c>
      <c r="D4586">
        <v>42</v>
      </c>
      <c r="E4586" s="16" t="s">
        <v>131</v>
      </c>
      <c r="F4586" s="16" t="s">
        <v>83</v>
      </c>
      <c r="G4586" s="22">
        <v>14</v>
      </c>
      <c r="H4586" s="18">
        <v>92.5</v>
      </c>
      <c r="I4586" s="18">
        <v>6.6071428570000004</v>
      </c>
      <c r="J4586" s="18">
        <v>6.77</v>
      </c>
      <c r="K4586" s="18">
        <v>6.49</v>
      </c>
      <c r="L4586" s="22">
        <v>8</v>
      </c>
    </row>
    <row r="4587" spans="1:12">
      <c r="A4587">
        <v>5</v>
      </c>
      <c r="B4587" s="16" t="s">
        <v>60</v>
      </c>
      <c r="C4587" s="9">
        <v>46023</v>
      </c>
      <c r="D4587">
        <v>42</v>
      </c>
      <c r="E4587" s="16" t="s">
        <v>131</v>
      </c>
      <c r="F4587" s="16" t="s">
        <v>83</v>
      </c>
      <c r="G4587" s="22">
        <v>20.5</v>
      </c>
      <c r="H4587" s="18">
        <v>136.85</v>
      </c>
      <c r="I4587" s="18">
        <v>6.6756097560000001</v>
      </c>
      <c r="J4587" s="18">
        <v>6.8</v>
      </c>
      <c r="K4587" s="18">
        <v>6.55</v>
      </c>
      <c r="L4587" s="22">
        <v>9</v>
      </c>
    </row>
    <row r="4588" spans="1:12">
      <c r="A4588">
        <v>5</v>
      </c>
      <c r="B4588" s="16" t="s">
        <v>60</v>
      </c>
      <c r="C4588" s="9">
        <v>46054</v>
      </c>
      <c r="D4588">
        <v>42</v>
      </c>
      <c r="E4588" s="16" t="s">
        <v>131</v>
      </c>
      <c r="F4588" s="16" t="s">
        <v>83</v>
      </c>
      <c r="G4588" s="22">
        <v>24</v>
      </c>
      <c r="H4588" s="18">
        <v>161.4</v>
      </c>
      <c r="I4588" s="18">
        <v>6.7249999999999996</v>
      </c>
      <c r="J4588" s="18">
        <v>6.79</v>
      </c>
      <c r="K4588" s="18">
        <v>6.65</v>
      </c>
      <c r="L4588" s="22">
        <v>8</v>
      </c>
    </row>
    <row r="4589" spans="1:12">
      <c r="A4589">
        <v>5</v>
      </c>
      <c r="B4589" s="16" t="s">
        <v>60</v>
      </c>
      <c r="C4589" s="9">
        <v>46082</v>
      </c>
      <c r="D4589">
        <v>42</v>
      </c>
      <c r="E4589" s="16" t="s">
        <v>131</v>
      </c>
      <c r="F4589" s="16" t="s">
        <v>83</v>
      </c>
      <c r="G4589" s="22">
        <v>19.5</v>
      </c>
      <c r="H4589" s="18">
        <v>131.70500000000001</v>
      </c>
      <c r="I4589" s="18">
        <v>6.7541025640000001</v>
      </c>
      <c r="J4589" s="18">
        <v>7.06</v>
      </c>
      <c r="K4589" s="18">
        <v>6.59</v>
      </c>
      <c r="L4589" s="22">
        <v>8</v>
      </c>
    </row>
    <row r="4590" spans="1:12">
      <c r="A4590">
        <v>5</v>
      </c>
      <c r="B4590" s="16" t="s">
        <v>60</v>
      </c>
      <c r="C4590" s="9">
        <v>46113</v>
      </c>
      <c r="D4590">
        <v>42</v>
      </c>
      <c r="E4590" s="16" t="s">
        <v>131</v>
      </c>
      <c r="F4590" s="16" t="s">
        <v>83</v>
      </c>
      <c r="G4590" s="22">
        <v>22.5</v>
      </c>
      <c r="H4590" s="18">
        <v>152.215</v>
      </c>
      <c r="I4590" s="18">
        <v>6.7651111110000004</v>
      </c>
      <c r="J4590" s="18">
        <v>6.96</v>
      </c>
      <c r="K4590" s="18">
        <v>6.62</v>
      </c>
      <c r="L4590" s="22">
        <v>9</v>
      </c>
    </row>
    <row r="4591" spans="1:12">
      <c r="A4591">
        <v>5</v>
      </c>
      <c r="B4591" s="16" t="s">
        <v>60</v>
      </c>
      <c r="C4591" s="9">
        <v>46143</v>
      </c>
      <c r="D4591">
        <v>42</v>
      </c>
      <c r="E4591" s="16" t="s">
        <v>131</v>
      </c>
      <c r="F4591" s="16" t="s">
        <v>83</v>
      </c>
      <c r="G4591" s="22">
        <v>14.5</v>
      </c>
      <c r="H4591" s="18">
        <v>98.605000000000004</v>
      </c>
      <c r="I4591" s="18">
        <v>6.8003448280000001</v>
      </c>
      <c r="J4591" s="18">
        <v>6.96</v>
      </c>
      <c r="K4591" s="18">
        <v>6.69</v>
      </c>
      <c r="L4591" s="22">
        <v>8</v>
      </c>
    </row>
    <row r="4592" spans="1:12">
      <c r="A4592">
        <v>5</v>
      </c>
      <c r="B4592" s="16" t="s">
        <v>60</v>
      </c>
      <c r="C4592" s="9">
        <v>46174</v>
      </c>
      <c r="D4592">
        <v>42</v>
      </c>
      <c r="E4592" s="16" t="s">
        <v>131</v>
      </c>
      <c r="F4592" s="16" t="s">
        <v>83</v>
      </c>
      <c r="G4592" s="22">
        <v>16</v>
      </c>
      <c r="H4592" s="18">
        <v>108.7</v>
      </c>
      <c r="I4592" s="18">
        <v>6.7937500000000002</v>
      </c>
      <c r="J4592" s="18">
        <v>6.94</v>
      </c>
      <c r="K4592" s="18">
        <v>6.71</v>
      </c>
      <c r="L4592" s="22">
        <v>9</v>
      </c>
    </row>
    <row r="4593" spans="1:12">
      <c r="A4593">
        <v>5</v>
      </c>
      <c r="B4593" s="16" t="s">
        <v>60</v>
      </c>
      <c r="C4593" s="9">
        <v>46204</v>
      </c>
      <c r="D4593">
        <v>42</v>
      </c>
      <c r="E4593" s="16" t="s">
        <v>131</v>
      </c>
      <c r="F4593" s="16" t="s">
        <v>83</v>
      </c>
      <c r="G4593" s="22">
        <v>16</v>
      </c>
      <c r="H4593" s="18">
        <v>109.77500000000001</v>
      </c>
      <c r="I4593" s="18">
        <v>6.8609375000000004</v>
      </c>
      <c r="J4593" s="18">
        <v>6.94</v>
      </c>
      <c r="K4593" s="18">
        <v>6.72</v>
      </c>
      <c r="L4593" s="22">
        <v>9</v>
      </c>
    </row>
    <row r="4594" spans="1:12">
      <c r="A4594">
        <v>5</v>
      </c>
      <c r="B4594" s="16" t="s">
        <v>60</v>
      </c>
      <c r="C4594" s="9">
        <v>46235</v>
      </c>
      <c r="D4594">
        <v>42</v>
      </c>
      <c r="E4594" s="16" t="s">
        <v>131</v>
      </c>
      <c r="F4594" s="16" t="s">
        <v>83</v>
      </c>
      <c r="G4594" s="22">
        <v>11.5</v>
      </c>
      <c r="H4594" s="18">
        <v>78.614999999999995</v>
      </c>
      <c r="I4594" s="18">
        <v>6.836086957</v>
      </c>
      <c r="J4594" s="18">
        <v>7.23</v>
      </c>
      <c r="K4594" s="18">
        <v>6.7</v>
      </c>
      <c r="L4594" s="22">
        <v>8</v>
      </c>
    </row>
    <row r="4595" spans="1:12">
      <c r="A4595">
        <v>5</v>
      </c>
      <c r="B4595" s="16" t="s">
        <v>60</v>
      </c>
      <c r="C4595" s="9">
        <v>46266</v>
      </c>
      <c r="D4595">
        <v>42</v>
      </c>
      <c r="E4595" s="16" t="s">
        <v>131</v>
      </c>
      <c r="F4595" s="16" t="s">
        <v>83</v>
      </c>
      <c r="G4595" s="22">
        <v>14</v>
      </c>
      <c r="H4595" s="18">
        <v>95.93</v>
      </c>
      <c r="I4595" s="18">
        <v>6.8521428569999996</v>
      </c>
      <c r="J4595" s="18">
        <v>6.96</v>
      </c>
      <c r="K4595" s="18">
        <v>6.77</v>
      </c>
      <c r="L4595" s="22">
        <v>8</v>
      </c>
    </row>
    <row r="4596" spans="1:12">
      <c r="A4596">
        <v>5</v>
      </c>
      <c r="B4596" s="16" t="s">
        <v>60</v>
      </c>
      <c r="C4596" s="9">
        <v>45717</v>
      </c>
      <c r="D4596">
        <v>43</v>
      </c>
      <c r="E4596" s="16" t="s">
        <v>132</v>
      </c>
      <c r="F4596" s="16" t="s">
        <v>90</v>
      </c>
      <c r="G4596" s="22">
        <v>3</v>
      </c>
      <c r="H4596" s="18">
        <v>3.57</v>
      </c>
      <c r="I4596" s="18">
        <v>1.19</v>
      </c>
      <c r="J4596" s="18">
        <v>1.19</v>
      </c>
      <c r="K4596" s="18">
        <v>1.19</v>
      </c>
      <c r="L4596" s="22">
        <v>1</v>
      </c>
    </row>
    <row r="4597" spans="1:12">
      <c r="A4597">
        <v>5</v>
      </c>
      <c r="B4597" s="16" t="s">
        <v>60</v>
      </c>
      <c r="C4597" s="9">
        <v>45748</v>
      </c>
      <c r="D4597">
        <v>43</v>
      </c>
      <c r="E4597" s="16" t="s">
        <v>132</v>
      </c>
      <c r="F4597" s="16" t="s">
        <v>90</v>
      </c>
      <c r="G4597" s="22">
        <v>3</v>
      </c>
      <c r="H4597" s="18">
        <v>3.6</v>
      </c>
      <c r="I4597" s="18">
        <v>1.2</v>
      </c>
      <c r="J4597" s="18">
        <v>1.2</v>
      </c>
      <c r="K4597" s="18">
        <v>1.2</v>
      </c>
      <c r="L4597" s="22">
        <v>1</v>
      </c>
    </row>
    <row r="4598" spans="1:12">
      <c r="A4598">
        <v>5</v>
      </c>
      <c r="B4598" s="16" t="s">
        <v>60</v>
      </c>
      <c r="C4598" s="9">
        <v>45778</v>
      </c>
      <c r="D4598">
        <v>43</v>
      </c>
      <c r="E4598" s="16" t="s">
        <v>132</v>
      </c>
      <c r="F4598" s="16" t="s">
        <v>90</v>
      </c>
      <c r="G4598" s="22">
        <v>3</v>
      </c>
      <c r="H4598" s="18">
        <v>3.63</v>
      </c>
      <c r="I4598" s="18">
        <v>1.21</v>
      </c>
      <c r="J4598" s="18">
        <v>1.21</v>
      </c>
      <c r="K4598" s="18">
        <v>1.21</v>
      </c>
      <c r="L4598" s="22">
        <v>1</v>
      </c>
    </row>
    <row r="4599" spans="1:12">
      <c r="A4599">
        <v>5</v>
      </c>
      <c r="B4599" s="16" t="s">
        <v>60</v>
      </c>
      <c r="C4599" s="9">
        <v>45839</v>
      </c>
      <c r="D4599">
        <v>43</v>
      </c>
      <c r="E4599" s="16" t="s">
        <v>132</v>
      </c>
      <c r="F4599" s="16" t="s">
        <v>90</v>
      </c>
      <c r="G4599" s="22">
        <v>3</v>
      </c>
      <c r="H4599" s="18">
        <v>3.72</v>
      </c>
      <c r="I4599" s="18">
        <v>1.24</v>
      </c>
      <c r="J4599" s="18">
        <v>1.24</v>
      </c>
      <c r="K4599" s="18">
        <v>1.24</v>
      </c>
      <c r="L4599" s="22">
        <v>1</v>
      </c>
    </row>
    <row r="4600" spans="1:12">
      <c r="A4600">
        <v>5</v>
      </c>
      <c r="B4600" s="16" t="s">
        <v>60</v>
      </c>
      <c r="C4600" s="9">
        <v>45870</v>
      </c>
      <c r="D4600">
        <v>43</v>
      </c>
      <c r="E4600" s="16" t="s">
        <v>132</v>
      </c>
      <c r="F4600" s="16" t="s">
        <v>90</v>
      </c>
      <c r="G4600" s="22">
        <v>3</v>
      </c>
      <c r="H4600" s="18">
        <v>3.72</v>
      </c>
      <c r="I4600" s="18">
        <v>1.24</v>
      </c>
      <c r="J4600" s="18">
        <v>1.24</v>
      </c>
      <c r="K4600" s="18">
        <v>1.24</v>
      </c>
      <c r="L4600" s="22">
        <v>1</v>
      </c>
    </row>
    <row r="4601" spans="1:12">
      <c r="A4601">
        <v>5</v>
      </c>
      <c r="B4601" s="16" t="s">
        <v>60</v>
      </c>
      <c r="C4601" s="9">
        <v>45931</v>
      </c>
      <c r="D4601">
        <v>43</v>
      </c>
      <c r="E4601" s="16" t="s">
        <v>132</v>
      </c>
      <c r="F4601" s="16" t="s">
        <v>90</v>
      </c>
      <c r="G4601" s="22">
        <v>3</v>
      </c>
      <c r="H4601" s="18">
        <v>3.75</v>
      </c>
      <c r="I4601" s="18">
        <v>1.25</v>
      </c>
      <c r="J4601" s="18">
        <v>1.25</v>
      </c>
      <c r="K4601" s="18">
        <v>1.25</v>
      </c>
      <c r="L4601" s="22">
        <v>1</v>
      </c>
    </row>
    <row r="4602" spans="1:12">
      <c r="A4602">
        <v>5</v>
      </c>
      <c r="B4602" s="16" t="s">
        <v>60</v>
      </c>
      <c r="C4602" s="9">
        <v>45962</v>
      </c>
      <c r="D4602">
        <v>43</v>
      </c>
      <c r="E4602" s="16" t="s">
        <v>132</v>
      </c>
      <c r="F4602" s="16" t="s">
        <v>90</v>
      </c>
      <c r="G4602" s="22">
        <v>3</v>
      </c>
      <c r="H4602" s="18">
        <v>3.72</v>
      </c>
      <c r="I4602" s="18">
        <v>1.24</v>
      </c>
      <c r="J4602" s="18">
        <v>1.24</v>
      </c>
      <c r="K4602" s="18">
        <v>1.24</v>
      </c>
      <c r="L4602" s="22">
        <v>1</v>
      </c>
    </row>
    <row r="4603" spans="1:12">
      <c r="A4603">
        <v>5</v>
      </c>
      <c r="B4603" s="16" t="s">
        <v>60</v>
      </c>
      <c r="C4603" s="9">
        <v>46023</v>
      </c>
      <c r="D4603">
        <v>43</v>
      </c>
      <c r="E4603" s="16" t="s">
        <v>132</v>
      </c>
      <c r="F4603" s="16" t="s">
        <v>90</v>
      </c>
      <c r="G4603" s="22">
        <v>3</v>
      </c>
      <c r="H4603" s="18">
        <v>3.69</v>
      </c>
      <c r="I4603" s="18">
        <v>1.23</v>
      </c>
      <c r="J4603" s="18">
        <v>1.23</v>
      </c>
      <c r="K4603" s="18">
        <v>1.23</v>
      </c>
      <c r="L4603" s="22">
        <v>1</v>
      </c>
    </row>
    <row r="4604" spans="1:12">
      <c r="A4604">
        <v>5</v>
      </c>
      <c r="B4604" s="16" t="s">
        <v>60</v>
      </c>
      <c r="C4604" s="9">
        <v>46054</v>
      </c>
      <c r="D4604">
        <v>43</v>
      </c>
      <c r="E4604" s="16" t="s">
        <v>132</v>
      </c>
      <c r="F4604" s="16" t="s">
        <v>90</v>
      </c>
      <c r="G4604" s="22">
        <v>3</v>
      </c>
      <c r="H4604" s="18">
        <v>3.69</v>
      </c>
      <c r="I4604" s="18">
        <v>1.23</v>
      </c>
      <c r="J4604" s="18">
        <v>1.23</v>
      </c>
      <c r="K4604" s="18">
        <v>1.23</v>
      </c>
      <c r="L4604" s="22">
        <v>1</v>
      </c>
    </row>
    <row r="4605" spans="1:12">
      <c r="A4605">
        <v>5</v>
      </c>
      <c r="B4605" s="16" t="s">
        <v>60</v>
      </c>
      <c r="C4605" s="9">
        <v>46113</v>
      </c>
      <c r="D4605">
        <v>43</v>
      </c>
      <c r="E4605" s="16" t="s">
        <v>132</v>
      </c>
      <c r="F4605" s="16" t="s">
        <v>90</v>
      </c>
      <c r="G4605" s="22">
        <v>6</v>
      </c>
      <c r="H4605" s="18">
        <v>7.47</v>
      </c>
      <c r="I4605" s="18">
        <v>1.2450000000000001</v>
      </c>
      <c r="J4605" s="18">
        <v>1.26</v>
      </c>
      <c r="K4605" s="18">
        <v>1.23</v>
      </c>
      <c r="L4605" s="22">
        <v>2</v>
      </c>
    </row>
    <row r="4606" spans="1:12">
      <c r="A4606">
        <v>5</v>
      </c>
      <c r="B4606" s="16" t="s">
        <v>60</v>
      </c>
      <c r="C4606" s="9">
        <v>46174</v>
      </c>
      <c r="D4606">
        <v>43</v>
      </c>
      <c r="E4606" s="16" t="s">
        <v>132</v>
      </c>
      <c r="F4606" s="16" t="s">
        <v>90</v>
      </c>
      <c r="G4606" s="22">
        <v>3</v>
      </c>
      <c r="H4606" s="18">
        <v>3.78</v>
      </c>
      <c r="I4606" s="18">
        <v>1.26</v>
      </c>
      <c r="J4606" s="18">
        <v>1.26</v>
      </c>
      <c r="K4606" s="18">
        <v>1.26</v>
      </c>
      <c r="L4606" s="22">
        <v>1</v>
      </c>
    </row>
    <row r="4607" spans="1:12">
      <c r="A4607">
        <v>5</v>
      </c>
      <c r="B4607" s="16" t="s">
        <v>60</v>
      </c>
      <c r="C4607" s="9">
        <v>46235</v>
      </c>
      <c r="D4607">
        <v>43</v>
      </c>
      <c r="E4607" s="16" t="s">
        <v>132</v>
      </c>
      <c r="F4607" s="16" t="s">
        <v>90</v>
      </c>
      <c r="G4607" s="22">
        <v>3</v>
      </c>
      <c r="H4607" s="18">
        <v>3.81</v>
      </c>
      <c r="I4607" s="18">
        <v>1.27</v>
      </c>
      <c r="J4607" s="18">
        <v>1.27</v>
      </c>
      <c r="K4607" s="18">
        <v>1.27</v>
      </c>
      <c r="L4607" s="22">
        <v>1</v>
      </c>
    </row>
    <row r="4608" spans="1:12">
      <c r="A4608">
        <v>5</v>
      </c>
      <c r="B4608" s="16" t="s">
        <v>60</v>
      </c>
      <c r="C4608" s="9">
        <v>45689</v>
      </c>
      <c r="D4608">
        <v>44</v>
      </c>
      <c r="E4608" s="16" t="s">
        <v>133</v>
      </c>
      <c r="F4608" s="16" t="s">
        <v>90</v>
      </c>
      <c r="G4608" s="22">
        <v>3.75</v>
      </c>
      <c r="H4608" s="18">
        <v>68.362499999999997</v>
      </c>
      <c r="I4608" s="18">
        <v>18.23</v>
      </c>
      <c r="J4608" s="18">
        <v>18.23</v>
      </c>
      <c r="K4608" s="18">
        <v>18.23</v>
      </c>
      <c r="L4608" s="22">
        <v>1</v>
      </c>
    </row>
    <row r="4609" spans="1:12">
      <c r="A4609">
        <v>5</v>
      </c>
      <c r="B4609" s="16" t="s">
        <v>60</v>
      </c>
      <c r="C4609" s="9">
        <v>45717</v>
      </c>
      <c r="D4609">
        <v>44</v>
      </c>
      <c r="E4609" s="16" t="s">
        <v>133</v>
      </c>
      <c r="F4609" s="16" t="s">
        <v>90</v>
      </c>
      <c r="G4609" s="22">
        <v>3.75</v>
      </c>
      <c r="H4609" s="18">
        <v>67.125</v>
      </c>
      <c r="I4609" s="18">
        <v>17.899999999999999</v>
      </c>
      <c r="J4609" s="18">
        <v>17.899999999999999</v>
      </c>
      <c r="K4609" s="18">
        <v>17.899999999999999</v>
      </c>
      <c r="L4609" s="22">
        <v>1</v>
      </c>
    </row>
    <row r="4610" spans="1:12">
      <c r="A4610">
        <v>5</v>
      </c>
      <c r="B4610" s="16" t="s">
        <v>60</v>
      </c>
      <c r="C4610" s="9">
        <v>45748</v>
      </c>
      <c r="D4610">
        <v>44</v>
      </c>
      <c r="E4610" s="16" t="s">
        <v>133</v>
      </c>
      <c r="F4610" s="16" t="s">
        <v>90</v>
      </c>
      <c r="G4610" s="22">
        <v>7.5</v>
      </c>
      <c r="H4610" s="18">
        <v>131.85</v>
      </c>
      <c r="I4610" s="18">
        <v>17.579999999999998</v>
      </c>
      <c r="J4610" s="18">
        <v>17.86</v>
      </c>
      <c r="K4610" s="18">
        <v>17.3</v>
      </c>
      <c r="L4610" s="22">
        <v>2</v>
      </c>
    </row>
    <row r="4611" spans="1:12">
      <c r="A4611">
        <v>5</v>
      </c>
      <c r="B4611" s="16" t="s">
        <v>60</v>
      </c>
      <c r="C4611" s="9">
        <v>45778</v>
      </c>
      <c r="D4611">
        <v>44</v>
      </c>
      <c r="E4611" s="16" t="s">
        <v>133</v>
      </c>
      <c r="F4611" s="16" t="s">
        <v>90</v>
      </c>
      <c r="G4611" s="22">
        <v>3.75</v>
      </c>
      <c r="H4611" s="18">
        <v>67.575000000000003</v>
      </c>
      <c r="I4611" s="18">
        <v>18.02</v>
      </c>
      <c r="J4611" s="18">
        <v>18.02</v>
      </c>
      <c r="K4611" s="18">
        <v>18.02</v>
      </c>
      <c r="L4611" s="22">
        <v>1</v>
      </c>
    </row>
    <row r="4612" spans="1:12">
      <c r="A4612">
        <v>5</v>
      </c>
      <c r="B4612" s="16" t="s">
        <v>60</v>
      </c>
      <c r="C4612" s="9">
        <v>45809</v>
      </c>
      <c r="D4612">
        <v>44</v>
      </c>
      <c r="E4612" s="16" t="s">
        <v>133</v>
      </c>
      <c r="F4612" s="16" t="s">
        <v>90</v>
      </c>
      <c r="G4612" s="22">
        <v>7.5</v>
      </c>
      <c r="H4612" s="18">
        <v>135.33750000000001</v>
      </c>
      <c r="I4612" s="18">
        <v>18.045000000000002</v>
      </c>
      <c r="J4612" s="18">
        <v>18.07</v>
      </c>
      <c r="K4612" s="18">
        <v>18.02</v>
      </c>
      <c r="L4612" s="22">
        <v>2</v>
      </c>
    </row>
    <row r="4613" spans="1:12">
      <c r="A4613">
        <v>5</v>
      </c>
      <c r="B4613" s="16" t="s">
        <v>60</v>
      </c>
      <c r="C4613" s="9">
        <v>45839</v>
      </c>
      <c r="D4613">
        <v>44</v>
      </c>
      <c r="E4613" s="16" t="s">
        <v>133</v>
      </c>
      <c r="F4613" s="16" t="s">
        <v>90</v>
      </c>
      <c r="G4613" s="22">
        <v>3.75</v>
      </c>
      <c r="H4613" s="18">
        <v>67.8</v>
      </c>
      <c r="I4613" s="18">
        <v>18.079999999999998</v>
      </c>
      <c r="J4613" s="18">
        <v>18.079999999999998</v>
      </c>
      <c r="K4613" s="18">
        <v>18.079999999999998</v>
      </c>
      <c r="L4613" s="22">
        <v>1</v>
      </c>
    </row>
    <row r="4614" spans="1:12">
      <c r="A4614">
        <v>5</v>
      </c>
      <c r="B4614" s="16" t="s">
        <v>60</v>
      </c>
      <c r="C4614" s="9">
        <v>45870</v>
      </c>
      <c r="D4614">
        <v>44</v>
      </c>
      <c r="E4614" s="16" t="s">
        <v>133</v>
      </c>
      <c r="F4614" s="16" t="s">
        <v>90</v>
      </c>
      <c r="G4614" s="22">
        <v>7.5</v>
      </c>
      <c r="H4614" s="18">
        <v>132.67500000000001</v>
      </c>
      <c r="I4614" s="18">
        <v>17.690000000000001</v>
      </c>
      <c r="J4614" s="18">
        <v>17.84</v>
      </c>
      <c r="K4614" s="18">
        <v>17.54</v>
      </c>
      <c r="L4614" s="22">
        <v>2</v>
      </c>
    </row>
    <row r="4615" spans="1:12">
      <c r="A4615">
        <v>5</v>
      </c>
      <c r="B4615" s="16" t="s">
        <v>60</v>
      </c>
      <c r="C4615" s="9">
        <v>45901</v>
      </c>
      <c r="D4615">
        <v>44</v>
      </c>
      <c r="E4615" s="16" t="s">
        <v>133</v>
      </c>
      <c r="F4615" s="16" t="s">
        <v>90</v>
      </c>
      <c r="G4615" s="22">
        <v>3.75</v>
      </c>
      <c r="H4615" s="18">
        <v>66.974999999999994</v>
      </c>
      <c r="I4615" s="18">
        <v>17.86</v>
      </c>
      <c r="J4615" s="18">
        <v>17.86</v>
      </c>
      <c r="K4615" s="18">
        <v>17.86</v>
      </c>
      <c r="L4615" s="22">
        <v>1</v>
      </c>
    </row>
    <row r="4616" spans="1:12">
      <c r="A4616">
        <v>5</v>
      </c>
      <c r="B4616" s="16" t="s">
        <v>60</v>
      </c>
      <c r="C4616" s="9">
        <v>45931</v>
      </c>
      <c r="D4616">
        <v>44</v>
      </c>
      <c r="E4616" s="16" t="s">
        <v>133</v>
      </c>
      <c r="F4616" s="16" t="s">
        <v>90</v>
      </c>
      <c r="G4616" s="22">
        <v>3.75</v>
      </c>
      <c r="H4616" s="18">
        <v>68.887500000000003</v>
      </c>
      <c r="I4616" s="18">
        <v>18.37</v>
      </c>
      <c r="J4616" s="18">
        <v>18.37</v>
      </c>
      <c r="K4616" s="18">
        <v>18.37</v>
      </c>
      <c r="L4616" s="22">
        <v>1</v>
      </c>
    </row>
    <row r="4617" spans="1:12">
      <c r="A4617">
        <v>5</v>
      </c>
      <c r="B4617" s="16" t="s">
        <v>60</v>
      </c>
      <c r="C4617" s="9">
        <v>45962</v>
      </c>
      <c r="D4617">
        <v>44</v>
      </c>
      <c r="E4617" s="16" t="s">
        <v>133</v>
      </c>
      <c r="F4617" s="16" t="s">
        <v>90</v>
      </c>
      <c r="G4617" s="22">
        <v>7.5</v>
      </c>
      <c r="H4617" s="18">
        <v>134.92500000000001</v>
      </c>
      <c r="I4617" s="18">
        <v>17.989999999999998</v>
      </c>
      <c r="J4617" s="18">
        <v>18.23</v>
      </c>
      <c r="K4617" s="18">
        <v>17.75</v>
      </c>
      <c r="L4617" s="22">
        <v>2</v>
      </c>
    </row>
    <row r="4618" spans="1:12">
      <c r="A4618">
        <v>5</v>
      </c>
      <c r="B4618" s="16" t="s">
        <v>60</v>
      </c>
      <c r="C4618" s="9">
        <v>45992</v>
      </c>
      <c r="D4618">
        <v>44</v>
      </c>
      <c r="E4618" s="16" t="s">
        <v>133</v>
      </c>
      <c r="F4618" s="16" t="s">
        <v>90</v>
      </c>
      <c r="G4618" s="22">
        <v>3.75</v>
      </c>
      <c r="H4618" s="18">
        <v>67.6875</v>
      </c>
      <c r="I4618" s="18">
        <v>18.05</v>
      </c>
      <c r="J4618" s="18">
        <v>18.05</v>
      </c>
      <c r="K4618" s="18">
        <v>18.05</v>
      </c>
      <c r="L4618" s="22">
        <v>1</v>
      </c>
    </row>
    <row r="4619" spans="1:12">
      <c r="A4619">
        <v>5</v>
      </c>
      <c r="B4619" s="16" t="s">
        <v>60</v>
      </c>
      <c r="C4619" s="9">
        <v>46023</v>
      </c>
      <c r="D4619">
        <v>44</v>
      </c>
      <c r="E4619" s="16" t="s">
        <v>133</v>
      </c>
      <c r="F4619" s="16" t="s">
        <v>90</v>
      </c>
      <c r="G4619" s="22">
        <v>3.75</v>
      </c>
      <c r="H4619" s="18">
        <v>66.9375</v>
      </c>
      <c r="I4619" s="18">
        <v>17.850000000000001</v>
      </c>
      <c r="J4619" s="18">
        <v>17.850000000000001</v>
      </c>
      <c r="K4619" s="18">
        <v>17.850000000000001</v>
      </c>
      <c r="L4619" s="22">
        <v>1</v>
      </c>
    </row>
    <row r="4620" spans="1:12">
      <c r="A4620">
        <v>5</v>
      </c>
      <c r="B4620" s="16" t="s">
        <v>60</v>
      </c>
      <c r="C4620" s="9">
        <v>46054</v>
      </c>
      <c r="D4620">
        <v>44</v>
      </c>
      <c r="E4620" s="16" t="s">
        <v>133</v>
      </c>
      <c r="F4620" s="16" t="s">
        <v>90</v>
      </c>
      <c r="G4620" s="22">
        <v>3.75</v>
      </c>
      <c r="H4620" s="18">
        <v>67.537499999999994</v>
      </c>
      <c r="I4620" s="18">
        <v>18.010000000000002</v>
      </c>
      <c r="J4620" s="18">
        <v>18.010000000000002</v>
      </c>
      <c r="K4620" s="18">
        <v>18.010000000000002</v>
      </c>
      <c r="L4620" s="22">
        <v>1</v>
      </c>
    </row>
    <row r="4621" spans="1:12">
      <c r="A4621">
        <v>5</v>
      </c>
      <c r="B4621" s="16" t="s">
        <v>60</v>
      </c>
      <c r="C4621" s="9">
        <v>46082</v>
      </c>
      <c r="D4621">
        <v>44</v>
      </c>
      <c r="E4621" s="16" t="s">
        <v>133</v>
      </c>
      <c r="F4621" s="16" t="s">
        <v>90</v>
      </c>
      <c r="G4621" s="22">
        <v>3.75</v>
      </c>
      <c r="H4621" s="18">
        <v>67.575000000000003</v>
      </c>
      <c r="I4621" s="18">
        <v>18.02</v>
      </c>
      <c r="J4621" s="18">
        <v>18.02</v>
      </c>
      <c r="K4621" s="18">
        <v>18.02</v>
      </c>
      <c r="L4621" s="22">
        <v>1</v>
      </c>
    </row>
    <row r="4622" spans="1:12">
      <c r="A4622">
        <v>5</v>
      </c>
      <c r="B4622" s="16" t="s">
        <v>60</v>
      </c>
      <c r="C4622" s="9">
        <v>46113</v>
      </c>
      <c r="D4622">
        <v>44</v>
      </c>
      <c r="E4622" s="16" t="s">
        <v>133</v>
      </c>
      <c r="F4622" s="16" t="s">
        <v>90</v>
      </c>
      <c r="G4622" s="22">
        <v>11.25</v>
      </c>
      <c r="H4622" s="18">
        <v>202.23750000000001</v>
      </c>
      <c r="I4622" s="18">
        <v>17.976666667</v>
      </c>
      <c r="J4622" s="18">
        <v>18.14</v>
      </c>
      <c r="K4622" s="18">
        <v>17.75</v>
      </c>
      <c r="L4622" s="22">
        <v>3</v>
      </c>
    </row>
    <row r="4623" spans="1:12">
      <c r="A4623">
        <v>5</v>
      </c>
      <c r="B4623" s="16" t="s">
        <v>60</v>
      </c>
      <c r="C4623" s="9">
        <v>46143</v>
      </c>
      <c r="D4623">
        <v>44</v>
      </c>
      <c r="E4623" s="16" t="s">
        <v>133</v>
      </c>
      <c r="F4623" s="16" t="s">
        <v>90</v>
      </c>
      <c r="G4623" s="22">
        <v>3.75</v>
      </c>
      <c r="H4623" s="18">
        <v>67.5</v>
      </c>
      <c r="I4623" s="18">
        <v>18</v>
      </c>
      <c r="J4623" s="18">
        <v>18</v>
      </c>
      <c r="K4623" s="18">
        <v>18</v>
      </c>
      <c r="L4623" s="22">
        <v>1</v>
      </c>
    </row>
    <row r="4624" spans="1:12">
      <c r="A4624">
        <v>5</v>
      </c>
      <c r="B4624" s="16" t="s">
        <v>60</v>
      </c>
      <c r="C4624" s="9">
        <v>46174</v>
      </c>
      <c r="D4624">
        <v>44</v>
      </c>
      <c r="E4624" s="16" t="s">
        <v>133</v>
      </c>
      <c r="F4624" s="16" t="s">
        <v>90</v>
      </c>
      <c r="G4624" s="22">
        <v>7.5</v>
      </c>
      <c r="H4624" s="18">
        <v>137.32499999999999</v>
      </c>
      <c r="I4624" s="18">
        <v>18.309999999999999</v>
      </c>
      <c r="J4624" s="18">
        <v>18.34</v>
      </c>
      <c r="K4624" s="18">
        <v>18.28</v>
      </c>
      <c r="L4624" s="22">
        <v>2</v>
      </c>
    </row>
    <row r="4625" spans="1:12">
      <c r="A4625">
        <v>5</v>
      </c>
      <c r="B4625" s="16" t="s">
        <v>60</v>
      </c>
      <c r="C4625" s="9">
        <v>46204</v>
      </c>
      <c r="D4625">
        <v>44</v>
      </c>
      <c r="E4625" s="16" t="s">
        <v>133</v>
      </c>
      <c r="F4625" s="16" t="s">
        <v>90</v>
      </c>
      <c r="G4625" s="22">
        <v>7.5</v>
      </c>
      <c r="H4625" s="18">
        <v>137.55000000000001</v>
      </c>
      <c r="I4625" s="18">
        <v>18.34</v>
      </c>
      <c r="J4625" s="18">
        <v>18.39</v>
      </c>
      <c r="K4625" s="18">
        <v>18.29</v>
      </c>
      <c r="L4625" s="22">
        <v>2</v>
      </c>
    </row>
    <row r="4626" spans="1:12">
      <c r="A4626">
        <v>5</v>
      </c>
      <c r="B4626" s="16" t="s">
        <v>60</v>
      </c>
      <c r="C4626" s="9">
        <v>46235</v>
      </c>
      <c r="D4626">
        <v>44</v>
      </c>
      <c r="E4626" s="16" t="s">
        <v>133</v>
      </c>
      <c r="F4626" s="16" t="s">
        <v>90</v>
      </c>
      <c r="G4626" s="22">
        <v>3.75</v>
      </c>
      <c r="H4626" s="18">
        <v>67.724999999999994</v>
      </c>
      <c r="I4626" s="18">
        <v>18.059999999999999</v>
      </c>
      <c r="J4626" s="18">
        <v>18.059999999999999</v>
      </c>
      <c r="K4626" s="18">
        <v>18.059999999999999</v>
      </c>
      <c r="L4626" s="22">
        <v>1</v>
      </c>
    </row>
    <row r="4627" spans="1:12">
      <c r="A4627">
        <v>5</v>
      </c>
      <c r="B4627" s="16" t="s">
        <v>60</v>
      </c>
      <c r="C4627" s="9">
        <v>46266</v>
      </c>
      <c r="D4627">
        <v>44</v>
      </c>
      <c r="E4627" s="16" t="s">
        <v>133</v>
      </c>
      <c r="F4627" s="16" t="s">
        <v>90</v>
      </c>
      <c r="G4627" s="22">
        <v>7.5</v>
      </c>
      <c r="H4627" s="18">
        <v>137.13749999999999</v>
      </c>
      <c r="I4627" s="18">
        <v>18.285</v>
      </c>
      <c r="J4627" s="18">
        <v>18.43</v>
      </c>
      <c r="K4627" s="18">
        <v>18.14</v>
      </c>
      <c r="L4627" s="22">
        <v>2</v>
      </c>
    </row>
    <row r="4628" spans="1:12">
      <c r="A4628">
        <v>5</v>
      </c>
      <c r="B4628" s="16" t="s">
        <v>60</v>
      </c>
      <c r="C4628" s="9">
        <v>45689</v>
      </c>
      <c r="D4628">
        <v>45</v>
      </c>
      <c r="E4628" s="16" t="s">
        <v>134</v>
      </c>
      <c r="F4628" s="16" t="s">
        <v>83</v>
      </c>
      <c r="G4628" s="22">
        <v>12.5</v>
      </c>
      <c r="H4628" s="18">
        <v>16.412500000000001</v>
      </c>
      <c r="I4628" s="18">
        <v>1.3129999999999999</v>
      </c>
      <c r="J4628" s="18">
        <v>1.33</v>
      </c>
      <c r="K4628" s="18">
        <v>1.27</v>
      </c>
      <c r="L4628" s="22">
        <v>8</v>
      </c>
    </row>
    <row r="4629" spans="1:12">
      <c r="A4629">
        <v>5</v>
      </c>
      <c r="B4629" s="16" t="s">
        <v>60</v>
      </c>
      <c r="C4629" s="9">
        <v>45717</v>
      </c>
      <c r="D4629">
        <v>45</v>
      </c>
      <c r="E4629" s="16" t="s">
        <v>134</v>
      </c>
      <c r="F4629" s="16" t="s">
        <v>83</v>
      </c>
      <c r="G4629" s="22">
        <v>8.75</v>
      </c>
      <c r="H4629" s="18">
        <v>11.3</v>
      </c>
      <c r="I4629" s="18">
        <v>1.291428571</v>
      </c>
      <c r="J4629" s="18">
        <v>1.31</v>
      </c>
      <c r="K4629" s="18">
        <v>1.27</v>
      </c>
      <c r="L4629" s="22">
        <v>6</v>
      </c>
    </row>
    <row r="4630" spans="1:12">
      <c r="A4630">
        <v>5</v>
      </c>
      <c r="B4630" s="16" t="s">
        <v>60</v>
      </c>
      <c r="C4630" s="9">
        <v>45748</v>
      </c>
      <c r="D4630">
        <v>45</v>
      </c>
      <c r="E4630" s="16" t="s">
        <v>134</v>
      </c>
      <c r="F4630" s="16" t="s">
        <v>83</v>
      </c>
      <c r="G4630" s="22">
        <v>15</v>
      </c>
      <c r="H4630" s="18">
        <v>19.625</v>
      </c>
      <c r="I4630" s="18">
        <v>1.308333333</v>
      </c>
      <c r="J4630" s="18">
        <v>1.38</v>
      </c>
      <c r="K4630" s="18">
        <v>1.27</v>
      </c>
      <c r="L4630" s="22">
        <v>9</v>
      </c>
    </row>
    <row r="4631" spans="1:12">
      <c r="A4631">
        <v>5</v>
      </c>
      <c r="B4631" s="16" t="s">
        <v>60</v>
      </c>
      <c r="C4631" s="9">
        <v>45778</v>
      </c>
      <c r="D4631">
        <v>45</v>
      </c>
      <c r="E4631" s="16" t="s">
        <v>134</v>
      </c>
      <c r="F4631" s="16" t="s">
        <v>83</v>
      </c>
      <c r="G4631" s="22">
        <v>18.75</v>
      </c>
      <c r="H4631" s="18">
        <v>24.787500000000001</v>
      </c>
      <c r="I4631" s="18">
        <v>1.3220000000000001</v>
      </c>
      <c r="J4631" s="18">
        <v>1.35</v>
      </c>
      <c r="K4631" s="18">
        <v>1.29</v>
      </c>
      <c r="L4631" s="22">
        <v>9</v>
      </c>
    </row>
    <row r="4632" spans="1:12">
      <c r="A4632">
        <v>5</v>
      </c>
      <c r="B4632" s="16" t="s">
        <v>60</v>
      </c>
      <c r="C4632" s="9">
        <v>45809</v>
      </c>
      <c r="D4632">
        <v>45</v>
      </c>
      <c r="E4632" s="16" t="s">
        <v>134</v>
      </c>
      <c r="F4632" s="16" t="s">
        <v>83</v>
      </c>
      <c r="G4632" s="22">
        <v>17.5</v>
      </c>
      <c r="H4632" s="18">
        <v>23.175000000000001</v>
      </c>
      <c r="I4632" s="18">
        <v>1.3242857139999999</v>
      </c>
      <c r="J4632" s="18">
        <v>1.35</v>
      </c>
      <c r="K4632" s="18">
        <v>1.3</v>
      </c>
      <c r="L4632" s="22">
        <v>8</v>
      </c>
    </row>
    <row r="4633" spans="1:12">
      <c r="A4633">
        <v>5</v>
      </c>
      <c r="B4633" s="16" t="s">
        <v>60</v>
      </c>
      <c r="C4633" s="9">
        <v>45839</v>
      </c>
      <c r="D4633">
        <v>45</v>
      </c>
      <c r="E4633" s="16" t="s">
        <v>134</v>
      </c>
      <c r="F4633" s="16" t="s">
        <v>83</v>
      </c>
      <c r="G4633" s="22">
        <v>21.25</v>
      </c>
      <c r="H4633" s="18">
        <v>28.274999999999999</v>
      </c>
      <c r="I4633" s="18">
        <v>1.330588235</v>
      </c>
      <c r="J4633" s="18">
        <v>1.37</v>
      </c>
      <c r="K4633" s="18">
        <v>1.32</v>
      </c>
      <c r="L4633" s="22">
        <v>10</v>
      </c>
    </row>
    <row r="4634" spans="1:12">
      <c r="A4634">
        <v>5</v>
      </c>
      <c r="B4634" s="16" t="s">
        <v>60</v>
      </c>
      <c r="C4634" s="9">
        <v>45870</v>
      </c>
      <c r="D4634">
        <v>45</v>
      </c>
      <c r="E4634" s="16" t="s">
        <v>134</v>
      </c>
      <c r="F4634" s="16" t="s">
        <v>83</v>
      </c>
      <c r="G4634" s="22">
        <v>15</v>
      </c>
      <c r="H4634" s="18">
        <v>20.487500000000001</v>
      </c>
      <c r="I4634" s="18">
        <v>1.3658333330000001</v>
      </c>
      <c r="J4634" s="18">
        <v>1.45</v>
      </c>
      <c r="K4634" s="18">
        <v>1.33</v>
      </c>
      <c r="L4634" s="22">
        <v>8</v>
      </c>
    </row>
    <row r="4635" spans="1:12">
      <c r="A4635">
        <v>5</v>
      </c>
      <c r="B4635" s="16" t="s">
        <v>60</v>
      </c>
      <c r="C4635" s="9">
        <v>45901</v>
      </c>
      <c r="D4635">
        <v>45</v>
      </c>
      <c r="E4635" s="16" t="s">
        <v>134</v>
      </c>
      <c r="F4635" s="16" t="s">
        <v>83</v>
      </c>
      <c r="G4635" s="22">
        <v>15</v>
      </c>
      <c r="H4635" s="18">
        <v>20.287500000000001</v>
      </c>
      <c r="I4635" s="18">
        <v>1.3525</v>
      </c>
      <c r="J4635" s="18">
        <v>1.38</v>
      </c>
      <c r="K4635" s="18">
        <v>1.33</v>
      </c>
      <c r="L4635" s="22">
        <v>9</v>
      </c>
    </row>
    <row r="4636" spans="1:12">
      <c r="A4636">
        <v>5</v>
      </c>
      <c r="B4636" s="16" t="s">
        <v>60</v>
      </c>
      <c r="C4636" s="9">
        <v>45931</v>
      </c>
      <c r="D4636">
        <v>45</v>
      </c>
      <c r="E4636" s="16" t="s">
        <v>134</v>
      </c>
      <c r="F4636" s="16" t="s">
        <v>83</v>
      </c>
      <c r="G4636" s="22">
        <v>16.25</v>
      </c>
      <c r="H4636" s="18">
        <v>22.1875</v>
      </c>
      <c r="I4636" s="18">
        <v>1.365384615</v>
      </c>
      <c r="J4636" s="18">
        <v>1.39</v>
      </c>
      <c r="K4636" s="18">
        <v>1.35</v>
      </c>
      <c r="L4636" s="22">
        <v>9</v>
      </c>
    </row>
    <row r="4637" spans="1:12">
      <c r="A4637">
        <v>5</v>
      </c>
      <c r="B4637" s="16" t="s">
        <v>60</v>
      </c>
      <c r="C4637" s="9">
        <v>45962</v>
      </c>
      <c r="D4637">
        <v>45</v>
      </c>
      <c r="E4637" s="16" t="s">
        <v>134</v>
      </c>
      <c r="F4637" s="16" t="s">
        <v>83</v>
      </c>
      <c r="G4637" s="22">
        <v>12.5</v>
      </c>
      <c r="H4637" s="18">
        <v>17.112500000000001</v>
      </c>
      <c r="I4637" s="18">
        <v>1.369</v>
      </c>
      <c r="J4637" s="18">
        <v>1.42</v>
      </c>
      <c r="K4637" s="18">
        <v>1.34</v>
      </c>
      <c r="L4637" s="22">
        <v>8</v>
      </c>
    </row>
    <row r="4638" spans="1:12">
      <c r="A4638">
        <v>5</v>
      </c>
      <c r="B4638" s="16" t="s">
        <v>60</v>
      </c>
      <c r="C4638" s="9">
        <v>45992</v>
      </c>
      <c r="D4638">
        <v>45</v>
      </c>
      <c r="E4638" s="16" t="s">
        <v>134</v>
      </c>
      <c r="F4638" s="16" t="s">
        <v>83</v>
      </c>
      <c r="G4638" s="22">
        <v>13.75</v>
      </c>
      <c r="H4638" s="18">
        <v>18.6875</v>
      </c>
      <c r="I4638" s="18">
        <v>1.3590909090000001</v>
      </c>
      <c r="J4638" s="18">
        <v>1.39</v>
      </c>
      <c r="K4638" s="18">
        <v>1.34</v>
      </c>
      <c r="L4638" s="22">
        <v>9</v>
      </c>
    </row>
    <row r="4639" spans="1:12">
      <c r="A4639">
        <v>5</v>
      </c>
      <c r="B4639" s="16" t="s">
        <v>60</v>
      </c>
      <c r="C4639" s="9">
        <v>46023</v>
      </c>
      <c r="D4639">
        <v>45</v>
      </c>
      <c r="E4639" s="16" t="s">
        <v>134</v>
      </c>
      <c r="F4639" s="16" t="s">
        <v>83</v>
      </c>
      <c r="G4639" s="22">
        <v>15</v>
      </c>
      <c r="H4639" s="18">
        <v>20.587499999999999</v>
      </c>
      <c r="I4639" s="18">
        <v>1.3725000000000001</v>
      </c>
      <c r="J4639" s="18">
        <v>1.39</v>
      </c>
      <c r="K4639" s="18">
        <v>1.35</v>
      </c>
      <c r="L4639" s="22">
        <v>9</v>
      </c>
    </row>
    <row r="4640" spans="1:12">
      <c r="A4640">
        <v>5</v>
      </c>
      <c r="B4640" s="16" t="s">
        <v>60</v>
      </c>
      <c r="C4640" s="9">
        <v>46054</v>
      </c>
      <c r="D4640">
        <v>45</v>
      </c>
      <c r="E4640" s="16" t="s">
        <v>134</v>
      </c>
      <c r="F4640" s="16" t="s">
        <v>83</v>
      </c>
      <c r="G4640" s="22">
        <v>12.5</v>
      </c>
      <c r="H4640" s="18">
        <v>17.212499999999999</v>
      </c>
      <c r="I4640" s="18">
        <v>1.377</v>
      </c>
      <c r="J4640" s="18">
        <v>1.47</v>
      </c>
      <c r="K4640" s="18">
        <v>1.35</v>
      </c>
      <c r="L4640" s="22">
        <v>8</v>
      </c>
    </row>
    <row r="4641" spans="1:12">
      <c r="A4641">
        <v>5</v>
      </c>
      <c r="B4641" s="16" t="s">
        <v>60</v>
      </c>
      <c r="C4641" s="9">
        <v>46082</v>
      </c>
      <c r="D4641">
        <v>45</v>
      </c>
      <c r="E4641" s="16" t="s">
        <v>134</v>
      </c>
      <c r="F4641" s="16" t="s">
        <v>83</v>
      </c>
      <c r="G4641" s="22">
        <v>18.75</v>
      </c>
      <c r="H4641" s="18">
        <v>26.012499999999999</v>
      </c>
      <c r="I4641" s="18">
        <v>1.3873333329999999</v>
      </c>
      <c r="J4641" s="18">
        <v>1.44</v>
      </c>
      <c r="K4641" s="18">
        <v>1.35</v>
      </c>
      <c r="L4641" s="22">
        <v>9</v>
      </c>
    </row>
    <row r="4642" spans="1:12">
      <c r="A4642">
        <v>5</v>
      </c>
      <c r="B4642" s="16" t="s">
        <v>60</v>
      </c>
      <c r="C4642" s="9">
        <v>46113</v>
      </c>
      <c r="D4642">
        <v>45</v>
      </c>
      <c r="E4642" s="16" t="s">
        <v>134</v>
      </c>
      <c r="F4642" s="16" t="s">
        <v>83</v>
      </c>
      <c r="G4642" s="22">
        <v>20</v>
      </c>
      <c r="H4642" s="18">
        <v>27.6875</v>
      </c>
      <c r="I4642" s="18">
        <v>1.3843749999999999</v>
      </c>
      <c r="J4642" s="18">
        <v>1.41</v>
      </c>
      <c r="K4642" s="18">
        <v>1.36</v>
      </c>
      <c r="L4642" s="22">
        <v>9</v>
      </c>
    </row>
    <row r="4643" spans="1:12">
      <c r="A4643">
        <v>5</v>
      </c>
      <c r="B4643" s="16" t="s">
        <v>60</v>
      </c>
      <c r="C4643" s="9">
        <v>46143</v>
      </c>
      <c r="D4643">
        <v>45</v>
      </c>
      <c r="E4643" s="16" t="s">
        <v>134</v>
      </c>
      <c r="F4643" s="16" t="s">
        <v>83</v>
      </c>
      <c r="G4643" s="22">
        <v>16.25</v>
      </c>
      <c r="H4643" s="18">
        <v>22.5625</v>
      </c>
      <c r="I4643" s="18">
        <v>1.3884615380000001</v>
      </c>
      <c r="J4643" s="18">
        <v>1.41</v>
      </c>
      <c r="K4643" s="18">
        <v>1.37</v>
      </c>
      <c r="L4643" s="22">
        <v>8</v>
      </c>
    </row>
    <row r="4644" spans="1:12">
      <c r="A4644">
        <v>5</v>
      </c>
      <c r="B4644" s="16" t="s">
        <v>60</v>
      </c>
      <c r="C4644" s="9">
        <v>46174</v>
      </c>
      <c r="D4644">
        <v>45</v>
      </c>
      <c r="E4644" s="16" t="s">
        <v>134</v>
      </c>
      <c r="F4644" s="16" t="s">
        <v>83</v>
      </c>
      <c r="G4644" s="22">
        <v>20</v>
      </c>
      <c r="H4644" s="18">
        <v>27.762499999999999</v>
      </c>
      <c r="I4644" s="18">
        <v>1.3881250000000001</v>
      </c>
      <c r="J4644" s="18">
        <v>1.45</v>
      </c>
      <c r="K4644" s="18">
        <v>1.36</v>
      </c>
      <c r="L4644" s="22">
        <v>9</v>
      </c>
    </row>
    <row r="4645" spans="1:12">
      <c r="A4645">
        <v>5</v>
      </c>
      <c r="B4645" s="16" t="s">
        <v>60</v>
      </c>
      <c r="C4645" s="9">
        <v>46204</v>
      </c>
      <c r="D4645">
        <v>45</v>
      </c>
      <c r="E4645" s="16" t="s">
        <v>134</v>
      </c>
      <c r="F4645" s="16" t="s">
        <v>83</v>
      </c>
      <c r="G4645" s="22">
        <v>22.5</v>
      </c>
      <c r="H4645" s="18">
        <v>30.95</v>
      </c>
      <c r="I4645" s="18">
        <v>1.3755555559999999</v>
      </c>
      <c r="J4645" s="18">
        <v>1.4</v>
      </c>
      <c r="K4645" s="18">
        <v>1.36</v>
      </c>
      <c r="L4645" s="22">
        <v>9</v>
      </c>
    </row>
    <row r="4646" spans="1:12">
      <c r="A4646">
        <v>5</v>
      </c>
      <c r="B4646" s="16" t="s">
        <v>60</v>
      </c>
      <c r="C4646" s="9">
        <v>46235</v>
      </c>
      <c r="D4646">
        <v>45</v>
      </c>
      <c r="E4646" s="16" t="s">
        <v>134</v>
      </c>
      <c r="F4646" s="16" t="s">
        <v>83</v>
      </c>
      <c r="G4646" s="22">
        <v>16.25</v>
      </c>
      <c r="H4646" s="18">
        <v>22.45</v>
      </c>
      <c r="I4646" s="18">
        <v>1.381538462</v>
      </c>
      <c r="J4646" s="18">
        <v>1.42</v>
      </c>
      <c r="K4646" s="18">
        <v>1.36</v>
      </c>
      <c r="L4646" s="22">
        <v>8</v>
      </c>
    </row>
    <row r="4647" spans="1:12">
      <c r="A4647">
        <v>5</v>
      </c>
      <c r="B4647" s="16" t="s">
        <v>60</v>
      </c>
      <c r="C4647" s="9">
        <v>46266</v>
      </c>
      <c r="D4647">
        <v>45</v>
      </c>
      <c r="E4647" s="16" t="s">
        <v>134</v>
      </c>
      <c r="F4647" s="16" t="s">
        <v>83</v>
      </c>
      <c r="G4647" s="22">
        <v>16.25</v>
      </c>
      <c r="H4647" s="18">
        <v>22.425000000000001</v>
      </c>
      <c r="I4647" s="18">
        <v>1.38</v>
      </c>
      <c r="J4647" s="18">
        <v>1.41</v>
      </c>
      <c r="K4647" s="18">
        <v>1.35</v>
      </c>
      <c r="L4647" s="22">
        <v>9</v>
      </c>
    </row>
    <row r="4648" spans="1:12">
      <c r="A4648">
        <v>5</v>
      </c>
      <c r="B4648" s="16" t="s">
        <v>60</v>
      </c>
      <c r="C4648" s="9">
        <v>45689</v>
      </c>
      <c r="D4648">
        <v>46</v>
      </c>
      <c r="E4648" s="16" t="s">
        <v>135</v>
      </c>
      <c r="F4648" s="16" t="s">
        <v>108</v>
      </c>
      <c r="G4648" s="22">
        <v>32</v>
      </c>
      <c r="H4648" s="18">
        <v>70.08</v>
      </c>
      <c r="I4648" s="18">
        <v>2.19</v>
      </c>
      <c r="J4648" s="18">
        <v>2.19</v>
      </c>
      <c r="K4648" s="18">
        <v>2.19</v>
      </c>
      <c r="L4648" s="22">
        <v>1</v>
      </c>
    </row>
    <row r="4649" spans="1:12">
      <c r="A4649">
        <v>5</v>
      </c>
      <c r="B4649" s="16" t="s">
        <v>60</v>
      </c>
      <c r="C4649" s="9">
        <v>45717</v>
      </c>
      <c r="D4649">
        <v>46</v>
      </c>
      <c r="E4649" s="16" t="s">
        <v>135</v>
      </c>
      <c r="F4649" s="16" t="s">
        <v>108</v>
      </c>
      <c r="G4649" s="22">
        <v>16</v>
      </c>
      <c r="H4649" s="18">
        <v>35.520000000000003</v>
      </c>
      <c r="I4649" s="18">
        <v>2.2200000000000002</v>
      </c>
      <c r="J4649" s="18">
        <v>2.2200000000000002</v>
      </c>
      <c r="K4649" s="18">
        <v>2.2200000000000002</v>
      </c>
      <c r="L4649" s="22">
        <v>1</v>
      </c>
    </row>
    <row r="4650" spans="1:12">
      <c r="A4650">
        <v>5</v>
      </c>
      <c r="B4650" s="16" t="s">
        <v>60</v>
      </c>
      <c r="C4650" s="9">
        <v>45748</v>
      </c>
      <c r="D4650">
        <v>46</v>
      </c>
      <c r="E4650" s="16" t="s">
        <v>135</v>
      </c>
      <c r="F4650" s="16" t="s">
        <v>108</v>
      </c>
      <c r="G4650" s="22">
        <v>32</v>
      </c>
      <c r="H4650" s="18">
        <v>72.64</v>
      </c>
      <c r="I4650" s="18">
        <v>2.27</v>
      </c>
      <c r="J4650" s="18">
        <v>2.27</v>
      </c>
      <c r="K4650" s="18">
        <v>2.27</v>
      </c>
      <c r="L4650" s="22">
        <v>1</v>
      </c>
    </row>
    <row r="4651" spans="1:12">
      <c r="A4651">
        <v>5</v>
      </c>
      <c r="B4651" s="16" t="s">
        <v>60</v>
      </c>
      <c r="C4651" s="9">
        <v>45778</v>
      </c>
      <c r="D4651">
        <v>46</v>
      </c>
      <c r="E4651" s="16" t="s">
        <v>135</v>
      </c>
      <c r="F4651" s="16" t="s">
        <v>108</v>
      </c>
      <c r="G4651" s="22">
        <v>32</v>
      </c>
      <c r="H4651" s="18">
        <v>69.760000000000005</v>
      </c>
      <c r="I4651" s="18">
        <v>2.1800000000000002</v>
      </c>
      <c r="J4651" s="18">
        <v>2.1800000000000002</v>
      </c>
      <c r="K4651" s="18">
        <v>2.1800000000000002</v>
      </c>
      <c r="L4651" s="22">
        <v>1</v>
      </c>
    </row>
    <row r="4652" spans="1:12">
      <c r="A4652">
        <v>5</v>
      </c>
      <c r="B4652" s="16" t="s">
        <v>60</v>
      </c>
      <c r="C4652" s="9">
        <v>45809</v>
      </c>
      <c r="D4652">
        <v>46</v>
      </c>
      <c r="E4652" s="16" t="s">
        <v>135</v>
      </c>
      <c r="F4652" s="16" t="s">
        <v>108</v>
      </c>
      <c r="G4652" s="22">
        <v>16</v>
      </c>
      <c r="H4652" s="18">
        <v>36.32</v>
      </c>
      <c r="I4652" s="18">
        <v>2.27</v>
      </c>
      <c r="J4652" s="18">
        <v>2.27</v>
      </c>
      <c r="K4652" s="18">
        <v>2.27</v>
      </c>
      <c r="L4652" s="22">
        <v>1</v>
      </c>
    </row>
    <row r="4653" spans="1:12">
      <c r="A4653">
        <v>5</v>
      </c>
      <c r="B4653" s="16" t="s">
        <v>60</v>
      </c>
      <c r="C4653" s="9">
        <v>45839</v>
      </c>
      <c r="D4653">
        <v>46</v>
      </c>
      <c r="E4653" s="16" t="s">
        <v>135</v>
      </c>
      <c r="F4653" s="16" t="s">
        <v>108</v>
      </c>
      <c r="G4653" s="22">
        <v>64</v>
      </c>
      <c r="H4653" s="18">
        <v>143.36000000000001</v>
      </c>
      <c r="I4653" s="18">
        <v>2.2400000000000002</v>
      </c>
      <c r="J4653" s="18">
        <v>2.27</v>
      </c>
      <c r="K4653" s="18">
        <v>2.21</v>
      </c>
      <c r="L4653" s="22">
        <v>2</v>
      </c>
    </row>
    <row r="4654" spans="1:12">
      <c r="A4654">
        <v>5</v>
      </c>
      <c r="B4654" s="16" t="s">
        <v>60</v>
      </c>
      <c r="C4654" s="9">
        <v>45870</v>
      </c>
      <c r="D4654">
        <v>46</v>
      </c>
      <c r="E4654" s="16" t="s">
        <v>135</v>
      </c>
      <c r="F4654" s="16" t="s">
        <v>108</v>
      </c>
      <c r="G4654" s="22">
        <v>16</v>
      </c>
      <c r="H4654" s="18">
        <v>36.479999999999997</v>
      </c>
      <c r="I4654" s="18">
        <v>2.2799999999999998</v>
      </c>
      <c r="J4654" s="18">
        <v>2.2799999999999998</v>
      </c>
      <c r="K4654" s="18">
        <v>2.2799999999999998</v>
      </c>
      <c r="L4654" s="22">
        <v>1</v>
      </c>
    </row>
    <row r="4655" spans="1:12">
      <c r="A4655">
        <v>5</v>
      </c>
      <c r="B4655" s="16" t="s">
        <v>60</v>
      </c>
      <c r="C4655" s="9">
        <v>45901</v>
      </c>
      <c r="D4655">
        <v>46</v>
      </c>
      <c r="E4655" s="16" t="s">
        <v>135</v>
      </c>
      <c r="F4655" s="16" t="s">
        <v>108</v>
      </c>
      <c r="G4655" s="22">
        <v>32</v>
      </c>
      <c r="H4655" s="18">
        <v>73.92</v>
      </c>
      <c r="I4655" s="18">
        <v>2.31</v>
      </c>
      <c r="J4655" s="18">
        <v>2.31</v>
      </c>
      <c r="K4655" s="18">
        <v>2.31</v>
      </c>
      <c r="L4655" s="22">
        <v>1</v>
      </c>
    </row>
    <row r="4656" spans="1:12">
      <c r="A4656">
        <v>5</v>
      </c>
      <c r="B4656" s="16" t="s">
        <v>60</v>
      </c>
      <c r="C4656" s="9">
        <v>45931</v>
      </c>
      <c r="D4656">
        <v>46</v>
      </c>
      <c r="E4656" s="16" t="s">
        <v>135</v>
      </c>
      <c r="F4656" s="16" t="s">
        <v>108</v>
      </c>
      <c r="G4656" s="22">
        <v>32</v>
      </c>
      <c r="H4656" s="18">
        <v>73.599999999999994</v>
      </c>
      <c r="I4656" s="18">
        <v>2.2999999999999998</v>
      </c>
      <c r="J4656" s="18">
        <v>2.2999999999999998</v>
      </c>
      <c r="K4656" s="18">
        <v>2.2999999999999998</v>
      </c>
      <c r="L4656" s="22">
        <v>1</v>
      </c>
    </row>
    <row r="4657" spans="1:12">
      <c r="A4657">
        <v>5</v>
      </c>
      <c r="B4657" s="16" t="s">
        <v>60</v>
      </c>
      <c r="C4657" s="9">
        <v>45962</v>
      </c>
      <c r="D4657">
        <v>46</v>
      </c>
      <c r="E4657" s="16" t="s">
        <v>135</v>
      </c>
      <c r="F4657" s="16" t="s">
        <v>108</v>
      </c>
      <c r="G4657" s="22">
        <v>16</v>
      </c>
      <c r="H4657" s="18">
        <v>37.28</v>
      </c>
      <c r="I4657" s="18">
        <v>2.33</v>
      </c>
      <c r="J4657" s="18">
        <v>2.33</v>
      </c>
      <c r="K4657" s="18">
        <v>2.33</v>
      </c>
      <c r="L4657" s="22">
        <v>1</v>
      </c>
    </row>
    <row r="4658" spans="1:12">
      <c r="A4658">
        <v>5</v>
      </c>
      <c r="B4658" s="16" t="s">
        <v>60</v>
      </c>
      <c r="C4658" s="9">
        <v>45992</v>
      </c>
      <c r="D4658">
        <v>46</v>
      </c>
      <c r="E4658" s="16" t="s">
        <v>135</v>
      </c>
      <c r="F4658" s="16" t="s">
        <v>108</v>
      </c>
      <c r="G4658" s="22">
        <v>32</v>
      </c>
      <c r="H4658" s="18">
        <v>73.28</v>
      </c>
      <c r="I4658" s="18">
        <v>2.29</v>
      </c>
      <c r="J4658" s="18">
        <v>2.29</v>
      </c>
      <c r="K4658" s="18">
        <v>2.29</v>
      </c>
      <c r="L4658" s="22">
        <v>1</v>
      </c>
    </row>
    <row r="4659" spans="1:12">
      <c r="A4659">
        <v>5</v>
      </c>
      <c r="B4659" s="16" t="s">
        <v>60</v>
      </c>
      <c r="C4659" s="9">
        <v>46023</v>
      </c>
      <c r="D4659">
        <v>46</v>
      </c>
      <c r="E4659" s="16" t="s">
        <v>135</v>
      </c>
      <c r="F4659" s="16" t="s">
        <v>108</v>
      </c>
      <c r="G4659" s="22">
        <v>16</v>
      </c>
      <c r="H4659" s="18">
        <v>36.799999999999997</v>
      </c>
      <c r="I4659" s="18">
        <v>2.2999999999999998</v>
      </c>
      <c r="J4659" s="18">
        <v>2.2999999999999998</v>
      </c>
      <c r="K4659" s="18">
        <v>2.2999999999999998</v>
      </c>
      <c r="L4659" s="22">
        <v>1</v>
      </c>
    </row>
    <row r="4660" spans="1:12">
      <c r="A4660">
        <v>5</v>
      </c>
      <c r="B4660" s="16" t="s">
        <v>60</v>
      </c>
      <c r="C4660" s="9">
        <v>46054</v>
      </c>
      <c r="D4660">
        <v>46</v>
      </c>
      <c r="E4660" s="16" t="s">
        <v>135</v>
      </c>
      <c r="F4660" s="16" t="s">
        <v>108</v>
      </c>
      <c r="G4660" s="22">
        <v>32</v>
      </c>
      <c r="H4660" s="18">
        <v>72.319999999999993</v>
      </c>
      <c r="I4660" s="18">
        <v>2.2599999999999998</v>
      </c>
      <c r="J4660" s="18">
        <v>2.2599999999999998</v>
      </c>
      <c r="K4660" s="18">
        <v>2.2599999999999998</v>
      </c>
      <c r="L4660" s="22">
        <v>1</v>
      </c>
    </row>
    <row r="4661" spans="1:12">
      <c r="A4661">
        <v>5</v>
      </c>
      <c r="B4661" s="16" t="s">
        <v>60</v>
      </c>
      <c r="C4661" s="9">
        <v>46082</v>
      </c>
      <c r="D4661">
        <v>46</v>
      </c>
      <c r="E4661" s="16" t="s">
        <v>135</v>
      </c>
      <c r="F4661" s="16" t="s">
        <v>108</v>
      </c>
      <c r="G4661" s="22">
        <v>32</v>
      </c>
      <c r="H4661" s="18">
        <v>73.92</v>
      </c>
      <c r="I4661" s="18">
        <v>2.31</v>
      </c>
      <c r="J4661" s="18">
        <v>2.31</v>
      </c>
      <c r="K4661" s="18">
        <v>2.31</v>
      </c>
      <c r="L4661" s="22">
        <v>1</v>
      </c>
    </row>
    <row r="4662" spans="1:12">
      <c r="A4662">
        <v>5</v>
      </c>
      <c r="B4662" s="16" t="s">
        <v>60</v>
      </c>
      <c r="C4662" s="9">
        <v>46113</v>
      </c>
      <c r="D4662">
        <v>46</v>
      </c>
      <c r="E4662" s="16" t="s">
        <v>135</v>
      </c>
      <c r="F4662" s="16" t="s">
        <v>108</v>
      </c>
      <c r="G4662" s="22">
        <v>16</v>
      </c>
      <c r="H4662" s="18">
        <v>36.799999999999997</v>
      </c>
      <c r="I4662" s="18">
        <v>2.2999999999999998</v>
      </c>
      <c r="J4662" s="18">
        <v>2.2999999999999998</v>
      </c>
      <c r="K4662" s="18">
        <v>2.2999999999999998</v>
      </c>
      <c r="L4662" s="22">
        <v>1</v>
      </c>
    </row>
    <row r="4663" spans="1:12">
      <c r="A4663">
        <v>5</v>
      </c>
      <c r="B4663" s="16" t="s">
        <v>60</v>
      </c>
      <c r="C4663" s="9">
        <v>46143</v>
      </c>
      <c r="D4663">
        <v>46</v>
      </c>
      <c r="E4663" s="16" t="s">
        <v>135</v>
      </c>
      <c r="F4663" s="16" t="s">
        <v>108</v>
      </c>
      <c r="G4663" s="22">
        <v>32</v>
      </c>
      <c r="H4663" s="18">
        <v>73.599999999999994</v>
      </c>
      <c r="I4663" s="18">
        <v>2.2999999999999998</v>
      </c>
      <c r="J4663" s="18">
        <v>2.2999999999999998</v>
      </c>
      <c r="K4663" s="18">
        <v>2.2999999999999998</v>
      </c>
      <c r="L4663" s="22">
        <v>1</v>
      </c>
    </row>
    <row r="4664" spans="1:12">
      <c r="A4664">
        <v>5</v>
      </c>
      <c r="B4664" s="16" t="s">
        <v>60</v>
      </c>
      <c r="C4664" s="9">
        <v>46174</v>
      </c>
      <c r="D4664">
        <v>46</v>
      </c>
      <c r="E4664" s="16" t="s">
        <v>135</v>
      </c>
      <c r="F4664" s="16" t="s">
        <v>108</v>
      </c>
      <c r="G4664" s="22">
        <v>32</v>
      </c>
      <c r="H4664" s="18">
        <v>74.56</v>
      </c>
      <c r="I4664" s="18">
        <v>2.33</v>
      </c>
      <c r="J4664" s="18">
        <v>2.33</v>
      </c>
      <c r="K4664" s="18">
        <v>2.33</v>
      </c>
      <c r="L4664" s="22">
        <v>1</v>
      </c>
    </row>
    <row r="4665" spans="1:12">
      <c r="A4665">
        <v>5</v>
      </c>
      <c r="B4665" s="16" t="s">
        <v>60</v>
      </c>
      <c r="C4665" s="9">
        <v>46204</v>
      </c>
      <c r="D4665">
        <v>46</v>
      </c>
      <c r="E4665" s="16" t="s">
        <v>135</v>
      </c>
      <c r="F4665" s="16" t="s">
        <v>108</v>
      </c>
      <c r="G4665" s="22">
        <v>48</v>
      </c>
      <c r="H4665" s="18">
        <v>112.64</v>
      </c>
      <c r="I4665" s="18">
        <v>2.346666667</v>
      </c>
      <c r="J4665" s="18">
        <v>2.36</v>
      </c>
      <c r="K4665" s="18">
        <v>2.34</v>
      </c>
      <c r="L4665" s="22">
        <v>2</v>
      </c>
    </row>
    <row r="4666" spans="1:12">
      <c r="A4666">
        <v>5</v>
      </c>
      <c r="B4666" s="16" t="s">
        <v>60</v>
      </c>
      <c r="C4666" s="9">
        <v>46235</v>
      </c>
      <c r="D4666">
        <v>46</v>
      </c>
      <c r="E4666" s="16" t="s">
        <v>135</v>
      </c>
      <c r="F4666" s="16" t="s">
        <v>108</v>
      </c>
      <c r="G4666" s="22">
        <v>32</v>
      </c>
      <c r="H4666" s="18">
        <v>74.239999999999995</v>
      </c>
      <c r="I4666" s="18">
        <v>2.3199999999999998</v>
      </c>
      <c r="J4666" s="18">
        <v>2.3199999999999998</v>
      </c>
      <c r="K4666" s="18">
        <v>2.3199999999999998</v>
      </c>
      <c r="L4666" s="22">
        <v>1</v>
      </c>
    </row>
    <row r="4667" spans="1:12">
      <c r="A4667">
        <v>5</v>
      </c>
      <c r="B4667" s="16" t="s">
        <v>60</v>
      </c>
      <c r="C4667" s="9">
        <v>46266</v>
      </c>
      <c r="D4667">
        <v>46</v>
      </c>
      <c r="E4667" s="16" t="s">
        <v>135</v>
      </c>
      <c r="F4667" s="16" t="s">
        <v>108</v>
      </c>
      <c r="G4667" s="22">
        <v>16</v>
      </c>
      <c r="H4667" s="18">
        <v>37.76</v>
      </c>
      <c r="I4667" s="18">
        <v>2.36</v>
      </c>
      <c r="J4667" s="18">
        <v>2.36</v>
      </c>
      <c r="K4667" s="18">
        <v>2.36</v>
      </c>
      <c r="L4667" s="22">
        <v>1</v>
      </c>
    </row>
    <row r="4668" spans="1:12">
      <c r="A4668">
        <v>5</v>
      </c>
      <c r="B4668" s="16" t="s">
        <v>60</v>
      </c>
      <c r="C4668" s="9">
        <v>45689</v>
      </c>
      <c r="D4668">
        <v>47</v>
      </c>
      <c r="E4668" s="16" t="s">
        <v>136</v>
      </c>
      <c r="F4668" s="16" t="s">
        <v>92</v>
      </c>
      <c r="G4668" s="22">
        <v>93.75</v>
      </c>
      <c r="H4668" s="18">
        <v>380.29500000000002</v>
      </c>
      <c r="I4668" s="18">
        <v>4.0564799999999996</v>
      </c>
      <c r="J4668" s="18">
        <v>4.13</v>
      </c>
      <c r="K4668" s="18">
        <v>4</v>
      </c>
      <c r="L4668" s="22">
        <v>12</v>
      </c>
    </row>
    <row r="4669" spans="1:12">
      <c r="A4669">
        <v>5</v>
      </c>
      <c r="B4669" s="16" t="s">
        <v>60</v>
      </c>
      <c r="C4669" s="9">
        <v>45717</v>
      </c>
      <c r="D4669">
        <v>47</v>
      </c>
      <c r="E4669" s="16" t="s">
        <v>136</v>
      </c>
      <c r="F4669" s="16" t="s">
        <v>92</v>
      </c>
      <c r="G4669" s="22">
        <v>75.75</v>
      </c>
      <c r="H4669" s="18">
        <v>292.10250000000002</v>
      </c>
      <c r="I4669" s="18">
        <v>3.8561386139999998</v>
      </c>
      <c r="J4669" s="18">
        <v>3.92</v>
      </c>
      <c r="K4669" s="18">
        <v>3.79</v>
      </c>
      <c r="L4669" s="22">
        <v>13</v>
      </c>
    </row>
    <row r="4670" spans="1:12">
      <c r="A4670">
        <v>5</v>
      </c>
      <c r="B4670" s="16" t="s">
        <v>60</v>
      </c>
      <c r="C4670" s="9">
        <v>45748</v>
      </c>
      <c r="D4670">
        <v>47</v>
      </c>
      <c r="E4670" s="16" t="s">
        <v>136</v>
      </c>
      <c r="F4670" s="16" t="s">
        <v>92</v>
      </c>
      <c r="G4670" s="22">
        <v>90.75</v>
      </c>
      <c r="H4670" s="18">
        <v>321.4425</v>
      </c>
      <c r="I4670" s="18">
        <v>3.542066116</v>
      </c>
      <c r="J4670" s="18">
        <v>3.61</v>
      </c>
      <c r="K4670" s="18">
        <v>3.44</v>
      </c>
      <c r="L4670" s="22">
        <v>13</v>
      </c>
    </row>
    <row r="4671" spans="1:12">
      <c r="A4671">
        <v>5</v>
      </c>
      <c r="B4671" s="16" t="s">
        <v>60</v>
      </c>
      <c r="C4671" s="9">
        <v>45778</v>
      </c>
      <c r="D4671">
        <v>47</v>
      </c>
      <c r="E4671" s="16" t="s">
        <v>136</v>
      </c>
      <c r="F4671" s="16" t="s">
        <v>92</v>
      </c>
      <c r="G4671" s="22">
        <v>111</v>
      </c>
      <c r="H4671" s="18">
        <v>359.38499999999999</v>
      </c>
      <c r="I4671" s="18">
        <v>3.2377027030000001</v>
      </c>
      <c r="J4671" s="18">
        <v>3.3</v>
      </c>
      <c r="K4671" s="18">
        <v>3.15</v>
      </c>
      <c r="L4671" s="22">
        <v>13</v>
      </c>
    </row>
    <row r="4672" spans="1:12">
      <c r="A4672">
        <v>5</v>
      </c>
      <c r="B4672" s="16" t="s">
        <v>60</v>
      </c>
      <c r="C4672" s="9">
        <v>45809</v>
      </c>
      <c r="D4672">
        <v>47</v>
      </c>
      <c r="E4672" s="16" t="s">
        <v>136</v>
      </c>
      <c r="F4672" s="16" t="s">
        <v>92</v>
      </c>
      <c r="G4672" s="22">
        <v>105.75</v>
      </c>
      <c r="H4672" s="18">
        <v>317.88749999999999</v>
      </c>
      <c r="I4672" s="18">
        <v>3.006028369</v>
      </c>
      <c r="J4672" s="18">
        <v>3.04</v>
      </c>
      <c r="K4672" s="18">
        <v>2.95</v>
      </c>
      <c r="L4672" s="22">
        <v>13</v>
      </c>
    </row>
    <row r="4673" spans="1:12">
      <c r="A4673">
        <v>5</v>
      </c>
      <c r="B4673" s="16" t="s">
        <v>60</v>
      </c>
      <c r="C4673" s="9">
        <v>45839</v>
      </c>
      <c r="D4673">
        <v>47</v>
      </c>
      <c r="E4673" s="16" t="s">
        <v>136</v>
      </c>
      <c r="F4673" s="16" t="s">
        <v>92</v>
      </c>
      <c r="G4673" s="22">
        <v>108</v>
      </c>
      <c r="H4673" s="18">
        <v>318.04500000000002</v>
      </c>
      <c r="I4673" s="18">
        <v>2.9448611109999998</v>
      </c>
      <c r="J4673" s="18">
        <v>3.01</v>
      </c>
      <c r="K4673" s="18">
        <v>2.9</v>
      </c>
      <c r="L4673" s="22">
        <v>13</v>
      </c>
    </row>
    <row r="4674" spans="1:12">
      <c r="A4674">
        <v>5</v>
      </c>
      <c r="B4674" s="16" t="s">
        <v>60</v>
      </c>
      <c r="C4674" s="9">
        <v>45870</v>
      </c>
      <c r="D4674">
        <v>47</v>
      </c>
      <c r="E4674" s="16" t="s">
        <v>136</v>
      </c>
      <c r="F4674" s="16" t="s">
        <v>92</v>
      </c>
      <c r="G4674" s="22">
        <v>113.25</v>
      </c>
      <c r="H4674" s="18">
        <v>348.32249999999999</v>
      </c>
      <c r="I4674" s="18">
        <v>3.075695364</v>
      </c>
      <c r="J4674" s="18">
        <v>3.16</v>
      </c>
      <c r="K4674" s="18">
        <v>3.01</v>
      </c>
      <c r="L4674" s="22">
        <v>13</v>
      </c>
    </row>
    <row r="4675" spans="1:12">
      <c r="A4675">
        <v>5</v>
      </c>
      <c r="B4675" s="16" t="s">
        <v>60</v>
      </c>
      <c r="C4675" s="9">
        <v>45901</v>
      </c>
      <c r="D4675">
        <v>47</v>
      </c>
      <c r="E4675" s="16" t="s">
        <v>136</v>
      </c>
      <c r="F4675" s="16" t="s">
        <v>92</v>
      </c>
      <c r="G4675" s="22">
        <v>79.5</v>
      </c>
      <c r="H4675" s="18">
        <v>265.065</v>
      </c>
      <c r="I4675" s="18">
        <v>3.334150943</v>
      </c>
      <c r="J4675" s="18">
        <v>3.54</v>
      </c>
      <c r="K4675" s="18">
        <v>3.28</v>
      </c>
      <c r="L4675" s="22">
        <v>13</v>
      </c>
    </row>
    <row r="4676" spans="1:12">
      <c r="A4676">
        <v>5</v>
      </c>
      <c r="B4676" s="16" t="s">
        <v>60</v>
      </c>
      <c r="C4676" s="9">
        <v>45931</v>
      </c>
      <c r="D4676">
        <v>47</v>
      </c>
      <c r="E4676" s="16" t="s">
        <v>136</v>
      </c>
      <c r="F4676" s="16" t="s">
        <v>92</v>
      </c>
      <c r="G4676" s="22">
        <v>111</v>
      </c>
      <c r="H4676" s="18">
        <v>406.5675</v>
      </c>
      <c r="I4676" s="18">
        <v>3.6627702700000002</v>
      </c>
      <c r="J4676" s="18">
        <v>3.91</v>
      </c>
      <c r="K4676" s="18">
        <v>3.54</v>
      </c>
      <c r="L4676" s="22">
        <v>14</v>
      </c>
    </row>
    <row r="4677" spans="1:12">
      <c r="A4677">
        <v>5</v>
      </c>
      <c r="B4677" s="16" t="s">
        <v>60</v>
      </c>
      <c r="C4677" s="9">
        <v>45962</v>
      </c>
      <c r="D4677">
        <v>47</v>
      </c>
      <c r="E4677" s="16" t="s">
        <v>136</v>
      </c>
      <c r="F4677" s="16" t="s">
        <v>92</v>
      </c>
      <c r="G4677" s="22">
        <v>83.25</v>
      </c>
      <c r="H4677" s="18">
        <v>330.85500000000002</v>
      </c>
      <c r="I4677" s="18">
        <v>3.9742342339999999</v>
      </c>
      <c r="J4677" s="18">
        <v>4.04</v>
      </c>
      <c r="K4677" s="18">
        <v>3.93</v>
      </c>
      <c r="L4677" s="22">
        <v>12</v>
      </c>
    </row>
    <row r="4678" spans="1:12">
      <c r="A4678">
        <v>5</v>
      </c>
      <c r="B4678" s="16" t="s">
        <v>60</v>
      </c>
      <c r="C4678" s="9">
        <v>45992</v>
      </c>
      <c r="D4678">
        <v>47</v>
      </c>
      <c r="E4678" s="16" t="s">
        <v>136</v>
      </c>
      <c r="F4678" s="16" t="s">
        <v>92</v>
      </c>
      <c r="G4678" s="22">
        <v>79.5</v>
      </c>
      <c r="H4678" s="18">
        <v>336.28500000000003</v>
      </c>
      <c r="I4678" s="18">
        <v>4.2300000000000004</v>
      </c>
      <c r="J4678" s="18">
        <v>4.3</v>
      </c>
      <c r="K4678" s="18">
        <v>4.16</v>
      </c>
      <c r="L4678" s="22">
        <v>14</v>
      </c>
    </row>
    <row r="4679" spans="1:12">
      <c r="A4679">
        <v>5</v>
      </c>
      <c r="B4679" s="16" t="s">
        <v>60</v>
      </c>
      <c r="C4679" s="9">
        <v>46023</v>
      </c>
      <c r="D4679">
        <v>47</v>
      </c>
      <c r="E4679" s="16" t="s">
        <v>136</v>
      </c>
      <c r="F4679" s="16" t="s">
        <v>92</v>
      </c>
      <c r="G4679" s="22">
        <v>83.25</v>
      </c>
      <c r="H4679" s="18">
        <v>359.40750000000003</v>
      </c>
      <c r="I4679" s="18">
        <v>4.317207207</v>
      </c>
      <c r="J4679" s="18">
        <v>4.41</v>
      </c>
      <c r="K4679" s="18">
        <v>4.22</v>
      </c>
      <c r="L4679" s="22">
        <v>13</v>
      </c>
    </row>
    <row r="4680" spans="1:12">
      <c r="A4680">
        <v>5</v>
      </c>
      <c r="B4680" s="16" t="s">
        <v>60</v>
      </c>
      <c r="C4680" s="9">
        <v>46054</v>
      </c>
      <c r="D4680">
        <v>47</v>
      </c>
      <c r="E4680" s="16" t="s">
        <v>136</v>
      </c>
      <c r="F4680" s="16" t="s">
        <v>92</v>
      </c>
      <c r="G4680" s="22">
        <v>89.25</v>
      </c>
      <c r="H4680" s="18">
        <v>371.97750000000002</v>
      </c>
      <c r="I4680" s="18">
        <v>4.1678151259999998</v>
      </c>
      <c r="J4680" s="18">
        <v>4.2699999999999996</v>
      </c>
      <c r="K4680" s="18">
        <v>4.12</v>
      </c>
      <c r="L4680" s="22">
        <v>12</v>
      </c>
    </row>
    <row r="4681" spans="1:12">
      <c r="A4681">
        <v>5</v>
      </c>
      <c r="B4681" s="16" t="s">
        <v>60</v>
      </c>
      <c r="C4681" s="9">
        <v>46082</v>
      </c>
      <c r="D4681">
        <v>47</v>
      </c>
      <c r="E4681" s="16" t="s">
        <v>136</v>
      </c>
      <c r="F4681" s="16" t="s">
        <v>92</v>
      </c>
      <c r="G4681" s="22">
        <v>94.5</v>
      </c>
      <c r="H4681" s="18">
        <v>376.42500000000001</v>
      </c>
      <c r="I4681" s="18">
        <v>3.983333333</v>
      </c>
      <c r="J4681" s="18">
        <v>4.1500000000000004</v>
      </c>
      <c r="K4681" s="18">
        <v>3.91</v>
      </c>
      <c r="L4681" s="22">
        <v>13</v>
      </c>
    </row>
    <row r="4682" spans="1:12">
      <c r="A4682">
        <v>5</v>
      </c>
      <c r="B4682" s="16" t="s">
        <v>60</v>
      </c>
      <c r="C4682" s="9">
        <v>46113</v>
      </c>
      <c r="D4682">
        <v>47</v>
      </c>
      <c r="E4682" s="16" t="s">
        <v>136</v>
      </c>
      <c r="F4682" s="16" t="s">
        <v>92</v>
      </c>
      <c r="G4682" s="22">
        <v>96.75</v>
      </c>
      <c r="H4682" s="18">
        <v>352.74</v>
      </c>
      <c r="I4682" s="18">
        <v>3.6458914729999998</v>
      </c>
      <c r="J4682" s="18">
        <v>3.73</v>
      </c>
      <c r="K4682" s="18">
        <v>3.55</v>
      </c>
      <c r="L4682" s="22">
        <v>13</v>
      </c>
    </row>
    <row r="4683" spans="1:12">
      <c r="A4683">
        <v>5</v>
      </c>
      <c r="B4683" s="16" t="s">
        <v>60</v>
      </c>
      <c r="C4683" s="9">
        <v>46143</v>
      </c>
      <c r="D4683">
        <v>47</v>
      </c>
      <c r="E4683" s="16" t="s">
        <v>136</v>
      </c>
      <c r="F4683" s="16" t="s">
        <v>92</v>
      </c>
      <c r="G4683" s="22">
        <v>122.25</v>
      </c>
      <c r="H4683" s="18">
        <v>405.34500000000003</v>
      </c>
      <c r="I4683" s="18">
        <v>3.3157055209999999</v>
      </c>
      <c r="J4683" s="18">
        <v>3.37</v>
      </c>
      <c r="K4683" s="18">
        <v>3.23</v>
      </c>
      <c r="L4683" s="22">
        <v>13</v>
      </c>
    </row>
    <row r="4684" spans="1:12">
      <c r="A4684">
        <v>5</v>
      </c>
      <c r="B4684" s="16" t="s">
        <v>60</v>
      </c>
      <c r="C4684" s="9">
        <v>46174</v>
      </c>
      <c r="D4684">
        <v>47</v>
      </c>
      <c r="E4684" s="16" t="s">
        <v>136</v>
      </c>
      <c r="F4684" s="16" t="s">
        <v>92</v>
      </c>
      <c r="G4684" s="22">
        <v>102</v>
      </c>
      <c r="H4684" s="18">
        <v>313.17750000000001</v>
      </c>
      <c r="I4684" s="18">
        <v>3.0703676469999999</v>
      </c>
      <c r="J4684" s="18">
        <v>3.12</v>
      </c>
      <c r="K4684" s="18">
        <v>3.04</v>
      </c>
      <c r="L4684" s="22">
        <v>13</v>
      </c>
    </row>
    <row r="4685" spans="1:12">
      <c r="A4685">
        <v>5</v>
      </c>
      <c r="B4685" s="16" t="s">
        <v>60</v>
      </c>
      <c r="C4685" s="9">
        <v>46204</v>
      </c>
      <c r="D4685">
        <v>47</v>
      </c>
      <c r="E4685" s="16" t="s">
        <v>136</v>
      </c>
      <c r="F4685" s="16" t="s">
        <v>92</v>
      </c>
      <c r="G4685" s="22">
        <v>126.75</v>
      </c>
      <c r="H4685" s="18">
        <v>382.52249999999998</v>
      </c>
      <c r="I4685" s="18">
        <v>3.017928994</v>
      </c>
      <c r="J4685" s="18">
        <v>3.1</v>
      </c>
      <c r="K4685" s="18">
        <v>2.95</v>
      </c>
      <c r="L4685" s="22">
        <v>14</v>
      </c>
    </row>
    <row r="4686" spans="1:12">
      <c r="A4686">
        <v>5</v>
      </c>
      <c r="B4686" s="16" t="s">
        <v>60</v>
      </c>
      <c r="C4686" s="9">
        <v>46235</v>
      </c>
      <c r="D4686">
        <v>47</v>
      </c>
      <c r="E4686" s="16" t="s">
        <v>136</v>
      </c>
      <c r="F4686" s="16" t="s">
        <v>92</v>
      </c>
      <c r="G4686" s="22">
        <v>86.25</v>
      </c>
      <c r="H4686" s="18">
        <v>272.54250000000002</v>
      </c>
      <c r="I4686" s="18">
        <v>3.159913043</v>
      </c>
      <c r="J4686" s="18">
        <v>3.32</v>
      </c>
      <c r="K4686" s="18">
        <v>3.06</v>
      </c>
      <c r="L4686" s="22">
        <v>13</v>
      </c>
    </row>
    <row r="4687" spans="1:12">
      <c r="A4687">
        <v>5</v>
      </c>
      <c r="B4687" s="16" t="s">
        <v>60</v>
      </c>
      <c r="C4687" s="9">
        <v>46266</v>
      </c>
      <c r="D4687">
        <v>47</v>
      </c>
      <c r="E4687" s="16" t="s">
        <v>136</v>
      </c>
      <c r="F4687" s="16" t="s">
        <v>92</v>
      </c>
      <c r="G4687" s="22">
        <v>83.25</v>
      </c>
      <c r="H4687" s="18">
        <v>283.54500000000002</v>
      </c>
      <c r="I4687" s="18">
        <v>3.4059459460000001</v>
      </c>
      <c r="J4687" s="18">
        <v>3.49</v>
      </c>
      <c r="K4687" s="18">
        <v>3.37</v>
      </c>
      <c r="L4687" s="22">
        <v>13</v>
      </c>
    </row>
    <row r="4688" spans="1:12">
      <c r="A4688">
        <v>5</v>
      </c>
      <c r="B4688" s="16" t="s">
        <v>60</v>
      </c>
      <c r="C4688" s="9">
        <v>45689</v>
      </c>
      <c r="D4688">
        <v>48</v>
      </c>
      <c r="E4688" s="16" t="s">
        <v>137</v>
      </c>
      <c r="F4688" s="16" t="s">
        <v>138</v>
      </c>
      <c r="G4688" s="22">
        <v>8.25</v>
      </c>
      <c r="H4688" s="18">
        <v>100.855</v>
      </c>
      <c r="I4688" s="18">
        <v>12.224848485000001</v>
      </c>
      <c r="J4688" s="18">
        <v>12.46</v>
      </c>
      <c r="K4688" s="18">
        <v>12.04</v>
      </c>
      <c r="L4688" s="22">
        <v>8</v>
      </c>
    </row>
    <row r="4689" spans="1:12">
      <c r="A4689">
        <v>5</v>
      </c>
      <c r="B4689" s="16" t="s">
        <v>60</v>
      </c>
      <c r="C4689" s="9">
        <v>45717</v>
      </c>
      <c r="D4689">
        <v>48</v>
      </c>
      <c r="E4689" s="16" t="s">
        <v>137</v>
      </c>
      <c r="F4689" s="16" t="s">
        <v>138</v>
      </c>
      <c r="G4689" s="22">
        <v>10.25</v>
      </c>
      <c r="H4689" s="18">
        <v>126.045</v>
      </c>
      <c r="I4689" s="18">
        <v>12.297073170999999</v>
      </c>
      <c r="J4689" s="18">
        <v>12.48</v>
      </c>
      <c r="K4689" s="18">
        <v>12.11</v>
      </c>
      <c r="L4689" s="22">
        <v>9</v>
      </c>
    </row>
    <row r="4690" spans="1:12">
      <c r="A4690">
        <v>5</v>
      </c>
      <c r="B4690" s="16" t="s">
        <v>60</v>
      </c>
      <c r="C4690" s="9">
        <v>45748</v>
      </c>
      <c r="D4690">
        <v>48</v>
      </c>
      <c r="E4690" s="16" t="s">
        <v>137</v>
      </c>
      <c r="F4690" s="16" t="s">
        <v>138</v>
      </c>
      <c r="G4690" s="22">
        <v>11.75</v>
      </c>
      <c r="H4690" s="18">
        <v>144.88499999999999</v>
      </c>
      <c r="I4690" s="18">
        <v>12.330638298</v>
      </c>
      <c r="J4690" s="18">
        <v>12.52</v>
      </c>
      <c r="K4690" s="18">
        <v>12.01</v>
      </c>
      <c r="L4690" s="22">
        <v>8</v>
      </c>
    </row>
    <row r="4691" spans="1:12">
      <c r="A4691">
        <v>5</v>
      </c>
      <c r="B4691" s="16" t="s">
        <v>60</v>
      </c>
      <c r="C4691" s="9">
        <v>45778</v>
      </c>
      <c r="D4691">
        <v>48</v>
      </c>
      <c r="E4691" s="16" t="s">
        <v>137</v>
      </c>
      <c r="F4691" s="16" t="s">
        <v>138</v>
      </c>
      <c r="G4691" s="22">
        <v>17.25</v>
      </c>
      <c r="H4691" s="18">
        <v>211.39250000000001</v>
      </c>
      <c r="I4691" s="18">
        <v>12.254637681</v>
      </c>
      <c r="J4691" s="18">
        <v>12.55</v>
      </c>
      <c r="K4691" s="18">
        <v>12.01</v>
      </c>
      <c r="L4691" s="22">
        <v>9</v>
      </c>
    </row>
    <row r="4692" spans="1:12">
      <c r="A4692">
        <v>5</v>
      </c>
      <c r="B4692" s="16" t="s">
        <v>60</v>
      </c>
      <c r="C4692" s="9">
        <v>45809</v>
      </c>
      <c r="D4692">
        <v>48</v>
      </c>
      <c r="E4692" s="16" t="s">
        <v>137</v>
      </c>
      <c r="F4692" s="16" t="s">
        <v>138</v>
      </c>
      <c r="G4692" s="22">
        <v>16.75</v>
      </c>
      <c r="H4692" s="18">
        <v>208.18</v>
      </c>
      <c r="I4692" s="18">
        <v>12.428656716000001</v>
      </c>
      <c r="J4692" s="18">
        <v>12.66</v>
      </c>
      <c r="K4692" s="18">
        <v>12.17</v>
      </c>
      <c r="L4692" s="22">
        <v>9</v>
      </c>
    </row>
    <row r="4693" spans="1:12">
      <c r="A4693">
        <v>5</v>
      </c>
      <c r="B4693" s="16" t="s">
        <v>60</v>
      </c>
      <c r="C4693" s="9">
        <v>45839</v>
      </c>
      <c r="D4693">
        <v>48</v>
      </c>
      <c r="E4693" s="16" t="s">
        <v>137</v>
      </c>
      <c r="F4693" s="16" t="s">
        <v>138</v>
      </c>
      <c r="G4693" s="22">
        <v>19.75</v>
      </c>
      <c r="H4693" s="18">
        <v>245.58500000000001</v>
      </c>
      <c r="I4693" s="18">
        <v>12.434683544</v>
      </c>
      <c r="J4693" s="18">
        <v>12.69</v>
      </c>
      <c r="K4693" s="18">
        <v>12.17</v>
      </c>
      <c r="L4693" s="22">
        <v>9</v>
      </c>
    </row>
    <row r="4694" spans="1:12">
      <c r="A4694">
        <v>5</v>
      </c>
      <c r="B4694" s="16" t="s">
        <v>60</v>
      </c>
      <c r="C4694" s="9">
        <v>45870</v>
      </c>
      <c r="D4694">
        <v>48</v>
      </c>
      <c r="E4694" s="16" t="s">
        <v>137</v>
      </c>
      <c r="F4694" s="16" t="s">
        <v>138</v>
      </c>
      <c r="G4694" s="22">
        <v>17.5</v>
      </c>
      <c r="H4694" s="18">
        <v>217.965</v>
      </c>
      <c r="I4694" s="18">
        <v>12.455142857</v>
      </c>
      <c r="J4694" s="18">
        <v>12.71</v>
      </c>
      <c r="K4694" s="18">
        <v>12.3</v>
      </c>
      <c r="L4694" s="22">
        <v>8</v>
      </c>
    </row>
    <row r="4695" spans="1:12">
      <c r="A4695">
        <v>5</v>
      </c>
      <c r="B4695" s="16" t="s">
        <v>60</v>
      </c>
      <c r="C4695" s="9">
        <v>45901</v>
      </c>
      <c r="D4695">
        <v>48</v>
      </c>
      <c r="E4695" s="16" t="s">
        <v>137</v>
      </c>
      <c r="F4695" s="16" t="s">
        <v>138</v>
      </c>
      <c r="G4695" s="22">
        <v>12.25</v>
      </c>
      <c r="H4695" s="18">
        <v>153.28</v>
      </c>
      <c r="I4695" s="18">
        <v>12.512653061</v>
      </c>
      <c r="J4695" s="18">
        <v>12.81</v>
      </c>
      <c r="K4695" s="18">
        <v>12.23</v>
      </c>
      <c r="L4695" s="22">
        <v>9</v>
      </c>
    </row>
    <row r="4696" spans="1:12">
      <c r="A4696">
        <v>5</v>
      </c>
      <c r="B4696" s="16" t="s">
        <v>60</v>
      </c>
      <c r="C4696" s="9">
        <v>45931</v>
      </c>
      <c r="D4696">
        <v>48</v>
      </c>
      <c r="E4696" s="16" t="s">
        <v>137</v>
      </c>
      <c r="F4696" s="16" t="s">
        <v>138</v>
      </c>
      <c r="G4696" s="22">
        <v>12</v>
      </c>
      <c r="H4696" s="18">
        <v>150.34</v>
      </c>
      <c r="I4696" s="18">
        <v>12.528333333000001</v>
      </c>
      <c r="J4696" s="18">
        <v>12.8</v>
      </c>
      <c r="K4696" s="18">
        <v>12.36</v>
      </c>
      <c r="L4696" s="22">
        <v>9</v>
      </c>
    </row>
    <row r="4697" spans="1:12">
      <c r="A4697">
        <v>5</v>
      </c>
      <c r="B4697" s="16" t="s">
        <v>60</v>
      </c>
      <c r="C4697" s="9">
        <v>45962</v>
      </c>
      <c r="D4697">
        <v>48</v>
      </c>
      <c r="E4697" s="16" t="s">
        <v>137</v>
      </c>
      <c r="F4697" s="16" t="s">
        <v>138</v>
      </c>
      <c r="G4697" s="22">
        <v>8.25</v>
      </c>
      <c r="H4697" s="18">
        <v>110.36499999999999</v>
      </c>
      <c r="I4697" s="18">
        <v>13.377575758000001</v>
      </c>
      <c r="J4697" s="18">
        <v>14.38</v>
      </c>
      <c r="K4697" s="18">
        <v>12.43</v>
      </c>
      <c r="L4697" s="22">
        <v>8</v>
      </c>
    </row>
    <row r="4698" spans="1:12">
      <c r="A4698">
        <v>5</v>
      </c>
      <c r="B4698" s="16" t="s">
        <v>60</v>
      </c>
      <c r="C4698" s="9">
        <v>45992</v>
      </c>
      <c r="D4698">
        <v>48</v>
      </c>
      <c r="E4698" s="16" t="s">
        <v>137</v>
      </c>
      <c r="F4698" s="16" t="s">
        <v>138</v>
      </c>
      <c r="G4698" s="22">
        <v>7</v>
      </c>
      <c r="H4698" s="18">
        <v>98.905000000000001</v>
      </c>
      <c r="I4698" s="18">
        <v>14.129285714</v>
      </c>
      <c r="J4698" s="18">
        <v>14.55</v>
      </c>
      <c r="K4698" s="18">
        <v>13.64</v>
      </c>
      <c r="L4698" s="22">
        <v>9</v>
      </c>
    </row>
    <row r="4699" spans="1:12">
      <c r="A4699">
        <v>5</v>
      </c>
      <c r="B4699" s="16" t="s">
        <v>60</v>
      </c>
      <c r="C4699" s="9">
        <v>46023</v>
      </c>
      <c r="D4699">
        <v>48</v>
      </c>
      <c r="E4699" s="16" t="s">
        <v>137</v>
      </c>
      <c r="F4699" s="16" t="s">
        <v>138</v>
      </c>
      <c r="G4699" s="22">
        <v>8.25</v>
      </c>
      <c r="H4699" s="18">
        <v>104.05249999999999</v>
      </c>
      <c r="I4699" s="18">
        <v>12.612424241999999</v>
      </c>
      <c r="J4699" s="18">
        <v>12.75</v>
      </c>
      <c r="K4699" s="18">
        <v>12.52</v>
      </c>
      <c r="L4699" s="22">
        <v>8</v>
      </c>
    </row>
    <row r="4700" spans="1:12">
      <c r="A4700">
        <v>5</v>
      </c>
      <c r="B4700" s="16" t="s">
        <v>60</v>
      </c>
      <c r="C4700" s="9">
        <v>46054</v>
      </c>
      <c r="D4700">
        <v>48</v>
      </c>
      <c r="E4700" s="16" t="s">
        <v>137</v>
      </c>
      <c r="F4700" s="16" t="s">
        <v>138</v>
      </c>
      <c r="G4700" s="22">
        <v>8.25</v>
      </c>
      <c r="H4700" s="18">
        <v>105.2075</v>
      </c>
      <c r="I4700" s="18">
        <v>12.752424242</v>
      </c>
      <c r="J4700" s="18">
        <v>12.87</v>
      </c>
      <c r="K4700" s="18">
        <v>12.67</v>
      </c>
      <c r="L4700" s="22">
        <v>8</v>
      </c>
    </row>
    <row r="4701" spans="1:12">
      <c r="A4701">
        <v>5</v>
      </c>
      <c r="B4701" s="16" t="s">
        <v>60</v>
      </c>
      <c r="C4701" s="9">
        <v>46082</v>
      </c>
      <c r="D4701">
        <v>48</v>
      </c>
      <c r="E4701" s="16" t="s">
        <v>137</v>
      </c>
      <c r="F4701" s="16" t="s">
        <v>138</v>
      </c>
      <c r="G4701" s="22">
        <v>10</v>
      </c>
      <c r="H4701" s="18">
        <v>128.20249999999999</v>
      </c>
      <c r="I4701" s="18">
        <v>12.82025</v>
      </c>
      <c r="J4701" s="18">
        <v>13.03</v>
      </c>
      <c r="K4701" s="18">
        <v>12.47</v>
      </c>
      <c r="L4701" s="22">
        <v>9</v>
      </c>
    </row>
    <row r="4702" spans="1:12">
      <c r="A4702">
        <v>5</v>
      </c>
      <c r="B4702" s="16" t="s">
        <v>60</v>
      </c>
      <c r="C4702" s="9">
        <v>46113</v>
      </c>
      <c r="D4702">
        <v>48</v>
      </c>
      <c r="E4702" s="16" t="s">
        <v>137</v>
      </c>
      <c r="F4702" s="16" t="s">
        <v>138</v>
      </c>
      <c r="G4702" s="22">
        <v>13.25</v>
      </c>
      <c r="H4702" s="18">
        <v>169.6825</v>
      </c>
      <c r="I4702" s="18">
        <v>12.806226414999999</v>
      </c>
      <c r="J4702" s="18">
        <v>13.05</v>
      </c>
      <c r="K4702" s="18">
        <v>12.55</v>
      </c>
      <c r="L4702" s="22">
        <v>9</v>
      </c>
    </row>
    <row r="4703" spans="1:12">
      <c r="A4703">
        <v>5</v>
      </c>
      <c r="B4703" s="16" t="s">
        <v>60</v>
      </c>
      <c r="C4703" s="9">
        <v>46143</v>
      </c>
      <c r="D4703">
        <v>48</v>
      </c>
      <c r="E4703" s="16" t="s">
        <v>137</v>
      </c>
      <c r="F4703" s="16" t="s">
        <v>138</v>
      </c>
      <c r="G4703" s="22">
        <v>12.5</v>
      </c>
      <c r="H4703" s="18">
        <v>159.97499999999999</v>
      </c>
      <c r="I4703" s="18">
        <v>12.798</v>
      </c>
      <c r="J4703" s="18">
        <v>13.09</v>
      </c>
      <c r="K4703" s="18">
        <v>12.58</v>
      </c>
      <c r="L4703" s="22">
        <v>8</v>
      </c>
    </row>
    <row r="4704" spans="1:12">
      <c r="A4704">
        <v>5</v>
      </c>
      <c r="B4704" s="16" t="s">
        <v>60</v>
      </c>
      <c r="C4704" s="9">
        <v>46174</v>
      </c>
      <c r="D4704">
        <v>48</v>
      </c>
      <c r="E4704" s="16" t="s">
        <v>137</v>
      </c>
      <c r="F4704" s="16" t="s">
        <v>138</v>
      </c>
      <c r="G4704" s="22">
        <v>17.75</v>
      </c>
      <c r="H4704" s="18">
        <v>228.85749999999999</v>
      </c>
      <c r="I4704" s="18">
        <v>12.893380282000001</v>
      </c>
      <c r="J4704" s="18">
        <v>13.08</v>
      </c>
      <c r="K4704" s="18">
        <v>12.55</v>
      </c>
      <c r="L4704" s="22">
        <v>9</v>
      </c>
    </row>
    <row r="4705" spans="1:12">
      <c r="A4705">
        <v>5</v>
      </c>
      <c r="B4705" s="16" t="s">
        <v>60</v>
      </c>
      <c r="C4705" s="9">
        <v>46204</v>
      </c>
      <c r="D4705">
        <v>48</v>
      </c>
      <c r="E4705" s="16" t="s">
        <v>137</v>
      </c>
      <c r="F4705" s="16" t="s">
        <v>138</v>
      </c>
      <c r="G4705" s="22">
        <v>22.5</v>
      </c>
      <c r="H4705" s="18">
        <v>287.84500000000003</v>
      </c>
      <c r="I4705" s="18">
        <v>12.793111111</v>
      </c>
      <c r="J4705" s="18">
        <v>13.1</v>
      </c>
      <c r="K4705" s="18">
        <v>12.41</v>
      </c>
      <c r="L4705" s="22">
        <v>9</v>
      </c>
    </row>
    <row r="4706" spans="1:12">
      <c r="A4706">
        <v>5</v>
      </c>
      <c r="B4706" s="16" t="s">
        <v>60</v>
      </c>
      <c r="C4706" s="9">
        <v>46235</v>
      </c>
      <c r="D4706">
        <v>48</v>
      </c>
      <c r="E4706" s="16" t="s">
        <v>137</v>
      </c>
      <c r="F4706" s="16" t="s">
        <v>138</v>
      </c>
      <c r="G4706" s="22">
        <v>14.75</v>
      </c>
      <c r="H4706" s="18">
        <v>186.625</v>
      </c>
      <c r="I4706" s="18">
        <v>12.652542372999999</v>
      </c>
      <c r="J4706" s="18">
        <v>13.45</v>
      </c>
      <c r="K4706" s="18">
        <v>12.54</v>
      </c>
      <c r="L4706" s="22">
        <v>9</v>
      </c>
    </row>
    <row r="4707" spans="1:12">
      <c r="A4707">
        <v>5</v>
      </c>
      <c r="B4707" s="16" t="s">
        <v>60</v>
      </c>
      <c r="C4707" s="9">
        <v>46266</v>
      </c>
      <c r="D4707">
        <v>48</v>
      </c>
      <c r="E4707" s="16" t="s">
        <v>137</v>
      </c>
      <c r="F4707" s="16" t="s">
        <v>138</v>
      </c>
      <c r="G4707" s="22">
        <v>10.75</v>
      </c>
      <c r="H4707" s="18">
        <v>136.185</v>
      </c>
      <c r="I4707" s="18">
        <v>12.668372093</v>
      </c>
      <c r="J4707" s="18">
        <v>12.89</v>
      </c>
      <c r="K4707" s="18">
        <v>12.46</v>
      </c>
      <c r="L4707" s="22">
        <v>8</v>
      </c>
    </row>
    <row r="4708" spans="1:12">
      <c r="A4708">
        <v>5</v>
      </c>
      <c r="B4708" s="16" t="s">
        <v>60</v>
      </c>
      <c r="C4708" s="9">
        <v>45689</v>
      </c>
      <c r="D4708">
        <v>49</v>
      </c>
      <c r="E4708" s="16" t="s">
        <v>139</v>
      </c>
      <c r="F4708" s="16" t="s">
        <v>138</v>
      </c>
      <c r="G4708" s="22">
        <v>11.5</v>
      </c>
      <c r="H4708" s="18">
        <v>81.790000000000006</v>
      </c>
      <c r="I4708" s="18">
        <v>7.1121739130000003</v>
      </c>
      <c r="J4708" s="18">
        <v>7.54</v>
      </c>
      <c r="K4708" s="18">
        <v>7</v>
      </c>
      <c r="L4708" s="22">
        <v>8</v>
      </c>
    </row>
    <row r="4709" spans="1:12">
      <c r="A4709">
        <v>5</v>
      </c>
      <c r="B4709" s="16" t="s">
        <v>60</v>
      </c>
      <c r="C4709" s="9">
        <v>45717</v>
      </c>
      <c r="D4709">
        <v>49</v>
      </c>
      <c r="E4709" s="16" t="s">
        <v>139</v>
      </c>
      <c r="F4709" s="16" t="s">
        <v>138</v>
      </c>
      <c r="G4709" s="22">
        <v>14.75</v>
      </c>
      <c r="H4709" s="18">
        <v>104.34</v>
      </c>
      <c r="I4709" s="18">
        <v>7.0738983050000002</v>
      </c>
      <c r="J4709" s="18">
        <v>7.3</v>
      </c>
      <c r="K4709" s="18">
        <v>6.94</v>
      </c>
      <c r="L4709" s="22">
        <v>9</v>
      </c>
    </row>
    <row r="4710" spans="1:12">
      <c r="A4710">
        <v>5</v>
      </c>
      <c r="B4710" s="16" t="s">
        <v>60</v>
      </c>
      <c r="C4710" s="9">
        <v>45748</v>
      </c>
      <c r="D4710">
        <v>49</v>
      </c>
      <c r="E4710" s="16" t="s">
        <v>139</v>
      </c>
      <c r="F4710" s="16" t="s">
        <v>138</v>
      </c>
      <c r="G4710" s="22">
        <v>17.25</v>
      </c>
      <c r="H4710" s="18">
        <v>121.9225</v>
      </c>
      <c r="I4710" s="18">
        <v>7.0679710140000003</v>
      </c>
      <c r="J4710" s="18">
        <v>7.18</v>
      </c>
      <c r="K4710" s="18">
        <v>6.95</v>
      </c>
      <c r="L4710" s="22">
        <v>8</v>
      </c>
    </row>
    <row r="4711" spans="1:12">
      <c r="A4711">
        <v>5</v>
      </c>
      <c r="B4711" s="16" t="s">
        <v>60</v>
      </c>
      <c r="C4711" s="9">
        <v>45778</v>
      </c>
      <c r="D4711">
        <v>49</v>
      </c>
      <c r="E4711" s="16" t="s">
        <v>139</v>
      </c>
      <c r="F4711" s="16" t="s">
        <v>138</v>
      </c>
      <c r="G4711" s="22">
        <v>25.5</v>
      </c>
      <c r="H4711" s="18">
        <v>181.41749999999999</v>
      </c>
      <c r="I4711" s="18">
        <v>7.1144117649999998</v>
      </c>
      <c r="J4711" s="18">
        <v>7.31</v>
      </c>
      <c r="K4711" s="18">
        <v>6.96</v>
      </c>
      <c r="L4711" s="22">
        <v>9</v>
      </c>
    </row>
    <row r="4712" spans="1:12">
      <c r="A4712">
        <v>5</v>
      </c>
      <c r="B4712" s="16" t="s">
        <v>60</v>
      </c>
      <c r="C4712" s="9">
        <v>45809</v>
      </c>
      <c r="D4712">
        <v>49</v>
      </c>
      <c r="E4712" s="16" t="s">
        <v>139</v>
      </c>
      <c r="F4712" s="16" t="s">
        <v>138</v>
      </c>
      <c r="G4712" s="22">
        <v>24</v>
      </c>
      <c r="H4712" s="18">
        <v>170.85249999999999</v>
      </c>
      <c r="I4712" s="18">
        <v>7.1188541670000003</v>
      </c>
      <c r="J4712" s="18">
        <v>7.26</v>
      </c>
      <c r="K4712" s="18">
        <v>6.95</v>
      </c>
      <c r="L4712" s="22">
        <v>9</v>
      </c>
    </row>
    <row r="4713" spans="1:12">
      <c r="A4713">
        <v>5</v>
      </c>
      <c r="B4713" s="16" t="s">
        <v>60</v>
      </c>
      <c r="C4713" s="9">
        <v>45839</v>
      </c>
      <c r="D4713">
        <v>49</v>
      </c>
      <c r="E4713" s="16" t="s">
        <v>139</v>
      </c>
      <c r="F4713" s="16" t="s">
        <v>138</v>
      </c>
      <c r="G4713" s="22">
        <v>29.25</v>
      </c>
      <c r="H4713" s="18">
        <v>212.16749999999999</v>
      </c>
      <c r="I4713" s="18">
        <v>7.2535897440000001</v>
      </c>
      <c r="J4713" s="18">
        <v>7.7</v>
      </c>
      <c r="K4713" s="18">
        <v>7.13</v>
      </c>
      <c r="L4713" s="22">
        <v>9</v>
      </c>
    </row>
    <row r="4714" spans="1:12">
      <c r="A4714">
        <v>5</v>
      </c>
      <c r="B4714" s="16" t="s">
        <v>60</v>
      </c>
      <c r="C4714" s="9">
        <v>45870</v>
      </c>
      <c r="D4714">
        <v>49</v>
      </c>
      <c r="E4714" s="16" t="s">
        <v>139</v>
      </c>
      <c r="F4714" s="16" t="s">
        <v>138</v>
      </c>
      <c r="G4714" s="22">
        <v>24.5</v>
      </c>
      <c r="H4714" s="18">
        <v>181.01499999999999</v>
      </c>
      <c r="I4714" s="18">
        <v>7.388367347</v>
      </c>
      <c r="J4714" s="18">
        <v>7.53</v>
      </c>
      <c r="K4714" s="18">
        <v>7.28</v>
      </c>
      <c r="L4714" s="22">
        <v>8</v>
      </c>
    </row>
    <row r="4715" spans="1:12">
      <c r="A4715">
        <v>5</v>
      </c>
      <c r="B4715" s="16" t="s">
        <v>60</v>
      </c>
      <c r="C4715" s="9">
        <v>45901</v>
      </c>
      <c r="D4715">
        <v>49</v>
      </c>
      <c r="E4715" s="16" t="s">
        <v>139</v>
      </c>
      <c r="F4715" s="16" t="s">
        <v>138</v>
      </c>
      <c r="G4715" s="22">
        <v>17.5</v>
      </c>
      <c r="H4715" s="18">
        <v>128.3725</v>
      </c>
      <c r="I4715" s="18">
        <v>7.3355714289999998</v>
      </c>
      <c r="J4715" s="18">
        <v>7.73</v>
      </c>
      <c r="K4715" s="18">
        <v>7.19</v>
      </c>
      <c r="L4715" s="22">
        <v>9</v>
      </c>
    </row>
    <row r="4716" spans="1:12">
      <c r="A4716">
        <v>5</v>
      </c>
      <c r="B4716" s="16" t="s">
        <v>60</v>
      </c>
      <c r="C4716" s="9">
        <v>45931</v>
      </c>
      <c r="D4716">
        <v>49</v>
      </c>
      <c r="E4716" s="16" t="s">
        <v>139</v>
      </c>
      <c r="F4716" s="16" t="s">
        <v>138</v>
      </c>
      <c r="G4716" s="22">
        <v>17.75</v>
      </c>
      <c r="H4716" s="18">
        <v>130.97749999999999</v>
      </c>
      <c r="I4716" s="18">
        <v>7.3790140849999997</v>
      </c>
      <c r="J4716" s="18">
        <v>7.46</v>
      </c>
      <c r="K4716" s="18">
        <v>7.24</v>
      </c>
      <c r="L4716" s="22">
        <v>9</v>
      </c>
    </row>
    <row r="4717" spans="1:12">
      <c r="A4717">
        <v>5</v>
      </c>
      <c r="B4717" s="16" t="s">
        <v>60</v>
      </c>
      <c r="C4717" s="9">
        <v>45962</v>
      </c>
      <c r="D4717">
        <v>49</v>
      </c>
      <c r="E4717" s="16" t="s">
        <v>139</v>
      </c>
      <c r="F4717" s="16" t="s">
        <v>138</v>
      </c>
      <c r="G4717" s="22">
        <v>12</v>
      </c>
      <c r="H4717" s="18">
        <v>94.762500000000003</v>
      </c>
      <c r="I4717" s="18">
        <v>7.8968749999999996</v>
      </c>
      <c r="J4717" s="18">
        <v>8.41</v>
      </c>
      <c r="K4717" s="18">
        <v>7.34</v>
      </c>
      <c r="L4717" s="22">
        <v>8</v>
      </c>
    </row>
    <row r="4718" spans="1:12">
      <c r="A4718">
        <v>5</v>
      </c>
      <c r="B4718" s="16" t="s">
        <v>60</v>
      </c>
      <c r="C4718" s="9">
        <v>45992</v>
      </c>
      <c r="D4718">
        <v>49</v>
      </c>
      <c r="E4718" s="16" t="s">
        <v>139</v>
      </c>
      <c r="F4718" s="16" t="s">
        <v>138</v>
      </c>
      <c r="G4718" s="22">
        <v>9.75</v>
      </c>
      <c r="H4718" s="18">
        <v>80.64</v>
      </c>
      <c r="I4718" s="18">
        <v>8.2707692309999992</v>
      </c>
      <c r="J4718" s="18">
        <v>8.42</v>
      </c>
      <c r="K4718" s="18">
        <v>8.14</v>
      </c>
      <c r="L4718" s="22">
        <v>9</v>
      </c>
    </row>
    <row r="4719" spans="1:12">
      <c r="A4719">
        <v>5</v>
      </c>
      <c r="B4719" s="16" t="s">
        <v>60</v>
      </c>
      <c r="C4719" s="9">
        <v>46023</v>
      </c>
      <c r="D4719">
        <v>49</v>
      </c>
      <c r="E4719" s="16" t="s">
        <v>139</v>
      </c>
      <c r="F4719" s="16" t="s">
        <v>138</v>
      </c>
      <c r="G4719" s="22">
        <v>11.5</v>
      </c>
      <c r="H4719" s="18">
        <v>85.174999999999997</v>
      </c>
      <c r="I4719" s="18">
        <v>7.4065217390000004</v>
      </c>
      <c r="J4719" s="18">
        <v>7.67</v>
      </c>
      <c r="K4719" s="18">
        <v>7.29</v>
      </c>
      <c r="L4719" s="22">
        <v>8</v>
      </c>
    </row>
    <row r="4720" spans="1:12">
      <c r="A4720">
        <v>5</v>
      </c>
      <c r="B4720" s="16" t="s">
        <v>60</v>
      </c>
      <c r="C4720" s="9">
        <v>46054</v>
      </c>
      <c r="D4720">
        <v>49</v>
      </c>
      <c r="E4720" s="16" t="s">
        <v>139</v>
      </c>
      <c r="F4720" s="16" t="s">
        <v>138</v>
      </c>
      <c r="G4720" s="22">
        <v>11.25</v>
      </c>
      <c r="H4720" s="18">
        <v>82.24</v>
      </c>
      <c r="I4720" s="18">
        <v>7.3102222220000002</v>
      </c>
      <c r="J4720" s="18">
        <v>7.42</v>
      </c>
      <c r="K4720" s="18">
        <v>7.19</v>
      </c>
      <c r="L4720" s="22">
        <v>8</v>
      </c>
    </row>
    <row r="4721" spans="1:12">
      <c r="A4721">
        <v>5</v>
      </c>
      <c r="B4721" s="16" t="s">
        <v>60</v>
      </c>
      <c r="C4721" s="9">
        <v>46082</v>
      </c>
      <c r="D4721">
        <v>49</v>
      </c>
      <c r="E4721" s="16" t="s">
        <v>139</v>
      </c>
      <c r="F4721" s="16" t="s">
        <v>138</v>
      </c>
      <c r="G4721" s="22">
        <v>13.75</v>
      </c>
      <c r="H4721" s="18">
        <v>101.315</v>
      </c>
      <c r="I4721" s="18">
        <v>7.3683636359999998</v>
      </c>
      <c r="J4721" s="18">
        <v>7.51</v>
      </c>
      <c r="K4721" s="18">
        <v>7.29</v>
      </c>
      <c r="L4721" s="22">
        <v>9</v>
      </c>
    </row>
    <row r="4722" spans="1:12">
      <c r="A4722">
        <v>5</v>
      </c>
      <c r="B4722" s="16" t="s">
        <v>60</v>
      </c>
      <c r="C4722" s="9">
        <v>46113</v>
      </c>
      <c r="D4722">
        <v>49</v>
      </c>
      <c r="E4722" s="16" t="s">
        <v>139</v>
      </c>
      <c r="F4722" s="16" t="s">
        <v>138</v>
      </c>
      <c r="G4722" s="22">
        <v>19.5</v>
      </c>
      <c r="H4722" s="18">
        <v>144.33250000000001</v>
      </c>
      <c r="I4722" s="18">
        <v>7.4016666669999998</v>
      </c>
      <c r="J4722" s="18">
        <v>7.56</v>
      </c>
      <c r="K4722" s="18">
        <v>7.3</v>
      </c>
      <c r="L4722" s="22">
        <v>9</v>
      </c>
    </row>
    <row r="4723" spans="1:12">
      <c r="A4723">
        <v>5</v>
      </c>
      <c r="B4723" s="16" t="s">
        <v>60</v>
      </c>
      <c r="C4723" s="9">
        <v>46143</v>
      </c>
      <c r="D4723">
        <v>49</v>
      </c>
      <c r="E4723" s="16" t="s">
        <v>139</v>
      </c>
      <c r="F4723" s="16" t="s">
        <v>138</v>
      </c>
      <c r="G4723" s="22">
        <v>18.25</v>
      </c>
      <c r="H4723" s="18">
        <v>135.255</v>
      </c>
      <c r="I4723" s="18">
        <v>7.4112328769999998</v>
      </c>
      <c r="J4723" s="18">
        <v>7.48</v>
      </c>
      <c r="K4723" s="18">
        <v>7.35</v>
      </c>
      <c r="L4723" s="22">
        <v>8</v>
      </c>
    </row>
    <row r="4724" spans="1:12">
      <c r="A4724">
        <v>5</v>
      </c>
      <c r="B4724" s="16" t="s">
        <v>60</v>
      </c>
      <c r="C4724" s="9">
        <v>46174</v>
      </c>
      <c r="D4724">
        <v>49</v>
      </c>
      <c r="E4724" s="16" t="s">
        <v>139</v>
      </c>
      <c r="F4724" s="16" t="s">
        <v>138</v>
      </c>
      <c r="G4724" s="22">
        <v>26</v>
      </c>
      <c r="H4724" s="18">
        <v>193.43</v>
      </c>
      <c r="I4724" s="18">
        <v>7.4396153849999997</v>
      </c>
      <c r="J4724" s="18">
        <v>7.59</v>
      </c>
      <c r="K4724" s="18">
        <v>7.31</v>
      </c>
      <c r="L4724" s="22">
        <v>9</v>
      </c>
    </row>
    <row r="4725" spans="1:12">
      <c r="A4725">
        <v>5</v>
      </c>
      <c r="B4725" s="16" t="s">
        <v>60</v>
      </c>
      <c r="C4725" s="9">
        <v>46204</v>
      </c>
      <c r="D4725">
        <v>49</v>
      </c>
      <c r="E4725" s="16" t="s">
        <v>139</v>
      </c>
      <c r="F4725" s="16" t="s">
        <v>138</v>
      </c>
      <c r="G4725" s="22">
        <v>32.5</v>
      </c>
      <c r="H4725" s="18">
        <v>240.07499999999999</v>
      </c>
      <c r="I4725" s="18">
        <v>7.3869230769999996</v>
      </c>
      <c r="J4725" s="18">
        <v>7.47</v>
      </c>
      <c r="K4725" s="18">
        <v>7.23</v>
      </c>
      <c r="L4725" s="22">
        <v>9</v>
      </c>
    </row>
    <row r="4726" spans="1:12">
      <c r="A4726">
        <v>5</v>
      </c>
      <c r="B4726" s="16" t="s">
        <v>60</v>
      </c>
      <c r="C4726" s="9">
        <v>46235</v>
      </c>
      <c r="D4726">
        <v>49</v>
      </c>
      <c r="E4726" s="16" t="s">
        <v>139</v>
      </c>
      <c r="F4726" s="16" t="s">
        <v>138</v>
      </c>
      <c r="G4726" s="22">
        <v>21.75</v>
      </c>
      <c r="H4726" s="18">
        <v>163.69999999999999</v>
      </c>
      <c r="I4726" s="18">
        <v>7.5264367820000002</v>
      </c>
      <c r="J4726" s="18">
        <v>7.82</v>
      </c>
      <c r="K4726" s="18">
        <v>7.34</v>
      </c>
      <c r="L4726" s="22">
        <v>9</v>
      </c>
    </row>
    <row r="4727" spans="1:12">
      <c r="A4727">
        <v>5</v>
      </c>
      <c r="B4727" s="16" t="s">
        <v>60</v>
      </c>
      <c r="C4727" s="9">
        <v>46266</v>
      </c>
      <c r="D4727">
        <v>49</v>
      </c>
      <c r="E4727" s="16" t="s">
        <v>139</v>
      </c>
      <c r="F4727" s="16" t="s">
        <v>138</v>
      </c>
      <c r="G4727" s="22">
        <v>15.25</v>
      </c>
      <c r="H4727" s="18">
        <v>112.97</v>
      </c>
      <c r="I4727" s="18">
        <v>7.407868852</v>
      </c>
      <c r="J4727" s="18">
        <v>7.55</v>
      </c>
      <c r="K4727" s="18">
        <v>7.31</v>
      </c>
      <c r="L4727" s="22">
        <v>8</v>
      </c>
    </row>
    <row r="4728" spans="1:12">
      <c r="A4728">
        <v>5</v>
      </c>
      <c r="B4728" s="16" t="s">
        <v>60</v>
      </c>
      <c r="C4728" s="9">
        <v>45689</v>
      </c>
      <c r="D4728">
        <v>50</v>
      </c>
      <c r="E4728" s="16" t="s">
        <v>140</v>
      </c>
      <c r="F4728" s="16" t="s">
        <v>138</v>
      </c>
      <c r="G4728" s="22">
        <v>11.75</v>
      </c>
      <c r="H4728" s="18">
        <v>46.92</v>
      </c>
      <c r="I4728" s="18">
        <v>3.993191489</v>
      </c>
      <c r="J4728" s="18">
        <v>4.22</v>
      </c>
      <c r="K4728" s="18">
        <v>3.91</v>
      </c>
      <c r="L4728" s="22">
        <v>8</v>
      </c>
    </row>
    <row r="4729" spans="1:12">
      <c r="A4729">
        <v>5</v>
      </c>
      <c r="B4729" s="16" t="s">
        <v>60</v>
      </c>
      <c r="C4729" s="9">
        <v>45717</v>
      </c>
      <c r="D4729">
        <v>50</v>
      </c>
      <c r="E4729" s="16" t="s">
        <v>140</v>
      </c>
      <c r="F4729" s="16" t="s">
        <v>138</v>
      </c>
      <c r="G4729" s="22">
        <v>14.75</v>
      </c>
      <c r="H4729" s="18">
        <v>58.452500000000001</v>
      </c>
      <c r="I4729" s="18">
        <v>3.962881356</v>
      </c>
      <c r="J4729" s="18">
        <v>4.03</v>
      </c>
      <c r="K4729" s="18">
        <v>3.86</v>
      </c>
      <c r="L4729" s="22">
        <v>9</v>
      </c>
    </row>
    <row r="4730" spans="1:12">
      <c r="A4730">
        <v>5</v>
      </c>
      <c r="B4730" s="16" t="s">
        <v>60</v>
      </c>
      <c r="C4730" s="9">
        <v>45748</v>
      </c>
      <c r="D4730">
        <v>50</v>
      </c>
      <c r="E4730" s="16" t="s">
        <v>140</v>
      </c>
      <c r="F4730" s="16" t="s">
        <v>138</v>
      </c>
      <c r="G4730" s="22">
        <v>17.25</v>
      </c>
      <c r="H4730" s="18">
        <v>68.295000000000002</v>
      </c>
      <c r="I4730" s="18">
        <v>3.9591304350000001</v>
      </c>
      <c r="J4730" s="18">
        <v>4.05</v>
      </c>
      <c r="K4730" s="18">
        <v>3.9</v>
      </c>
      <c r="L4730" s="22">
        <v>8</v>
      </c>
    </row>
    <row r="4731" spans="1:12">
      <c r="A4731">
        <v>5</v>
      </c>
      <c r="B4731" s="16" t="s">
        <v>60</v>
      </c>
      <c r="C4731" s="9">
        <v>45778</v>
      </c>
      <c r="D4731">
        <v>50</v>
      </c>
      <c r="E4731" s="16" t="s">
        <v>140</v>
      </c>
      <c r="F4731" s="16" t="s">
        <v>138</v>
      </c>
      <c r="G4731" s="22">
        <v>25.25</v>
      </c>
      <c r="H4731" s="18">
        <v>100.80500000000001</v>
      </c>
      <c r="I4731" s="18">
        <v>3.9922772279999998</v>
      </c>
      <c r="J4731" s="18">
        <v>4.04</v>
      </c>
      <c r="K4731" s="18">
        <v>3.94</v>
      </c>
      <c r="L4731" s="22">
        <v>9</v>
      </c>
    </row>
    <row r="4732" spans="1:12">
      <c r="A4732">
        <v>5</v>
      </c>
      <c r="B4732" s="16" t="s">
        <v>60</v>
      </c>
      <c r="C4732" s="9">
        <v>45809</v>
      </c>
      <c r="D4732">
        <v>50</v>
      </c>
      <c r="E4732" s="16" t="s">
        <v>140</v>
      </c>
      <c r="F4732" s="16" t="s">
        <v>138</v>
      </c>
      <c r="G4732" s="22">
        <v>24</v>
      </c>
      <c r="H4732" s="18">
        <v>96.41</v>
      </c>
      <c r="I4732" s="18">
        <v>4.0170833330000004</v>
      </c>
      <c r="J4732" s="18">
        <v>4.07</v>
      </c>
      <c r="K4732" s="18">
        <v>3.97</v>
      </c>
      <c r="L4732" s="22">
        <v>9</v>
      </c>
    </row>
    <row r="4733" spans="1:12">
      <c r="A4733">
        <v>5</v>
      </c>
      <c r="B4733" s="16" t="s">
        <v>60</v>
      </c>
      <c r="C4733" s="9">
        <v>45839</v>
      </c>
      <c r="D4733">
        <v>50</v>
      </c>
      <c r="E4733" s="16" t="s">
        <v>140</v>
      </c>
      <c r="F4733" s="16" t="s">
        <v>138</v>
      </c>
      <c r="G4733" s="22">
        <v>29.75</v>
      </c>
      <c r="H4733" s="18">
        <v>120.4525</v>
      </c>
      <c r="I4733" s="18">
        <v>4.0488235289999999</v>
      </c>
      <c r="J4733" s="18">
        <v>4.13</v>
      </c>
      <c r="K4733" s="18">
        <v>3.98</v>
      </c>
      <c r="L4733" s="22">
        <v>9</v>
      </c>
    </row>
    <row r="4734" spans="1:12">
      <c r="A4734">
        <v>5</v>
      </c>
      <c r="B4734" s="16" t="s">
        <v>60</v>
      </c>
      <c r="C4734" s="9">
        <v>45870</v>
      </c>
      <c r="D4734">
        <v>50</v>
      </c>
      <c r="E4734" s="16" t="s">
        <v>140</v>
      </c>
      <c r="F4734" s="16" t="s">
        <v>138</v>
      </c>
      <c r="G4734" s="22">
        <v>25.5</v>
      </c>
      <c r="H4734" s="18">
        <v>103.7075</v>
      </c>
      <c r="I4734" s="18">
        <v>4.0669607839999999</v>
      </c>
      <c r="J4734" s="18">
        <v>4.24</v>
      </c>
      <c r="K4734" s="18">
        <v>3.98</v>
      </c>
      <c r="L4734" s="22">
        <v>8</v>
      </c>
    </row>
    <row r="4735" spans="1:12">
      <c r="A4735">
        <v>5</v>
      </c>
      <c r="B4735" s="16" t="s">
        <v>60</v>
      </c>
      <c r="C4735" s="9">
        <v>45901</v>
      </c>
      <c r="D4735">
        <v>50</v>
      </c>
      <c r="E4735" s="16" t="s">
        <v>140</v>
      </c>
      <c r="F4735" s="16" t="s">
        <v>138</v>
      </c>
      <c r="G4735" s="22">
        <v>17.5</v>
      </c>
      <c r="H4735" s="18">
        <v>70.657499999999999</v>
      </c>
      <c r="I4735" s="18">
        <v>4.0375714289999998</v>
      </c>
      <c r="J4735" s="18">
        <v>4.07</v>
      </c>
      <c r="K4735" s="18">
        <v>4</v>
      </c>
      <c r="L4735" s="22">
        <v>9</v>
      </c>
    </row>
    <row r="4736" spans="1:12">
      <c r="A4736">
        <v>5</v>
      </c>
      <c r="B4736" s="16" t="s">
        <v>60</v>
      </c>
      <c r="C4736" s="9">
        <v>45931</v>
      </c>
      <c r="D4736">
        <v>50</v>
      </c>
      <c r="E4736" s="16" t="s">
        <v>140</v>
      </c>
      <c r="F4736" s="16" t="s">
        <v>138</v>
      </c>
      <c r="G4736" s="22">
        <v>17.75</v>
      </c>
      <c r="H4736" s="18">
        <v>72.055000000000007</v>
      </c>
      <c r="I4736" s="18">
        <v>4.0594366199999996</v>
      </c>
      <c r="J4736" s="18">
        <v>4.16</v>
      </c>
      <c r="K4736" s="18">
        <v>4.03</v>
      </c>
      <c r="L4736" s="22">
        <v>9</v>
      </c>
    </row>
    <row r="4737" spans="1:12">
      <c r="A4737">
        <v>5</v>
      </c>
      <c r="B4737" s="16" t="s">
        <v>60</v>
      </c>
      <c r="C4737" s="9">
        <v>45962</v>
      </c>
      <c r="D4737">
        <v>50</v>
      </c>
      <c r="E4737" s="16" t="s">
        <v>140</v>
      </c>
      <c r="F4737" s="16" t="s">
        <v>138</v>
      </c>
      <c r="G4737" s="22">
        <v>12.25</v>
      </c>
      <c r="H4737" s="18">
        <v>53.54</v>
      </c>
      <c r="I4737" s="18">
        <v>4.3706122450000002</v>
      </c>
      <c r="J4737" s="18">
        <v>4.6900000000000004</v>
      </c>
      <c r="K4737" s="18">
        <v>4.01</v>
      </c>
      <c r="L4737" s="22">
        <v>8</v>
      </c>
    </row>
    <row r="4738" spans="1:12">
      <c r="A4738">
        <v>5</v>
      </c>
      <c r="B4738" s="16" t="s">
        <v>60</v>
      </c>
      <c r="C4738" s="9">
        <v>45992</v>
      </c>
      <c r="D4738">
        <v>50</v>
      </c>
      <c r="E4738" s="16" t="s">
        <v>140</v>
      </c>
      <c r="F4738" s="16" t="s">
        <v>138</v>
      </c>
      <c r="G4738" s="22">
        <v>10</v>
      </c>
      <c r="H4738" s="18">
        <v>46.352499999999999</v>
      </c>
      <c r="I4738" s="18">
        <v>4.6352500000000001</v>
      </c>
      <c r="J4738" s="18">
        <v>4.7</v>
      </c>
      <c r="K4738" s="18">
        <v>4.46</v>
      </c>
      <c r="L4738" s="22">
        <v>9</v>
      </c>
    </row>
    <row r="4739" spans="1:12">
      <c r="A4739">
        <v>5</v>
      </c>
      <c r="B4739" s="16" t="s">
        <v>60</v>
      </c>
      <c r="C4739" s="9">
        <v>46023</v>
      </c>
      <c r="D4739">
        <v>50</v>
      </c>
      <c r="E4739" s="16" t="s">
        <v>140</v>
      </c>
      <c r="F4739" s="16" t="s">
        <v>138</v>
      </c>
      <c r="G4739" s="22">
        <v>11.25</v>
      </c>
      <c r="H4739" s="18">
        <v>46.5075</v>
      </c>
      <c r="I4739" s="18">
        <v>4.1340000000000003</v>
      </c>
      <c r="J4739" s="18">
        <v>4.2</v>
      </c>
      <c r="K4739" s="18">
        <v>3.98</v>
      </c>
      <c r="L4739" s="22">
        <v>8</v>
      </c>
    </row>
    <row r="4740" spans="1:12">
      <c r="A4740">
        <v>5</v>
      </c>
      <c r="B4740" s="16" t="s">
        <v>60</v>
      </c>
      <c r="C4740" s="9">
        <v>46054</v>
      </c>
      <c r="D4740">
        <v>50</v>
      </c>
      <c r="E4740" s="16" t="s">
        <v>140</v>
      </c>
      <c r="F4740" s="16" t="s">
        <v>138</v>
      </c>
      <c r="G4740" s="22">
        <v>11.25</v>
      </c>
      <c r="H4740" s="18">
        <v>46.477499999999999</v>
      </c>
      <c r="I4740" s="18">
        <v>4.1313333329999997</v>
      </c>
      <c r="J4740" s="18">
        <v>4.17</v>
      </c>
      <c r="K4740" s="18">
        <v>4.07</v>
      </c>
      <c r="L4740" s="22">
        <v>8</v>
      </c>
    </row>
    <row r="4741" spans="1:12">
      <c r="A4741">
        <v>5</v>
      </c>
      <c r="B4741" s="16" t="s">
        <v>60</v>
      </c>
      <c r="C4741" s="9">
        <v>46082</v>
      </c>
      <c r="D4741">
        <v>50</v>
      </c>
      <c r="E4741" s="16" t="s">
        <v>140</v>
      </c>
      <c r="F4741" s="16" t="s">
        <v>138</v>
      </c>
      <c r="G4741" s="22">
        <v>14</v>
      </c>
      <c r="H4741" s="18">
        <v>58.042499999999997</v>
      </c>
      <c r="I4741" s="18">
        <v>4.1458928569999998</v>
      </c>
      <c r="J4741" s="18">
        <v>4.1900000000000004</v>
      </c>
      <c r="K4741" s="18">
        <v>4.08</v>
      </c>
      <c r="L4741" s="22">
        <v>9</v>
      </c>
    </row>
    <row r="4742" spans="1:12">
      <c r="A4742">
        <v>5</v>
      </c>
      <c r="B4742" s="16" t="s">
        <v>60</v>
      </c>
      <c r="C4742" s="9">
        <v>46113</v>
      </c>
      <c r="D4742">
        <v>50</v>
      </c>
      <c r="E4742" s="16" t="s">
        <v>140</v>
      </c>
      <c r="F4742" s="16" t="s">
        <v>138</v>
      </c>
      <c r="G4742" s="22">
        <v>19.25</v>
      </c>
      <c r="H4742" s="18">
        <v>80.672499999999999</v>
      </c>
      <c r="I4742" s="18">
        <v>4.1907792209999997</v>
      </c>
      <c r="J4742" s="18">
        <v>4.28</v>
      </c>
      <c r="K4742" s="18">
        <v>4.09</v>
      </c>
      <c r="L4742" s="22">
        <v>9</v>
      </c>
    </row>
    <row r="4743" spans="1:12">
      <c r="A4743">
        <v>5</v>
      </c>
      <c r="B4743" s="16" t="s">
        <v>60</v>
      </c>
      <c r="C4743" s="9">
        <v>46143</v>
      </c>
      <c r="D4743">
        <v>50</v>
      </c>
      <c r="E4743" s="16" t="s">
        <v>140</v>
      </c>
      <c r="F4743" s="16" t="s">
        <v>138</v>
      </c>
      <c r="G4743" s="22">
        <v>18.25</v>
      </c>
      <c r="H4743" s="18">
        <v>77.084999999999994</v>
      </c>
      <c r="I4743" s="18">
        <v>4.2238356159999997</v>
      </c>
      <c r="J4743" s="18">
        <v>4.29</v>
      </c>
      <c r="K4743" s="18">
        <v>4.17</v>
      </c>
      <c r="L4743" s="22">
        <v>8</v>
      </c>
    </row>
    <row r="4744" spans="1:12">
      <c r="A4744">
        <v>5</v>
      </c>
      <c r="B4744" s="16" t="s">
        <v>60</v>
      </c>
      <c r="C4744" s="9">
        <v>46174</v>
      </c>
      <c r="D4744">
        <v>50</v>
      </c>
      <c r="E4744" s="16" t="s">
        <v>140</v>
      </c>
      <c r="F4744" s="16" t="s">
        <v>138</v>
      </c>
      <c r="G4744" s="22">
        <v>26.75</v>
      </c>
      <c r="H4744" s="18">
        <v>112.9</v>
      </c>
      <c r="I4744" s="18">
        <v>4.2205607479999996</v>
      </c>
      <c r="J4744" s="18">
        <v>4.3099999999999996</v>
      </c>
      <c r="K4744" s="18">
        <v>4.1900000000000004</v>
      </c>
      <c r="L4744" s="22">
        <v>9</v>
      </c>
    </row>
    <row r="4745" spans="1:12">
      <c r="A4745">
        <v>5</v>
      </c>
      <c r="B4745" s="16" t="s">
        <v>60</v>
      </c>
      <c r="C4745" s="9">
        <v>46204</v>
      </c>
      <c r="D4745">
        <v>50</v>
      </c>
      <c r="E4745" s="16" t="s">
        <v>140</v>
      </c>
      <c r="F4745" s="16" t="s">
        <v>138</v>
      </c>
      <c r="G4745" s="22">
        <v>32.25</v>
      </c>
      <c r="H4745" s="18">
        <v>137.50749999999999</v>
      </c>
      <c r="I4745" s="18">
        <v>4.2637984500000004</v>
      </c>
      <c r="J4745" s="18">
        <v>4.4000000000000004</v>
      </c>
      <c r="K4745" s="18">
        <v>4.16</v>
      </c>
      <c r="L4745" s="22">
        <v>9</v>
      </c>
    </row>
    <row r="4746" spans="1:12">
      <c r="A4746">
        <v>5</v>
      </c>
      <c r="B4746" s="16" t="s">
        <v>60</v>
      </c>
      <c r="C4746" s="9">
        <v>46235</v>
      </c>
      <c r="D4746">
        <v>50</v>
      </c>
      <c r="E4746" s="16" t="s">
        <v>140</v>
      </c>
      <c r="F4746" s="16" t="s">
        <v>138</v>
      </c>
      <c r="G4746" s="22">
        <v>21</v>
      </c>
      <c r="H4746" s="18">
        <v>90.622500000000002</v>
      </c>
      <c r="I4746" s="18">
        <v>4.315357143</v>
      </c>
      <c r="J4746" s="18">
        <v>4.41</v>
      </c>
      <c r="K4746" s="18">
        <v>4.18</v>
      </c>
      <c r="L4746" s="22">
        <v>9</v>
      </c>
    </row>
    <row r="4747" spans="1:12">
      <c r="A4747">
        <v>5</v>
      </c>
      <c r="B4747" s="16" t="s">
        <v>60</v>
      </c>
      <c r="C4747" s="9">
        <v>46266</v>
      </c>
      <c r="D4747">
        <v>50</v>
      </c>
      <c r="E4747" s="16" t="s">
        <v>140</v>
      </c>
      <c r="F4747" s="16" t="s">
        <v>138</v>
      </c>
      <c r="G4747" s="22">
        <v>15.25</v>
      </c>
      <c r="H4747" s="18">
        <v>65.962500000000006</v>
      </c>
      <c r="I4747" s="18">
        <v>4.3254098360000004</v>
      </c>
      <c r="J4747" s="18">
        <v>4.38</v>
      </c>
      <c r="K4747" s="18">
        <v>4.25</v>
      </c>
      <c r="L4747" s="22">
        <v>8</v>
      </c>
    </row>
    <row r="4748" spans="1:12">
      <c r="A4748">
        <v>5</v>
      </c>
      <c r="B4748" s="16" t="s">
        <v>60</v>
      </c>
      <c r="C4748" s="9">
        <v>45689</v>
      </c>
      <c r="D4748">
        <v>51</v>
      </c>
      <c r="E4748" s="16" t="s">
        <v>141</v>
      </c>
      <c r="F4748" s="16" t="s">
        <v>81</v>
      </c>
      <c r="G4748" s="22">
        <v>4</v>
      </c>
      <c r="H4748" s="18">
        <v>12.68</v>
      </c>
      <c r="I4748" s="18">
        <v>3.17</v>
      </c>
      <c r="J4748" s="18">
        <v>3.23</v>
      </c>
      <c r="K4748" s="18">
        <v>3.11</v>
      </c>
      <c r="L4748" s="22">
        <v>2</v>
      </c>
    </row>
    <row r="4749" spans="1:12">
      <c r="A4749">
        <v>5</v>
      </c>
      <c r="B4749" s="16" t="s">
        <v>60</v>
      </c>
      <c r="C4749" s="9">
        <v>45717</v>
      </c>
      <c r="D4749">
        <v>51</v>
      </c>
      <c r="E4749" s="16" t="s">
        <v>141</v>
      </c>
      <c r="F4749" s="16" t="s">
        <v>81</v>
      </c>
      <c r="G4749" s="22">
        <v>4</v>
      </c>
      <c r="H4749" s="18">
        <v>12.66</v>
      </c>
      <c r="I4749" s="18">
        <v>3.165</v>
      </c>
      <c r="J4749" s="18">
        <v>3.21</v>
      </c>
      <c r="K4749" s="18">
        <v>3.12</v>
      </c>
      <c r="L4749" s="22">
        <v>2</v>
      </c>
    </row>
    <row r="4750" spans="1:12">
      <c r="A4750">
        <v>5</v>
      </c>
      <c r="B4750" s="16" t="s">
        <v>60</v>
      </c>
      <c r="C4750" s="9">
        <v>45748</v>
      </c>
      <c r="D4750">
        <v>51</v>
      </c>
      <c r="E4750" s="16" t="s">
        <v>141</v>
      </c>
      <c r="F4750" s="16" t="s">
        <v>81</v>
      </c>
      <c r="G4750" s="22">
        <v>2</v>
      </c>
      <c r="H4750" s="18">
        <v>6.42</v>
      </c>
      <c r="I4750" s="18">
        <v>3.21</v>
      </c>
      <c r="J4750" s="18">
        <v>3.21</v>
      </c>
      <c r="K4750" s="18">
        <v>3.21</v>
      </c>
      <c r="L4750" s="22">
        <v>1</v>
      </c>
    </row>
    <row r="4751" spans="1:12">
      <c r="A4751">
        <v>5</v>
      </c>
      <c r="B4751" s="16" t="s">
        <v>60</v>
      </c>
      <c r="C4751" s="9">
        <v>45778</v>
      </c>
      <c r="D4751">
        <v>51</v>
      </c>
      <c r="E4751" s="16" t="s">
        <v>141</v>
      </c>
      <c r="F4751" s="16" t="s">
        <v>81</v>
      </c>
      <c r="G4751" s="22">
        <v>6</v>
      </c>
      <c r="H4751" s="18">
        <v>19.28</v>
      </c>
      <c r="I4751" s="18">
        <v>3.213333333</v>
      </c>
      <c r="J4751" s="18">
        <v>3.22</v>
      </c>
      <c r="K4751" s="18">
        <v>3.2</v>
      </c>
      <c r="L4751" s="22">
        <v>3</v>
      </c>
    </row>
    <row r="4752" spans="1:12">
      <c r="A4752">
        <v>5</v>
      </c>
      <c r="B4752" s="16" t="s">
        <v>60</v>
      </c>
      <c r="C4752" s="9">
        <v>45809</v>
      </c>
      <c r="D4752">
        <v>51</v>
      </c>
      <c r="E4752" s="16" t="s">
        <v>141</v>
      </c>
      <c r="F4752" s="16" t="s">
        <v>81</v>
      </c>
      <c r="G4752" s="22">
        <v>2</v>
      </c>
      <c r="H4752" s="18">
        <v>6.42</v>
      </c>
      <c r="I4752" s="18">
        <v>3.21</v>
      </c>
      <c r="J4752" s="18">
        <v>3.21</v>
      </c>
      <c r="K4752" s="18">
        <v>3.21</v>
      </c>
      <c r="L4752" s="22">
        <v>1</v>
      </c>
    </row>
    <row r="4753" spans="1:12">
      <c r="A4753">
        <v>5</v>
      </c>
      <c r="B4753" s="16" t="s">
        <v>60</v>
      </c>
      <c r="C4753" s="9">
        <v>45839</v>
      </c>
      <c r="D4753">
        <v>51</v>
      </c>
      <c r="E4753" s="16" t="s">
        <v>141</v>
      </c>
      <c r="F4753" s="16" t="s">
        <v>81</v>
      </c>
      <c r="G4753" s="22">
        <v>4</v>
      </c>
      <c r="H4753" s="18">
        <v>13.12</v>
      </c>
      <c r="I4753" s="18">
        <v>3.28</v>
      </c>
      <c r="J4753" s="18">
        <v>3.32</v>
      </c>
      <c r="K4753" s="18">
        <v>3.24</v>
      </c>
      <c r="L4753" s="22">
        <v>2</v>
      </c>
    </row>
    <row r="4754" spans="1:12">
      <c r="A4754">
        <v>5</v>
      </c>
      <c r="B4754" s="16" t="s">
        <v>60</v>
      </c>
      <c r="C4754" s="9">
        <v>45870</v>
      </c>
      <c r="D4754">
        <v>51</v>
      </c>
      <c r="E4754" s="16" t="s">
        <v>141</v>
      </c>
      <c r="F4754" s="16" t="s">
        <v>81</v>
      </c>
      <c r="G4754" s="22">
        <v>4</v>
      </c>
      <c r="H4754" s="18">
        <v>12.6</v>
      </c>
      <c r="I4754" s="18">
        <v>3.15</v>
      </c>
      <c r="J4754" s="18">
        <v>3.18</v>
      </c>
      <c r="K4754" s="18">
        <v>3.12</v>
      </c>
      <c r="L4754" s="22">
        <v>2</v>
      </c>
    </row>
    <row r="4755" spans="1:12">
      <c r="A4755">
        <v>5</v>
      </c>
      <c r="B4755" s="16" t="s">
        <v>60</v>
      </c>
      <c r="C4755" s="9">
        <v>45901</v>
      </c>
      <c r="D4755">
        <v>51</v>
      </c>
      <c r="E4755" s="16" t="s">
        <v>141</v>
      </c>
      <c r="F4755" s="16" t="s">
        <v>81</v>
      </c>
      <c r="G4755" s="22">
        <v>2</v>
      </c>
      <c r="H4755" s="18">
        <v>6.44</v>
      </c>
      <c r="I4755" s="18">
        <v>3.22</v>
      </c>
      <c r="J4755" s="18">
        <v>3.22</v>
      </c>
      <c r="K4755" s="18">
        <v>3.22</v>
      </c>
      <c r="L4755" s="22">
        <v>1</v>
      </c>
    </row>
    <row r="4756" spans="1:12">
      <c r="A4756">
        <v>5</v>
      </c>
      <c r="B4756" s="16" t="s">
        <v>60</v>
      </c>
      <c r="C4756" s="9">
        <v>45931</v>
      </c>
      <c r="D4756">
        <v>51</v>
      </c>
      <c r="E4756" s="16" t="s">
        <v>141</v>
      </c>
      <c r="F4756" s="16" t="s">
        <v>81</v>
      </c>
      <c r="G4756" s="22">
        <v>4</v>
      </c>
      <c r="H4756" s="18">
        <v>12.6</v>
      </c>
      <c r="I4756" s="18">
        <v>3.15</v>
      </c>
      <c r="J4756" s="18">
        <v>3.17</v>
      </c>
      <c r="K4756" s="18">
        <v>3.13</v>
      </c>
      <c r="L4756" s="22">
        <v>2</v>
      </c>
    </row>
    <row r="4757" spans="1:12">
      <c r="A4757">
        <v>5</v>
      </c>
      <c r="B4757" s="16" t="s">
        <v>60</v>
      </c>
      <c r="C4757" s="9">
        <v>45962</v>
      </c>
      <c r="D4757">
        <v>51</v>
      </c>
      <c r="E4757" s="16" t="s">
        <v>141</v>
      </c>
      <c r="F4757" s="16" t="s">
        <v>81</v>
      </c>
      <c r="G4757" s="22">
        <v>4</v>
      </c>
      <c r="H4757" s="18">
        <v>12.44</v>
      </c>
      <c r="I4757" s="18">
        <v>3.11</v>
      </c>
      <c r="J4757" s="18">
        <v>3.12</v>
      </c>
      <c r="K4757" s="18">
        <v>3.1</v>
      </c>
      <c r="L4757" s="22">
        <v>2</v>
      </c>
    </row>
    <row r="4758" spans="1:12">
      <c r="A4758">
        <v>5</v>
      </c>
      <c r="B4758" s="16" t="s">
        <v>60</v>
      </c>
      <c r="C4758" s="9">
        <v>45992</v>
      </c>
      <c r="D4758">
        <v>51</v>
      </c>
      <c r="E4758" s="16" t="s">
        <v>141</v>
      </c>
      <c r="F4758" s="16" t="s">
        <v>81</v>
      </c>
      <c r="G4758" s="22">
        <v>2</v>
      </c>
      <c r="H4758" s="18">
        <v>6.3</v>
      </c>
      <c r="I4758" s="18">
        <v>3.15</v>
      </c>
      <c r="J4758" s="18">
        <v>3.15</v>
      </c>
      <c r="K4758" s="18">
        <v>3.15</v>
      </c>
      <c r="L4758" s="22">
        <v>1</v>
      </c>
    </row>
    <row r="4759" spans="1:12">
      <c r="A4759">
        <v>5</v>
      </c>
      <c r="B4759" s="16" t="s">
        <v>60</v>
      </c>
      <c r="C4759" s="9">
        <v>46023</v>
      </c>
      <c r="D4759">
        <v>51</v>
      </c>
      <c r="E4759" s="16" t="s">
        <v>141</v>
      </c>
      <c r="F4759" s="16" t="s">
        <v>81</v>
      </c>
      <c r="G4759" s="22">
        <v>4</v>
      </c>
      <c r="H4759" s="18">
        <v>12.74</v>
      </c>
      <c r="I4759" s="18">
        <v>3.1850000000000001</v>
      </c>
      <c r="J4759" s="18">
        <v>3.19</v>
      </c>
      <c r="K4759" s="18">
        <v>3.18</v>
      </c>
      <c r="L4759" s="22">
        <v>2</v>
      </c>
    </row>
    <row r="4760" spans="1:12">
      <c r="A4760">
        <v>5</v>
      </c>
      <c r="B4760" s="16" t="s">
        <v>60</v>
      </c>
      <c r="C4760" s="9">
        <v>46054</v>
      </c>
      <c r="D4760">
        <v>51</v>
      </c>
      <c r="E4760" s="16" t="s">
        <v>141</v>
      </c>
      <c r="F4760" s="16" t="s">
        <v>81</v>
      </c>
      <c r="G4760" s="22">
        <v>4</v>
      </c>
      <c r="H4760" s="18">
        <v>12.66</v>
      </c>
      <c r="I4760" s="18">
        <v>3.165</v>
      </c>
      <c r="J4760" s="18">
        <v>3.2</v>
      </c>
      <c r="K4760" s="18">
        <v>3.13</v>
      </c>
      <c r="L4760" s="22">
        <v>2</v>
      </c>
    </row>
    <row r="4761" spans="1:12">
      <c r="A4761">
        <v>5</v>
      </c>
      <c r="B4761" s="16" t="s">
        <v>60</v>
      </c>
      <c r="C4761" s="9">
        <v>46082</v>
      </c>
      <c r="D4761">
        <v>51</v>
      </c>
      <c r="E4761" s="16" t="s">
        <v>141</v>
      </c>
      <c r="F4761" s="16" t="s">
        <v>81</v>
      </c>
      <c r="G4761" s="22">
        <v>4</v>
      </c>
      <c r="H4761" s="18">
        <v>12.58</v>
      </c>
      <c r="I4761" s="18">
        <v>3.145</v>
      </c>
      <c r="J4761" s="18">
        <v>3.15</v>
      </c>
      <c r="K4761" s="18">
        <v>3.14</v>
      </c>
      <c r="L4761" s="22">
        <v>2</v>
      </c>
    </row>
    <row r="4762" spans="1:12">
      <c r="A4762">
        <v>5</v>
      </c>
      <c r="B4762" s="16" t="s">
        <v>60</v>
      </c>
      <c r="C4762" s="9">
        <v>46113</v>
      </c>
      <c r="D4762">
        <v>51</v>
      </c>
      <c r="E4762" s="16" t="s">
        <v>141</v>
      </c>
      <c r="F4762" s="16" t="s">
        <v>81</v>
      </c>
      <c r="G4762" s="22">
        <v>6</v>
      </c>
      <c r="H4762" s="18">
        <v>18.940000000000001</v>
      </c>
      <c r="I4762" s="18">
        <v>3.1566666670000001</v>
      </c>
      <c r="J4762" s="18">
        <v>3.18</v>
      </c>
      <c r="K4762" s="18">
        <v>3.11</v>
      </c>
      <c r="L4762" s="22">
        <v>3</v>
      </c>
    </row>
    <row r="4763" spans="1:12">
      <c r="A4763">
        <v>5</v>
      </c>
      <c r="B4763" s="16" t="s">
        <v>60</v>
      </c>
      <c r="C4763" s="9">
        <v>46143</v>
      </c>
      <c r="D4763">
        <v>51</v>
      </c>
      <c r="E4763" s="16" t="s">
        <v>141</v>
      </c>
      <c r="F4763" s="16" t="s">
        <v>81</v>
      </c>
      <c r="G4763" s="22">
        <v>2</v>
      </c>
      <c r="H4763" s="18">
        <v>6.44</v>
      </c>
      <c r="I4763" s="18">
        <v>3.22</v>
      </c>
      <c r="J4763" s="18">
        <v>3.22</v>
      </c>
      <c r="K4763" s="18">
        <v>3.22</v>
      </c>
      <c r="L4763" s="22">
        <v>1</v>
      </c>
    </row>
    <row r="4764" spans="1:12">
      <c r="A4764">
        <v>5</v>
      </c>
      <c r="B4764" s="16" t="s">
        <v>60</v>
      </c>
      <c r="C4764" s="9">
        <v>46174</v>
      </c>
      <c r="D4764">
        <v>51</v>
      </c>
      <c r="E4764" s="16" t="s">
        <v>141</v>
      </c>
      <c r="F4764" s="16" t="s">
        <v>81</v>
      </c>
      <c r="G4764" s="22">
        <v>4</v>
      </c>
      <c r="H4764" s="18">
        <v>12.84</v>
      </c>
      <c r="I4764" s="18">
        <v>3.21</v>
      </c>
      <c r="J4764" s="18">
        <v>3.23</v>
      </c>
      <c r="K4764" s="18">
        <v>3.19</v>
      </c>
      <c r="L4764" s="22">
        <v>2</v>
      </c>
    </row>
    <row r="4765" spans="1:12">
      <c r="A4765">
        <v>5</v>
      </c>
      <c r="B4765" s="16" t="s">
        <v>60</v>
      </c>
      <c r="C4765" s="9">
        <v>46204</v>
      </c>
      <c r="D4765">
        <v>51</v>
      </c>
      <c r="E4765" s="16" t="s">
        <v>141</v>
      </c>
      <c r="F4765" s="16" t="s">
        <v>81</v>
      </c>
      <c r="G4765" s="22">
        <v>2</v>
      </c>
      <c r="H4765" s="18">
        <v>6.4</v>
      </c>
      <c r="I4765" s="18">
        <v>3.2</v>
      </c>
      <c r="J4765" s="18">
        <v>3.2</v>
      </c>
      <c r="K4765" s="18">
        <v>3.2</v>
      </c>
      <c r="L4765" s="22">
        <v>1</v>
      </c>
    </row>
    <row r="4766" spans="1:12">
      <c r="A4766">
        <v>5</v>
      </c>
      <c r="B4766" s="16" t="s">
        <v>60</v>
      </c>
      <c r="C4766" s="9">
        <v>46235</v>
      </c>
      <c r="D4766">
        <v>51</v>
      </c>
      <c r="E4766" s="16" t="s">
        <v>141</v>
      </c>
      <c r="F4766" s="16" t="s">
        <v>81</v>
      </c>
      <c r="G4766" s="22">
        <v>2</v>
      </c>
      <c r="H4766" s="18">
        <v>6.32</v>
      </c>
      <c r="I4766" s="18">
        <v>3.16</v>
      </c>
      <c r="J4766" s="18">
        <v>3.16</v>
      </c>
      <c r="K4766" s="18">
        <v>3.16</v>
      </c>
      <c r="L4766" s="22">
        <v>1</v>
      </c>
    </row>
    <row r="4767" spans="1:12">
      <c r="A4767">
        <v>5</v>
      </c>
      <c r="B4767" s="16" t="s">
        <v>60</v>
      </c>
      <c r="C4767" s="9">
        <v>46266</v>
      </c>
      <c r="D4767">
        <v>51</v>
      </c>
      <c r="E4767" s="16" t="s">
        <v>141</v>
      </c>
      <c r="F4767" s="16" t="s">
        <v>81</v>
      </c>
      <c r="G4767" s="22">
        <v>4</v>
      </c>
      <c r="H4767" s="18">
        <v>12.8</v>
      </c>
      <c r="I4767" s="18">
        <v>3.2</v>
      </c>
      <c r="J4767" s="18">
        <v>3.27</v>
      </c>
      <c r="K4767" s="18">
        <v>3.13</v>
      </c>
      <c r="L4767" s="22">
        <v>2</v>
      </c>
    </row>
    <row r="4768" spans="1:12">
      <c r="A4768">
        <v>5</v>
      </c>
      <c r="B4768" s="16" t="s">
        <v>60</v>
      </c>
      <c r="C4768" s="9">
        <v>45689</v>
      </c>
      <c r="D4768">
        <v>52</v>
      </c>
      <c r="E4768" s="16" t="s">
        <v>142</v>
      </c>
      <c r="F4768" s="16" t="s">
        <v>108</v>
      </c>
      <c r="G4768" s="22">
        <v>6</v>
      </c>
      <c r="H4768" s="18">
        <v>6.96</v>
      </c>
      <c r="I4768" s="18">
        <v>1.1599999999999999</v>
      </c>
      <c r="J4768" s="18">
        <v>1.1599999999999999</v>
      </c>
      <c r="K4768" s="18">
        <v>1.1599999999999999</v>
      </c>
      <c r="L4768" s="22">
        <v>1</v>
      </c>
    </row>
    <row r="4769" spans="1:12">
      <c r="A4769">
        <v>5</v>
      </c>
      <c r="B4769" s="16" t="s">
        <v>60</v>
      </c>
      <c r="C4769" s="9">
        <v>45748</v>
      </c>
      <c r="D4769">
        <v>52</v>
      </c>
      <c r="E4769" s="16" t="s">
        <v>142</v>
      </c>
      <c r="F4769" s="16" t="s">
        <v>108</v>
      </c>
      <c r="G4769" s="22">
        <v>6</v>
      </c>
      <c r="H4769" s="18">
        <v>7.02</v>
      </c>
      <c r="I4769" s="18">
        <v>1.17</v>
      </c>
      <c r="J4769" s="18">
        <v>1.17</v>
      </c>
      <c r="K4769" s="18">
        <v>1.17</v>
      </c>
      <c r="L4769" s="22">
        <v>1</v>
      </c>
    </row>
    <row r="4770" spans="1:12">
      <c r="A4770">
        <v>5</v>
      </c>
      <c r="B4770" s="16" t="s">
        <v>60</v>
      </c>
      <c r="C4770" s="9">
        <v>45778</v>
      </c>
      <c r="D4770">
        <v>52</v>
      </c>
      <c r="E4770" s="16" t="s">
        <v>142</v>
      </c>
      <c r="F4770" s="16" t="s">
        <v>108</v>
      </c>
      <c r="G4770" s="22">
        <v>6</v>
      </c>
      <c r="H4770" s="18">
        <v>7.02</v>
      </c>
      <c r="I4770" s="18">
        <v>1.17</v>
      </c>
      <c r="J4770" s="18">
        <v>1.17</v>
      </c>
      <c r="K4770" s="18">
        <v>1.17</v>
      </c>
      <c r="L4770" s="22">
        <v>1</v>
      </c>
    </row>
    <row r="4771" spans="1:12">
      <c r="A4771">
        <v>5</v>
      </c>
      <c r="B4771" s="16" t="s">
        <v>60</v>
      </c>
      <c r="C4771" s="9">
        <v>45809</v>
      </c>
      <c r="D4771">
        <v>52</v>
      </c>
      <c r="E4771" s="16" t="s">
        <v>142</v>
      </c>
      <c r="F4771" s="16" t="s">
        <v>108</v>
      </c>
      <c r="G4771" s="22">
        <v>6</v>
      </c>
      <c r="H4771" s="18">
        <v>7.08</v>
      </c>
      <c r="I4771" s="18">
        <v>1.18</v>
      </c>
      <c r="J4771" s="18">
        <v>1.18</v>
      </c>
      <c r="K4771" s="18">
        <v>1.18</v>
      </c>
      <c r="L4771" s="22">
        <v>1</v>
      </c>
    </row>
    <row r="4772" spans="1:12">
      <c r="A4772">
        <v>5</v>
      </c>
      <c r="B4772" s="16" t="s">
        <v>60</v>
      </c>
      <c r="C4772" s="9">
        <v>45839</v>
      </c>
      <c r="D4772">
        <v>52</v>
      </c>
      <c r="E4772" s="16" t="s">
        <v>142</v>
      </c>
      <c r="F4772" s="16" t="s">
        <v>108</v>
      </c>
      <c r="G4772" s="22">
        <v>6</v>
      </c>
      <c r="H4772" s="18">
        <v>6.96</v>
      </c>
      <c r="I4772" s="18">
        <v>1.1599999999999999</v>
      </c>
      <c r="J4772" s="18">
        <v>1.1599999999999999</v>
      </c>
      <c r="K4772" s="18">
        <v>1.1599999999999999</v>
      </c>
      <c r="L4772" s="22">
        <v>1</v>
      </c>
    </row>
    <row r="4773" spans="1:12">
      <c r="A4773">
        <v>5</v>
      </c>
      <c r="B4773" s="16" t="s">
        <v>60</v>
      </c>
      <c r="C4773" s="9">
        <v>45870</v>
      </c>
      <c r="D4773">
        <v>52</v>
      </c>
      <c r="E4773" s="16" t="s">
        <v>142</v>
      </c>
      <c r="F4773" s="16" t="s">
        <v>108</v>
      </c>
      <c r="G4773" s="22">
        <v>6</v>
      </c>
      <c r="H4773" s="18">
        <v>6.9</v>
      </c>
      <c r="I4773" s="18">
        <v>1.1499999999999999</v>
      </c>
      <c r="J4773" s="18">
        <v>1.1499999999999999</v>
      </c>
      <c r="K4773" s="18">
        <v>1.1499999999999999</v>
      </c>
      <c r="L4773" s="22">
        <v>1</v>
      </c>
    </row>
    <row r="4774" spans="1:12">
      <c r="A4774">
        <v>5</v>
      </c>
      <c r="B4774" s="16" t="s">
        <v>60</v>
      </c>
      <c r="C4774" s="9">
        <v>45901</v>
      </c>
      <c r="D4774">
        <v>52</v>
      </c>
      <c r="E4774" s="16" t="s">
        <v>142</v>
      </c>
      <c r="F4774" s="16" t="s">
        <v>108</v>
      </c>
      <c r="G4774" s="22">
        <v>6</v>
      </c>
      <c r="H4774" s="18">
        <v>7.14</v>
      </c>
      <c r="I4774" s="18">
        <v>1.19</v>
      </c>
      <c r="J4774" s="18">
        <v>1.19</v>
      </c>
      <c r="K4774" s="18">
        <v>1.19</v>
      </c>
      <c r="L4774" s="22">
        <v>1</v>
      </c>
    </row>
    <row r="4775" spans="1:12">
      <c r="A4775">
        <v>5</v>
      </c>
      <c r="B4775" s="16" t="s">
        <v>60</v>
      </c>
      <c r="C4775" s="9">
        <v>45931</v>
      </c>
      <c r="D4775">
        <v>52</v>
      </c>
      <c r="E4775" s="16" t="s">
        <v>142</v>
      </c>
      <c r="F4775" s="16" t="s">
        <v>108</v>
      </c>
      <c r="G4775" s="22">
        <v>6</v>
      </c>
      <c r="H4775" s="18">
        <v>6.96</v>
      </c>
      <c r="I4775" s="18">
        <v>1.1599999999999999</v>
      </c>
      <c r="J4775" s="18">
        <v>1.1599999999999999</v>
      </c>
      <c r="K4775" s="18">
        <v>1.1599999999999999</v>
      </c>
      <c r="L4775" s="22">
        <v>1</v>
      </c>
    </row>
    <row r="4776" spans="1:12">
      <c r="A4776">
        <v>5</v>
      </c>
      <c r="B4776" s="16" t="s">
        <v>60</v>
      </c>
      <c r="C4776" s="9">
        <v>45992</v>
      </c>
      <c r="D4776">
        <v>52</v>
      </c>
      <c r="E4776" s="16" t="s">
        <v>142</v>
      </c>
      <c r="F4776" s="16" t="s">
        <v>108</v>
      </c>
      <c r="G4776" s="22">
        <v>6</v>
      </c>
      <c r="H4776" s="18">
        <v>7.2</v>
      </c>
      <c r="I4776" s="18">
        <v>1.2</v>
      </c>
      <c r="J4776" s="18">
        <v>1.2</v>
      </c>
      <c r="K4776" s="18">
        <v>1.2</v>
      </c>
      <c r="L4776" s="22">
        <v>1</v>
      </c>
    </row>
    <row r="4777" spans="1:12">
      <c r="A4777">
        <v>5</v>
      </c>
      <c r="B4777" s="16" t="s">
        <v>60</v>
      </c>
      <c r="C4777" s="9">
        <v>46023</v>
      </c>
      <c r="D4777">
        <v>52</v>
      </c>
      <c r="E4777" s="16" t="s">
        <v>142</v>
      </c>
      <c r="F4777" s="16" t="s">
        <v>108</v>
      </c>
      <c r="G4777" s="22">
        <v>6</v>
      </c>
      <c r="H4777" s="18">
        <v>7.26</v>
      </c>
      <c r="I4777" s="18">
        <v>1.21</v>
      </c>
      <c r="J4777" s="18">
        <v>1.21</v>
      </c>
      <c r="K4777" s="18">
        <v>1.21</v>
      </c>
      <c r="L4777" s="22">
        <v>1</v>
      </c>
    </row>
    <row r="4778" spans="1:12">
      <c r="A4778">
        <v>5</v>
      </c>
      <c r="B4778" s="16" t="s">
        <v>60</v>
      </c>
      <c r="C4778" s="9">
        <v>46054</v>
      </c>
      <c r="D4778">
        <v>52</v>
      </c>
      <c r="E4778" s="16" t="s">
        <v>142</v>
      </c>
      <c r="F4778" s="16" t="s">
        <v>108</v>
      </c>
      <c r="G4778" s="22">
        <v>6</v>
      </c>
      <c r="H4778" s="18">
        <v>7.02</v>
      </c>
      <c r="I4778" s="18">
        <v>1.17</v>
      </c>
      <c r="J4778" s="18">
        <v>1.17</v>
      </c>
      <c r="K4778" s="18">
        <v>1.17</v>
      </c>
      <c r="L4778" s="22">
        <v>1</v>
      </c>
    </row>
    <row r="4779" spans="1:12">
      <c r="A4779">
        <v>5</v>
      </c>
      <c r="B4779" s="16" t="s">
        <v>60</v>
      </c>
      <c r="C4779" s="9">
        <v>46113</v>
      </c>
      <c r="D4779">
        <v>52</v>
      </c>
      <c r="E4779" s="16" t="s">
        <v>142</v>
      </c>
      <c r="F4779" s="16" t="s">
        <v>108</v>
      </c>
      <c r="G4779" s="22">
        <v>6</v>
      </c>
      <c r="H4779" s="18">
        <v>7.38</v>
      </c>
      <c r="I4779" s="18">
        <v>1.23</v>
      </c>
      <c r="J4779" s="18">
        <v>1.23</v>
      </c>
      <c r="K4779" s="18">
        <v>1.23</v>
      </c>
      <c r="L4779" s="22">
        <v>1</v>
      </c>
    </row>
    <row r="4780" spans="1:12">
      <c r="A4780">
        <v>5</v>
      </c>
      <c r="B4780" s="16" t="s">
        <v>60</v>
      </c>
      <c r="C4780" s="9">
        <v>46143</v>
      </c>
      <c r="D4780">
        <v>52</v>
      </c>
      <c r="E4780" s="16" t="s">
        <v>142</v>
      </c>
      <c r="F4780" s="16" t="s">
        <v>108</v>
      </c>
      <c r="G4780" s="22">
        <v>6</v>
      </c>
      <c r="H4780" s="18">
        <v>7.14</v>
      </c>
      <c r="I4780" s="18">
        <v>1.19</v>
      </c>
      <c r="J4780" s="18">
        <v>1.19</v>
      </c>
      <c r="K4780" s="18">
        <v>1.19</v>
      </c>
      <c r="L4780" s="22">
        <v>1</v>
      </c>
    </row>
    <row r="4781" spans="1:12">
      <c r="A4781">
        <v>5</v>
      </c>
      <c r="B4781" s="16" t="s">
        <v>60</v>
      </c>
      <c r="C4781" s="9">
        <v>46174</v>
      </c>
      <c r="D4781">
        <v>52</v>
      </c>
      <c r="E4781" s="16" t="s">
        <v>142</v>
      </c>
      <c r="F4781" s="16" t="s">
        <v>108</v>
      </c>
      <c r="G4781" s="22">
        <v>6</v>
      </c>
      <c r="H4781" s="18">
        <v>7.14</v>
      </c>
      <c r="I4781" s="18">
        <v>1.19</v>
      </c>
      <c r="J4781" s="18">
        <v>1.19</v>
      </c>
      <c r="K4781" s="18">
        <v>1.19</v>
      </c>
      <c r="L4781" s="22">
        <v>1</v>
      </c>
    </row>
    <row r="4782" spans="1:12">
      <c r="A4782">
        <v>5</v>
      </c>
      <c r="B4782" s="16" t="s">
        <v>60</v>
      </c>
      <c r="C4782" s="9">
        <v>46204</v>
      </c>
      <c r="D4782">
        <v>52</v>
      </c>
      <c r="E4782" s="16" t="s">
        <v>142</v>
      </c>
      <c r="F4782" s="16" t="s">
        <v>108</v>
      </c>
      <c r="G4782" s="22">
        <v>6</v>
      </c>
      <c r="H4782" s="18">
        <v>7.38</v>
      </c>
      <c r="I4782" s="18">
        <v>1.23</v>
      </c>
      <c r="J4782" s="18">
        <v>1.23</v>
      </c>
      <c r="K4782" s="18">
        <v>1.23</v>
      </c>
      <c r="L4782" s="22">
        <v>1</v>
      </c>
    </row>
    <row r="4783" spans="1:12">
      <c r="A4783">
        <v>5</v>
      </c>
      <c r="B4783" s="16" t="s">
        <v>60</v>
      </c>
      <c r="C4783" s="9">
        <v>46235</v>
      </c>
      <c r="D4783">
        <v>52</v>
      </c>
      <c r="E4783" s="16" t="s">
        <v>142</v>
      </c>
      <c r="F4783" s="16" t="s">
        <v>108</v>
      </c>
      <c r="G4783" s="22">
        <v>6</v>
      </c>
      <c r="H4783" s="18">
        <v>7.32</v>
      </c>
      <c r="I4783" s="18">
        <v>1.22</v>
      </c>
      <c r="J4783" s="18">
        <v>1.22</v>
      </c>
      <c r="K4783" s="18">
        <v>1.22</v>
      </c>
      <c r="L4783" s="22">
        <v>1</v>
      </c>
    </row>
    <row r="4784" spans="1:12">
      <c r="A4784">
        <v>5</v>
      </c>
      <c r="B4784" s="16" t="s">
        <v>60</v>
      </c>
      <c r="C4784" s="9">
        <v>45689</v>
      </c>
      <c r="D4784">
        <v>53</v>
      </c>
      <c r="E4784" s="16" t="s">
        <v>143</v>
      </c>
      <c r="F4784" s="16" t="s">
        <v>103</v>
      </c>
      <c r="G4784" s="22">
        <v>4.5</v>
      </c>
      <c r="H4784" s="18">
        <v>38.115000000000002</v>
      </c>
      <c r="I4784" s="18">
        <v>8.4700000000000006</v>
      </c>
      <c r="J4784" s="18">
        <v>8.4700000000000006</v>
      </c>
      <c r="K4784" s="18">
        <v>8.4700000000000006</v>
      </c>
      <c r="L4784" s="22">
        <v>1</v>
      </c>
    </row>
    <row r="4785" spans="1:12">
      <c r="A4785">
        <v>5</v>
      </c>
      <c r="B4785" s="16" t="s">
        <v>60</v>
      </c>
      <c r="C4785" s="9">
        <v>45717</v>
      </c>
      <c r="D4785">
        <v>53</v>
      </c>
      <c r="E4785" s="16" t="s">
        <v>143</v>
      </c>
      <c r="F4785" s="16" t="s">
        <v>103</v>
      </c>
      <c r="G4785" s="22">
        <v>9</v>
      </c>
      <c r="H4785" s="18">
        <v>76.185000000000002</v>
      </c>
      <c r="I4785" s="18">
        <v>8.4649999999999999</v>
      </c>
      <c r="J4785" s="18">
        <v>8.5</v>
      </c>
      <c r="K4785" s="18">
        <v>8.43</v>
      </c>
      <c r="L4785" s="22">
        <v>2</v>
      </c>
    </row>
    <row r="4786" spans="1:12">
      <c r="A4786">
        <v>5</v>
      </c>
      <c r="B4786" s="16" t="s">
        <v>60</v>
      </c>
      <c r="C4786" s="9">
        <v>45748</v>
      </c>
      <c r="D4786">
        <v>53</v>
      </c>
      <c r="E4786" s="16" t="s">
        <v>143</v>
      </c>
      <c r="F4786" s="16" t="s">
        <v>103</v>
      </c>
      <c r="G4786" s="22">
        <v>9</v>
      </c>
      <c r="H4786" s="18">
        <v>76.724999999999994</v>
      </c>
      <c r="I4786" s="18">
        <v>8.5250000000000004</v>
      </c>
      <c r="J4786" s="18">
        <v>8.56</v>
      </c>
      <c r="K4786" s="18">
        <v>8.49</v>
      </c>
      <c r="L4786" s="22">
        <v>2</v>
      </c>
    </row>
    <row r="4787" spans="1:12">
      <c r="A4787">
        <v>5</v>
      </c>
      <c r="B4787" s="16" t="s">
        <v>60</v>
      </c>
      <c r="C4787" s="9">
        <v>45778</v>
      </c>
      <c r="D4787">
        <v>53</v>
      </c>
      <c r="E4787" s="16" t="s">
        <v>143</v>
      </c>
      <c r="F4787" s="16" t="s">
        <v>103</v>
      </c>
      <c r="G4787" s="22">
        <v>4.5</v>
      </c>
      <c r="H4787" s="18">
        <v>37.935000000000002</v>
      </c>
      <c r="I4787" s="18">
        <v>8.43</v>
      </c>
      <c r="J4787" s="18">
        <v>8.43</v>
      </c>
      <c r="K4787" s="18">
        <v>8.43</v>
      </c>
      <c r="L4787" s="22">
        <v>1</v>
      </c>
    </row>
    <row r="4788" spans="1:12">
      <c r="A4788">
        <v>5</v>
      </c>
      <c r="B4788" s="16" t="s">
        <v>60</v>
      </c>
      <c r="C4788" s="9">
        <v>45809</v>
      </c>
      <c r="D4788">
        <v>53</v>
      </c>
      <c r="E4788" s="16" t="s">
        <v>143</v>
      </c>
      <c r="F4788" s="16" t="s">
        <v>103</v>
      </c>
      <c r="G4788" s="22">
        <v>4.5</v>
      </c>
      <c r="H4788" s="18">
        <v>38.97</v>
      </c>
      <c r="I4788" s="18">
        <v>8.66</v>
      </c>
      <c r="J4788" s="18">
        <v>8.66</v>
      </c>
      <c r="K4788" s="18">
        <v>8.66</v>
      </c>
      <c r="L4788" s="22">
        <v>1</v>
      </c>
    </row>
    <row r="4789" spans="1:12">
      <c r="A4789">
        <v>5</v>
      </c>
      <c r="B4789" s="16" t="s">
        <v>60</v>
      </c>
      <c r="C4789" s="9">
        <v>45839</v>
      </c>
      <c r="D4789">
        <v>53</v>
      </c>
      <c r="E4789" s="16" t="s">
        <v>143</v>
      </c>
      <c r="F4789" s="16" t="s">
        <v>103</v>
      </c>
      <c r="G4789" s="22">
        <v>9</v>
      </c>
      <c r="H4789" s="18">
        <v>77.805000000000007</v>
      </c>
      <c r="I4789" s="18">
        <v>8.6449999999999996</v>
      </c>
      <c r="J4789" s="18">
        <v>8.67</v>
      </c>
      <c r="K4789" s="18">
        <v>8.6199999999999992</v>
      </c>
      <c r="L4789" s="22">
        <v>2</v>
      </c>
    </row>
    <row r="4790" spans="1:12">
      <c r="A4790">
        <v>5</v>
      </c>
      <c r="B4790" s="16" t="s">
        <v>60</v>
      </c>
      <c r="C4790" s="9">
        <v>45870</v>
      </c>
      <c r="D4790">
        <v>53</v>
      </c>
      <c r="E4790" s="16" t="s">
        <v>143</v>
      </c>
      <c r="F4790" s="16" t="s">
        <v>103</v>
      </c>
      <c r="G4790" s="22">
        <v>4.5</v>
      </c>
      <c r="H4790" s="18">
        <v>38.700000000000003</v>
      </c>
      <c r="I4790" s="18">
        <v>8.6</v>
      </c>
      <c r="J4790" s="18">
        <v>8.6</v>
      </c>
      <c r="K4790" s="18">
        <v>8.6</v>
      </c>
      <c r="L4790" s="22">
        <v>1</v>
      </c>
    </row>
    <row r="4791" spans="1:12">
      <c r="A4791">
        <v>5</v>
      </c>
      <c r="B4791" s="16" t="s">
        <v>60</v>
      </c>
      <c r="C4791" s="9">
        <v>45901</v>
      </c>
      <c r="D4791">
        <v>53</v>
      </c>
      <c r="E4791" s="16" t="s">
        <v>143</v>
      </c>
      <c r="F4791" s="16" t="s">
        <v>103</v>
      </c>
      <c r="G4791" s="22">
        <v>4.5</v>
      </c>
      <c r="H4791" s="18">
        <v>39.734999999999999</v>
      </c>
      <c r="I4791" s="18">
        <v>8.83</v>
      </c>
      <c r="J4791" s="18">
        <v>8.83</v>
      </c>
      <c r="K4791" s="18">
        <v>8.83</v>
      </c>
      <c r="L4791" s="22">
        <v>1</v>
      </c>
    </row>
    <row r="4792" spans="1:12">
      <c r="A4792">
        <v>5</v>
      </c>
      <c r="B4792" s="16" t="s">
        <v>60</v>
      </c>
      <c r="C4792" s="9">
        <v>45931</v>
      </c>
      <c r="D4792">
        <v>53</v>
      </c>
      <c r="E4792" s="16" t="s">
        <v>143</v>
      </c>
      <c r="F4792" s="16" t="s">
        <v>103</v>
      </c>
      <c r="G4792" s="22">
        <v>9</v>
      </c>
      <c r="H4792" s="18">
        <v>78.254999999999995</v>
      </c>
      <c r="I4792" s="18">
        <v>8.6950000000000003</v>
      </c>
      <c r="J4792" s="18">
        <v>8.75</v>
      </c>
      <c r="K4792" s="18">
        <v>8.64</v>
      </c>
      <c r="L4792" s="22">
        <v>2</v>
      </c>
    </row>
    <row r="4793" spans="1:12">
      <c r="A4793">
        <v>5</v>
      </c>
      <c r="B4793" s="16" t="s">
        <v>60</v>
      </c>
      <c r="C4793" s="9">
        <v>45962</v>
      </c>
      <c r="D4793">
        <v>53</v>
      </c>
      <c r="E4793" s="16" t="s">
        <v>143</v>
      </c>
      <c r="F4793" s="16" t="s">
        <v>103</v>
      </c>
      <c r="G4793" s="22">
        <v>9</v>
      </c>
      <c r="H4793" s="18">
        <v>78.569999999999993</v>
      </c>
      <c r="I4793" s="18">
        <v>8.73</v>
      </c>
      <c r="J4793" s="18">
        <v>8.74</v>
      </c>
      <c r="K4793" s="18">
        <v>8.7200000000000006</v>
      </c>
      <c r="L4793" s="22">
        <v>2</v>
      </c>
    </row>
    <row r="4794" spans="1:12">
      <c r="A4794">
        <v>5</v>
      </c>
      <c r="B4794" s="16" t="s">
        <v>60</v>
      </c>
      <c r="C4794" s="9">
        <v>45992</v>
      </c>
      <c r="D4794">
        <v>53</v>
      </c>
      <c r="E4794" s="16" t="s">
        <v>143</v>
      </c>
      <c r="F4794" s="16" t="s">
        <v>103</v>
      </c>
      <c r="G4794" s="22">
        <v>4.5</v>
      </c>
      <c r="H4794" s="18">
        <v>38.97</v>
      </c>
      <c r="I4794" s="18">
        <v>8.66</v>
      </c>
      <c r="J4794" s="18">
        <v>8.66</v>
      </c>
      <c r="K4794" s="18">
        <v>8.66</v>
      </c>
      <c r="L4794" s="22">
        <v>1</v>
      </c>
    </row>
    <row r="4795" spans="1:12">
      <c r="A4795">
        <v>5</v>
      </c>
      <c r="B4795" s="16" t="s">
        <v>60</v>
      </c>
      <c r="C4795" s="9">
        <v>46023</v>
      </c>
      <c r="D4795">
        <v>53</v>
      </c>
      <c r="E4795" s="16" t="s">
        <v>143</v>
      </c>
      <c r="F4795" s="16" t="s">
        <v>103</v>
      </c>
      <c r="G4795" s="22">
        <v>9</v>
      </c>
      <c r="H4795" s="18">
        <v>78.66</v>
      </c>
      <c r="I4795" s="18">
        <v>8.74</v>
      </c>
      <c r="J4795" s="18">
        <v>8.83</v>
      </c>
      <c r="K4795" s="18">
        <v>8.65</v>
      </c>
      <c r="L4795" s="22">
        <v>2</v>
      </c>
    </row>
    <row r="4796" spans="1:12">
      <c r="A4796">
        <v>5</v>
      </c>
      <c r="B4796" s="16" t="s">
        <v>60</v>
      </c>
      <c r="C4796" s="9">
        <v>46054</v>
      </c>
      <c r="D4796">
        <v>53</v>
      </c>
      <c r="E4796" s="16" t="s">
        <v>143</v>
      </c>
      <c r="F4796" s="16" t="s">
        <v>103</v>
      </c>
      <c r="G4796" s="22">
        <v>4.5</v>
      </c>
      <c r="H4796" s="18">
        <v>39.6</v>
      </c>
      <c r="I4796" s="18">
        <v>8.8000000000000007</v>
      </c>
      <c r="J4796" s="18">
        <v>8.8000000000000007</v>
      </c>
      <c r="K4796" s="18">
        <v>8.8000000000000007</v>
      </c>
      <c r="L4796" s="22">
        <v>1</v>
      </c>
    </row>
    <row r="4797" spans="1:12">
      <c r="A4797">
        <v>5</v>
      </c>
      <c r="B4797" s="16" t="s">
        <v>60</v>
      </c>
      <c r="C4797" s="9">
        <v>46082</v>
      </c>
      <c r="D4797">
        <v>53</v>
      </c>
      <c r="E4797" s="16" t="s">
        <v>143</v>
      </c>
      <c r="F4797" s="16" t="s">
        <v>103</v>
      </c>
      <c r="G4797" s="22">
        <v>9</v>
      </c>
      <c r="H4797" s="18">
        <v>77.58</v>
      </c>
      <c r="I4797" s="18">
        <v>8.6199999999999992</v>
      </c>
      <c r="J4797" s="18">
        <v>8.6999999999999993</v>
      </c>
      <c r="K4797" s="18">
        <v>8.5399999999999991</v>
      </c>
      <c r="L4797" s="22">
        <v>2</v>
      </c>
    </row>
    <row r="4798" spans="1:12">
      <c r="A4798">
        <v>5</v>
      </c>
      <c r="B4798" s="16" t="s">
        <v>60</v>
      </c>
      <c r="C4798" s="9">
        <v>46113</v>
      </c>
      <c r="D4798">
        <v>53</v>
      </c>
      <c r="E4798" s="16" t="s">
        <v>143</v>
      </c>
      <c r="F4798" s="16" t="s">
        <v>103</v>
      </c>
      <c r="G4798" s="22">
        <v>9</v>
      </c>
      <c r="H4798" s="18">
        <v>77.894999999999996</v>
      </c>
      <c r="I4798" s="18">
        <v>8.6549999999999994</v>
      </c>
      <c r="J4798" s="18">
        <v>8.6999999999999993</v>
      </c>
      <c r="K4798" s="18">
        <v>8.61</v>
      </c>
      <c r="L4798" s="22">
        <v>2</v>
      </c>
    </row>
    <row r="4799" spans="1:12">
      <c r="A4799">
        <v>5</v>
      </c>
      <c r="B4799" s="16" t="s">
        <v>60</v>
      </c>
      <c r="C4799" s="9">
        <v>46143</v>
      </c>
      <c r="D4799">
        <v>53</v>
      </c>
      <c r="E4799" s="16" t="s">
        <v>143</v>
      </c>
      <c r="F4799" s="16" t="s">
        <v>103</v>
      </c>
      <c r="G4799" s="22">
        <v>9</v>
      </c>
      <c r="H4799" s="18">
        <v>80.010000000000005</v>
      </c>
      <c r="I4799" s="18">
        <v>8.89</v>
      </c>
      <c r="J4799" s="18">
        <v>9.09</v>
      </c>
      <c r="K4799" s="18">
        <v>8.69</v>
      </c>
      <c r="L4799" s="22">
        <v>2</v>
      </c>
    </row>
    <row r="4800" spans="1:12">
      <c r="A4800">
        <v>5</v>
      </c>
      <c r="B4800" s="16" t="s">
        <v>60</v>
      </c>
      <c r="C4800" s="9">
        <v>46174</v>
      </c>
      <c r="D4800">
        <v>53</v>
      </c>
      <c r="E4800" s="16" t="s">
        <v>143</v>
      </c>
      <c r="F4800" s="16" t="s">
        <v>103</v>
      </c>
      <c r="G4800" s="22">
        <v>4.5</v>
      </c>
      <c r="H4800" s="18">
        <v>39.375</v>
      </c>
      <c r="I4800" s="18">
        <v>8.75</v>
      </c>
      <c r="J4800" s="18">
        <v>8.75</v>
      </c>
      <c r="K4800" s="18">
        <v>8.75</v>
      </c>
      <c r="L4800" s="22">
        <v>1</v>
      </c>
    </row>
    <row r="4801" spans="1:12">
      <c r="A4801">
        <v>5</v>
      </c>
      <c r="B4801" s="16" t="s">
        <v>60</v>
      </c>
      <c r="C4801" s="9">
        <v>46204</v>
      </c>
      <c r="D4801">
        <v>53</v>
      </c>
      <c r="E4801" s="16" t="s">
        <v>143</v>
      </c>
      <c r="F4801" s="16" t="s">
        <v>103</v>
      </c>
      <c r="G4801" s="22">
        <v>4.5</v>
      </c>
      <c r="H4801" s="18">
        <v>38.79</v>
      </c>
      <c r="I4801" s="18">
        <v>8.6199999999999992</v>
      </c>
      <c r="J4801" s="18">
        <v>8.6199999999999992</v>
      </c>
      <c r="K4801" s="18">
        <v>8.6199999999999992</v>
      </c>
      <c r="L4801" s="22">
        <v>1</v>
      </c>
    </row>
    <row r="4802" spans="1:12">
      <c r="A4802">
        <v>5</v>
      </c>
      <c r="B4802" s="16" t="s">
        <v>60</v>
      </c>
      <c r="C4802" s="9">
        <v>46235</v>
      </c>
      <c r="D4802">
        <v>53</v>
      </c>
      <c r="E4802" s="16" t="s">
        <v>143</v>
      </c>
      <c r="F4802" s="16" t="s">
        <v>103</v>
      </c>
      <c r="G4802" s="22">
        <v>9</v>
      </c>
      <c r="H4802" s="18">
        <v>80.459999999999994</v>
      </c>
      <c r="I4802" s="18">
        <v>8.94</v>
      </c>
      <c r="J4802" s="18">
        <v>9</v>
      </c>
      <c r="K4802" s="18">
        <v>8.8800000000000008</v>
      </c>
      <c r="L4802" s="22">
        <v>2</v>
      </c>
    </row>
    <row r="4803" spans="1:12">
      <c r="A4803">
        <v>5</v>
      </c>
      <c r="B4803" s="16" t="s">
        <v>60</v>
      </c>
      <c r="C4803" s="9">
        <v>46266</v>
      </c>
      <c r="D4803">
        <v>53</v>
      </c>
      <c r="E4803" s="16" t="s">
        <v>143</v>
      </c>
      <c r="F4803" s="16" t="s">
        <v>103</v>
      </c>
      <c r="G4803" s="22">
        <v>4.5</v>
      </c>
      <c r="H4803" s="18">
        <v>40.770000000000003</v>
      </c>
      <c r="I4803" s="18">
        <v>9.06</v>
      </c>
      <c r="J4803" s="18">
        <v>9.06</v>
      </c>
      <c r="K4803" s="18">
        <v>9.06</v>
      </c>
      <c r="L4803" s="22">
        <v>1</v>
      </c>
    </row>
    <row r="4804" spans="1:12">
      <c r="A4804">
        <v>5</v>
      </c>
      <c r="B4804" s="16" t="s">
        <v>60</v>
      </c>
      <c r="C4804" s="9">
        <v>45689</v>
      </c>
      <c r="D4804">
        <v>54</v>
      </c>
      <c r="E4804" s="16" t="s">
        <v>144</v>
      </c>
      <c r="F4804" s="16" t="s">
        <v>103</v>
      </c>
      <c r="G4804" s="22">
        <v>3</v>
      </c>
      <c r="H4804" s="18">
        <v>29.58</v>
      </c>
      <c r="I4804" s="18">
        <v>9.86</v>
      </c>
      <c r="J4804" s="18">
        <v>9.91</v>
      </c>
      <c r="K4804" s="18">
        <v>9.76</v>
      </c>
      <c r="L4804" s="22">
        <v>2</v>
      </c>
    </row>
    <row r="4805" spans="1:12">
      <c r="A4805">
        <v>5</v>
      </c>
      <c r="B4805" s="16" t="s">
        <v>60</v>
      </c>
      <c r="C4805" s="9">
        <v>45717</v>
      </c>
      <c r="D4805">
        <v>54</v>
      </c>
      <c r="E4805" s="16" t="s">
        <v>144</v>
      </c>
      <c r="F4805" s="16" t="s">
        <v>103</v>
      </c>
      <c r="G4805" s="22">
        <v>1</v>
      </c>
      <c r="H4805" s="18">
        <v>9.67</v>
      </c>
      <c r="I4805" s="18">
        <v>9.67</v>
      </c>
      <c r="J4805" s="18">
        <v>9.67</v>
      </c>
      <c r="K4805" s="18">
        <v>9.67</v>
      </c>
      <c r="L4805" s="22">
        <v>1</v>
      </c>
    </row>
    <row r="4806" spans="1:12">
      <c r="A4806">
        <v>5</v>
      </c>
      <c r="B4806" s="16" t="s">
        <v>60</v>
      </c>
      <c r="C4806" s="9">
        <v>45748</v>
      </c>
      <c r="D4806">
        <v>54</v>
      </c>
      <c r="E4806" s="16" t="s">
        <v>144</v>
      </c>
      <c r="F4806" s="16" t="s">
        <v>103</v>
      </c>
      <c r="G4806" s="22">
        <v>2</v>
      </c>
      <c r="H4806" s="18">
        <v>19.55</v>
      </c>
      <c r="I4806" s="18">
        <v>9.7750000000000004</v>
      </c>
      <c r="J4806" s="18">
        <v>9.92</v>
      </c>
      <c r="K4806" s="18">
        <v>9.6300000000000008</v>
      </c>
      <c r="L4806" s="22">
        <v>2</v>
      </c>
    </row>
    <row r="4807" spans="1:12">
      <c r="A4807">
        <v>5</v>
      </c>
      <c r="B4807" s="16" t="s">
        <v>60</v>
      </c>
      <c r="C4807" s="9">
        <v>45778</v>
      </c>
      <c r="D4807">
        <v>54</v>
      </c>
      <c r="E4807" s="16" t="s">
        <v>144</v>
      </c>
      <c r="F4807" s="16" t="s">
        <v>103</v>
      </c>
      <c r="G4807" s="22">
        <v>3</v>
      </c>
      <c r="H4807" s="18">
        <v>29.13</v>
      </c>
      <c r="I4807" s="18">
        <v>9.7100000000000009</v>
      </c>
      <c r="J4807" s="18">
        <v>9.74</v>
      </c>
      <c r="K4807" s="18">
        <v>9.65</v>
      </c>
      <c r="L4807" s="22">
        <v>2</v>
      </c>
    </row>
    <row r="4808" spans="1:12">
      <c r="A4808">
        <v>5</v>
      </c>
      <c r="B4808" s="16" t="s">
        <v>60</v>
      </c>
      <c r="C4808" s="9">
        <v>45809</v>
      </c>
      <c r="D4808">
        <v>54</v>
      </c>
      <c r="E4808" s="16" t="s">
        <v>144</v>
      </c>
      <c r="F4808" s="16" t="s">
        <v>103</v>
      </c>
      <c r="G4808" s="22">
        <v>2</v>
      </c>
      <c r="H4808" s="18">
        <v>19.55</v>
      </c>
      <c r="I4808" s="18">
        <v>9.7750000000000004</v>
      </c>
      <c r="J4808" s="18">
        <v>9.86</v>
      </c>
      <c r="K4808" s="18">
        <v>9.69</v>
      </c>
      <c r="L4808" s="22">
        <v>2</v>
      </c>
    </row>
    <row r="4809" spans="1:12">
      <c r="A4809">
        <v>5</v>
      </c>
      <c r="B4809" s="16" t="s">
        <v>60</v>
      </c>
      <c r="C4809" s="9">
        <v>45839</v>
      </c>
      <c r="D4809">
        <v>54</v>
      </c>
      <c r="E4809" s="16" t="s">
        <v>144</v>
      </c>
      <c r="F4809" s="16" t="s">
        <v>103</v>
      </c>
      <c r="G4809" s="22">
        <v>3</v>
      </c>
      <c r="H4809" s="18">
        <v>29.88</v>
      </c>
      <c r="I4809" s="18">
        <v>9.9600000000000009</v>
      </c>
      <c r="J4809" s="18">
        <v>10.28</v>
      </c>
      <c r="K4809" s="18">
        <v>9.6300000000000008</v>
      </c>
      <c r="L4809" s="22">
        <v>3</v>
      </c>
    </row>
    <row r="4810" spans="1:12">
      <c r="A4810">
        <v>5</v>
      </c>
      <c r="B4810" s="16" t="s">
        <v>60</v>
      </c>
      <c r="C4810" s="9">
        <v>45870</v>
      </c>
      <c r="D4810">
        <v>54</v>
      </c>
      <c r="E4810" s="16" t="s">
        <v>144</v>
      </c>
      <c r="F4810" s="16" t="s">
        <v>103</v>
      </c>
      <c r="G4810" s="22">
        <v>2</v>
      </c>
      <c r="H4810" s="18">
        <v>19.93</v>
      </c>
      <c r="I4810" s="18">
        <v>9.9649999999999999</v>
      </c>
      <c r="J4810" s="18">
        <v>9.99</v>
      </c>
      <c r="K4810" s="18">
        <v>9.94</v>
      </c>
      <c r="L4810" s="22">
        <v>2</v>
      </c>
    </row>
    <row r="4811" spans="1:12">
      <c r="A4811">
        <v>5</v>
      </c>
      <c r="B4811" s="16" t="s">
        <v>60</v>
      </c>
      <c r="C4811" s="9">
        <v>45901</v>
      </c>
      <c r="D4811">
        <v>54</v>
      </c>
      <c r="E4811" s="16" t="s">
        <v>144</v>
      </c>
      <c r="F4811" s="16" t="s">
        <v>103</v>
      </c>
      <c r="G4811" s="22">
        <v>2</v>
      </c>
      <c r="H4811" s="18">
        <v>19.84</v>
      </c>
      <c r="I4811" s="18">
        <v>9.92</v>
      </c>
      <c r="J4811" s="18">
        <v>9.9600000000000009</v>
      </c>
      <c r="K4811" s="18">
        <v>9.8800000000000008</v>
      </c>
      <c r="L4811" s="22">
        <v>2</v>
      </c>
    </row>
    <row r="4812" spans="1:12">
      <c r="A4812">
        <v>5</v>
      </c>
      <c r="B4812" s="16" t="s">
        <v>60</v>
      </c>
      <c r="C4812" s="9">
        <v>45931</v>
      </c>
      <c r="D4812">
        <v>54</v>
      </c>
      <c r="E4812" s="16" t="s">
        <v>144</v>
      </c>
      <c r="F4812" s="16" t="s">
        <v>103</v>
      </c>
      <c r="G4812" s="22">
        <v>2</v>
      </c>
      <c r="H4812" s="18">
        <v>20.39</v>
      </c>
      <c r="I4812" s="18">
        <v>10.195</v>
      </c>
      <c r="J4812" s="18">
        <v>10.29</v>
      </c>
      <c r="K4812" s="18">
        <v>10.1</v>
      </c>
      <c r="L4812" s="22">
        <v>2</v>
      </c>
    </row>
    <row r="4813" spans="1:12">
      <c r="A4813">
        <v>5</v>
      </c>
      <c r="B4813" s="16" t="s">
        <v>60</v>
      </c>
      <c r="C4813" s="9">
        <v>45962</v>
      </c>
      <c r="D4813">
        <v>54</v>
      </c>
      <c r="E4813" s="16" t="s">
        <v>144</v>
      </c>
      <c r="F4813" s="16" t="s">
        <v>103</v>
      </c>
      <c r="G4813" s="22">
        <v>2</v>
      </c>
      <c r="H4813" s="18">
        <v>20.18</v>
      </c>
      <c r="I4813" s="18">
        <v>10.09</v>
      </c>
      <c r="J4813" s="18">
        <v>10.119999999999999</v>
      </c>
      <c r="K4813" s="18">
        <v>10.06</v>
      </c>
      <c r="L4813" s="22">
        <v>2</v>
      </c>
    </row>
    <row r="4814" spans="1:12">
      <c r="A4814">
        <v>5</v>
      </c>
      <c r="B4814" s="16" t="s">
        <v>60</v>
      </c>
      <c r="C4814" s="9">
        <v>45992</v>
      </c>
      <c r="D4814">
        <v>54</v>
      </c>
      <c r="E4814" s="16" t="s">
        <v>144</v>
      </c>
      <c r="F4814" s="16" t="s">
        <v>103</v>
      </c>
      <c r="G4814" s="22">
        <v>4</v>
      </c>
      <c r="H4814" s="18">
        <v>40.67</v>
      </c>
      <c r="I4814" s="18">
        <v>10.1675</v>
      </c>
      <c r="J4814" s="18">
        <v>10.25</v>
      </c>
      <c r="K4814" s="18">
        <v>9.9700000000000006</v>
      </c>
      <c r="L4814" s="22">
        <v>3</v>
      </c>
    </row>
    <row r="4815" spans="1:12">
      <c r="A4815">
        <v>5</v>
      </c>
      <c r="B4815" s="16" t="s">
        <v>60</v>
      </c>
      <c r="C4815" s="9">
        <v>46023</v>
      </c>
      <c r="D4815">
        <v>54</v>
      </c>
      <c r="E4815" s="16" t="s">
        <v>144</v>
      </c>
      <c r="F4815" s="16" t="s">
        <v>103</v>
      </c>
      <c r="G4815" s="22">
        <v>1</v>
      </c>
      <c r="H4815" s="18">
        <v>10.3</v>
      </c>
      <c r="I4815" s="18">
        <v>10.3</v>
      </c>
      <c r="J4815" s="18">
        <v>10.3</v>
      </c>
      <c r="K4815" s="18">
        <v>10.3</v>
      </c>
      <c r="L4815" s="22">
        <v>1</v>
      </c>
    </row>
    <row r="4816" spans="1:12">
      <c r="A4816">
        <v>5</v>
      </c>
      <c r="B4816" s="16" t="s">
        <v>60</v>
      </c>
      <c r="C4816" s="9">
        <v>46054</v>
      </c>
      <c r="D4816">
        <v>54</v>
      </c>
      <c r="E4816" s="16" t="s">
        <v>144</v>
      </c>
      <c r="F4816" s="16" t="s">
        <v>103</v>
      </c>
      <c r="G4816" s="22">
        <v>3</v>
      </c>
      <c r="H4816" s="18">
        <v>30.69</v>
      </c>
      <c r="I4816" s="18">
        <v>10.23</v>
      </c>
      <c r="J4816" s="18">
        <v>10.27</v>
      </c>
      <c r="K4816" s="18">
        <v>10.210000000000001</v>
      </c>
      <c r="L4816" s="22">
        <v>2</v>
      </c>
    </row>
    <row r="4817" spans="1:12">
      <c r="A4817">
        <v>5</v>
      </c>
      <c r="B4817" s="16" t="s">
        <v>60</v>
      </c>
      <c r="C4817" s="9">
        <v>46082</v>
      </c>
      <c r="D4817">
        <v>54</v>
      </c>
      <c r="E4817" s="16" t="s">
        <v>144</v>
      </c>
      <c r="F4817" s="16" t="s">
        <v>103</v>
      </c>
      <c r="G4817" s="22">
        <v>2</v>
      </c>
      <c r="H4817" s="18">
        <v>20.57</v>
      </c>
      <c r="I4817" s="18">
        <v>10.285</v>
      </c>
      <c r="J4817" s="18">
        <v>10.36</v>
      </c>
      <c r="K4817" s="18">
        <v>10.210000000000001</v>
      </c>
      <c r="L4817" s="22">
        <v>2</v>
      </c>
    </row>
    <row r="4818" spans="1:12">
      <c r="A4818">
        <v>5</v>
      </c>
      <c r="B4818" s="16" t="s">
        <v>60</v>
      </c>
      <c r="C4818" s="9">
        <v>46113</v>
      </c>
      <c r="D4818">
        <v>54</v>
      </c>
      <c r="E4818" s="16" t="s">
        <v>144</v>
      </c>
      <c r="F4818" s="16" t="s">
        <v>103</v>
      </c>
      <c r="G4818" s="22">
        <v>2</v>
      </c>
      <c r="H4818" s="18">
        <v>20.96</v>
      </c>
      <c r="I4818" s="18">
        <v>10.48</v>
      </c>
      <c r="J4818" s="18">
        <v>10.71</v>
      </c>
      <c r="K4818" s="18">
        <v>10.25</v>
      </c>
      <c r="L4818" s="22">
        <v>2</v>
      </c>
    </row>
    <row r="4819" spans="1:12">
      <c r="A4819">
        <v>5</v>
      </c>
      <c r="B4819" s="16" t="s">
        <v>60</v>
      </c>
      <c r="C4819" s="9">
        <v>46143</v>
      </c>
      <c r="D4819">
        <v>54</v>
      </c>
      <c r="E4819" s="16" t="s">
        <v>144</v>
      </c>
      <c r="F4819" s="16" t="s">
        <v>103</v>
      </c>
      <c r="G4819" s="22">
        <v>2</v>
      </c>
      <c r="H4819" s="18">
        <v>21.62</v>
      </c>
      <c r="I4819" s="18">
        <v>10.81</v>
      </c>
      <c r="J4819" s="18">
        <v>10.9</v>
      </c>
      <c r="K4819" s="18">
        <v>10.72</v>
      </c>
      <c r="L4819" s="22">
        <v>2</v>
      </c>
    </row>
    <row r="4820" spans="1:12">
      <c r="A4820">
        <v>5</v>
      </c>
      <c r="B4820" s="16" t="s">
        <v>60</v>
      </c>
      <c r="C4820" s="9">
        <v>46174</v>
      </c>
      <c r="D4820">
        <v>54</v>
      </c>
      <c r="E4820" s="16" t="s">
        <v>144</v>
      </c>
      <c r="F4820" s="16" t="s">
        <v>103</v>
      </c>
      <c r="G4820" s="22">
        <v>2</v>
      </c>
      <c r="H4820" s="18">
        <v>21.43</v>
      </c>
      <c r="I4820" s="18">
        <v>10.715</v>
      </c>
      <c r="J4820" s="18">
        <v>10.74</v>
      </c>
      <c r="K4820" s="18">
        <v>10.69</v>
      </c>
      <c r="L4820" s="22">
        <v>2</v>
      </c>
    </row>
    <row r="4821" spans="1:12">
      <c r="A4821">
        <v>5</v>
      </c>
      <c r="B4821" s="16" t="s">
        <v>60</v>
      </c>
      <c r="C4821" s="9">
        <v>46204</v>
      </c>
      <c r="D4821">
        <v>54</v>
      </c>
      <c r="E4821" s="16" t="s">
        <v>144</v>
      </c>
      <c r="F4821" s="16" t="s">
        <v>103</v>
      </c>
      <c r="G4821" s="22">
        <v>3</v>
      </c>
      <c r="H4821" s="18">
        <v>32.68</v>
      </c>
      <c r="I4821" s="18">
        <v>10.893333332999999</v>
      </c>
      <c r="J4821" s="18">
        <v>10.97</v>
      </c>
      <c r="K4821" s="18">
        <v>10.79</v>
      </c>
      <c r="L4821" s="22">
        <v>3</v>
      </c>
    </row>
    <row r="4822" spans="1:12">
      <c r="A4822">
        <v>5</v>
      </c>
      <c r="B4822" s="16" t="s">
        <v>60</v>
      </c>
      <c r="C4822" s="9">
        <v>46235</v>
      </c>
      <c r="D4822">
        <v>54</v>
      </c>
      <c r="E4822" s="16" t="s">
        <v>144</v>
      </c>
      <c r="F4822" s="16" t="s">
        <v>103</v>
      </c>
      <c r="G4822" s="22">
        <v>1</v>
      </c>
      <c r="H4822" s="18">
        <v>10.85</v>
      </c>
      <c r="I4822" s="18">
        <v>10.85</v>
      </c>
      <c r="J4822" s="18">
        <v>10.85</v>
      </c>
      <c r="K4822" s="18">
        <v>10.85</v>
      </c>
      <c r="L4822" s="22">
        <v>1</v>
      </c>
    </row>
    <row r="4823" spans="1:12">
      <c r="A4823">
        <v>5</v>
      </c>
      <c r="B4823" s="16" t="s">
        <v>60</v>
      </c>
      <c r="C4823" s="9">
        <v>46266</v>
      </c>
      <c r="D4823">
        <v>54</v>
      </c>
      <c r="E4823" s="16" t="s">
        <v>144</v>
      </c>
      <c r="F4823" s="16" t="s">
        <v>103</v>
      </c>
      <c r="G4823" s="22">
        <v>2</v>
      </c>
      <c r="H4823" s="18">
        <v>21.34</v>
      </c>
      <c r="I4823" s="18">
        <v>10.67</v>
      </c>
      <c r="J4823" s="18">
        <v>10.71</v>
      </c>
      <c r="K4823" s="18">
        <v>10.63</v>
      </c>
      <c r="L4823" s="22">
        <v>2</v>
      </c>
    </row>
    <row r="4824" spans="1:12">
      <c r="A4824">
        <v>5</v>
      </c>
      <c r="B4824" s="16" t="s">
        <v>60</v>
      </c>
      <c r="C4824" s="9">
        <v>45689</v>
      </c>
      <c r="D4824">
        <v>55</v>
      </c>
      <c r="E4824" s="16" t="s">
        <v>145</v>
      </c>
      <c r="F4824" s="16" t="s">
        <v>83</v>
      </c>
      <c r="G4824" s="22">
        <v>6.5</v>
      </c>
      <c r="H4824" s="18">
        <v>37.774999999999999</v>
      </c>
      <c r="I4824" s="18">
        <v>5.8115384619999997</v>
      </c>
      <c r="J4824" s="18">
        <v>5.88</v>
      </c>
      <c r="K4824" s="18">
        <v>5.68</v>
      </c>
      <c r="L4824" s="22">
        <v>7</v>
      </c>
    </row>
    <row r="4825" spans="1:12">
      <c r="A4825">
        <v>5</v>
      </c>
      <c r="B4825" s="16" t="s">
        <v>60</v>
      </c>
      <c r="C4825" s="9">
        <v>45717</v>
      </c>
      <c r="D4825">
        <v>55</v>
      </c>
      <c r="E4825" s="16" t="s">
        <v>145</v>
      </c>
      <c r="F4825" s="16" t="s">
        <v>83</v>
      </c>
      <c r="G4825" s="22">
        <v>4.5</v>
      </c>
      <c r="H4825" s="18">
        <v>26.01</v>
      </c>
      <c r="I4825" s="18">
        <v>5.78</v>
      </c>
      <c r="J4825" s="18">
        <v>5.96</v>
      </c>
      <c r="K4825" s="18">
        <v>5.69</v>
      </c>
      <c r="L4825" s="22">
        <v>6</v>
      </c>
    </row>
    <row r="4826" spans="1:12">
      <c r="A4826">
        <v>5</v>
      </c>
      <c r="B4826" s="16" t="s">
        <v>60</v>
      </c>
      <c r="C4826" s="9">
        <v>45748</v>
      </c>
      <c r="D4826">
        <v>55</v>
      </c>
      <c r="E4826" s="16" t="s">
        <v>145</v>
      </c>
      <c r="F4826" s="16" t="s">
        <v>83</v>
      </c>
      <c r="G4826" s="22">
        <v>8.5</v>
      </c>
      <c r="H4826" s="18">
        <v>49.465000000000003</v>
      </c>
      <c r="I4826" s="18">
        <v>5.8194117649999999</v>
      </c>
      <c r="J4826" s="18">
        <v>5.93</v>
      </c>
      <c r="K4826" s="18">
        <v>5.77</v>
      </c>
      <c r="L4826" s="22">
        <v>9</v>
      </c>
    </row>
    <row r="4827" spans="1:12">
      <c r="A4827">
        <v>5</v>
      </c>
      <c r="B4827" s="16" t="s">
        <v>60</v>
      </c>
      <c r="C4827" s="9">
        <v>45778</v>
      </c>
      <c r="D4827">
        <v>55</v>
      </c>
      <c r="E4827" s="16" t="s">
        <v>145</v>
      </c>
      <c r="F4827" s="16" t="s">
        <v>83</v>
      </c>
      <c r="G4827" s="22">
        <v>10.5</v>
      </c>
      <c r="H4827" s="18">
        <v>60.994999999999997</v>
      </c>
      <c r="I4827" s="18">
        <v>5.8090476190000002</v>
      </c>
      <c r="J4827" s="18">
        <v>5.96</v>
      </c>
      <c r="K4827" s="18">
        <v>5.74</v>
      </c>
      <c r="L4827" s="22">
        <v>9</v>
      </c>
    </row>
    <row r="4828" spans="1:12">
      <c r="A4828">
        <v>5</v>
      </c>
      <c r="B4828" s="16" t="s">
        <v>60</v>
      </c>
      <c r="C4828" s="9">
        <v>45809</v>
      </c>
      <c r="D4828">
        <v>55</v>
      </c>
      <c r="E4828" s="16" t="s">
        <v>145</v>
      </c>
      <c r="F4828" s="16" t="s">
        <v>83</v>
      </c>
      <c r="G4828" s="22">
        <v>9</v>
      </c>
      <c r="H4828" s="18">
        <v>52.844999999999999</v>
      </c>
      <c r="I4828" s="18">
        <v>5.8716666670000004</v>
      </c>
      <c r="J4828" s="18">
        <v>5.91</v>
      </c>
      <c r="K4828" s="18">
        <v>5.81</v>
      </c>
      <c r="L4828" s="22">
        <v>8</v>
      </c>
    </row>
    <row r="4829" spans="1:12">
      <c r="A4829">
        <v>5</v>
      </c>
      <c r="B4829" s="16" t="s">
        <v>60</v>
      </c>
      <c r="C4829" s="9">
        <v>45839</v>
      </c>
      <c r="D4829">
        <v>55</v>
      </c>
      <c r="E4829" s="16" t="s">
        <v>145</v>
      </c>
      <c r="F4829" s="16" t="s">
        <v>83</v>
      </c>
      <c r="G4829" s="22">
        <v>11.5</v>
      </c>
      <c r="H4829" s="18">
        <v>68.635000000000005</v>
      </c>
      <c r="I4829" s="18">
        <v>5.9682608699999999</v>
      </c>
      <c r="J4829" s="18">
        <v>6.14</v>
      </c>
      <c r="K4829" s="18">
        <v>5.8</v>
      </c>
      <c r="L4829" s="22">
        <v>10</v>
      </c>
    </row>
    <row r="4830" spans="1:12">
      <c r="A4830">
        <v>5</v>
      </c>
      <c r="B4830" s="16" t="s">
        <v>60</v>
      </c>
      <c r="C4830" s="9">
        <v>45870</v>
      </c>
      <c r="D4830">
        <v>55</v>
      </c>
      <c r="E4830" s="16" t="s">
        <v>145</v>
      </c>
      <c r="F4830" s="16" t="s">
        <v>83</v>
      </c>
      <c r="G4830" s="22">
        <v>9.5</v>
      </c>
      <c r="H4830" s="18">
        <v>57.12</v>
      </c>
      <c r="I4830" s="18">
        <v>6.0126315789999998</v>
      </c>
      <c r="J4830" s="18">
        <v>6.14</v>
      </c>
      <c r="K4830" s="18">
        <v>5.9</v>
      </c>
      <c r="L4830" s="22">
        <v>8</v>
      </c>
    </row>
    <row r="4831" spans="1:12">
      <c r="A4831">
        <v>5</v>
      </c>
      <c r="B4831" s="16" t="s">
        <v>60</v>
      </c>
      <c r="C4831" s="9">
        <v>45901</v>
      </c>
      <c r="D4831">
        <v>55</v>
      </c>
      <c r="E4831" s="16" t="s">
        <v>145</v>
      </c>
      <c r="F4831" s="16" t="s">
        <v>83</v>
      </c>
      <c r="G4831" s="22">
        <v>7.5</v>
      </c>
      <c r="H4831" s="18">
        <v>44.98</v>
      </c>
      <c r="I4831" s="18">
        <v>5.9973333330000003</v>
      </c>
      <c r="J4831" s="18">
        <v>6.09</v>
      </c>
      <c r="K4831" s="18">
        <v>5.85</v>
      </c>
      <c r="L4831" s="22">
        <v>9</v>
      </c>
    </row>
    <row r="4832" spans="1:12">
      <c r="A4832">
        <v>5</v>
      </c>
      <c r="B4832" s="16" t="s">
        <v>60</v>
      </c>
      <c r="C4832" s="9">
        <v>45931</v>
      </c>
      <c r="D4832">
        <v>55</v>
      </c>
      <c r="E4832" s="16" t="s">
        <v>145</v>
      </c>
      <c r="F4832" s="16" t="s">
        <v>83</v>
      </c>
      <c r="G4832" s="22">
        <v>9</v>
      </c>
      <c r="H4832" s="18">
        <v>54.07</v>
      </c>
      <c r="I4832" s="18">
        <v>6.0077777780000003</v>
      </c>
      <c r="J4832" s="18">
        <v>6.07</v>
      </c>
      <c r="K4832" s="18">
        <v>5.91</v>
      </c>
      <c r="L4832" s="22">
        <v>9</v>
      </c>
    </row>
    <row r="4833" spans="1:12">
      <c r="A4833">
        <v>5</v>
      </c>
      <c r="B4833" s="16" t="s">
        <v>60</v>
      </c>
      <c r="C4833" s="9">
        <v>45962</v>
      </c>
      <c r="D4833">
        <v>55</v>
      </c>
      <c r="E4833" s="16" t="s">
        <v>145</v>
      </c>
      <c r="F4833" s="16" t="s">
        <v>83</v>
      </c>
      <c r="G4833" s="22">
        <v>7</v>
      </c>
      <c r="H4833" s="18">
        <v>42.22</v>
      </c>
      <c r="I4833" s="18">
        <v>6.0314285710000002</v>
      </c>
      <c r="J4833" s="18">
        <v>6.19</v>
      </c>
      <c r="K4833" s="18">
        <v>5.94</v>
      </c>
      <c r="L4833" s="22">
        <v>8</v>
      </c>
    </row>
    <row r="4834" spans="1:12">
      <c r="A4834">
        <v>5</v>
      </c>
      <c r="B4834" s="16" t="s">
        <v>60</v>
      </c>
      <c r="C4834" s="9">
        <v>45992</v>
      </c>
      <c r="D4834">
        <v>55</v>
      </c>
      <c r="E4834" s="16" t="s">
        <v>145</v>
      </c>
      <c r="F4834" s="16" t="s">
        <v>83</v>
      </c>
      <c r="G4834" s="22">
        <v>7</v>
      </c>
      <c r="H4834" s="18">
        <v>42.405000000000001</v>
      </c>
      <c r="I4834" s="18">
        <v>6.0578571429999997</v>
      </c>
      <c r="J4834" s="18">
        <v>6.15</v>
      </c>
      <c r="K4834" s="18">
        <v>5.97</v>
      </c>
      <c r="L4834" s="22">
        <v>8</v>
      </c>
    </row>
    <row r="4835" spans="1:12">
      <c r="A4835">
        <v>5</v>
      </c>
      <c r="B4835" s="16" t="s">
        <v>60</v>
      </c>
      <c r="C4835" s="9">
        <v>46023</v>
      </c>
      <c r="D4835">
        <v>55</v>
      </c>
      <c r="E4835" s="16" t="s">
        <v>145</v>
      </c>
      <c r="F4835" s="16" t="s">
        <v>83</v>
      </c>
      <c r="G4835" s="22">
        <v>8.5</v>
      </c>
      <c r="H4835" s="18">
        <v>51.784999999999997</v>
      </c>
      <c r="I4835" s="18">
        <v>6.0923529409999997</v>
      </c>
      <c r="J4835" s="18">
        <v>6.17</v>
      </c>
      <c r="K4835" s="18">
        <v>5.96</v>
      </c>
      <c r="L4835" s="22">
        <v>9</v>
      </c>
    </row>
    <row r="4836" spans="1:12">
      <c r="A4836">
        <v>5</v>
      </c>
      <c r="B4836" s="16" t="s">
        <v>60</v>
      </c>
      <c r="C4836" s="9">
        <v>46054</v>
      </c>
      <c r="D4836">
        <v>55</v>
      </c>
      <c r="E4836" s="16" t="s">
        <v>145</v>
      </c>
      <c r="F4836" s="16" t="s">
        <v>83</v>
      </c>
      <c r="G4836" s="22">
        <v>7</v>
      </c>
      <c r="H4836" s="18">
        <v>42.86</v>
      </c>
      <c r="I4836" s="18">
        <v>6.1228571430000001</v>
      </c>
      <c r="J4836" s="18">
        <v>6.46</v>
      </c>
      <c r="K4836" s="18">
        <v>5.97</v>
      </c>
      <c r="L4836" s="22">
        <v>8</v>
      </c>
    </row>
    <row r="4837" spans="1:12">
      <c r="A4837">
        <v>5</v>
      </c>
      <c r="B4837" s="16" t="s">
        <v>60</v>
      </c>
      <c r="C4837" s="9">
        <v>46082</v>
      </c>
      <c r="D4837">
        <v>55</v>
      </c>
      <c r="E4837" s="16" t="s">
        <v>145</v>
      </c>
      <c r="F4837" s="16" t="s">
        <v>83</v>
      </c>
      <c r="G4837" s="22">
        <v>9.5</v>
      </c>
      <c r="H4837" s="18">
        <v>57.704999999999998</v>
      </c>
      <c r="I4837" s="18">
        <v>6.0742105259999999</v>
      </c>
      <c r="J4837" s="18">
        <v>6.22</v>
      </c>
      <c r="K4837" s="18">
        <v>5.97</v>
      </c>
      <c r="L4837" s="22">
        <v>9</v>
      </c>
    </row>
    <row r="4838" spans="1:12">
      <c r="A4838">
        <v>5</v>
      </c>
      <c r="B4838" s="16" t="s">
        <v>60</v>
      </c>
      <c r="C4838" s="9">
        <v>46113</v>
      </c>
      <c r="D4838">
        <v>55</v>
      </c>
      <c r="E4838" s="16" t="s">
        <v>145</v>
      </c>
      <c r="F4838" s="16" t="s">
        <v>83</v>
      </c>
      <c r="G4838" s="22">
        <v>12</v>
      </c>
      <c r="H4838" s="18">
        <v>72.930000000000007</v>
      </c>
      <c r="I4838" s="18">
        <v>6.0774999999999997</v>
      </c>
      <c r="J4838" s="18">
        <v>6.44</v>
      </c>
      <c r="K4838" s="18">
        <v>6.02</v>
      </c>
      <c r="L4838" s="22">
        <v>9</v>
      </c>
    </row>
    <row r="4839" spans="1:12">
      <c r="A4839">
        <v>5</v>
      </c>
      <c r="B4839" s="16" t="s">
        <v>60</v>
      </c>
      <c r="C4839" s="9">
        <v>46143</v>
      </c>
      <c r="D4839">
        <v>55</v>
      </c>
      <c r="E4839" s="16" t="s">
        <v>145</v>
      </c>
      <c r="F4839" s="16" t="s">
        <v>83</v>
      </c>
      <c r="G4839" s="22">
        <v>10</v>
      </c>
      <c r="H4839" s="18">
        <v>60.805</v>
      </c>
      <c r="I4839" s="18">
        <v>6.0804999999999998</v>
      </c>
      <c r="J4839" s="18">
        <v>6.25</v>
      </c>
      <c r="K4839" s="18">
        <v>5.95</v>
      </c>
      <c r="L4839" s="22">
        <v>8</v>
      </c>
    </row>
    <row r="4840" spans="1:12">
      <c r="A4840">
        <v>5</v>
      </c>
      <c r="B4840" s="16" t="s">
        <v>60</v>
      </c>
      <c r="C4840" s="9">
        <v>46174</v>
      </c>
      <c r="D4840">
        <v>55</v>
      </c>
      <c r="E4840" s="16" t="s">
        <v>145</v>
      </c>
      <c r="F4840" s="16" t="s">
        <v>83</v>
      </c>
      <c r="G4840" s="22">
        <v>11.5</v>
      </c>
      <c r="H4840" s="18">
        <v>70.22</v>
      </c>
      <c r="I4840" s="18">
        <v>6.1060869569999996</v>
      </c>
      <c r="J4840" s="18">
        <v>6.43</v>
      </c>
      <c r="K4840" s="18">
        <v>5.97</v>
      </c>
      <c r="L4840" s="22">
        <v>9</v>
      </c>
    </row>
    <row r="4841" spans="1:12">
      <c r="A4841">
        <v>5</v>
      </c>
      <c r="B4841" s="16" t="s">
        <v>60</v>
      </c>
      <c r="C4841" s="9">
        <v>46204</v>
      </c>
      <c r="D4841">
        <v>55</v>
      </c>
      <c r="E4841" s="16" t="s">
        <v>145</v>
      </c>
      <c r="F4841" s="16" t="s">
        <v>83</v>
      </c>
      <c r="G4841" s="22">
        <v>13</v>
      </c>
      <c r="H4841" s="18">
        <v>78.834999999999994</v>
      </c>
      <c r="I4841" s="18">
        <v>6.0642307689999999</v>
      </c>
      <c r="J4841" s="18">
        <v>6.21</v>
      </c>
      <c r="K4841" s="18">
        <v>5.96</v>
      </c>
      <c r="L4841" s="22">
        <v>9</v>
      </c>
    </row>
    <row r="4842" spans="1:12">
      <c r="A4842">
        <v>5</v>
      </c>
      <c r="B4842" s="16" t="s">
        <v>60</v>
      </c>
      <c r="C4842" s="9">
        <v>46235</v>
      </c>
      <c r="D4842">
        <v>55</v>
      </c>
      <c r="E4842" s="16" t="s">
        <v>145</v>
      </c>
      <c r="F4842" s="16" t="s">
        <v>83</v>
      </c>
      <c r="G4842" s="22">
        <v>9.5</v>
      </c>
      <c r="H4842" s="18">
        <v>56.98</v>
      </c>
      <c r="I4842" s="18">
        <v>5.9978947370000002</v>
      </c>
      <c r="J4842" s="18">
        <v>6.2</v>
      </c>
      <c r="K4842" s="18">
        <v>5.85</v>
      </c>
      <c r="L4842" s="22">
        <v>8</v>
      </c>
    </row>
    <row r="4843" spans="1:12">
      <c r="A4843">
        <v>5</v>
      </c>
      <c r="B4843" s="16" t="s">
        <v>60</v>
      </c>
      <c r="C4843" s="9">
        <v>46266</v>
      </c>
      <c r="D4843">
        <v>55</v>
      </c>
      <c r="E4843" s="16" t="s">
        <v>145</v>
      </c>
      <c r="F4843" s="16" t="s">
        <v>83</v>
      </c>
      <c r="G4843" s="22">
        <v>9.5</v>
      </c>
      <c r="H4843" s="18">
        <v>57.79</v>
      </c>
      <c r="I4843" s="18">
        <v>6.0831578950000003</v>
      </c>
      <c r="J4843" s="18">
        <v>6.23</v>
      </c>
      <c r="K4843" s="18">
        <v>5.97</v>
      </c>
      <c r="L4843" s="22">
        <v>9</v>
      </c>
    </row>
    <row r="4844" spans="1:12">
      <c r="A4844">
        <v>5</v>
      </c>
      <c r="B4844" s="16" t="s">
        <v>60</v>
      </c>
      <c r="C4844" s="9">
        <v>45689</v>
      </c>
      <c r="D4844">
        <v>56</v>
      </c>
      <c r="E4844" s="16" t="s">
        <v>146</v>
      </c>
      <c r="F4844" s="16" t="s">
        <v>138</v>
      </c>
      <c r="G4844" s="22">
        <v>12</v>
      </c>
      <c r="H4844" s="18">
        <v>93.397499999999994</v>
      </c>
      <c r="I4844" s="18">
        <v>7.7831250000000001</v>
      </c>
      <c r="J4844" s="18">
        <v>7.96</v>
      </c>
      <c r="K4844" s="18">
        <v>7.72</v>
      </c>
      <c r="L4844" s="22">
        <v>8</v>
      </c>
    </row>
    <row r="4845" spans="1:12">
      <c r="A4845">
        <v>5</v>
      </c>
      <c r="B4845" s="16" t="s">
        <v>60</v>
      </c>
      <c r="C4845" s="9">
        <v>45717</v>
      </c>
      <c r="D4845">
        <v>56</v>
      </c>
      <c r="E4845" s="16" t="s">
        <v>146</v>
      </c>
      <c r="F4845" s="16" t="s">
        <v>138</v>
      </c>
      <c r="G4845" s="22">
        <v>14.5</v>
      </c>
      <c r="H4845" s="18">
        <v>113.575</v>
      </c>
      <c r="I4845" s="18">
        <v>7.832758621</v>
      </c>
      <c r="J4845" s="18">
        <v>8.01</v>
      </c>
      <c r="K4845" s="18">
        <v>7.6</v>
      </c>
      <c r="L4845" s="22">
        <v>9</v>
      </c>
    </row>
    <row r="4846" spans="1:12">
      <c r="A4846">
        <v>5</v>
      </c>
      <c r="B4846" s="16" t="s">
        <v>60</v>
      </c>
      <c r="C4846" s="9">
        <v>45748</v>
      </c>
      <c r="D4846">
        <v>56</v>
      </c>
      <c r="E4846" s="16" t="s">
        <v>146</v>
      </c>
      <c r="F4846" s="16" t="s">
        <v>138</v>
      </c>
      <c r="G4846" s="22">
        <v>17.25</v>
      </c>
      <c r="H4846" s="18">
        <v>136.61750000000001</v>
      </c>
      <c r="I4846" s="18">
        <v>7.9198550719999998</v>
      </c>
      <c r="J4846" s="18">
        <v>8.02</v>
      </c>
      <c r="K4846" s="18">
        <v>7.79</v>
      </c>
      <c r="L4846" s="22">
        <v>8</v>
      </c>
    </row>
    <row r="4847" spans="1:12">
      <c r="A4847">
        <v>5</v>
      </c>
      <c r="B4847" s="16" t="s">
        <v>60</v>
      </c>
      <c r="C4847" s="9">
        <v>45778</v>
      </c>
      <c r="D4847">
        <v>56</v>
      </c>
      <c r="E4847" s="16" t="s">
        <v>146</v>
      </c>
      <c r="F4847" s="16" t="s">
        <v>138</v>
      </c>
      <c r="G4847" s="22">
        <v>25.25</v>
      </c>
      <c r="H4847" s="18">
        <v>198.50749999999999</v>
      </c>
      <c r="I4847" s="18">
        <v>7.8616831679999999</v>
      </c>
      <c r="J4847" s="18">
        <v>7.96</v>
      </c>
      <c r="K4847" s="18">
        <v>7.82</v>
      </c>
      <c r="L4847" s="22">
        <v>9</v>
      </c>
    </row>
    <row r="4848" spans="1:12">
      <c r="A4848">
        <v>5</v>
      </c>
      <c r="B4848" s="16" t="s">
        <v>60</v>
      </c>
      <c r="C4848" s="9">
        <v>45809</v>
      </c>
      <c r="D4848">
        <v>56</v>
      </c>
      <c r="E4848" s="16" t="s">
        <v>146</v>
      </c>
      <c r="F4848" s="16" t="s">
        <v>138</v>
      </c>
      <c r="G4848" s="22">
        <v>24.25</v>
      </c>
      <c r="H4848" s="18">
        <v>191.15</v>
      </c>
      <c r="I4848" s="18">
        <v>7.8824742270000003</v>
      </c>
      <c r="J4848" s="18">
        <v>8.2200000000000006</v>
      </c>
      <c r="K4848" s="18">
        <v>7.66</v>
      </c>
      <c r="L4848" s="22">
        <v>9</v>
      </c>
    </row>
    <row r="4849" spans="1:12">
      <c r="A4849">
        <v>5</v>
      </c>
      <c r="B4849" s="16" t="s">
        <v>60</v>
      </c>
      <c r="C4849" s="9">
        <v>45839</v>
      </c>
      <c r="D4849">
        <v>56</v>
      </c>
      <c r="E4849" s="16" t="s">
        <v>146</v>
      </c>
      <c r="F4849" s="16" t="s">
        <v>138</v>
      </c>
      <c r="G4849" s="22">
        <v>29.25</v>
      </c>
      <c r="H4849" s="18">
        <v>232.71</v>
      </c>
      <c r="I4849" s="18">
        <v>7.9558974359999999</v>
      </c>
      <c r="J4849" s="18">
        <v>8.11</v>
      </c>
      <c r="K4849" s="18">
        <v>7.85</v>
      </c>
      <c r="L4849" s="22">
        <v>9</v>
      </c>
    </row>
    <row r="4850" spans="1:12">
      <c r="A4850">
        <v>5</v>
      </c>
      <c r="B4850" s="16" t="s">
        <v>60</v>
      </c>
      <c r="C4850" s="9">
        <v>45870</v>
      </c>
      <c r="D4850">
        <v>56</v>
      </c>
      <c r="E4850" s="16" t="s">
        <v>146</v>
      </c>
      <c r="F4850" s="16" t="s">
        <v>138</v>
      </c>
      <c r="G4850" s="22">
        <v>24.25</v>
      </c>
      <c r="H4850" s="18">
        <v>195.58</v>
      </c>
      <c r="I4850" s="18">
        <v>8.0651546389999993</v>
      </c>
      <c r="J4850" s="18">
        <v>8.57</v>
      </c>
      <c r="K4850" s="18">
        <v>7.83</v>
      </c>
      <c r="L4850" s="22">
        <v>8</v>
      </c>
    </row>
    <row r="4851" spans="1:12">
      <c r="A4851">
        <v>5</v>
      </c>
      <c r="B4851" s="16" t="s">
        <v>60</v>
      </c>
      <c r="C4851" s="9">
        <v>45901</v>
      </c>
      <c r="D4851">
        <v>56</v>
      </c>
      <c r="E4851" s="16" t="s">
        <v>146</v>
      </c>
      <c r="F4851" s="16" t="s">
        <v>138</v>
      </c>
      <c r="G4851" s="22">
        <v>17.5</v>
      </c>
      <c r="H4851" s="18">
        <v>140.08500000000001</v>
      </c>
      <c r="I4851" s="18">
        <v>8.0048571430000006</v>
      </c>
      <c r="J4851" s="18">
        <v>8.15</v>
      </c>
      <c r="K4851" s="18">
        <v>7.89</v>
      </c>
      <c r="L4851" s="22">
        <v>9</v>
      </c>
    </row>
    <row r="4852" spans="1:12">
      <c r="A4852">
        <v>5</v>
      </c>
      <c r="B4852" s="16" t="s">
        <v>60</v>
      </c>
      <c r="C4852" s="9">
        <v>45931</v>
      </c>
      <c r="D4852">
        <v>56</v>
      </c>
      <c r="E4852" s="16" t="s">
        <v>146</v>
      </c>
      <c r="F4852" s="16" t="s">
        <v>138</v>
      </c>
      <c r="G4852" s="22">
        <v>17.25</v>
      </c>
      <c r="H4852" s="18">
        <v>138.35499999999999</v>
      </c>
      <c r="I4852" s="18">
        <v>8.0205797099999998</v>
      </c>
      <c r="J4852" s="18">
        <v>8.23</v>
      </c>
      <c r="K4852" s="18">
        <v>7.82</v>
      </c>
      <c r="L4852" s="22">
        <v>9</v>
      </c>
    </row>
    <row r="4853" spans="1:12">
      <c r="A4853">
        <v>5</v>
      </c>
      <c r="B4853" s="16" t="s">
        <v>60</v>
      </c>
      <c r="C4853" s="9">
        <v>45962</v>
      </c>
      <c r="D4853">
        <v>56</v>
      </c>
      <c r="E4853" s="16" t="s">
        <v>146</v>
      </c>
      <c r="F4853" s="16" t="s">
        <v>138</v>
      </c>
      <c r="G4853" s="22">
        <v>12.5</v>
      </c>
      <c r="H4853" s="18">
        <v>107.47750000000001</v>
      </c>
      <c r="I4853" s="18">
        <v>8.5982000000000003</v>
      </c>
      <c r="J4853" s="18">
        <v>9.09</v>
      </c>
      <c r="K4853" s="18">
        <v>7.99</v>
      </c>
      <c r="L4853" s="22">
        <v>8</v>
      </c>
    </row>
    <row r="4854" spans="1:12">
      <c r="A4854">
        <v>5</v>
      </c>
      <c r="B4854" s="16" t="s">
        <v>60</v>
      </c>
      <c r="C4854" s="9">
        <v>45992</v>
      </c>
      <c r="D4854">
        <v>56</v>
      </c>
      <c r="E4854" s="16" t="s">
        <v>146</v>
      </c>
      <c r="F4854" s="16" t="s">
        <v>138</v>
      </c>
      <c r="G4854" s="22">
        <v>10.25</v>
      </c>
      <c r="H4854" s="18">
        <v>93.8125</v>
      </c>
      <c r="I4854" s="18">
        <v>9.1524390239999995</v>
      </c>
      <c r="J4854" s="18">
        <v>9.74</v>
      </c>
      <c r="K4854" s="18">
        <v>8.89</v>
      </c>
      <c r="L4854" s="22">
        <v>9</v>
      </c>
    </row>
    <row r="4855" spans="1:12">
      <c r="A4855">
        <v>5</v>
      </c>
      <c r="B4855" s="16" t="s">
        <v>60</v>
      </c>
      <c r="C4855" s="9">
        <v>46023</v>
      </c>
      <c r="D4855">
        <v>56</v>
      </c>
      <c r="E4855" s="16" t="s">
        <v>146</v>
      </c>
      <c r="F4855" s="16" t="s">
        <v>138</v>
      </c>
      <c r="G4855" s="22">
        <v>11.75</v>
      </c>
      <c r="H4855" s="18">
        <v>95.325000000000003</v>
      </c>
      <c r="I4855" s="18">
        <v>8.1127659570000006</v>
      </c>
      <c r="J4855" s="18">
        <v>8.2899999999999991</v>
      </c>
      <c r="K4855" s="18">
        <v>7.94</v>
      </c>
      <c r="L4855" s="22">
        <v>8</v>
      </c>
    </row>
    <row r="4856" spans="1:12">
      <c r="A4856">
        <v>5</v>
      </c>
      <c r="B4856" s="16" t="s">
        <v>60</v>
      </c>
      <c r="C4856" s="9">
        <v>46054</v>
      </c>
      <c r="D4856">
        <v>56</v>
      </c>
      <c r="E4856" s="16" t="s">
        <v>146</v>
      </c>
      <c r="F4856" s="16" t="s">
        <v>138</v>
      </c>
      <c r="G4856" s="22">
        <v>11</v>
      </c>
      <c r="H4856" s="18">
        <v>89.612499999999997</v>
      </c>
      <c r="I4856" s="18">
        <v>8.1465909090000004</v>
      </c>
      <c r="J4856" s="18">
        <v>8.23</v>
      </c>
      <c r="K4856" s="18">
        <v>8.0500000000000007</v>
      </c>
      <c r="L4856" s="22">
        <v>8</v>
      </c>
    </row>
    <row r="4857" spans="1:12">
      <c r="A4857">
        <v>5</v>
      </c>
      <c r="B4857" s="16" t="s">
        <v>60</v>
      </c>
      <c r="C4857" s="9">
        <v>46082</v>
      </c>
      <c r="D4857">
        <v>56</v>
      </c>
      <c r="E4857" s="16" t="s">
        <v>146</v>
      </c>
      <c r="F4857" s="16" t="s">
        <v>138</v>
      </c>
      <c r="G4857" s="22">
        <v>13.75</v>
      </c>
      <c r="H4857" s="18">
        <v>111.88500000000001</v>
      </c>
      <c r="I4857" s="18">
        <v>8.1370909089999994</v>
      </c>
      <c r="J4857" s="18">
        <v>8.31</v>
      </c>
      <c r="K4857" s="18">
        <v>8.0299999999999994</v>
      </c>
      <c r="L4857" s="22">
        <v>9</v>
      </c>
    </row>
    <row r="4858" spans="1:12">
      <c r="A4858">
        <v>5</v>
      </c>
      <c r="B4858" s="16" t="s">
        <v>60</v>
      </c>
      <c r="C4858" s="9">
        <v>46113</v>
      </c>
      <c r="D4858">
        <v>56</v>
      </c>
      <c r="E4858" s="16" t="s">
        <v>146</v>
      </c>
      <c r="F4858" s="16" t="s">
        <v>138</v>
      </c>
      <c r="G4858" s="22">
        <v>19.5</v>
      </c>
      <c r="H4858" s="18">
        <v>162.54</v>
      </c>
      <c r="I4858" s="18">
        <v>8.3353846150000006</v>
      </c>
      <c r="J4858" s="18">
        <v>8.49</v>
      </c>
      <c r="K4858" s="18">
        <v>8.2100000000000009</v>
      </c>
      <c r="L4858" s="22">
        <v>9</v>
      </c>
    </row>
    <row r="4859" spans="1:12">
      <c r="A4859">
        <v>5</v>
      </c>
      <c r="B4859" s="16" t="s">
        <v>60</v>
      </c>
      <c r="C4859" s="9">
        <v>46143</v>
      </c>
      <c r="D4859">
        <v>56</v>
      </c>
      <c r="E4859" s="16" t="s">
        <v>146</v>
      </c>
      <c r="F4859" s="16" t="s">
        <v>138</v>
      </c>
      <c r="G4859" s="22">
        <v>18.25</v>
      </c>
      <c r="H4859" s="18">
        <v>151.655</v>
      </c>
      <c r="I4859" s="18">
        <v>8.3098630139999994</v>
      </c>
      <c r="J4859" s="18">
        <v>8.6999999999999993</v>
      </c>
      <c r="K4859" s="18">
        <v>8.1999999999999993</v>
      </c>
      <c r="L4859" s="22">
        <v>8</v>
      </c>
    </row>
    <row r="4860" spans="1:12">
      <c r="A4860">
        <v>5</v>
      </c>
      <c r="B4860" s="16" t="s">
        <v>60</v>
      </c>
      <c r="C4860" s="9">
        <v>46174</v>
      </c>
      <c r="D4860">
        <v>56</v>
      </c>
      <c r="E4860" s="16" t="s">
        <v>146</v>
      </c>
      <c r="F4860" s="16" t="s">
        <v>138</v>
      </c>
      <c r="G4860" s="22">
        <v>26</v>
      </c>
      <c r="H4860" s="18">
        <v>216.1575</v>
      </c>
      <c r="I4860" s="18">
        <v>8.3137500000000006</v>
      </c>
      <c r="J4860" s="18">
        <v>8.56</v>
      </c>
      <c r="K4860" s="18">
        <v>8.14</v>
      </c>
      <c r="L4860" s="22">
        <v>9</v>
      </c>
    </row>
    <row r="4861" spans="1:12">
      <c r="A4861">
        <v>5</v>
      </c>
      <c r="B4861" s="16" t="s">
        <v>60</v>
      </c>
      <c r="C4861" s="9">
        <v>46204</v>
      </c>
      <c r="D4861">
        <v>56</v>
      </c>
      <c r="E4861" s="16" t="s">
        <v>146</v>
      </c>
      <c r="F4861" s="16" t="s">
        <v>138</v>
      </c>
      <c r="G4861" s="22">
        <v>32.25</v>
      </c>
      <c r="H4861" s="18">
        <v>271.86</v>
      </c>
      <c r="I4861" s="18">
        <v>8.4297674419999993</v>
      </c>
      <c r="J4861" s="18">
        <v>8.5399999999999991</v>
      </c>
      <c r="K4861" s="18">
        <v>8.27</v>
      </c>
      <c r="L4861" s="22">
        <v>9</v>
      </c>
    </row>
    <row r="4862" spans="1:12">
      <c r="A4862">
        <v>5</v>
      </c>
      <c r="B4862" s="16" t="s">
        <v>60</v>
      </c>
      <c r="C4862" s="9">
        <v>46235</v>
      </c>
      <c r="D4862">
        <v>56</v>
      </c>
      <c r="E4862" s="16" t="s">
        <v>146</v>
      </c>
      <c r="F4862" s="16" t="s">
        <v>138</v>
      </c>
      <c r="G4862" s="22">
        <v>21.25</v>
      </c>
      <c r="H4862" s="18">
        <v>178.21</v>
      </c>
      <c r="I4862" s="18">
        <v>8.3863529410000002</v>
      </c>
      <c r="J4862" s="18">
        <v>8.57</v>
      </c>
      <c r="K4862" s="18">
        <v>8.2200000000000006</v>
      </c>
      <c r="L4862" s="22">
        <v>9</v>
      </c>
    </row>
    <row r="4863" spans="1:12">
      <c r="A4863">
        <v>5</v>
      </c>
      <c r="B4863" s="16" t="s">
        <v>60</v>
      </c>
      <c r="C4863" s="9">
        <v>46266</v>
      </c>
      <c r="D4863">
        <v>56</v>
      </c>
      <c r="E4863" s="16" t="s">
        <v>146</v>
      </c>
      <c r="F4863" s="16" t="s">
        <v>138</v>
      </c>
      <c r="G4863" s="22">
        <v>15.25</v>
      </c>
      <c r="H4863" s="18">
        <v>128.345</v>
      </c>
      <c r="I4863" s="18">
        <v>8.4160655739999992</v>
      </c>
      <c r="J4863" s="18">
        <v>8.6300000000000008</v>
      </c>
      <c r="K4863" s="18">
        <v>8.26</v>
      </c>
      <c r="L4863" s="22">
        <v>8</v>
      </c>
    </row>
    <row r="4864" spans="1:12">
      <c r="A4864">
        <v>6</v>
      </c>
      <c r="B4864" s="16" t="s">
        <v>61</v>
      </c>
      <c r="C4864" s="9">
        <v>45689</v>
      </c>
      <c r="D4864">
        <v>1</v>
      </c>
      <c r="E4864" s="16" t="s">
        <v>80</v>
      </c>
      <c r="F4864" s="16" t="s">
        <v>81</v>
      </c>
      <c r="G4864" s="22">
        <v>24</v>
      </c>
      <c r="H4864" s="18">
        <v>289.68</v>
      </c>
      <c r="I4864" s="18">
        <v>12.07</v>
      </c>
      <c r="J4864" s="18">
        <v>12.12</v>
      </c>
      <c r="K4864" s="18">
        <v>12.02</v>
      </c>
      <c r="L4864" s="22">
        <v>2</v>
      </c>
    </row>
    <row r="4865" spans="1:12">
      <c r="A4865">
        <v>6</v>
      </c>
      <c r="B4865" s="16" t="s">
        <v>61</v>
      </c>
      <c r="C4865" s="9">
        <v>45717</v>
      </c>
      <c r="D4865">
        <v>1</v>
      </c>
      <c r="E4865" s="16" t="s">
        <v>80</v>
      </c>
      <c r="F4865" s="16" t="s">
        <v>81</v>
      </c>
      <c r="G4865" s="22">
        <v>24</v>
      </c>
      <c r="H4865" s="18">
        <v>357.96</v>
      </c>
      <c r="I4865" s="18">
        <v>14.914999999999999</v>
      </c>
      <c r="J4865" s="18">
        <v>14.99</v>
      </c>
      <c r="K4865" s="18">
        <v>14.84</v>
      </c>
      <c r="L4865" s="22">
        <v>2</v>
      </c>
    </row>
    <row r="4866" spans="1:12">
      <c r="A4866">
        <v>6</v>
      </c>
      <c r="B4866" s="16" t="s">
        <v>61</v>
      </c>
      <c r="C4866" s="9">
        <v>45748</v>
      </c>
      <c r="D4866">
        <v>1</v>
      </c>
      <c r="E4866" s="16" t="s">
        <v>80</v>
      </c>
      <c r="F4866" s="16" t="s">
        <v>81</v>
      </c>
      <c r="G4866" s="22">
        <v>24</v>
      </c>
      <c r="H4866" s="18">
        <v>361.08</v>
      </c>
      <c r="I4866" s="18">
        <v>15.045</v>
      </c>
      <c r="J4866" s="18">
        <v>15.14</v>
      </c>
      <c r="K4866" s="18">
        <v>14.95</v>
      </c>
      <c r="L4866" s="22">
        <v>2</v>
      </c>
    </row>
    <row r="4867" spans="1:12">
      <c r="A4867">
        <v>6</v>
      </c>
      <c r="B4867" s="16" t="s">
        <v>61</v>
      </c>
      <c r="C4867" s="9">
        <v>45778</v>
      </c>
      <c r="D4867">
        <v>1</v>
      </c>
      <c r="E4867" s="16" t="s">
        <v>80</v>
      </c>
      <c r="F4867" s="16" t="s">
        <v>81</v>
      </c>
      <c r="G4867" s="22">
        <v>12</v>
      </c>
      <c r="H4867" s="18">
        <v>175.2</v>
      </c>
      <c r="I4867" s="18">
        <v>14.6</v>
      </c>
      <c r="J4867" s="18">
        <v>14.6</v>
      </c>
      <c r="K4867" s="18">
        <v>14.6</v>
      </c>
      <c r="L4867" s="22">
        <v>1</v>
      </c>
    </row>
    <row r="4868" spans="1:12">
      <c r="A4868">
        <v>6</v>
      </c>
      <c r="B4868" s="16" t="s">
        <v>61</v>
      </c>
      <c r="C4868" s="9">
        <v>45809</v>
      </c>
      <c r="D4868">
        <v>1</v>
      </c>
      <c r="E4868" s="16" t="s">
        <v>80</v>
      </c>
      <c r="F4868" s="16" t="s">
        <v>81</v>
      </c>
      <c r="G4868" s="22">
        <v>24</v>
      </c>
      <c r="H4868" s="18">
        <v>359.88</v>
      </c>
      <c r="I4868" s="18">
        <v>14.994999999999999</v>
      </c>
      <c r="J4868" s="18">
        <v>15.11</v>
      </c>
      <c r="K4868" s="18">
        <v>14.88</v>
      </c>
      <c r="L4868" s="22">
        <v>2</v>
      </c>
    </row>
    <row r="4869" spans="1:12">
      <c r="A4869">
        <v>6</v>
      </c>
      <c r="B4869" s="16" t="s">
        <v>61</v>
      </c>
      <c r="C4869" s="9">
        <v>45839</v>
      </c>
      <c r="D4869">
        <v>1</v>
      </c>
      <c r="E4869" s="16" t="s">
        <v>80</v>
      </c>
      <c r="F4869" s="16" t="s">
        <v>81</v>
      </c>
      <c r="G4869" s="22">
        <v>24</v>
      </c>
      <c r="H4869" s="18">
        <v>299.76</v>
      </c>
      <c r="I4869" s="18">
        <v>12.49</v>
      </c>
      <c r="J4869" s="18">
        <v>12.61</v>
      </c>
      <c r="K4869" s="18">
        <v>12.37</v>
      </c>
      <c r="L4869" s="22">
        <v>2</v>
      </c>
    </row>
    <row r="4870" spans="1:12">
      <c r="A4870">
        <v>6</v>
      </c>
      <c r="B4870" s="16" t="s">
        <v>61</v>
      </c>
      <c r="C4870" s="9">
        <v>45870</v>
      </c>
      <c r="D4870">
        <v>1</v>
      </c>
      <c r="E4870" s="16" t="s">
        <v>80</v>
      </c>
      <c r="F4870" s="16" t="s">
        <v>81</v>
      </c>
      <c r="G4870" s="22">
        <v>24</v>
      </c>
      <c r="H4870" s="18">
        <v>300.72000000000003</v>
      </c>
      <c r="I4870" s="18">
        <v>12.53</v>
      </c>
      <c r="J4870" s="18">
        <v>12.67</v>
      </c>
      <c r="K4870" s="18">
        <v>12.39</v>
      </c>
      <c r="L4870" s="22">
        <v>2</v>
      </c>
    </row>
    <row r="4871" spans="1:12">
      <c r="A4871">
        <v>6</v>
      </c>
      <c r="B4871" s="16" t="s">
        <v>61</v>
      </c>
      <c r="C4871" s="9">
        <v>45901</v>
      </c>
      <c r="D4871">
        <v>1</v>
      </c>
      <c r="E4871" s="16" t="s">
        <v>80</v>
      </c>
      <c r="F4871" s="16" t="s">
        <v>81</v>
      </c>
      <c r="G4871" s="22">
        <v>24</v>
      </c>
      <c r="H4871" s="18">
        <v>304.8</v>
      </c>
      <c r="I4871" s="18">
        <v>12.7</v>
      </c>
      <c r="J4871" s="18">
        <v>12.82</v>
      </c>
      <c r="K4871" s="18">
        <v>12.58</v>
      </c>
      <c r="L4871" s="22">
        <v>2</v>
      </c>
    </row>
    <row r="4872" spans="1:12">
      <c r="A4872">
        <v>6</v>
      </c>
      <c r="B4872" s="16" t="s">
        <v>61</v>
      </c>
      <c r="C4872" s="9">
        <v>45931</v>
      </c>
      <c r="D4872">
        <v>1</v>
      </c>
      <c r="E4872" s="16" t="s">
        <v>80</v>
      </c>
      <c r="F4872" s="16" t="s">
        <v>81</v>
      </c>
      <c r="G4872" s="22">
        <v>12</v>
      </c>
      <c r="H4872" s="18">
        <v>153.24</v>
      </c>
      <c r="I4872" s="18">
        <v>12.77</v>
      </c>
      <c r="J4872" s="18">
        <v>12.77</v>
      </c>
      <c r="K4872" s="18">
        <v>12.77</v>
      </c>
      <c r="L4872" s="22">
        <v>1</v>
      </c>
    </row>
    <row r="4873" spans="1:12">
      <c r="A4873">
        <v>6</v>
      </c>
      <c r="B4873" s="16" t="s">
        <v>61</v>
      </c>
      <c r="C4873" s="9">
        <v>45962</v>
      </c>
      <c r="D4873">
        <v>1</v>
      </c>
      <c r="E4873" s="16" t="s">
        <v>80</v>
      </c>
      <c r="F4873" s="16" t="s">
        <v>81</v>
      </c>
      <c r="G4873" s="22">
        <v>24</v>
      </c>
      <c r="H4873" s="18">
        <v>305.64</v>
      </c>
      <c r="I4873" s="18">
        <v>12.734999999999999</v>
      </c>
      <c r="J4873" s="18">
        <v>12.85</v>
      </c>
      <c r="K4873" s="18">
        <v>12.62</v>
      </c>
      <c r="L4873" s="22">
        <v>2</v>
      </c>
    </row>
    <row r="4874" spans="1:12">
      <c r="A4874">
        <v>6</v>
      </c>
      <c r="B4874" s="16" t="s">
        <v>61</v>
      </c>
      <c r="C4874" s="9">
        <v>45992</v>
      </c>
      <c r="D4874">
        <v>1</v>
      </c>
      <c r="E4874" s="16" t="s">
        <v>80</v>
      </c>
      <c r="F4874" s="16" t="s">
        <v>81</v>
      </c>
      <c r="G4874" s="22">
        <v>24</v>
      </c>
      <c r="H4874" s="18">
        <v>302.27999999999997</v>
      </c>
      <c r="I4874" s="18">
        <v>12.595000000000001</v>
      </c>
      <c r="J4874" s="18">
        <v>12.73</v>
      </c>
      <c r="K4874" s="18">
        <v>12.46</v>
      </c>
      <c r="L4874" s="22">
        <v>2</v>
      </c>
    </row>
    <row r="4875" spans="1:12">
      <c r="A4875">
        <v>6</v>
      </c>
      <c r="B4875" s="16" t="s">
        <v>61</v>
      </c>
      <c r="C4875" s="9">
        <v>46023</v>
      </c>
      <c r="D4875">
        <v>1</v>
      </c>
      <c r="E4875" s="16" t="s">
        <v>80</v>
      </c>
      <c r="F4875" s="16" t="s">
        <v>81</v>
      </c>
      <c r="G4875" s="22">
        <v>24</v>
      </c>
      <c r="H4875" s="18">
        <v>308.52</v>
      </c>
      <c r="I4875" s="18">
        <v>12.855</v>
      </c>
      <c r="J4875" s="18">
        <v>13</v>
      </c>
      <c r="K4875" s="18">
        <v>12.71</v>
      </c>
      <c r="L4875" s="22">
        <v>2</v>
      </c>
    </row>
    <row r="4876" spans="1:12">
      <c r="A4876">
        <v>6</v>
      </c>
      <c r="B4876" s="16" t="s">
        <v>61</v>
      </c>
      <c r="C4876" s="9">
        <v>46054</v>
      </c>
      <c r="D4876">
        <v>1</v>
      </c>
      <c r="E4876" s="16" t="s">
        <v>80</v>
      </c>
      <c r="F4876" s="16" t="s">
        <v>81</v>
      </c>
      <c r="G4876" s="22">
        <v>24</v>
      </c>
      <c r="H4876" s="18">
        <v>317.88</v>
      </c>
      <c r="I4876" s="18">
        <v>13.244999999999999</v>
      </c>
      <c r="J4876" s="18">
        <v>13.38</v>
      </c>
      <c r="K4876" s="18">
        <v>13.11</v>
      </c>
      <c r="L4876" s="22">
        <v>2</v>
      </c>
    </row>
    <row r="4877" spans="1:12">
      <c r="A4877">
        <v>6</v>
      </c>
      <c r="B4877" s="16" t="s">
        <v>61</v>
      </c>
      <c r="C4877" s="9">
        <v>46082</v>
      </c>
      <c r="D4877">
        <v>1</v>
      </c>
      <c r="E4877" s="16" t="s">
        <v>80</v>
      </c>
      <c r="F4877" s="16" t="s">
        <v>81</v>
      </c>
      <c r="G4877" s="22">
        <v>24</v>
      </c>
      <c r="H4877" s="18">
        <v>374.64</v>
      </c>
      <c r="I4877" s="18">
        <v>15.61</v>
      </c>
      <c r="J4877" s="18">
        <v>15.69</v>
      </c>
      <c r="K4877" s="18">
        <v>15.53</v>
      </c>
      <c r="L4877" s="22">
        <v>2</v>
      </c>
    </row>
    <row r="4878" spans="1:12">
      <c r="A4878">
        <v>6</v>
      </c>
      <c r="B4878" s="16" t="s">
        <v>61</v>
      </c>
      <c r="C4878" s="9">
        <v>46113</v>
      </c>
      <c r="D4878">
        <v>1</v>
      </c>
      <c r="E4878" s="16" t="s">
        <v>80</v>
      </c>
      <c r="F4878" s="16" t="s">
        <v>81</v>
      </c>
      <c r="G4878" s="22">
        <v>24</v>
      </c>
      <c r="H4878" s="18">
        <v>378</v>
      </c>
      <c r="I4878" s="18">
        <v>15.75</v>
      </c>
      <c r="J4878" s="18">
        <v>15.85</v>
      </c>
      <c r="K4878" s="18">
        <v>15.65</v>
      </c>
      <c r="L4878" s="22">
        <v>2</v>
      </c>
    </row>
    <row r="4879" spans="1:12">
      <c r="A4879">
        <v>6</v>
      </c>
      <c r="B4879" s="16" t="s">
        <v>61</v>
      </c>
      <c r="C4879" s="9">
        <v>46143</v>
      </c>
      <c r="D4879">
        <v>1</v>
      </c>
      <c r="E4879" s="16" t="s">
        <v>80</v>
      </c>
      <c r="F4879" s="16" t="s">
        <v>81</v>
      </c>
      <c r="G4879" s="22">
        <v>12</v>
      </c>
      <c r="H4879" s="18">
        <v>188.76</v>
      </c>
      <c r="I4879" s="18">
        <v>15.73</v>
      </c>
      <c r="J4879" s="18">
        <v>15.73</v>
      </c>
      <c r="K4879" s="18">
        <v>15.73</v>
      </c>
      <c r="L4879" s="22">
        <v>1</v>
      </c>
    </row>
    <row r="4880" spans="1:12">
      <c r="A4880">
        <v>6</v>
      </c>
      <c r="B4880" s="16" t="s">
        <v>61</v>
      </c>
      <c r="C4880" s="9">
        <v>46174</v>
      </c>
      <c r="D4880">
        <v>1</v>
      </c>
      <c r="E4880" s="16" t="s">
        <v>80</v>
      </c>
      <c r="F4880" s="16" t="s">
        <v>81</v>
      </c>
      <c r="G4880" s="22">
        <v>24</v>
      </c>
      <c r="H4880" s="18">
        <v>376.2</v>
      </c>
      <c r="I4880" s="18">
        <v>15.675000000000001</v>
      </c>
      <c r="J4880" s="18">
        <v>15.74</v>
      </c>
      <c r="K4880" s="18">
        <v>15.61</v>
      </c>
      <c r="L4880" s="22">
        <v>2</v>
      </c>
    </row>
    <row r="4881" spans="1:12">
      <c r="A4881">
        <v>6</v>
      </c>
      <c r="B4881" s="16" t="s">
        <v>61</v>
      </c>
      <c r="C4881" s="9">
        <v>46204</v>
      </c>
      <c r="D4881">
        <v>1</v>
      </c>
      <c r="E4881" s="16" t="s">
        <v>80</v>
      </c>
      <c r="F4881" s="16" t="s">
        <v>81</v>
      </c>
      <c r="G4881" s="22">
        <v>24</v>
      </c>
      <c r="H4881" s="18">
        <v>311.52</v>
      </c>
      <c r="I4881" s="18">
        <v>12.98</v>
      </c>
      <c r="J4881" s="18">
        <v>12.99</v>
      </c>
      <c r="K4881" s="18">
        <v>12.97</v>
      </c>
      <c r="L4881" s="22">
        <v>2</v>
      </c>
    </row>
    <row r="4882" spans="1:12">
      <c r="A4882">
        <v>6</v>
      </c>
      <c r="B4882" s="16" t="s">
        <v>61</v>
      </c>
      <c r="C4882" s="9">
        <v>46235</v>
      </c>
      <c r="D4882">
        <v>1</v>
      </c>
      <c r="E4882" s="16" t="s">
        <v>80</v>
      </c>
      <c r="F4882" s="16" t="s">
        <v>81</v>
      </c>
      <c r="G4882" s="22">
        <v>12</v>
      </c>
      <c r="H4882" s="18">
        <v>157.56</v>
      </c>
      <c r="I4882" s="18">
        <v>13.13</v>
      </c>
      <c r="J4882" s="18">
        <v>13.13</v>
      </c>
      <c r="K4882" s="18">
        <v>13.13</v>
      </c>
      <c r="L4882" s="22">
        <v>1</v>
      </c>
    </row>
    <row r="4883" spans="1:12">
      <c r="A4883">
        <v>6</v>
      </c>
      <c r="B4883" s="16" t="s">
        <v>61</v>
      </c>
      <c r="C4883" s="9">
        <v>46266</v>
      </c>
      <c r="D4883">
        <v>1</v>
      </c>
      <c r="E4883" s="16" t="s">
        <v>80</v>
      </c>
      <c r="F4883" s="16" t="s">
        <v>81</v>
      </c>
      <c r="G4883" s="22">
        <v>24</v>
      </c>
      <c r="H4883" s="18">
        <v>313.2</v>
      </c>
      <c r="I4883" s="18">
        <v>13.05</v>
      </c>
      <c r="J4883" s="18">
        <v>13.13</v>
      </c>
      <c r="K4883" s="18">
        <v>12.97</v>
      </c>
      <c r="L4883" s="22">
        <v>2</v>
      </c>
    </row>
    <row r="4884" spans="1:12">
      <c r="A4884">
        <v>6</v>
      </c>
      <c r="B4884" s="16" t="s">
        <v>61</v>
      </c>
      <c r="C4884" s="9">
        <v>45689</v>
      </c>
      <c r="D4884">
        <v>2</v>
      </c>
      <c r="E4884" s="16" t="s">
        <v>82</v>
      </c>
      <c r="F4884" s="16" t="s">
        <v>83</v>
      </c>
      <c r="G4884" s="22">
        <v>25</v>
      </c>
      <c r="H4884" s="18">
        <v>487.54500000000002</v>
      </c>
      <c r="I4884" s="18">
        <v>19.501799999999999</v>
      </c>
      <c r="J4884" s="18">
        <v>19.75</v>
      </c>
      <c r="K4884" s="18">
        <v>19.239999999999998</v>
      </c>
      <c r="L4884" s="22">
        <v>8</v>
      </c>
    </row>
    <row r="4885" spans="1:12">
      <c r="A4885">
        <v>6</v>
      </c>
      <c r="B4885" s="16" t="s">
        <v>61</v>
      </c>
      <c r="C4885" s="9">
        <v>45717</v>
      </c>
      <c r="D4885">
        <v>2</v>
      </c>
      <c r="E4885" s="16" t="s">
        <v>82</v>
      </c>
      <c r="F4885" s="16" t="s">
        <v>83</v>
      </c>
      <c r="G4885" s="22">
        <v>22</v>
      </c>
      <c r="H4885" s="18">
        <v>422.71</v>
      </c>
      <c r="I4885" s="18">
        <v>19.214090908999999</v>
      </c>
      <c r="J4885" s="18">
        <v>19.48</v>
      </c>
      <c r="K4885" s="18">
        <v>18.899999999999999</v>
      </c>
      <c r="L4885" s="22">
        <v>9</v>
      </c>
    </row>
    <row r="4886" spans="1:12">
      <c r="A4886">
        <v>6</v>
      </c>
      <c r="B4886" s="16" t="s">
        <v>61</v>
      </c>
      <c r="C4886" s="9">
        <v>45748</v>
      </c>
      <c r="D4886">
        <v>2</v>
      </c>
      <c r="E4886" s="16" t="s">
        <v>82</v>
      </c>
      <c r="F4886" s="16" t="s">
        <v>83</v>
      </c>
      <c r="G4886" s="22">
        <v>21</v>
      </c>
      <c r="H4886" s="18">
        <v>407.68</v>
      </c>
      <c r="I4886" s="18">
        <v>19.413333333000001</v>
      </c>
      <c r="J4886" s="18">
        <v>19.77</v>
      </c>
      <c r="K4886" s="18">
        <v>19.100000000000001</v>
      </c>
      <c r="L4886" s="22">
        <v>8</v>
      </c>
    </row>
    <row r="4887" spans="1:12">
      <c r="A4887">
        <v>6</v>
      </c>
      <c r="B4887" s="16" t="s">
        <v>61</v>
      </c>
      <c r="C4887" s="9">
        <v>45778</v>
      </c>
      <c r="D4887">
        <v>2</v>
      </c>
      <c r="E4887" s="16" t="s">
        <v>82</v>
      </c>
      <c r="F4887" s="16" t="s">
        <v>83</v>
      </c>
      <c r="G4887" s="22">
        <v>23.5</v>
      </c>
      <c r="H4887" s="18">
        <v>457.07</v>
      </c>
      <c r="I4887" s="18">
        <v>19.449787233999999</v>
      </c>
      <c r="J4887" s="18">
        <v>19.829999999999998</v>
      </c>
      <c r="K4887" s="18">
        <v>19.05</v>
      </c>
      <c r="L4887" s="22">
        <v>9</v>
      </c>
    </row>
    <row r="4888" spans="1:12">
      <c r="A4888">
        <v>6</v>
      </c>
      <c r="B4888" s="16" t="s">
        <v>61</v>
      </c>
      <c r="C4888" s="9">
        <v>45809</v>
      </c>
      <c r="D4888">
        <v>2</v>
      </c>
      <c r="E4888" s="16" t="s">
        <v>82</v>
      </c>
      <c r="F4888" s="16" t="s">
        <v>83</v>
      </c>
      <c r="G4888" s="22">
        <v>20</v>
      </c>
      <c r="H4888" s="18">
        <v>390.23500000000001</v>
      </c>
      <c r="I4888" s="18">
        <v>19.511749999999999</v>
      </c>
      <c r="J4888" s="18">
        <v>19.920000000000002</v>
      </c>
      <c r="K4888" s="18">
        <v>19.010000000000002</v>
      </c>
      <c r="L4888" s="22">
        <v>9</v>
      </c>
    </row>
    <row r="4889" spans="1:12">
      <c r="A4889">
        <v>6</v>
      </c>
      <c r="B4889" s="16" t="s">
        <v>61</v>
      </c>
      <c r="C4889" s="9">
        <v>45839</v>
      </c>
      <c r="D4889">
        <v>2</v>
      </c>
      <c r="E4889" s="16" t="s">
        <v>82</v>
      </c>
      <c r="F4889" s="16" t="s">
        <v>83</v>
      </c>
      <c r="G4889" s="22">
        <v>16.5</v>
      </c>
      <c r="H4889" s="18">
        <v>341.59500000000003</v>
      </c>
      <c r="I4889" s="18">
        <v>20.702727273000001</v>
      </c>
      <c r="J4889" s="18">
        <v>21.05</v>
      </c>
      <c r="K4889" s="18">
        <v>20.36</v>
      </c>
      <c r="L4889" s="22">
        <v>9</v>
      </c>
    </row>
    <row r="4890" spans="1:12">
      <c r="A4890">
        <v>6</v>
      </c>
      <c r="B4890" s="16" t="s">
        <v>61</v>
      </c>
      <c r="C4890" s="9">
        <v>45870</v>
      </c>
      <c r="D4890">
        <v>2</v>
      </c>
      <c r="E4890" s="16" t="s">
        <v>82</v>
      </c>
      <c r="F4890" s="16" t="s">
        <v>83</v>
      </c>
      <c r="G4890" s="22">
        <v>14.5</v>
      </c>
      <c r="H4890" s="18">
        <v>297.92</v>
      </c>
      <c r="I4890" s="18">
        <v>20.546206897000001</v>
      </c>
      <c r="J4890" s="18">
        <v>21.12</v>
      </c>
      <c r="K4890" s="18">
        <v>20.239999999999998</v>
      </c>
      <c r="L4890" s="22">
        <v>8</v>
      </c>
    </row>
    <row r="4891" spans="1:12">
      <c r="A4891">
        <v>6</v>
      </c>
      <c r="B4891" s="16" t="s">
        <v>61</v>
      </c>
      <c r="C4891" s="9">
        <v>45901</v>
      </c>
      <c r="D4891">
        <v>2</v>
      </c>
      <c r="E4891" s="16" t="s">
        <v>82</v>
      </c>
      <c r="F4891" s="16" t="s">
        <v>83</v>
      </c>
      <c r="G4891" s="22">
        <v>21</v>
      </c>
      <c r="H4891" s="18">
        <v>437.94</v>
      </c>
      <c r="I4891" s="18">
        <v>20.854285714</v>
      </c>
      <c r="J4891" s="18">
        <v>21.8</v>
      </c>
      <c r="K4891" s="18">
        <v>20.69</v>
      </c>
      <c r="L4891" s="22">
        <v>9</v>
      </c>
    </row>
    <row r="4892" spans="1:12">
      <c r="A4892">
        <v>6</v>
      </c>
      <c r="B4892" s="16" t="s">
        <v>61</v>
      </c>
      <c r="C4892" s="9">
        <v>45931</v>
      </c>
      <c r="D4892">
        <v>2</v>
      </c>
      <c r="E4892" s="16" t="s">
        <v>82</v>
      </c>
      <c r="F4892" s="16" t="s">
        <v>83</v>
      </c>
      <c r="G4892" s="22">
        <v>27.5</v>
      </c>
      <c r="H4892" s="18">
        <v>574.27499999999998</v>
      </c>
      <c r="I4892" s="18">
        <v>20.882727273</v>
      </c>
      <c r="J4892" s="18">
        <v>21.32</v>
      </c>
      <c r="K4892" s="18">
        <v>20.61</v>
      </c>
      <c r="L4892" s="22">
        <v>9</v>
      </c>
    </row>
    <row r="4893" spans="1:12">
      <c r="A4893">
        <v>6</v>
      </c>
      <c r="B4893" s="16" t="s">
        <v>61</v>
      </c>
      <c r="C4893" s="9">
        <v>45962</v>
      </c>
      <c r="D4893">
        <v>2</v>
      </c>
      <c r="E4893" s="16" t="s">
        <v>82</v>
      </c>
      <c r="F4893" s="16" t="s">
        <v>83</v>
      </c>
      <c r="G4893" s="22">
        <v>22</v>
      </c>
      <c r="H4893" s="18">
        <v>455.75</v>
      </c>
      <c r="I4893" s="18">
        <v>20.715909091</v>
      </c>
      <c r="J4893" s="18">
        <v>21.07</v>
      </c>
      <c r="K4893" s="18">
        <v>20.39</v>
      </c>
      <c r="L4893" s="22">
        <v>8</v>
      </c>
    </row>
    <row r="4894" spans="1:12">
      <c r="A4894">
        <v>6</v>
      </c>
      <c r="B4894" s="16" t="s">
        <v>61</v>
      </c>
      <c r="C4894" s="9">
        <v>45992</v>
      </c>
      <c r="D4894">
        <v>2</v>
      </c>
      <c r="E4894" s="16" t="s">
        <v>82</v>
      </c>
      <c r="F4894" s="16" t="s">
        <v>83</v>
      </c>
      <c r="G4894" s="22">
        <v>22.5</v>
      </c>
      <c r="H4894" s="18">
        <v>471.495</v>
      </c>
      <c r="I4894" s="18">
        <v>20.955333332999999</v>
      </c>
      <c r="J4894" s="18">
        <v>21.53</v>
      </c>
      <c r="K4894" s="18">
        <v>20.5</v>
      </c>
      <c r="L4894" s="22">
        <v>9</v>
      </c>
    </row>
    <row r="4895" spans="1:12">
      <c r="A4895">
        <v>6</v>
      </c>
      <c r="B4895" s="16" t="s">
        <v>61</v>
      </c>
      <c r="C4895" s="9">
        <v>46023</v>
      </c>
      <c r="D4895">
        <v>2</v>
      </c>
      <c r="E4895" s="16" t="s">
        <v>82</v>
      </c>
      <c r="F4895" s="16" t="s">
        <v>83</v>
      </c>
      <c r="G4895" s="22">
        <v>27.5</v>
      </c>
      <c r="H4895" s="18">
        <v>548.05499999999995</v>
      </c>
      <c r="I4895" s="18">
        <v>19.929272727000001</v>
      </c>
      <c r="J4895" s="18">
        <v>20.29</v>
      </c>
      <c r="K4895" s="18">
        <v>19.440000000000001</v>
      </c>
      <c r="L4895" s="22">
        <v>9</v>
      </c>
    </row>
    <row r="4896" spans="1:12">
      <c r="A4896">
        <v>6</v>
      </c>
      <c r="B4896" s="16" t="s">
        <v>61</v>
      </c>
      <c r="C4896" s="9">
        <v>46054</v>
      </c>
      <c r="D4896">
        <v>2</v>
      </c>
      <c r="E4896" s="16" t="s">
        <v>82</v>
      </c>
      <c r="F4896" s="16" t="s">
        <v>83</v>
      </c>
      <c r="G4896" s="22">
        <v>25</v>
      </c>
      <c r="H4896" s="18">
        <v>500.46499999999997</v>
      </c>
      <c r="I4896" s="18">
        <v>20.018599999999999</v>
      </c>
      <c r="J4896" s="18">
        <v>20.350000000000001</v>
      </c>
      <c r="K4896" s="18">
        <v>19.57</v>
      </c>
      <c r="L4896" s="22">
        <v>8</v>
      </c>
    </row>
    <row r="4897" spans="1:12">
      <c r="A4897">
        <v>6</v>
      </c>
      <c r="B4897" s="16" t="s">
        <v>61</v>
      </c>
      <c r="C4897" s="9">
        <v>46082</v>
      </c>
      <c r="D4897">
        <v>2</v>
      </c>
      <c r="E4897" s="16" t="s">
        <v>82</v>
      </c>
      <c r="F4897" s="16" t="s">
        <v>83</v>
      </c>
      <c r="G4897" s="22">
        <v>30</v>
      </c>
      <c r="H4897" s="18">
        <v>602.35500000000002</v>
      </c>
      <c r="I4897" s="18">
        <v>20.078499999999998</v>
      </c>
      <c r="J4897" s="18">
        <v>20.440000000000001</v>
      </c>
      <c r="K4897" s="18">
        <v>19.690000000000001</v>
      </c>
      <c r="L4897" s="22">
        <v>9</v>
      </c>
    </row>
    <row r="4898" spans="1:12">
      <c r="A4898">
        <v>6</v>
      </c>
      <c r="B4898" s="16" t="s">
        <v>61</v>
      </c>
      <c r="C4898" s="9">
        <v>46113</v>
      </c>
      <c r="D4898">
        <v>2</v>
      </c>
      <c r="E4898" s="16" t="s">
        <v>82</v>
      </c>
      <c r="F4898" s="16" t="s">
        <v>83</v>
      </c>
      <c r="G4898" s="22">
        <v>26</v>
      </c>
      <c r="H4898" s="18">
        <v>528.54999999999995</v>
      </c>
      <c r="I4898" s="18">
        <v>20.328846154000001</v>
      </c>
      <c r="J4898" s="18">
        <v>21.06</v>
      </c>
      <c r="K4898" s="18">
        <v>19.86</v>
      </c>
      <c r="L4898" s="22">
        <v>9</v>
      </c>
    </row>
    <row r="4899" spans="1:12">
      <c r="A4899">
        <v>6</v>
      </c>
      <c r="B4899" s="16" t="s">
        <v>61</v>
      </c>
      <c r="C4899" s="9">
        <v>46143</v>
      </c>
      <c r="D4899">
        <v>2</v>
      </c>
      <c r="E4899" s="16" t="s">
        <v>82</v>
      </c>
      <c r="F4899" s="16" t="s">
        <v>83</v>
      </c>
      <c r="G4899" s="22">
        <v>24</v>
      </c>
      <c r="H4899" s="18">
        <v>485.60500000000002</v>
      </c>
      <c r="I4899" s="18">
        <v>20.233541667000001</v>
      </c>
      <c r="J4899" s="18">
        <v>20.74</v>
      </c>
      <c r="K4899" s="18">
        <v>19.87</v>
      </c>
      <c r="L4899" s="22">
        <v>8</v>
      </c>
    </row>
    <row r="4900" spans="1:12">
      <c r="A4900">
        <v>6</v>
      </c>
      <c r="B4900" s="16" t="s">
        <v>61</v>
      </c>
      <c r="C4900" s="9">
        <v>46174</v>
      </c>
      <c r="D4900">
        <v>2</v>
      </c>
      <c r="E4900" s="16" t="s">
        <v>82</v>
      </c>
      <c r="F4900" s="16" t="s">
        <v>83</v>
      </c>
      <c r="G4900" s="22">
        <v>22</v>
      </c>
      <c r="H4900" s="18">
        <v>445.87</v>
      </c>
      <c r="I4900" s="18">
        <v>20.266818182000002</v>
      </c>
      <c r="J4900" s="18">
        <v>20.64</v>
      </c>
      <c r="K4900" s="18">
        <v>20.02</v>
      </c>
      <c r="L4900" s="22">
        <v>9</v>
      </c>
    </row>
    <row r="4901" spans="1:12">
      <c r="A4901">
        <v>6</v>
      </c>
      <c r="B4901" s="16" t="s">
        <v>61</v>
      </c>
      <c r="C4901" s="9">
        <v>46204</v>
      </c>
      <c r="D4901">
        <v>2</v>
      </c>
      <c r="E4901" s="16" t="s">
        <v>82</v>
      </c>
      <c r="F4901" s="16" t="s">
        <v>83</v>
      </c>
      <c r="G4901" s="22">
        <v>21</v>
      </c>
      <c r="H4901" s="18">
        <v>454.39</v>
      </c>
      <c r="I4901" s="18">
        <v>21.637619048000001</v>
      </c>
      <c r="J4901" s="18">
        <v>22.07</v>
      </c>
      <c r="K4901" s="18">
        <v>21.28</v>
      </c>
      <c r="L4901" s="22">
        <v>9</v>
      </c>
    </row>
    <row r="4902" spans="1:12">
      <c r="A4902">
        <v>6</v>
      </c>
      <c r="B4902" s="16" t="s">
        <v>61</v>
      </c>
      <c r="C4902" s="9">
        <v>46235</v>
      </c>
      <c r="D4902">
        <v>2</v>
      </c>
      <c r="E4902" s="16" t="s">
        <v>82</v>
      </c>
      <c r="F4902" s="16" t="s">
        <v>83</v>
      </c>
      <c r="G4902" s="22">
        <v>18</v>
      </c>
      <c r="H4902" s="18">
        <v>386.67500000000001</v>
      </c>
      <c r="I4902" s="18">
        <v>21.481944444</v>
      </c>
      <c r="J4902" s="18">
        <v>22.64</v>
      </c>
      <c r="K4902" s="18">
        <v>20.99</v>
      </c>
      <c r="L4902" s="22">
        <v>9</v>
      </c>
    </row>
    <row r="4903" spans="1:12">
      <c r="A4903">
        <v>6</v>
      </c>
      <c r="B4903" s="16" t="s">
        <v>61</v>
      </c>
      <c r="C4903" s="9">
        <v>46266</v>
      </c>
      <c r="D4903">
        <v>2</v>
      </c>
      <c r="E4903" s="16" t="s">
        <v>82</v>
      </c>
      <c r="F4903" s="16" t="s">
        <v>83</v>
      </c>
      <c r="G4903" s="22">
        <v>21</v>
      </c>
      <c r="H4903" s="18">
        <v>449.49</v>
      </c>
      <c r="I4903" s="18">
        <v>21.404285714</v>
      </c>
      <c r="J4903" s="18">
        <v>21.74</v>
      </c>
      <c r="K4903" s="18">
        <v>21.2</v>
      </c>
      <c r="L4903" s="22">
        <v>8</v>
      </c>
    </row>
    <row r="4904" spans="1:12">
      <c r="A4904">
        <v>6</v>
      </c>
      <c r="B4904" s="16" t="s">
        <v>61</v>
      </c>
      <c r="C4904" s="9">
        <v>45689</v>
      </c>
      <c r="D4904">
        <v>3</v>
      </c>
      <c r="E4904" s="16" t="s">
        <v>84</v>
      </c>
      <c r="F4904" s="16" t="s">
        <v>85</v>
      </c>
      <c r="G4904" s="22">
        <v>300</v>
      </c>
      <c r="H4904" s="18">
        <v>195</v>
      </c>
      <c r="I4904" s="18">
        <v>0.65</v>
      </c>
      <c r="J4904" s="18">
        <v>0.65</v>
      </c>
      <c r="K4904" s="18">
        <v>0.65</v>
      </c>
      <c r="L4904" s="22">
        <v>2</v>
      </c>
    </row>
    <row r="4905" spans="1:12">
      <c r="A4905">
        <v>6</v>
      </c>
      <c r="B4905" s="16" t="s">
        <v>61</v>
      </c>
      <c r="C4905" s="9">
        <v>45717</v>
      </c>
      <c r="D4905">
        <v>3</v>
      </c>
      <c r="E4905" s="16" t="s">
        <v>84</v>
      </c>
      <c r="F4905" s="16" t="s">
        <v>85</v>
      </c>
      <c r="G4905" s="22">
        <v>250</v>
      </c>
      <c r="H4905" s="18">
        <v>162.5</v>
      </c>
      <c r="I4905" s="18">
        <v>0.65</v>
      </c>
      <c r="J4905" s="18">
        <v>0.65</v>
      </c>
      <c r="K4905" s="18">
        <v>0.65</v>
      </c>
      <c r="L4905" s="22">
        <v>2</v>
      </c>
    </row>
    <row r="4906" spans="1:12">
      <c r="A4906">
        <v>6</v>
      </c>
      <c r="B4906" s="16" t="s">
        <v>61</v>
      </c>
      <c r="C4906" s="9">
        <v>45748</v>
      </c>
      <c r="D4906">
        <v>3</v>
      </c>
      <c r="E4906" s="16" t="s">
        <v>84</v>
      </c>
      <c r="F4906" s="16" t="s">
        <v>85</v>
      </c>
      <c r="G4906" s="22">
        <v>300</v>
      </c>
      <c r="H4906" s="18">
        <v>196.5</v>
      </c>
      <c r="I4906" s="18">
        <v>0.65500000000000003</v>
      </c>
      <c r="J4906" s="18">
        <v>0.67</v>
      </c>
      <c r="K4906" s="18">
        <v>0.64</v>
      </c>
      <c r="L4906" s="22">
        <v>2</v>
      </c>
    </row>
    <row r="4907" spans="1:12">
      <c r="A4907">
        <v>6</v>
      </c>
      <c r="B4907" s="16" t="s">
        <v>61</v>
      </c>
      <c r="C4907" s="9">
        <v>45778</v>
      </c>
      <c r="D4907">
        <v>3</v>
      </c>
      <c r="E4907" s="16" t="s">
        <v>84</v>
      </c>
      <c r="F4907" s="16" t="s">
        <v>85</v>
      </c>
      <c r="G4907" s="22">
        <v>400</v>
      </c>
      <c r="H4907" s="18">
        <v>262.5</v>
      </c>
      <c r="I4907" s="18">
        <v>0.65625</v>
      </c>
      <c r="J4907" s="18">
        <v>0.66</v>
      </c>
      <c r="K4907" s="18">
        <v>0.65</v>
      </c>
      <c r="L4907" s="22">
        <v>3</v>
      </c>
    </row>
    <row r="4908" spans="1:12">
      <c r="A4908">
        <v>6</v>
      </c>
      <c r="B4908" s="16" t="s">
        <v>61</v>
      </c>
      <c r="C4908" s="9">
        <v>45809</v>
      </c>
      <c r="D4908">
        <v>3</v>
      </c>
      <c r="E4908" s="16" t="s">
        <v>84</v>
      </c>
      <c r="F4908" s="16" t="s">
        <v>85</v>
      </c>
      <c r="G4908" s="22">
        <v>250</v>
      </c>
      <c r="H4908" s="18">
        <v>165</v>
      </c>
      <c r="I4908" s="18">
        <v>0.66</v>
      </c>
      <c r="J4908" s="18">
        <v>0.66</v>
      </c>
      <c r="K4908" s="18">
        <v>0.66</v>
      </c>
      <c r="L4908" s="22">
        <v>2</v>
      </c>
    </row>
    <row r="4909" spans="1:12">
      <c r="A4909">
        <v>6</v>
      </c>
      <c r="B4909" s="16" t="s">
        <v>61</v>
      </c>
      <c r="C4909" s="9">
        <v>45839</v>
      </c>
      <c r="D4909">
        <v>3</v>
      </c>
      <c r="E4909" s="16" t="s">
        <v>84</v>
      </c>
      <c r="F4909" s="16" t="s">
        <v>85</v>
      </c>
      <c r="G4909" s="22">
        <v>200</v>
      </c>
      <c r="H4909" s="18">
        <v>136</v>
      </c>
      <c r="I4909" s="18">
        <v>0.68</v>
      </c>
      <c r="J4909" s="18">
        <v>0.68</v>
      </c>
      <c r="K4909" s="18">
        <v>0.68</v>
      </c>
      <c r="L4909" s="22">
        <v>2</v>
      </c>
    </row>
    <row r="4910" spans="1:12">
      <c r="A4910">
        <v>6</v>
      </c>
      <c r="B4910" s="16" t="s">
        <v>61</v>
      </c>
      <c r="C4910" s="9">
        <v>45870</v>
      </c>
      <c r="D4910">
        <v>3</v>
      </c>
      <c r="E4910" s="16" t="s">
        <v>84</v>
      </c>
      <c r="F4910" s="16" t="s">
        <v>85</v>
      </c>
      <c r="G4910" s="22">
        <v>200</v>
      </c>
      <c r="H4910" s="18">
        <v>132</v>
      </c>
      <c r="I4910" s="18">
        <v>0.66</v>
      </c>
      <c r="J4910" s="18">
        <v>0.66</v>
      </c>
      <c r="K4910" s="18">
        <v>0.66</v>
      </c>
      <c r="L4910" s="22">
        <v>2</v>
      </c>
    </row>
    <row r="4911" spans="1:12">
      <c r="A4911">
        <v>6</v>
      </c>
      <c r="B4911" s="16" t="s">
        <v>61</v>
      </c>
      <c r="C4911" s="9">
        <v>45901</v>
      </c>
      <c r="D4911">
        <v>3</v>
      </c>
      <c r="E4911" s="16" t="s">
        <v>84</v>
      </c>
      <c r="F4911" s="16" t="s">
        <v>85</v>
      </c>
      <c r="G4911" s="22">
        <v>300</v>
      </c>
      <c r="H4911" s="18">
        <v>199.5</v>
      </c>
      <c r="I4911" s="18">
        <v>0.66500000000000004</v>
      </c>
      <c r="J4911" s="18">
        <v>0.67</v>
      </c>
      <c r="K4911" s="18">
        <v>0.66</v>
      </c>
      <c r="L4911" s="22">
        <v>2</v>
      </c>
    </row>
    <row r="4912" spans="1:12">
      <c r="A4912">
        <v>6</v>
      </c>
      <c r="B4912" s="16" t="s">
        <v>61</v>
      </c>
      <c r="C4912" s="9">
        <v>45931</v>
      </c>
      <c r="D4912">
        <v>3</v>
      </c>
      <c r="E4912" s="16" t="s">
        <v>84</v>
      </c>
      <c r="F4912" s="16" t="s">
        <v>85</v>
      </c>
      <c r="G4912" s="22">
        <v>400</v>
      </c>
      <c r="H4912" s="18">
        <v>262.5</v>
      </c>
      <c r="I4912" s="18">
        <v>0.65625</v>
      </c>
      <c r="J4912" s="18">
        <v>0.68</v>
      </c>
      <c r="K4912" s="18">
        <v>0.63</v>
      </c>
      <c r="L4912" s="22">
        <v>3</v>
      </c>
    </row>
    <row r="4913" spans="1:12">
      <c r="A4913">
        <v>6</v>
      </c>
      <c r="B4913" s="16" t="s">
        <v>61</v>
      </c>
      <c r="C4913" s="9">
        <v>45962</v>
      </c>
      <c r="D4913">
        <v>3</v>
      </c>
      <c r="E4913" s="16" t="s">
        <v>84</v>
      </c>
      <c r="F4913" s="16" t="s">
        <v>85</v>
      </c>
      <c r="G4913" s="22">
        <v>300</v>
      </c>
      <c r="H4913" s="18">
        <v>195</v>
      </c>
      <c r="I4913" s="18">
        <v>0.65</v>
      </c>
      <c r="J4913" s="18">
        <v>0.65</v>
      </c>
      <c r="K4913" s="18">
        <v>0.65</v>
      </c>
      <c r="L4913" s="22">
        <v>2</v>
      </c>
    </row>
    <row r="4914" spans="1:12">
      <c r="A4914">
        <v>6</v>
      </c>
      <c r="B4914" s="16" t="s">
        <v>61</v>
      </c>
      <c r="C4914" s="9">
        <v>45992</v>
      </c>
      <c r="D4914">
        <v>3</v>
      </c>
      <c r="E4914" s="16" t="s">
        <v>84</v>
      </c>
      <c r="F4914" s="16" t="s">
        <v>85</v>
      </c>
      <c r="G4914" s="22">
        <v>250</v>
      </c>
      <c r="H4914" s="18">
        <v>161</v>
      </c>
      <c r="I4914" s="18">
        <v>0.64400000000000002</v>
      </c>
      <c r="J4914" s="18">
        <v>0.65</v>
      </c>
      <c r="K4914" s="18">
        <v>0.64</v>
      </c>
      <c r="L4914" s="22">
        <v>2</v>
      </c>
    </row>
    <row r="4915" spans="1:12">
      <c r="A4915">
        <v>6</v>
      </c>
      <c r="B4915" s="16" t="s">
        <v>61</v>
      </c>
      <c r="C4915" s="9">
        <v>46023</v>
      </c>
      <c r="D4915">
        <v>3</v>
      </c>
      <c r="E4915" s="16" t="s">
        <v>84</v>
      </c>
      <c r="F4915" s="16" t="s">
        <v>85</v>
      </c>
      <c r="G4915" s="22">
        <v>300</v>
      </c>
      <c r="H4915" s="18">
        <v>196.5</v>
      </c>
      <c r="I4915" s="18">
        <v>0.65500000000000003</v>
      </c>
      <c r="J4915" s="18">
        <v>0.66</v>
      </c>
      <c r="K4915" s="18">
        <v>0.65</v>
      </c>
      <c r="L4915" s="22">
        <v>2</v>
      </c>
    </row>
    <row r="4916" spans="1:12">
      <c r="A4916">
        <v>6</v>
      </c>
      <c r="B4916" s="16" t="s">
        <v>61</v>
      </c>
      <c r="C4916" s="9">
        <v>46054</v>
      </c>
      <c r="D4916">
        <v>3</v>
      </c>
      <c r="E4916" s="16" t="s">
        <v>84</v>
      </c>
      <c r="F4916" s="16" t="s">
        <v>85</v>
      </c>
      <c r="G4916" s="22">
        <v>250</v>
      </c>
      <c r="H4916" s="18">
        <v>166.5</v>
      </c>
      <c r="I4916" s="18">
        <v>0.66600000000000004</v>
      </c>
      <c r="J4916" s="18">
        <v>0.67</v>
      </c>
      <c r="K4916" s="18">
        <v>0.66</v>
      </c>
      <c r="L4916" s="22">
        <v>2</v>
      </c>
    </row>
    <row r="4917" spans="1:12">
      <c r="A4917">
        <v>6</v>
      </c>
      <c r="B4917" s="16" t="s">
        <v>61</v>
      </c>
      <c r="C4917" s="9">
        <v>46082</v>
      </c>
      <c r="D4917">
        <v>3</v>
      </c>
      <c r="E4917" s="16" t="s">
        <v>84</v>
      </c>
      <c r="F4917" s="16" t="s">
        <v>85</v>
      </c>
      <c r="G4917" s="22">
        <v>350</v>
      </c>
      <c r="H4917" s="18">
        <v>236.5</v>
      </c>
      <c r="I4917" s="18">
        <v>0.67571428600000005</v>
      </c>
      <c r="J4917" s="18">
        <v>0.68</v>
      </c>
      <c r="K4917" s="18">
        <v>0.67</v>
      </c>
      <c r="L4917" s="22">
        <v>2</v>
      </c>
    </row>
    <row r="4918" spans="1:12">
      <c r="A4918">
        <v>6</v>
      </c>
      <c r="B4918" s="16" t="s">
        <v>61</v>
      </c>
      <c r="C4918" s="9">
        <v>46113</v>
      </c>
      <c r="D4918">
        <v>3</v>
      </c>
      <c r="E4918" s="16" t="s">
        <v>84</v>
      </c>
      <c r="F4918" s="16" t="s">
        <v>85</v>
      </c>
      <c r="G4918" s="22">
        <v>350</v>
      </c>
      <c r="H4918" s="18">
        <v>237</v>
      </c>
      <c r="I4918" s="18">
        <v>0.67714285699999999</v>
      </c>
      <c r="J4918" s="18">
        <v>0.68</v>
      </c>
      <c r="K4918" s="18">
        <v>0.67</v>
      </c>
      <c r="L4918" s="22">
        <v>3</v>
      </c>
    </row>
    <row r="4919" spans="1:12">
      <c r="A4919">
        <v>6</v>
      </c>
      <c r="B4919" s="16" t="s">
        <v>61</v>
      </c>
      <c r="C4919" s="9">
        <v>46143</v>
      </c>
      <c r="D4919">
        <v>3</v>
      </c>
      <c r="E4919" s="16" t="s">
        <v>84</v>
      </c>
      <c r="F4919" s="16" t="s">
        <v>85</v>
      </c>
      <c r="G4919" s="22">
        <v>250</v>
      </c>
      <c r="H4919" s="18">
        <v>169</v>
      </c>
      <c r="I4919" s="18">
        <v>0.67600000000000005</v>
      </c>
      <c r="J4919" s="18">
        <v>0.68</v>
      </c>
      <c r="K4919" s="18">
        <v>0.67</v>
      </c>
      <c r="L4919" s="22">
        <v>2</v>
      </c>
    </row>
    <row r="4920" spans="1:12">
      <c r="A4920">
        <v>6</v>
      </c>
      <c r="B4920" s="16" t="s">
        <v>61</v>
      </c>
      <c r="C4920" s="9">
        <v>46174</v>
      </c>
      <c r="D4920">
        <v>3</v>
      </c>
      <c r="E4920" s="16" t="s">
        <v>84</v>
      </c>
      <c r="F4920" s="16" t="s">
        <v>85</v>
      </c>
      <c r="G4920" s="22">
        <v>250</v>
      </c>
      <c r="H4920" s="18">
        <v>171</v>
      </c>
      <c r="I4920" s="18">
        <v>0.68400000000000005</v>
      </c>
      <c r="J4920" s="18">
        <v>0.69</v>
      </c>
      <c r="K4920" s="18">
        <v>0.68</v>
      </c>
      <c r="L4920" s="22">
        <v>2</v>
      </c>
    </row>
    <row r="4921" spans="1:12">
      <c r="A4921">
        <v>6</v>
      </c>
      <c r="B4921" s="16" t="s">
        <v>61</v>
      </c>
      <c r="C4921" s="9">
        <v>46204</v>
      </c>
      <c r="D4921">
        <v>3</v>
      </c>
      <c r="E4921" s="16" t="s">
        <v>84</v>
      </c>
      <c r="F4921" s="16" t="s">
        <v>85</v>
      </c>
      <c r="G4921" s="22">
        <v>200</v>
      </c>
      <c r="H4921" s="18">
        <v>137</v>
      </c>
      <c r="I4921" s="18">
        <v>0.68500000000000005</v>
      </c>
      <c r="J4921" s="18">
        <v>0.69</v>
      </c>
      <c r="K4921" s="18">
        <v>0.68</v>
      </c>
      <c r="L4921" s="22">
        <v>2</v>
      </c>
    </row>
    <row r="4922" spans="1:12">
      <c r="A4922">
        <v>6</v>
      </c>
      <c r="B4922" s="16" t="s">
        <v>61</v>
      </c>
      <c r="C4922" s="9">
        <v>46235</v>
      </c>
      <c r="D4922">
        <v>3</v>
      </c>
      <c r="E4922" s="16" t="s">
        <v>84</v>
      </c>
      <c r="F4922" s="16" t="s">
        <v>85</v>
      </c>
      <c r="G4922" s="22">
        <v>150</v>
      </c>
      <c r="H4922" s="18">
        <v>104</v>
      </c>
      <c r="I4922" s="18">
        <v>0.693333333</v>
      </c>
      <c r="J4922" s="18">
        <v>0.7</v>
      </c>
      <c r="K4922" s="18">
        <v>0.69</v>
      </c>
      <c r="L4922" s="22">
        <v>2</v>
      </c>
    </row>
    <row r="4923" spans="1:12">
      <c r="A4923">
        <v>6</v>
      </c>
      <c r="B4923" s="16" t="s">
        <v>61</v>
      </c>
      <c r="C4923" s="9">
        <v>46266</v>
      </c>
      <c r="D4923">
        <v>3</v>
      </c>
      <c r="E4923" s="16" t="s">
        <v>84</v>
      </c>
      <c r="F4923" s="16" t="s">
        <v>85</v>
      </c>
      <c r="G4923" s="22">
        <v>250</v>
      </c>
      <c r="H4923" s="18">
        <v>175</v>
      </c>
      <c r="I4923" s="18">
        <v>0.7</v>
      </c>
      <c r="J4923" s="18">
        <v>0.7</v>
      </c>
      <c r="K4923" s="18">
        <v>0.7</v>
      </c>
      <c r="L4923" s="22">
        <v>2</v>
      </c>
    </row>
    <row r="4924" spans="1:12">
      <c r="A4924">
        <v>6</v>
      </c>
      <c r="B4924" s="16" t="s">
        <v>61</v>
      </c>
      <c r="C4924" s="9">
        <v>45689</v>
      </c>
      <c r="D4924">
        <v>4</v>
      </c>
      <c r="E4924" s="16" t="s">
        <v>86</v>
      </c>
      <c r="F4924" s="16" t="s">
        <v>87</v>
      </c>
      <c r="G4924" s="22">
        <v>52.5</v>
      </c>
      <c r="H4924" s="18">
        <v>1009.1</v>
      </c>
      <c r="I4924" s="18">
        <v>19.220952381</v>
      </c>
      <c r="J4924" s="18">
        <v>20.23</v>
      </c>
      <c r="K4924" s="18">
        <v>18.72</v>
      </c>
      <c r="L4924" s="22">
        <v>12</v>
      </c>
    </row>
    <row r="4925" spans="1:12">
      <c r="A4925">
        <v>6</v>
      </c>
      <c r="B4925" s="16" t="s">
        <v>61</v>
      </c>
      <c r="C4925" s="9">
        <v>45717</v>
      </c>
      <c r="D4925">
        <v>4</v>
      </c>
      <c r="E4925" s="16" t="s">
        <v>86</v>
      </c>
      <c r="F4925" s="16" t="s">
        <v>87</v>
      </c>
      <c r="G4925" s="22">
        <v>48.75</v>
      </c>
      <c r="H4925" s="18">
        <v>934.27</v>
      </c>
      <c r="I4925" s="18">
        <v>19.164512820999999</v>
      </c>
      <c r="J4925" s="18">
        <v>19.510000000000002</v>
      </c>
      <c r="K4925" s="18">
        <v>18.84</v>
      </c>
      <c r="L4925" s="22">
        <v>13</v>
      </c>
    </row>
    <row r="4926" spans="1:12">
      <c r="A4926">
        <v>6</v>
      </c>
      <c r="B4926" s="16" t="s">
        <v>61</v>
      </c>
      <c r="C4926" s="9">
        <v>45748</v>
      </c>
      <c r="D4926">
        <v>4</v>
      </c>
      <c r="E4926" s="16" t="s">
        <v>86</v>
      </c>
      <c r="F4926" s="16" t="s">
        <v>87</v>
      </c>
      <c r="G4926" s="22">
        <v>63.25</v>
      </c>
      <c r="H4926" s="18">
        <v>1233.0925</v>
      </c>
      <c r="I4926" s="18">
        <v>19.495533597000001</v>
      </c>
      <c r="J4926" s="18">
        <v>19.97</v>
      </c>
      <c r="K4926" s="18">
        <v>18.96</v>
      </c>
      <c r="L4926" s="22">
        <v>13</v>
      </c>
    </row>
    <row r="4927" spans="1:12">
      <c r="A4927">
        <v>6</v>
      </c>
      <c r="B4927" s="16" t="s">
        <v>61</v>
      </c>
      <c r="C4927" s="9">
        <v>45778</v>
      </c>
      <c r="D4927">
        <v>4</v>
      </c>
      <c r="E4927" s="16" t="s">
        <v>86</v>
      </c>
      <c r="F4927" s="16" t="s">
        <v>87</v>
      </c>
      <c r="G4927" s="22">
        <v>58</v>
      </c>
      <c r="H4927" s="18">
        <v>1141.77</v>
      </c>
      <c r="I4927" s="18">
        <v>19.685689655000001</v>
      </c>
      <c r="J4927" s="18">
        <v>20.149999999999999</v>
      </c>
      <c r="K4927" s="18">
        <v>19.39</v>
      </c>
      <c r="L4927" s="22">
        <v>13</v>
      </c>
    </row>
    <row r="4928" spans="1:12">
      <c r="A4928">
        <v>6</v>
      </c>
      <c r="B4928" s="16" t="s">
        <v>61</v>
      </c>
      <c r="C4928" s="9">
        <v>45809</v>
      </c>
      <c r="D4928">
        <v>4</v>
      </c>
      <c r="E4928" s="16" t="s">
        <v>86</v>
      </c>
      <c r="F4928" s="16" t="s">
        <v>87</v>
      </c>
      <c r="G4928" s="22">
        <v>54.75</v>
      </c>
      <c r="H4928" s="18">
        <v>1087.1875</v>
      </c>
      <c r="I4928" s="18">
        <v>19.857305935999999</v>
      </c>
      <c r="J4928" s="18">
        <v>20.14</v>
      </c>
      <c r="K4928" s="18">
        <v>19.43</v>
      </c>
      <c r="L4928" s="22">
        <v>13</v>
      </c>
    </row>
    <row r="4929" spans="1:12">
      <c r="A4929">
        <v>6</v>
      </c>
      <c r="B4929" s="16" t="s">
        <v>61</v>
      </c>
      <c r="C4929" s="9">
        <v>45839</v>
      </c>
      <c r="D4929">
        <v>4</v>
      </c>
      <c r="E4929" s="16" t="s">
        <v>86</v>
      </c>
      <c r="F4929" s="16" t="s">
        <v>87</v>
      </c>
      <c r="G4929" s="22">
        <v>42</v>
      </c>
      <c r="H4929" s="18">
        <v>839.18</v>
      </c>
      <c r="I4929" s="18">
        <v>19.980476190000001</v>
      </c>
      <c r="J4929" s="18">
        <v>20.22</v>
      </c>
      <c r="K4929" s="18">
        <v>19.739999999999998</v>
      </c>
      <c r="L4929" s="22">
        <v>13</v>
      </c>
    </row>
    <row r="4930" spans="1:12">
      <c r="A4930">
        <v>6</v>
      </c>
      <c r="B4930" s="16" t="s">
        <v>61</v>
      </c>
      <c r="C4930" s="9">
        <v>45870</v>
      </c>
      <c r="D4930">
        <v>4</v>
      </c>
      <c r="E4930" s="16" t="s">
        <v>86</v>
      </c>
      <c r="F4930" s="16" t="s">
        <v>87</v>
      </c>
      <c r="G4930" s="22">
        <v>48.5</v>
      </c>
      <c r="H4930" s="18">
        <v>978.65750000000003</v>
      </c>
      <c r="I4930" s="18">
        <v>20.178505155</v>
      </c>
      <c r="J4930" s="18">
        <v>21.36</v>
      </c>
      <c r="K4930" s="18">
        <v>19.59</v>
      </c>
      <c r="L4930" s="22">
        <v>13</v>
      </c>
    </row>
    <row r="4931" spans="1:12">
      <c r="A4931">
        <v>6</v>
      </c>
      <c r="B4931" s="16" t="s">
        <v>61</v>
      </c>
      <c r="C4931" s="9">
        <v>45901</v>
      </c>
      <c r="D4931">
        <v>4</v>
      </c>
      <c r="E4931" s="16" t="s">
        <v>86</v>
      </c>
      <c r="F4931" s="16" t="s">
        <v>87</v>
      </c>
      <c r="G4931" s="22">
        <v>50.5</v>
      </c>
      <c r="H4931" s="18">
        <v>1016.25</v>
      </c>
      <c r="I4931" s="18">
        <v>20.123762375999998</v>
      </c>
      <c r="J4931" s="18">
        <v>20.55</v>
      </c>
      <c r="K4931" s="18">
        <v>19.690000000000001</v>
      </c>
      <c r="L4931" s="22">
        <v>13</v>
      </c>
    </row>
    <row r="4932" spans="1:12">
      <c r="A4932">
        <v>6</v>
      </c>
      <c r="B4932" s="16" t="s">
        <v>61</v>
      </c>
      <c r="C4932" s="9">
        <v>45931</v>
      </c>
      <c r="D4932">
        <v>4</v>
      </c>
      <c r="E4932" s="16" t="s">
        <v>86</v>
      </c>
      <c r="F4932" s="16" t="s">
        <v>87</v>
      </c>
      <c r="G4932" s="22">
        <v>66.75</v>
      </c>
      <c r="H4932" s="18">
        <v>1335.075</v>
      </c>
      <c r="I4932" s="18">
        <v>20.001123595999999</v>
      </c>
      <c r="J4932" s="18">
        <v>20.37</v>
      </c>
      <c r="K4932" s="18">
        <v>19.7</v>
      </c>
      <c r="L4932" s="22">
        <v>14</v>
      </c>
    </row>
    <row r="4933" spans="1:12">
      <c r="A4933">
        <v>6</v>
      </c>
      <c r="B4933" s="16" t="s">
        <v>61</v>
      </c>
      <c r="C4933" s="9">
        <v>45962</v>
      </c>
      <c r="D4933">
        <v>4</v>
      </c>
      <c r="E4933" s="16" t="s">
        <v>86</v>
      </c>
      <c r="F4933" s="16" t="s">
        <v>87</v>
      </c>
      <c r="G4933" s="22">
        <v>45.25</v>
      </c>
      <c r="H4933" s="18">
        <v>894.20500000000004</v>
      </c>
      <c r="I4933" s="18">
        <v>19.761436463999999</v>
      </c>
      <c r="J4933" s="18">
        <v>20.079999999999998</v>
      </c>
      <c r="K4933" s="18">
        <v>19.41</v>
      </c>
      <c r="L4933" s="22">
        <v>12</v>
      </c>
    </row>
    <row r="4934" spans="1:12">
      <c r="A4934">
        <v>6</v>
      </c>
      <c r="B4934" s="16" t="s">
        <v>61</v>
      </c>
      <c r="C4934" s="9">
        <v>45992</v>
      </c>
      <c r="D4934">
        <v>4</v>
      </c>
      <c r="E4934" s="16" t="s">
        <v>86</v>
      </c>
      <c r="F4934" s="16" t="s">
        <v>87</v>
      </c>
      <c r="G4934" s="22">
        <v>47.25</v>
      </c>
      <c r="H4934" s="18">
        <v>941.02250000000004</v>
      </c>
      <c r="I4934" s="18">
        <v>19.915820106000002</v>
      </c>
      <c r="J4934" s="18">
        <v>20.21</v>
      </c>
      <c r="K4934" s="18">
        <v>19.64</v>
      </c>
      <c r="L4934" s="22">
        <v>14</v>
      </c>
    </row>
    <row r="4935" spans="1:12">
      <c r="A4935">
        <v>6</v>
      </c>
      <c r="B4935" s="16" t="s">
        <v>61</v>
      </c>
      <c r="C4935" s="9">
        <v>46023</v>
      </c>
      <c r="D4935">
        <v>4</v>
      </c>
      <c r="E4935" s="16" t="s">
        <v>86</v>
      </c>
      <c r="F4935" s="16" t="s">
        <v>87</v>
      </c>
      <c r="G4935" s="22">
        <v>57.25</v>
      </c>
      <c r="H4935" s="18">
        <v>1138.655</v>
      </c>
      <c r="I4935" s="18">
        <v>19.889170306</v>
      </c>
      <c r="J4935" s="18">
        <v>20.47</v>
      </c>
      <c r="K4935" s="18">
        <v>19.45</v>
      </c>
      <c r="L4935" s="22">
        <v>13</v>
      </c>
    </row>
    <row r="4936" spans="1:12">
      <c r="A4936">
        <v>6</v>
      </c>
      <c r="B4936" s="16" t="s">
        <v>61</v>
      </c>
      <c r="C4936" s="9">
        <v>46054</v>
      </c>
      <c r="D4936">
        <v>4</v>
      </c>
      <c r="E4936" s="16" t="s">
        <v>86</v>
      </c>
      <c r="F4936" s="16" t="s">
        <v>87</v>
      </c>
      <c r="G4936" s="22">
        <v>55.75</v>
      </c>
      <c r="H4936" s="18">
        <v>1112.8375000000001</v>
      </c>
      <c r="I4936" s="18">
        <v>19.961210762</v>
      </c>
      <c r="J4936" s="18">
        <v>20.309999999999999</v>
      </c>
      <c r="K4936" s="18">
        <v>19.52</v>
      </c>
      <c r="L4936" s="22">
        <v>12</v>
      </c>
    </row>
    <row r="4937" spans="1:12">
      <c r="A4937">
        <v>6</v>
      </c>
      <c r="B4937" s="16" t="s">
        <v>61</v>
      </c>
      <c r="C4937" s="9">
        <v>46082</v>
      </c>
      <c r="D4937">
        <v>4</v>
      </c>
      <c r="E4937" s="16" t="s">
        <v>86</v>
      </c>
      <c r="F4937" s="16" t="s">
        <v>87</v>
      </c>
      <c r="G4937" s="22">
        <v>62.25</v>
      </c>
      <c r="H4937" s="18">
        <v>1248.6524999999999</v>
      </c>
      <c r="I4937" s="18">
        <v>20.058674699000001</v>
      </c>
      <c r="J4937" s="18">
        <v>20.440000000000001</v>
      </c>
      <c r="K4937" s="18">
        <v>19.91</v>
      </c>
      <c r="L4937" s="22">
        <v>13</v>
      </c>
    </row>
    <row r="4938" spans="1:12">
      <c r="A4938">
        <v>6</v>
      </c>
      <c r="B4938" s="16" t="s">
        <v>61</v>
      </c>
      <c r="C4938" s="9">
        <v>46113</v>
      </c>
      <c r="D4938">
        <v>4</v>
      </c>
      <c r="E4938" s="16" t="s">
        <v>86</v>
      </c>
      <c r="F4938" s="16" t="s">
        <v>87</v>
      </c>
      <c r="G4938" s="22">
        <v>54.75</v>
      </c>
      <c r="H4938" s="18">
        <v>1100.1224999999999</v>
      </c>
      <c r="I4938" s="18">
        <v>20.093561644000001</v>
      </c>
      <c r="J4938" s="18">
        <v>20.67</v>
      </c>
      <c r="K4938" s="18">
        <v>19.86</v>
      </c>
      <c r="L4938" s="22">
        <v>13</v>
      </c>
    </row>
    <row r="4939" spans="1:12">
      <c r="A4939">
        <v>6</v>
      </c>
      <c r="B4939" s="16" t="s">
        <v>61</v>
      </c>
      <c r="C4939" s="9">
        <v>46143</v>
      </c>
      <c r="D4939">
        <v>4</v>
      </c>
      <c r="E4939" s="16" t="s">
        <v>86</v>
      </c>
      <c r="F4939" s="16" t="s">
        <v>87</v>
      </c>
      <c r="G4939" s="22">
        <v>62.75</v>
      </c>
      <c r="H4939" s="18">
        <v>1267.6575</v>
      </c>
      <c r="I4939" s="18">
        <v>20.201713147</v>
      </c>
      <c r="J4939" s="18">
        <v>20.309999999999999</v>
      </c>
      <c r="K4939" s="18">
        <v>20.059999999999999</v>
      </c>
      <c r="L4939" s="22">
        <v>13</v>
      </c>
    </row>
    <row r="4940" spans="1:12">
      <c r="A4940">
        <v>6</v>
      </c>
      <c r="B4940" s="16" t="s">
        <v>61</v>
      </c>
      <c r="C4940" s="9">
        <v>46174</v>
      </c>
      <c r="D4940">
        <v>4</v>
      </c>
      <c r="E4940" s="16" t="s">
        <v>86</v>
      </c>
      <c r="F4940" s="16" t="s">
        <v>87</v>
      </c>
      <c r="G4940" s="22">
        <v>50.75</v>
      </c>
      <c r="H4940" s="18">
        <v>1024.3724999999999</v>
      </c>
      <c r="I4940" s="18">
        <v>20.184679803000002</v>
      </c>
      <c r="J4940" s="18">
        <v>20.46</v>
      </c>
      <c r="K4940" s="18">
        <v>19.68</v>
      </c>
      <c r="L4940" s="22">
        <v>13</v>
      </c>
    </row>
    <row r="4941" spans="1:12">
      <c r="A4941">
        <v>6</v>
      </c>
      <c r="B4941" s="16" t="s">
        <v>61</v>
      </c>
      <c r="C4941" s="9">
        <v>46204</v>
      </c>
      <c r="D4941">
        <v>4</v>
      </c>
      <c r="E4941" s="16" t="s">
        <v>86</v>
      </c>
      <c r="F4941" s="16" t="s">
        <v>87</v>
      </c>
      <c r="G4941" s="22">
        <v>52.75</v>
      </c>
      <c r="H4941" s="18">
        <v>1072.1300000000001</v>
      </c>
      <c r="I4941" s="18">
        <v>20.324739336</v>
      </c>
      <c r="J4941" s="18">
        <v>20.63</v>
      </c>
      <c r="K4941" s="18">
        <v>19.920000000000002</v>
      </c>
      <c r="L4941" s="22">
        <v>14</v>
      </c>
    </row>
    <row r="4942" spans="1:12">
      <c r="A4942">
        <v>6</v>
      </c>
      <c r="B4942" s="16" t="s">
        <v>61</v>
      </c>
      <c r="C4942" s="9">
        <v>46235</v>
      </c>
      <c r="D4942">
        <v>4</v>
      </c>
      <c r="E4942" s="16" t="s">
        <v>86</v>
      </c>
      <c r="F4942" s="16" t="s">
        <v>87</v>
      </c>
      <c r="G4942" s="22">
        <v>44.5</v>
      </c>
      <c r="H4942" s="18">
        <v>902.61249999999995</v>
      </c>
      <c r="I4942" s="18">
        <v>20.283426966</v>
      </c>
      <c r="J4942" s="18">
        <v>20.55</v>
      </c>
      <c r="K4942" s="18">
        <v>20.03</v>
      </c>
      <c r="L4942" s="22">
        <v>13</v>
      </c>
    </row>
    <row r="4943" spans="1:12">
      <c r="A4943">
        <v>6</v>
      </c>
      <c r="B4943" s="16" t="s">
        <v>61</v>
      </c>
      <c r="C4943" s="9">
        <v>46266</v>
      </c>
      <c r="D4943">
        <v>4</v>
      </c>
      <c r="E4943" s="16" t="s">
        <v>86</v>
      </c>
      <c r="F4943" s="16" t="s">
        <v>87</v>
      </c>
      <c r="G4943" s="22">
        <v>58</v>
      </c>
      <c r="H4943" s="18">
        <v>1184.825</v>
      </c>
      <c r="I4943" s="18">
        <v>20.428017240999999</v>
      </c>
      <c r="J4943" s="18">
        <v>20.95</v>
      </c>
      <c r="K4943" s="18">
        <v>20.16</v>
      </c>
      <c r="L4943" s="22">
        <v>13</v>
      </c>
    </row>
    <row r="4944" spans="1:12">
      <c r="A4944">
        <v>6</v>
      </c>
      <c r="B4944" s="16" t="s">
        <v>61</v>
      </c>
      <c r="C4944" s="9">
        <v>45689</v>
      </c>
      <c r="D4944">
        <v>5</v>
      </c>
      <c r="E4944" s="16" t="s">
        <v>88</v>
      </c>
      <c r="F4944" s="16" t="s">
        <v>83</v>
      </c>
      <c r="G4944" s="22">
        <v>630</v>
      </c>
      <c r="H4944" s="18">
        <v>264.3</v>
      </c>
      <c r="I4944" s="18">
        <v>0.41952381</v>
      </c>
      <c r="J4944" s="18">
        <v>0.43</v>
      </c>
      <c r="K4944" s="18">
        <v>0.41</v>
      </c>
      <c r="L4944" s="22">
        <v>12</v>
      </c>
    </row>
    <row r="4945" spans="1:12">
      <c r="A4945">
        <v>6</v>
      </c>
      <c r="B4945" s="16" t="s">
        <v>61</v>
      </c>
      <c r="C4945" s="9">
        <v>45717</v>
      </c>
      <c r="D4945">
        <v>5</v>
      </c>
      <c r="E4945" s="16" t="s">
        <v>88</v>
      </c>
      <c r="F4945" s="16" t="s">
        <v>83</v>
      </c>
      <c r="G4945" s="22">
        <v>570</v>
      </c>
      <c r="H4945" s="18">
        <v>242.64</v>
      </c>
      <c r="I4945" s="18">
        <v>0.42568421099999998</v>
      </c>
      <c r="J4945" s="18">
        <v>0.43</v>
      </c>
      <c r="K4945" s="18">
        <v>0.42</v>
      </c>
      <c r="L4945" s="22">
        <v>13</v>
      </c>
    </row>
    <row r="4946" spans="1:12">
      <c r="A4946">
        <v>6</v>
      </c>
      <c r="B4946" s="16" t="s">
        <v>61</v>
      </c>
      <c r="C4946" s="9">
        <v>45748</v>
      </c>
      <c r="D4946">
        <v>5</v>
      </c>
      <c r="E4946" s="16" t="s">
        <v>88</v>
      </c>
      <c r="F4946" s="16" t="s">
        <v>83</v>
      </c>
      <c r="G4946" s="22">
        <v>714</v>
      </c>
      <c r="H4946" s="18">
        <v>303.60000000000002</v>
      </c>
      <c r="I4946" s="18">
        <v>0.42521008399999999</v>
      </c>
      <c r="J4946" s="18">
        <v>0.44</v>
      </c>
      <c r="K4946" s="18">
        <v>0.41</v>
      </c>
      <c r="L4946" s="22">
        <v>13</v>
      </c>
    </row>
    <row r="4947" spans="1:12">
      <c r="A4947">
        <v>6</v>
      </c>
      <c r="B4947" s="16" t="s">
        <v>61</v>
      </c>
      <c r="C4947" s="9">
        <v>45778</v>
      </c>
      <c r="D4947">
        <v>5</v>
      </c>
      <c r="E4947" s="16" t="s">
        <v>88</v>
      </c>
      <c r="F4947" s="16" t="s">
        <v>83</v>
      </c>
      <c r="G4947" s="22">
        <v>720</v>
      </c>
      <c r="H4947" s="18">
        <v>303.95999999999998</v>
      </c>
      <c r="I4947" s="18">
        <v>0.422166667</v>
      </c>
      <c r="J4947" s="18">
        <v>0.43</v>
      </c>
      <c r="K4947" s="18">
        <v>0.41</v>
      </c>
      <c r="L4947" s="22">
        <v>13</v>
      </c>
    </row>
    <row r="4948" spans="1:12">
      <c r="A4948">
        <v>6</v>
      </c>
      <c r="B4948" s="16" t="s">
        <v>61</v>
      </c>
      <c r="C4948" s="9">
        <v>45809</v>
      </c>
      <c r="D4948">
        <v>5</v>
      </c>
      <c r="E4948" s="16" t="s">
        <v>88</v>
      </c>
      <c r="F4948" s="16" t="s">
        <v>83</v>
      </c>
      <c r="G4948" s="22">
        <v>654</v>
      </c>
      <c r="H4948" s="18">
        <v>279.3</v>
      </c>
      <c r="I4948" s="18">
        <v>0.42706421999999999</v>
      </c>
      <c r="J4948" s="18">
        <v>0.43</v>
      </c>
      <c r="K4948" s="18">
        <v>0.42</v>
      </c>
      <c r="L4948" s="22">
        <v>13</v>
      </c>
    </row>
    <row r="4949" spans="1:12">
      <c r="A4949">
        <v>6</v>
      </c>
      <c r="B4949" s="16" t="s">
        <v>61</v>
      </c>
      <c r="C4949" s="9">
        <v>45839</v>
      </c>
      <c r="D4949">
        <v>5</v>
      </c>
      <c r="E4949" s="16" t="s">
        <v>88</v>
      </c>
      <c r="F4949" s="16" t="s">
        <v>83</v>
      </c>
      <c r="G4949" s="22">
        <v>540</v>
      </c>
      <c r="H4949" s="18">
        <v>232.02</v>
      </c>
      <c r="I4949" s="18">
        <v>0.429666667</v>
      </c>
      <c r="J4949" s="18">
        <v>0.44</v>
      </c>
      <c r="K4949" s="18">
        <v>0.42</v>
      </c>
      <c r="L4949" s="22">
        <v>13</v>
      </c>
    </row>
    <row r="4950" spans="1:12">
      <c r="A4950">
        <v>6</v>
      </c>
      <c r="B4950" s="16" t="s">
        <v>61</v>
      </c>
      <c r="C4950" s="9">
        <v>45870</v>
      </c>
      <c r="D4950">
        <v>5</v>
      </c>
      <c r="E4950" s="16" t="s">
        <v>88</v>
      </c>
      <c r="F4950" s="16" t="s">
        <v>83</v>
      </c>
      <c r="G4950" s="22">
        <v>546</v>
      </c>
      <c r="H4950" s="18">
        <v>232.98</v>
      </c>
      <c r="I4950" s="18">
        <v>0.42670329699999998</v>
      </c>
      <c r="J4950" s="18">
        <v>0.44</v>
      </c>
      <c r="K4950" s="18">
        <v>0.42</v>
      </c>
      <c r="L4950" s="22">
        <v>13</v>
      </c>
    </row>
    <row r="4951" spans="1:12">
      <c r="A4951">
        <v>6</v>
      </c>
      <c r="B4951" s="16" t="s">
        <v>61</v>
      </c>
      <c r="C4951" s="9">
        <v>45901</v>
      </c>
      <c r="D4951">
        <v>5</v>
      </c>
      <c r="E4951" s="16" t="s">
        <v>88</v>
      </c>
      <c r="F4951" s="16" t="s">
        <v>83</v>
      </c>
      <c r="G4951" s="22">
        <v>594</v>
      </c>
      <c r="H4951" s="18">
        <v>254.82</v>
      </c>
      <c r="I4951" s="18">
        <v>0.42898989900000001</v>
      </c>
      <c r="J4951" s="18">
        <v>0.44</v>
      </c>
      <c r="K4951" s="18">
        <v>0.42</v>
      </c>
      <c r="L4951" s="22">
        <v>13</v>
      </c>
    </row>
    <row r="4952" spans="1:12">
      <c r="A4952">
        <v>6</v>
      </c>
      <c r="B4952" s="16" t="s">
        <v>61</v>
      </c>
      <c r="C4952" s="9">
        <v>45931</v>
      </c>
      <c r="D4952">
        <v>5</v>
      </c>
      <c r="E4952" s="16" t="s">
        <v>88</v>
      </c>
      <c r="F4952" s="16" t="s">
        <v>83</v>
      </c>
      <c r="G4952" s="22">
        <v>744</v>
      </c>
      <c r="H4952" s="18">
        <v>319.38</v>
      </c>
      <c r="I4952" s="18">
        <v>0.429274194</v>
      </c>
      <c r="J4952" s="18">
        <v>0.43</v>
      </c>
      <c r="K4952" s="18">
        <v>0.42</v>
      </c>
      <c r="L4952" s="22">
        <v>14</v>
      </c>
    </row>
    <row r="4953" spans="1:12">
      <c r="A4953">
        <v>6</v>
      </c>
      <c r="B4953" s="16" t="s">
        <v>61</v>
      </c>
      <c r="C4953" s="9">
        <v>45962</v>
      </c>
      <c r="D4953">
        <v>5</v>
      </c>
      <c r="E4953" s="16" t="s">
        <v>88</v>
      </c>
      <c r="F4953" s="16" t="s">
        <v>83</v>
      </c>
      <c r="G4953" s="22">
        <v>570</v>
      </c>
      <c r="H4953" s="18">
        <v>246.84</v>
      </c>
      <c r="I4953" s="18">
        <v>0.43305263199999999</v>
      </c>
      <c r="J4953" s="18">
        <v>0.44</v>
      </c>
      <c r="K4953" s="18">
        <v>0.42</v>
      </c>
      <c r="L4953" s="22">
        <v>12</v>
      </c>
    </row>
    <row r="4954" spans="1:12">
      <c r="A4954">
        <v>6</v>
      </c>
      <c r="B4954" s="16" t="s">
        <v>61</v>
      </c>
      <c r="C4954" s="9">
        <v>45992</v>
      </c>
      <c r="D4954">
        <v>5</v>
      </c>
      <c r="E4954" s="16" t="s">
        <v>88</v>
      </c>
      <c r="F4954" s="16" t="s">
        <v>83</v>
      </c>
      <c r="G4954" s="22">
        <v>516</v>
      </c>
      <c r="H4954" s="18">
        <v>223.74</v>
      </c>
      <c r="I4954" s="18">
        <v>0.43360465100000001</v>
      </c>
      <c r="J4954" s="18">
        <v>0.44</v>
      </c>
      <c r="K4954" s="18">
        <v>0.43</v>
      </c>
      <c r="L4954" s="22">
        <v>14</v>
      </c>
    </row>
    <row r="4955" spans="1:12">
      <c r="A4955">
        <v>6</v>
      </c>
      <c r="B4955" s="16" t="s">
        <v>61</v>
      </c>
      <c r="C4955" s="9">
        <v>46023</v>
      </c>
      <c r="D4955">
        <v>5</v>
      </c>
      <c r="E4955" s="16" t="s">
        <v>88</v>
      </c>
      <c r="F4955" s="16" t="s">
        <v>83</v>
      </c>
      <c r="G4955" s="22">
        <v>570</v>
      </c>
      <c r="H4955" s="18">
        <v>246.36</v>
      </c>
      <c r="I4955" s="18">
        <v>0.43221052599999998</v>
      </c>
      <c r="J4955" s="18">
        <v>0.44</v>
      </c>
      <c r="K4955" s="18">
        <v>0.42</v>
      </c>
      <c r="L4955" s="22">
        <v>13</v>
      </c>
    </row>
    <row r="4956" spans="1:12">
      <c r="A4956">
        <v>6</v>
      </c>
      <c r="B4956" s="16" t="s">
        <v>61</v>
      </c>
      <c r="C4956" s="9">
        <v>46054</v>
      </c>
      <c r="D4956">
        <v>5</v>
      </c>
      <c r="E4956" s="16" t="s">
        <v>88</v>
      </c>
      <c r="F4956" s="16" t="s">
        <v>83</v>
      </c>
      <c r="G4956" s="22">
        <v>558</v>
      </c>
      <c r="H4956" s="18">
        <v>241.5</v>
      </c>
      <c r="I4956" s="18">
        <v>0.43279569899999998</v>
      </c>
      <c r="J4956" s="18">
        <v>0.44</v>
      </c>
      <c r="K4956" s="18">
        <v>0.43</v>
      </c>
      <c r="L4956" s="22">
        <v>12</v>
      </c>
    </row>
    <row r="4957" spans="1:12">
      <c r="A4957">
        <v>6</v>
      </c>
      <c r="B4957" s="16" t="s">
        <v>61</v>
      </c>
      <c r="C4957" s="9">
        <v>46082</v>
      </c>
      <c r="D4957">
        <v>5</v>
      </c>
      <c r="E4957" s="16" t="s">
        <v>88</v>
      </c>
      <c r="F4957" s="16" t="s">
        <v>83</v>
      </c>
      <c r="G4957" s="22">
        <v>702</v>
      </c>
      <c r="H4957" s="18">
        <v>306</v>
      </c>
      <c r="I4957" s="18">
        <v>0.43589743600000003</v>
      </c>
      <c r="J4957" s="18">
        <v>0.44</v>
      </c>
      <c r="K4957" s="18">
        <v>0.43</v>
      </c>
      <c r="L4957" s="22">
        <v>13</v>
      </c>
    </row>
    <row r="4958" spans="1:12">
      <c r="A4958">
        <v>6</v>
      </c>
      <c r="B4958" s="16" t="s">
        <v>61</v>
      </c>
      <c r="C4958" s="9">
        <v>46113</v>
      </c>
      <c r="D4958">
        <v>5</v>
      </c>
      <c r="E4958" s="16" t="s">
        <v>88</v>
      </c>
      <c r="F4958" s="16" t="s">
        <v>83</v>
      </c>
      <c r="G4958" s="22">
        <v>666</v>
      </c>
      <c r="H4958" s="18">
        <v>289.74</v>
      </c>
      <c r="I4958" s="18">
        <v>0.43504504500000002</v>
      </c>
      <c r="J4958" s="18">
        <v>0.44</v>
      </c>
      <c r="K4958" s="18">
        <v>0.42</v>
      </c>
      <c r="L4958" s="22">
        <v>13</v>
      </c>
    </row>
    <row r="4959" spans="1:12">
      <c r="A4959">
        <v>6</v>
      </c>
      <c r="B4959" s="16" t="s">
        <v>61</v>
      </c>
      <c r="C4959" s="9">
        <v>46143</v>
      </c>
      <c r="D4959">
        <v>5</v>
      </c>
      <c r="E4959" s="16" t="s">
        <v>88</v>
      </c>
      <c r="F4959" s="16" t="s">
        <v>83</v>
      </c>
      <c r="G4959" s="22">
        <v>762</v>
      </c>
      <c r="H4959" s="18">
        <v>334.62</v>
      </c>
      <c r="I4959" s="18">
        <v>0.43913385799999999</v>
      </c>
      <c r="J4959" s="18">
        <v>0.44</v>
      </c>
      <c r="K4959" s="18">
        <v>0.43</v>
      </c>
      <c r="L4959" s="22">
        <v>13</v>
      </c>
    </row>
    <row r="4960" spans="1:12">
      <c r="A4960">
        <v>6</v>
      </c>
      <c r="B4960" s="16" t="s">
        <v>61</v>
      </c>
      <c r="C4960" s="9">
        <v>46174</v>
      </c>
      <c r="D4960">
        <v>5</v>
      </c>
      <c r="E4960" s="16" t="s">
        <v>88</v>
      </c>
      <c r="F4960" s="16" t="s">
        <v>83</v>
      </c>
      <c r="G4960" s="22">
        <v>660</v>
      </c>
      <c r="H4960" s="18">
        <v>289.32</v>
      </c>
      <c r="I4960" s="18">
        <v>0.438363636</v>
      </c>
      <c r="J4960" s="18">
        <v>0.45</v>
      </c>
      <c r="K4960" s="18">
        <v>0.43</v>
      </c>
      <c r="L4960" s="22">
        <v>13</v>
      </c>
    </row>
    <row r="4961" spans="1:12">
      <c r="A4961">
        <v>6</v>
      </c>
      <c r="B4961" s="16" t="s">
        <v>61</v>
      </c>
      <c r="C4961" s="9">
        <v>46204</v>
      </c>
      <c r="D4961">
        <v>5</v>
      </c>
      <c r="E4961" s="16" t="s">
        <v>88</v>
      </c>
      <c r="F4961" s="16" t="s">
        <v>83</v>
      </c>
      <c r="G4961" s="22">
        <v>678</v>
      </c>
      <c r="H4961" s="18">
        <v>297.12</v>
      </c>
      <c r="I4961" s="18">
        <v>0.43823008800000002</v>
      </c>
      <c r="J4961" s="18">
        <v>0.45</v>
      </c>
      <c r="K4961" s="18">
        <v>0.43</v>
      </c>
      <c r="L4961" s="22">
        <v>14</v>
      </c>
    </row>
    <row r="4962" spans="1:12">
      <c r="A4962">
        <v>6</v>
      </c>
      <c r="B4962" s="16" t="s">
        <v>61</v>
      </c>
      <c r="C4962" s="9">
        <v>46235</v>
      </c>
      <c r="D4962">
        <v>5</v>
      </c>
      <c r="E4962" s="16" t="s">
        <v>88</v>
      </c>
      <c r="F4962" s="16" t="s">
        <v>83</v>
      </c>
      <c r="G4962" s="22">
        <v>588</v>
      </c>
      <c r="H4962" s="18">
        <v>261.24</v>
      </c>
      <c r="I4962" s="18">
        <v>0.444285714</v>
      </c>
      <c r="J4962" s="18">
        <v>0.46</v>
      </c>
      <c r="K4962" s="18">
        <v>0.43</v>
      </c>
      <c r="L4962" s="22">
        <v>13</v>
      </c>
    </row>
    <row r="4963" spans="1:12">
      <c r="A4963">
        <v>6</v>
      </c>
      <c r="B4963" s="16" t="s">
        <v>61</v>
      </c>
      <c r="C4963" s="9">
        <v>46266</v>
      </c>
      <c r="D4963">
        <v>5</v>
      </c>
      <c r="E4963" s="16" t="s">
        <v>88</v>
      </c>
      <c r="F4963" s="16" t="s">
        <v>83</v>
      </c>
      <c r="G4963" s="22">
        <v>660</v>
      </c>
      <c r="H4963" s="18">
        <v>290.27999999999997</v>
      </c>
      <c r="I4963" s="18">
        <v>0.439818182</v>
      </c>
      <c r="J4963" s="18">
        <v>0.45</v>
      </c>
      <c r="K4963" s="18">
        <v>0.43</v>
      </c>
      <c r="L4963" s="22">
        <v>13</v>
      </c>
    </row>
    <row r="4964" spans="1:12">
      <c r="A4964">
        <v>6</v>
      </c>
      <c r="B4964" s="16" t="s">
        <v>61</v>
      </c>
      <c r="C4964" s="9">
        <v>45689</v>
      </c>
      <c r="D4964">
        <v>6</v>
      </c>
      <c r="E4964" s="16" t="s">
        <v>89</v>
      </c>
      <c r="F4964" s="16" t="s">
        <v>90</v>
      </c>
      <c r="G4964" s="22">
        <v>30</v>
      </c>
      <c r="H4964" s="18">
        <v>906.58</v>
      </c>
      <c r="I4964" s="18">
        <v>30.219333333000002</v>
      </c>
      <c r="J4964" s="18">
        <v>30.28</v>
      </c>
      <c r="K4964" s="18">
        <v>30.15</v>
      </c>
      <c r="L4964" s="22">
        <v>2</v>
      </c>
    </row>
    <row r="4965" spans="1:12">
      <c r="A4965">
        <v>6</v>
      </c>
      <c r="B4965" s="16" t="s">
        <v>61</v>
      </c>
      <c r="C4965" s="9">
        <v>45717</v>
      </c>
      <c r="D4965">
        <v>6</v>
      </c>
      <c r="E4965" s="16" t="s">
        <v>89</v>
      </c>
      <c r="F4965" s="16" t="s">
        <v>90</v>
      </c>
      <c r="G4965" s="22">
        <v>30</v>
      </c>
      <c r="H4965" s="18">
        <v>902.14</v>
      </c>
      <c r="I4965" s="18">
        <v>30.071333332999998</v>
      </c>
      <c r="J4965" s="18">
        <v>30.21</v>
      </c>
      <c r="K4965" s="18">
        <v>29.95</v>
      </c>
      <c r="L4965" s="22">
        <v>2</v>
      </c>
    </row>
    <row r="4966" spans="1:12">
      <c r="A4966">
        <v>6</v>
      </c>
      <c r="B4966" s="16" t="s">
        <v>61</v>
      </c>
      <c r="C4966" s="9">
        <v>45748</v>
      </c>
      <c r="D4966">
        <v>6</v>
      </c>
      <c r="E4966" s="16" t="s">
        <v>89</v>
      </c>
      <c r="F4966" s="16" t="s">
        <v>90</v>
      </c>
      <c r="G4966" s="22">
        <v>48</v>
      </c>
      <c r="H4966" s="18">
        <v>1455.2</v>
      </c>
      <c r="I4966" s="18">
        <v>30.316666667</v>
      </c>
      <c r="J4966" s="18">
        <v>30.48</v>
      </c>
      <c r="K4966" s="18">
        <v>30.23</v>
      </c>
      <c r="L4966" s="22">
        <v>3</v>
      </c>
    </row>
    <row r="4967" spans="1:12">
      <c r="A4967">
        <v>6</v>
      </c>
      <c r="B4967" s="16" t="s">
        <v>61</v>
      </c>
      <c r="C4967" s="9">
        <v>45778</v>
      </c>
      <c r="D4967">
        <v>6</v>
      </c>
      <c r="E4967" s="16" t="s">
        <v>89</v>
      </c>
      <c r="F4967" s="16" t="s">
        <v>90</v>
      </c>
      <c r="G4967" s="22">
        <v>28</v>
      </c>
      <c r="H4967" s="18">
        <v>838.6</v>
      </c>
      <c r="I4967" s="18">
        <v>29.95</v>
      </c>
      <c r="J4967" s="18">
        <v>30.28</v>
      </c>
      <c r="K4967" s="18">
        <v>29.62</v>
      </c>
      <c r="L4967" s="22">
        <v>2</v>
      </c>
    </row>
    <row r="4968" spans="1:12">
      <c r="A4968">
        <v>6</v>
      </c>
      <c r="B4968" s="16" t="s">
        <v>61</v>
      </c>
      <c r="C4968" s="9">
        <v>45809</v>
      </c>
      <c r="D4968">
        <v>6</v>
      </c>
      <c r="E4968" s="16" t="s">
        <v>89</v>
      </c>
      <c r="F4968" s="16" t="s">
        <v>90</v>
      </c>
      <c r="G4968" s="22">
        <v>24</v>
      </c>
      <c r="H4968" s="18">
        <v>722.04</v>
      </c>
      <c r="I4968" s="18">
        <v>30.085000000000001</v>
      </c>
      <c r="J4968" s="18">
        <v>30.14</v>
      </c>
      <c r="K4968" s="18">
        <v>30.03</v>
      </c>
      <c r="L4968" s="22">
        <v>2</v>
      </c>
    </row>
    <row r="4969" spans="1:12">
      <c r="A4969">
        <v>6</v>
      </c>
      <c r="B4969" s="16" t="s">
        <v>61</v>
      </c>
      <c r="C4969" s="9">
        <v>45839</v>
      </c>
      <c r="D4969">
        <v>6</v>
      </c>
      <c r="E4969" s="16" t="s">
        <v>89</v>
      </c>
      <c r="F4969" s="16" t="s">
        <v>90</v>
      </c>
      <c r="G4969" s="22">
        <v>20</v>
      </c>
      <c r="H4969" s="18">
        <v>599.79999999999995</v>
      </c>
      <c r="I4969" s="18">
        <v>29.99</v>
      </c>
      <c r="J4969" s="18">
        <v>30.3</v>
      </c>
      <c r="K4969" s="18">
        <v>29.68</v>
      </c>
      <c r="L4969" s="22">
        <v>2</v>
      </c>
    </row>
    <row r="4970" spans="1:12">
      <c r="A4970">
        <v>6</v>
      </c>
      <c r="B4970" s="16" t="s">
        <v>61</v>
      </c>
      <c r="C4970" s="9">
        <v>45870</v>
      </c>
      <c r="D4970">
        <v>6</v>
      </c>
      <c r="E4970" s="16" t="s">
        <v>89</v>
      </c>
      <c r="F4970" s="16" t="s">
        <v>90</v>
      </c>
      <c r="G4970" s="22">
        <v>22</v>
      </c>
      <c r="H4970" s="18">
        <v>667.9</v>
      </c>
      <c r="I4970" s="18">
        <v>30.359090908999999</v>
      </c>
      <c r="J4970" s="18">
        <v>30.67</v>
      </c>
      <c r="K4970" s="18">
        <v>30.1</v>
      </c>
      <c r="L4970" s="22">
        <v>2</v>
      </c>
    </row>
    <row r="4971" spans="1:12">
      <c r="A4971">
        <v>6</v>
      </c>
      <c r="B4971" s="16" t="s">
        <v>61</v>
      </c>
      <c r="C4971" s="9">
        <v>45901</v>
      </c>
      <c r="D4971">
        <v>6</v>
      </c>
      <c r="E4971" s="16" t="s">
        <v>89</v>
      </c>
      <c r="F4971" s="16" t="s">
        <v>90</v>
      </c>
      <c r="G4971" s="22">
        <v>28</v>
      </c>
      <c r="H4971" s="18">
        <v>852.04</v>
      </c>
      <c r="I4971" s="18">
        <v>30.43</v>
      </c>
      <c r="J4971" s="18">
        <v>30.56</v>
      </c>
      <c r="K4971" s="18">
        <v>30.3</v>
      </c>
      <c r="L4971" s="22">
        <v>2</v>
      </c>
    </row>
    <row r="4972" spans="1:12">
      <c r="A4972">
        <v>6</v>
      </c>
      <c r="B4972" s="16" t="s">
        <v>61</v>
      </c>
      <c r="C4972" s="9">
        <v>45931</v>
      </c>
      <c r="D4972">
        <v>6</v>
      </c>
      <c r="E4972" s="16" t="s">
        <v>89</v>
      </c>
      <c r="F4972" s="16" t="s">
        <v>90</v>
      </c>
      <c r="G4972" s="22">
        <v>44</v>
      </c>
      <c r="H4972" s="18">
        <v>1350.56</v>
      </c>
      <c r="I4972" s="18">
        <v>30.694545455</v>
      </c>
      <c r="J4972" s="18">
        <v>31</v>
      </c>
      <c r="K4972" s="18">
        <v>30.37</v>
      </c>
      <c r="L4972" s="22">
        <v>3</v>
      </c>
    </row>
    <row r="4973" spans="1:12">
      <c r="A4973">
        <v>6</v>
      </c>
      <c r="B4973" s="16" t="s">
        <v>61</v>
      </c>
      <c r="C4973" s="9">
        <v>45962</v>
      </c>
      <c r="D4973">
        <v>6</v>
      </c>
      <c r="E4973" s="16" t="s">
        <v>89</v>
      </c>
      <c r="F4973" s="16" t="s">
        <v>90</v>
      </c>
      <c r="G4973" s="22">
        <v>24</v>
      </c>
      <c r="H4973" s="18">
        <v>738.6</v>
      </c>
      <c r="I4973" s="18">
        <v>30.774999999999999</v>
      </c>
      <c r="J4973" s="18">
        <v>30.86</v>
      </c>
      <c r="K4973" s="18">
        <v>30.69</v>
      </c>
      <c r="L4973" s="22">
        <v>2</v>
      </c>
    </row>
    <row r="4974" spans="1:12">
      <c r="A4974">
        <v>6</v>
      </c>
      <c r="B4974" s="16" t="s">
        <v>61</v>
      </c>
      <c r="C4974" s="9">
        <v>45992</v>
      </c>
      <c r="D4974">
        <v>6</v>
      </c>
      <c r="E4974" s="16" t="s">
        <v>89</v>
      </c>
      <c r="F4974" s="16" t="s">
        <v>90</v>
      </c>
      <c r="G4974" s="22">
        <v>24</v>
      </c>
      <c r="H4974" s="18">
        <v>739.08</v>
      </c>
      <c r="I4974" s="18">
        <v>30.795000000000002</v>
      </c>
      <c r="J4974" s="18">
        <v>30.81</v>
      </c>
      <c r="K4974" s="18">
        <v>30.78</v>
      </c>
      <c r="L4974" s="22">
        <v>2</v>
      </c>
    </row>
    <row r="4975" spans="1:12">
      <c r="A4975">
        <v>6</v>
      </c>
      <c r="B4975" s="16" t="s">
        <v>61</v>
      </c>
      <c r="C4975" s="9">
        <v>46023</v>
      </c>
      <c r="D4975">
        <v>6</v>
      </c>
      <c r="E4975" s="16" t="s">
        <v>89</v>
      </c>
      <c r="F4975" s="16" t="s">
        <v>90</v>
      </c>
      <c r="G4975" s="22">
        <v>34</v>
      </c>
      <c r="H4975" s="18">
        <v>1043.82</v>
      </c>
      <c r="I4975" s="18">
        <v>30.700588235000001</v>
      </c>
      <c r="J4975" s="18">
        <v>31.43</v>
      </c>
      <c r="K4975" s="18">
        <v>29.88</v>
      </c>
      <c r="L4975" s="22">
        <v>2</v>
      </c>
    </row>
    <row r="4976" spans="1:12">
      <c r="A4976">
        <v>6</v>
      </c>
      <c r="B4976" s="16" t="s">
        <v>61</v>
      </c>
      <c r="C4976" s="9">
        <v>46054</v>
      </c>
      <c r="D4976">
        <v>6</v>
      </c>
      <c r="E4976" s="16" t="s">
        <v>89</v>
      </c>
      <c r="F4976" s="16" t="s">
        <v>90</v>
      </c>
      <c r="G4976" s="22">
        <v>30</v>
      </c>
      <c r="H4976" s="18">
        <v>920.82</v>
      </c>
      <c r="I4976" s="18">
        <v>30.693999999999999</v>
      </c>
      <c r="J4976" s="18">
        <v>30.87</v>
      </c>
      <c r="K4976" s="18">
        <v>30.54</v>
      </c>
      <c r="L4976" s="22">
        <v>2</v>
      </c>
    </row>
    <row r="4977" spans="1:12">
      <c r="A4977">
        <v>6</v>
      </c>
      <c r="B4977" s="16" t="s">
        <v>61</v>
      </c>
      <c r="C4977" s="9">
        <v>46082</v>
      </c>
      <c r="D4977">
        <v>6</v>
      </c>
      <c r="E4977" s="16" t="s">
        <v>89</v>
      </c>
      <c r="F4977" s="16" t="s">
        <v>90</v>
      </c>
      <c r="G4977" s="22">
        <v>34</v>
      </c>
      <c r="H4977" s="18">
        <v>1055.3399999999999</v>
      </c>
      <c r="I4977" s="18">
        <v>31.039411765000001</v>
      </c>
      <c r="J4977" s="18">
        <v>31.68</v>
      </c>
      <c r="K4977" s="18">
        <v>30.47</v>
      </c>
      <c r="L4977" s="22">
        <v>2</v>
      </c>
    </row>
    <row r="4978" spans="1:12">
      <c r="A4978">
        <v>6</v>
      </c>
      <c r="B4978" s="16" t="s">
        <v>61</v>
      </c>
      <c r="C4978" s="9">
        <v>46113</v>
      </c>
      <c r="D4978">
        <v>6</v>
      </c>
      <c r="E4978" s="16" t="s">
        <v>89</v>
      </c>
      <c r="F4978" s="16" t="s">
        <v>90</v>
      </c>
      <c r="G4978" s="22">
        <v>46</v>
      </c>
      <c r="H4978" s="18">
        <v>1442.8</v>
      </c>
      <c r="I4978" s="18">
        <v>31.365217391000002</v>
      </c>
      <c r="J4978" s="18">
        <v>32.1</v>
      </c>
      <c r="K4978" s="18">
        <v>30.88</v>
      </c>
      <c r="L4978" s="22">
        <v>3</v>
      </c>
    </row>
    <row r="4979" spans="1:12">
      <c r="A4979">
        <v>6</v>
      </c>
      <c r="B4979" s="16" t="s">
        <v>61</v>
      </c>
      <c r="C4979" s="9">
        <v>46143</v>
      </c>
      <c r="D4979">
        <v>6</v>
      </c>
      <c r="E4979" s="16" t="s">
        <v>89</v>
      </c>
      <c r="F4979" s="16" t="s">
        <v>90</v>
      </c>
      <c r="G4979" s="22">
        <v>30</v>
      </c>
      <c r="H4979" s="18">
        <v>925.52</v>
      </c>
      <c r="I4979" s="18">
        <v>30.850666666999999</v>
      </c>
      <c r="J4979" s="18">
        <v>30.92</v>
      </c>
      <c r="K4979" s="18">
        <v>30.79</v>
      </c>
      <c r="L4979" s="22">
        <v>2</v>
      </c>
    </row>
    <row r="4980" spans="1:12">
      <c r="A4980">
        <v>6</v>
      </c>
      <c r="B4980" s="16" t="s">
        <v>61</v>
      </c>
      <c r="C4980" s="9">
        <v>46174</v>
      </c>
      <c r="D4980">
        <v>6</v>
      </c>
      <c r="E4980" s="16" t="s">
        <v>89</v>
      </c>
      <c r="F4980" s="16" t="s">
        <v>90</v>
      </c>
      <c r="G4980" s="22">
        <v>26</v>
      </c>
      <c r="H4980" s="18">
        <v>812.46</v>
      </c>
      <c r="I4980" s="18">
        <v>31.248461538000001</v>
      </c>
      <c r="J4980" s="18">
        <v>31.41</v>
      </c>
      <c r="K4980" s="18">
        <v>31.11</v>
      </c>
      <c r="L4980" s="22">
        <v>2</v>
      </c>
    </row>
    <row r="4981" spans="1:12">
      <c r="A4981">
        <v>6</v>
      </c>
      <c r="B4981" s="16" t="s">
        <v>61</v>
      </c>
      <c r="C4981" s="9">
        <v>46204</v>
      </c>
      <c r="D4981">
        <v>6</v>
      </c>
      <c r="E4981" s="16" t="s">
        <v>89</v>
      </c>
      <c r="F4981" s="16" t="s">
        <v>90</v>
      </c>
      <c r="G4981" s="22">
        <v>24</v>
      </c>
      <c r="H4981" s="18">
        <v>747.12</v>
      </c>
      <c r="I4981" s="18">
        <v>31.13</v>
      </c>
      <c r="J4981" s="18">
        <v>31.18</v>
      </c>
      <c r="K4981" s="18">
        <v>31.08</v>
      </c>
      <c r="L4981" s="22">
        <v>2</v>
      </c>
    </row>
    <row r="4982" spans="1:12">
      <c r="A4982">
        <v>6</v>
      </c>
      <c r="B4982" s="16" t="s">
        <v>61</v>
      </c>
      <c r="C4982" s="9">
        <v>46235</v>
      </c>
      <c r="D4982">
        <v>6</v>
      </c>
      <c r="E4982" s="16" t="s">
        <v>89</v>
      </c>
      <c r="F4982" s="16" t="s">
        <v>90</v>
      </c>
      <c r="G4982" s="22">
        <v>22</v>
      </c>
      <c r="H4982" s="18">
        <v>681.04</v>
      </c>
      <c r="I4982" s="18">
        <v>30.956363635999999</v>
      </c>
      <c r="J4982" s="18">
        <v>31.42</v>
      </c>
      <c r="K4982" s="18">
        <v>30.57</v>
      </c>
      <c r="L4982" s="22">
        <v>2</v>
      </c>
    </row>
    <row r="4983" spans="1:12">
      <c r="A4983">
        <v>6</v>
      </c>
      <c r="B4983" s="16" t="s">
        <v>61</v>
      </c>
      <c r="C4983" s="9">
        <v>46266</v>
      </c>
      <c r="D4983">
        <v>6</v>
      </c>
      <c r="E4983" s="16" t="s">
        <v>89</v>
      </c>
      <c r="F4983" s="16" t="s">
        <v>90</v>
      </c>
      <c r="G4983" s="22">
        <v>42</v>
      </c>
      <c r="H4983" s="18">
        <v>1289.6199999999999</v>
      </c>
      <c r="I4983" s="18">
        <v>30.705238094999999</v>
      </c>
      <c r="J4983" s="18">
        <v>31.05</v>
      </c>
      <c r="K4983" s="18">
        <v>30.51</v>
      </c>
      <c r="L4983" s="22">
        <v>3</v>
      </c>
    </row>
    <row r="4984" spans="1:12">
      <c r="A4984">
        <v>6</v>
      </c>
      <c r="B4984" s="16" t="s">
        <v>61</v>
      </c>
      <c r="C4984" s="9">
        <v>45689</v>
      </c>
      <c r="D4984">
        <v>7</v>
      </c>
      <c r="E4984" s="16" t="s">
        <v>91</v>
      </c>
      <c r="F4984" s="16" t="s">
        <v>92</v>
      </c>
      <c r="G4984" s="22">
        <v>258</v>
      </c>
      <c r="H4984" s="18">
        <v>171.88</v>
      </c>
      <c r="I4984" s="18">
        <v>0.66620155000000003</v>
      </c>
      <c r="J4984" s="18">
        <v>0.68</v>
      </c>
      <c r="K4984" s="18">
        <v>0.65</v>
      </c>
      <c r="L4984" s="22">
        <v>12</v>
      </c>
    </row>
    <row r="4985" spans="1:12">
      <c r="A4985">
        <v>6</v>
      </c>
      <c r="B4985" s="16" t="s">
        <v>61</v>
      </c>
      <c r="C4985" s="9">
        <v>45717</v>
      </c>
      <c r="D4985">
        <v>7</v>
      </c>
      <c r="E4985" s="16" t="s">
        <v>91</v>
      </c>
      <c r="F4985" s="16" t="s">
        <v>92</v>
      </c>
      <c r="G4985" s="22">
        <v>234</v>
      </c>
      <c r="H4985" s="18">
        <v>149.9</v>
      </c>
      <c r="I4985" s="18">
        <v>0.64059829099999999</v>
      </c>
      <c r="J4985" s="18">
        <v>0.65</v>
      </c>
      <c r="K4985" s="18">
        <v>0.63</v>
      </c>
      <c r="L4985" s="22">
        <v>13</v>
      </c>
    </row>
    <row r="4986" spans="1:12">
      <c r="A4986">
        <v>6</v>
      </c>
      <c r="B4986" s="16" t="s">
        <v>61</v>
      </c>
      <c r="C4986" s="9">
        <v>45748</v>
      </c>
      <c r="D4986">
        <v>7</v>
      </c>
      <c r="E4986" s="16" t="s">
        <v>91</v>
      </c>
      <c r="F4986" s="16" t="s">
        <v>92</v>
      </c>
      <c r="G4986" s="22">
        <v>288</v>
      </c>
      <c r="H4986" s="18">
        <v>177.82</v>
      </c>
      <c r="I4986" s="18">
        <v>0.61743055599999996</v>
      </c>
      <c r="J4986" s="18">
        <v>0.63</v>
      </c>
      <c r="K4986" s="18">
        <v>0.6</v>
      </c>
      <c r="L4986" s="22">
        <v>13</v>
      </c>
    </row>
    <row r="4987" spans="1:12">
      <c r="A4987">
        <v>6</v>
      </c>
      <c r="B4987" s="16" t="s">
        <v>61</v>
      </c>
      <c r="C4987" s="9">
        <v>45778</v>
      </c>
      <c r="D4987">
        <v>7</v>
      </c>
      <c r="E4987" s="16" t="s">
        <v>91</v>
      </c>
      <c r="F4987" s="16" t="s">
        <v>92</v>
      </c>
      <c r="G4987" s="22">
        <v>304</v>
      </c>
      <c r="H4987" s="18">
        <v>174.4</v>
      </c>
      <c r="I4987" s="18">
        <v>0.573684211</v>
      </c>
      <c r="J4987" s="18">
        <v>0.61</v>
      </c>
      <c r="K4987" s="18">
        <v>0.56000000000000005</v>
      </c>
      <c r="L4987" s="22">
        <v>13</v>
      </c>
    </row>
    <row r="4988" spans="1:12">
      <c r="A4988">
        <v>6</v>
      </c>
      <c r="B4988" s="16" t="s">
        <v>61</v>
      </c>
      <c r="C4988" s="9">
        <v>45809</v>
      </c>
      <c r="D4988">
        <v>7</v>
      </c>
      <c r="E4988" s="16" t="s">
        <v>91</v>
      </c>
      <c r="F4988" s="16" t="s">
        <v>92</v>
      </c>
      <c r="G4988" s="22">
        <v>256</v>
      </c>
      <c r="H4988" s="18">
        <v>141.74</v>
      </c>
      <c r="I4988" s="18">
        <v>0.55367187500000004</v>
      </c>
      <c r="J4988" s="18">
        <v>0.56000000000000005</v>
      </c>
      <c r="K4988" s="18">
        <v>0.54</v>
      </c>
      <c r="L4988" s="22">
        <v>13</v>
      </c>
    </row>
    <row r="4989" spans="1:12">
      <c r="A4989">
        <v>6</v>
      </c>
      <c r="B4989" s="16" t="s">
        <v>61</v>
      </c>
      <c r="C4989" s="9">
        <v>45839</v>
      </c>
      <c r="D4989">
        <v>7</v>
      </c>
      <c r="E4989" s="16" t="s">
        <v>91</v>
      </c>
      <c r="F4989" s="16" t="s">
        <v>92</v>
      </c>
      <c r="G4989" s="22">
        <v>234</v>
      </c>
      <c r="H4989" s="18">
        <v>125.26</v>
      </c>
      <c r="I4989" s="18">
        <v>0.53529914499999998</v>
      </c>
      <c r="J4989" s="18">
        <v>0.56999999999999995</v>
      </c>
      <c r="K4989" s="18">
        <v>0.52</v>
      </c>
      <c r="L4989" s="22">
        <v>13</v>
      </c>
    </row>
    <row r="4990" spans="1:12">
      <c r="A4990">
        <v>6</v>
      </c>
      <c r="B4990" s="16" t="s">
        <v>61</v>
      </c>
      <c r="C4990" s="9">
        <v>45870</v>
      </c>
      <c r="D4990">
        <v>7</v>
      </c>
      <c r="E4990" s="16" t="s">
        <v>91</v>
      </c>
      <c r="F4990" s="16" t="s">
        <v>92</v>
      </c>
      <c r="G4990" s="22">
        <v>250</v>
      </c>
      <c r="H4990" s="18">
        <v>134.47999999999999</v>
      </c>
      <c r="I4990" s="18">
        <v>0.53791999999999995</v>
      </c>
      <c r="J4990" s="18">
        <v>0.55000000000000004</v>
      </c>
      <c r="K4990" s="18">
        <v>0.53</v>
      </c>
      <c r="L4990" s="22">
        <v>13</v>
      </c>
    </row>
    <row r="4991" spans="1:12">
      <c r="A4991">
        <v>6</v>
      </c>
      <c r="B4991" s="16" t="s">
        <v>61</v>
      </c>
      <c r="C4991" s="9">
        <v>45901</v>
      </c>
      <c r="D4991">
        <v>7</v>
      </c>
      <c r="E4991" s="16" t="s">
        <v>91</v>
      </c>
      <c r="F4991" s="16" t="s">
        <v>92</v>
      </c>
      <c r="G4991" s="22">
        <v>252</v>
      </c>
      <c r="H4991" s="18">
        <v>143</v>
      </c>
      <c r="I4991" s="18">
        <v>0.56746031699999999</v>
      </c>
      <c r="J4991" s="18">
        <v>0.57999999999999996</v>
      </c>
      <c r="K4991" s="18">
        <v>0.55000000000000004</v>
      </c>
      <c r="L4991" s="22">
        <v>13</v>
      </c>
    </row>
    <row r="4992" spans="1:12">
      <c r="A4992">
        <v>6</v>
      </c>
      <c r="B4992" s="16" t="s">
        <v>61</v>
      </c>
      <c r="C4992" s="9">
        <v>45931</v>
      </c>
      <c r="D4992">
        <v>7</v>
      </c>
      <c r="E4992" s="16" t="s">
        <v>91</v>
      </c>
      <c r="F4992" s="16" t="s">
        <v>92</v>
      </c>
      <c r="G4992" s="22">
        <v>326</v>
      </c>
      <c r="H4992" s="18">
        <v>196.5</v>
      </c>
      <c r="I4992" s="18">
        <v>0.60276073600000002</v>
      </c>
      <c r="J4992" s="18">
        <v>0.62</v>
      </c>
      <c r="K4992" s="18">
        <v>0.59</v>
      </c>
      <c r="L4992" s="22">
        <v>14</v>
      </c>
    </row>
    <row r="4993" spans="1:12">
      <c r="A4993">
        <v>6</v>
      </c>
      <c r="B4993" s="16" t="s">
        <v>61</v>
      </c>
      <c r="C4993" s="9">
        <v>45962</v>
      </c>
      <c r="D4993">
        <v>7</v>
      </c>
      <c r="E4993" s="16" t="s">
        <v>91</v>
      </c>
      <c r="F4993" s="16" t="s">
        <v>92</v>
      </c>
      <c r="G4993" s="22">
        <v>224</v>
      </c>
      <c r="H4993" s="18">
        <v>141.76</v>
      </c>
      <c r="I4993" s="18">
        <v>0.63285714299999996</v>
      </c>
      <c r="J4993" s="18">
        <v>0.65</v>
      </c>
      <c r="K4993" s="18">
        <v>0.62</v>
      </c>
      <c r="L4993" s="22">
        <v>12</v>
      </c>
    </row>
    <row r="4994" spans="1:12">
      <c r="A4994">
        <v>6</v>
      </c>
      <c r="B4994" s="16" t="s">
        <v>61</v>
      </c>
      <c r="C4994" s="9">
        <v>45992</v>
      </c>
      <c r="D4994">
        <v>7</v>
      </c>
      <c r="E4994" s="16" t="s">
        <v>91</v>
      </c>
      <c r="F4994" s="16" t="s">
        <v>92</v>
      </c>
      <c r="G4994" s="22">
        <v>202</v>
      </c>
      <c r="H4994" s="18">
        <v>133.12</v>
      </c>
      <c r="I4994" s="18">
        <v>0.65900990100000001</v>
      </c>
      <c r="J4994" s="18">
        <v>0.68</v>
      </c>
      <c r="K4994" s="18">
        <v>0.65</v>
      </c>
      <c r="L4994" s="22">
        <v>14</v>
      </c>
    </row>
    <row r="4995" spans="1:12">
      <c r="A4995">
        <v>6</v>
      </c>
      <c r="B4995" s="16" t="s">
        <v>61</v>
      </c>
      <c r="C4995" s="9">
        <v>46023</v>
      </c>
      <c r="D4995">
        <v>7</v>
      </c>
      <c r="E4995" s="16" t="s">
        <v>91</v>
      </c>
      <c r="F4995" s="16" t="s">
        <v>92</v>
      </c>
      <c r="G4995" s="22">
        <v>238</v>
      </c>
      <c r="H4995" s="18">
        <v>160.63999999999999</v>
      </c>
      <c r="I4995" s="18">
        <v>0.67495798299999998</v>
      </c>
      <c r="J4995" s="18">
        <v>0.69</v>
      </c>
      <c r="K4995" s="18">
        <v>0.66</v>
      </c>
      <c r="L4995" s="22">
        <v>13</v>
      </c>
    </row>
    <row r="4996" spans="1:12">
      <c r="A4996">
        <v>6</v>
      </c>
      <c r="B4996" s="16" t="s">
        <v>61</v>
      </c>
      <c r="C4996" s="9">
        <v>46054</v>
      </c>
      <c r="D4996">
        <v>7</v>
      </c>
      <c r="E4996" s="16" t="s">
        <v>91</v>
      </c>
      <c r="F4996" s="16" t="s">
        <v>92</v>
      </c>
      <c r="G4996" s="22">
        <v>228</v>
      </c>
      <c r="H4996" s="18">
        <v>150.58000000000001</v>
      </c>
      <c r="I4996" s="18">
        <v>0.66043859599999999</v>
      </c>
      <c r="J4996" s="18">
        <v>0.67</v>
      </c>
      <c r="K4996" s="18">
        <v>0.65</v>
      </c>
      <c r="L4996" s="22">
        <v>12</v>
      </c>
    </row>
    <row r="4997" spans="1:12">
      <c r="A4997">
        <v>6</v>
      </c>
      <c r="B4997" s="16" t="s">
        <v>61</v>
      </c>
      <c r="C4997" s="9">
        <v>46082</v>
      </c>
      <c r="D4997">
        <v>7</v>
      </c>
      <c r="E4997" s="16" t="s">
        <v>91</v>
      </c>
      <c r="F4997" s="16" t="s">
        <v>92</v>
      </c>
      <c r="G4997" s="22">
        <v>368</v>
      </c>
      <c r="H4997" s="18">
        <v>236.44</v>
      </c>
      <c r="I4997" s="18">
        <v>0.64249999999999996</v>
      </c>
      <c r="J4997" s="18">
        <v>0.65</v>
      </c>
      <c r="K4997" s="18">
        <v>0.63</v>
      </c>
      <c r="L4997" s="22">
        <v>13</v>
      </c>
    </row>
    <row r="4998" spans="1:12">
      <c r="A4998">
        <v>6</v>
      </c>
      <c r="B4998" s="16" t="s">
        <v>61</v>
      </c>
      <c r="C4998" s="9">
        <v>46113</v>
      </c>
      <c r="D4998">
        <v>7</v>
      </c>
      <c r="E4998" s="16" t="s">
        <v>91</v>
      </c>
      <c r="F4998" s="16" t="s">
        <v>92</v>
      </c>
      <c r="G4998" s="22">
        <v>334</v>
      </c>
      <c r="H4998" s="18">
        <v>203.92</v>
      </c>
      <c r="I4998" s="18">
        <v>0.61053892200000004</v>
      </c>
      <c r="J4998" s="18">
        <v>0.63</v>
      </c>
      <c r="K4998" s="18">
        <v>0.59</v>
      </c>
      <c r="L4998" s="22">
        <v>13</v>
      </c>
    </row>
    <row r="4999" spans="1:12">
      <c r="A4999">
        <v>6</v>
      </c>
      <c r="B4999" s="16" t="s">
        <v>61</v>
      </c>
      <c r="C4999" s="9">
        <v>46143</v>
      </c>
      <c r="D4999">
        <v>7</v>
      </c>
      <c r="E4999" s="16" t="s">
        <v>91</v>
      </c>
      <c r="F4999" s="16" t="s">
        <v>92</v>
      </c>
      <c r="G4999" s="22">
        <v>394</v>
      </c>
      <c r="H4999" s="18">
        <v>229.06</v>
      </c>
      <c r="I4999" s="18">
        <v>0.58137055800000004</v>
      </c>
      <c r="J4999" s="18">
        <v>0.6</v>
      </c>
      <c r="K4999" s="18">
        <v>0.56999999999999995</v>
      </c>
      <c r="L4999" s="22">
        <v>13</v>
      </c>
    </row>
    <row r="5000" spans="1:12">
      <c r="A5000">
        <v>6</v>
      </c>
      <c r="B5000" s="16" t="s">
        <v>61</v>
      </c>
      <c r="C5000" s="9">
        <v>46174</v>
      </c>
      <c r="D5000">
        <v>7</v>
      </c>
      <c r="E5000" s="16" t="s">
        <v>91</v>
      </c>
      <c r="F5000" s="16" t="s">
        <v>92</v>
      </c>
      <c r="G5000" s="22">
        <v>352</v>
      </c>
      <c r="H5000" s="18">
        <v>194.54</v>
      </c>
      <c r="I5000" s="18">
        <v>0.552670455</v>
      </c>
      <c r="J5000" s="18">
        <v>0.56999999999999995</v>
      </c>
      <c r="K5000" s="18">
        <v>0.54</v>
      </c>
      <c r="L5000" s="22">
        <v>13</v>
      </c>
    </row>
    <row r="5001" spans="1:12">
      <c r="A5001">
        <v>6</v>
      </c>
      <c r="B5001" s="16" t="s">
        <v>61</v>
      </c>
      <c r="C5001" s="9">
        <v>46204</v>
      </c>
      <c r="D5001">
        <v>7</v>
      </c>
      <c r="E5001" s="16" t="s">
        <v>91</v>
      </c>
      <c r="F5001" s="16" t="s">
        <v>92</v>
      </c>
      <c r="G5001" s="22">
        <v>380</v>
      </c>
      <c r="H5001" s="18">
        <v>206</v>
      </c>
      <c r="I5001" s="18">
        <v>0.54210526299999995</v>
      </c>
      <c r="J5001" s="18">
        <v>0.56999999999999995</v>
      </c>
      <c r="K5001" s="18">
        <v>0.53</v>
      </c>
      <c r="L5001" s="22">
        <v>14</v>
      </c>
    </row>
    <row r="5002" spans="1:12">
      <c r="A5002">
        <v>6</v>
      </c>
      <c r="B5002" s="16" t="s">
        <v>61</v>
      </c>
      <c r="C5002" s="9">
        <v>46235</v>
      </c>
      <c r="D5002">
        <v>7</v>
      </c>
      <c r="E5002" s="16" t="s">
        <v>91</v>
      </c>
      <c r="F5002" s="16" t="s">
        <v>92</v>
      </c>
      <c r="G5002" s="22">
        <v>288</v>
      </c>
      <c r="H5002" s="18">
        <v>155.97999999999999</v>
      </c>
      <c r="I5002" s="18">
        <v>0.54159722200000004</v>
      </c>
      <c r="J5002" s="18">
        <v>0.55000000000000004</v>
      </c>
      <c r="K5002" s="18">
        <v>0.53</v>
      </c>
      <c r="L5002" s="22">
        <v>13</v>
      </c>
    </row>
    <row r="5003" spans="1:12">
      <c r="A5003">
        <v>6</v>
      </c>
      <c r="B5003" s="16" t="s">
        <v>61</v>
      </c>
      <c r="C5003" s="9">
        <v>46266</v>
      </c>
      <c r="D5003">
        <v>7</v>
      </c>
      <c r="E5003" s="16" t="s">
        <v>91</v>
      </c>
      <c r="F5003" s="16" t="s">
        <v>92</v>
      </c>
      <c r="G5003" s="22">
        <v>362</v>
      </c>
      <c r="H5003" s="18">
        <v>207.34</v>
      </c>
      <c r="I5003" s="18">
        <v>0.57276243100000002</v>
      </c>
      <c r="J5003" s="18">
        <v>0.59</v>
      </c>
      <c r="K5003" s="18">
        <v>0.56000000000000005</v>
      </c>
      <c r="L5003" s="22">
        <v>13</v>
      </c>
    </row>
    <row r="5004" spans="1:12">
      <c r="A5004">
        <v>6</v>
      </c>
      <c r="B5004" s="16" t="s">
        <v>61</v>
      </c>
      <c r="C5004" s="9">
        <v>45689</v>
      </c>
      <c r="D5004">
        <v>8</v>
      </c>
      <c r="E5004" s="16" t="s">
        <v>93</v>
      </c>
      <c r="F5004" s="16" t="s">
        <v>83</v>
      </c>
      <c r="G5004" s="22">
        <v>145</v>
      </c>
      <c r="H5004" s="18">
        <v>3230.3375000000001</v>
      </c>
      <c r="I5004" s="18">
        <v>22.278189654999998</v>
      </c>
      <c r="J5004" s="18">
        <v>22.65</v>
      </c>
      <c r="K5004" s="18">
        <v>21.85</v>
      </c>
      <c r="L5004" s="22">
        <v>8</v>
      </c>
    </row>
    <row r="5005" spans="1:12">
      <c r="A5005">
        <v>6</v>
      </c>
      <c r="B5005" s="16" t="s">
        <v>61</v>
      </c>
      <c r="C5005" s="9">
        <v>45717</v>
      </c>
      <c r="D5005">
        <v>8</v>
      </c>
      <c r="E5005" s="16" t="s">
        <v>93</v>
      </c>
      <c r="F5005" s="16" t="s">
        <v>83</v>
      </c>
      <c r="G5005" s="22">
        <v>142.5</v>
      </c>
      <c r="H5005" s="18">
        <v>3209.4875000000002</v>
      </c>
      <c r="I5005" s="18">
        <v>22.522719297999998</v>
      </c>
      <c r="J5005" s="18">
        <v>24.19</v>
      </c>
      <c r="K5005" s="18">
        <v>22</v>
      </c>
      <c r="L5005" s="22">
        <v>9</v>
      </c>
    </row>
    <row r="5006" spans="1:12">
      <c r="A5006">
        <v>6</v>
      </c>
      <c r="B5006" s="16" t="s">
        <v>61</v>
      </c>
      <c r="C5006" s="9">
        <v>45748</v>
      </c>
      <c r="D5006">
        <v>8</v>
      </c>
      <c r="E5006" s="16" t="s">
        <v>93</v>
      </c>
      <c r="F5006" s="16" t="s">
        <v>83</v>
      </c>
      <c r="G5006" s="22">
        <v>156.25</v>
      </c>
      <c r="H5006" s="18">
        <v>3475.05</v>
      </c>
      <c r="I5006" s="18">
        <v>22.240320000000001</v>
      </c>
      <c r="J5006" s="18">
        <v>22.48</v>
      </c>
      <c r="K5006" s="18">
        <v>22.05</v>
      </c>
      <c r="L5006" s="22">
        <v>8</v>
      </c>
    </row>
    <row r="5007" spans="1:12">
      <c r="A5007">
        <v>6</v>
      </c>
      <c r="B5007" s="16" t="s">
        <v>61</v>
      </c>
      <c r="C5007" s="9">
        <v>45778</v>
      </c>
      <c r="D5007">
        <v>8</v>
      </c>
      <c r="E5007" s="16" t="s">
        <v>93</v>
      </c>
      <c r="F5007" s="16" t="s">
        <v>83</v>
      </c>
      <c r="G5007" s="22">
        <v>175</v>
      </c>
      <c r="H5007" s="18">
        <v>3891.0875000000001</v>
      </c>
      <c r="I5007" s="18">
        <v>22.234785714000001</v>
      </c>
      <c r="J5007" s="18">
        <v>22.62</v>
      </c>
      <c r="K5007" s="18">
        <v>21.46</v>
      </c>
      <c r="L5007" s="22">
        <v>9</v>
      </c>
    </row>
    <row r="5008" spans="1:12">
      <c r="A5008">
        <v>6</v>
      </c>
      <c r="B5008" s="16" t="s">
        <v>61</v>
      </c>
      <c r="C5008" s="9">
        <v>45809</v>
      </c>
      <c r="D5008">
        <v>8</v>
      </c>
      <c r="E5008" s="16" t="s">
        <v>93</v>
      </c>
      <c r="F5008" s="16" t="s">
        <v>83</v>
      </c>
      <c r="G5008" s="22">
        <v>147.5</v>
      </c>
      <c r="H5008" s="18">
        <v>3282.8125</v>
      </c>
      <c r="I5008" s="18">
        <v>22.256355932000002</v>
      </c>
      <c r="J5008" s="18">
        <v>22.92</v>
      </c>
      <c r="K5008" s="18">
        <v>21.88</v>
      </c>
      <c r="L5008" s="22">
        <v>9</v>
      </c>
    </row>
    <row r="5009" spans="1:12">
      <c r="A5009">
        <v>6</v>
      </c>
      <c r="B5009" s="16" t="s">
        <v>61</v>
      </c>
      <c r="C5009" s="9">
        <v>45839</v>
      </c>
      <c r="D5009">
        <v>8</v>
      </c>
      <c r="E5009" s="16" t="s">
        <v>93</v>
      </c>
      <c r="F5009" s="16" t="s">
        <v>83</v>
      </c>
      <c r="G5009" s="22">
        <v>137.5</v>
      </c>
      <c r="H5009" s="18">
        <v>3095.6125000000002</v>
      </c>
      <c r="I5009" s="18">
        <v>22.513545454999999</v>
      </c>
      <c r="J5009" s="18">
        <v>22.96</v>
      </c>
      <c r="K5009" s="18">
        <v>22.14</v>
      </c>
      <c r="L5009" s="22">
        <v>9</v>
      </c>
    </row>
    <row r="5010" spans="1:12">
      <c r="A5010">
        <v>6</v>
      </c>
      <c r="B5010" s="16" t="s">
        <v>61</v>
      </c>
      <c r="C5010" s="9">
        <v>45870</v>
      </c>
      <c r="D5010">
        <v>8</v>
      </c>
      <c r="E5010" s="16" t="s">
        <v>93</v>
      </c>
      <c r="F5010" s="16" t="s">
        <v>83</v>
      </c>
      <c r="G5010" s="22">
        <v>116.25</v>
      </c>
      <c r="H5010" s="18">
        <v>2607.75</v>
      </c>
      <c r="I5010" s="18">
        <v>22.432258064999999</v>
      </c>
      <c r="J5010" s="18">
        <v>22.82</v>
      </c>
      <c r="K5010" s="18">
        <v>21.9</v>
      </c>
      <c r="L5010" s="22">
        <v>8</v>
      </c>
    </row>
    <row r="5011" spans="1:12">
      <c r="A5011">
        <v>6</v>
      </c>
      <c r="B5011" s="16" t="s">
        <v>61</v>
      </c>
      <c r="C5011" s="9">
        <v>45901</v>
      </c>
      <c r="D5011">
        <v>8</v>
      </c>
      <c r="E5011" s="16" t="s">
        <v>93</v>
      </c>
      <c r="F5011" s="16" t="s">
        <v>83</v>
      </c>
      <c r="G5011" s="22">
        <v>141.25</v>
      </c>
      <c r="H5011" s="18">
        <v>3195.1374999999998</v>
      </c>
      <c r="I5011" s="18">
        <v>22.620442478000001</v>
      </c>
      <c r="J5011" s="18">
        <v>22.8</v>
      </c>
      <c r="K5011" s="18">
        <v>22.4</v>
      </c>
      <c r="L5011" s="22">
        <v>9</v>
      </c>
    </row>
    <row r="5012" spans="1:12">
      <c r="A5012">
        <v>6</v>
      </c>
      <c r="B5012" s="16" t="s">
        <v>61</v>
      </c>
      <c r="C5012" s="9">
        <v>45931</v>
      </c>
      <c r="D5012">
        <v>8</v>
      </c>
      <c r="E5012" s="16" t="s">
        <v>93</v>
      </c>
      <c r="F5012" s="16" t="s">
        <v>83</v>
      </c>
      <c r="G5012" s="22">
        <v>180</v>
      </c>
      <c r="H5012" s="18">
        <v>4047.05</v>
      </c>
      <c r="I5012" s="18">
        <v>22.483611110999998</v>
      </c>
      <c r="J5012" s="18">
        <v>22.81</v>
      </c>
      <c r="K5012" s="18">
        <v>21.87</v>
      </c>
      <c r="L5012" s="22">
        <v>9</v>
      </c>
    </row>
    <row r="5013" spans="1:12">
      <c r="A5013">
        <v>6</v>
      </c>
      <c r="B5013" s="16" t="s">
        <v>61</v>
      </c>
      <c r="C5013" s="9">
        <v>45962</v>
      </c>
      <c r="D5013">
        <v>8</v>
      </c>
      <c r="E5013" s="16" t="s">
        <v>93</v>
      </c>
      <c r="F5013" s="16" t="s">
        <v>83</v>
      </c>
      <c r="G5013" s="22">
        <v>133.75</v>
      </c>
      <c r="H5013" s="18">
        <v>3019.8249999999998</v>
      </c>
      <c r="I5013" s="18">
        <v>22.578130841</v>
      </c>
      <c r="J5013" s="18">
        <v>22.85</v>
      </c>
      <c r="K5013" s="18">
        <v>22.16</v>
      </c>
      <c r="L5013" s="22">
        <v>8</v>
      </c>
    </row>
    <row r="5014" spans="1:12">
      <c r="A5014">
        <v>6</v>
      </c>
      <c r="B5014" s="16" t="s">
        <v>61</v>
      </c>
      <c r="C5014" s="9">
        <v>45992</v>
      </c>
      <c r="D5014">
        <v>8</v>
      </c>
      <c r="E5014" s="16" t="s">
        <v>93</v>
      </c>
      <c r="F5014" s="16" t="s">
        <v>83</v>
      </c>
      <c r="G5014" s="22">
        <v>117.5</v>
      </c>
      <c r="H5014" s="18">
        <v>2652.8625000000002</v>
      </c>
      <c r="I5014" s="18">
        <v>22.577553191</v>
      </c>
      <c r="J5014" s="18">
        <v>22.98</v>
      </c>
      <c r="K5014" s="18">
        <v>22.27</v>
      </c>
      <c r="L5014" s="22">
        <v>9</v>
      </c>
    </row>
    <row r="5015" spans="1:12">
      <c r="A5015">
        <v>6</v>
      </c>
      <c r="B5015" s="16" t="s">
        <v>61</v>
      </c>
      <c r="C5015" s="9">
        <v>46023</v>
      </c>
      <c r="D5015">
        <v>8</v>
      </c>
      <c r="E5015" s="16" t="s">
        <v>93</v>
      </c>
      <c r="F5015" s="16" t="s">
        <v>83</v>
      </c>
      <c r="G5015" s="22">
        <v>150</v>
      </c>
      <c r="H5015" s="18">
        <v>3448.3125</v>
      </c>
      <c r="I5015" s="18">
        <v>22.98875</v>
      </c>
      <c r="J5015" s="18">
        <v>23.44</v>
      </c>
      <c r="K5015" s="18">
        <v>22.08</v>
      </c>
      <c r="L5015" s="22">
        <v>9</v>
      </c>
    </row>
    <row r="5016" spans="1:12">
      <c r="A5016">
        <v>6</v>
      </c>
      <c r="B5016" s="16" t="s">
        <v>61</v>
      </c>
      <c r="C5016" s="9">
        <v>46054</v>
      </c>
      <c r="D5016">
        <v>8</v>
      </c>
      <c r="E5016" s="16" t="s">
        <v>93</v>
      </c>
      <c r="F5016" s="16" t="s">
        <v>83</v>
      </c>
      <c r="G5016" s="22">
        <v>137.5</v>
      </c>
      <c r="H5016" s="18">
        <v>3169.1125000000002</v>
      </c>
      <c r="I5016" s="18">
        <v>23.048090908999999</v>
      </c>
      <c r="J5016" s="18">
        <v>23.41</v>
      </c>
      <c r="K5016" s="18">
        <v>22.7</v>
      </c>
      <c r="L5016" s="22">
        <v>8</v>
      </c>
    </row>
    <row r="5017" spans="1:12">
      <c r="A5017">
        <v>6</v>
      </c>
      <c r="B5017" s="16" t="s">
        <v>61</v>
      </c>
      <c r="C5017" s="9">
        <v>46082</v>
      </c>
      <c r="D5017">
        <v>8</v>
      </c>
      <c r="E5017" s="16" t="s">
        <v>93</v>
      </c>
      <c r="F5017" s="16" t="s">
        <v>83</v>
      </c>
      <c r="G5017" s="22">
        <v>205</v>
      </c>
      <c r="H5017" s="18">
        <v>4776.9624999999996</v>
      </c>
      <c r="I5017" s="18">
        <v>23.302256098000001</v>
      </c>
      <c r="J5017" s="18">
        <v>24.53</v>
      </c>
      <c r="K5017" s="18">
        <v>22.61</v>
      </c>
      <c r="L5017" s="22">
        <v>9</v>
      </c>
    </row>
    <row r="5018" spans="1:12">
      <c r="A5018">
        <v>6</v>
      </c>
      <c r="B5018" s="16" t="s">
        <v>61</v>
      </c>
      <c r="C5018" s="9">
        <v>46113</v>
      </c>
      <c r="D5018">
        <v>8</v>
      </c>
      <c r="E5018" s="16" t="s">
        <v>93</v>
      </c>
      <c r="F5018" s="16" t="s">
        <v>83</v>
      </c>
      <c r="G5018" s="22">
        <v>205</v>
      </c>
      <c r="H5018" s="18">
        <v>4763.45</v>
      </c>
      <c r="I5018" s="18">
        <v>23.236341462999999</v>
      </c>
      <c r="J5018" s="18">
        <v>23.61</v>
      </c>
      <c r="K5018" s="18">
        <v>22.84</v>
      </c>
      <c r="L5018" s="22">
        <v>9</v>
      </c>
    </row>
    <row r="5019" spans="1:12">
      <c r="A5019">
        <v>6</v>
      </c>
      <c r="B5019" s="16" t="s">
        <v>61</v>
      </c>
      <c r="C5019" s="9">
        <v>46143</v>
      </c>
      <c r="D5019">
        <v>8</v>
      </c>
      <c r="E5019" s="16" t="s">
        <v>93</v>
      </c>
      <c r="F5019" s="16" t="s">
        <v>83</v>
      </c>
      <c r="G5019" s="22">
        <v>181.25</v>
      </c>
      <c r="H5019" s="18">
        <v>4260.0124999999998</v>
      </c>
      <c r="I5019" s="18">
        <v>23.503517241000001</v>
      </c>
      <c r="J5019" s="18">
        <v>23.97</v>
      </c>
      <c r="K5019" s="18">
        <v>22.5</v>
      </c>
      <c r="L5019" s="22">
        <v>8</v>
      </c>
    </row>
    <row r="5020" spans="1:12">
      <c r="A5020">
        <v>6</v>
      </c>
      <c r="B5020" s="16" t="s">
        <v>61</v>
      </c>
      <c r="C5020" s="9">
        <v>46174</v>
      </c>
      <c r="D5020">
        <v>8</v>
      </c>
      <c r="E5020" s="16" t="s">
        <v>93</v>
      </c>
      <c r="F5020" s="16" t="s">
        <v>83</v>
      </c>
      <c r="G5020" s="22">
        <v>185</v>
      </c>
      <c r="H5020" s="18">
        <v>4349.7250000000004</v>
      </c>
      <c r="I5020" s="18">
        <v>23.512027026999998</v>
      </c>
      <c r="J5020" s="18">
        <v>23.91</v>
      </c>
      <c r="K5020" s="18">
        <v>23.13</v>
      </c>
      <c r="L5020" s="22">
        <v>9</v>
      </c>
    </row>
    <row r="5021" spans="1:12">
      <c r="A5021">
        <v>6</v>
      </c>
      <c r="B5021" s="16" t="s">
        <v>61</v>
      </c>
      <c r="C5021" s="9">
        <v>46204</v>
      </c>
      <c r="D5021">
        <v>8</v>
      </c>
      <c r="E5021" s="16" t="s">
        <v>93</v>
      </c>
      <c r="F5021" s="16" t="s">
        <v>83</v>
      </c>
      <c r="G5021" s="22">
        <v>191.25</v>
      </c>
      <c r="H5021" s="18">
        <v>4507.6625000000004</v>
      </c>
      <c r="I5021" s="18">
        <v>23.569477123999999</v>
      </c>
      <c r="J5021" s="18">
        <v>24.12</v>
      </c>
      <c r="K5021" s="18">
        <v>23.25</v>
      </c>
      <c r="L5021" s="22">
        <v>9</v>
      </c>
    </row>
    <row r="5022" spans="1:12">
      <c r="A5022">
        <v>6</v>
      </c>
      <c r="B5022" s="16" t="s">
        <v>61</v>
      </c>
      <c r="C5022" s="9">
        <v>46235</v>
      </c>
      <c r="D5022">
        <v>8</v>
      </c>
      <c r="E5022" s="16" t="s">
        <v>93</v>
      </c>
      <c r="F5022" s="16" t="s">
        <v>83</v>
      </c>
      <c r="G5022" s="22">
        <v>162.5</v>
      </c>
      <c r="H5022" s="18">
        <v>3807.0124999999998</v>
      </c>
      <c r="I5022" s="18">
        <v>23.427769230999999</v>
      </c>
      <c r="J5022" s="18">
        <v>23.68</v>
      </c>
      <c r="K5022" s="18">
        <v>23.08</v>
      </c>
      <c r="L5022" s="22">
        <v>9</v>
      </c>
    </row>
    <row r="5023" spans="1:12">
      <c r="A5023">
        <v>6</v>
      </c>
      <c r="B5023" s="16" t="s">
        <v>61</v>
      </c>
      <c r="C5023" s="9">
        <v>46266</v>
      </c>
      <c r="D5023">
        <v>8</v>
      </c>
      <c r="E5023" s="16" t="s">
        <v>93</v>
      </c>
      <c r="F5023" s="16" t="s">
        <v>83</v>
      </c>
      <c r="G5023" s="22">
        <v>186.25</v>
      </c>
      <c r="H5023" s="18">
        <v>4409.9125000000004</v>
      </c>
      <c r="I5023" s="18">
        <v>23.677382550000001</v>
      </c>
      <c r="J5023" s="18">
        <v>23.9</v>
      </c>
      <c r="K5023" s="18">
        <v>23.49</v>
      </c>
      <c r="L5023" s="22">
        <v>8</v>
      </c>
    </row>
    <row r="5024" spans="1:12">
      <c r="A5024">
        <v>6</v>
      </c>
      <c r="B5024" s="16" t="s">
        <v>61</v>
      </c>
      <c r="C5024" s="9">
        <v>45689</v>
      </c>
      <c r="D5024">
        <v>9</v>
      </c>
      <c r="E5024" s="16" t="s">
        <v>94</v>
      </c>
      <c r="F5024" s="16" t="s">
        <v>85</v>
      </c>
      <c r="G5024" s="22">
        <v>25</v>
      </c>
      <c r="H5024" s="18">
        <v>87.75</v>
      </c>
      <c r="I5024" s="18">
        <v>3.51</v>
      </c>
      <c r="J5024" s="18">
        <v>3.51</v>
      </c>
      <c r="K5024" s="18">
        <v>3.51</v>
      </c>
      <c r="L5024" s="22">
        <v>1</v>
      </c>
    </row>
    <row r="5025" spans="1:12">
      <c r="A5025">
        <v>6</v>
      </c>
      <c r="B5025" s="16" t="s">
        <v>61</v>
      </c>
      <c r="C5025" s="9">
        <v>45717</v>
      </c>
      <c r="D5025">
        <v>9</v>
      </c>
      <c r="E5025" s="16" t="s">
        <v>94</v>
      </c>
      <c r="F5025" s="16" t="s">
        <v>85</v>
      </c>
      <c r="G5025" s="22">
        <v>50</v>
      </c>
      <c r="H5025" s="18">
        <v>174.75</v>
      </c>
      <c r="I5025" s="18">
        <v>3.4950000000000001</v>
      </c>
      <c r="J5025" s="18">
        <v>3.53</v>
      </c>
      <c r="K5025" s="18">
        <v>3.46</v>
      </c>
      <c r="L5025" s="22">
        <v>2</v>
      </c>
    </row>
    <row r="5026" spans="1:12">
      <c r="A5026">
        <v>6</v>
      </c>
      <c r="B5026" s="16" t="s">
        <v>61</v>
      </c>
      <c r="C5026" s="9">
        <v>45748</v>
      </c>
      <c r="D5026">
        <v>9</v>
      </c>
      <c r="E5026" s="16" t="s">
        <v>94</v>
      </c>
      <c r="F5026" s="16" t="s">
        <v>85</v>
      </c>
      <c r="G5026" s="22">
        <v>25</v>
      </c>
      <c r="H5026" s="18">
        <v>87.5</v>
      </c>
      <c r="I5026" s="18">
        <v>3.5</v>
      </c>
      <c r="J5026" s="18">
        <v>3.5</v>
      </c>
      <c r="K5026" s="18">
        <v>3.5</v>
      </c>
      <c r="L5026" s="22">
        <v>1</v>
      </c>
    </row>
    <row r="5027" spans="1:12">
      <c r="A5027">
        <v>6</v>
      </c>
      <c r="B5027" s="16" t="s">
        <v>61</v>
      </c>
      <c r="C5027" s="9">
        <v>45778</v>
      </c>
      <c r="D5027">
        <v>9</v>
      </c>
      <c r="E5027" s="16" t="s">
        <v>94</v>
      </c>
      <c r="F5027" s="16" t="s">
        <v>85</v>
      </c>
      <c r="G5027" s="22">
        <v>25</v>
      </c>
      <c r="H5027" s="18">
        <v>89.25</v>
      </c>
      <c r="I5027" s="18">
        <v>3.57</v>
      </c>
      <c r="J5027" s="18">
        <v>3.57</v>
      </c>
      <c r="K5027" s="18">
        <v>3.57</v>
      </c>
      <c r="L5027" s="22">
        <v>1</v>
      </c>
    </row>
    <row r="5028" spans="1:12">
      <c r="A5028">
        <v>6</v>
      </c>
      <c r="B5028" s="16" t="s">
        <v>61</v>
      </c>
      <c r="C5028" s="9">
        <v>45809</v>
      </c>
      <c r="D5028">
        <v>9</v>
      </c>
      <c r="E5028" s="16" t="s">
        <v>94</v>
      </c>
      <c r="F5028" s="16" t="s">
        <v>85</v>
      </c>
      <c r="G5028" s="22">
        <v>25</v>
      </c>
      <c r="H5028" s="18">
        <v>86.25</v>
      </c>
      <c r="I5028" s="18">
        <v>3.45</v>
      </c>
      <c r="J5028" s="18">
        <v>3.45</v>
      </c>
      <c r="K5028" s="18">
        <v>3.45</v>
      </c>
      <c r="L5028" s="22">
        <v>1</v>
      </c>
    </row>
    <row r="5029" spans="1:12">
      <c r="A5029">
        <v>6</v>
      </c>
      <c r="B5029" s="16" t="s">
        <v>61</v>
      </c>
      <c r="C5029" s="9">
        <v>45839</v>
      </c>
      <c r="D5029">
        <v>9</v>
      </c>
      <c r="E5029" s="16" t="s">
        <v>94</v>
      </c>
      <c r="F5029" s="16" t="s">
        <v>85</v>
      </c>
      <c r="G5029" s="22">
        <v>25</v>
      </c>
      <c r="H5029" s="18">
        <v>85.25</v>
      </c>
      <c r="I5029" s="18">
        <v>3.41</v>
      </c>
      <c r="J5029" s="18">
        <v>3.41</v>
      </c>
      <c r="K5029" s="18">
        <v>3.41</v>
      </c>
      <c r="L5029" s="22">
        <v>1</v>
      </c>
    </row>
    <row r="5030" spans="1:12">
      <c r="A5030">
        <v>6</v>
      </c>
      <c r="B5030" s="16" t="s">
        <v>61</v>
      </c>
      <c r="C5030" s="9">
        <v>45870</v>
      </c>
      <c r="D5030">
        <v>9</v>
      </c>
      <c r="E5030" s="16" t="s">
        <v>94</v>
      </c>
      <c r="F5030" s="16" t="s">
        <v>85</v>
      </c>
      <c r="G5030" s="22">
        <v>25</v>
      </c>
      <c r="H5030" s="18">
        <v>87.25</v>
      </c>
      <c r="I5030" s="18">
        <v>3.49</v>
      </c>
      <c r="J5030" s="18">
        <v>3.49</v>
      </c>
      <c r="K5030" s="18">
        <v>3.49</v>
      </c>
      <c r="L5030" s="22">
        <v>1</v>
      </c>
    </row>
    <row r="5031" spans="1:12">
      <c r="A5031">
        <v>6</v>
      </c>
      <c r="B5031" s="16" t="s">
        <v>61</v>
      </c>
      <c r="C5031" s="9">
        <v>45901</v>
      </c>
      <c r="D5031">
        <v>9</v>
      </c>
      <c r="E5031" s="16" t="s">
        <v>94</v>
      </c>
      <c r="F5031" s="16" t="s">
        <v>85</v>
      </c>
      <c r="G5031" s="22">
        <v>25</v>
      </c>
      <c r="H5031" s="18">
        <v>86</v>
      </c>
      <c r="I5031" s="18">
        <v>3.44</v>
      </c>
      <c r="J5031" s="18">
        <v>3.44</v>
      </c>
      <c r="K5031" s="18">
        <v>3.44</v>
      </c>
      <c r="L5031" s="22">
        <v>1</v>
      </c>
    </row>
    <row r="5032" spans="1:12">
      <c r="A5032">
        <v>6</v>
      </c>
      <c r="B5032" s="16" t="s">
        <v>61</v>
      </c>
      <c r="C5032" s="9">
        <v>45931</v>
      </c>
      <c r="D5032">
        <v>9</v>
      </c>
      <c r="E5032" s="16" t="s">
        <v>94</v>
      </c>
      <c r="F5032" s="16" t="s">
        <v>85</v>
      </c>
      <c r="G5032" s="22">
        <v>50</v>
      </c>
      <c r="H5032" s="18">
        <v>173</v>
      </c>
      <c r="I5032" s="18">
        <v>3.46</v>
      </c>
      <c r="J5032" s="18">
        <v>3.48</v>
      </c>
      <c r="K5032" s="18">
        <v>3.44</v>
      </c>
      <c r="L5032" s="22">
        <v>2</v>
      </c>
    </row>
    <row r="5033" spans="1:12">
      <c r="A5033">
        <v>6</v>
      </c>
      <c r="B5033" s="16" t="s">
        <v>61</v>
      </c>
      <c r="C5033" s="9">
        <v>45962</v>
      </c>
      <c r="D5033">
        <v>9</v>
      </c>
      <c r="E5033" s="16" t="s">
        <v>94</v>
      </c>
      <c r="F5033" s="16" t="s">
        <v>85</v>
      </c>
      <c r="G5033" s="22">
        <v>25</v>
      </c>
      <c r="H5033" s="18">
        <v>85.75</v>
      </c>
      <c r="I5033" s="18">
        <v>3.43</v>
      </c>
      <c r="J5033" s="18">
        <v>3.43</v>
      </c>
      <c r="K5033" s="18">
        <v>3.43</v>
      </c>
      <c r="L5033" s="22">
        <v>1</v>
      </c>
    </row>
    <row r="5034" spans="1:12">
      <c r="A5034">
        <v>6</v>
      </c>
      <c r="B5034" s="16" t="s">
        <v>61</v>
      </c>
      <c r="C5034" s="9">
        <v>45992</v>
      </c>
      <c r="D5034">
        <v>9</v>
      </c>
      <c r="E5034" s="16" t="s">
        <v>94</v>
      </c>
      <c r="F5034" s="16" t="s">
        <v>85</v>
      </c>
      <c r="G5034" s="22">
        <v>25</v>
      </c>
      <c r="H5034" s="18">
        <v>85.5</v>
      </c>
      <c r="I5034" s="18">
        <v>3.42</v>
      </c>
      <c r="J5034" s="18">
        <v>3.42</v>
      </c>
      <c r="K5034" s="18">
        <v>3.42</v>
      </c>
      <c r="L5034" s="22">
        <v>1</v>
      </c>
    </row>
    <row r="5035" spans="1:12">
      <c r="A5035">
        <v>6</v>
      </c>
      <c r="B5035" s="16" t="s">
        <v>61</v>
      </c>
      <c r="C5035" s="9">
        <v>46023</v>
      </c>
      <c r="D5035">
        <v>9</v>
      </c>
      <c r="E5035" s="16" t="s">
        <v>94</v>
      </c>
      <c r="F5035" s="16" t="s">
        <v>85</v>
      </c>
      <c r="G5035" s="22">
        <v>50</v>
      </c>
      <c r="H5035" s="18">
        <v>173.5</v>
      </c>
      <c r="I5035" s="18">
        <v>3.47</v>
      </c>
      <c r="J5035" s="18">
        <v>3.51</v>
      </c>
      <c r="K5035" s="18">
        <v>3.43</v>
      </c>
      <c r="L5035" s="22">
        <v>2</v>
      </c>
    </row>
    <row r="5036" spans="1:12">
      <c r="A5036">
        <v>6</v>
      </c>
      <c r="B5036" s="16" t="s">
        <v>61</v>
      </c>
      <c r="C5036" s="9">
        <v>46054</v>
      </c>
      <c r="D5036">
        <v>9</v>
      </c>
      <c r="E5036" s="16" t="s">
        <v>94</v>
      </c>
      <c r="F5036" s="16" t="s">
        <v>85</v>
      </c>
      <c r="G5036" s="22">
        <v>25</v>
      </c>
      <c r="H5036" s="18">
        <v>85.25</v>
      </c>
      <c r="I5036" s="18">
        <v>3.41</v>
      </c>
      <c r="J5036" s="18">
        <v>3.41</v>
      </c>
      <c r="K5036" s="18">
        <v>3.41</v>
      </c>
      <c r="L5036" s="22">
        <v>1</v>
      </c>
    </row>
    <row r="5037" spans="1:12">
      <c r="A5037">
        <v>6</v>
      </c>
      <c r="B5037" s="16" t="s">
        <v>61</v>
      </c>
      <c r="C5037" s="9">
        <v>46082</v>
      </c>
      <c r="D5037">
        <v>9</v>
      </c>
      <c r="E5037" s="16" t="s">
        <v>94</v>
      </c>
      <c r="F5037" s="16" t="s">
        <v>85</v>
      </c>
      <c r="G5037" s="22">
        <v>50</v>
      </c>
      <c r="H5037" s="18">
        <v>173</v>
      </c>
      <c r="I5037" s="18">
        <v>3.46</v>
      </c>
      <c r="J5037" s="18">
        <v>3.49</v>
      </c>
      <c r="K5037" s="18">
        <v>3.43</v>
      </c>
      <c r="L5037" s="22">
        <v>2</v>
      </c>
    </row>
    <row r="5038" spans="1:12">
      <c r="A5038">
        <v>6</v>
      </c>
      <c r="B5038" s="16" t="s">
        <v>61</v>
      </c>
      <c r="C5038" s="9">
        <v>46113</v>
      </c>
      <c r="D5038">
        <v>9</v>
      </c>
      <c r="E5038" s="16" t="s">
        <v>94</v>
      </c>
      <c r="F5038" s="16" t="s">
        <v>85</v>
      </c>
      <c r="G5038" s="22">
        <v>25</v>
      </c>
      <c r="H5038" s="18">
        <v>84.75</v>
      </c>
      <c r="I5038" s="18">
        <v>3.39</v>
      </c>
      <c r="J5038" s="18">
        <v>3.39</v>
      </c>
      <c r="K5038" s="18">
        <v>3.39</v>
      </c>
      <c r="L5038" s="22">
        <v>1</v>
      </c>
    </row>
    <row r="5039" spans="1:12">
      <c r="A5039">
        <v>6</v>
      </c>
      <c r="B5039" s="16" t="s">
        <v>61</v>
      </c>
      <c r="C5039" s="9">
        <v>46143</v>
      </c>
      <c r="D5039">
        <v>9</v>
      </c>
      <c r="E5039" s="16" t="s">
        <v>94</v>
      </c>
      <c r="F5039" s="16" t="s">
        <v>85</v>
      </c>
      <c r="G5039" s="22">
        <v>25</v>
      </c>
      <c r="H5039" s="18">
        <v>86.5</v>
      </c>
      <c r="I5039" s="18">
        <v>3.46</v>
      </c>
      <c r="J5039" s="18">
        <v>3.46</v>
      </c>
      <c r="K5039" s="18">
        <v>3.46</v>
      </c>
      <c r="L5039" s="22">
        <v>1</v>
      </c>
    </row>
    <row r="5040" spans="1:12">
      <c r="A5040">
        <v>6</v>
      </c>
      <c r="B5040" s="16" t="s">
        <v>61</v>
      </c>
      <c r="C5040" s="9">
        <v>46174</v>
      </c>
      <c r="D5040">
        <v>9</v>
      </c>
      <c r="E5040" s="16" t="s">
        <v>94</v>
      </c>
      <c r="F5040" s="16" t="s">
        <v>85</v>
      </c>
      <c r="G5040" s="22">
        <v>25</v>
      </c>
      <c r="H5040" s="18">
        <v>82.25</v>
      </c>
      <c r="I5040" s="18">
        <v>3.29</v>
      </c>
      <c r="J5040" s="18">
        <v>3.29</v>
      </c>
      <c r="K5040" s="18">
        <v>3.29</v>
      </c>
      <c r="L5040" s="22">
        <v>1</v>
      </c>
    </row>
    <row r="5041" spans="1:12">
      <c r="A5041">
        <v>6</v>
      </c>
      <c r="B5041" s="16" t="s">
        <v>61</v>
      </c>
      <c r="C5041" s="9">
        <v>46204</v>
      </c>
      <c r="D5041">
        <v>9</v>
      </c>
      <c r="E5041" s="16" t="s">
        <v>94</v>
      </c>
      <c r="F5041" s="16" t="s">
        <v>85</v>
      </c>
      <c r="G5041" s="22">
        <v>25</v>
      </c>
      <c r="H5041" s="18">
        <v>85.5</v>
      </c>
      <c r="I5041" s="18">
        <v>3.42</v>
      </c>
      <c r="J5041" s="18">
        <v>3.42</v>
      </c>
      <c r="K5041" s="18">
        <v>3.42</v>
      </c>
      <c r="L5041" s="22">
        <v>1</v>
      </c>
    </row>
    <row r="5042" spans="1:12">
      <c r="A5042">
        <v>6</v>
      </c>
      <c r="B5042" s="16" t="s">
        <v>61</v>
      </c>
      <c r="C5042" s="9">
        <v>46235</v>
      </c>
      <c r="D5042">
        <v>9</v>
      </c>
      <c r="E5042" s="16" t="s">
        <v>94</v>
      </c>
      <c r="F5042" s="16" t="s">
        <v>85</v>
      </c>
      <c r="G5042" s="22">
        <v>25</v>
      </c>
      <c r="H5042" s="18">
        <v>85.5</v>
      </c>
      <c r="I5042" s="18">
        <v>3.42</v>
      </c>
      <c r="J5042" s="18">
        <v>3.42</v>
      </c>
      <c r="K5042" s="18">
        <v>3.42</v>
      </c>
      <c r="L5042" s="22">
        <v>1</v>
      </c>
    </row>
    <row r="5043" spans="1:12">
      <c r="A5043">
        <v>6</v>
      </c>
      <c r="B5043" s="16" t="s">
        <v>61</v>
      </c>
      <c r="C5043" s="9">
        <v>46266</v>
      </c>
      <c r="D5043">
        <v>9</v>
      </c>
      <c r="E5043" s="16" t="s">
        <v>94</v>
      </c>
      <c r="F5043" s="16" t="s">
        <v>85</v>
      </c>
      <c r="G5043" s="22">
        <v>25</v>
      </c>
      <c r="H5043" s="18">
        <v>85</v>
      </c>
      <c r="I5043" s="18">
        <v>3.4</v>
      </c>
      <c r="J5043" s="18">
        <v>3.4</v>
      </c>
      <c r="K5043" s="18">
        <v>3.4</v>
      </c>
      <c r="L5043" s="22">
        <v>1</v>
      </c>
    </row>
    <row r="5044" spans="1:12">
      <c r="A5044">
        <v>6</v>
      </c>
      <c r="B5044" s="16" t="s">
        <v>61</v>
      </c>
      <c r="C5044" s="9">
        <v>45689</v>
      </c>
      <c r="D5044">
        <v>10</v>
      </c>
      <c r="E5044" s="16" t="s">
        <v>95</v>
      </c>
      <c r="F5044" s="16" t="s">
        <v>83</v>
      </c>
      <c r="G5044" s="22">
        <v>50</v>
      </c>
      <c r="H5044" s="18">
        <v>817.2</v>
      </c>
      <c r="I5044" s="18">
        <v>16.344000000000001</v>
      </c>
      <c r="J5044" s="18">
        <v>16.64</v>
      </c>
      <c r="K5044" s="18">
        <v>16.12</v>
      </c>
      <c r="L5044" s="22">
        <v>5</v>
      </c>
    </row>
    <row r="5045" spans="1:12">
      <c r="A5045">
        <v>6</v>
      </c>
      <c r="B5045" s="16" t="s">
        <v>61</v>
      </c>
      <c r="C5045" s="9">
        <v>45717</v>
      </c>
      <c r="D5045">
        <v>10</v>
      </c>
      <c r="E5045" s="16" t="s">
        <v>95</v>
      </c>
      <c r="F5045" s="16" t="s">
        <v>83</v>
      </c>
      <c r="G5045" s="22">
        <v>50</v>
      </c>
      <c r="H5045" s="18">
        <v>818.6</v>
      </c>
      <c r="I5045" s="18">
        <v>16.372</v>
      </c>
      <c r="J5045" s="18">
        <v>16.71</v>
      </c>
      <c r="K5045" s="18">
        <v>16.11</v>
      </c>
      <c r="L5045" s="22">
        <v>5</v>
      </c>
    </row>
    <row r="5046" spans="1:12">
      <c r="A5046">
        <v>6</v>
      </c>
      <c r="B5046" s="16" t="s">
        <v>61</v>
      </c>
      <c r="C5046" s="9">
        <v>45748</v>
      </c>
      <c r="D5046">
        <v>10</v>
      </c>
      <c r="E5046" s="16" t="s">
        <v>95</v>
      </c>
      <c r="F5046" s="16" t="s">
        <v>83</v>
      </c>
      <c r="G5046" s="22">
        <v>60</v>
      </c>
      <c r="H5046" s="18">
        <v>989.8</v>
      </c>
      <c r="I5046" s="18">
        <v>16.496666667</v>
      </c>
      <c r="J5046" s="18">
        <v>16.73</v>
      </c>
      <c r="K5046" s="18">
        <v>16.3</v>
      </c>
      <c r="L5046" s="22">
        <v>6</v>
      </c>
    </row>
    <row r="5047" spans="1:12">
      <c r="A5047">
        <v>6</v>
      </c>
      <c r="B5047" s="16" t="s">
        <v>61</v>
      </c>
      <c r="C5047" s="9">
        <v>45778</v>
      </c>
      <c r="D5047">
        <v>10</v>
      </c>
      <c r="E5047" s="16" t="s">
        <v>95</v>
      </c>
      <c r="F5047" s="16" t="s">
        <v>83</v>
      </c>
      <c r="G5047" s="22">
        <v>60</v>
      </c>
      <c r="H5047" s="18">
        <v>979.5</v>
      </c>
      <c r="I5047" s="18">
        <v>16.324999999999999</v>
      </c>
      <c r="J5047" s="18">
        <v>16.579999999999998</v>
      </c>
      <c r="K5047" s="18">
        <v>16.07</v>
      </c>
      <c r="L5047" s="22">
        <v>6</v>
      </c>
    </row>
    <row r="5048" spans="1:12">
      <c r="A5048">
        <v>6</v>
      </c>
      <c r="B5048" s="16" t="s">
        <v>61</v>
      </c>
      <c r="C5048" s="9">
        <v>45809</v>
      </c>
      <c r="D5048">
        <v>10</v>
      </c>
      <c r="E5048" s="16" t="s">
        <v>95</v>
      </c>
      <c r="F5048" s="16" t="s">
        <v>83</v>
      </c>
      <c r="G5048" s="22">
        <v>60</v>
      </c>
      <c r="H5048" s="18">
        <v>998.1</v>
      </c>
      <c r="I5048" s="18">
        <v>16.635000000000002</v>
      </c>
      <c r="J5048" s="18">
        <v>16.739999999999998</v>
      </c>
      <c r="K5048" s="18">
        <v>16.579999999999998</v>
      </c>
      <c r="L5048" s="22">
        <v>5</v>
      </c>
    </row>
    <row r="5049" spans="1:12">
      <c r="A5049">
        <v>6</v>
      </c>
      <c r="B5049" s="16" t="s">
        <v>61</v>
      </c>
      <c r="C5049" s="9">
        <v>45839</v>
      </c>
      <c r="D5049">
        <v>10</v>
      </c>
      <c r="E5049" s="16" t="s">
        <v>95</v>
      </c>
      <c r="F5049" s="16" t="s">
        <v>83</v>
      </c>
      <c r="G5049" s="22">
        <v>40</v>
      </c>
      <c r="H5049" s="18">
        <v>708.6</v>
      </c>
      <c r="I5049" s="18">
        <v>17.715</v>
      </c>
      <c r="J5049" s="18">
        <v>17.89</v>
      </c>
      <c r="K5049" s="18">
        <v>17.54</v>
      </c>
      <c r="L5049" s="22">
        <v>4</v>
      </c>
    </row>
    <row r="5050" spans="1:12">
      <c r="A5050">
        <v>6</v>
      </c>
      <c r="B5050" s="16" t="s">
        <v>61</v>
      </c>
      <c r="C5050" s="9">
        <v>45870</v>
      </c>
      <c r="D5050">
        <v>10</v>
      </c>
      <c r="E5050" s="16" t="s">
        <v>95</v>
      </c>
      <c r="F5050" s="16" t="s">
        <v>83</v>
      </c>
      <c r="G5050" s="22">
        <v>50</v>
      </c>
      <c r="H5050" s="18">
        <v>883.1</v>
      </c>
      <c r="I5050" s="18">
        <v>17.661999999999999</v>
      </c>
      <c r="J5050" s="18">
        <v>17.75</v>
      </c>
      <c r="K5050" s="18">
        <v>17.579999999999998</v>
      </c>
      <c r="L5050" s="22">
        <v>5</v>
      </c>
    </row>
    <row r="5051" spans="1:12">
      <c r="A5051">
        <v>6</v>
      </c>
      <c r="B5051" s="16" t="s">
        <v>61</v>
      </c>
      <c r="C5051" s="9">
        <v>45901</v>
      </c>
      <c r="D5051">
        <v>10</v>
      </c>
      <c r="E5051" s="16" t="s">
        <v>95</v>
      </c>
      <c r="F5051" s="16" t="s">
        <v>83</v>
      </c>
      <c r="G5051" s="22">
        <v>50</v>
      </c>
      <c r="H5051" s="18">
        <v>895.8</v>
      </c>
      <c r="I5051" s="18">
        <v>17.916</v>
      </c>
      <c r="J5051" s="18">
        <v>18.05</v>
      </c>
      <c r="K5051" s="18">
        <v>17.78</v>
      </c>
      <c r="L5051" s="22">
        <v>5</v>
      </c>
    </row>
    <row r="5052" spans="1:12">
      <c r="A5052">
        <v>6</v>
      </c>
      <c r="B5052" s="16" t="s">
        <v>61</v>
      </c>
      <c r="C5052" s="9">
        <v>45931</v>
      </c>
      <c r="D5052">
        <v>10</v>
      </c>
      <c r="E5052" s="16" t="s">
        <v>95</v>
      </c>
      <c r="F5052" s="16" t="s">
        <v>83</v>
      </c>
      <c r="G5052" s="22">
        <v>70</v>
      </c>
      <c r="H5052" s="18">
        <v>1259.0999999999999</v>
      </c>
      <c r="I5052" s="18">
        <v>17.987142856999998</v>
      </c>
      <c r="J5052" s="18">
        <v>19.03</v>
      </c>
      <c r="K5052" s="18">
        <v>17.46</v>
      </c>
      <c r="L5052" s="22">
        <v>7</v>
      </c>
    </row>
    <row r="5053" spans="1:12">
      <c r="A5053">
        <v>6</v>
      </c>
      <c r="B5053" s="16" t="s">
        <v>61</v>
      </c>
      <c r="C5053" s="9">
        <v>45962</v>
      </c>
      <c r="D5053">
        <v>10</v>
      </c>
      <c r="E5053" s="16" t="s">
        <v>95</v>
      </c>
      <c r="F5053" s="16" t="s">
        <v>83</v>
      </c>
      <c r="G5053" s="22">
        <v>40</v>
      </c>
      <c r="H5053" s="18">
        <v>706.4</v>
      </c>
      <c r="I5053" s="18">
        <v>17.66</v>
      </c>
      <c r="J5053" s="18">
        <v>17.829999999999998</v>
      </c>
      <c r="K5053" s="18">
        <v>17.59</v>
      </c>
      <c r="L5053" s="22">
        <v>4</v>
      </c>
    </row>
    <row r="5054" spans="1:12">
      <c r="A5054">
        <v>6</v>
      </c>
      <c r="B5054" s="16" t="s">
        <v>61</v>
      </c>
      <c r="C5054" s="9">
        <v>45992</v>
      </c>
      <c r="D5054">
        <v>10</v>
      </c>
      <c r="E5054" s="16" t="s">
        <v>95</v>
      </c>
      <c r="F5054" s="16" t="s">
        <v>83</v>
      </c>
      <c r="G5054" s="22">
        <v>50</v>
      </c>
      <c r="H5054" s="18">
        <v>886</v>
      </c>
      <c r="I5054" s="18">
        <v>17.72</v>
      </c>
      <c r="J5054" s="18">
        <v>17.850000000000001</v>
      </c>
      <c r="K5054" s="18">
        <v>17.559999999999999</v>
      </c>
      <c r="L5054" s="22">
        <v>5</v>
      </c>
    </row>
    <row r="5055" spans="1:12">
      <c r="A5055">
        <v>6</v>
      </c>
      <c r="B5055" s="16" t="s">
        <v>61</v>
      </c>
      <c r="C5055" s="9">
        <v>46023</v>
      </c>
      <c r="D5055">
        <v>10</v>
      </c>
      <c r="E5055" s="16" t="s">
        <v>95</v>
      </c>
      <c r="F5055" s="16" t="s">
        <v>83</v>
      </c>
      <c r="G5055" s="22">
        <v>60</v>
      </c>
      <c r="H5055" s="18">
        <v>1003.6</v>
      </c>
      <c r="I5055" s="18">
        <v>16.726666667</v>
      </c>
      <c r="J5055" s="18">
        <v>16.95</v>
      </c>
      <c r="K5055" s="18">
        <v>16.649999999999999</v>
      </c>
      <c r="L5055" s="22">
        <v>5</v>
      </c>
    </row>
    <row r="5056" spans="1:12">
      <c r="A5056">
        <v>6</v>
      </c>
      <c r="B5056" s="16" t="s">
        <v>61</v>
      </c>
      <c r="C5056" s="9">
        <v>46054</v>
      </c>
      <c r="D5056">
        <v>10</v>
      </c>
      <c r="E5056" s="16" t="s">
        <v>95</v>
      </c>
      <c r="F5056" s="16" t="s">
        <v>83</v>
      </c>
      <c r="G5056" s="22">
        <v>60</v>
      </c>
      <c r="H5056" s="18">
        <v>1007.1</v>
      </c>
      <c r="I5056" s="18">
        <v>16.785</v>
      </c>
      <c r="J5056" s="18">
        <v>16.98</v>
      </c>
      <c r="K5056" s="18">
        <v>16.64</v>
      </c>
      <c r="L5056" s="22">
        <v>6</v>
      </c>
    </row>
    <row r="5057" spans="1:12">
      <c r="A5057">
        <v>6</v>
      </c>
      <c r="B5057" s="16" t="s">
        <v>61</v>
      </c>
      <c r="C5057" s="9">
        <v>46082</v>
      </c>
      <c r="D5057">
        <v>10</v>
      </c>
      <c r="E5057" s="16" t="s">
        <v>95</v>
      </c>
      <c r="F5057" s="16" t="s">
        <v>83</v>
      </c>
      <c r="G5057" s="22">
        <v>70</v>
      </c>
      <c r="H5057" s="18">
        <v>1186.5</v>
      </c>
      <c r="I5057" s="18">
        <v>16.95</v>
      </c>
      <c r="J5057" s="18">
        <v>17.23</v>
      </c>
      <c r="K5057" s="18">
        <v>16.61</v>
      </c>
      <c r="L5057" s="22">
        <v>7</v>
      </c>
    </row>
    <row r="5058" spans="1:12">
      <c r="A5058">
        <v>6</v>
      </c>
      <c r="B5058" s="16" t="s">
        <v>61</v>
      </c>
      <c r="C5058" s="9">
        <v>46113</v>
      </c>
      <c r="D5058">
        <v>10</v>
      </c>
      <c r="E5058" s="16" t="s">
        <v>95</v>
      </c>
      <c r="F5058" s="16" t="s">
        <v>83</v>
      </c>
      <c r="G5058" s="22">
        <v>60</v>
      </c>
      <c r="H5058" s="18">
        <v>1005.1</v>
      </c>
      <c r="I5058" s="18">
        <v>16.751666666999999</v>
      </c>
      <c r="J5058" s="18">
        <v>17.05</v>
      </c>
      <c r="K5058" s="18">
        <v>16.57</v>
      </c>
      <c r="L5058" s="22">
        <v>6</v>
      </c>
    </row>
    <row r="5059" spans="1:12">
      <c r="A5059">
        <v>6</v>
      </c>
      <c r="B5059" s="16" t="s">
        <v>61</v>
      </c>
      <c r="C5059" s="9">
        <v>46143</v>
      </c>
      <c r="D5059">
        <v>10</v>
      </c>
      <c r="E5059" s="16" t="s">
        <v>95</v>
      </c>
      <c r="F5059" s="16" t="s">
        <v>83</v>
      </c>
      <c r="G5059" s="22">
        <v>50</v>
      </c>
      <c r="H5059" s="18">
        <v>844.9</v>
      </c>
      <c r="I5059" s="18">
        <v>16.898</v>
      </c>
      <c r="J5059" s="18">
        <v>17.02</v>
      </c>
      <c r="K5059" s="18">
        <v>16.739999999999998</v>
      </c>
      <c r="L5059" s="22">
        <v>5</v>
      </c>
    </row>
    <row r="5060" spans="1:12">
      <c r="A5060">
        <v>6</v>
      </c>
      <c r="B5060" s="16" t="s">
        <v>61</v>
      </c>
      <c r="C5060" s="9">
        <v>46174</v>
      </c>
      <c r="D5060">
        <v>10</v>
      </c>
      <c r="E5060" s="16" t="s">
        <v>95</v>
      </c>
      <c r="F5060" s="16" t="s">
        <v>83</v>
      </c>
      <c r="G5060" s="22">
        <v>50</v>
      </c>
      <c r="H5060" s="18">
        <v>845.7</v>
      </c>
      <c r="I5060" s="18">
        <v>16.914000000000001</v>
      </c>
      <c r="J5060" s="18">
        <v>17.05</v>
      </c>
      <c r="K5060" s="18">
        <v>16.809999999999999</v>
      </c>
      <c r="L5060" s="22">
        <v>5</v>
      </c>
    </row>
    <row r="5061" spans="1:12">
      <c r="A5061">
        <v>6</v>
      </c>
      <c r="B5061" s="16" t="s">
        <v>61</v>
      </c>
      <c r="C5061" s="9">
        <v>46204</v>
      </c>
      <c r="D5061">
        <v>10</v>
      </c>
      <c r="E5061" s="16" t="s">
        <v>95</v>
      </c>
      <c r="F5061" s="16" t="s">
        <v>83</v>
      </c>
      <c r="G5061" s="22">
        <v>50</v>
      </c>
      <c r="H5061" s="18">
        <v>897.4</v>
      </c>
      <c r="I5061" s="18">
        <v>17.948</v>
      </c>
      <c r="J5061" s="18">
        <v>18.29</v>
      </c>
      <c r="K5061" s="18">
        <v>17.760000000000002</v>
      </c>
      <c r="L5061" s="22">
        <v>5</v>
      </c>
    </row>
    <row r="5062" spans="1:12">
      <c r="A5062">
        <v>6</v>
      </c>
      <c r="B5062" s="16" t="s">
        <v>61</v>
      </c>
      <c r="C5062" s="9">
        <v>46235</v>
      </c>
      <c r="D5062">
        <v>10</v>
      </c>
      <c r="E5062" s="16" t="s">
        <v>95</v>
      </c>
      <c r="F5062" s="16" t="s">
        <v>83</v>
      </c>
      <c r="G5062" s="22">
        <v>40</v>
      </c>
      <c r="H5062" s="18">
        <v>722.6</v>
      </c>
      <c r="I5062" s="18">
        <v>18.065000000000001</v>
      </c>
      <c r="J5062" s="18">
        <v>18.309999999999999</v>
      </c>
      <c r="K5062" s="18">
        <v>17.809999999999999</v>
      </c>
      <c r="L5062" s="22">
        <v>4</v>
      </c>
    </row>
    <row r="5063" spans="1:12">
      <c r="A5063">
        <v>6</v>
      </c>
      <c r="B5063" s="16" t="s">
        <v>61</v>
      </c>
      <c r="C5063" s="9">
        <v>46266</v>
      </c>
      <c r="D5063">
        <v>10</v>
      </c>
      <c r="E5063" s="16" t="s">
        <v>95</v>
      </c>
      <c r="F5063" s="16" t="s">
        <v>83</v>
      </c>
      <c r="G5063" s="22">
        <v>60</v>
      </c>
      <c r="H5063" s="18">
        <v>1085.4000000000001</v>
      </c>
      <c r="I5063" s="18">
        <v>18.09</v>
      </c>
      <c r="J5063" s="18">
        <v>18.36</v>
      </c>
      <c r="K5063" s="18">
        <v>17.86</v>
      </c>
      <c r="L5063" s="22">
        <v>6</v>
      </c>
    </row>
    <row r="5064" spans="1:12">
      <c r="A5064">
        <v>6</v>
      </c>
      <c r="B5064" s="16" t="s">
        <v>61</v>
      </c>
      <c r="C5064" s="9">
        <v>45689</v>
      </c>
      <c r="D5064">
        <v>11</v>
      </c>
      <c r="E5064" s="16" t="s">
        <v>96</v>
      </c>
      <c r="F5064" s="16" t="s">
        <v>87</v>
      </c>
      <c r="G5064" s="22">
        <v>17</v>
      </c>
      <c r="H5064" s="18">
        <v>466.65</v>
      </c>
      <c r="I5064" s="18">
        <v>27.45</v>
      </c>
      <c r="J5064" s="18">
        <v>28</v>
      </c>
      <c r="K5064" s="18">
        <v>27.11</v>
      </c>
      <c r="L5064" s="22">
        <v>8</v>
      </c>
    </row>
    <row r="5065" spans="1:12">
      <c r="A5065">
        <v>6</v>
      </c>
      <c r="B5065" s="16" t="s">
        <v>61</v>
      </c>
      <c r="C5065" s="9">
        <v>45717</v>
      </c>
      <c r="D5065">
        <v>11</v>
      </c>
      <c r="E5065" s="16" t="s">
        <v>96</v>
      </c>
      <c r="F5065" s="16" t="s">
        <v>87</v>
      </c>
      <c r="G5065" s="22">
        <v>16.5</v>
      </c>
      <c r="H5065" s="18">
        <v>457.0575</v>
      </c>
      <c r="I5065" s="18">
        <v>27.700454544999999</v>
      </c>
      <c r="J5065" s="18">
        <v>28.58</v>
      </c>
      <c r="K5065" s="18">
        <v>27.09</v>
      </c>
      <c r="L5065" s="22">
        <v>9</v>
      </c>
    </row>
    <row r="5066" spans="1:12">
      <c r="A5066">
        <v>6</v>
      </c>
      <c r="B5066" s="16" t="s">
        <v>61</v>
      </c>
      <c r="C5066" s="9">
        <v>45748</v>
      </c>
      <c r="D5066">
        <v>11</v>
      </c>
      <c r="E5066" s="16" t="s">
        <v>96</v>
      </c>
      <c r="F5066" s="16" t="s">
        <v>87</v>
      </c>
      <c r="G5066" s="22">
        <v>24.25</v>
      </c>
      <c r="H5066" s="18">
        <v>656.29250000000002</v>
      </c>
      <c r="I5066" s="18">
        <v>27.063608247000001</v>
      </c>
      <c r="J5066" s="18">
        <v>27.8</v>
      </c>
      <c r="K5066" s="18">
        <v>26.5</v>
      </c>
      <c r="L5066" s="22">
        <v>8</v>
      </c>
    </row>
    <row r="5067" spans="1:12">
      <c r="A5067">
        <v>6</v>
      </c>
      <c r="B5067" s="16" t="s">
        <v>61</v>
      </c>
      <c r="C5067" s="9">
        <v>45778</v>
      </c>
      <c r="D5067">
        <v>11</v>
      </c>
      <c r="E5067" s="16" t="s">
        <v>96</v>
      </c>
      <c r="F5067" s="16" t="s">
        <v>87</v>
      </c>
      <c r="G5067" s="22">
        <v>26.5</v>
      </c>
      <c r="H5067" s="18">
        <v>713.45</v>
      </c>
      <c r="I5067" s="18">
        <v>26.922641509000002</v>
      </c>
      <c r="J5067" s="18">
        <v>27.14</v>
      </c>
      <c r="K5067" s="18">
        <v>26.59</v>
      </c>
      <c r="L5067" s="22">
        <v>9</v>
      </c>
    </row>
    <row r="5068" spans="1:12">
      <c r="A5068">
        <v>6</v>
      </c>
      <c r="B5068" s="16" t="s">
        <v>61</v>
      </c>
      <c r="C5068" s="9">
        <v>45809</v>
      </c>
      <c r="D5068">
        <v>11</v>
      </c>
      <c r="E5068" s="16" t="s">
        <v>96</v>
      </c>
      <c r="F5068" s="16" t="s">
        <v>87</v>
      </c>
      <c r="G5068" s="22">
        <v>23</v>
      </c>
      <c r="H5068" s="18">
        <v>621.04999999999995</v>
      </c>
      <c r="I5068" s="18">
        <v>27.002173913</v>
      </c>
      <c r="J5068" s="18">
        <v>27.41</v>
      </c>
      <c r="K5068" s="18">
        <v>26.79</v>
      </c>
      <c r="L5068" s="22">
        <v>9</v>
      </c>
    </row>
    <row r="5069" spans="1:12">
      <c r="A5069">
        <v>6</v>
      </c>
      <c r="B5069" s="16" t="s">
        <v>61</v>
      </c>
      <c r="C5069" s="9">
        <v>45839</v>
      </c>
      <c r="D5069">
        <v>11</v>
      </c>
      <c r="E5069" s="16" t="s">
        <v>96</v>
      </c>
      <c r="F5069" s="16" t="s">
        <v>87</v>
      </c>
      <c r="G5069" s="22">
        <v>22.25</v>
      </c>
      <c r="H5069" s="18">
        <v>604.53750000000002</v>
      </c>
      <c r="I5069" s="18">
        <v>27.170224719</v>
      </c>
      <c r="J5069" s="18">
        <v>27.59</v>
      </c>
      <c r="K5069" s="18">
        <v>26.66</v>
      </c>
      <c r="L5069" s="22">
        <v>9</v>
      </c>
    </row>
    <row r="5070" spans="1:12">
      <c r="A5070">
        <v>6</v>
      </c>
      <c r="B5070" s="16" t="s">
        <v>61</v>
      </c>
      <c r="C5070" s="9">
        <v>45870</v>
      </c>
      <c r="D5070">
        <v>11</v>
      </c>
      <c r="E5070" s="16" t="s">
        <v>96</v>
      </c>
      <c r="F5070" s="16" t="s">
        <v>87</v>
      </c>
      <c r="G5070" s="22">
        <v>16.25</v>
      </c>
      <c r="H5070" s="18">
        <v>439.23</v>
      </c>
      <c r="I5070" s="18">
        <v>27.029538462000001</v>
      </c>
      <c r="J5070" s="18">
        <v>27.42</v>
      </c>
      <c r="K5070" s="18">
        <v>26.63</v>
      </c>
      <c r="L5070" s="22">
        <v>8</v>
      </c>
    </row>
    <row r="5071" spans="1:12">
      <c r="A5071">
        <v>6</v>
      </c>
      <c r="B5071" s="16" t="s">
        <v>61</v>
      </c>
      <c r="C5071" s="9">
        <v>45901</v>
      </c>
      <c r="D5071">
        <v>11</v>
      </c>
      <c r="E5071" s="16" t="s">
        <v>96</v>
      </c>
      <c r="F5071" s="16" t="s">
        <v>87</v>
      </c>
      <c r="G5071" s="22">
        <v>23.5</v>
      </c>
      <c r="H5071" s="18">
        <v>635.76250000000005</v>
      </c>
      <c r="I5071" s="18">
        <v>27.053723403999999</v>
      </c>
      <c r="J5071" s="18">
        <v>27.65</v>
      </c>
      <c r="K5071" s="18">
        <v>26.65</v>
      </c>
      <c r="L5071" s="22">
        <v>9</v>
      </c>
    </row>
    <row r="5072" spans="1:12">
      <c r="A5072">
        <v>6</v>
      </c>
      <c r="B5072" s="16" t="s">
        <v>61</v>
      </c>
      <c r="C5072" s="9">
        <v>45931</v>
      </c>
      <c r="D5072">
        <v>11</v>
      </c>
      <c r="E5072" s="16" t="s">
        <v>96</v>
      </c>
      <c r="F5072" s="16" t="s">
        <v>87</v>
      </c>
      <c r="G5072" s="22">
        <v>27</v>
      </c>
      <c r="H5072" s="18">
        <v>739.82</v>
      </c>
      <c r="I5072" s="18">
        <v>27.400740741</v>
      </c>
      <c r="J5072" s="18">
        <v>29.39</v>
      </c>
      <c r="K5072" s="18">
        <v>26.44</v>
      </c>
      <c r="L5072" s="22">
        <v>9</v>
      </c>
    </row>
    <row r="5073" spans="1:12">
      <c r="A5073">
        <v>6</v>
      </c>
      <c r="B5073" s="16" t="s">
        <v>61</v>
      </c>
      <c r="C5073" s="9">
        <v>45962</v>
      </c>
      <c r="D5073">
        <v>11</v>
      </c>
      <c r="E5073" s="16" t="s">
        <v>96</v>
      </c>
      <c r="F5073" s="16" t="s">
        <v>87</v>
      </c>
      <c r="G5073" s="22">
        <v>20.75</v>
      </c>
      <c r="H5073" s="18">
        <v>558.36500000000001</v>
      </c>
      <c r="I5073" s="18">
        <v>26.909156627000002</v>
      </c>
      <c r="J5073" s="18">
        <v>27.27</v>
      </c>
      <c r="K5073" s="18">
        <v>26.44</v>
      </c>
      <c r="L5073" s="22">
        <v>8</v>
      </c>
    </row>
    <row r="5074" spans="1:12">
      <c r="A5074">
        <v>6</v>
      </c>
      <c r="B5074" s="16" t="s">
        <v>61</v>
      </c>
      <c r="C5074" s="9">
        <v>45992</v>
      </c>
      <c r="D5074">
        <v>11</v>
      </c>
      <c r="E5074" s="16" t="s">
        <v>96</v>
      </c>
      <c r="F5074" s="16" t="s">
        <v>87</v>
      </c>
      <c r="G5074" s="22">
        <v>19.75</v>
      </c>
      <c r="H5074" s="18">
        <v>533.04499999999996</v>
      </c>
      <c r="I5074" s="18">
        <v>26.989620252999998</v>
      </c>
      <c r="J5074" s="18">
        <v>27.75</v>
      </c>
      <c r="K5074" s="18">
        <v>26.51</v>
      </c>
      <c r="L5074" s="22">
        <v>9</v>
      </c>
    </row>
    <row r="5075" spans="1:12">
      <c r="A5075">
        <v>6</v>
      </c>
      <c r="B5075" s="16" t="s">
        <v>61</v>
      </c>
      <c r="C5075" s="9">
        <v>46023</v>
      </c>
      <c r="D5075">
        <v>11</v>
      </c>
      <c r="E5075" s="16" t="s">
        <v>96</v>
      </c>
      <c r="F5075" s="16" t="s">
        <v>87</v>
      </c>
      <c r="G5075" s="22">
        <v>20.75</v>
      </c>
      <c r="H5075" s="18">
        <v>559.6875</v>
      </c>
      <c r="I5075" s="18">
        <v>26.972891566000001</v>
      </c>
      <c r="J5075" s="18">
        <v>27.19</v>
      </c>
      <c r="K5075" s="18">
        <v>26.51</v>
      </c>
      <c r="L5075" s="22">
        <v>9</v>
      </c>
    </row>
    <row r="5076" spans="1:12">
      <c r="A5076">
        <v>6</v>
      </c>
      <c r="B5076" s="16" t="s">
        <v>61</v>
      </c>
      <c r="C5076" s="9">
        <v>46054</v>
      </c>
      <c r="D5076">
        <v>11</v>
      </c>
      <c r="E5076" s="16" t="s">
        <v>96</v>
      </c>
      <c r="F5076" s="16" t="s">
        <v>87</v>
      </c>
      <c r="G5076" s="22">
        <v>18.25</v>
      </c>
      <c r="H5076" s="18">
        <v>490.53750000000002</v>
      </c>
      <c r="I5076" s="18">
        <v>26.878767122999999</v>
      </c>
      <c r="J5076" s="18">
        <v>27.15</v>
      </c>
      <c r="K5076" s="18">
        <v>26.21</v>
      </c>
      <c r="L5076" s="22">
        <v>8</v>
      </c>
    </row>
    <row r="5077" spans="1:12">
      <c r="A5077">
        <v>6</v>
      </c>
      <c r="B5077" s="16" t="s">
        <v>61</v>
      </c>
      <c r="C5077" s="9">
        <v>46082</v>
      </c>
      <c r="D5077">
        <v>11</v>
      </c>
      <c r="E5077" s="16" t="s">
        <v>96</v>
      </c>
      <c r="F5077" s="16" t="s">
        <v>87</v>
      </c>
      <c r="G5077" s="22">
        <v>22.75</v>
      </c>
      <c r="H5077" s="18">
        <v>614.61500000000001</v>
      </c>
      <c r="I5077" s="18">
        <v>27.016043956000001</v>
      </c>
      <c r="J5077" s="18">
        <v>27.34</v>
      </c>
      <c r="K5077" s="18">
        <v>26.44</v>
      </c>
      <c r="L5077" s="22">
        <v>9</v>
      </c>
    </row>
    <row r="5078" spans="1:12">
      <c r="A5078">
        <v>6</v>
      </c>
      <c r="B5078" s="16" t="s">
        <v>61</v>
      </c>
      <c r="C5078" s="9">
        <v>46113</v>
      </c>
      <c r="D5078">
        <v>11</v>
      </c>
      <c r="E5078" s="16" t="s">
        <v>96</v>
      </c>
      <c r="F5078" s="16" t="s">
        <v>87</v>
      </c>
      <c r="G5078" s="22">
        <v>27</v>
      </c>
      <c r="H5078" s="18">
        <v>732.54</v>
      </c>
      <c r="I5078" s="18">
        <v>27.131111110999999</v>
      </c>
      <c r="J5078" s="18">
        <v>27.5</v>
      </c>
      <c r="K5078" s="18">
        <v>26.17</v>
      </c>
      <c r="L5078" s="22">
        <v>9</v>
      </c>
    </row>
    <row r="5079" spans="1:12">
      <c r="A5079">
        <v>6</v>
      </c>
      <c r="B5079" s="16" t="s">
        <v>61</v>
      </c>
      <c r="C5079" s="9">
        <v>46143</v>
      </c>
      <c r="D5079">
        <v>11</v>
      </c>
      <c r="E5079" s="16" t="s">
        <v>96</v>
      </c>
      <c r="F5079" s="16" t="s">
        <v>87</v>
      </c>
      <c r="G5079" s="22">
        <v>21.75</v>
      </c>
      <c r="H5079" s="18">
        <v>586.56500000000005</v>
      </c>
      <c r="I5079" s="18">
        <v>26.968505746999998</v>
      </c>
      <c r="J5079" s="18">
        <v>27.71</v>
      </c>
      <c r="K5079" s="18">
        <v>26.5</v>
      </c>
      <c r="L5079" s="22">
        <v>8</v>
      </c>
    </row>
    <row r="5080" spans="1:12">
      <c r="A5080">
        <v>6</v>
      </c>
      <c r="B5080" s="16" t="s">
        <v>61</v>
      </c>
      <c r="C5080" s="9">
        <v>46174</v>
      </c>
      <c r="D5080">
        <v>11</v>
      </c>
      <c r="E5080" s="16" t="s">
        <v>96</v>
      </c>
      <c r="F5080" s="16" t="s">
        <v>87</v>
      </c>
      <c r="G5080" s="22">
        <v>23.5</v>
      </c>
      <c r="H5080" s="18">
        <v>640.19000000000005</v>
      </c>
      <c r="I5080" s="18">
        <v>27.242127660000001</v>
      </c>
      <c r="J5080" s="18">
        <v>28.69</v>
      </c>
      <c r="K5080" s="18">
        <v>26.31</v>
      </c>
      <c r="L5080" s="22">
        <v>9</v>
      </c>
    </row>
    <row r="5081" spans="1:12">
      <c r="A5081">
        <v>6</v>
      </c>
      <c r="B5081" s="16" t="s">
        <v>61</v>
      </c>
      <c r="C5081" s="9">
        <v>46204</v>
      </c>
      <c r="D5081">
        <v>11</v>
      </c>
      <c r="E5081" s="16" t="s">
        <v>96</v>
      </c>
      <c r="F5081" s="16" t="s">
        <v>87</v>
      </c>
      <c r="G5081" s="22">
        <v>19.5</v>
      </c>
      <c r="H5081" s="18">
        <v>524.89499999999998</v>
      </c>
      <c r="I5081" s="18">
        <v>26.917692307999999</v>
      </c>
      <c r="J5081" s="18">
        <v>27.72</v>
      </c>
      <c r="K5081" s="18">
        <v>26.27</v>
      </c>
      <c r="L5081" s="22">
        <v>9</v>
      </c>
    </row>
    <row r="5082" spans="1:12">
      <c r="A5082">
        <v>6</v>
      </c>
      <c r="B5082" s="16" t="s">
        <v>61</v>
      </c>
      <c r="C5082" s="9">
        <v>46235</v>
      </c>
      <c r="D5082">
        <v>11</v>
      </c>
      <c r="E5082" s="16" t="s">
        <v>96</v>
      </c>
      <c r="F5082" s="16" t="s">
        <v>87</v>
      </c>
      <c r="G5082" s="22">
        <v>23</v>
      </c>
      <c r="H5082" s="18">
        <v>633.42750000000001</v>
      </c>
      <c r="I5082" s="18">
        <v>27.540326087</v>
      </c>
      <c r="J5082" s="18">
        <v>28.29</v>
      </c>
      <c r="K5082" s="18">
        <v>26.48</v>
      </c>
      <c r="L5082" s="22">
        <v>9</v>
      </c>
    </row>
    <row r="5083" spans="1:12">
      <c r="A5083">
        <v>6</v>
      </c>
      <c r="B5083" s="16" t="s">
        <v>61</v>
      </c>
      <c r="C5083" s="9">
        <v>46266</v>
      </c>
      <c r="D5083">
        <v>11</v>
      </c>
      <c r="E5083" s="16" t="s">
        <v>96</v>
      </c>
      <c r="F5083" s="16" t="s">
        <v>87</v>
      </c>
      <c r="G5083" s="22">
        <v>20</v>
      </c>
      <c r="H5083" s="18">
        <v>547.82500000000005</v>
      </c>
      <c r="I5083" s="18">
        <v>27.391249999999999</v>
      </c>
      <c r="J5083" s="18">
        <v>27.9</v>
      </c>
      <c r="K5083" s="18">
        <v>26.88</v>
      </c>
      <c r="L5083" s="22">
        <v>8</v>
      </c>
    </row>
    <row r="5084" spans="1:12">
      <c r="A5084">
        <v>6</v>
      </c>
      <c r="B5084" s="16" t="s">
        <v>61</v>
      </c>
      <c r="C5084" s="9">
        <v>45689</v>
      </c>
      <c r="D5084">
        <v>13</v>
      </c>
      <c r="E5084" s="16" t="s">
        <v>97</v>
      </c>
      <c r="F5084" s="16" t="s">
        <v>98</v>
      </c>
      <c r="G5084" s="22">
        <v>140</v>
      </c>
      <c r="H5084" s="18">
        <v>313.60000000000002</v>
      </c>
      <c r="I5084" s="18">
        <v>2.2400000000000002</v>
      </c>
      <c r="J5084" s="18">
        <v>2.2799999999999998</v>
      </c>
      <c r="K5084" s="18">
        <v>2.21</v>
      </c>
      <c r="L5084" s="22">
        <v>2</v>
      </c>
    </row>
    <row r="5085" spans="1:12">
      <c r="A5085">
        <v>6</v>
      </c>
      <c r="B5085" s="16" t="s">
        <v>61</v>
      </c>
      <c r="C5085" s="9">
        <v>45717</v>
      </c>
      <c r="D5085">
        <v>13</v>
      </c>
      <c r="E5085" s="16" t="s">
        <v>97</v>
      </c>
      <c r="F5085" s="16" t="s">
        <v>98</v>
      </c>
      <c r="G5085" s="22">
        <v>140</v>
      </c>
      <c r="H5085" s="18">
        <v>313.39999999999998</v>
      </c>
      <c r="I5085" s="18">
        <v>2.2385714289999998</v>
      </c>
      <c r="J5085" s="18">
        <v>2.25</v>
      </c>
      <c r="K5085" s="18">
        <v>2.23</v>
      </c>
      <c r="L5085" s="22">
        <v>2</v>
      </c>
    </row>
    <row r="5086" spans="1:12">
      <c r="A5086">
        <v>6</v>
      </c>
      <c r="B5086" s="16" t="s">
        <v>61</v>
      </c>
      <c r="C5086" s="9">
        <v>45748</v>
      </c>
      <c r="D5086">
        <v>13</v>
      </c>
      <c r="E5086" s="16" t="s">
        <v>97</v>
      </c>
      <c r="F5086" s="16" t="s">
        <v>98</v>
      </c>
      <c r="G5086" s="22">
        <v>180</v>
      </c>
      <c r="H5086" s="18">
        <v>403.8</v>
      </c>
      <c r="I5086" s="18">
        <v>2.2433333329999998</v>
      </c>
      <c r="J5086" s="18">
        <v>2.2599999999999998</v>
      </c>
      <c r="K5086" s="18">
        <v>2.23</v>
      </c>
      <c r="L5086" s="22">
        <v>2</v>
      </c>
    </row>
    <row r="5087" spans="1:12">
      <c r="A5087">
        <v>6</v>
      </c>
      <c r="B5087" s="16" t="s">
        <v>61</v>
      </c>
      <c r="C5087" s="9">
        <v>45778</v>
      </c>
      <c r="D5087">
        <v>13</v>
      </c>
      <c r="E5087" s="16" t="s">
        <v>97</v>
      </c>
      <c r="F5087" s="16" t="s">
        <v>98</v>
      </c>
      <c r="G5087" s="22">
        <v>220</v>
      </c>
      <c r="H5087" s="18">
        <v>499</v>
      </c>
      <c r="I5087" s="18">
        <v>2.268181818</v>
      </c>
      <c r="J5087" s="18">
        <v>2.2999999999999998</v>
      </c>
      <c r="K5087" s="18">
        <v>2.21</v>
      </c>
      <c r="L5087" s="22">
        <v>3</v>
      </c>
    </row>
    <row r="5088" spans="1:12">
      <c r="A5088">
        <v>6</v>
      </c>
      <c r="B5088" s="16" t="s">
        <v>61</v>
      </c>
      <c r="C5088" s="9">
        <v>45809</v>
      </c>
      <c r="D5088">
        <v>13</v>
      </c>
      <c r="E5088" s="16" t="s">
        <v>97</v>
      </c>
      <c r="F5088" s="16" t="s">
        <v>98</v>
      </c>
      <c r="G5088" s="22">
        <v>160</v>
      </c>
      <c r="H5088" s="18">
        <v>370.4</v>
      </c>
      <c r="I5088" s="18">
        <v>2.3149999999999999</v>
      </c>
      <c r="J5088" s="18">
        <v>2.3199999999999998</v>
      </c>
      <c r="K5088" s="18">
        <v>2.31</v>
      </c>
      <c r="L5088" s="22">
        <v>2</v>
      </c>
    </row>
    <row r="5089" spans="1:12">
      <c r="A5089">
        <v>6</v>
      </c>
      <c r="B5089" s="16" t="s">
        <v>61</v>
      </c>
      <c r="C5089" s="9">
        <v>45839</v>
      </c>
      <c r="D5089">
        <v>13</v>
      </c>
      <c r="E5089" s="16" t="s">
        <v>97</v>
      </c>
      <c r="F5089" s="16" t="s">
        <v>98</v>
      </c>
      <c r="G5089" s="22">
        <v>140</v>
      </c>
      <c r="H5089" s="18">
        <v>325</v>
      </c>
      <c r="I5089" s="18">
        <v>2.3214285710000002</v>
      </c>
      <c r="J5089" s="18">
        <v>2.35</v>
      </c>
      <c r="K5089" s="18">
        <v>2.2999999999999998</v>
      </c>
      <c r="L5089" s="22">
        <v>2</v>
      </c>
    </row>
    <row r="5090" spans="1:12">
      <c r="A5090">
        <v>6</v>
      </c>
      <c r="B5090" s="16" t="s">
        <v>61</v>
      </c>
      <c r="C5090" s="9">
        <v>45870</v>
      </c>
      <c r="D5090">
        <v>13</v>
      </c>
      <c r="E5090" s="16" t="s">
        <v>97</v>
      </c>
      <c r="F5090" s="16" t="s">
        <v>98</v>
      </c>
      <c r="G5090" s="22">
        <v>140</v>
      </c>
      <c r="H5090" s="18">
        <v>325</v>
      </c>
      <c r="I5090" s="18">
        <v>2.3214285710000002</v>
      </c>
      <c r="J5090" s="18">
        <v>2.33</v>
      </c>
      <c r="K5090" s="18">
        <v>2.31</v>
      </c>
      <c r="L5090" s="22">
        <v>2</v>
      </c>
    </row>
    <row r="5091" spans="1:12">
      <c r="A5091">
        <v>6</v>
      </c>
      <c r="B5091" s="16" t="s">
        <v>61</v>
      </c>
      <c r="C5091" s="9">
        <v>45901</v>
      </c>
      <c r="D5091">
        <v>13</v>
      </c>
      <c r="E5091" s="16" t="s">
        <v>97</v>
      </c>
      <c r="F5091" s="16" t="s">
        <v>98</v>
      </c>
      <c r="G5091" s="22">
        <v>140</v>
      </c>
      <c r="H5091" s="18">
        <v>322.2</v>
      </c>
      <c r="I5091" s="18">
        <v>2.3014285710000002</v>
      </c>
      <c r="J5091" s="18">
        <v>2.33</v>
      </c>
      <c r="K5091" s="18">
        <v>2.2799999999999998</v>
      </c>
      <c r="L5091" s="22">
        <v>2</v>
      </c>
    </row>
    <row r="5092" spans="1:12">
      <c r="A5092">
        <v>6</v>
      </c>
      <c r="B5092" s="16" t="s">
        <v>61</v>
      </c>
      <c r="C5092" s="9">
        <v>45931</v>
      </c>
      <c r="D5092">
        <v>13</v>
      </c>
      <c r="E5092" s="16" t="s">
        <v>97</v>
      </c>
      <c r="F5092" s="16" t="s">
        <v>98</v>
      </c>
      <c r="G5092" s="22">
        <v>240</v>
      </c>
      <c r="H5092" s="18">
        <v>556.6</v>
      </c>
      <c r="I5092" s="18">
        <v>2.3191666670000002</v>
      </c>
      <c r="J5092" s="18">
        <v>2.35</v>
      </c>
      <c r="K5092" s="18">
        <v>2.2799999999999998</v>
      </c>
      <c r="L5092" s="22">
        <v>3</v>
      </c>
    </row>
    <row r="5093" spans="1:12">
      <c r="A5093">
        <v>6</v>
      </c>
      <c r="B5093" s="16" t="s">
        <v>61</v>
      </c>
      <c r="C5093" s="9">
        <v>45962</v>
      </c>
      <c r="D5093">
        <v>13</v>
      </c>
      <c r="E5093" s="16" t="s">
        <v>97</v>
      </c>
      <c r="F5093" s="16" t="s">
        <v>98</v>
      </c>
      <c r="G5093" s="22">
        <v>140</v>
      </c>
      <c r="H5093" s="18">
        <v>327.2</v>
      </c>
      <c r="I5093" s="18">
        <v>2.3371428569999999</v>
      </c>
      <c r="J5093" s="18">
        <v>2.36</v>
      </c>
      <c r="K5093" s="18">
        <v>2.3199999999999998</v>
      </c>
      <c r="L5093" s="22">
        <v>2</v>
      </c>
    </row>
    <row r="5094" spans="1:12">
      <c r="A5094">
        <v>6</v>
      </c>
      <c r="B5094" s="16" t="s">
        <v>61</v>
      </c>
      <c r="C5094" s="9">
        <v>45992</v>
      </c>
      <c r="D5094">
        <v>13</v>
      </c>
      <c r="E5094" s="16" t="s">
        <v>97</v>
      </c>
      <c r="F5094" s="16" t="s">
        <v>98</v>
      </c>
      <c r="G5094" s="22">
        <v>100</v>
      </c>
      <c r="H5094" s="18">
        <v>235.6</v>
      </c>
      <c r="I5094" s="18">
        <v>2.3559999999999999</v>
      </c>
      <c r="J5094" s="18">
        <v>2.36</v>
      </c>
      <c r="K5094" s="18">
        <v>2.35</v>
      </c>
      <c r="L5094" s="22">
        <v>2</v>
      </c>
    </row>
    <row r="5095" spans="1:12">
      <c r="A5095">
        <v>6</v>
      </c>
      <c r="B5095" s="16" t="s">
        <v>61</v>
      </c>
      <c r="C5095" s="9">
        <v>46023</v>
      </c>
      <c r="D5095">
        <v>13</v>
      </c>
      <c r="E5095" s="16" t="s">
        <v>97</v>
      </c>
      <c r="F5095" s="16" t="s">
        <v>98</v>
      </c>
      <c r="G5095" s="22">
        <v>140</v>
      </c>
      <c r="H5095" s="18">
        <v>327</v>
      </c>
      <c r="I5095" s="18">
        <v>2.335714286</v>
      </c>
      <c r="J5095" s="18">
        <v>2.37</v>
      </c>
      <c r="K5095" s="18">
        <v>2.31</v>
      </c>
      <c r="L5095" s="22">
        <v>2</v>
      </c>
    </row>
    <row r="5096" spans="1:12">
      <c r="A5096">
        <v>6</v>
      </c>
      <c r="B5096" s="16" t="s">
        <v>61</v>
      </c>
      <c r="C5096" s="9">
        <v>46054</v>
      </c>
      <c r="D5096">
        <v>13</v>
      </c>
      <c r="E5096" s="16" t="s">
        <v>97</v>
      </c>
      <c r="F5096" s="16" t="s">
        <v>98</v>
      </c>
      <c r="G5096" s="22">
        <v>140</v>
      </c>
      <c r="H5096" s="18">
        <v>332.4</v>
      </c>
      <c r="I5096" s="18">
        <v>2.374285714</v>
      </c>
      <c r="J5096" s="18">
        <v>2.38</v>
      </c>
      <c r="K5096" s="18">
        <v>2.37</v>
      </c>
      <c r="L5096" s="22">
        <v>2</v>
      </c>
    </row>
    <row r="5097" spans="1:12">
      <c r="A5097">
        <v>6</v>
      </c>
      <c r="B5097" s="16" t="s">
        <v>61</v>
      </c>
      <c r="C5097" s="9">
        <v>46082</v>
      </c>
      <c r="D5097">
        <v>13</v>
      </c>
      <c r="E5097" s="16" t="s">
        <v>97</v>
      </c>
      <c r="F5097" s="16" t="s">
        <v>98</v>
      </c>
      <c r="G5097" s="22">
        <v>200</v>
      </c>
      <c r="H5097" s="18">
        <v>475.2</v>
      </c>
      <c r="I5097" s="18">
        <v>2.3759999999999999</v>
      </c>
      <c r="J5097" s="18">
        <v>2.4</v>
      </c>
      <c r="K5097" s="18">
        <v>2.36</v>
      </c>
      <c r="L5097" s="22">
        <v>2</v>
      </c>
    </row>
    <row r="5098" spans="1:12">
      <c r="A5098">
        <v>6</v>
      </c>
      <c r="B5098" s="16" t="s">
        <v>61</v>
      </c>
      <c r="C5098" s="9">
        <v>46113</v>
      </c>
      <c r="D5098">
        <v>13</v>
      </c>
      <c r="E5098" s="16" t="s">
        <v>97</v>
      </c>
      <c r="F5098" s="16" t="s">
        <v>98</v>
      </c>
      <c r="G5098" s="22">
        <v>220</v>
      </c>
      <c r="H5098" s="18">
        <v>520.6</v>
      </c>
      <c r="I5098" s="18">
        <v>2.366363636</v>
      </c>
      <c r="J5098" s="18">
        <v>2.39</v>
      </c>
      <c r="K5098" s="18">
        <v>2.33</v>
      </c>
      <c r="L5098" s="22">
        <v>3</v>
      </c>
    </row>
    <row r="5099" spans="1:12">
      <c r="A5099">
        <v>6</v>
      </c>
      <c r="B5099" s="16" t="s">
        <v>61</v>
      </c>
      <c r="C5099" s="9">
        <v>46143</v>
      </c>
      <c r="D5099">
        <v>13</v>
      </c>
      <c r="E5099" s="16" t="s">
        <v>97</v>
      </c>
      <c r="F5099" s="16" t="s">
        <v>98</v>
      </c>
      <c r="G5099" s="22">
        <v>160</v>
      </c>
      <c r="H5099" s="18">
        <v>376</v>
      </c>
      <c r="I5099" s="18">
        <v>2.35</v>
      </c>
      <c r="J5099" s="18">
        <v>2.35</v>
      </c>
      <c r="K5099" s="18">
        <v>2.35</v>
      </c>
      <c r="L5099" s="22">
        <v>2</v>
      </c>
    </row>
    <row r="5100" spans="1:12">
      <c r="A5100">
        <v>6</v>
      </c>
      <c r="B5100" s="16" t="s">
        <v>61</v>
      </c>
      <c r="C5100" s="9">
        <v>46174</v>
      </c>
      <c r="D5100">
        <v>13</v>
      </c>
      <c r="E5100" s="16" t="s">
        <v>97</v>
      </c>
      <c r="F5100" s="16" t="s">
        <v>98</v>
      </c>
      <c r="G5100" s="22">
        <v>120</v>
      </c>
      <c r="H5100" s="18">
        <v>280.2</v>
      </c>
      <c r="I5100" s="18">
        <v>2.335</v>
      </c>
      <c r="J5100" s="18">
        <v>2.35</v>
      </c>
      <c r="K5100" s="18">
        <v>2.3199999999999998</v>
      </c>
      <c r="L5100" s="22">
        <v>2</v>
      </c>
    </row>
    <row r="5101" spans="1:12">
      <c r="A5101">
        <v>6</v>
      </c>
      <c r="B5101" s="16" t="s">
        <v>61</v>
      </c>
      <c r="C5101" s="9">
        <v>46204</v>
      </c>
      <c r="D5101">
        <v>13</v>
      </c>
      <c r="E5101" s="16" t="s">
        <v>97</v>
      </c>
      <c r="F5101" s="16" t="s">
        <v>98</v>
      </c>
      <c r="G5101" s="22">
        <v>140</v>
      </c>
      <c r="H5101" s="18">
        <v>326</v>
      </c>
      <c r="I5101" s="18">
        <v>2.3285714290000001</v>
      </c>
      <c r="J5101" s="18">
        <v>2.35</v>
      </c>
      <c r="K5101" s="18">
        <v>2.2999999999999998</v>
      </c>
      <c r="L5101" s="22">
        <v>2</v>
      </c>
    </row>
    <row r="5102" spans="1:12">
      <c r="A5102">
        <v>6</v>
      </c>
      <c r="B5102" s="16" t="s">
        <v>61</v>
      </c>
      <c r="C5102" s="9">
        <v>46235</v>
      </c>
      <c r="D5102">
        <v>13</v>
      </c>
      <c r="E5102" s="16" t="s">
        <v>97</v>
      </c>
      <c r="F5102" s="16" t="s">
        <v>98</v>
      </c>
      <c r="G5102" s="22">
        <v>120</v>
      </c>
      <c r="H5102" s="18">
        <v>276.60000000000002</v>
      </c>
      <c r="I5102" s="18">
        <v>2.3050000000000002</v>
      </c>
      <c r="J5102" s="18">
        <v>2.3199999999999998</v>
      </c>
      <c r="K5102" s="18">
        <v>2.29</v>
      </c>
      <c r="L5102" s="22">
        <v>2</v>
      </c>
    </row>
    <row r="5103" spans="1:12">
      <c r="A5103">
        <v>6</v>
      </c>
      <c r="B5103" s="16" t="s">
        <v>61</v>
      </c>
      <c r="C5103" s="9">
        <v>46266</v>
      </c>
      <c r="D5103">
        <v>13</v>
      </c>
      <c r="E5103" s="16" t="s">
        <v>97</v>
      </c>
      <c r="F5103" s="16" t="s">
        <v>98</v>
      </c>
      <c r="G5103" s="22">
        <v>160</v>
      </c>
      <c r="H5103" s="18">
        <v>372.8</v>
      </c>
      <c r="I5103" s="18">
        <v>2.33</v>
      </c>
      <c r="J5103" s="18">
        <v>2.34</v>
      </c>
      <c r="K5103" s="18">
        <v>2.3199999999999998</v>
      </c>
      <c r="L5103" s="22">
        <v>2</v>
      </c>
    </row>
    <row r="5104" spans="1:12">
      <c r="A5104">
        <v>6</v>
      </c>
      <c r="B5104" s="16" t="s">
        <v>61</v>
      </c>
      <c r="C5104" s="9">
        <v>45689</v>
      </c>
      <c r="D5104">
        <v>14</v>
      </c>
      <c r="E5104" s="16" t="s">
        <v>99</v>
      </c>
      <c r="F5104" s="16" t="s">
        <v>90</v>
      </c>
      <c r="G5104" s="22">
        <v>0.75</v>
      </c>
      <c r="H5104" s="18">
        <v>16.327500000000001</v>
      </c>
      <c r="I5104" s="18">
        <v>21.77</v>
      </c>
      <c r="J5104" s="18">
        <v>21.77</v>
      </c>
      <c r="K5104" s="18">
        <v>21.77</v>
      </c>
      <c r="L5104" s="22">
        <v>1</v>
      </c>
    </row>
    <row r="5105" spans="1:12">
      <c r="A5105">
        <v>6</v>
      </c>
      <c r="B5105" s="16" t="s">
        <v>61</v>
      </c>
      <c r="C5105" s="9">
        <v>45717</v>
      </c>
      <c r="D5105">
        <v>14</v>
      </c>
      <c r="E5105" s="16" t="s">
        <v>99</v>
      </c>
      <c r="F5105" s="16" t="s">
        <v>90</v>
      </c>
      <c r="G5105" s="22">
        <v>1.5</v>
      </c>
      <c r="H5105" s="18">
        <v>33.847499999999997</v>
      </c>
      <c r="I5105" s="18">
        <v>22.565000000000001</v>
      </c>
      <c r="J5105" s="18">
        <v>23.34</v>
      </c>
      <c r="K5105" s="18">
        <v>21.79</v>
      </c>
      <c r="L5105" s="22">
        <v>2</v>
      </c>
    </row>
    <row r="5106" spans="1:12">
      <c r="A5106">
        <v>6</v>
      </c>
      <c r="B5106" s="16" t="s">
        <v>61</v>
      </c>
      <c r="C5106" s="9">
        <v>45748</v>
      </c>
      <c r="D5106">
        <v>14</v>
      </c>
      <c r="E5106" s="16" t="s">
        <v>99</v>
      </c>
      <c r="F5106" s="16" t="s">
        <v>90</v>
      </c>
      <c r="G5106" s="22">
        <v>1.5</v>
      </c>
      <c r="H5106" s="18">
        <v>33.090000000000003</v>
      </c>
      <c r="I5106" s="18">
        <v>22.06</v>
      </c>
      <c r="J5106" s="18">
        <v>22.16</v>
      </c>
      <c r="K5106" s="18">
        <v>21.96</v>
      </c>
      <c r="L5106" s="22">
        <v>2</v>
      </c>
    </row>
    <row r="5107" spans="1:12">
      <c r="A5107">
        <v>6</v>
      </c>
      <c r="B5107" s="16" t="s">
        <v>61</v>
      </c>
      <c r="C5107" s="9">
        <v>45778</v>
      </c>
      <c r="D5107">
        <v>14</v>
      </c>
      <c r="E5107" s="16" t="s">
        <v>99</v>
      </c>
      <c r="F5107" s="16" t="s">
        <v>90</v>
      </c>
      <c r="G5107" s="22">
        <v>1.5</v>
      </c>
      <c r="H5107" s="18">
        <v>32.827500000000001</v>
      </c>
      <c r="I5107" s="18">
        <v>21.885000000000002</v>
      </c>
      <c r="J5107" s="18">
        <v>22.06</v>
      </c>
      <c r="K5107" s="18">
        <v>21.71</v>
      </c>
      <c r="L5107" s="22">
        <v>2</v>
      </c>
    </row>
    <row r="5108" spans="1:12">
      <c r="A5108">
        <v>6</v>
      </c>
      <c r="B5108" s="16" t="s">
        <v>61</v>
      </c>
      <c r="C5108" s="9">
        <v>45809</v>
      </c>
      <c r="D5108">
        <v>14</v>
      </c>
      <c r="E5108" s="16" t="s">
        <v>99</v>
      </c>
      <c r="F5108" s="16" t="s">
        <v>90</v>
      </c>
      <c r="G5108" s="22">
        <v>1.5</v>
      </c>
      <c r="H5108" s="18">
        <v>33.299999999999997</v>
      </c>
      <c r="I5108" s="18">
        <v>22.2</v>
      </c>
      <c r="J5108" s="18">
        <v>22.3</v>
      </c>
      <c r="K5108" s="18">
        <v>22.1</v>
      </c>
      <c r="L5108" s="22">
        <v>2</v>
      </c>
    </row>
    <row r="5109" spans="1:12">
      <c r="A5109">
        <v>6</v>
      </c>
      <c r="B5109" s="16" t="s">
        <v>61</v>
      </c>
      <c r="C5109" s="9">
        <v>45839</v>
      </c>
      <c r="D5109">
        <v>14</v>
      </c>
      <c r="E5109" s="16" t="s">
        <v>99</v>
      </c>
      <c r="F5109" s="16" t="s">
        <v>90</v>
      </c>
      <c r="G5109" s="22">
        <v>0.75</v>
      </c>
      <c r="H5109" s="18">
        <v>16.5825</v>
      </c>
      <c r="I5109" s="18">
        <v>22.11</v>
      </c>
      <c r="J5109" s="18">
        <v>22.11</v>
      </c>
      <c r="K5109" s="18">
        <v>22.11</v>
      </c>
      <c r="L5109" s="22">
        <v>1</v>
      </c>
    </row>
    <row r="5110" spans="1:12">
      <c r="A5110">
        <v>6</v>
      </c>
      <c r="B5110" s="16" t="s">
        <v>61</v>
      </c>
      <c r="C5110" s="9">
        <v>45870</v>
      </c>
      <c r="D5110">
        <v>14</v>
      </c>
      <c r="E5110" s="16" t="s">
        <v>99</v>
      </c>
      <c r="F5110" s="16" t="s">
        <v>90</v>
      </c>
      <c r="G5110" s="22">
        <v>0.75</v>
      </c>
      <c r="H5110" s="18">
        <v>16.927499999999998</v>
      </c>
      <c r="I5110" s="18">
        <v>22.57</v>
      </c>
      <c r="J5110" s="18">
        <v>22.57</v>
      </c>
      <c r="K5110" s="18">
        <v>22.57</v>
      </c>
      <c r="L5110" s="22">
        <v>1</v>
      </c>
    </row>
    <row r="5111" spans="1:12">
      <c r="A5111">
        <v>6</v>
      </c>
      <c r="B5111" s="16" t="s">
        <v>61</v>
      </c>
      <c r="C5111" s="9">
        <v>45901</v>
      </c>
      <c r="D5111">
        <v>14</v>
      </c>
      <c r="E5111" s="16" t="s">
        <v>99</v>
      </c>
      <c r="F5111" s="16" t="s">
        <v>90</v>
      </c>
      <c r="G5111" s="22">
        <v>1.5</v>
      </c>
      <c r="H5111" s="18">
        <v>34.229999999999997</v>
      </c>
      <c r="I5111" s="18">
        <v>22.82</v>
      </c>
      <c r="J5111" s="18">
        <v>23.6</v>
      </c>
      <c r="K5111" s="18">
        <v>22.04</v>
      </c>
      <c r="L5111" s="22">
        <v>2</v>
      </c>
    </row>
    <row r="5112" spans="1:12">
      <c r="A5112">
        <v>6</v>
      </c>
      <c r="B5112" s="16" t="s">
        <v>61</v>
      </c>
      <c r="C5112" s="9">
        <v>45931</v>
      </c>
      <c r="D5112">
        <v>14</v>
      </c>
      <c r="E5112" s="16" t="s">
        <v>99</v>
      </c>
      <c r="F5112" s="16" t="s">
        <v>90</v>
      </c>
      <c r="G5112" s="22">
        <v>1.5</v>
      </c>
      <c r="H5112" s="18">
        <v>33.090000000000003</v>
      </c>
      <c r="I5112" s="18">
        <v>22.06</v>
      </c>
      <c r="J5112" s="18">
        <v>22.06</v>
      </c>
      <c r="K5112" s="18">
        <v>22.06</v>
      </c>
      <c r="L5112" s="22">
        <v>2</v>
      </c>
    </row>
    <row r="5113" spans="1:12">
      <c r="A5113">
        <v>6</v>
      </c>
      <c r="B5113" s="16" t="s">
        <v>61</v>
      </c>
      <c r="C5113" s="9">
        <v>45962</v>
      </c>
      <c r="D5113">
        <v>14</v>
      </c>
      <c r="E5113" s="16" t="s">
        <v>99</v>
      </c>
      <c r="F5113" s="16" t="s">
        <v>90</v>
      </c>
      <c r="G5113" s="22">
        <v>0.75</v>
      </c>
      <c r="H5113" s="18">
        <v>16.822500000000002</v>
      </c>
      <c r="I5113" s="18">
        <v>22.43</v>
      </c>
      <c r="J5113" s="18">
        <v>22.43</v>
      </c>
      <c r="K5113" s="18">
        <v>22.43</v>
      </c>
      <c r="L5113" s="22">
        <v>1</v>
      </c>
    </row>
    <row r="5114" spans="1:12">
      <c r="A5114">
        <v>6</v>
      </c>
      <c r="B5114" s="16" t="s">
        <v>61</v>
      </c>
      <c r="C5114" s="9">
        <v>45992</v>
      </c>
      <c r="D5114">
        <v>14</v>
      </c>
      <c r="E5114" s="16" t="s">
        <v>99</v>
      </c>
      <c r="F5114" s="16" t="s">
        <v>90</v>
      </c>
      <c r="G5114" s="22">
        <v>1.5</v>
      </c>
      <c r="H5114" s="18">
        <v>33.232500000000002</v>
      </c>
      <c r="I5114" s="18">
        <v>22.155000000000001</v>
      </c>
      <c r="J5114" s="18">
        <v>22.22</v>
      </c>
      <c r="K5114" s="18">
        <v>22.09</v>
      </c>
      <c r="L5114" s="22">
        <v>2</v>
      </c>
    </row>
    <row r="5115" spans="1:12">
      <c r="A5115">
        <v>6</v>
      </c>
      <c r="B5115" s="16" t="s">
        <v>61</v>
      </c>
      <c r="C5115" s="9">
        <v>46023</v>
      </c>
      <c r="D5115">
        <v>14</v>
      </c>
      <c r="E5115" s="16" t="s">
        <v>99</v>
      </c>
      <c r="F5115" s="16" t="s">
        <v>90</v>
      </c>
      <c r="G5115" s="22">
        <v>0.75</v>
      </c>
      <c r="H5115" s="18">
        <v>16.7775</v>
      </c>
      <c r="I5115" s="18">
        <v>22.37</v>
      </c>
      <c r="J5115" s="18">
        <v>22.37</v>
      </c>
      <c r="K5115" s="18">
        <v>22.37</v>
      </c>
      <c r="L5115" s="22">
        <v>1</v>
      </c>
    </row>
    <row r="5116" spans="1:12">
      <c r="A5116">
        <v>6</v>
      </c>
      <c r="B5116" s="16" t="s">
        <v>61</v>
      </c>
      <c r="C5116" s="9">
        <v>46054</v>
      </c>
      <c r="D5116">
        <v>14</v>
      </c>
      <c r="E5116" s="16" t="s">
        <v>99</v>
      </c>
      <c r="F5116" s="16" t="s">
        <v>90</v>
      </c>
      <c r="G5116" s="22">
        <v>0.75</v>
      </c>
      <c r="H5116" s="18">
        <v>16.537500000000001</v>
      </c>
      <c r="I5116" s="18">
        <v>22.05</v>
      </c>
      <c r="J5116" s="18">
        <v>22.05</v>
      </c>
      <c r="K5116" s="18">
        <v>22.05</v>
      </c>
      <c r="L5116" s="22">
        <v>1</v>
      </c>
    </row>
    <row r="5117" spans="1:12">
      <c r="A5117">
        <v>6</v>
      </c>
      <c r="B5117" s="16" t="s">
        <v>61</v>
      </c>
      <c r="C5117" s="9">
        <v>46082</v>
      </c>
      <c r="D5117">
        <v>14</v>
      </c>
      <c r="E5117" s="16" t="s">
        <v>99</v>
      </c>
      <c r="F5117" s="16" t="s">
        <v>90</v>
      </c>
      <c r="G5117" s="22">
        <v>3</v>
      </c>
      <c r="H5117" s="18">
        <v>67.05</v>
      </c>
      <c r="I5117" s="18">
        <v>22.35</v>
      </c>
      <c r="J5117" s="18">
        <v>22.63</v>
      </c>
      <c r="K5117" s="18">
        <v>22.07</v>
      </c>
      <c r="L5117" s="22">
        <v>2</v>
      </c>
    </row>
    <row r="5118" spans="1:12">
      <c r="A5118">
        <v>6</v>
      </c>
      <c r="B5118" s="16" t="s">
        <v>61</v>
      </c>
      <c r="C5118" s="9">
        <v>46113</v>
      </c>
      <c r="D5118">
        <v>14</v>
      </c>
      <c r="E5118" s="16" t="s">
        <v>99</v>
      </c>
      <c r="F5118" s="16" t="s">
        <v>90</v>
      </c>
      <c r="G5118" s="22">
        <v>1.5</v>
      </c>
      <c r="H5118" s="18">
        <v>32.865000000000002</v>
      </c>
      <c r="I5118" s="18">
        <v>21.91</v>
      </c>
      <c r="J5118" s="18">
        <v>22.08</v>
      </c>
      <c r="K5118" s="18">
        <v>21.74</v>
      </c>
      <c r="L5118" s="22">
        <v>2</v>
      </c>
    </row>
    <row r="5119" spans="1:12">
      <c r="A5119">
        <v>6</v>
      </c>
      <c r="B5119" s="16" t="s">
        <v>61</v>
      </c>
      <c r="C5119" s="9">
        <v>46143</v>
      </c>
      <c r="D5119">
        <v>14</v>
      </c>
      <c r="E5119" s="16" t="s">
        <v>99</v>
      </c>
      <c r="F5119" s="16" t="s">
        <v>90</v>
      </c>
      <c r="G5119" s="22">
        <v>1.5</v>
      </c>
      <c r="H5119" s="18">
        <v>33.232500000000002</v>
      </c>
      <c r="I5119" s="18">
        <v>22.155000000000001</v>
      </c>
      <c r="J5119" s="18">
        <v>22.31</v>
      </c>
      <c r="K5119" s="18">
        <v>22</v>
      </c>
      <c r="L5119" s="22">
        <v>2</v>
      </c>
    </row>
    <row r="5120" spans="1:12">
      <c r="A5120">
        <v>6</v>
      </c>
      <c r="B5120" s="16" t="s">
        <v>61</v>
      </c>
      <c r="C5120" s="9">
        <v>46174</v>
      </c>
      <c r="D5120">
        <v>14</v>
      </c>
      <c r="E5120" s="16" t="s">
        <v>99</v>
      </c>
      <c r="F5120" s="16" t="s">
        <v>90</v>
      </c>
      <c r="G5120" s="22">
        <v>0.75</v>
      </c>
      <c r="H5120" s="18">
        <v>16.754999999999999</v>
      </c>
      <c r="I5120" s="18">
        <v>22.34</v>
      </c>
      <c r="J5120" s="18">
        <v>22.34</v>
      </c>
      <c r="K5120" s="18">
        <v>22.34</v>
      </c>
      <c r="L5120" s="22">
        <v>1</v>
      </c>
    </row>
    <row r="5121" spans="1:12">
      <c r="A5121">
        <v>6</v>
      </c>
      <c r="B5121" s="16" t="s">
        <v>61</v>
      </c>
      <c r="C5121" s="9">
        <v>46204</v>
      </c>
      <c r="D5121">
        <v>14</v>
      </c>
      <c r="E5121" s="16" t="s">
        <v>99</v>
      </c>
      <c r="F5121" s="16" t="s">
        <v>90</v>
      </c>
      <c r="G5121" s="22">
        <v>1.5</v>
      </c>
      <c r="H5121" s="18">
        <v>34.005000000000003</v>
      </c>
      <c r="I5121" s="18">
        <v>22.67</v>
      </c>
      <c r="J5121" s="18">
        <v>22.84</v>
      </c>
      <c r="K5121" s="18">
        <v>22.5</v>
      </c>
      <c r="L5121" s="22">
        <v>2</v>
      </c>
    </row>
    <row r="5122" spans="1:12">
      <c r="A5122">
        <v>6</v>
      </c>
      <c r="B5122" s="16" t="s">
        <v>61</v>
      </c>
      <c r="C5122" s="9">
        <v>46235</v>
      </c>
      <c r="D5122">
        <v>14</v>
      </c>
      <c r="E5122" s="16" t="s">
        <v>99</v>
      </c>
      <c r="F5122" s="16" t="s">
        <v>90</v>
      </c>
      <c r="G5122" s="22">
        <v>0.75</v>
      </c>
      <c r="H5122" s="18">
        <v>16.7775</v>
      </c>
      <c r="I5122" s="18">
        <v>22.37</v>
      </c>
      <c r="J5122" s="18">
        <v>22.37</v>
      </c>
      <c r="K5122" s="18">
        <v>22.37</v>
      </c>
      <c r="L5122" s="22">
        <v>1</v>
      </c>
    </row>
    <row r="5123" spans="1:12">
      <c r="A5123">
        <v>6</v>
      </c>
      <c r="B5123" s="16" t="s">
        <v>61</v>
      </c>
      <c r="C5123" s="9">
        <v>46266</v>
      </c>
      <c r="D5123">
        <v>14</v>
      </c>
      <c r="E5123" s="16" t="s">
        <v>99</v>
      </c>
      <c r="F5123" s="16" t="s">
        <v>90</v>
      </c>
      <c r="G5123" s="22">
        <v>2.25</v>
      </c>
      <c r="H5123" s="18">
        <v>50.767499999999998</v>
      </c>
      <c r="I5123" s="18">
        <v>22.563333332999999</v>
      </c>
      <c r="J5123" s="18">
        <v>22.97</v>
      </c>
      <c r="K5123" s="18">
        <v>22.29</v>
      </c>
      <c r="L5123" s="22">
        <v>3</v>
      </c>
    </row>
    <row r="5124" spans="1:12">
      <c r="A5124">
        <v>6</v>
      </c>
      <c r="B5124" s="16" t="s">
        <v>61</v>
      </c>
      <c r="C5124" s="9">
        <v>45689</v>
      </c>
      <c r="D5124">
        <v>15</v>
      </c>
      <c r="E5124" s="16" t="s">
        <v>100</v>
      </c>
      <c r="F5124" s="16" t="s">
        <v>92</v>
      </c>
      <c r="G5124" s="22">
        <v>483</v>
      </c>
      <c r="H5124" s="18">
        <v>112.56</v>
      </c>
      <c r="I5124" s="18">
        <v>0.233043478</v>
      </c>
      <c r="J5124" s="18">
        <v>0.25</v>
      </c>
      <c r="K5124" s="18">
        <v>0.23</v>
      </c>
      <c r="L5124" s="22">
        <v>12</v>
      </c>
    </row>
    <row r="5125" spans="1:12">
      <c r="A5125">
        <v>6</v>
      </c>
      <c r="B5125" s="16" t="s">
        <v>61</v>
      </c>
      <c r="C5125" s="9">
        <v>45717</v>
      </c>
      <c r="D5125">
        <v>15</v>
      </c>
      <c r="E5125" s="16" t="s">
        <v>100</v>
      </c>
      <c r="F5125" s="16" t="s">
        <v>92</v>
      </c>
      <c r="G5125" s="22">
        <v>426</v>
      </c>
      <c r="H5125" s="18">
        <v>98.34</v>
      </c>
      <c r="I5125" s="18">
        <v>0.23084507000000001</v>
      </c>
      <c r="J5125" s="18">
        <v>0.24</v>
      </c>
      <c r="K5125" s="18">
        <v>0.23</v>
      </c>
      <c r="L5125" s="22">
        <v>13</v>
      </c>
    </row>
    <row r="5126" spans="1:12">
      <c r="A5126">
        <v>6</v>
      </c>
      <c r="B5126" s="16" t="s">
        <v>61</v>
      </c>
      <c r="C5126" s="9">
        <v>45748</v>
      </c>
      <c r="D5126">
        <v>15</v>
      </c>
      <c r="E5126" s="16" t="s">
        <v>100</v>
      </c>
      <c r="F5126" s="16" t="s">
        <v>92</v>
      </c>
      <c r="G5126" s="22">
        <v>546</v>
      </c>
      <c r="H5126" s="18">
        <v>120.33</v>
      </c>
      <c r="I5126" s="18">
        <v>0.22038461500000001</v>
      </c>
      <c r="J5126" s="18">
        <v>0.23</v>
      </c>
      <c r="K5126" s="18">
        <v>0.22</v>
      </c>
      <c r="L5126" s="22">
        <v>13</v>
      </c>
    </row>
    <row r="5127" spans="1:12">
      <c r="A5127">
        <v>6</v>
      </c>
      <c r="B5127" s="16" t="s">
        <v>61</v>
      </c>
      <c r="C5127" s="9">
        <v>45778</v>
      </c>
      <c r="D5127">
        <v>15</v>
      </c>
      <c r="E5127" s="16" t="s">
        <v>100</v>
      </c>
      <c r="F5127" s="16" t="s">
        <v>92</v>
      </c>
      <c r="G5127" s="22">
        <v>531</v>
      </c>
      <c r="H5127" s="18">
        <v>112.74</v>
      </c>
      <c r="I5127" s="18">
        <v>0.212316384</v>
      </c>
      <c r="J5127" s="18">
        <v>0.23</v>
      </c>
      <c r="K5127" s="18">
        <v>0.21</v>
      </c>
      <c r="L5127" s="22">
        <v>13</v>
      </c>
    </row>
    <row r="5128" spans="1:12">
      <c r="A5128">
        <v>6</v>
      </c>
      <c r="B5128" s="16" t="s">
        <v>61</v>
      </c>
      <c r="C5128" s="9">
        <v>45809</v>
      </c>
      <c r="D5128">
        <v>15</v>
      </c>
      <c r="E5128" s="16" t="s">
        <v>100</v>
      </c>
      <c r="F5128" s="16" t="s">
        <v>92</v>
      </c>
      <c r="G5128" s="22">
        <v>438</v>
      </c>
      <c r="H5128" s="18">
        <v>91.41</v>
      </c>
      <c r="I5128" s="18">
        <v>0.20869863</v>
      </c>
      <c r="J5128" s="18">
        <v>0.21</v>
      </c>
      <c r="K5128" s="18">
        <v>0.2</v>
      </c>
      <c r="L5128" s="22">
        <v>13</v>
      </c>
    </row>
    <row r="5129" spans="1:12">
      <c r="A5129">
        <v>6</v>
      </c>
      <c r="B5129" s="16" t="s">
        <v>61</v>
      </c>
      <c r="C5129" s="9">
        <v>45839</v>
      </c>
      <c r="D5129">
        <v>15</v>
      </c>
      <c r="E5129" s="16" t="s">
        <v>100</v>
      </c>
      <c r="F5129" s="16" t="s">
        <v>92</v>
      </c>
      <c r="G5129" s="22">
        <v>429</v>
      </c>
      <c r="H5129" s="18">
        <v>87.12</v>
      </c>
      <c r="I5129" s="18">
        <v>0.20307692299999999</v>
      </c>
      <c r="J5129" s="18">
        <v>0.21</v>
      </c>
      <c r="K5129" s="18">
        <v>0.2</v>
      </c>
      <c r="L5129" s="22">
        <v>13</v>
      </c>
    </row>
    <row r="5130" spans="1:12">
      <c r="A5130">
        <v>6</v>
      </c>
      <c r="B5130" s="16" t="s">
        <v>61</v>
      </c>
      <c r="C5130" s="9">
        <v>45870</v>
      </c>
      <c r="D5130">
        <v>15</v>
      </c>
      <c r="E5130" s="16" t="s">
        <v>100</v>
      </c>
      <c r="F5130" s="16" t="s">
        <v>92</v>
      </c>
      <c r="G5130" s="22">
        <v>387</v>
      </c>
      <c r="H5130" s="18">
        <v>79.95</v>
      </c>
      <c r="I5130" s="18">
        <v>0.206589147</v>
      </c>
      <c r="J5130" s="18">
        <v>0.21</v>
      </c>
      <c r="K5130" s="18">
        <v>0.2</v>
      </c>
      <c r="L5130" s="22">
        <v>13</v>
      </c>
    </row>
    <row r="5131" spans="1:12">
      <c r="A5131">
        <v>6</v>
      </c>
      <c r="B5131" s="16" t="s">
        <v>61</v>
      </c>
      <c r="C5131" s="9">
        <v>45901</v>
      </c>
      <c r="D5131">
        <v>15</v>
      </c>
      <c r="E5131" s="16" t="s">
        <v>100</v>
      </c>
      <c r="F5131" s="16" t="s">
        <v>92</v>
      </c>
      <c r="G5131" s="22">
        <v>429</v>
      </c>
      <c r="H5131" s="18">
        <v>92.16</v>
      </c>
      <c r="I5131" s="18">
        <v>0.21482517500000001</v>
      </c>
      <c r="J5131" s="18">
        <v>0.23</v>
      </c>
      <c r="K5131" s="18">
        <v>0.21</v>
      </c>
      <c r="L5131" s="22">
        <v>13</v>
      </c>
    </row>
    <row r="5132" spans="1:12">
      <c r="A5132">
        <v>6</v>
      </c>
      <c r="B5132" s="16" t="s">
        <v>61</v>
      </c>
      <c r="C5132" s="9">
        <v>45931</v>
      </c>
      <c r="D5132">
        <v>15</v>
      </c>
      <c r="E5132" s="16" t="s">
        <v>100</v>
      </c>
      <c r="F5132" s="16" t="s">
        <v>92</v>
      </c>
      <c r="G5132" s="22">
        <v>609</v>
      </c>
      <c r="H5132" s="18">
        <v>135.78</v>
      </c>
      <c r="I5132" s="18">
        <v>0.222955665</v>
      </c>
      <c r="J5132" s="18">
        <v>0.23</v>
      </c>
      <c r="K5132" s="18">
        <v>0.22</v>
      </c>
      <c r="L5132" s="22">
        <v>14</v>
      </c>
    </row>
    <row r="5133" spans="1:12">
      <c r="A5133">
        <v>6</v>
      </c>
      <c r="B5133" s="16" t="s">
        <v>61</v>
      </c>
      <c r="C5133" s="9">
        <v>45962</v>
      </c>
      <c r="D5133">
        <v>15</v>
      </c>
      <c r="E5133" s="16" t="s">
        <v>100</v>
      </c>
      <c r="F5133" s="16" t="s">
        <v>92</v>
      </c>
      <c r="G5133" s="22">
        <v>408</v>
      </c>
      <c r="H5133" s="18">
        <v>95.07</v>
      </c>
      <c r="I5133" s="18">
        <v>0.23301470599999999</v>
      </c>
      <c r="J5133" s="18">
        <v>0.25</v>
      </c>
      <c r="K5133" s="18">
        <v>0.23</v>
      </c>
      <c r="L5133" s="22">
        <v>12</v>
      </c>
    </row>
    <row r="5134" spans="1:12">
      <c r="A5134">
        <v>6</v>
      </c>
      <c r="B5134" s="16" t="s">
        <v>61</v>
      </c>
      <c r="C5134" s="9">
        <v>45992</v>
      </c>
      <c r="D5134">
        <v>15</v>
      </c>
      <c r="E5134" s="16" t="s">
        <v>100</v>
      </c>
      <c r="F5134" s="16" t="s">
        <v>92</v>
      </c>
      <c r="G5134" s="22">
        <v>420</v>
      </c>
      <c r="H5134" s="18">
        <v>101.04</v>
      </c>
      <c r="I5134" s="18">
        <v>0.240571429</v>
      </c>
      <c r="J5134" s="18">
        <v>0.25</v>
      </c>
      <c r="K5134" s="18">
        <v>0.24</v>
      </c>
      <c r="L5134" s="22">
        <v>14</v>
      </c>
    </row>
    <row r="5135" spans="1:12">
      <c r="A5135">
        <v>6</v>
      </c>
      <c r="B5135" s="16" t="s">
        <v>61</v>
      </c>
      <c r="C5135" s="9">
        <v>46023</v>
      </c>
      <c r="D5135">
        <v>15</v>
      </c>
      <c r="E5135" s="16" t="s">
        <v>100</v>
      </c>
      <c r="F5135" s="16" t="s">
        <v>92</v>
      </c>
      <c r="G5135" s="22">
        <v>501</v>
      </c>
      <c r="H5135" s="18">
        <v>121.68</v>
      </c>
      <c r="I5135" s="18">
        <v>0.24287425100000001</v>
      </c>
      <c r="J5135" s="18">
        <v>0.25</v>
      </c>
      <c r="K5135" s="18">
        <v>0.24</v>
      </c>
      <c r="L5135" s="22">
        <v>13</v>
      </c>
    </row>
    <row r="5136" spans="1:12">
      <c r="A5136">
        <v>6</v>
      </c>
      <c r="B5136" s="16" t="s">
        <v>61</v>
      </c>
      <c r="C5136" s="9">
        <v>46054</v>
      </c>
      <c r="D5136">
        <v>15</v>
      </c>
      <c r="E5136" s="16" t="s">
        <v>100</v>
      </c>
      <c r="F5136" s="16" t="s">
        <v>92</v>
      </c>
      <c r="G5136" s="22">
        <v>402</v>
      </c>
      <c r="H5136" s="18">
        <v>97.29</v>
      </c>
      <c r="I5136" s="18">
        <v>0.24201492499999999</v>
      </c>
      <c r="J5136" s="18">
        <v>0.25</v>
      </c>
      <c r="K5136" s="18">
        <v>0.24</v>
      </c>
      <c r="L5136" s="22">
        <v>12</v>
      </c>
    </row>
    <row r="5137" spans="1:12">
      <c r="A5137">
        <v>6</v>
      </c>
      <c r="B5137" s="16" t="s">
        <v>61</v>
      </c>
      <c r="C5137" s="9">
        <v>46082</v>
      </c>
      <c r="D5137">
        <v>15</v>
      </c>
      <c r="E5137" s="16" t="s">
        <v>100</v>
      </c>
      <c r="F5137" s="16" t="s">
        <v>92</v>
      </c>
      <c r="G5137" s="22">
        <v>525</v>
      </c>
      <c r="H5137" s="18">
        <v>125.1</v>
      </c>
      <c r="I5137" s="18">
        <v>0.23828571400000001</v>
      </c>
      <c r="J5137" s="18">
        <v>0.24</v>
      </c>
      <c r="K5137" s="18">
        <v>0.23</v>
      </c>
      <c r="L5137" s="22">
        <v>13</v>
      </c>
    </row>
    <row r="5138" spans="1:12">
      <c r="A5138">
        <v>6</v>
      </c>
      <c r="B5138" s="16" t="s">
        <v>61</v>
      </c>
      <c r="C5138" s="9">
        <v>46113</v>
      </c>
      <c r="D5138">
        <v>15</v>
      </c>
      <c r="E5138" s="16" t="s">
        <v>100</v>
      </c>
      <c r="F5138" s="16" t="s">
        <v>92</v>
      </c>
      <c r="G5138" s="22">
        <v>447</v>
      </c>
      <c r="H5138" s="18">
        <v>101.61</v>
      </c>
      <c r="I5138" s="18">
        <v>0.22731543600000001</v>
      </c>
      <c r="J5138" s="18">
        <v>0.24</v>
      </c>
      <c r="K5138" s="18">
        <v>0.22</v>
      </c>
      <c r="L5138" s="22">
        <v>13</v>
      </c>
    </row>
    <row r="5139" spans="1:12">
      <c r="A5139">
        <v>6</v>
      </c>
      <c r="B5139" s="16" t="s">
        <v>61</v>
      </c>
      <c r="C5139" s="9">
        <v>46143</v>
      </c>
      <c r="D5139">
        <v>15</v>
      </c>
      <c r="E5139" s="16" t="s">
        <v>100</v>
      </c>
      <c r="F5139" s="16" t="s">
        <v>92</v>
      </c>
      <c r="G5139" s="22">
        <v>489</v>
      </c>
      <c r="H5139" s="18">
        <v>106.95</v>
      </c>
      <c r="I5139" s="18">
        <v>0.218711656</v>
      </c>
      <c r="J5139" s="18">
        <v>0.23</v>
      </c>
      <c r="K5139" s="18">
        <v>0.21</v>
      </c>
      <c r="L5139" s="22">
        <v>13</v>
      </c>
    </row>
    <row r="5140" spans="1:12">
      <c r="A5140">
        <v>6</v>
      </c>
      <c r="B5140" s="16" t="s">
        <v>61</v>
      </c>
      <c r="C5140" s="9">
        <v>46174</v>
      </c>
      <c r="D5140">
        <v>15</v>
      </c>
      <c r="E5140" s="16" t="s">
        <v>100</v>
      </c>
      <c r="F5140" s="16" t="s">
        <v>92</v>
      </c>
      <c r="G5140" s="22">
        <v>456</v>
      </c>
      <c r="H5140" s="18">
        <v>96.03</v>
      </c>
      <c r="I5140" s="18">
        <v>0.210592105</v>
      </c>
      <c r="J5140" s="18">
        <v>0.22</v>
      </c>
      <c r="K5140" s="18">
        <v>0.21</v>
      </c>
      <c r="L5140" s="22">
        <v>13</v>
      </c>
    </row>
    <row r="5141" spans="1:12">
      <c r="A5141">
        <v>6</v>
      </c>
      <c r="B5141" s="16" t="s">
        <v>61</v>
      </c>
      <c r="C5141" s="9">
        <v>46204</v>
      </c>
      <c r="D5141">
        <v>15</v>
      </c>
      <c r="E5141" s="16" t="s">
        <v>100</v>
      </c>
      <c r="F5141" s="16" t="s">
        <v>92</v>
      </c>
      <c r="G5141" s="22">
        <v>468</v>
      </c>
      <c r="H5141" s="18">
        <v>98.61</v>
      </c>
      <c r="I5141" s="18">
        <v>0.21070512799999999</v>
      </c>
      <c r="J5141" s="18">
        <v>0.22</v>
      </c>
      <c r="K5141" s="18">
        <v>0.21</v>
      </c>
      <c r="L5141" s="22">
        <v>14</v>
      </c>
    </row>
    <row r="5142" spans="1:12">
      <c r="A5142">
        <v>6</v>
      </c>
      <c r="B5142" s="16" t="s">
        <v>61</v>
      </c>
      <c r="C5142" s="9">
        <v>46235</v>
      </c>
      <c r="D5142">
        <v>15</v>
      </c>
      <c r="E5142" s="16" t="s">
        <v>100</v>
      </c>
      <c r="F5142" s="16" t="s">
        <v>92</v>
      </c>
      <c r="G5142" s="22">
        <v>351</v>
      </c>
      <c r="H5142" s="18">
        <v>74.790000000000006</v>
      </c>
      <c r="I5142" s="18">
        <v>0.213076923</v>
      </c>
      <c r="J5142" s="18">
        <v>0.22</v>
      </c>
      <c r="K5142" s="18">
        <v>0.21</v>
      </c>
      <c r="L5142" s="22">
        <v>13</v>
      </c>
    </row>
    <row r="5143" spans="1:12">
      <c r="A5143">
        <v>6</v>
      </c>
      <c r="B5143" s="16" t="s">
        <v>61</v>
      </c>
      <c r="C5143" s="9">
        <v>46266</v>
      </c>
      <c r="D5143">
        <v>15</v>
      </c>
      <c r="E5143" s="16" t="s">
        <v>100</v>
      </c>
      <c r="F5143" s="16" t="s">
        <v>92</v>
      </c>
      <c r="G5143" s="22">
        <v>450</v>
      </c>
      <c r="H5143" s="18">
        <v>99</v>
      </c>
      <c r="I5143" s="18">
        <v>0.22</v>
      </c>
      <c r="J5143" s="18">
        <v>0.22</v>
      </c>
      <c r="K5143" s="18">
        <v>0.22</v>
      </c>
      <c r="L5143" s="22">
        <v>13</v>
      </c>
    </row>
    <row r="5144" spans="1:12">
      <c r="A5144">
        <v>6</v>
      </c>
      <c r="B5144" s="16" t="s">
        <v>61</v>
      </c>
      <c r="C5144" s="9">
        <v>45689</v>
      </c>
      <c r="D5144">
        <v>16</v>
      </c>
      <c r="E5144" s="16" t="s">
        <v>101</v>
      </c>
      <c r="F5144" s="16" t="s">
        <v>92</v>
      </c>
      <c r="G5144" s="22">
        <v>58.5</v>
      </c>
      <c r="H5144" s="18">
        <v>35.265000000000001</v>
      </c>
      <c r="I5144" s="18">
        <v>0.60282051299999995</v>
      </c>
      <c r="J5144" s="18">
        <v>0.61</v>
      </c>
      <c r="K5144" s="18">
        <v>0.59</v>
      </c>
      <c r="L5144" s="22">
        <v>12</v>
      </c>
    </row>
    <row r="5145" spans="1:12">
      <c r="A5145">
        <v>6</v>
      </c>
      <c r="B5145" s="16" t="s">
        <v>61</v>
      </c>
      <c r="C5145" s="9">
        <v>45717</v>
      </c>
      <c r="D5145">
        <v>16</v>
      </c>
      <c r="E5145" s="16" t="s">
        <v>101</v>
      </c>
      <c r="F5145" s="16" t="s">
        <v>92</v>
      </c>
      <c r="G5145" s="22">
        <v>57</v>
      </c>
      <c r="H5145" s="18">
        <v>33.465000000000003</v>
      </c>
      <c r="I5145" s="18">
        <v>0.58710526299999999</v>
      </c>
      <c r="J5145" s="18">
        <v>0.62</v>
      </c>
      <c r="K5145" s="18">
        <v>0.56999999999999995</v>
      </c>
      <c r="L5145" s="22">
        <v>13</v>
      </c>
    </row>
    <row r="5146" spans="1:12">
      <c r="A5146">
        <v>6</v>
      </c>
      <c r="B5146" s="16" t="s">
        <v>61</v>
      </c>
      <c r="C5146" s="9">
        <v>45748</v>
      </c>
      <c r="D5146">
        <v>16</v>
      </c>
      <c r="E5146" s="16" t="s">
        <v>101</v>
      </c>
      <c r="F5146" s="16" t="s">
        <v>92</v>
      </c>
      <c r="G5146" s="22">
        <v>58.5</v>
      </c>
      <c r="H5146" s="18">
        <v>32.97</v>
      </c>
      <c r="I5146" s="18">
        <v>0.56358974399999995</v>
      </c>
      <c r="J5146" s="18">
        <v>0.56999999999999995</v>
      </c>
      <c r="K5146" s="18">
        <v>0.55000000000000004</v>
      </c>
      <c r="L5146" s="22">
        <v>13</v>
      </c>
    </row>
    <row r="5147" spans="1:12">
      <c r="A5147">
        <v>6</v>
      </c>
      <c r="B5147" s="16" t="s">
        <v>61</v>
      </c>
      <c r="C5147" s="9">
        <v>45778</v>
      </c>
      <c r="D5147">
        <v>16</v>
      </c>
      <c r="E5147" s="16" t="s">
        <v>101</v>
      </c>
      <c r="F5147" s="16" t="s">
        <v>92</v>
      </c>
      <c r="G5147" s="22">
        <v>51</v>
      </c>
      <c r="H5147" s="18">
        <v>27.945</v>
      </c>
      <c r="I5147" s="18">
        <v>0.54794117600000003</v>
      </c>
      <c r="J5147" s="18">
        <v>0.56999999999999995</v>
      </c>
      <c r="K5147" s="18">
        <v>0.54</v>
      </c>
      <c r="L5147" s="22">
        <v>12</v>
      </c>
    </row>
    <row r="5148" spans="1:12">
      <c r="A5148">
        <v>6</v>
      </c>
      <c r="B5148" s="16" t="s">
        <v>61</v>
      </c>
      <c r="C5148" s="9">
        <v>45809</v>
      </c>
      <c r="D5148">
        <v>16</v>
      </c>
      <c r="E5148" s="16" t="s">
        <v>101</v>
      </c>
      <c r="F5148" s="16" t="s">
        <v>92</v>
      </c>
      <c r="G5148" s="22">
        <v>42</v>
      </c>
      <c r="H5148" s="18">
        <v>22.11</v>
      </c>
      <c r="I5148" s="18">
        <v>0.52642857099999996</v>
      </c>
      <c r="J5148" s="18">
        <v>0.54</v>
      </c>
      <c r="K5148" s="18">
        <v>0.51</v>
      </c>
      <c r="L5148" s="22">
        <v>13</v>
      </c>
    </row>
    <row r="5149" spans="1:12">
      <c r="A5149">
        <v>6</v>
      </c>
      <c r="B5149" s="16" t="s">
        <v>61</v>
      </c>
      <c r="C5149" s="9">
        <v>45839</v>
      </c>
      <c r="D5149">
        <v>16</v>
      </c>
      <c r="E5149" s="16" t="s">
        <v>101</v>
      </c>
      <c r="F5149" s="16" t="s">
        <v>92</v>
      </c>
      <c r="G5149" s="22">
        <v>37.5</v>
      </c>
      <c r="H5149" s="18">
        <v>19.664999999999999</v>
      </c>
      <c r="I5149" s="18">
        <v>0.52439999999999998</v>
      </c>
      <c r="J5149" s="18">
        <v>0.53</v>
      </c>
      <c r="K5149" s="18">
        <v>0.52</v>
      </c>
      <c r="L5149" s="22">
        <v>13</v>
      </c>
    </row>
    <row r="5150" spans="1:12">
      <c r="A5150">
        <v>6</v>
      </c>
      <c r="B5150" s="16" t="s">
        <v>61</v>
      </c>
      <c r="C5150" s="9">
        <v>45870</v>
      </c>
      <c r="D5150">
        <v>16</v>
      </c>
      <c r="E5150" s="16" t="s">
        <v>101</v>
      </c>
      <c r="F5150" s="16" t="s">
        <v>92</v>
      </c>
      <c r="G5150" s="22">
        <v>40.5</v>
      </c>
      <c r="H5150" s="18">
        <v>21.66</v>
      </c>
      <c r="I5150" s="18">
        <v>0.53481481500000005</v>
      </c>
      <c r="J5150" s="18">
        <v>0.54</v>
      </c>
      <c r="K5150" s="18">
        <v>0.52</v>
      </c>
      <c r="L5150" s="22">
        <v>12</v>
      </c>
    </row>
    <row r="5151" spans="1:12">
      <c r="A5151">
        <v>6</v>
      </c>
      <c r="B5151" s="16" t="s">
        <v>61</v>
      </c>
      <c r="C5151" s="9">
        <v>45901</v>
      </c>
      <c r="D5151">
        <v>16</v>
      </c>
      <c r="E5151" s="16" t="s">
        <v>101</v>
      </c>
      <c r="F5151" s="16" t="s">
        <v>92</v>
      </c>
      <c r="G5151" s="22">
        <v>43.5</v>
      </c>
      <c r="H5151" s="18">
        <v>23.91</v>
      </c>
      <c r="I5151" s="18">
        <v>0.54965517200000003</v>
      </c>
      <c r="J5151" s="18">
        <v>0.56999999999999995</v>
      </c>
      <c r="K5151" s="18">
        <v>0.54</v>
      </c>
      <c r="L5151" s="22">
        <v>13</v>
      </c>
    </row>
    <row r="5152" spans="1:12">
      <c r="A5152">
        <v>6</v>
      </c>
      <c r="B5152" s="16" t="s">
        <v>61</v>
      </c>
      <c r="C5152" s="9">
        <v>45931</v>
      </c>
      <c r="D5152">
        <v>16</v>
      </c>
      <c r="E5152" s="16" t="s">
        <v>101</v>
      </c>
      <c r="F5152" s="16" t="s">
        <v>92</v>
      </c>
      <c r="G5152" s="22">
        <v>63</v>
      </c>
      <c r="H5152" s="18">
        <v>36.284999999999997</v>
      </c>
      <c r="I5152" s="18">
        <v>0.57595238100000001</v>
      </c>
      <c r="J5152" s="18">
        <v>0.59</v>
      </c>
      <c r="K5152" s="18">
        <v>0.56000000000000005</v>
      </c>
      <c r="L5152" s="22">
        <v>13</v>
      </c>
    </row>
    <row r="5153" spans="1:12">
      <c r="A5153">
        <v>6</v>
      </c>
      <c r="B5153" s="16" t="s">
        <v>61</v>
      </c>
      <c r="C5153" s="9">
        <v>45962</v>
      </c>
      <c r="D5153">
        <v>16</v>
      </c>
      <c r="E5153" s="16" t="s">
        <v>101</v>
      </c>
      <c r="F5153" s="16" t="s">
        <v>92</v>
      </c>
      <c r="G5153" s="22">
        <v>46.5</v>
      </c>
      <c r="H5153" s="18">
        <v>27.87</v>
      </c>
      <c r="I5153" s="18">
        <v>0.59935483899999997</v>
      </c>
      <c r="J5153" s="18">
        <v>0.61</v>
      </c>
      <c r="K5153" s="18">
        <v>0.59</v>
      </c>
      <c r="L5153" s="22">
        <v>12</v>
      </c>
    </row>
    <row r="5154" spans="1:12">
      <c r="A5154">
        <v>6</v>
      </c>
      <c r="B5154" s="16" t="s">
        <v>61</v>
      </c>
      <c r="C5154" s="9">
        <v>45992</v>
      </c>
      <c r="D5154">
        <v>16</v>
      </c>
      <c r="E5154" s="16" t="s">
        <v>101</v>
      </c>
      <c r="F5154" s="16" t="s">
        <v>92</v>
      </c>
      <c r="G5154" s="22">
        <v>49.5</v>
      </c>
      <c r="H5154" s="18">
        <v>30.51</v>
      </c>
      <c r="I5154" s="18">
        <v>0.61636363599999999</v>
      </c>
      <c r="J5154" s="18">
        <v>0.63</v>
      </c>
      <c r="K5154" s="18">
        <v>0.6</v>
      </c>
      <c r="L5154" s="22">
        <v>14</v>
      </c>
    </row>
    <row r="5155" spans="1:12">
      <c r="A5155">
        <v>6</v>
      </c>
      <c r="B5155" s="16" t="s">
        <v>61</v>
      </c>
      <c r="C5155" s="9">
        <v>46023</v>
      </c>
      <c r="D5155">
        <v>16</v>
      </c>
      <c r="E5155" s="16" t="s">
        <v>101</v>
      </c>
      <c r="F5155" s="16" t="s">
        <v>92</v>
      </c>
      <c r="G5155" s="22">
        <v>58.5</v>
      </c>
      <c r="H5155" s="18">
        <v>36.51</v>
      </c>
      <c r="I5155" s="18">
        <v>0.62410256399999997</v>
      </c>
      <c r="J5155" s="18">
        <v>0.64</v>
      </c>
      <c r="K5155" s="18">
        <v>0.61</v>
      </c>
      <c r="L5155" s="22">
        <v>13</v>
      </c>
    </row>
    <row r="5156" spans="1:12">
      <c r="A5156">
        <v>6</v>
      </c>
      <c r="B5156" s="16" t="s">
        <v>61</v>
      </c>
      <c r="C5156" s="9">
        <v>46054</v>
      </c>
      <c r="D5156">
        <v>16</v>
      </c>
      <c r="E5156" s="16" t="s">
        <v>101</v>
      </c>
      <c r="F5156" s="16" t="s">
        <v>92</v>
      </c>
      <c r="G5156" s="22">
        <v>54</v>
      </c>
      <c r="H5156" s="18">
        <v>33.494999999999997</v>
      </c>
      <c r="I5156" s="18">
        <v>0.62027777799999995</v>
      </c>
      <c r="J5156" s="18">
        <v>0.63</v>
      </c>
      <c r="K5156" s="18">
        <v>0.62</v>
      </c>
      <c r="L5156" s="22">
        <v>12</v>
      </c>
    </row>
    <row r="5157" spans="1:12">
      <c r="A5157">
        <v>6</v>
      </c>
      <c r="B5157" s="16" t="s">
        <v>61</v>
      </c>
      <c r="C5157" s="9">
        <v>46082</v>
      </c>
      <c r="D5157">
        <v>16</v>
      </c>
      <c r="E5157" s="16" t="s">
        <v>101</v>
      </c>
      <c r="F5157" s="16" t="s">
        <v>92</v>
      </c>
      <c r="G5157" s="22">
        <v>64.5</v>
      </c>
      <c r="H5157" s="18">
        <v>39.255000000000003</v>
      </c>
      <c r="I5157" s="18">
        <v>0.60860465100000005</v>
      </c>
      <c r="J5157" s="18">
        <v>0.61</v>
      </c>
      <c r="K5157" s="18">
        <v>0.6</v>
      </c>
      <c r="L5157" s="22">
        <v>13</v>
      </c>
    </row>
    <row r="5158" spans="1:12">
      <c r="A5158">
        <v>6</v>
      </c>
      <c r="B5158" s="16" t="s">
        <v>61</v>
      </c>
      <c r="C5158" s="9">
        <v>46113</v>
      </c>
      <c r="D5158">
        <v>16</v>
      </c>
      <c r="E5158" s="16" t="s">
        <v>101</v>
      </c>
      <c r="F5158" s="16" t="s">
        <v>92</v>
      </c>
      <c r="G5158" s="22">
        <v>55.5</v>
      </c>
      <c r="H5158" s="18">
        <v>31.89</v>
      </c>
      <c r="I5158" s="18">
        <v>0.57459459499999999</v>
      </c>
      <c r="J5158" s="18">
        <v>0.59</v>
      </c>
      <c r="K5158" s="18">
        <v>0.56000000000000005</v>
      </c>
      <c r="L5158" s="22">
        <v>13</v>
      </c>
    </row>
    <row r="5159" spans="1:12">
      <c r="A5159">
        <v>6</v>
      </c>
      <c r="B5159" s="16" t="s">
        <v>61</v>
      </c>
      <c r="C5159" s="9">
        <v>46143</v>
      </c>
      <c r="D5159">
        <v>16</v>
      </c>
      <c r="E5159" s="16" t="s">
        <v>101</v>
      </c>
      <c r="F5159" s="16" t="s">
        <v>92</v>
      </c>
      <c r="G5159" s="22">
        <v>51</v>
      </c>
      <c r="H5159" s="18">
        <v>27.914999999999999</v>
      </c>
      <c r="I5159" s="18">
        <v>0.54735294099999998</v>
      </c>
      <c r="J5159" s="18">
        <v>0.56999999999999995</v>
      </c>
      <c r="K5159" s="18">
        <v>0.54</v>
      </c>
      <c r="L5159" s="22">
        <v>13</v>
      </c>
    </row>
    <row r="5160" spans="1:12">
      <c r="A5160">
        <v>6</v>
      </c>
      <c r="B5160" s="16" t="s">
        <v>61</v>
      </c>
      <c r="C5160" s="9">
        <v>46174</v>
      </c>
      <c r="D5160">
        <v>16</v>
      </c>
      <c r="E5160" s="16" t="s">
        <v>101</v>
      </c>
      <c r="F5160" s="16" t="s">
        <v>92</v>
      </c>
      <c r="G5160" s="22">
        <v>43.5</v>
      </c>
      <c r="H5160" s="18">
        <v>23.55</v>
      </c>
      <c r="I5160" s="18">
        <v>0.54137930999999995</v>
      </c>
      <c r="J5160" s="18">
        <v>0.56999999999999995</v>
      </c>
      <c r="K5160" s="18">
        <v>0.52</v>
      </c>
      <c r="L5160" s="22">
        <v>13</v>
      </c>
    </row>
    <row r="5161" spans="1:12">
      <c r="A5161">
        <v>6</v>
      </c>
      <c r="B5161" s="16" t="s">
        <v>61</v>
      </c>
      <c r="C5161" s="9">
        <v>46204</v>
      </c>
      <c r="D5161">
        <v>16</v>
      </c>
      <c r="E5161" s="16" t="s">
        <v>101</v>
      </c>
      <c r="F5161" s="16" t="s">
        <v>92</v>
      </c>
      <c r="G5161" s="22">
        <v>48</v>
      </c>
      <c r="H5161" s="18">
        <v>25.62</v>
      </c>
      <c r="I5161" s="18">
        <v>0.53374999999999995</v>
      </c>
      <c r="J5161" s="18">
        <v>0.55000000000000004</v>
      </c>
      <c r="K5161" s="18">
        <v>0.52</v>
      </c>
      <c r="L5161" s="22">
        <v>14</v>
      </c>
    </row>
    <row r="5162" spans="1:12">
      <c r="A5162">
        <v>6</v>
      </c>
      <c r="B5162" s="16" t="s">
        <v>61</v>
      </c>
      <c r="C5162" s="9">
        <v>46235</v>
      </c>
      <c r="D5162">
        <v>16</v>
      </c>
      <c r="E5162" s="16" t="s">
        <v>101</v>
      </c>
      <c r="F5162" s="16" t="s">
        <v>92</v>
      </c>
      <c r="G5162" s="22">
        <v>31.5</v>
      </c>
      <c r="H5162" s="18">
        <v>16.934999999999999</v>
      </c>
      <c r="I5162" s="18">
        <v>0.53761904800000004</v>
      </c>
      <c r="J5162" s="18">
        <v>0.54</v>
      </c>
      <c r="K5162" s="18">
        <v>0.53</v>
      </c>
      <c r="L5162" s="22">
        <v>12</v>
      </c>
    </row>
    <row r="5163" spans="1:12">
      <c r="A5163">
        <v>6</v>
      </c>
      <c r="B5163" s="16" t="s">
        <v>61</v>
      </c>
      <c r="C5163" s="9">
        <v>46266</v>
      </c>
      <c r="D5163">
        <v>16</v>
      </c>
      <c r="E5163" s="16" t="s">
        <v>101</v>
      </c>
      <c r="F5163" s="16" t="s">
        <v>92</v>
      </c>
      <c r="G5163" s="22">
        <v>46.5</v>
      </c>
      <c r="H5163" s="18">
        <v>25.664999999999999</v>
      </c>
      <c r="I5163" s="18">
        <v>0.55193548400000003</v>
      </c>
      <c r="J5163" s="18">
        <v>0.56000000000000005</v>
      </c>
      <c r="K5163" s="18">
        <v>0.55000000000000004</v>
      </c>
      <c r="L5163" s="22">
        <v>13</v>
      </c>
    </row>
    <row r="5164" spans="1:12">
      <c r="A5164">
        <v>6</v>
      </c>
      <c r="B5164" s="16" t="s">
        <v>61</v>
      </c>
      <c r="C5164" s="9">
        <v>45689</v>
      </c>
      <c r="D5164">
        <v>17</v>
      </c>
      <c r="E5164" s="16" t="s">
        <v>102</v>
      </c>
      <c r="F5164" s="16" t="s">
        <v>103</v>
      </c>
      <c r="G5164" s="22">
        <v>6.75</v>
      </c>
      <c r="H5164" s="18">
        <v>75.352500000000006</v>
      </c>
      <c r="I5164" s="18">
        <v>11.163333333000001</v>
      </c>
      <c r="J5164" s="18">
        <v>11.27</v>
      </c>
      <c r="K5164" s="18">
        <v>11.11</v>
      </c>
      <c r="L5164" s="22">
        <v>2</v>
      </c>
    </row>
    <row r="5165" spans="1:12">
      <c r="A5165">
        <v>6</v>
      </c>
      <c r="B5165" s="16" t="s">
        <v>61</v>
      </c>
      <c r="C5165" s="9">
        <v>45717</v>
      </c>
      <c r="D5165">
        <v>17</v>
      </c>
      <c r="E5165" s="16" t="s">
        <v>102</v>
      </c>
      <c r="F5165" s="16" t="s">
        <v>103</v>
      </c>
      <c r="G5165" s="22">
        <v>6.75</v>
      </c>
      <c r="H5165" s="18">
        <v>75.959999999999994</v>
      </c>
      <c r="I5165" s="18">
        <v>11.253333333</v>
      </c>
      <c r="J5165" s="18">
        <v>11.35</v>
      </c>
      <c r="K5165" s="18">
        <v>11.06</v>
      </c>
      <c r="L5165" s="22">
        <v>2</v>
      </c>
    </row>
    <row r="5166" spans="1:12">
      <c r="A5166">
        <v>6</v>
      </c>
      <c r="B5166" s="16" t="s">
        <v>61</v>
      </c>
      <c r="C5166" s="9">
        <v>45748</v>
      </c>
      <c r="D5166">
        <v>17</v>
      </c>
      <c r="E5166" s="16" t="s">
        <v>102</v>
      </c>
      <c r="F5166" s="16" t="s">
        <v>103</v>
      </c>
      <c r="G5166" s="22">
        <v>9</v>
      </c>
      <c r="H5166" s="18">
        <v>101.61</v>
      </c>
      <c r="I5166" s="18">
        <v>11.29</v>
      </c>
      <c r="J5166" s="18">
        <v>11.44</v>
      </c>
      <c r="K5166" s="18">
        <v>11.08</v>
      </c>
      <c r="L5166" s="22">
        <v>3</v>
      </c>
    </row>
    <row r="5167" spans="1:12">
      <c r="A5167">
        <v>6</v>
      </c>
      <c r="B5167" s="16" t="s">
        <v>61</v>
      </c>
      <c r="C5167" s="9">
        <v>45778</v>
      </c>
      <c r="D5167">
        <v>17</v>
      </c>
      <c r="E5167" s="16" t="s">
        <v>102</v>
      </c>
      <c r="F5167" s="16" t="s">
        <v>103</v>
      </c>
      <c r="G5167" s="22">
        <v>4.5</v>
      </c>
      <c r="H5167" s="18">
        <v>51.435000000000002</v>
      </c>
      <c r="I5167" s="18">
        <v>11.43</v>
      </c>
      <c r="J5167" s="18">
        <v>11.49</v>
      </c>
      <c r="K5167" s="18">
        <v>11.37</v>
      </c>
      <c r="L5167" s="22">
        <v>2</v>
      </c>
    </row>
    <row r="5168" spans="1:12">
      <c r="A5168">
        <v>6</v>
      </c>
      <c r="B5168" s="16" t="s">
        <v>61</v>
      </c>
      <c r="C5168" s="9">
        <v>45809</v>
      </c>
      <c r="D5168">
        <v>17</v>
      </c>
      <c r="E5168" s="16" t="s">
        <v>102</v>
      </c>
      <c r="F5168" s="16" t="s">
        <v>103</v>
      </c>
      <c r="G5168" s="22">
        <v>2.25</v>
      </c>
      <c r="H5168" s="18">
        <v>25.965</v>
      </c>
      <c r="I5168" s="18">
        <v>11.54</v>
      </c>
      <c r="J5168" s="18">
        <v>11.54</v>
      </c>
      <c r="K5168" s="18">
        <v>11.54</v>
      </c>
      <c r="L5168" s="22">
        <v>1</v>
      </c>
    </row>
    <row r="5169" spans="1:12">
      <c r="A5169">
        <v>6</v>
      </c>
      <c r="B5169" s="16" t="s">
        <v>61</v>
      </c>
      <c r="C5169" s="9">
        <v>45839</v>
      </c>
      <c r="D5169">
        <v>17</v>
      </c>
      <c r="E5169" s="16" t="s">
        <v>102</v>
      </c>
      <c r="F5169" s="16" t="s">
        <v>103</v>
      </c>
      <c r="G5169" s="22">
        <v>4.5</v>
      </c>
      <c r="H5169" s="18">
        <v>51.3</v>
      </c>
      <c r="I5169" s="18">
        <v>11.4</v>
      </c>
      <c r="J5169" s="18">
        <v>11.4</v>
      </c>
      <c r="K5169" s="18">
        <v>11.4</v>
      </c>
      <c r="L5169" s="22">
        <v>2</v>
      </c>
    </row>
    <row r="5170" spans="1:12">
      <c r="A5170">
        <v>6</v>
      </c>
      <c r="B5170" s="16" t="s">
        <v>61</v>
      </c>
      <c r="C5170" s="9">
        <v>45870</v>
      </c>
      <c r="D5170">
        <v>17</v>
      </c>
      <c r="E5170" s="16" t="s">
        <v>102</v>
      </c>
      <c r="F5170" s="16" t="s">
        <v>103</v>
      </c>
      <c r="G5170" s="22">
        <v>2.25</v>
      </c>
      <c r="H5170" s="18">
        <v>25.875</v>
      </c>
      <c r="I5170" s="18">
        <v>11.5</v>
      </c>
      <c r="J5170" s="18">
        <v>11.5</v>
      </c>
      <c r="K5170" s="18">
        <v>11.5</v>
      </c>
      <c r="L5170" s="22">
        <v>1</v>
      </c>
    </row>
    <row r="5171" spans="1:12">
      <c r="A5171">
        <v>6</v>
      </c>
      <c r="B5171" s="16" t="s">
        <v>61</v>
      </c>
      <c r="C5171" s="9">
        <v>45901</v>
      </c>
      <c r="D5171">
        <v>17</v>
      </c>
      <c r="E5171" s="16" t="s">
        <v>102</v>
      </c>
      <c r="F5171" s="16" t="s">
        <v>103</v>
      </c>
      <c r="G5171" s="22">
        <v>4.5</v>
      </c>
      <c r="H5171" s="18">
        <v>51.075000000000003</v>
      </c>
      <c r="I5171" s="18">
        <v>11.35</v>
      </c>
      <c r="J5171" s="18">
        <v>11.38</v>
      </c>
      <c r="K5171" s="18">
        <v>11.32</v>
      </c>
      <c r="L5171" s="22">
        <v>2</v>
      </c>
    </row>
    <row r="5172" spans="1:12">
      <c r="A5172">
        <v>6</v>
      </c>
      <c r="B5172" s="16" t="s">
        <v>61</v>
      </c>
      <c r="C5172" s="9">
        <v>45931</v>
      </c>
      <c r="D5172">
        <v>17</v>
      </c>
      <c r="E5172" s="16" t="s">
        <v>102</v>
      </c>
      <c r="F5172" s="16" t="s">
        <v>103</v>
      </c>
      <c r="G5172" s="22">
        <v>6.75</v>
      </c>
      <c r="H5172" s="18">
        <v>76.86</v>
      </c>
      <c r="I5172" s="18">
        <v>11.386666667</v>
      </c>
      <c r="J5172" s="18">
        <v>11.43</v>
      </c>
      <c r="K5172" s="18">
        <v>11.34</v>
      </c>
      <c r="L5172" s="22">
        <v>3</v>
      </c>
    </row>
    <row r="5173" spans="1:12">
      <c r="A5173">
        <v>6</v>
      </c>
      <c r="B5173" s="16" t="s">
        <v>61</v>
      </c>
      <c r="C5173" s="9">
        <v>45962</v>
      </c>
      <c r="D5173">
        <v>17</v>
      </c>
      <c r="E5173" s="16" t="s">
        <v>102</v>
      </c>
      <c r="F5173" s="16" t="s">
        <v>103</v>
      </c>
      <c r="G5173" s="22">
        <v>4.5</v>
      </c>
      <c r="H5173" s="18">
        <v>50.895000000000003</v>
      </c>
      <c r="I5173" s="18">
        <v>11.31</v>
      </c>
      <c r="J5173" s="18">
        <v>11.34</v>
      </c>
      <c r="K5173" s="18">
        <v>11.28</v>
      </c>
      <c r="L5173" s="22">
        <v>2</v>
      </c>
    </row>
    <row r="5174" spans="1:12">
      <c r="A5174">
        <v>6</v>
      </c>
      <c r="B5174" s="16" t="s">
        <v>61</v>
      </c>
      <c r="C5174" s="9">
        <v>45992</v>
      </c>
      <c r="D5174">
        <v>17</v>
      </c>
      <c r="E5174" s="16" t="s">
        <v>102</v>
      </c>
      <c r="F5174" s="16" t="s">
        <v>103</v>
      </c>
      <c r="G5174" s="22">
        <v>4.5</v>
      </c>
      <c r="H5174" s="18">
        <v>51.277500000000003</v>
      </c>
      <c r="I5174" s="18">
        <v>11.395</v>
      </c>
      <c r="J5174" s="18">
        <v>11.49</v>
      </c>
      <c r="K5174" s="18">
        <v>11.3</v>
      </c>
      <c r="L5174" s="22">
        <v>2</v>
      </c>
    </row>
    <row r="5175" spans="1:12">
      <c r="A5175">
        <v>6</v>
      </c>
      <c r="B5175" s="16" t="s">
        <v>61</v>
      </c>
      <c r="C5175" s="9">
        <v>46023</v>
      </c>
      <c r="D5175">
        <v>17</v>
      </c>
      <c r="E5175" s="16" t="s">
        <v>102</v>
      </c>
      <c r="F5175" s="16" t="s">
        <v>103</v>
      </c>
      <c r="G5175" s="22">
        <v>4.5</v>
      </c>
      <c r="H5175" s="18">
        <v>51.907499999999999</v>
      </c>
      <c r="I5175" s="18">
        <v>11.535</v>
      </c>
      <c r="J5175" s="18">
        <v>11.55</v>
      </c>
      <c r="K5175" s="18">
        <v>11.52</v>
      </c>
      <c r="L5175" s="22">
        <v>2</v>
      </c>
    </row>
    <row r="5176" spans="1:12">
      <c r="A5176">
        <v>6</v>
      </c>
      <c r="B5176" s="16" t="s">
        <v>61</v>
      </c>
      <c r="C5176" s="9">
        <v>46054</v>
      </c>
      <c r="D5176">
        <v>17</v>
      </c>
      <c r="E5176" s="16" t="s">
        <v>102</v>
      </c>
      <c r="F5176" s="16" t="s">
        <v>103</v>
      </c>
      <c r="G5176" s="22">
        <v>6.75</v>
      </c>
      <c r="H5176" s="18">
        <v>77.805000000000007</v>
      </c>
      <c r="I5176" s="18">
        <v>11.526666667000001</v>
      </c>
      <c r="J5176" s="18">
        <v>11.62</v>
      </c>
      <c r="K5176" s="18">
        <v>11.48</v>
      </c>
      <c r="L5176" s="22">
        <v>2</v>
      </c>
    </row>
    <row r="5177" spans="1:12">
      <c r="A5177">
        <v>6</v>
      </c>
      <c r="B5177" s="16" t="s">
        <v>61</v>
      </c>
      <c r="C5177" s="9">
        <v>46082</v>
      </c>
      <c r="D5177">
        <v>17</v>
      </c>
      <c r="E5177" s="16" t="s">
        <v>102</v>
      </c>
      <c r="F5177" s="16" t="s">
        <v>103</v>
      </c>
      <c r="G5177" s="22">
        <v>6.75</v>
      </c>
      <c r="H5177" s="18">
        <v>77.265000000000001</v>
      </c>
      <c r="I5177" s="18">
        <v>11.446666667000001</v>
      </c>
      <c r="J5177" s="18">
        <v>11.64</v>
      </c>
      <c r="K5177" s="18">
        <v>11.35</v>
      </c>
      <c r="L5177" s="22">
        <v>2</v>
      </c>
    </row>
    <row r="5178" spans="1:12">
      <c r="A5178">
        <v>6</v>
      </c>
      <c r="B5178" s="16" t="s">
        <v>61</v>
      </c>
      <c r="C5178" s="9">
        <v>46113</v>
      </c>
      <c r="D5178">
        <v>17</v>
      </c>
      <c r="E5178" s="16" t="s">
        <v>102</v>
      </c>
      <c r="F5178" s="16" t="s">
        <v>103</v>
      </c>
      <c r="G5178" s="22">
        <v>6.75</v>
      </c>
      <c r="H5178" s="18">
        <v>78.03</v>
      </c>
      <c r="I5178" s="18">
        <v>11.56</v>
      </c>
      <c r="J5178" s="18">
        <v>11.64</v>
      </c>
      <c r="K5178" s="18">
        <v>11.42</v>
      </c>
      <c r="L5178" s="22">
        <v>3</v>
      </c>
    </row>
    <row r="5179" spans="1:12">
      <c r="A5179">
        <v>6</v>
      </c>
      <c r="B5179" s="16" t="s">
        <v>61</v>
      </c>
      <c r="C5179" s="9">
        <v>46143</v>
      </c>
      <c r="D5179">
        <v>17</v>
      </c>
      <c r="E5179" s="16" t="s">
        <v>102</v>
      </c>
      <c r="F5179" s="16" t="s">
        <v>103</v>
      </c>
      <c r="G5179" s="22">
        <v>4.5</v>
      </c>
      <c r="H5179" s="18">
        <v>51.907499999999999</v>
      </c>
      <c r="I5179" s="18">
        <v>11.535</v>
      </c>
      <c r="J5179" s="18">
        <v>11.54</v>
      </c>
      <c r="K5179" s="18">
        <v>11.53</v>
      </c>
      <c r="L5179" s="22">
        <v>2</v>
      </c>
    </row>
    <row r="5180" spans="1:12">
      <c r="A5180">
        <v>6</v>
      </c>
      <c r="B5180" s="16" t="s">
        <v>61</v>
      </c>
      <c r="C5180" s="9">
        <v>46174</v>
      </c>
      <c r="D5180">
        <v>17</v>
      </c>
      <c r="E5180" s="16" t="s">
        <v>102</v>
      </c>
      <c r="F5180" s="16" t="s">
        <v>103</v>
      </c>
      <c r="G5180" s="22">
        <v>2.25</v>
      </c>
      <c r="H5180" s="18">
        <v>25.785</v>
      </c>
      <c r="I5180" s="18">
        <v>11.46</v>
      </c>
      <c r="J5180" s="18">
        <v>11.46</v>
      </c>
      <c r="K5180" s="18">
        <v>11.46</v>
      </c>
      <c r="L5180" s="22">
        <v>1</v>
      </c>
    </row>
    <row r="5181" spans="1:12">
      <c r="A5181">
        <v>6</v>
      </c>
      <c r="B5181" s="16" t="s">
        <v>61</v>
      </c>
      <c r="C5181" s="9">
        <v>46204</v>
      </c>
      <c r="D5181">
        <v>17</v>
      </c>
      <c r="E5181" s="16" t="s">
        <v>102</v>
      </c>
      <c r="F5181" s="16" t="s">
        <v>103</v>
      </c>
      <c r="G5181" s="22">
        <v>4.5</v>
      </c>
      <c r="H5181" s="18">
        <v>53.325000000000003</v>
      </c>
      <c r="I5181" s="18">
        <v>11.85</v>
      </c>
      <c r="J5181" s="18">
        <v>11.88</v>
      </c>
      <c r="K5181" s="18">
        <v>11.82</v>
      </c>
      <c r="L5181" s="22">
        <v>2</v>
      </c>
    </row>
    <row r="5182" spans="1:12">
      <c r="A5182">
        <v>6</v>
      </c>
      <c r="B5182" s="16" t="s">
        <v>61</v>
      </c>
      <c r="C5182" s="9">
        <v>46235</v>
      </c>
      <c r="D5182">
        <v>17</v>
      </c>
      <c r="E5182" s="16" t="s">
        <v>102</v>
      </c>
      <c r="F5182" s="16" t="s">
        <v>103</v>
      </c>
      <c r="G5182" s="22">
        <v>2.25</v>
      </c>
      <c r="H5182" s="18">
        <v>26.1675</v>
      </c>
      <c r="I5182" s="18">
        <v>11.63</v>
      </c>
      <c r="J5182" s="18">
        <v>11.63</v>
      </c>
      <c r="K5182" s="18">
        <v>11.63</v>
      </c>
      <c r="L5182" s="22">
        <v>1</v>
      </c>
    </row>
    <row r="5183" spans="1:12">
      <c r="A5183">
        <v>6</v>
      </c>
      <c r="B5183" s="16" t="s">
        <v>61</v>
      </c>
      <c r="C5183" s="9">
        <v>46266</v>
      </c>
      <c r="D5183">
        <v>17</v>
      </c>
      <c r="E5183" s="16" t="s">
        <v>102</v>
      </c>
      <c r="F5183" s="16" t="s">
        <v>103</v>
      </c>
      <c r="G5183" s="22">
        <v>2.25</v>
      </c>
      <c r="H5183" s="18">
        <v>27</v>
      </c>
      <c r="I5183" s="18">
        <v>12</v>
      </c>
      <c r="J5183" s="18">
        <v>12</v>
      </c>
      <c r="K5183" s="18">
        <v>12</v>
      </c>
      <c r="L5183" s="22">
        <v>1</v>
      </c>
    </row>
    <row r="5184" spans="1:12">
      <c r="A5184">
        <v>6</v>
      </c>
      <c r="B5184" s="16" t="s">
        <v>61</v>
      </c>
      <c r="C5184" s="9">
        <v>45689</v>
      </c>
      <c r="D5184">
        <v>18</v>
      </c>
      <c r="E5184" s="16" t="s">
        <v>104</v>
      </c>
      <c r="F5184" s="16" t="s">
        <v>103</v>
      </c>
      <c r="G5184" s="22">
        <v>9</v>
      </c>
      <c r="H5184" s="18">
        <v>81.39</v>
      </c>
      <c r="I5184" s="18">
        <v>9.0433333329999996</v>
      </c>
      <c r="J5184" s="18">
        <v>9.31</v>
      </c>
      <c r="K5184" s="18">
        <v>8.91</v>
      </c>
      <c r="L5184" s="22">
        <v>2</v>
      </c>
    </row>
    <row r="5185" spans="1:12">
      <c r="A5185">
        <v>6</v>
      </c>
      <c r="B5185" s="16" t="s">
        <v>61</v>
      </c>
      <c r="C5185" s="9">
        <v>45717</v>
      </c>
      <c r="D5185">
        <v>18</v>
      </c>
      <c r="E5185" s="16" t="s">
        <v>104</v>
      </c>
      <c r="F5185" s="16" t="s">
        <v>103</v>
      </c>
      <c r="G5185" s="22">
        <v>9</v>
      </c>
      <c r="H5185" s="18">
        <v>80.55</v>
      </c>
      <c r="I5185" s="18">
        <v>8.9499999999999993</v>
      </c>
      <c r="J5185" s="18">
        <v>8.99</v>
      </c>
      <c r="K5185" s="18">
        <v>8.8699999999999992</v>
      </c>
      <c r="L5185" s="22">
        <v>2</v>
      </c>
    </row>
    <row r="5186" spans="1:12">
      <c r="A5186">
        <v>6</v>
      </c>
      <c r="B5186" s="16" t="s">
        <v>61</v>
      </c>
      <c r="C5186" s="9">
        <v>45748</v>
      </c>
      <c r="D5186">
        <v>18</v>
      </c>
      <c r="E5186" s="16" t="s">
        <v>104</v>
      </c>
      <c r="F5186" s="16" t="s">
        <v>103</v>
      </c>
      <c r="G5186" s="22">
        <v>12</v>
      </c>
      <c r="H5186" s="18">
        <v>105.33</v>
      </c>
      <c r="I5186" s="18">
        <v>8.7774999999999999</v>
      </c>
      <c r="J5186" s="18">
        <v>8.9499999999999993</v>
      </c>
      <c r="K5186" s="18">
        <v>8.65</v>
      </c>
      <c r="L5186" s="22">
        <v>3</v>
      </c>
    </row>
    <row r="5187" spans="1:12">
      <c r="A5187">
        <v>6</v>
      </c>
      <c r="B5187" s="16" t="s">
        <v>61</v>
      </c>
      <c r="C5187" s="9">
        <v>45778</v>
      </c>
      <c r="D5187">
        <v>18</v>
      </c>
      <c r="E5187" s="16" t="s">
        <v>104</v>
      </c>
      <c r="F5187" s="16" t="s">
        <v>103</v>
      </c>
      <c r="G5187" s="22">
        <v>6</v>
      </c>
      <c r="H5187" s="18">
        <v>53.16</v>
      </c>
      <c r="I5187" s="18">
        <v>8.86</v>
      </c>
      <c r="J5187" s="18">
        <v>8.9700000000000006</v>
      </c>
      <c r="K5187" s="18">
        <v>8.75</v>
      </c>
      <c r="L5187" s="22">
        <v>2</v>
      </c>
    </row>
    <row r="5188" spans="1:12">
      <c r="A5188">
        <v>6</v>
      </c>
      <c r="B5188" s="16" t="s">
        <v>61</v>
      </c>
      <c r="C5188" s="9">
        <v>45809</v>
      </c>
      <c r="D5188">
        <v>18</v>
      </c>
      <c r="E5188" s="16" t="s">
        <v>104</v>
      </c>
      <c r="F5188" s="16" t="s">
        <v>103</v>
      </c>
      <c r="G5188" s="22">
        <v>6</v>
      </c>
      <c r="H5188" s="18">
        <v>52.98</v>
      </c>
      <c r="I5188" s="18">
        <v>8.83</v>
      </c>
      <c r="J5188" s="18">
        <v>8.9</v>
      </c>
      <c r="K5188" s="18">
        <v>8.76</v>
      </c>
      <c r="L5188" s="22">
        <v>2</v>
      </c>
    </row>
    <row r="5189" spans="1:12">
      <c r="A5189">
        <v>6</v>
      </c>
      <c r="B5189" s="16" t="s">
        <v>61</v>
      </c>
      <c r="C5189" s="9">
        <v>45839</v>
      </c>
      <c r="D5189">
        <v>18</v>
      </c>
      <c r="E5189" s="16" t="s">
        <v>104</v>
      </c>
      <c r="F5189" s="16" t="s">
        <v>103</v>
      </c>
      <c r="G5189" s="22">
        <v>6</v>
      </c>
      <c r="H5189" s="18">
        <v>53.91</v>
      </c>
      <c r="I5189" s="18">
        <v>8.9849999999999994</v>
      </c>
      <c r="J5189" s="18">
        <v>9.0399999999999991</v>
      </c>
      <c r="K5189" s="18">
        <v>8.93</v>
      </c>
      <c r="L5189" s="22">
        <v>2</v>
      </c>
    </row>
    <row r="5190" spans="1:12">
      <c r="A5190">
        <v>6</v>
      </c>
      <c r="B5190" s="16" t="s">
        <v>61</v>
      </c>
      <c r="C5190" s="9">
        <v>45870</v>
      </c>
      <c r="D5190">
        <v>18</v>
      </c>
      <c r="E5190" s="16" t="s">
        <v>104</v>
      </c>
      <c r="F5190" s="16" t="s">
        <v>103</v>
      </c>
      <c r="G5190" s="22">
        <v>6</v>
      </c>
      <c r="H5190" s="18">
        <v>55.41</v>
      </c>
      <c r="I5190" s="18">
        <v>9.2349999999999994</v>
      </c>
      <c r="J5190" s="18">
        <v>9.24</v>
      </c>
      <c r="K5190" s="18">
        <v>9.23</v>
      </c>
      <c r="L5190" s="22">
        <v>2</v>
      </c>
    </row>
    <row r="5191" spans="1:12">
      <c r="A5191">
        <v>6</v>
      </c>
      <c r="B5191" s="16" t="s">
        <v>61</v>
      </c>
      <c r="C5191" s="9">
        <v>45901</v>
      </c>
      <c r="D5191">
        <v>18</v>
      </c>
      <c r="E5191" s="16" t="s">
        <v>104</v>
      </c>
      <c r="F5191" s="16" t="s">
        <v>103</v>
      </c>
      <c r="G5191" s="22">
        <v>6</v>
      </c>
      <c r="H5191" s="18">
        <v>55.35</v>
      </c>
      <c r="I5191" s="18">
        <v>9.2249999999999996</v>
      </c>
      <c r="J5191" s="18">
        <v>9.25</v>
      </c>
      <c r="K5191" s="18">
        <v>9.1999999999999993</v>
      </c>
      <c r="L5191" s="22">
        <v>2</v>
      </c>
    </row>
    <row r="5192" spans="1:12">
      <c r="A5192">
        <v>6</v>
      </c>
      <c r="B5192" s="16" t="s">
        <v>61</v>
      </c>
      <c r="C5192" s="9">
        <v>45931</v>
      </c>
      <c r="D5192">
        <v>18</v>
      </c>
      <c r="E5192" s="16" t="s">
        <v>104</v>
      </c>
      <c r="F5192" s="16" t="s">
        <v>103</v>
      </c>
      <c r="G5192" s="22">
        <v>9</v>
      </c>
      <c r="H5192" s="18">
        <v>83.22</v>
      </c>
      <c r="I5192" s="18">
        <v>9.2466666669999995</v>
      </c>
      <c r="J5192" s="18">
        <v>9.26</v>
      </c>
      <c r="K5192" s="18">
        <v>9.23</v>
      </c>
      <c r="L5192" s="22">
        <v>3</v>
      </c>
    </row>
    <row r="5193" spans="1:12">
      <c r="A5193">
        <v>6</v>
      </c>
      <c r="B5193" s="16" t="s">
        <v>61</v>
      </c>
      <c r="C5193" s="9">
        <v>45962</v>
      </c>
      <c r="D5193">
        <v>18</v>
      </c>
      <c r="E5193" s="16" t="s">
        <v>104</v>
      </c>
      <c r="F5193" s="16" t="s">
        <v>103</v>
      </c>
      <c r="G5193" s="22">
        <v>9</v>
      </c>
      <c r="H5193" s="18">
        <v>84.06</v>
      </c>
      <c r="I5193" s="18">
        <v>9.34</v>
      </c>
      <c r="J5193" s="18">
        <v>9.39</v>
      </c>
      <c r="K5193" s="18">
        <v>9.24</v>
      </c>
      <c r="L5193" s="22">
        <v>2</v>
      </c>
    </row>
    <row r="5194" spans="1:12">
      <c r="A5194">
        <v>6</v>
      </c>
      <c r="B5194" s="16" t="s">
        <v>61</v>
      </c>
      <c r="C5194" s="9">
        <v>45992</v>
      </c>
      <c r="D5194">
        <v>18</v>
      </c>
      <c r="E5194" s="16" t="s">
        <v>104</v>
      </c>
      <c r="F5194" s="16" t="s">
        <v>103</v>
      </c>
      <c r="G5194" s="22">
        <v>6</v>
      </c>
      <c r="H5194" s="18">
        <v>56.61</v>
      </c>
      <c r="I5194" s="18">
        <v>9.4350000000000005</v>
      </c>
      <c r="J5194" s="18">
        <v>9.5399999999999991</v>
      </c>
      <c r="K5194" s="18">
        <v>9.33</v>
      </c>
      <c r="L5194" s="22">
        <v>2</v>
      </c>
    </row>
    <row r="5195" spans="1:12">
      <c r="A5195">
        <v>6</v>
      </c>
      <c r="B5195" s="16" t="s">
        <v>61</v>
      </c>
      <c r="C5195" s="9">
        <v>46023</v>
      </c>
      <c r="D5195">
        <v>18</v>
      </c>
      <c r="E5195" s="16" t="s">
        <v>104</v>
      </c>
      <c r="F5195" s="16" t="s">
        <v>103</v>
      </c>
      <c r="G5195" s="22">
        <v>6</v>
      </c>
      <c r="H5195" s="18">
        <v>56.52</v>
      </c>
      <c r="I5195" s="18">
        <v>9.42</v>
      </c>
      <c r="J5195" s="18">
        <v>9.51</v>
      </c>
      <c r="K5195" s="18">
        <v>9.33</v>
      </c>
      <c r="L5195" s="22">
        <v>2</v>
      </c>
    </row>
    <row r="5196" spans="1:12">
      <c r="A5196">
        <v>6</v>
      </c>
      <c r="B5196" s="16" t="s">
        <v>61</v>
      </c>
      <c r="C5196" s="9">
        <v>46054</v>
      </c>
      <c r="D5196">
        <v>18</v>
      </c>
      <c r="E5196" s="16" t="s">
        <v>104</v>
      </c>
      <c r="F5196" s="16" t="s">
        <v>103</v>
      </c>
      <c r="G5196" s="22">
        <v>6</v>
      </c>
      <c r="H5196" s="18">
        <v>57.57</v>
      </c>
      <c r="I5196" s="18">
        <v>9.5950000000000006</v>
      </c>
      <c r="J5196" s="18">
        <v>9.6300000000000008</v>
      </c>
      <c r="K5196" s="18">
        <v>9.56</v>
      </c>
      <c r="L5196" s="22">
        <v>2</v>
      </c>
    </row>
    <row r="5197" spans="1:12">
      <c r="A5197">
        <v>6</v>
      </c>
      <c r="B5197" s="16" t="s">
        <v>61</v>
      </c>
      <c r="C5197" s="9">
        <v>46082</v>
      </c>
      <c r="D5197">
        <v>18</v>
      </c>
      <c r="E5197" s="16" t="s">
        <v>104</v>
      </c>
      <c r="F5197" s="16" t="s">
        <v>103</v>
      </c>
      <c r="G5197" s="22">
        <v>9</v>
      </c>
      <c r="H5197" s="18">
        <v>85.53</v>
      </c>
      <c r="I5197" s="18">
        <v>9.5033333330000005</v>
      </c>
      <c r="J5197" s="18">
        <v>9.59</v>
      </c>
      <c r="K5197" s="18">
        <v>9.4600000000000009</v>
      </c>
      <c r="L5197" s="22">
        <v>2</v>
      </c>
    </row>
    <row r="5198" spans="1:12">
      <c r="A5198">
        <v>6</v>
      </c>
      <c r="B5198" s="16" t="s">
        <v>61</v>
      </c>
      <c r="C5198" s="9">
        <v>46113</v>
      </c>
      <c r="D5198">
        <v>18</v>
      </c>
      <c r="E5198" s="16" t="s">
        <v>104</v>
      </c>
      <c r="F5198" s="16" t="s">
        <v>103</v>
      </c>
      <c r="G5198" s="22">
        <v>9</v>
      </c>
      <c r="H5198" s="18">
        <v>84.75</v>
      </c>
      <c r="I5198" s="18">
        <v>9.4166666669999994</v>
      </c>
      <c r="J5198" s="18">
        <v>9.5399999999999991</v>
      </c>
      <c r="K5198" s="18">
        <v>9.25</v>
      </c>
      <c r="L5198" s="22">
        <v>3</v>
      </c>
    </row>
    <row r="5199" spans="1:12">
      <c r="A5199">
        <v>6</v>
      </c>
      <c r="B5199" s="16" t="s">
        <v>61</v>
      </c>
      <c r="C5199" s="9">
        <v>46143</v>
      </c>
      <c r="D5199">
        <v>18</v>
      </c>
      <c r="E5199" s="16" t="s">
        <v>104</v>
      </c>
      <c r="F5199" s="16" t="s">
        <v>103</v>
      </c>
      <c r="G5199" s="22">
        <v>6</v>
      </c>
      <c r="H5199" s="18">
        <v>56.88</v>
      </c>
      <c r="I5199" s="18">
        <v>9.48</v>
      </c>
      <c r="J5199" s="18">
        <v>9.5</v>
      </c>
      <c r="K5199" s="18">
        <v>9.4600000000000009</v>
      </c>
      <c r="L5199" s="22">
        <v>2</v>
      </c>
    </row>
    <row r="5200" spans="1:12">
      <c r="A5200">
        <v>6</v>
      </c>
      <c r="B5200" s="16" t="s">
        <v>61</v>
      </c>
      <c r="C5200" s="9">
        <v>46174</v>
      </c>
      <c r="D5200">
        <v>18</v>
      </c>
      <c r="E5200" s="16" t="s">
        <v>104</v>
      </c>
      <c r="F5200" s="16" t="s">
        <v>103</v>
      </c>
      <c r="G5200" s="22">
        <v>3</v>
      </c>
      <c r="H5200" s="18">
        <v>28.23</v>
      </c>
      <c r="I5200" s="18">
        <v>9.41</v>
      </c>
      <c r="J5200" s="18">
        <v>9.41</v>
      </c>
      <c r="K5200" s="18">
        <v>9.41</v>
      </c>
      <c r="L5200" s="22">
        <v>1</v>
      </c>
    </row>
    <row r="5201" spans="1:12">
      <c r="A5201">
        <v>6</v>
      </c>
      <c r="B5201" s="16" t="s">
        <v>61</v>
      </c>
      <c r="C5201" s="9">
        <v>46204</v>
      </c>
      <c r="D5201">
        <v>18</v>
      </c>
      <c r="E5201" s="16" t="s">
        <v>104</v>
      </c>
      <c r="F5201" s="16" t="s">
        <v>103</v>
      </c>
      <c r="G5201" s="22">
        <v>6</v>
      </c>
      <c r="H5201" s="18">
        <v>56.55</v>
      </c>
      <c r="I5201" s="18">
        <v>9.4250000000000007</v>
      </c>
      <c r="J5201" s="18">
        <v>9.4600000000000009</v>
      </c>
      <c r="K5201" s="18">
        <v>9.39</v>
      </c>
      <c r="L5201" s="22">
        <v>2</v>
      </c>
    </row>
    <row r="5202" spans="1:12">
      <c r="A5202">
        <v>6</v>
      </c>
      <c r="B5202" s="16" t="s">
        <v>61</v>
      </c>
      <c r="C5202" s="9">
        <v>46235</v>
      </c>
      <c r="D5202">
        <v>18</v>
      </c>
      <c r="E5202" s="16" t="s">
        <v>104</v>
      </c>
      <c r="F5202" s="16" t="s">
        <v>103</v>
      </c>
      <c r="G5202" s="22">
        <v>6</v>
      </c>
      <c r="H5202" s="18">
        <v>57.09</v>
      </c>
      <c r="I5202" s="18">
        <v>9.5150000000000006</v>
      </c>
      <c r="J5202" s="18">
        <v>9.57</v>
      </c>
      <c r="K5202" s="18">
        <v>9.4600000000000009</v>
      </c>
      <c r="L5202" s="22">
        <v>2</v>
      </c>
    </row>
    <row r="5203" spans="1:12">
      <c r="A5203">
        <v>6</v>
      </c>
      <c r="B5203" s="16" t="s">
        <v>61</v>
      </c>
      <c r="C5203" s="9">
        <v>46266</v>
      </c>
      <c r="D5203">
        <v>18</v>
      </c>
      <c r="E5203" s="16" t="s">
        <v>104</v>
      </c>
      <c r="F5203" s="16" t="s">
        <v>103</v>
      </c>
      <c r="G5203" s="22">
        <v>3</v>
      </c>
      <c r="H5203" s="18">
        <v>28.77</v>
      </c>
      <c r="I5203" s="18">
        <v>9.59</v>
      </c>
      <c r="J5203" s="18">
        <v>9.59</v>
      </c>
      <c r="K5203" s="18">
        <v>9.59</v>
      </c>
      <c r="L5203" s="22">
        <v>1</v>
      </c>
    </row>
    <row r="5204" spans="1:12">
      <c r="A5204">
        <v>6</v>
      </c>
      <c r="B5204" s="16" t="s">
        <v>61</v>
      </c>
      <c r="C5204" s="9">
        <v>45689</v>
      </c>
      <c r="D5204">
        <v>19</v>
      </c>
      <c r="E5204" s="16" t="s">
        <v>105</v>
      </c>
      <c r="F5204" s="16" t="s">
        <v>106</v>
      </c>
      <c r="G5204" s="22">
        <v>64</v>
      </c>
      <c r="H5204" s="18">
        <v>55.36</v>
      </c>
      <c r="I5204" s="18">
        <v>0.86499999999999999</v>
      </c>
      <c r="J5204" s="18">
        <v>0.87</v>
      </c>
      <c r="K5204" s="18">
        <v>0.86</v>
      </c>
      <c r="L5204" s="22">
        <v>2</v>
      </c>
    </row>
    <row r="5205" spans="1:12">
      <c r="A5205">
        <v>6</v>
      </c>
      <c r="B5205" s="16" t="s">
        <v>61</v>
      </c>
      <c r="C5205" s="9">
        <v>45717</v>
      </c>
      <c r="D5205">
        <v>19</v>
      </c>
      <c r="E5205" s="16" t="s">
        <v>105</v>
      </c>
      <c r="F5205" s="16" t="s">
        <v>106</v>
      </c>
      <c r="G5205" s="22">
        <v>64</v>
      </c>
      <c r="H5205" s="18">
        <v>57.6</v>
      </c>
      <c r="I5205" s="18">
        <v>0.9</v>
      </c>
      <c r="J5205" s="18">
        <v>0.91</v>
      </c>
      <c r="K5205" s="18">
        <v>0.89</v>
      </c>
      <c r="L5205" s="22">
        <v>2</v>
      </c>
    </row>
    <row r="5206" spans="1:12">
      <c r="A5206">
        <v>6</v>
      </c>
      <c r="B5206" s="16" t="s">
        <v>61</v>
      </c>
      <c r="C5206" s="9">
        <v>45748</v>
      </c>
      <c r="D5206">
        <v>19</v>
      </c>
      <c r="E5206" s="16" t="s">
        <v>105</v>
      </c>
      <c r="F5206" s="16" t="s">
        <v>106</v>
      </c>
      <c r="G5206" s="22">
        <v>64</v>
      </c>
      <c r="H5206" s="18">
        <v>55.68</v>
      </c>
      <c r="I5206" s="18">
        <v>0.87</v>
      </c>
      <c r="J5206" s="18">
        <v>0.89</v>
      </c>
      <c r="K5206" s="18">
        <v>0.85</v>
      </c>
      <c r="L5206" s="22">
        <v>2</v>
      </c>
    </row>
    <row r="5207" spans="1:12">
      <c r="A5207">
        <v>6</v>
      </c>
      <c r="B5207" s="16" t="s">
        <v>61</v>
      </c>
      <c r="C5207" s="9">
        <v>45778</v>
      </c>
      <c r="D5207">
        <v>19</v>
      </c>
      <c r="E5207" s="16" t="s">
        <v>105</v>
      </c>
      <c r="F5207" s="16" t="s">
        <v>106</v>
      </c>
      <c r="G5207" s="22">
        <v>96</v>
      </c>
      <c r="H5207" s="18">
        <v>82.56</v>
      </c>
      <c r="I5207" s="18">
        <v>0.86</v>
      </c>
      <c r="J5207" s="18">
        <v>0.87</v>
      </c>
      <c r="K5207" s="18">
        <v>0.85</v>
      </c>
      <c r="L5207" s="22">
        <v>3</v>
      </c>
    </row>
    <row r="5208" spans="1:12">
      <c r="A5208">
        <v>6</v>
      </c>
      <c r="B5208" s="16" t="s">
        <v>61</v>
      </c>
      <c r="C5208" s="9">
        <v>45809</v>
      </c>
      <c r="D5208">
        <v>19</v>
      </c>
      <c r="E5208" s="16" t="s">
        <v>105</v>
      </c>
      <c r="F5208" s="16" t="s">
        <v>106</v>
      </c>
      <c r="G5208" s="22">
        <v>64</v>
      </c>
      <c r="H5208" s="18">
        <v>55.04</v>
      </c>
      <c r="I5208" s="18">
        <v>0.86</v>
      </c>
      <c r="J5208" s="18">
        <v>0.87</v>
      </c>
      <c r="K5208" s="18">
        <v>0.85</v>
      </c>
      <c r="L5208" s="22">
        <v>2</v>
      </c>
    </row>
    <row r="5209" spans="1:12">
      <c r="A5209">
        <v>6</v>
      </c>
      <c r="B5209" s="16" t="s">
        <v>61</v>
      </c>
      <c r="C5209" s="9">
        <v>45839</v>
      </c>
      <c r="D5209">
        <v>19</v>
      </c>
      <c r="E5209" s="16" t="s">
        <v>105</v>
      </c>
      <c r="F5209" s="16" t="s">
        <v>106</v>
      </c>
      <c r="G5209" s="22">
        <v>32</v>
      </c>
      <c r="H5209" s="18">
        <v>27.84</v>
      </c>
      <c r="I5209" s="18">
        <v>0.87</v>
      </c>
      <c r="J5209" s="18">
        <v>0.88</v>
      </c>
      <c r="K5209" s="18">
        <v>0.86</v>
      </c>
      <c r="L5209" s="22">
        <v>2</v>
      </c>
    </row>
    <row r="5210" spans="1:12">
      <c r="A5210">
        <v>6</v>
      </c>
      <c r="B5210" s="16" t="s">
        <v>61</v>
      </c>
      <c r="C5210" s="9">
        <v>45870</v>
      </c>
      <c r="D5210">
        <v>19</v>
      </c>
      <c r="E5210" s="16" t="s">
        <v>105</v>
      </c>
      <c r="F5210" s="16" t="s">
        <v>106</v>
      </c>
      <c r="G5210" s="22">
        <v>48</v>
      </c>
      <c r="H5210" s="18">
        <v>41.92</v>
      </c>
      <c r="I5210" s="18">
        <v>0.87333333300000004</v>
      </c>
      <c r="J5210" s="18">
        <v>0.88</v>
      </c>
      <c r="K5210" s="18">
        <v>0.86</v>
      </c>
      <c r="L5210" s="22">
        <v>2</v>
      </c>
    </row>
    <row r="5211" spans="1:12">
      <c r="A5211">
        <v>6</v>
      </c>
      <c r="B5211" s="16" t="s">
        <v>61</v>
      </c>
      <c r="C5211" s="9">
        <v>45901</v>
      </c>
      <c r="D5211">
        <v>19</v>
      </c>
      <c r="E5211" s="16" t="s">
        <v>105</v>
      </c>
      <c r="F5211" s="16" t="s">
        <v>106</v>
      </c>
      <c r="G5211" s="22">
        <v>64</v>
      </c>
      <c r="H5211" s="18">
        <v>55.04</v>
      </c>
      <c r="I5211" s="18">
        <v>0.86</v>
      </c>
      <c r="J5211" s="18">
        <v>0.87</v>
      </c>
      <c r="K5211" s="18">
        <v>0.85</v>
      </c>
      <c r="L5211" s="22">
        <v>2</v>
      </c>
    </row>
    <row r="5212" spans="1:12">
      <c r="A5212">
        <v>6</v>
      </c>
      <c r="B5212" s="16" t="s">
        <v>61</v>
      </c>
      <c r="C5212" s="9">
        <v>45931</v>
      </c>
      <c r="D5212">
        <v>19</v>
      </c>
      <c r="E5212" s="16" t="s">
        <v>105</v>
      </c>
      <c r="F5212" s="16" t="s">
        <v>106</v>
      </c>
      <c r="G5212" s="22">
        <v>96</v>
      </c>
      <c r="H5212" s="18">
        <v>83.52</v>
      </c>
      <c r="I5212" s="18">
        <v>0.87</v>
      </c>
      <c r="J5212" s="18">
        <v>0.87</v>
      </c>
      <c r="K5212" s="18">
        <v>0.87</v>
      </c>
      <c r="L5212" s="22">
        <v>3</v>
      </c>
    </row>
    <row r="5213" spans="1:12">
      <c r="A5213">
        <v>6</v>
      </c>
      <c r="B5213" s="16" t="s">
        <v>61</v>
      </c>
      <c r="C5213" s="9">
        <v>45962</v>
      </c>
      <c r="D5213">
        <v>19</v>
      </c>
      <c r="E5213" s="16" t="s">
        <v>105</v>
      </c>
      <c r="F5213" s="16" t="s">
        <v>106</v>
      </c>
      <c r="G5213" s="22">
        <v>64</v>
      </c>
      <c r="H5213" s="18">
        <v>55.36</v>
      </c>
      <c r="I5213" s="18">
        <v>0.86499999999999999</v>
      </c>
      <c r="J5213" s="18">
        <v>0.87</v>
      </c>
      <c r="K5213" s="18">
        <v>0.86</v>
      </c>
      <c r="L5213" s="22">
        <v>2</v>
      </c>
    </row>
    <row r="5214" spans="1:12">
      <c r="A5214">
        <v>6</v>
      </c>
      <c r="B5214" s="16" t="s">
        <v>61</v>
      </c>
      <c r="C5214" s="9">
        <v>45992</v>
      </c>
      <c r="D5214">
        <v>19</v>
      </c>
      <c r="E5214" s="16" t="s">
        <v>105</v>
      </c>
      <c r="F5214" s="16" t="s">
        <v>106</v>
      </c>
      <c r="G5214" s="22">
        <v>48</v>
      </c>
      <c r="H5214" s="18">
        <v>42.08</v>
      </c>
      <c r="I5214" s="18">
        <v>0.87666666699999996</v>
      </c>
      <c r="J5214" s="18">
        <v>0.89</v>
      </c>
      <c r="K5214" s="18">
        <v>0.87</v>
      </c>
      <c r="L5214" s="22">
        <v>2</v>
      </c>
    </row>
    <row r="5215" spans="1:12">
      <c r="A5215">
        <v>6</v>
      </c>
      <c r="B5215" s="16" t="s">
        <v>61</v>
      </c>
      <c r="C5215" s="9">
        <v>46023</v>
      </c>
      <c r="D5215">
        <v>19</v>
      </c>
      <c r="E5215" s="16" t="s">
        <v>105</v>
      </c>
      <c r="F5215" s="16" t="s">
        <v>106</v>
      </c>
      <c r="G5215" s="22">
        <v>80</v>
      </c>
      <c r="H5215" s="18">
        <v>68</v>
      </c>
      <c r="I5215" s="18">
        <v>0.85</v>
      </c>
      <c r="J5215" s="18">
        <v>0.85</v>
      </c>
      <c r="K5215" s="18">
        <v>0.85</v>
      </c>
      <c r="L5215" s="22">
        <v>2</v>
      </c>
    </row>
    <row r="5216" spans="1:12">
      <c r="A5216">
        <v>6</v>
      </c>
      <c r="B5216" s="16" t="s">
        <v>61</v>
      </c>
      <c r="C5216" s="9">
        <v>46054</v>
      </c>
      <c r="D5216">
        <v>19</v>
      </c>
      <c r="E5216" s="16" t="s">
        <v>105</v>
      </c>
      <c r="F5216" s="16" t="s">
        <v>106</v>
      </c>
      <c r="G5216" s="22">
        <v>64</v>
      </c>
      <c r="H5216" s="18">
        <v>56</v>
      </c>
      <c r="I5216" s="18">
        <v>0.875</v>
      </c>
      <c r="J5216" s="18">
        <v>0.88</v>
      </c>
      <c r="K5216" s="18">
        <v>0.87</v>
      </c>
      <c r="L5216" s="22">
        <v>2</v>
      </c>
    </row>
    <row r="5217" spans="1:12">
      <c r="A5217">
        <v>6</v>
      </c>
      <c r="B5217" s="16" t="s">
        <v>61</v>
      </c>
      <c r="C5217" s="9">
        <v>46082</v>
      </c>
      <c r="D5217">
        <v>19</v>
      </c>
      <c r="E5217" s="16" t="s">
        <v>105</v>
      </c>
      <c r="F5217" s="16" t="s">
        <v>106</v>
      </c>
      <c r="G5217" s="22">
        <v>64</v>
      </c>
      <c r="H5217" s="18">
        <v>55.68</v>
      </c>
      <c r="I5217" s="18">
        <v>0.87</v>
      </c>
      <c r="J5217" s="18">
        <v>0.88</v>
      </c>
      <c r="K5217" s="18">
        <v>0.86</v>
      </c>
      <c r="L5217" s="22">
        <v>2</v>
      </c>
    </row>
    <row r="5218" spans="1:12">
      <c r="A5218">
        <v>6</v>
      </c>
      <c r="B5218" s="16" t="s">
        <v>61</v>
      </c>
      <c r="C5218" s="9">
        <v>46113</v>
      </c>
      <c r="D5218">
        <v>19</v>
      </c>
      <c r="E5218" s="16" t="s">
        <v>105</v>
      </c>
      <c r="F5218" s="16" t="s">
        <v>106</v>
      </c>
      <c r="G5218" s="22">
        <v>80</v>
      </c>
      <c r="H5218" s="18">
        <v>71.84</v>
      </c>
      <c r="I5218" s="18">
        <v>0.89800000000000002</v>
      </c>
      <c r="J5218" s="18">
        <v>0.91</v>
      </c>
      <c r="K5218" s="18">
        <v>0.89</v>
      </c>
      <c r="L5218" s="22">
        <v>3</v>
      </c>
    </row>
    <row r="5219" spans="1:12">
      <c r="A5219">
        <v>6</v>
      </c>
      <c r="B5219" s="16" t="s">
        <v>61</v>
      </c>
      <c r="C5219" s="9">
        <v>46143</v>
      </c>
      <c r="D5219">
        <v>19</v>
      </c>
      <c r="E5219" s="16" t="s">
        <v>105</v>
      </c>
      <c r="F5219" s="16" t="s">
        <v>106</v>
      </c>
      <c r="G5219" s="22">
        <v>64</v>
      </c>
      <c r="H5219" s="18">
        <v>57.6</v>
      </c>
      <c r="I5219" s="18">
        <v>0.9</v>
      </c>
      <c r="J5219" s="18">
        <v>0.91</v>
      </c>
      <c r="K5219" s="18">
        <v>0.89</v>
      </c>
      <c r="L5219" s="22">
        <v>2</v>
      </c>
    </row>
    <row r="5220" spans="1:12">
      <c r="A5220">
        <v>6</v>
      </c>
      <c r="B5220" s="16" t="s">
        <v>61</v>
      </c>
      <c r="C5220" s="9">
        <v>46174</v>
      </c>
      <c r="D5220">
        <v>19</v>
      </c>
      <c r="E5220" s="16" t="s">
        <v>105</v>
      </c>
      <c r="F5220" s="16" t="s">
        <v>106</v>
      </c>
      <c r="G5220" s="22">
        <v>48</v>
      </c>
      <c r="H5220" s="18">
        <v>43.52</v>
      </c>
      <c r="I5220" s="18">
        <v>0.90666666699999998</v>
      </c>
      <c r="J5220" s="18">
        <v>0.91</v>
      </c>
      <c r="K5220" s="18">
        <v>0.9</v>
      </c>
      <c r="L5220" s="22">
        <v>2</v>
      </c>
    </row>
    <row r="5221" spans="1:12">
      <c r="A5221">
        <v>6</v>
      </c>
      <c r="B5221" s="16" t="s">
        <v>61</v>
      </c>
      <c r="C5221" s="9">
        <v>46204</v>
      </c>
      <c r="D5221">
        <v>19</v>
      </c>
      <c r="E5221" s="16" t="s">
        <v>105</v>
      </c>
      <c r="F5221" s="16" t="s">
        <v>106</v>
      </c>
      <c r="G5221" s="22">
        <v>48</v>
      </c>
      <c r="H5221" s="18">
        <v>42.72</v>
      </c>
      <c r="I5221" s="18">
        <v>0.89</v>
      </c>
      <c r="J5221" s="18">
        <v>0.91</v>
      </c>
      <c r="K5221" s="18">
        <v>0.88</v>
      </c>
      <c r="L5221" s="22">
        <v>2</v>
      </c>
    </row>
    <row r="5222" spans="1:12">
      <c r="A5222">
        <v>6</v>
      </c>
      <c r="B5222" s="16" t="s">
        <v>61</v>
      </c>
      <c r="C5222" s="9">
        <v>46235</v>
      </c>
      <c r="D5222">
        <v>19</v>
      </c>
      <c r="E5222" s="16" t="s">
        <v>105</v>
      </c>
      <c r="F5222" s="16" t="s">
        <v>106</v>
      </c>
      <c r="G5222" s="22">
        <v>48</v>
      </c>
      <c r="H5222" s="18">
        <v>43.52</v>
      </c>
      <c r="I5222" s="18">
        <v>0.90666666699999998</v>
      </c>
      <c r="J5222" s="18">
        <v>0.91</v>
      </c>
      <c r="K5222" s="18">
        <v>0.9</v>
      </c>
      <c r="L5222" s="22">
        <v>2</v>
      </c>
    </row>
    <row r="5223" spans="1:12">
      <c r="A5223">
        <v>6</v>
      </c>
      <c r="B5223" s="16" t="s">
        <v>61</v>
      </c>
      <c r="C5223" s="9">
        <v>46266</v>
      </c>
      <c r="D5223">
        <v>19</v>
      </c>
      <c r="E5223" s="16" t="s">
        <v>105</v>
      </c>
      <c r="F5223" s="16" t="s">
        <v>106</v>
      </c>
      <c r="G5223" s="22">
        <v>48</v>
      </c>
      <c r="H5223" s="18">
        <v>44.32</v>
      </c>
      <c r="I5223" s="18">
        <v>0.92333333299999998</v>
      </c>
      <c r="J5223" s="18">
        <v>0.93</v>
      </c>
      <c r="K5223" s="18">
        <v>0.91</v>
      </c>
      <c r="L5223" s="22">
        <v>2</v>
      </c>
    </row>
    <row r="5224" spans="1:12">
      <c r="A5224">
        <v>6</v>
      </c>
      <c r="B5224" s="16" t="s">
        <v>61</v>
      </c>
      <c r="C5224" s="9">
        <v>45689</v>
      </c>
      <c r="D5224">
        <v>20</v>
      </c>
      <c r="E5224" s="16" t="s">
        <v>107</v>
      </c>
      <c r="F5224" s="16" t="s">
        <v>108</v>
      </c>
      <c r="G5224" s="22">
        <v>6.25</v>
      </c>
      <c r="H5224" s="18">
        <v>73.6875</v>
      </c>
      <c r="I5224" s="18">
        <v>11.79</v>
      </c>
      <c r="J5224" s="18">
        <v>11.79</v>
      </c>
      <c r="K5224" s="18">
        <v>11.79</v>
      </c>
      <c r="L5224" s="22">
        <v>1</v>
      </c>
    </row>
    <row r="5225" spans="1:12">
      <c r="A5225">
        <v>6</v>
      </c>
      <c r="B5225" s="16" t="s">
        <v>61</v>
      </c>
      <c r="C5225" s="9">
        <v>45778</v>
      </c>
      <c r="D5225">
        <v>20</v>
      </c>
      <c r="E5225" s="16" t="s">
        <v>107</v>
      </c>
      <c r="F5225" s="16" t="s">
        <v>108</v>
      </c>
      <c r="G5225" s="22">
        <v>6.25</v>
      </c>
      <c r="H5225" s="18">
        <v>75.625</v>
      </c>
      <c r="I5225" s="18">
        <v>12.1</v>
      </c>
      <c r="J5225" s="18">
        <v>12.1</v>
      </c>
      <c r="K5225" s="18">
        <v>12.1</v>
      </c>
      <c r="L5225" s="22">
        <v>1</v>
      </c>
    </row>
    <row r="5226" spans="1:12">
      <c r="A5226">
        <v>6</v>
      </c>
      <c r="B5226" s="16" t="s">
        <v>61</v>
      </c>
      <c r="C5226" s="9">
        <v>45839</v>
      </c>
      <c r="D5226">
        <v>20</v>
      </c>
      <c r="E5226" s="16" t="s">
        <v>107</v>
      </c>
      <c r="F5226" s="16" t="s">
        <v>108</v>
      </c>
      <c r="G5226" s="22">
        <v>6.25</v>
      </c>
      <c r="H5226" s="18">
        <v>74.9375</v>
      </c>
      <c r="I5226" s="18">
        <v>11.99</v>
      </c>
      <c r="J5226" s="18">
        <v>11.99</v>
      </c>
      <c r="K5226" s="18">
        <v>11.99</v>
      </c>
      <c r="L5226" s="22">
        <v>1</v>
      </c>
    </row>
    <row r="5227" spans="1:12">
      <c r="A5227">
        <v>6</v>
      </c>
      <c r="B5227" s="16" t="s">
        <v>61</v>
      </c>
      <c r="C5227" s="9">
        <v>45931</v>
      </c>
      <c r="D5227">
        <v>20</v>
      </c>
      <c r="E5227" s="16" t="s">
        <v>107</v>
      </c>
      <c r="F5227" s="16" t="s">
        <v>108</v>
      </c>
      <c r="G5227" s="22">
        <v>6.25</v>
      </c>
      <c r="H5227" s="18">
        <v>88.875</v>
      </c>
      <c r="I5227" s="18">
        <v>14.22</v>
      </c>
      <c r="J5227" s="18">
        <v>14.22</v>
      </c>
      <c r="K5227" s="18">
        <v>14.22</v>
      </c>
      <c r="L5227" s="22">
        <v>1</v>
      </c>
    </row>
    <row r="5228" spans="1:12">
      <c r="A5228">
        <v>6</v>
      </c>
      <c r="B5228" s="16" t="s">
        <v>61</v>
      </c>
      <c r="C5228" s="9">
        <v>45992</v>
      </c>
      <c r="D5228">
        <v>20</v>
      </c>
      <c r="E5228" s="16" t="s">
        <v>107</v>
      </c>
      <c r="F5228" s="16" t="s">
        <v>108</v>
      </c>
      <c r="G5228" s="22">
        <v>6.25</v>
      </c>
      <c r="H5228" s="18">
        <v>89.75</v>
      </c>
      <c r="I5228" s="18">
        <v>14.36</v>
      </c>
      <c r="J5228" s="18">
        <v>14.36</v>
      </c>
      <c r="K5228" s="18">
        <v>14.36</v>
      </c>
      <c r="L5228" s="22">
        <v>1</v>
      </c>
    </row>
    <row r="5229" spans="1:12">
      <c r="A5229">
        <v>6</v>
      </c>
      <c r="B5229" s="16" t="s">
        <v>61</v>
      </c>
      <c r="C5229" s="9">
        <v>46082</v>
      </c>
      <c r="D5229">
        <v>20</v>
      </c>
      <c r="E5229" s="16" t="s">
        <v>107</v>
      </c>
      <c r="F5229" s="16" t="s">
        <v>108</v>
      </c>
      <c r="G5229" s="22">
        <v>6.25</v>
      </c>
      <c r="H5229" s="18">
        <v>77.1875</v>
      </c>
      <c r="I5229" s="18">
        <v>12.35</v>
      </c>
      <c r="J5229" s="18">
        <v>12.35</v>
      </c>
      <c r="K5229" s="18">
        <v>12.35</v>
      </c>
      <c r="L5229" s="22">
        <v>1</v>
      </c>
    </row>
    <row r="5230" spans="1:12">
      <c r="A5230">
        <v>6</v>
      </c>
      <c r="B5230" s="16" t="s">
        <v>61</v>
      </c>
      <c r="C5230" s="9">
        <v>46113</v>
      </c>
      <c r="D5230">
        <v>20</v>
      </c>
      <c r="E5230" s="16" t="s">
        <v>107</v>
      </c>
      <c r="F5230" s="16" t="s">
        <v>108</v>
      </c>
      <c r="G5230" s="22">
        <v>6.25</v>
      </c>
      <c r="H5230" s="18">
        <v>77.8125</v>
      </c>
      <c r="I5230" s="18">
        <v>12.45</v>
      </c>
      <c r="J5230" s="18">
        <v>12.45</v>
      </c>
      <c r="K5230" s="18">
        <v>12.45</v>
      </c>
      <c r="L5230" s="22">
        <v>1</v>
      </c>
    </row>
    <row r="5231" spans="1:12">
      <c r="A5231">
        <v>6</v>
      </c>
      <c r="B5231" s="16" t="s">
        <v>61</v>
      </c>
      <c r="C5231" s="9">
        <v>46204</v>
      </c>
      <c r="D5231">
        <v>20</v>
      </c>
      <c r="E5231" s="16" t="s">
        <v>107</v>
      </c>
      <c r="F5231" s="16" t="s">
        <v>108</v>
      </c>
      <c r="G5231" s="22">
        <v>6.25</v>
      </c>
      <c r="H5231" s="18">
        <v>79.3125</v>
      </c>
      <c r="I5231" s="18">
        <v>12.69</v>
      </c>
      <c r="J5231" s="18">
        <v>12.69</v>
      </c>
      <c r="K5231" s="18">
        <v>12.69</v>
      </c>
      <c r="L5231" s="22">
        <v>1</v>
      </c>
    </row>
    <row r="5232" spans="1:12">
      <c r="A5232">
        <v>6</v>
      </c>
      <c r="B5232" s="16" t="s">
        <v>61</v>
      </c>
      <c r="C5232" s="9">
        <v>45689</v>
      </c>
      <c r="D5232">
        <v>21</v>
      </c>
      <c r="E5232" s="16" t="s">
        <v>109</v>
      </c>
      <c r="F5232" s="16" t="s">
        <v>83</v>
      </c>
      <c r="G5232" s="22">
        <v>15</v>
      </c>
      <c r="H5232" s="18">
        <v>78.849999999999994</v>
      </c>
      <c r="I5232" s="18">
        <v>5.2566666670000002</v>
      </c>
      <c r="J5232" s="18">
        <v>5.34</v>
      </c>
      <c r="K5232" s="18">
        <v>5.16</v>
      </c>
      <c r="L5232" s="22">
        <v>3</v>
      </c>
    </row>
    <row r="5233" spans="1:12">
      <c r="A5233">
        <v>6</v>
      </c>
      <c r="B5233" s="16" t="s">
        <v>61</v>
      </c>
      <c r="C5233" s="9">
        <v>45717</v>
      </c>
      <c r="D5233">
        <v>21</v>
      </c>
      <c r="E5233" s="16" t="s">
        <v>109</v>
      </c>
      <c r="F5233" s="16" t="s">
        <v>83</v>
      </c>
      <c r="G5233" s="22">
        <v>10</v>
      </c>
      <c r="H5233" s="18">
        <v>52.45</v>
      </c>
      <c r="I5233" s="18">
        <v>5.2450000000000001</v>
      </c>
      <c r="J5233" s="18">
        <v>5.25</v>
      </c>
      <c r="K5233" s="18">
        <v>5.24</v>
      </c>
      <c r="L5233" s="22">
        <v>2</v>
      </c>
    </row>
    <row r="5234" spans="1:12">
      <c r="A5234">
        <v>6</v>
      </c>
      <c r="B5234" s="16" t="s">
        <v>61</v>
      </c>
      <c r="C5234" s="9">
        <v>45748</v>
      </c>
      <c r="D5234">
        <v>21</v>
      </c>
      <c r="E5234" s="16" t="s">
        <v>109</v>
      </c>
      <c r="F5234" s="16" t="s">
        <v>83</v>
      </c>
      <c r="G5234" s="22">
        <v>15</v>
      </c>
      <c r="H5234" s="18">
        <v>78.650000000000006</v>
      </c>
      <c r="I5234" s="18">
        <v>5.2433333329999998</v>
      </c>
      <c r="J5234" s="18">
        <v>5.31</v>
      </c>
      <c r="K5234" s="18">
        <v>5.15</v>
      </c>
      <c r="L5234" s="22">
        <v>3</v>
      </c>
    </row>
    <row r="5235" spans="1:12">
      <c r="A5235">
        <v>6</v>
      </c>
      <c r="B5235" s="16" t="s">
        <v>61</v>
      </c>
      <c r="C5235" s="9">
        <v>45778</v>
      </c>
      <c r="D5235">
        <v>21</v>
      </c>
      <c r="E5235" s="16" t="s">
        <v>109</v>
      </c>
      <c r="F5235" s="16" t="s">
        <v>83</v>
      </c>
      <c r="G5235" s="22">
        <v>15</v>
      </c>
      <c r="H5235" s="18">
        <v>80.2</v>
      </c>
      <c r="I5235" s="18">
        <v>5.346666667</v>
      </c>
      <c r="J5235" s="18">
        <v>5.37</v>
      </c>
      <c r="K5235" s="18">
        <v>5.31</v>
      </c>
      <c r="L5235" s="22">
        <v>3</v>
      </c>
    </row>
    <row r="5236" spans="1:12">
      <c r="A5236">
        <v>6</v>
      </c>
      <c r="B5236" s="16" t="s">
        <v>61</v>
      </c>
      <c r="C5236" s="9">
        <v>45809</v>
      </c>
      <c r="D5236">
        <v>21</v>
      </c>
      <c r="E5236" s="16" t="s">
        <v>109</v>
      </c>
      <c r="F5236" s="16" t="s">
        <v>83</v>
      </c>
      <c r="G5236" s="22">
        <v>10</v>
      </c>
      <c r="H5236" s="18">
        <v>54</v>
      </c>
      <c r="I5236" s="18">
        <v>5.4</v>
      </c>
      <c r="J5236" s="18">
        <v>5.41</v>
      </c>
      <c r="K5236" s="18">
        <v>5.39</v>
      </c>
      <c r="L5236" s="22">
        <v>2</v>
      </c>
    </row>
    <row r="5237" spans="1:12">
      <c r="A5237">
        <v>6</v>
      </c>
      <c r="B5237" s="16" t="s">
        <v>61</v>
      </c>
      <c r="C5237" s="9">
        <v>45839</v>
      </c>
      <c r="D5237">
        <v>21</v>
      </c>
      <c r="E5237" s="16" t="s">
        <v>109</v>
      </c>
      <c r="F5237" s="16" t="s">
        <v>83</v>
      </c>
      <c r="G5237" s="22">
        <v>10</v>
      </c>
      <c r="H5237" s="18">
        <v>53.55</v>
      </c>
      <c r="I5237" s="18">
        <v>5.3550000000000004</v>
      </c>
      <c r="J5237" s="18">
        <v>5.39</v>
      </c>
      <c r="K5237" s="18">
        <v>5.32</v>
      </c>
      <c r="L5237" s="22">
        <v>2</v>
      </c>
    </row>
    <row r="5238" spans="1:12">
      <c r="A5238">
        <v>6</v>
      </c>
      <c r="B5238" s="16" t="s">
        <v>61</v>
      </c>
      <c r="C5238" s="9">
        <v>45870</v>
      </c>
      <c r="D5238">
        <v>21</v>
      </c>
      <c r="E5238" s="16" t="s">
        <v>109</v>
      </c>
      <c r="F5238" s="16" t="s">
        <v>83</v>
      </c>
      <c r="G5238" s="22">
        <v>10</v>
      </c>
      <c r="H5238" s="18">
        <v>52.75</v>
      </c>
      <c r="I5238" s="18">
        <v>5.2750000000000004</v>
      </c>
      <c r="J5238" s="18">
        <v>5.32</v>
      </c>
      <c r="K5238" s="18">
        <v>5.23</v>
      </c>
      <c r="L5238" s="22">
        <v>2</v>
      </c>
    </row>
    <row r="5239" spans="1:12">
      <c r="A5239">
        <v>6</v>
      </c>
      <c r="B5239" s="16" t="s">
        <v>61</v>
      </c>
      <c r="C5239" s="9">
        <v>45901</v>
      </c>
      <c r="D5239">
        <v>21</v>
      </c>
      <c r="E5239" s="16" t="s">
        <v>109</v>
      </c>
      <c r="F5239" s="16" t="s">
        <v>83</v>
      </c>
      <c r="G5239" s="22">
        <v>10</v>
      </c>
      <c r="H5239" s="18">
        <v>53.65</v>
      </c>
      <c r="I5239" s="18">
        <v>5.3650000000000002</v>
      </c>
      <c r="J5239" s="18">
        <v>5.38</v>
      </c>
      <c r="K5239" s="18">
        <v>5.35</v>
      </c>
      <c r="L5239" s="22">
        <v>2</v>
      </c>
    </row>
    <row r="5240" spans="1:12">
      <c r="A5240">
        <v>6</v>
      </c>
      <c r="B5240" s="16" t="s">
        <v>61</v>
      </c>
      <c r="C5240" s="9">
        <v>45931</v>
      </c>
      <c r="D5240">
        <v>21</v>
      </c>
      <c r="E5240" s="16" t="s">
        <v>109</v>
      </c>
      <c r="F5240" s="16" t="s">
        <v>83</v>
      </c>
      <c r="G5240" s="22">
        <v>15</v>
      </c>
      <c r="H5240" s="18">
        <v>88.15</v>
      </c>
      <c r="I5240" s="18">
        <v>5.8766666670000003</v>
      </c>
      <c r="J5240" s="18">
        <v>5.96</v>
      </c>
      <c r="K5240" s="18">
        <v>5.71</v>
      </c>
      <c r="L5240" s="22">
        <v>3</v>
      </c>
    </row>
    <row r="5241" spans="1:12">
      <c r="A5241">
        <v>6</v>
      </c>
      <c r="B5241" s="16" t="s">
        <v>61</v>
      </c>
      <c r="C5241" s="9">
        <v>45962</v>
      </c>
      <c r="D5241">
        <v>21</v>
      </c>
      <c r="E5241" s="16" t="s">
        <v>109</v>
      </c>
      <c r="F5241" s="16" t="s">
        <v>83</v>
      </c>
      <c r="G5241" s="22">
        <v>10</v>
      </c>
      <c r="H5241" s="18">
        <v>59.25</v>
      </c>
      <c r="I5241" s="18">
        <v>5.9249999999999998</v>
      </c>
      <c r="J5241" s="18">
        <v>5.94</v>
      </c>
      <c r="K5241" s="18">
        <v>5.91</v>
      </c>
      <c r="L5241" s="22">
        <v>2</v>
      </c>
    </row>
    <row r="5242" spans="1:12">
      <c r="A5242">
        <v>6</v>
      </c>
      <c r="B5242" s="16" t="s">
        <v>61</v>
      </c>
      <c r="C5242" s="9">
        <v>45992</v>
      </c>
      <c r="D5242">
        <v>21</v>
      </c>
      <c r="E5242" s="16" t="s">
        <v>109</v>
      </c>
      <c r="F5242" s="16" t="s">
        <v>83</v>
      </c>
      <c r="G5242" s="22">
        <v>15</v>
      </c>
      <c r="H5242" s="18">
        <v>89.9</v>
      </c>
      <c r="I5242" s="18">
        <v>5.9933333329999998</v>
      </c>
      <c r="J5242" s="18">
        <v>6.07</v>
      </c>
      <c r="K5242" s="18">
        <v>5.9</v>
      </c>
      <c r="L5242" s="22">
        <v>3</v>
      </c>
    </row>
    <row r="5243" spans="1:12">
      <c r="A5243">
        <v>6</v>
      </c>
      <c r="B5243" s="16" t="s">
        <v>61</v>
      </c>
      <c r="C5243" s="9">
        <v>46023</v>
      </c>
      <c r="D5243">
        <v>21</v>
      </c>
      <c r="E5243" s="16" t="s">
        <v>109</v>
      </c>
      <c r="F5243" s="16" t="s">
        <v>83</v>
      </c>
      <c r="G5243" s="22">
        <v>10</v>
      </c>
      <c r="H5243" s="18">
        <v>54.7</v>
      </c>
      <c r="I5243" s="18">
        <v>5.47</v>
      </c>
      <c r="J5243" s="18">
        <v>5.5</v>
      </c>
      <c r="K5243" s="18">
        <v>5.44</v>
      </c>
      <c r="L5243" s="22">
        <v>2</v>
      </c>
    </row>
    <row r="5244" spans="1:12">
      <c r="A5244">
        <v>6</v>
      </c>
      <c r="B5244" s="16" t="s">
        <v>61</v>
      </c>
      <c r="C5244" s="9">
        <v>46054</v>
      </c>
      <c r="D5244">
        <v>21</v>
      </c>
      <c r="E5244" s="16" t="s">
        <v>109</v>
      </c>
      <c r="F5244" s="16" t="s">
        <v>83</v>
      </c>
      <c r="G5244" s="22">
        <v>15</v>
      </c>
      <c r="H5244" s="18">
        <v>83.8</v>
      </c>
      <c r="I5244" s="18">
        <v>5.5866666670000003</v>
      </c>
      <c r="J5244" s="18">
        <v>5.78</v>
      </c>
      <c r="K5244" s="18">
        <v>5.48</v>
      </c>
      <c r="L5244" s="22">
        <v>3</v>
      </c>
    </row>
    <row r="5245" spans="1:12">
      <c r="A5245">
        <v>6</v>
      </c>
      <c r="B5245" s="16" t="s">
        <v>61</v>
      </c>
      <c r="C5245" s="9">
        <v>46082</v>
      </c>
      <c r="D5245">
        <v>21</v>
      </c>
      <c r="E5245" s="16" t="s">
        <v>109</v>
      </c>
      <c r="F5245" s="16" t="s">
        <v>83</v>
      </c>
      <c r="G5245" s="22">
        <v>15</v>
      </c>
      <c r="H5245" s="18">
        <v>82.75</v>
      </c>
      <c r="I5245" s="18">
        <v>5.516666667</v>
      </c>
      <c r="J5245" s="18">
        <v>5.57</v>
      </c>
      <c r="K5245" s="18">
        <v>5.48</v>
      </c>
      <c r="L5245" s="22">
        <v>3</v>
      </c>
    </row>
    <row r="5246" spans="1:12">
      <c r="A5246">
        <v>6</v>
      </c>
      <c r="B5246" s="16" t="s">
        <v>61</v>
      </c>
      <c r="C5246" s="9">
        <v>46113</v>
      </c>
      <c r="D5246">
        <v>21</v>
      </c>
      <c r="E5246" s="16" t="s">
        <v>109</v>
      </c>
      <c r="F5246" s="16" t="s">
        <v>83</v>
      </c>
      <c r="G5246" s="22">
        <v>15</v>
      </c>
      <c r="H5246" s="18">
        <v>81.55</v>
      </c>
      <c r="I5246" s="18">
        <v>5.4366666669999999</v>
      </c>
      <c r="J5246" s="18">
        <v>5.51</v>
      </c>
      <c r="K5246" s="18">
        <v>5.37</v>
      </c>
      <c r="L5246" s="22">
        <v>3</v>
      </c>
    </row>
    <row r="5247" spans="1:12">
      <c r="A5247">
        <v>6</v>
      </c>
      <c r="B5247" s="16" t="s">
        <v>61</v>
      </c>
      <c r="C5247" s="9">
        <v>46143</v>
      </c>
      <c r="D5247">
        <v>21</v>
      </c>
      <c r="E5247" s="16" t="s">
        <v>109</v>
      </c>
      <c r="F5247" s="16" t="s">
        <v>83</v>
      </c>
      <c r="G5247" s="22">
        <v>15</v>
      </c>
      <c r="H5247" s="18">
        <v>83.3</v>
      </c>
      <c r="I5247" s="18">
        <v>5.5533333330000003</v>
      </c>
      <c r="J5247" s="18">
        <v>5.63</v>
      </c>
      <c r="K5247" s="18">
        <v>5.51</v>
      </c>
      <c r="L5247" s="22">
        <v>3</v>
      </c>
    </row>
    <row r="5248" spans="1:12">
      <c r="A5248">
        <v>6</v>
      </c>
      <c r="B5248" s="16" t="s">
        <v>61</v>
      </c>
      <c r="C5248" s="9">
        <v>46174</v>
      </c>
      <c r="D5248">
        <v>21</v>
      </c>
      <c r="E5248" s="16" t="s">
        <v>109</v>
      </c>
      <c r="F5248" s="16" t="s">
        <v>83</v>
      </c>
      <c r="G5248" s="22">
        <v>10</v>
      </c>
      <c r="H5248" s="18">
        <v>55.5</v>
      </c>
      <c r="I5248" s="18">
        <v>5.55</v>
      </c>
      <c r="J5248" s="18">
        <v>5.63</v>
      </c>
      <c r="K5248" s="18">
        <v>5.47</v>
      </c>
      <c r="L5248" s="22">
        <v>2</v>
      </c>
    </row>
    <row r="5249" spans="1:12">
      <c r="A5249">
        <v>6</v>
      </c>
      <c r="B5249" s="16" t="s">
        <v>61</v>
      </c>
      <c r="C5249" s="9">
        <v>46204</v>
      </c>
      <c r="D5249">
        <v>21</v>
      </c>
      <c r="E5249" s="16" t="s">
        <v>109</v>
      </c>
      <c r="F5249" s="16" t="s">
        <v>83</v>
      </c>
      <c r="G5249" s="22">
        <v>10</v>
      </c>
      <c r="H5249" s="18">
        <v>55.95</v>
      </c>
      <c r="I5249" s="18">
        <v>5.5949999999999998</v>
      </c>
      <c r="J5249" s="18">
        <v>5.62</v>
      </c>
      <c r="K5249" s="18">
        <v>5.57</v>
      </c>
      <c r="L5249" s="22">
        <v>2</v>
      </c>
    </row>
    <row r="5250" spans="1:12">
      <c r="A5250">
        <v>6</v>
      </c>
      <c r="B5250" s="16" t="s">
        <v>61</v>
      </c>
      <c r="C5250" s="9">
        <v>46235</v>
      </c>
      <c r="D5250">
        <v>21</v>
      </c>
      <c r="E5250" s="16" t="s">
        <v>109</v>
      </c>
      <c r="F5250" s="16" t="s">
        <v>83</v>
      </c>
      <c r="G5250" s="22">
        <v>10</v>
      </c>
      <c r="H5250" s="18">
        <v>55.85</v>
      </c>
      <c r="I5250" s="18">
        <v>5.585</v>
      </c>
      <c r="J5250" s="18">
        <v>5.67</v>
      </c>
      <c r="K5250" s="18">
        <v>5.5</v>
      </c>
      <c r="L5250" s="22">
        <v>2</v>
      </c>
    </row>
    <row r="5251" spans="1:12">
      <c r="A5251">
        <v>6</v>
      </c>
      <c r="B5251" s="16" t="s">
        <v>61</v>
      </c>
      <c r="C5251" s="9">
        <v>46266</v>
      </c>
      <c r="D5251">
        <v>21</v>
      </c>
      <c r="E5251" s="16" t="s">
        <v>109</v>
      </c>
      <c r="F5251" s="16" t="s">
        <v>83</v>
      </c>
      <c r="G5251" s="22">
        <v>10</v>
      </c>
      <c r="H5251" s="18">
        <v>56</v>
      </c>
      <c r="I5251" s="18">
        <v>5.6</v>
      </c>
      <c r="J5251" s="18">
        <v>5.69</v>
      </c>
      <c r="K5251" s="18">
        <v>5.51</v>
      </c>
      <c r="L5251" s="22">
        <v>2</v>
      </c>
    </row>
    <row r="5252" spans="1:12">
      <c r="A5252">
        <v>6</v>
      </c>
      <c r="B5252" s="16" t="s">
        <v>61</v>
      </c>
      <c r="C5252" s="9">
        <v>45689</v>
      </c>
      <c r="D5252">
        <v>22</v>
      </c>
      <c r="E5252" s="16" t="s">
        <v>110</v>
      </c>
      <c r="F5252" s="16" t="s">
        <v>90</v>
      </c>
      <c r="G5252" s="22">
        <v>80</v>
      </c>
      <c r="H5252" s="18">
        <v>306.64999999999998</v>
      </c>
      <c r="I5252" s="18">
        <v>3.8331249999999999</v>
      </c>
      <c r="J5252" s="18">
        <v>3.85</v>
      </c>
      <c r="K5252" s="18">
        <v>3.82</v>
      </c>
      <c r="L5252" s="22">
        <v>2</v>
      </c>
    </row>
    <row r="5253" spans="1:12">
      <c r="A5253">
        <v>6</v>
      </c>
      <c r="B5253" s="16" t="s">
        <v>61</v>
      </c>
      <c r="C5253" s="9">
        <v>45717</v>
      </c>
      <c r="D5253">
        <v>22</v>
      </c>
      <c r="E5253" s="16" t="s">
        <v>110</v>
      </c>
      <c r="F5253" s="16" t="s">
        <v>90</v>
      </c>
      <c r="G5253" s="22">
        <v>75</v>
      </c>
      <c r="H5253" s="18">
        <v>282.75</v>
      </c>
      <c r="I5253" s="18">
        <v>3.77</v>
      </c>
      <c r="J5253" s="18">
        <v>3.78</v>
      </c>
      <c r="K5253" s="18">
        <v>3.76</v>
      </c>
      <c r="L5253" s="22">
        <v>2</v>
      </c>
    </row>
    <row r="5254" spans="1:12">
      <c r="A5254">
        <v>6</v>
      </c>
      <c r="B5254" s="16" t="s">
        <v>61</v>
      </c>
      <c r="C5254" s="9">
        <v>45748</v>
      </c>
      <c r="D5254">
        <v>22</v>
      </c>
      <c r="E5254" s="16" t="s">
        <v>110</v>
      </c>
      <c r="F5254" s="16" t="s">
        <v>90</v>
      </c>
      <c r="G5254" s="22">
        <v>72.5</v>
      </c>
      <c r="H5254" s="18">
        <v>274</v>
      </c>
      <c r="I5254" s="18">
        <v>3.7793103449999998</v>
      </c>
      <c r="J5254" s="18">
        <v>3.8</v>
      </c>
      <c r="K5254" s="18">
        <v>3.76</v>
      </c>
      <c r="L5254" s="22">
        <v>2</v>
      </c>
    </row>
    <row r="5255" spans="1:12">
      <c r="A5255">
        <v>6</v>
      </c>
      <c r="B5255" s="16" t="s">
        <v>61</v>
      </c>
      <c r="C5255" s="9">
        <v>45778</v>
      </c>
      <c r="D5255">
        <v>22</v>
      </c>
      <c r="E5255" s="16" t="s">
        <v>110</v>
      </c>
      <c r="F5255" s="16" t="s">
        <v>90</v>
      </c>
      <c r="G5255" s="22">
        <v>57.5</v>
      </c>
      <c r="H5255" s="18">
        <v>219.17500000000001</v>
      </c>
      <c r="I5255" s="18">
        <v>3.8117391299999999</v>
      </c>
      <c r="J5255" s="18">
        <v>3.85</v>
      </c>
      <c r="K5255" s="18">
        <v>3.77</v>
      </c>
      <c r="L5255" s="22">
        <v>2</v>
      </c>
    </row>
    <row r="5256" spans="1:12">
      <c r="A5256">
        <v>6</v>
      </c>
      <c r="B5256" s="16" t="s">
        <v>61</v>
      </c>
      <c r="C5256" s="9">
        <v>45809</v>
      </c>
      <c r="D5256">
        <v>22</v>
      </c>
      <c r="E5256" s="16" t="s">
        <v>110</v>
      </c>
      <c r="F5256" s="16" t="s">
        <v>90</v>
      </c>
      <c r="G5256" s="22">
        <v>47.5</v>
      </c>
      <c r="H5256" s="18">
        <v>182.72499999999999</v>
      </c>
      <c r="I5256" s="18">
        <v>3.8468421049999999</v>
      </c>
      <c r="J5256" s="18">
        <v>3.88</v>
      </c>
      <c r="K5256" s="18">
        <v>3.81</v>
      </c>
      <c r="L5256" s="22">
        <v>2</v>
      </c>
    </row>
    <row r="5257" spans="1:12">
      <c r="A5257">
        <v>6</v>
      </c>
      <c r="B5257" s="16" t="s">
        <v>61</v>
      </c>
      <c r="C5257" s="9">
        <v>45839</v>
      </c>
      <c r="D5257">
        <v>22</v>
      </c>
      <c r="E5257" s="16" t="s">
        <v>110</v>
      </c>
      <c r="F5257" s="16" t="s">
        <v>90</v>
      </c>
      <c r="G5257" s="22">
        <v>65</v>
      </c>
      <c r="H5257" s="18">
        <v>248.35</v>
      </c>
      <c r="I5257" s="18">
        <v>3.8207692309999999</v>
      </c>
      <c r="J5257" s="18">
        <v>3.83</v>
      </c>
      <c r="K5257" s="18">
        <v>3.8</v>
      </c>
      <c r="L5257" s="22">
        <v>3</v>
      </c>
    </row>
    <row r="5258" spans="1:12">
      <c r="A5258">
        <v>6</v>
      </c>
      <c r="B5258" s="16" t="s">
        <v>61</v>
      </c>
      <c r="C5258" s="9">
        <v>45870</v>
      </c>
      <c r="D5258">
        <v>22</v>
      </c>
      <c r="E5258" s="16" t="s">
        <v>110</v>
      </c>
      <c r="F5258" s="16" t="s">
        <v>90</v>
      </c>
      <c r="G5258" s="22">
        <v>55</v>
      </c>
      <c r="H5258" s="18">
        <v>207.9</v>
      </c>
      <c r="I5258" s="18">
        <v>3.78</v>
      </c>
      <c r="J5258" s="18">
        <v>3.8</v>
      </c>
      <c r="K5258" s="18">
        <v>3.76</v>
      </c>
      <c r="L5258" s="22">
        <v>2</v>
      </c>
    </row>
    <row r="5259" spans="1:12">
      <c r="A5259">
        <v>6</v>
      </c>
      <c r="B5259" s="16" t="s">
        <v>61</v>
      </c>
      <c r="C5259" s="9">
        <v>45901</v>
      </c>
      <c r="D5259">
        <v>22</v>
      </c>
      <c r="E5259" s="16" t="s">
        <v>110</v>
      </c>
      <c r="F5259" s="16" t="s">
        <v>90</v>
      </c>
      <c r="G5259" s="22">
        <v>72.5</v>
      </c>
      <c r="H5259" s="18">
        <v>278.5</v>
      </c>
      <c r="I5259" s="18">
        <v>3.8413793100000002</v>
      </c>
      <c r="J5259" s="18">
        <v>3.88</v>
      </c>
      <c r="K5259" s="18">
        <v>3.8</v>
      </c>
      <c r="L5259" s="22">
        <v>2</v>
      </c>
    </row>
    <row r="5260" spans="1:12">
      <c r="A5260">
        <v>6</v>
      </c>
      <c r="B5260" s="16" t="s">
        <v>61</v>
      </c>
      <c r="C5260" s="9">
        <v>45931</v>
      </c>
      <c r="D5260">
        <v>22</v>
      </c>
      <c r="E5260" s="16" t="s">
        <v>110</v>
      </c>
      <c r="F5260" s="16" t="s">
        <v>90</v>
      </c>
      <c r="G5260" s="22">
        <v>65</v>
      </c>
      <c r="H5260" s="18">
        <v>248</v>
      </c>
      <c r="I5260" s="18">
        <v>3.8153846150000001</v>
      </c>
      <c r="J5260" s="18">
        <v>3.82</v>
      </c>
      <c r="K5260" s="18">
        <v>3.81</v>
      </c>
      <c r="L5260" s="22">
        <v>2</v>
      </c>
    </row>
    <row r="5261" spans="1:12">
      <c r="A5261">
        <v>6</v>
      </c>
      <c r="B5261" s="16" t="s">
        <v>61</v>
      </c>
      <c r="C5261" s="9">
        <v>45962</v>
      </c>
      <c r="D5261">
        <v>22</v>
      </c>
      <c r="E5261" s="16" t="s">
        <v>110</v>
      </c>
      <c r="F5261" s="16" t="s">
        <v>90</v>
      </c>
      <c r="G5261" s="22">
        <v>70</v>
      </c>
      <c r="H5261" s="18">
        <v>262.875</v>
      </c>
      <c r="I5261" s="18">
        <v>3.7553571429999999</v>
      </c>
      <c r="J5261" s="18">
        <v>3.76</v>
      </c>
      <c r="K5261" s="18">
        <v>3.75</v>
      </c>
      <c r="L5261" s="22">
        <v>2</v>
      </c>
    </row>
    <row r="5262" spans="1:12">
      <c r="A5262">
        <v>6</v>
      </c>
      <c r="B5262" s="16" t="s">
        <v>61</v>
      </c>
      <c r="C5262" s="9">
        <v>45992</v>
      </c>
      <c r="D5262">
        <v>22</v>
      </c>
      <c r="E5262" s="16" t="s">
        <v>110</v>
      </c>
      <c r="F5262" s="16" t="s">
        <v>90</v>
      </c>
      <c r="G5262" s="22">
        <v>110</v>
      </c>
      <c r="H5262" s="18">
        <v>410.875</v>
      </c>
      <c r="I5262" s="18">
        <v>3.735227273</v>
      </c>
      <c r="J5262" s="18">
        <v>3.75</v>
      </c>
      <c r="K5262" s="18">
        <v>3.72</v>
      </c>
      <c r="L5262" s="22">
        <v>3</v>
      </c>
    </row>
    <row r="5263" spans="1:12">
      <c r="A5263">
        <v>6</v>
      </c>
      <c r="B5263" s="16" t="s">
        <v>61</v>
      </c>
      <c r="C5263" s="9">
        <v>46023</v>
      </c>
      <c r="D5263">
        <v>22</v>
      </c>
      <c r="E5263" s="16" t="s">
        <v>110</v>
      </c>
      <c r="F5263" s="16" t="s">
        <v>90</v>
      </c>
      <c r="G5263" s="22">
        <v>75</v>
      </c>
      <c r="H5263" s="18">
        <v>285.375</v>
      </c>
      <c r="I5263" s="18">
        <v>3.8050000000000002</v>
      </c>
      <c r="J5263" s="18">
        <v>3.86</v>
      </c>
      <c r="K5263" s="18">
        <v>3.75</v>
      </c>
      <c r="L5263" s="22">
        <v>2</v>
      </c>
    </row>
    <row r="5264" spans="1:12">
      <c r="A5264">
        <v>6</v>
      </c>
      <c r="B5264" s="16" t="s">
        <v>61</v>
      </c>
      <c r="C5264" s="9">
        <v>46054</v>
      </c>
      <c r="D5264">
        <v>22</v>
      </c>
      <c r="E5264" s="16" t="s">
        <v>110</v>
      </c>
      <c r="F5264" s="16" t="s">
        <v>90</v>
      </c>
      <c r="G5264" s="22">
        <v>75</v>
      </c>
      <c r="H5264" s="18">
        <v>287.64999999999998</v>
      </c>
      <c r="I5264" s="18">
        <v>3.8353333329999999</v>
      </c>
      <c r="J5264" s="18">
        <v>3.84</v>
      </c>
      <c r="K5264" s="18">
        <v>3.83</v>
      </c>
      <c r="L5264" s="22">
        <v>2</v>
      </c>
    </row>
    <row r="5265" spans="1:12">
      <c r="A5265">
        <v>6</v>
      </c>
      <c r="B5265" s="16" t="s">
        <v>61</v>
      </c>
      <c r="C5265" s="9">
        <v>46082</v>
      </c>
      <c r="D5265">
        <v>22</v>
      </c>
      <c r="E5265" s="16" t="s">
        <v>110</v>
      </c>
      <c r="F5265" s="16" t="s">
        <v>90</v>
      </c>
      <c r="G5265" s="22">
        <v>95</v>
      </c>
      <c r="H5265" s="18">
        <v>366.85</v>
      </c>
      <c r="I5265" s="18">
        <v>3.8615789469999999</v>
      </c>
      <c r="J5265" s="18">
        <v>3.87</v>
      </c>
      <c r="K5265" s="18">
        <v>3.85</v>
      </c>
      <c r="L5265" s="22">
        <v>2</v>
      </c>
    </row>
    <row r="5266" spans="1:12">
      <c r="A5266">
        <v>6</v>
      </c>
      <c r="B5266" s="16" t="s">
        <v>61</v>
      </c>
      <c r="C5266" s="9">
        <v>46113</v>
      </c>
      <c r="D5266">
        <v>22</v>
      </c>
      <c r="E5266" s="16" t="s">
        <v>110</v>
      </c>
      <c r="F5266" s="16" t="s">
        <v>90</v>
      </c>
      <c r="G5266" s="22">
        <v>77.5</v>
      </c>
      <c r="H5266" s="18">
        <v>301.52499999999998</v>
      </c>
      <c r="I5266" s="18">
        <v>3.8906451610000001</v>
      </c>
      <c r="J5266" s="18">
        <v>3.91</v>
      </c>
      <c r="K5266" s="18">
        <v>3.87</v>
      </c>
      <c r="L5266" s="22">
        <v>2</v>
      </c>
    </row>
    <row r="5267" spans="1:12">
      <c r="A5267">
        <v>6</v>
      </c>
      <c r="B5267" s="16" t="s">
        <v>61</v>
      </c>
      <c r="C5267" s="9">
        <v>46143</v>
      </c>
      <c r="D5267">
        <v>22</v>
      </c>
      <c r="E5267" s="16" t="s">
        <v>110</v>
      </c>
      <c r="F5267" s="16" t="s">
        <v>90</v>
      </c>
      <c r="G5267" s="22">
        <v>67.5</v>
      </c>
      <c r="H5267" s="18">
        <v>259.05</v>
      </c>
      <c r="I5267" s="18">
        <v>3.837777778</v>
      </c>
      <c r="J5267" s="18">
        <v>3.9</v>
      </c>
      <c r="K5267" s="18">
        <v>3.78</v>
      </c>
      <c r="L5267" s="22">
        <v>2</v>
      </c>
    </row>
    <row r="5268" spans="1:12">
      <c r="A5268">
        <v>6</v>
      </c>
      <c r="B5268" s="16" t="s">
        <v>61</v>
      </c>
      <c r="C5268" s="9">
        <v>46174</v>
      </c>
      <c r="D5268">
        <v>22</v>
      </c>
      <c r="E5268" s="16" t="s">
        <v>110</v>
      </c>
      <c r="F5268" s="16" t="s">
        <v>90</v>
      </c>
      <c r="G5268" s="22">
        <v>62.5</v>
      </c>
      <c r="H5268" s="18">
        <v>241.625</v>
      </c>
      <c r="I5268" s="18">
        <v>3.8660000000000001</v>
      </c>
      <c r="J5268" s="18">
        <v>3.89</v>
      </c>
      <c r="K5268" s="18">
        <v>3.84</v>
      </c>
      <c r="L5268" s="22">
        <v>2</v>
      </c>
    </row>
    <row r="5269" spans="1:12">
      <c r="A5269">
        <v>6</v>
      </c>
      <c r="B5269" s="16" t="s">
        <v>61</v>
      </c>
      <c r="C5269" s="9">
        <v>46204</v>
      </c>
      <c r="D5269">
        <v>22</v>
      </c>
      <c r="E5269" s="16" t="s">
        <v>110</v>
      </c>
      <c r="F5269" s="16" t="s">
        <v>90</v>
      </c>
      <c r="G5269" s="22">
        <v>77.5</v>
      </c>
      <c r="H5269" s="18">
        <v>297.95</v>
      </c>
      <c r="I5269" s="18">
        <v>3.8445161290000001</v>
      </c>
      <c r="J5269" s="18">
        <v>3.92</v>
      </c>
      <c r="K5269" s="18">
        <v>3.8</v>
      </c>
      <c r="L5269" s="22">
        <v>3</v>
      </c>
    </row>
    <row r="5270" spans="1:12">
      <c r="A5270">
        <v>6</v>
      </c>
      <c r="B5270" s="16" t="s">
        <v>61</v>
      </c>
      <c r="C5270" s="9">
        <v>46235</v>
      </c>
      <c r="D5270">
        <v>22</v>
      </c>
      <c r="E5270" s="16" t="s">
        <v>110</v>
      </c>
      <c r="F5270" s="16" t="s">
        <v>90</v>
      </c>
      <c r="G5270" s="22">
        <v>47.5</v>
      </c>
      <c r="H5270" s="18">
        <v>181.72499999999999</v>
      </c>
      <c r="I5270" s="18">
        <v>3.825789474</v>
      </c>
      <c r="J5270" s="18">
        <v>3.83</v>
      </c>
      <c r="K5270" s="18">
        <v>3.82</v>
      </c>
      <c r="L5270" s="22">
        <v>2</v>
      </c>
    </row>
    <row r="5271" spans="1:12">
      <c r="A5271">
        <v>6</v>
      </c>
      <c r="B5271" s="16" t="s">
        <v>61</v>
      </c>
      <c r="C5271" s="9">
        <v>46266</v>
      </c>
      <c r="D5271">
        <v>22</v>
      </c>
      <c r="E5271" s="16" t="s">
        <v>110</v>
      </c>
      <c r="F5271" s="16" t="s">
        <v>90</v>
      </c>
      <c r="G5271" s="22">
        <v>60</v>
      </c>
      <c r="H5271" s="18">
        <v>229.5</v>
      </c>
      <c r="I5271" s="18">
        <v>3.8250000000000002</v>
      </c>
      <c r="J5271" s="18">
        <v>3.86</v>
      </c>
      <c r="K5271" s="18">
        <v>3.79</v>
      </c>
      <c r="L5271" s="22">
        <v>2</v>
      </c>
    </row>
    <row r="5272" spans="1:12">
      <c r="A5272">
        <v>6</v>
      </c>
      <c r="B5272" s="16" t="s">
        <v>61</v>
      </c>
      <c r="C5272" s="9">
        <v>45689</v>
      </c>
      <c r="D5272">
        <v>23</v>
      </c>
      <c r="E5272" s="16" t="s">
        <v>111</v>
      </c>
      <c r="F5272" s="16" t="s">
        <v>92</v>
      </c>
      <c r="G5272" s="22">
        <v>56</v>
      </c>
      <c r="H5272" s="18">
        <v>255.64</v>
      </c>
      <c r="I5272" s="18">
        <v>4.5650000000000004</v>
      </c>
      <c r="J5272" s="18">
        <v>4.63</v>
      </c>
      <c r="K5272" s="18">
        <v>4.5</v>
      </c>
      <c r="L5272" s="22">
        <v>12</v>
      </c>
    </row>
    <row r="5273" spans="1:12">
      <c r="A5273">
        <v>6</v>
      </c>
      <c r="B5273" s="16" t="s">
        <v>61</v>
      </c>
      <c r="C5273" s="9">
        <v>45717</v>
      </c>
      <c r="D5273">
        <v>23</v>
      </c>
      <c r="E5273" s="16" t="s">
        <v>111</v>
      </c>
      <c r="F5273" s="16" t="s">
        <v>92</v>
      </c>
      <c r="G5273" s="22">
        <v>54</v>
      </c>
      <c r="H5273" s="18">
        <v>228.56</v>
      </c>
      <c r="I5273" s="18">
        <v>4.2325925929999997</v>
      </c>
      <c r="J5273" s="18">
        <v>4.3499999999999996</v>
      </c>
      <c r="K5273" s="18">
        <v>4.13</v>
      </c>
      <c r="L5273" s="22">
        <v>13</v>
      </c>
    </row>
    <row r="5274" spans="1:12">
      <c r="A5274">
        <v>6</v>
      </c>
      <c r="B5274" s="16" t="s">
        <v>61</v>
      </c>
      <c r="C5274" s="9">
        <v>45748</v>
      </c>
      <c r="D5274">
        <v>23</v>
      </c>
      <c r="E5274" s="16" t="s">
        <v>111</v>
      </c>
      <c r="F5274" s="16" t="s">
        <v>92</v>
      </c>
      <c r="G5274" s="22">
        <v>78</v>
      </c>
      <c r="H5274" s="18">
        <v>290.66000000000003</v>
      </c>
      <c r="I5274" s="18">
        <v>3.7264102559999999</v>
      </c>
      <c r="J5274" s="18">
        <v>3.81</v>
      </c>
      <c r="K5274" s="18">
        <v>3.65</v>
      </c>
      <c r="L5274" s="22">
        <v>13</v>
      </c>
    </row>
    <row r="5275" spans="1:12">
      <c r="A5275">
        <v>6</v>
      </c>
      <c r="B5275" s="16" t="s">
        <v>61</v>
      </c>
      <c r="C5275" s="9">
        <v>45778</v>
      </c>
      <c r="D5275">
        <v>23</v>
      </c>
      <c r="E5275" s="16" t="s">
        <v>111</v>
      </c>
      <c r="F5275" s="16" t="s">
        <v>92</v>
      </c>
      <c r="G5275" s="22">
        <v>78</v>
      </c>
      <c r="H5275" s="18">
        <v>253.2</v>
      </c>
      <c r="I5275" s="18">
        <v>3.2461538459999999</v>
      </c>
      <c r="J5275" s="18">
        <v>3.31</v>
      </c>
      <c r="K5275" s="18">
        <v>3.19</v>
      </c>
      <c r="L5275" s="22">
        <v>13</v>
      </c>
    </row>
    <row r="5276" spans="1:12">
      <c r="A5276">
        <v>6</v>
      </c>
      <c r="B5276" s="16" t="s">
        <v>61</v>
      </c>
      <c r="C5276" s="9">
        <v>45809</v>
      </c>
      <c r="D5276">
        <v>23</v>
      </c>
      <c r="E5276" s="16" t="s">
        <v>111</v>
      </c>
      <c r="F5276" s="16" t="s">
        <v>92</v>
      </c>
      <c r="G5276" s="22">
        <v>72</v>
      </c>
      <c r="H5276" s="18">
        <v>210.9</v>
      </c>
      <c r="I5276" s="18">
        <v>2.9291666670000001</v>
      </c>
      <c r="J5276" s="18">
        <v>2.96</v>
      </c>
      <c r="K5276" s="18">
        <v>2.89</v>
      </c>
      <c r="L5276" s="22">
        <v>13</v>
      </c>
    </row>
    <row r="5277" spans="1:12">
      <c r="A5277">
        <v>6</v>
      </c>
      <c r="B5277" s="16" t="s">
        <v>61</v>
      </c>
      <c r="C5277" s="9">
        <v>45839</v>
      </c>
      <c r="D5277">
        <v>23</v>
      </c>
      <c r="E5277" s="16" t="s">
        <v>111</v>
      </c>
      <c r="F5277" s="16" t="s">
        <v>92</v>
      </c>
      <c r="G5277" s="22">
        <v>72</v>
      </c>
      <c r="H5277" s="18">
        <v>202.04</v>
      </c>
      <c r="I5277" s="18">
        <v>2.8061111109999999</v>
      </c>
      <c r="J5277" s="18">
        <v>2.87</v>
      </c>
      <c r="K5277" s="18">
        <v>2.76</v>
      </c>
      <c r="L5277" s="22">
        <v>13</v>
      </c>
    </row>
    <row r="5278" spans="1:12">
      <c r="A5278">
        <v>6</v>
      </c>
      <c r="B5278" s="16" t="s">
        <v>61</v>
      </c>
      <c r="C5278" s="9">
        <v>45870</v>
      </c>
      <c r="D5278">
        <v>23</v>
      </c>
      <c r="E5278" s="16" t="s">
        <v>111</v>
      </c>
      <c r="F5278" s="16" t="s">
        <v>92</v>
      </c>
      <c r="G5278" s="22">
        <v>58</v>
      </c>
      <c r="H5278" s="18">
        <v>170.3</v>
      </c>
      <c r="I5278" s="18">
        <v>2.9362068969999999</v>
      </c>
      <c r="J5278" s="18">
        <v>2.99</v>
      </c>
      <c r="K5278" s="18">
        <v>2.86</v>
      </c>
      <c r="L5278" s="22">
        <v>12</v>
      </c>
    </row>
    <row r="5279" spans="1:12">
      <c r="A5279">
        <v>6</v>
      </c>
      <c r="B5279" s="16" t="s">
        <v>61</v>
      </c>
      <c r="C5279" s="9">
        <v>45901</v>
      </c>
      <c r="D5279">
        <v>23</v>
      </c>
      <c r="E5279" s="16" t="s">
        <v>111</v>
      </c>
      <c r="F5279" s="16" t="s">
        <v>92</v>
      </c>
      <c r="G5279" s="22">
        <v>74</v>
      </c>
      <c r="H5279" s="18">
        <v>245.22</v>
      </c>
      <c r="I5279" s="18">
        <v>3.313783784</v>
      </c>
      <c r="J5279" s="18">
        <v>3.53</v>
      </c>
      <c r="K5279" s="18">
        <v>3.21</v>
      </c>
      <c r="L5279" s="22">
        <v>13</v>
      </c>
    </row>
    <row r="5280" spans="1:12">
      <c r="A5280">
        <v>6</v>
      </c>
      <c r="B5280" s="16" t="s">
        <v>61</v>
      </c>
      <c r="C5280" s="9">
        <v>45931</v>
      </c>
      <c r="D5280">
        <v>23</v>
      </c>
      <c r="E5280" s="16" t="s">
        <v>111</v>
      </c>
      <c r="F5280" s="16" t="s">
        <v>92</v>
      </c>
      <c r="G5280" s="22">
        <v>86</v>
      </c>
      <c r="H5280" s="18">
        <v>328.7</v>
      </c>
      <c r="I5280" s="18">
        <v>3.8220930229999999</v>
      </c>
      <c r="J5280" s="18">
        <v>3.98</v>
      </c>
      <c r="K5280" s="18">
        <v>3.68</v>
      </c>
      <c r="L5280" s="22">
        <v>14</v>
      </c>
    </row>
    <row r="5281" spans="1:12">
      <c r="A5281">
        <v>6</v>
      </c>
      <c r="B5281" s="16" t="s">
        <v>61</v>
      </c>
      <c r="C5281" s="9">
        <v>45962</v>
      </c>
      <c r="D5281">
        <v>23</v>
      </c>
      <c r="E5281" s="16" t="s">
        <v>111</v>
      </c>
      <c r="F5281" s="16" t="s">
        <v>92</v>
      </c>
      <c r="G5281" s="22">
        <v>66</v>
      </c>
      <c r="H5281" s="18">
        <v>288.60000000000002</v>
      </c>
      <c r="I5281" s="18">
        <v>4.3727272729999997</v>
      </c>
      <c r="J5281" s="18">
        <v>4.45</v>
      </c>
      <c r="K5281" s="18">
        <v>4.3</v>
      </c>
      <c r="L5281" s="22">
        <v>12</v>
      </c>
    </row>
    <row r="5282" spans="1:12">
      <c r="A5282">
        <v>6</v>
      </c>
      <c r="B5282" s="16" t="s">
        <v>61</v>
      </c>
      <c r="C5282" s="9">
        <v>45992</v>
      </c>
      <c r="D5282">
        <v>23</v>
      </c>
      <c r="E5282" s="16" t="s">
        <v>111</v>
      </c>
      <c r="F5282" s="16" t="s">
        <v>92</v>
      </c>
      <c r="G5282" s="22">
        <v>68</v>
      </c>
      <c r="H5282" s="18">
        <v>324.45999999999998</v>
      </c>
      <c r="I5282" s="18">
        <v>4.7714705879999997</v>
      </c>
      <c r="J5282" s="18">
        <v>5.0599999999999996</v>
      </c>
      <c r="K5282" s="18">
        <v>4.6500000000000004</v>
      </c>
      <c r="L5282" s="22">
        <v>13</v>
      </c>
    </row>
    <row r="5283" spans="1:12">
      <c r="A5283">
        <v>6</v>
      </c>
      <c r="B5283" s="16" t="s">
        <v>61</v>
      </c>
      <c r="C5283" s="9">
        <v>46023</v>
      </c>
      <c r="D5283">
        <v>23</v>
      </c>
      <c r="E5283" s="16" t="s">
        <v>111</v>
      </c>
      <c r="F5283" s="16" t="s">
        <v>92</v>
      </c>
      <c r="G5283" s="22">
        <v>66</v>
      </c>
      <c r="H5283" s="18">
        <v>320.16000000000003</v>
      </c>
      <c r="I5283" s="18">
        <v>4.8509090910000001</v>
      </c>
      <c r="J5283" s="18">
        <v>4.92</v>
      </c>
      <c r="K5283" s="18">
        <v>4.79</v>
      </c>
      <c r="L5283" s="22">
        <v>13</v>
      </c>
    </row>
    <row r="5284" spans="1:12">
      <c r="A5284">
        <v>6</v>
      </c>
      <c r="B5284" s="16" t="s">
        <v>61</v>
      </c>
      <c r="C5284" s="9">
        <v>46054</v>
      </c>
      <c r="D5284">
        <v>23</v>
      </c>
      <c r="E5284" s="16" t="s">
        <v>111</v>
      </c>
      <c r="F5284" s="16" t="s">
        <v>92</v>
      </c>
      <c r="G5284" s="22">
        <v>62</v>
      </c>
      <c r="H5284" s="18">
        <v>292</v>
      </c>
      <c r="I5284" s="18">
        <v>4.7096774190000001</v>
      </c>
      <c r="J5284" s="18">
        <v>4.8099999999999996</v>
      </c>
      <c r="K5284" s="18">
        <v>4.6100000000000003</v>
      </c>
      <c r="L5284" s="22">
        <v>12</v>
      </c>
    </row>
    <row r="5285" spans="1:12">
      <c r="A5285">
        <v>6</v>
      </c>
      <c r="B5285" s="16" t="s">
        <v>61</v>
      </c>
      <c r="C5285" s="9">
        <v>46082</v>
      </c>
      <c r="D5285">
        <v>23</v>
      </c>
      <c r="E5285" s="16" t="s">
        <v>111</v>
      </c>
      <c r="F5285" s="16" t="s">
        <v>92</v>
      </c>
      <c r="G5285" s="22">
        <v>86</v>
      </c>
      <c r="H5285" s="18">
        <v>375.56</v>
      </c>
      <c r="I5285" s="18">
        <v>4.3669767439999996</v>
      </c>
      <c r="J5285" s="18">
        <v>4.5999999999999996</v>
      </c>
      <c r="K5285" s="18">
        <v>4.2699999999999996</v>
      </c>
      <c r="L5285" s="22">
        <v>13</v>
      </c>
    </row>
    <row r="5286" spans="1:12">
      <c r="A5286">
        <v>6</v>
      </c>
      <c r="B5286" s="16" t="s">
        <v>61</v>
      </c>
      <c r="C5286" s="9">
        <v>46113</v>
      </c>
      <c r="D5286">
        <v>23</v>
      </c>
      <c r="E5286" s="16" t="s">
        <v>111</v>
      </c>
      <c r="F5286" s="16" t="s">
        <v>92</v>
      </c>
      <c r="G5286" s="22">
        <v>96</v>
      </c>
      <c r="H5286" s="18">
        <v>369.22</v>
      </c>
      <c r="I5286" s="18">
        <v>3.8460416670000002</v>
      </c>
      <c r="J5286" s="18">
        <v>3.97</v>
      </c>
      <c r="K5286" s="18">
        <v>3.71</v>
      </c>
      <c r="L5286" s="22">
        <v>13</v>
      </c>
    </row>
    <row r="5287" spans="1:12">
      <c r="A5287">
        <v>6</v>
      </c>
      <c r="B5287" s="16" t="s">
        <v>61</v>
      </c>
      <c r="C5287" s="9">
        <v>46143</v>
      </c>
      <c r="D5287">
        <v>23</v>
      </c>
      <c r="E5287" s="16" t="s">
        <v>111</v>
      </c>
      <c r="F5287" s="16" t="s">
        <v>92</v>
      </c>
      <c r="G5287" s="22">
        <v>100</v>
      </c>
      <c r="H5287" s="18">
        <v>335.06</v>
      </c>
      <c r="I5287" s="18">
        <v>3.3506</v>
      </c>
      <c r="J5287" s="18">
        <v>3.41</v>
      </c>
      <c r="K5287" s="18">
        <v>3.27</v>
      </c>
      <c r="L5287" s="22">
        <v>13</v>
      </c>
    </row>
    <row r="5288" spans="1:12">
      <c r="A5288">
        <v>6</v>
      </c>
      <c r="B5288" s="16" t="s">
        <v>61</v>
      </c>
      <c r="C5288" s="9">
        <v>46174</v>
      </c>
      <c r="D5288">
        <v>23</v>
      </c>
      <c r="E5288" s="16" t="s">
        <v>111</v>
      </c>
      <c r="F5288" s="16" t="s">
        <v>92</v>
      </c>
      <c r="G5288" s="22">
        <v>92</v>
      </c>
      <c r="H5288" s="18">
        <v>276.5</v>
      </c>
      <c r="I5288" s="18">
        <v>3.0054347830000001</v>
      </c>
      <c r="J5288" s="18">
        <v>3.07</v>
      </c>
      <c r="K5288" s="18">
        <v>2.97</v>
      </c>
      <c r="L5288" s="22">
        <v>13</v>
      </c>
    </row>
    <row r="5289" spans="1:12">
      <c r="A5289">
        <v>6</v>
      </c>
      <c r="B5289" s="16" t="s">
        <v>61</v>
      </c>
      <c r="C5289" s="9">
        <v>46204</v>
      </c>
      <c r="D5289">
        <v>23</v>
      </c>
      <c r="E5289" s="16" t="s">
        <v>111</v>
      </c>
      <c r="F5289" s="16" t="s">
        <v>92</v>
      </c>
      <c r="G5289" s="22">
        <v>82</v>
      </c>
      <c r="H5289" s="18">
        <v>239.94</v>
      </c>
      <c r="I5289" s="18">
        <v>2.9260975610000002</v>
      </c>
      <c r="J5289" s="18">
        <v>3.03</v>
      </c>
      <c r="K5289" s="18">
        <v>2.85</v>
      </c>
      <c r="L5289" s="22">
        <v>13</v>
      </c>
    </row>
    <row r="5290" spans="1:12">
      <c r="A5290">
        <v>6</v>
      </c>
      <c r="B5290" s="16" t="s">
        <v>61</v>
      </c>
      <c r="C5290" s="9">
        <v>46235</v>
      </c>
      <c r="D5290">
        <v>23</v>
      </c>
      <c r="E5290" s="16" t="s">
        <v>111</v>
      </c>
      <c r="F5290" s="16" t="s">
        <v>92</v>
      </c>
      <c r="G5290" s="22">
        <v>92</v>
      </c>
      <c r="H5290" s="18">
        <v>286.68</v>
      </c>
      <c r="I5290" s="18">
        <v>3.1160869569999998</v>
      </c>
      <c r="J5290" s="18">
        <v>3.26</v>
      </c>
      <c r="K5290" s="18">
        <v>3.01</v>
      </c>
      <c r="L5290" s="22">
        <v>13</v>
      </c>
    </row>
    <row r="5291" spans="1:12">
      <c r="A5291">
        <v>6</v>
      </c>
      <c r="B5291" s="16" t="s">
        <v>61</v>
      </c>
      <c r="C5291" s="9">
        <v>46266</v>
      </c>
      <c r="D5291">
        <v>23</v>
      </c>
      <c r="E5291" s="16" t="s">
        <v>111</v>
      </c>
      <c r="F5291" s="16" t="s">
        <v>92</v>
      </c>
      <c r="G5291" s="22">
        <v>90</v>
      </c>
      <c r="H5291" s="18">
        <v>311.54000000000002</v>
      </c>
      <c r="I5291" s="18">
        <v>3.461555556</v>
      </c>
      <c r="J5291" s="18">
        <v>3.55</v>
      </c>
      <c r="K5291" s="18">
        <v>3.38</v>
      </c>
      <c r="L5291" s="22">
        <v>13</v>
      </c>
    </row>
    <row r="5292" spans="1:12">
      <c r="A5292">
        <v>6</v>
      </c>
      <c r="B5292" s="16" t="s">
        <v>61</v>
      </c>
      <c r="C5292" s="9">
        <v>45689</v>
      </c>
      <c r="D5292">
        <v>24</v>
      </c>
      <c r="E5292" s="16" t="s">
        <v>112</v>
      </c>
      <c r="F5292" s="16" t="s">
        <v>83</v>
      </c>
      <c r="G5292" s="22">
        <v>39.5</v>
      </c>
      <c r="H5292" s="18">
        <v>422.21499999999997</v>
      </c>
      <c r="I5292" s="18">
        <v>10.688987342000001</v>
      </c>
      <c r="J5292" s="18">
        <v>10.79</v>
      </c>
      <c r="K5292" s="18">
        <v>10.55</v>
      </c>
      <c r="L5292" s="22">
        <v>8</v>
      </c>
    </row>
    <row r="5293" spans="1:12">
      <c r="A5293">
        <v>6</v>
      </c>
      <c r="B5293" s="16" t="s">
        <v>61</v>
      </c>
      <c r="C5293" s="9">
        <v>45717</v>
      </c>
      <c r="D5293">
        <v>24</v>
      </c>
      <c r="E5293" s="16" t="s">
        <v>112</v>
      </c>
      <c r="F5293" s="16" t="s">
        <v>83</v>
      </c>
      <c r="G5293" s="22">
        <v>33.5</v>
      </c>
      <c r="H5293" s="18">
        <v>358.61</v>
      </c>
      <c r="I5293" s="18">
        <v>10.704776119</v>
      </c>
      <c r="J5293" s="18">
        <v>10.95</v>
      </c>
      <c r="K5293" s="18">
        <v>10.46</v>
      </c>
      <c r="L5293" s="22">
        <v>9</v>
      </c>
    </row>
    <row r="5294" spans="1:12">
      <c r="A5294">
        <v>6</v>
      </c>
      <c r="B5294" s="16" t="s">
        <v>61</v>
      </c>
      <c r="C5294" s="9">
        <v>45748</v>
      </c>
      <c r="D5294">
        <v>24</v>
      </c>
      <c r="E5294" s="16" t="s">
        <v>112</v>
      </c>
      <c r="F5294" s="16" t="s">
        <v>83</v>
      </c>
      <c r="G5294" s="22">
        <v>35</v>
      </c>
      <c r="H5294" s="18">
        <v>371.12</v>
      </c>
      <c r="I5294" s="18">
        <v>10.603428571</v>
      </c>
      <c r="J5294" s="18">
        <v>10.84</v>
      </c>
      <c r="K5294" s="18">
        <v>10.49</v>
      </c>
      <c r="L5294" s="22">
        <v>8</v>
      </c>
    </row>
    <row r="5295" spans="1:12">
      <c r="A5295">
        <v>6</v>
      </c>
      <c r="B5295" s="16" t="s">
        <v>61</v>
      </c>
      <c r="C5295" s="9">
        <v>45778</v>
      </c>
      <c r="D5295">
        <v>24</v>
      </c>
      <c r="E5295" s="16" t="s">
        <v>112</v>
      </c>
      <c r="F5295" s="16" t="s">
        <v>83</v>
      </c>
      <c r="G5295" s="22">
        <v>41</v>
      </c>
      <c r="H5295" s="18">
        <v>427.84500000000003</v>
      </c>
      <c r="I5295" s="18">
        <v>10.435243902</v>
      </c>
      <c r="J5295" s="18">
        <v>10.63</v>
      </c>
      <c r="K5295" s="18">
        <v>10.17</v>
      </c>
      <c r="L5295" s="22">
        <v>9</v>
      </c>
    </row>
    <row r="5296" spans="1:12">
      <c r="A5296">
        <v>6</v>
      </c>
      <c r="B5296" s="16" t="s">
        <v>61</v>
      </c>
      <c r="C5296" s="9">
        <v>45809</v>
      </c>
      <c r="D5296">
        <v>24</v>
      </c>
      <c r="E5296" s="16" t="s">
        <v>112</v>
      </c>
      <c r="F5296" s="16" t="s">
        <v>83</v>
      </c>
      <c r="G5296" s="22">
        <v>32</v>
      </c>
      <c r="H5296" s="18">
        <v>337.62</v>
      </c>
      <c r="I5296" s="18">
        <v>10.550625</v>
      </c>
      <c r="J5296" s="18">
        <v>10.62</v>
      </c>
      <c r="K5296" s="18">
        <v>10.47</v>
      </c>
      <c r="L5296" s="22">
        <v>9</v>
      </c>
    </row>
    <row r="5297" spans="1:12">
      <c r="A5297">
        <v>6</v>
      </c>
      <c r="B5297" s="16" t="s">
        <v>61</v>
      </c>
      <c r="C5297" s="9">
        <v>45839</v>
      </c>
      <c r="D5297">
        <v>24</v>
      </c>
      <c r="E5297" s="16" t="s">
        <v>112</v>
      </c>
      <c r="F5297" s="16" t="s">
        <v>83</v>
      </c>
      <c r="G5297" s="22">
        <v>27</v>
      </c>
      <c r="H5297" s="18">
        <v>288.29000000000002</v>
      </c>
      <c r="I5297" s="18">
        <v>10.677407407</v>
      </c>
      <c r="J5297" s="18">
        <v>10.97</v>
      </c>
      <c r="K5297" s="18">
        <v>10.39</v>
      </c>
      <c r="L5297" s="22">
        <v>9</v>
      </c>
    </row>
    <row r="5298" spans="1:12">
      <c r="A5298">
        <v>6</v>
      </c>
      <c r="B5298" s="16" t="s">
        <v>61</v>
      </c>
      <c r="C5298" s="9">
        <v>45870</v>
      </c>
      <c r="D5298">
        <v>24</v>
      </c>
      <c r="E5298" s="16" t="s">
        <v>112</v>
      </c>
      <c r="F5298" s="16" t="s">
        <v>83</v>
      </c>
      <c r="G5298" s="22">
        <v>22</v>
      </c>
      <c r="H5298" s="18">
        <v>236.595</v>
      </c>
      <c r="I5298" s="18">
        <v>10.754318182</v>
      </c>
      <c r="J5298" s="18">
        <v>10.9</v>
      </c>
      <c r="K5298" s="18">
        <v>10.59</v>
      </c>
      <c r="L5298" s="22">
        <v>8</v>
      </c>
    </row>
    <row r="5299" spans="1:12">
      <c r="A5299">
        <v>6</v>
      </c>
      <c r="B5299" s="16" t="s">
        <v>61</v>
      </c>
      <c r="C5299" s="9">
        <v>45901</v>
      </c>
      <c r="D5299">
        <v>24</v>
      </c>
      <c r="E5299" s="16" t="s">
        <v>112</v>
      </c>
      <c r="F5299" s="16" t="s">
        <v>83</v>
      </c>
      <c r="G5299" s="22">
        <v>28.5</v>
      </c>
      <c r="H5299" s="18">
        <v>307.11</v>
      </c>
      <c r="I5299" s="18">
        <v>10.775789474</v>
      </c>
      <c r="J5299" s="18">
        <v>11.04</v>
      </c>
      <c r="K5299" s="18">
        <v>10.64</v>
      </c>
      <c r="L5299" s="22">
        <v>9</v>
      </c>
    </row>
    <row r="5300" spans="1:12">
      <c r="A5300">
        <v>6</v>
      </c>
      <c r="B5300" s="16" t="s">
        <v>61</v>
      </c>
      <c r="C5300" s="9">
        <v>45931</v>
      </c>
      <c r="D5300">
        <v>24</v>
      </c>
      <c r="E5300" s="16" t="s">
        <v>112</v>
      </c>
      <c r="F5300" s="16" t="s">
        <v>83</v>
      </c>
      <c r="G5300" s="22">
        <v>37</v>
      </c>
      <c r="H5300" s="18">
        <v>402.125</v>
      </c>
      <c r="I5300" s="18">
        <v>10.868243243</v>
      </c>
      <c r="J5300" s="18">
        <v>11.56</v>
      </c>
      <c r="K5300" s="18">
        <v>10.51</v>
      </c>
      <c r="L5300" s="22">
        <v>9</v>
      </c>
    </row>
    <row r="5301" spans="1:12">
      <c r="A5301">
        <v>6</v>
      </c>
      <c r="B5301" s="16" t="s">
        <v>61</v>
      </c>
      <c r="C5301" s="9">
        <v>45962</v>
      </c>
      <c r="D5301">
        <v>24</v>
      </c>
      <c r="E5301" s="16" t="s">
        <v>112</v>
      </c>
      <c r="F5301" s="16" t="s">
        <v>83</v>
      </c>
      <c r="G5301" s="22">
        <v>32.5</v>
      </c>
      <c r="H5301" s="18">
        <v>348.97500000000002</v>
      </c>
      <c r="I5301" s="18">
        <v>10.737692308</v>
      </c>
      <c r="J5301" s="18">
        <v>10.85</v>
      </c>
      <c r="K5301" s="18">
        <v>10.65</v>
      </c>
      <c r="L5301" s="22">
        <v>8</v>
      </c>
    </row>
    <row r="5302" spans="1:12">
      <c r="A5302">
        <v>6</v>
      </c>
      <c r="B5302" s="16" t="s">
        <v>61</v>
      </c>
      <c r="C5302" s="9">
        <v>45992</v>
      </c>
      <c r="D5302">
        <v>24</v>
      </c>
      <c r="E5302" s="16" t="s">
        <v>112</v>
      </c>
      <c r="F5302" s="16" t="s">
        <v>83</v>
      </c>
      <c r="G5302" s="22">
        <v>29.5</v>
      </c>
      <c r="H5302" s="18">
        <v>318.64999999999998</v>
      </c>
      <c r="I5302" s="18">
        <v>10.801694915000001</v>
      </c>
      <c r="J5302" s="18">
        <v>10.92</v>
      </c>
      <c r="K5302" s="18">
        <v>10.65</v>
      </c>
      <c r="L5302" s="22">
        <v>9</v>
      </c>
    </row>
    <row r="5303" spans="1:12">
      <c r="A5303">
        <v>6</v>
      </c>
      <c r="B5303" s="16" t="s">
        <v>61</v>
      </c>
      <c r="C5303" s="9">
        <v>46023</v>
      </c>
      <c r="D5303">
        <v>24</v>
      </c>
      <c r="E5303" s="16" t="s">
        <v>112</v>
      </c>
      <c r="F5303" s="16" t="s">
        <v>83</v>
      </c>
      <c r="G5303" s="22">
        <v>38</v>
      </c>
      <c r="H5303" s="18">
        <v>412.16500000000002</v>
      </c>
      <c r="I5303" s="18">
        <v>10.846447368</v>
      </c>
      <c r="J5303" s="18">
        <v>11.55</v>
      </c>
      <c r="K5303" s="18">
        <v>10.58</v>
      </c>
      <c r="L5303" s="22">
        <v>9</v>
      </c>
    </row>
    <row r="5304" spans="1:12">
      <c r="A5304">
        <v>6</v>
      </c>
      <c r="B5304" s="16" t="s">
        <v>61</v>
      </c>
      <c r="C5304" s="9">
        <v>46054</v>
      </c>
      <c r="D5304">
        <v>24</v>
      </c>
      <c r="E5304" s="16" t="s">
        <v>112</v>
      </c>
      <c r="F5304" s="16" t="s">
        <v>83</v>
      </c>
      <c r="G5304" s="22">
        <v>29</v>
      </c>
      <c r="H5304" s="18">
        <v>317.54500000000002</v>
      </c>
      <c r="I5304" s="18">
        <v>10.949827586</v>
      </c>
      <c r="J5304" s="18">
        <v>11.03</v>
      </c>
      <c r="K5304" s="18">
        <v>10.82</v>
      </c>
      <c r="L5304" s="22">
        <v>8</v>
      </c>
    </row>
    <row r="5305" spans="1:12">
      <c r="A5305">
        <v>6</v>
      </c>
      <c r="B5305" s="16" t="s">
        <v>61</v>
      </c>
      <c r="C5305" s="9">
        <v>46082</v>
      </c>
      <c r="D5305">
        <v>24</v>
      </c>
      <c r="E5305" s="16" t="s">
        <v>112</v>
      </c>
      <c r="F5305" s="16" t="s">
        <v>83</v>
      </c>
      <c r="G5305" s="22">
        <v>37.5</v>
      </c>
      <c r="H5305" s="18">
        <v>406.36</v>
      </c>
      <c r="I5305" s="18">
        <v>10.836266667</v>
      </c>
      <c r="J5305" s="18">
        <v>11.06</v>
      </c>
      <c r="K5305" s="18">
        <v>10.66</v>
      </c>
      <c r="L5305" s="22">
        <v>9</v>
      </c>
    </row>
    <row r="5306" spans="1:12">
      <c r="A5306">
        <v>6</v>
      </c>
      <c r="B5306" s="16" t="s">
        <v>61</v>
      </c>
      <c r="C5306" s="9">
        <v>46113</v>
      </c>
      <c r="D5306">
        <v>24</v>
      </c>
      <c r="E5306" s="16" t="s">
        <v>112</v>
      </c>
      <c r="F5306" s="16" t="s">
        <v>83</v>
      </c>
      <c r="G5306" s="22">
        <v>43</v>
      </c>
      <c r="H5306" s="18">
        <v>472.86500000000001</v>
      </c>
      <c r="I5306" s="18">
        <v>10.996860464999999</v>
      </c>
      <c r="J5306" s="18">
        <v>11.26</v>
      </c>
      <c r="K5306" s="18">
        <v>10.75</v>
      </c>
      <c r="L5306" s="22">
        <v>9</v>
      </c>
    </row>
    <row r="5307" spans="1:12">
      <c r="A5307">
        <v>6</v>
      </c>
      <c r="B5307" s="16" t="s">
        <v>61</v>
      </c>
      <c r="C5307" s="9">
        <v>46143</v>
      </c>
      <c r="D5307">
        <v>24</v>
      </c>
      <c r="E5307" s="16" t="s">
        <v>112</v>
      </c>
      <c r="F5307" s="16" t="s">
        <v>83</v>
      </c>
      <c r="G5307" s="22">
        <v>35.5</v>
      </c>
      <c r="H5307" s="18">
        <v>392.42500000000001</v>
      </c>
      <c r="I5307" s="18">
        <v>11.054225352</v>
      </c>
      <c r="J5307" s="18">
        <v>11.4</v>
      </c>
      <c r="K5307" s="18">
        <v>10.91</v>
      </c>
      <c r="L5307" s="22">
        <v>8</v>
      </c>
    </row>
    <row r="5308" spans="1:12">
      <c r="A5308">
        <v>6</v>
      </c>
      <c r="B5308" s="16" t="s">
        <v>61</v>
      </c>
      <c r="C5308" s="9">
        <v>46174</v>
      </c>
      <c r="D5308">
        <v>24</v>
      </c>
      <c r="E5308" s="16" t="s">
        <v>112</v>
      </c>
      <c r="F5308" s="16" t="s">
        <v>83</v>
      </c>
      <c r="G5308" s="22">
        <v>32</v>
      </c>
      <c r="H5308" s="18">
        <v>356.255</v>
      </c>
      <c r="I5308" s="18">
        <v>11.13296875</v>
      </c>
      <c r="J5308" s="18">
        <v>11.19</v>
      </c>
      <c r="K5308" s="18">
        <v>11.03</v>
      </c>
      <c r="L5308" s="22">
        <v>9</v>
      </c>
    </row>
    <row r="5309" spans="1:12">
      <c r="A5309">
        <v>6</v>
      </c>
      <c r="B5309" s="16" t="s">
        <v>61</v>
      </c>
      <c r="C5309" s="9">
        <v>46204</v>
      </c>
      <c r="D5309">
        <v>24</v>
      </c>
      <c r="E5309" s="16" t="s">
        <v>112</v>
      </c>
      <c r="F5309" s="16" t="s">
        <v>83</v>
      </c>
      <c r="G5309" s="22">
        <v>36</v>
      </c>
      <c r="H5309" s="18">
        <v>401.48</v>
      </c>
      <c r="I5309" s="18">
        <v>11.152222222000001</v>
      </c>
      <c r="J5309" s="18">
        <v>11.27</v>
      </c>
      <c r="K5309" s="18">
        <v>11.01</v>
      </c>
      <c r="L5309" s="22">
        <v>9</v>
      </c>
    </row>
    <row r="5310" spans="1:12">
      <c r="A5310">
        <v>6</v>
      </c>
      <c r="B5310" s="16" t="s">
        <v>61</v>
      </c>
      <c r="C5310" s="9">
        <v>46235</v>
      </c>
      <c r="D5310">
        <v>24</v>
      </c>
      <c r="E5310" s="16" t="s">
        <v>112</v>
      </c>
      <c r="F5310" s="16" t="s">
        <v>83</v>
      </c>
      <c r="G5310" s="22">
        <v>31.5</v>
      </c>
      <c r="H5310" s="18">
        <v>348.92500000000001</v>
      </c>
      <c r="I5310" s="18">
        <v>11.076984126999999</v>
      </c>
      <c r="J5310" s="18">
        <v>11.23</v>
      </c>
      <c r="K5310" s="18">
        <v>10.93</v>
      </c>
      <c r="L5310" s="22">
        <v>9</v>
      </c>
    </row>
    <row r="5311" spans="1:12">
      <c r="A5311">
        <v>6</v>
      </c>
      <c r="B5311" s="16" t="s">
        <v>61</v>
      </c>
      <c r="C5311" s="9">
        <v>46266</v>
      </c>
      <c r="D5311">
        <v>24</v>
      </c>
      <c r="E5311" s="16" t="s">
        <v>112</v>
      </c>
      <c r="F5311" s="16" t="s">
        <v>83</v>
      </c>
      <c r="G5311" s="22">
        <v>28</v>
      </c>
      <c r="H5311" s="18">
        <v>312.26</v>
      </c>
      <c r="I5311" s="18">
        <v>11.152142856999999</v>
      </c>
      <c r="J5311" s="18">
        <v>11.28</v>
      </c>
      <c r="K5311" s="18">
        <v>11</v>
      </c>
      <c r="L5311" s="22">
        <v>8</v>
      </c>
    </row>
    <row r="5312" spans="1:12">
      <c r="A5312">
        <v>6</v>
      </c>
      <c r="B5312" s="16" t="s">
        <v>61</v>
      </c>
      <c r="C5312" s="9">
        <v>45689</v>
      </c>
      <c r="D5312">
        <v>25</v>
      </c>
      <c r="E5312" s="16" t="s">
        <v>113</v>
      </c>
      <c r="F5312" s="16" t="s">
        <v>114</v>
      </c>
      <c r="G5312" s="22">
        <v>1000</v>
      </c>
      <c r="H5312" s="18">
        <v>295</v>
      </c>
      <c r="I5312" s="18">
        <v>0.29499999999999998</v>
      </c>
      <c r="J5312" s="18">
        <v>0.3</v>
      </c>
      <c r="K5312" s="18">
        <v>0.28999999999999998</v>
      </c>
      <c r="L5312" s="22">
        <v>5</v>
      </c>
    </row>
    <row r="5313" spans="1:12">
      <c r="A5313">
        <v>6</v>
      </c>
      <c r="B5313" s="16" t="s">
        <v>61</v>
      </c>
      <c r="C5313" s="9">
        <v>45717</v>
      </c>
      <c r="D5313">
        <v>25</v>
      </c>
      <c r="E5313" s="16" t="s">
        <v>113</v>
      </c>
      <c r="F5313" s="16" t="s">
        <v>114</v>
      </c>
      <c r="G5313" s="22">
        <v>700</v>
      </c>
      <c r="H5313" s="18">
        <v>206</v>
      </c>
      <c r="I5313" s="18">
        <v>0.29428571399999998</v>
      </c>
      <c r="J5313" s="18">
        <v>0.3</v>
      </c>
      <c r="K5313" s="18">
        <v>0.28999999999999998</v>
      </c>
      <c r="L5313" s="22">
        <v>4</v>
      </c>
    </row>
    <row r="5314" spans="1:12">
      <c r="A5314">
        <v>6</v>
      </c>
      <c r="B5314" s="16" t="s">
        <v>61</v>
      </c>
      <c r="C5314" s="9">
        <v>45748</v>
      </c>
      <c r="D5314">
        <v>25</v>
      </c>
      <c r="E5314" s="16" t="s">
        <v>113</v>
      </c>
      <c r="F5314" s="16" t="s">
        <v>114</v>
      </c>
      <c r="G5314" s="22">
        <v>900</v>
      </c>
      <c r="H5314" s="18">
        <v>269</v>
      </c>
      <c r="I5314" s="18">
        <v>0.29888888899999999</v>
      </c>
      <c r="J5314" s="18">
        <v>0.3</v>
      </c>
      <c r="K5314" s="18">
        <v>0.28999999999999998</v>
      </c>
      <c r="L5314" s="22">
        <v>6</v>
      </c>
    </row>
    <row r="5315" spans="1:12">
      <c r="A5315">
        <v>6</v>
      </c>
      <c r="B5315" s="16" t="s">
        <v>61</v>
      </c>
      <c r="C5315" s="9">
        <v>45778</v>
      </c>
      <c r="D5315">
        <v>25</v>
      </c>
      <c r="E5315" s="16" t="s">
        <v>113</v>
      </c>
      <c r="F5315" s="16" t="s">
        <v>114</v>
      </c>
      <c r="G5315" s="22">
        <v>900</v>
      </c>
      <c r="H5315" s="18">
        <v>270</v>
      </c>
      <c r="I5315" s="18">
        <v>0.3</v>
      </c>
      <c r="J5315" s="18">
        <v>0.3</v>
      </c>
      <c r="K5315" s="18">
        <v>0.3</v>
      </c>
      <c r="L5315" s="22">
        <v>6</v>
      </c>
    </row>
    <row r="5316" spans="1:12">
      <c r="A5316">
        <v>6</v>
      </c>
      <c r="B5316" s="16" t="s">
        <v>61</v>
      </c>
      <c r="C5316" s="9">
        <v>45809</v>
      </c>
      <c r="D5316">
        <v>25</v>
      </c>
      <c r="E5316" s="16" t="s">
        <v>113</v>
      </c>
      <c r="F5316" s="16" t="s">
        <v>114</v>
      </c>
      <c r="G5316" s="22">
        <v>700</v>
      </c>
      <c r="H5316" s="18">
        <v>210</v>
      </c>
      <c r="I5316" s="18">
        <v>0.3</v>
      </c>
      <c r="J5316" s="18">
        <v>0.3</v>
      </c>
      <c r="K5316" s="18">
        <v>0.3</v>
      </c>
      <c r="L5316" s="22">
        <v>5</v>
      </c>
    </row>
    <row r="5317" spans="1:12">
      <c r="A5317">
        <v>6</v>
      </c>
      <c r="B5317" s="16" t="s">
        <v>61</v>
      </c>
      <c r="C5317" s="9">
        <v>45839</v>
      </c>
      <c r="D5317">
        <v>25</v>
      </c>
      <c r="E5317" s="16" t="s">
        <v>113</v>
      </c>
      <c r="F5317" s="16" t="s">
        <v>114</v>
      </c>
      <c r="G5317" s="22">
        <v>700</v>
      </c>
      <c r="H5317" s="18">
        <v>210</v>
      </c>
      <c r="I5317" s="18">
        <v>0.3</v>
      </c>
      <c r="J5317" s="18">
        <v>0.3</v>
      </c>
      <c r="K5317" s="18">
        <v>0.3</v>
      </c>
      <c r="L5317" s="22">
        <v>6</v>
      </c>
    </row>
    <row r="5318" spans="1:12">
      <c r="A5318">
        <v>6</v>
      </c>
      <c r="B5318" s="16" t="s">
        <v>61</v>
      </c>
      <c r="C5318" s="9">
        <v>45870</v>
      </c>
      <c r="D5318">
        <v>25</v>
      </c>
      <c r="E5318" s="16" t="s">
        <v>113</v>
      </c>
      <c r="F5318" s="16" t="s">
        <v>114</v>
      </c>
      <c r="G5318" s="22">
        <v>500</v>
      </c>
      <c r="H5318" s="18">
        <v>150</v>
      </c>
      <c r="I5318" s="18">
        <v>0.3</v>
      </c>
      <c r="J5318" s="18">
        <v>0.3</v>
      </c>
      <c r="K5318" s="18">
        <v>0.3</v>
      </c>
      <c r="L5318" s="22">
        <v>4</v>
      </c>
    </row>
    <row r="5319" spans="1:12">
      <c r="A5319">
        <v>6</v>
      </c>
      <c r="B5319" s="16" t="s">
        <v>61</v>
      </c>
      <c r="C5319" s="9">
        <v>45901</v>
      </c>
      <c r="D5319">
        <v>25</v>
      </c>
      <c r="E5319" s="16" t="s">
        <v>113</v>
      </c>
      <c r="F5319" s="16" t="s">
        <v>114</v>
      </c>
      <c r="G5319" s="22">
        <v>700</v>
      </c>
      <c r="H5319" s="18">
        <v>210</v>
      </c>
      <c r="I5319" s="18">
        <v>0.3</v>
      </c>
      <c r="J5319" s="18">
        <v>0.3</v>
      </c>
      <c r="K5319" s="18">
        <v>0.3</v>
      </c>
      <c r="L5319" s="22">
        <v>6</v>
      </c>
    </row>
    <row r="5320" spans="1:12">
      <c r="A5320">
        <v>6</v>
      </c>
      <c r="B5320" s="16" t="s">
        <v>61</v>
      </c>
      <c r="C5320" s="9">
        <v>45931</v>
      </c>
      <c r="D5320">
        <v>25</v>
      </c>
      <c r="E5320" s="16" t="s">
        <v>113</v>
      </c>
      <c r="F5320" s="16" t="s">
        <v>114</v>
      </c>
      <c r="G5320" s="22">
        <v>900</v>
      </c>
      <c r="H5320" s="18">
        <v>270</v>
      </c>
      <c r="I5320" s="18">
        <v>0.3</v>
      </c>
      <c r="J5320" s="18">
        <v>0.31</v>
      </c>
      <c r="K5320" s="18">
        <v>0.28999999999999998</v>
      </c>
      <c r="L5320" s="22">
        <v>7</v>
      </c>
    </row>
    <row r="5321" spans="1:12">
      <c r="A5321">
        <v>6</v>
      </c>
      <c r="B5321" s="16" t="s">
        <v>61</v>
      </c>
      <c r="C5321" s="9">
        <v>45962</v>
      </c>
      <c r="D5321">
        <v>25</v>
      </c>
      <c r="E5321" s="16" t="s">
        <v>113</v>
      </c>
      <c r="F5321" s="16" t="s">
        <v>114</v>
      </c>
      <c r="G5321" s="22">
        <v>800</v>
      </c>
      <c r="H5321" s="18">
        <v>242</v>
      </c>
      <c r="I5321" s="18">
        <v>0.30249999999999999</v>
      </c>
      <c r="J5321" s="18">
        <v>0.31</v>
      </c>
      <c r="K5321" s="18">
        <v>0.3</v>
      </c>
      <c r="L5321" s="22">
        <v>5</v>
      </c>
    </row>
    <row r="5322" spans="1:12">
      <c r="A5322">
        <v>6</v>
      </c>
      <c r="B5322" s="16" t="s">
        <v>61</v>
      </c>
      <c r="C5322" s="9">
        <v>45992</v>
      </c>
      <c r="D5322">
        <v>25</v>
      </c>
      <c r="E5322" s="16" t="s">
        <v>113</v>
      </c>
      <c r="F5322" s="16" t="s">
        <v>114</v>
      </c>
      <c r="G5322" s="22">
        <v>700</v>
      </c>
      <c r="H5322" s="18">
        <v>210</v>
      </c>
      <c r="I5322" s="18">
        <v>0.3</v>
      </c>
      <c r="J5322" s="18">
        <v>0.3</v>
      </c>
      <c r="K5322" s="18">
        <v>0.3</v>
      </c>
      <c r="L5322" s="22">
        <v>7</v>
      </c>
    </row>
    <row r="5323" spans="1:12">
      <c r="A5323">
        <v>6</v>
      </c>
      <c r="B5323" s="16" t="s">
        <v>61</v>
      </c>
      <c r="C5323" s="9">
        <v>46023</v>
      </c>
      <c r="D5323">
        <v>25</v>
      </c>
      <c r="E5323" s="16" t="s">
        <v>113</v>
      </c>
      <c r="F5323" s="16" t="s">
        <v>114</v>
      </c>
      <c r="G5323" s="22">
        <v>900</v>
      </c>
      <c r="H5323" s="18">
        <v>271</v>
      </c>
      <c r="I5323" s="18">
        <v>0.30111111099999999</v>
      </c>
      <c r="J5323" s="18">
        <v>0.31</v>
      </c>
      <c r="K5323" s="18">
        <v>0.3</v>
      </c>
      <c r="L5323" s="22">
        <v>5</v>
      </c>
    </row>
    <row r="5324" spans="1:12">
      <c r="A5324">
        <v>6</v>
      </c>
      <c r="B5324" s="16" t="s">
        <v>61</v>
      </c>
      <c r="C5324" s="9">
        <v>46054</v>
      </c>
      <c r="D5324">
        <v>25</v>
      </c>
      <c r="E5324" s="16" t="s">
        <v>113</v>
      </c>
      <c r="F5324" s="16" t="s">
        <v>114</v>
      </c>
      <c r="G5324" s="22">
        <v>600</v>
      </c>
      <c r="H5324" s="18">
        <v>183</v>
      </c>
      <c r="I5324" s="18">
        <v>0.30499999999999999</v>
      </c>
      <c r="J5324" s="18">
        <v>0.31</v>
      </c>
      <c r="K5324" s="18">
        <v>0.3</v>
      </c>
      <c r="L5324" s="22">
        <v>6</v>
      </c>
    </row>
    <row r="5325" spans="1:12">
      <c r="A5325">
        <v>6</v>
      </c>
      <c r="B5325" s="16" t="s">
        <v>61</v>
      </c>
      <c r="C5325" s="9">
        <v>46082</v>
      </c>
      <c r="D5325">
        <v>25</v>
      </c>
      <c r="E5325" s="16" t="s">
        <v>113</v>
      </c>
      <c r="F5325" s="16" t="s">
        <v>114</v>
      </c>
      <c r="G5325" s="22">
        <v>700</v>
      </c>
      <c r="H5325" s="18">
        <v>214</v>
      </c>
      <c r="I5325" s="18">
        <v>0.305714286</v>
      </c>
      <c r="J5325" s="18">
        <v>0.31</v>
      </c>
      <c r="K5325" s="18">
        <v>0.3</v>
      </c>
      <c r="L5325" s="22">
        <v>7</v>
      </c>
    </row>
    <row r="5326" spans="1:12">
      <c r="A5326">
        <v>6</v>
      </c>
      <c r="B5326" s="16" t="s">
        <v>61</v>
      </c>
      <c r="C5326" s="9">
        <v>46113</v>
      </c>
      <c r="D5326">
        <v>25</v>
      </c>
      <c r="E5326" s="16" t="s">
        <v>113</v>
      </c>
      <c r="F5326" s="16" t="s">
        <v>114</v>
      </c>
      <c r="G5326" s="22">
        <v>800</v>
      </c>
      <c r="H5326" s="18">
        <v>247</v>
      </c>
      <c r="I5326" s="18">
        <v>0.30875000000000002</v>
      </c>
      <c r="J5326" s="18">
        <v>0.31</v>
      </c>
      <c r="K5326" s="18">
        <v>0.3</v>
      </c>
      <c r="L5326" s="22">
        <v>6</v>
      </c>
    </row>
    <row r="5327" spans="1:12">
      <c r="A5327">
        <v>6</v>
      </c>
      <c r="B5327" s="16" t="s">
        <v>61</v>
      </c>
      <c r="C5327" s="9">
        <v>46143</v>
      </c>
      <c r="D5327">
        <v>25</v>
      </c>
      <c r="E5327" s="16" t="s">
        <v>113</v>
      </c>
      <c r="F5327" s="16" t="s">
        <v>114</v>
      </c>
      <c r="G5327" s="22">
        <v>600</v>
      </c>
      <c r="H5327" s="18">
        <v>185</v>
      </c>
      <c r="I5327" s="18">
        <v>0.30833333299999999</v>
      </c>
      <c r="J5327" s="18">
        <v>0.31</v>
      </c>
      <c r="K5327" s="18">
        <v>0.3</v>
      </c>
      <c r="L5327" s="22">
        <v>5</v>
      </c>
    </row>
    <row r="5328" spans="1:12">
      <c r="A5328">
        <v>6</v>
      </c>
      <c r="B5328" s="16" t="s">
        <v>61</v>
      </c>
      <c r="C5328" s="9">
        <v>46174</v>
      </c>
      <c r="D5328">
        <v>25</v>
      </c>
      <c r="E5328" s="16" t="s">
        <v>113</v>
      </c>
      <c r="F5328" s="16" t="s">
        <v>114</v>
      </c>
      <c r="G5328" s="22">
        <v>500</v>
      </c>
      <c r="H5328" s="18">
        <v>153</v>
      </c>
      <c r="I5328" s="18">
        <v>0.30599999999999999</v>
      </c>
      <c r="J5328" s="18">
        <v>0.31</v>
      </c>
      <c r="K5328" s="18">
        <v>0.3</v>
      </c>
      <c r="L5328" s="22">
        <v>4</v>
      </c>
    </row>
    <row r="5329" spans="1:12">
      <c r="A5329">
        <v>6</v>
      </c>
      <c r="B5329" s="16" t="s">
        <v>61</v>
      </c>
      <c r="C5329" s="9">
        <v>46204</v>
      </c>
      <c r="D5329">
        <v>25</v>
      </c>
      <c r="E5329" s="16" t="s">
        <v>113</v>
      </c>
      <c r="F5329" s="16" t="s">
        <v>114</v>
      </c>
      <c r="G5329" s="22">
        <v>700</v>
      </c>
      <c r="H5329" s="18">
        <v>214</v>
      </c>
      <c r="I5329" s="18">
        <v>0.305714286</v>
      </c>
      <c r="J5329" s="18">
        <v>0.31</v>
      </c>
      <c r="K5329" s="18">
        <v>0.3</v>
      </c>
      <c r="L5329" s="22">
        <v>6</v>
      </c>
    </row>
    <row r="5330" spans="1:12">
      <c r="A5330">
        <v>6</v>
      </c>
      <c r="B5330" s="16" t="s">
        <v>61</v>
      </c>
      <c r="C5330" s="9">
        <v>46235</v>
      </c>
      <c r="D5330">
        <v>25</v>
      </c>
      <c r="E5330" s="16" t="s">
        <v>113</v>
      </c>
      <c r="F5330" s="16" t="s">
        <v>114</v>
      </c>
      <c r="G5330" s="22">
        <v>500</v>
      </c>
      <c r="H5330" s="18">
        <v>157</v>
      </c>
      <c r="I5330" s="18">
        <v>0.314</v>
      </c>
      <c r="J5330" s="18">
        <v>0.33</v>
      </c>
      <c r="K5330" s="18">
        <v>0.31</v>
      </c>
      <c r="L5330" s="22">
        <v>5</v>
      </c>
    </row>
    <row r="5331" spans="1:12">
      <c r="A5331">
        <v>6</v>
      </c>
      <c r="B5331" s="16" t="s">
        <v>61</v>
      </c>
      <c r="C5331" s="9">
        <v>46266</v>
      </c>
      <c r="D5331">
        <v>25</v>
      </c>
      <c r="E5331" s="16" t="s">
        <v>113</v>
      </c>
      <c r="F5331" s="16" t="s">
        <v>114</v>
      </c>
      <c r="G5331" s="22">
        <v>400</v>
      </c>
      <c r="H5331" s="18">
        <v>126</v>
      </c>
      <c r="I5331" s="18">
        <v>0.315</v>
      </c>
      <c r="J5331" s="18">
        <v>0.32</v>
      </c>
      <c r="K5331" s="18">
        <v>0.31</v>
      </c>
      <c r="L5331" s="22">
        <v>4</v>
      </c>
    </row>
    <row r="5332" spans="1:12">
      <c r="A5332">
        <v>6</v>
      </c>
      <c r="B5332" s="16" t="s">
        <v>61</v>
      </c>
      <c r="C5332" s="9">
        <v>45689</v>
      </c>
      <c r="D5332">
        <v>26</v>
      </c>
      <c r="E5332" s="16" t="s">
        <v>115</v>
      </c>
      <c r="F5332" s="16" t="s">
        <v>90</v>
      </c>
      <c r="G5332" s="22">
        <v>5</v>
      </c>
      <c r="H5332" s="18">
        <v>34.450000000000003</v>
      </c>
      <c r="I5332" s="18">
        <v>6.89</v>
      </c>
      <c r="J5332" s="18">
        <v>6.92</v>
      </c>
      <c r="K5332" s="18">
        <v>6.86</v>
      </c>
      <c r="L5332" s="22">
        <v>2</v>
      </c>
    </row>
    <row r="5333" spans="1:12">
      <c r="A5333">
        <v>6</v>
      </c>
      <c r="B5333" s="16" t="s">
        <v>61</v>
      </c>
      <c r="C5333" s="9">
        <v>45717</v>
      </c>
      <c r="D5333">
        <v>26</v>
      </c>
      <c r="E5333" s="16" t="s">
        <v>115</v>
      </c>
      <c r="F5333" s="16" t="s">
        <v>90</v>
      </c>
      <c r="G5333" s="22">
        <v>5</v>
      </c>
      <c r="H5333" s="18">
        <v>34.625</v>
      </c>
      <c r="I5333" s="18">
        <v>6.9249999999999998</v>
      </c>
      <c r="J5333" s="18">
        <v>7</v>
      </c>
      <c r="K5333" s="18">
        <v>6.85</v>
      </c>
      <c r="L5333" s="22">
        <v>2</v>
      </c>
    </row>
    <row r="5334" spans="1:12">
      <c r="A5334">
        <v>6</v>
      </c>
      <c r="B5334" s="16" t="s">
        <v>61</v>
      </c>
      <c r="C5334" s="9">
        <v>45748</v>
      </c>
      <c r="D5334">
        <v>26</v>
      </c>
      <c r="E5334" s="16" t="s">
        <v>115</v>
      </c>
      <c r="F5334" s="16" t="s">
        <v>90</v>
      </c>
      <c r="G5334" s="22">
        <v>5</v>
      </c>
      <c r="H5334" s="18">
        <v>33.799999999999997</v>
      </c>
      <c r="I5334" s="18">
        <v>6.76</v>
      </c>
      <c r="J5334" s="18">
        <v>6.76</v>
      </c>
      <c r="K5334" s="18">
        <v>6.76</v>
      </c>
      <c r="L5334" s="22">
        <v>1</v>
      </c>
    </row>
    <row r="5335" spans="1:12">
      <c r="A5335">
        <v>6</v>
      </c>
      <c r="B5335" s="16" t="s">
        <v>61</v>
      </c>
      <c r="C5335" s="9">
        <v>45778</v>
      </c>
      <c r="D5335">
        <v>26</v>
      </c>
      <c r="E5335" s="16" t="s">
        <v>115</v>
      </c>
      <c r="F5335" s="16" t="s">
        <v>90</v>
      </c>
      <c r="G5335" s="22">
        <v>5</v>
      </c>
      <c r="H5335" s="18">
        <v>34.15</v>
      </c>
      <c r="I5335" s="18">
        <v>6.83</v>
      </c>
      <c r="J5335" s="18">
        <v>6.9</v>
      </c>
      <c r="K5335" s="18">
        <v>6.76</v>
      </c>
      <c r="L5335" s="22">
        <v>2</v>
      </c>
    </row>
    <row r="5336" spans="1:12">
      <c r="A5336">
        <v>6</v>
      </c>
      <c r="B5336" s="16" t="s">
        <v>61</v>
      </c>
      <c r="C5336" s="9">
        <v>45809</v>
      </c>
      <c r="D5336">
        <v>26</v>
      </c>
      <c r="E5336" s="16" t="s">
        <v>115</v>
      </c>
      <c r="F5336" s="16" t="s">
        <v>90</v>
      </c>
      <c r="G5336" s="22">
        <v>5</v>
      </c>
      <c r="H5336" s="18">
        <v>35.049999999999997</v>
      </c>
      <c r="I5336" s="18">
        <v>7.01</v>
      </c>
      <c r="J5336" s="18">
        <v>7.04</v>
      </c>
      <c r="K5336" s="18">
        <v>6.98</v>
      </c>
      <c r="L5336" s="22">
        <v>2</v>
      </c>
    </row>
    <row r="5337" spans="1:12">
      <c r="A5337">
        <v>6</v>
      </c>
      <c r="B5337" s="16" t="s">
        <v>61</v>
      </c>
      <c r="C5337" s="9">
        <v>45839</v>
      </c>
      <c r="D5337">
        <v>26</v>
      </c>
      <c r="E5337" s="16" t="s">
        <v>115</v>
      </c>
      <c r="F5337" s="16" t="s">
        <v>90</v>
      </c>
      <c r="G5337" s="22">
        <v>2.5</v>
      </c>
      <c r="H5337" s="18">
        <v>17.45</v>
      </c>
      <c r="I5337" s="18">
        <v>6.98</v>
      </c>
      <c r="J5337" s="18">
        <v>6.98</v>
      </c>
      <c r="K5337" s="18">
        <v>6.98</v>
      </c>
      <c r="L5337" s="22">
        <v>1</v>
      </c>
    </row>
    <row r="5338" spans="1:12">
      <c r="A5338">
        <v>6</v>
      </c>
      <c r="B5338" s="16" t="s">
        <v>61</v>
      </c>
      <c r="C5338" s="9">
        <v>45870</v>
      </c>
      <c r="D5338">
        <v>26</v>
      </c>
      <c r="E5338" s="16" t="s">
        <v>115</v>
      </c>
      <c r="F5338" s="16" t="s">
        <v>90</v>
      </c>
      <c r="G5338" s="22">
        <v>2.5</v>
      </c>
      <c r="H5338" s="18">
        <v>17.425000000000001</v>
      </c>
      <c r="I5338" s="18">
        <v>6.97</v>
      </c>
      <c r="J5338" s="18">
        <v>6.97</v>
      </c>
      <c r="K5338" s="18">
        <v>6.97</v>
      </c>
      <c r="L5338" s="22">
        <v>1</v>
      </c>
    </row>
    <row r="5339" spans="1:12">
      <c r="A5339">
        <v>6</v>
      </c>
      <c r="B5339" s="16" t="s">
        <v>61</v>
      </c>
      <c r="C5339" s="9">
        <v>45901</v>
      </c>
      <c r="D5339">
        <v>26</v>
      </c>
      <c r="E5339" s="16" t="s">
        <v>115</v>
      </c>
      <c r="F5339" s="16" t="s">
        <v>90</v>
      </c>
      <c r="G5339" s="22">
        <v>5</v>
      </c>
      <c r="H5339" s="18">
        <v>35.075000000000003</v>
      </c>
      <c r="I5339" s="18">
        <v>7.0149999999999997</v>
      </c>
      <c r="J5339" s="18">
        <v>7.07</v>
      </c>
      <c r="K5339" s="18">
        <v>6.96</v>
      </c>
      <c r="L5339" s="22">
        <v>2</v>
      </c>
    </row>
    <row r="5340" spans="1:12">
      <c r="A5340">
        <v>6</v>
      </c>
      <c r="B5340" s="16" t="s">
        <v>61</v>
      </c>
      <c r="C5340" s="9">
        <v>45931</v>
      </c>
      <c r="D5340">
        <v>26</v>
      </c>
      <c r="E5340" s="16" t="s">
        <v>115</v>
      </c>
      <c r="F5340" s="16" t="s">
        <v>90</v>
      </c>
      <c r="G5340" s="22">
        <v>5</v>
      </c>
      <c r="H5340" s="18">
        <v>34.975000000000001</v>
      </c>
      <c r="I5340" s="18">
        <v>6.9950000000000001</v>
      </c>
      <c r="J5340" s="18">
        <v>7.06</v>
      </c>
      <c r="K5340" s="18">
        <v>6.93</v>
      </c>
      <c r="L5340" s="22">
        <v>2</v>
      </c>
    </row>
    <row r="5341" spans="1:12">
      <c r="A5341">
        <v>6</v>
      </c>
      <c r="B5341" s="16" t="s">
        <v>61</v>
      </c>
      <c r="C5341" s="9">
        <v>45962</v>
      </c>
      <c r="D5341">
        <v>26</v>
      </c>
      <c r="E5341" s="16" t="s">
        <v>115</v>
      </c>
      <c r="F5341" s="16" t="s">
        <v>90</v>
      </c>
      <c r="G5341" s="22">
        <v>5</v>
      </c>
      <c r="H5341" s="18">
        <v>35.549999999999997</v>
      </c>
      <c r="I5341" s="18">
        <v>7.11</v>
      </c>
      <c r="J5341" s="18">
        <v>7.15</v>
      </c>
      <c r="K5341" s="18">
        <v>7.07</v>
      </c>
      <c r="L5341" s="22">
        <v>2</v>
      </c>
    </row>
    <row r="5342" spans="1:12">
      <c r="A5342">
        <v>6</v>
      </c>
      <c r="B5342" s="16" t="s">
        <v>61</v>
      </c>
      <c r="C5342" s="9">
        <v>45992</v>
      </c>
      <c r="D5342">
        <v>26</v>
      </c>
      <c r="E5342" s="16" t="s">
        <v>115</v>
      </c>
      <c r="F5342" s="16" t="s">
        <v>90</v>
      </c>
      <c r="G5342" s="22">
        <v>2.5</v>
      </c>
      <c r="H5342" s="18">
        <v>18.125</v>
      </c>
      <c r="I5342" s="18">
        <v>7.25</v>
      </c>
      <c r="J5342" s="18">
        <v>7.25</v>
      </c>
      <c r="K5342" s="18">
        <v>7.25</v>
      </c>
      <c r="L5342" s="22">
        <v>1</v>
      </c>
    </row>
    <row r="5343" spans="1:12">
      <c r="A5343">
        <v>6</v>
      </c>
      <c r="B5343" s="16" t="s">
        <v>61</v>
      </c>
      <c r="C5343" s="9">
        <v>46023</v>
      </c>
      <c r="D5343">
        <v>26</v>
      </c>
      <c r="E5343" s="16" t="s">
        <v>115</v>
      </c>
      <c r="F5343" s="16" t="s">
        <v>90</v>
      </c>
      <c r="G5343" s="22">
        <v>5</v>
      </c>
      <c r="H5343" s="18">
        <v>35.799999999999997</v>
      </c>
      <c r="I5343" s="18">
        <v>7.16</v>
      </c>
      <c r="J5343" s="18">
        <v>7.18</v>
      </c>
      <c r="K5343" s="18">
        <v>7.14</v>
      </c>
      <c r="L5343" s="22">
        <v>2</v>
      </c>
    </row>
    <row r="5344" spans="1:12">
      <c r="A5344">
        <v>6</v>
      </c>
      <c r="B5344" s="16" t="s">
        <v>61</v>
      </c>
      <c r="C5344" s="9">
        <v>46054</v>
      </c>
      <c r="D5344">
        <v>26</v>
      </c>
      <c r="E5344" s="16" t="s">
        <v>115</v>
      </c>
      <c r="F5344" s="16" t="s">
        <v>90</v>
      </c>
      <c r="G5344" s="22">
        <v>5</v>
      </c>
      <c r="H5344" s="18">
        <v>36</v>
      </c>
      <c r="I5344" s="18">
        <v>7.2</v>
      </c>
      <c r="J5344" s="18">
        <v>7.27</v>
      </c>
      <c r="K5344" s="18">
        <v>7.13</v>
      </c>
      <c r="L5344" s="22">
        <v>2</v>
      </c>
    </row>
    <row r="5345" spans="1:12">
      <c r="A5345">
        <v>6</v>
      </c>
      <c r="B5345" s="16" t="s">
        <v>61</v>
      </c>
      <c r="C5345" s="9">
        <v>46082</v>
      </c>
      <c r="D5345">
        <v>26</v>
      </c>
      <c r="E5345" s="16" t="s">
        <v>115</v>
      </c>
      <c r="F5345" s="16" t="s">
        <v>90</v>
      </c>
      <c r="G5345" s="22">
        <v>5</v>
      </c>
      <c r="H5345" s="18">
        <v>36.049999999999997</v>
      </c>
      <c r="I5345" s="18">
        <v>7.21</v>
      </c>
      <c r="J5345" s="18">
        <v>7.22</v>
      </c>
      <c r="K5345" s="18">
        <v>7.2</v>
      </c>
      <c r="L5345" s="22">
        <v>2</v>
      </c>
    </row>
    <row r="5346" spans="1:12">
      <c r="A5346">
        <v>6</v>
      </c>
      <c r="B5346" s="16" t="s">
        <v>61</v>
      </c>
      <c r="C5346" s="9">
        <v>46113</v>
      </c>
      <c r="D5346">
        <v>26</v>
      </c>
      <c r="E5346" s="16" t="s">
        <v>115</v>
      </c>
      <c r="F5346" s="16" t="s">
        <v>90</v>
      </c>
      <c r="G5346" s="22">
        <v>5</v>
      </c>
      <c r="H5346" s="18">
        <v>35.225000000000001</v>
      </c>
      <c r="I5346" s="18">
        <v>7.0449999999999999</v>
      </c>
      <c r="J5346" s="18">
        <v>7.09</v>
      </c>
      <c r="K5346" s="18">
        <v>7</v>
      </c>
      <c r="L5346" s="22">
        <v>2</v>
      </c>
    </row>
    <row r="5347" spans="1:12">
      <c r="A5347">
        <v>6</v>
      </c>
      <c r="B5347" s="16" t="s">
        <v>61</v>
      </c>
      <c r="C5347" s="9">
        <v>46143</v>
      </c>
      <c r="D5347">
        <v>26</v>
      </c>
      <c r="E5347" s="16" t="s">
        <v>115</v>
      </c>
      <c r="F5347" s="16" t="s">
        <v>90</v>
      </c>
      <c r="G5347" s="22">
        <v>5</v>
      </c>
      <c r="H5347" s="18">
        <v>34.975000000000001</v>
      </c>
      <c r="I5347" s="18">
        <v>6.9950000000000001</v>
      </c>
      <c r="J5347" s="18">
        <v>7.04</v>
      </c>
      <c r="K5347" s="18">
        <v>6.95</v>
      </c>
      <c r="L5347" s="22">
        <v>2</v>
      </c>
    </row>
    <row r="5348" spans="1:12">
      <c r="A5348">
        <v>6</v>
      </c>
      <c r="B5348" s="16" t="s">
        <v>61</v>
      </c>
      <c r="C5348" s="9">
        <v>46204</v>
      </c>
      <c r="D5348">
        <v>26</v>
      </c>
      <c r="E5348" s="16" t="s">
        <v>115</v>
      </c>
      <c r="F5348" s="16" t="s">
        <v>90</v>
      </c>
      <c r="G5348" s="22">
        <v>5</v>
      </c>
      <c r="H5348" s="18">
        <v>34.774999999999999</v>
      </c>
      <c r="I5348" s="18">
        <v>6.9550000000000001</v>
      </c>
      <c r="J5348" s="18">
        <v>6.98</v>
      </c>
      <c r="K5348" s="18">
        <v>6.93</v>
      </c>
      <c r="L5348" s="22">
        <v>2</v>
      </c>
    </row>
    <row r="5349" spans="1:12">
      <c r="A5349">
        <v>6</v>
      </c>
      <c r="B5349" s="16" t="s">
        <v>61</v>
      </c>
      <c r="C5349" s="9">
        <v>46235</v>
      </c>
      <c r="D5349">
        <v>26</v>
      </c>
      <c r="E5349" s="16" t="s">
        <v>115</v>
      </c>
      <c r="F5349" s="16" t="s">
        <v>90</v>
      </c>
      <c r="G5349" s="22">
        <v>2.5</v>
      </c>
      <c r="H5349" s="18">
        <v>17.3</v>
      </c>
      <c r="I5349" s="18">
        <v>6.92</v>
      </c>
      <c r="J5349" s="18">
        <v>6.92</v>
      </c>
      <c r="K5349" s="18">
        <v>6.92</v>
      </c>
      <c r="L5349" s="22">
        <v>1</v>
      </c>
    </row>
    <row r="5350" spans="1:12">
      <c r="A5350">
        <v>6</v>
      </c>
      <c r="B5350" s="16" t="s">
        <v>61</v>
      </c>
      <c r="C5350" s="9">
        <v>46266</v>
      </c>
      <c r="D5350">
        <v>26</v>
      </c>
      <c r="E5350" s="16" t="s">
        <v>115</v>
      </c>
      <c r="F5350" s="16" t="s">
        <v>90</v>
      </c>
      <c r="G5350" s="22">
        <v>2.5</v>
      </c>
      <c r="H5350" s="18">
        <v>17.925000000000001</v>
      </c>
      <c r="I5350" s="18">
        <v>7.17</v>
      </c>
      <c r="J5350" s="18">
        <v>7.17</v>
      </c>
      <c r="K5350" s="18">
        <v>7.17</v>
      </c>
      <c r="L5350" s="22">
        <v>1</v>
      </c>
    </row>
    <row r="5351" spans="1:12">
      <c r="A5351">
        <v>6</v>
      </c>
      <c r="B5351" s="16" t="s">
        <v>61</v>
      </c>
      <c r="C5351" s="9">
        <v>45689</v>
      </c>
      <c r="D5351">
        <v>27</v>
      </c>
      <c r="E5351" s="16" t="s">
        <v>116</v>
      </c>
      <c r="F5351" s="16" t="s">
        <v>90</v>
      </c>
      <c r="G5351" s="22">
        <v>12.5</v>
      </c>
      <c r="H5351" s="18">
        <v>10.375</v>
      </c>
      <c r="I5351" s="18">
        <v>0.83</v>
      </c>
      <c r="J5351" s="18">
        <v>0.83</v>
      </c>
      <c r="K5351" s="18">
        <v>0.83</v>
      </c>
      <c r="L5351" s="22">
        <v>1</v>
      </c>
    </row>
    <row r="5352" spans="1:12">
      <c r="A5352">
        <v>6</v>
      </c>
      <c r="B5352" s="16" t="s">
        <v>61</v>
      </c>
      <c r="C5352" s="9">
        <v>45717</v>
      </c>
      <c r="D5352">
        <v>27</v>
      </c>
      <c r="E5352" s="16" t="s">
        <v>116</v>
      </c>
      <c r="F5352" s="16" t="s">
        <v>90</v>
      </c>
      <c r="G5352" s="22">
        <v>25</v>
      </c>
      <c r="H5352" s="18">
        <v>21.125</v>
      </c>
      <c r="I5352" s="18">
        <v>0.84499999999999997</v>
      </c>
      <c r="J5352" s="18">
        <v>0.85</v>
      </c>
      <c r="K5352" s="18">
        <v>0.84</v>
      </c>
      <c r="L5352" s="22">
        <v>2</v>
      </c>
    </row>
    <row r="5353" spans="1:12">
      <c r="A5353">
        <v>6</v>
      </c>
      <c r="B5353" s="16" t="s">
        <v>61</v>
      </c>
      <c r="C5353" s="9">
        <v>45748</v>
      </c>
      <c r="D5353">
        <v>27</v>
      </c>
      <c r="E5353" s="16" t="s">
        <v>116</v>
      </c>
      <c r="F5353" s="16" t="s">
        <v>90</v>
      </c>
      <c r="G5353" s="22">
        <v>25</v>
      </c>
      <c r="H5353" s="18">
        <v>21.375</v>
      </c>
      <c r="I5353" s="18">
        <v>0.85499999999999998</v>
      </c>
      <c r="J5353" s="18">
        <v>0.87</v>
      </c>
      <c r="K5353" s="18">
        <v>0.84</v>
      </c>
      <c r="L5353" s="22">
        <v>2</v>
      </c>
    </row>
    <row r="5354" spans="1:12">
      <c r="A5354">
        <v>6</v>
      </c>
      <c r="B5354" s="16" t="s">
        <v>61</v>
      </c>
      <c r="C5354" s="9">
        <v>45778</v>
      </c>
      <c r="D5354">
        <v>27</v>
      </c>
      <c r="E5354" s="16" t="s">
        <v>116</v>
      </c>
      <c r="F5354" s="16" t="s">
        <v>90</v>
      </c>
      <c r="G5354" s="22">
        <v>37.5</v>
      </c>
      <c r="H5354" s="18">
        <v>31.625</v>
      </c>
      <c r="I5354" s="18">
        <v>0.84333333300000002</v>
      </c>
      <c r="J5354" s="18">
        <v>0.86</v>
      </c>
      <c r="K5354" s="18">
        <v>0.83</v>
      </c>
      <c r="L5354" s="22">
        <v>3</v>
      </c>
    </row>
    <row r="5355" spans="1:12">
      <c r="A5355">
        <v>6</v>
      </c>
      <c r="B5355" s="16" t="s">
        <v>61</v>
      </c>
      <c r="C5355" s="9">
        <v>45809</v>
      </c>
      <c r="D5355">
        <v>27</v>
      </c>
      <c r="E5355" s="16" t="s">
        <v>116</v>
      </c>
      <c r="F5355" s="16" t="s">
        <v>90</v>
      </c>
      <c r="G5355" s="22">
        <v>12.5</v>
      </c>
      <c r="H5355" s="18">
        <v>10.625</v>
      </c>
      <c r="I5355" s="18">
        <v>0.85</v>
      </c>
      <c r="J5355" s="18">
        <v>0.85</v>
      </c>
      <c r="K5355" s="18">
        <v>0.85</v>
      </c>
      <c r="L5355" s="22">
        <v>1</v>
      </c>
    </row>
    <row r="5356" spans="1:12">
      <c r="A5356">
        <v>6</v>
      </c>
      <c r="B5356" s="16" t="s">
        <v>61</v>
      </c>
      <c r="C5356" s="9">
        <v>45839</v>
      </c>
      <c r="D5356">
        <v>27</v>
      </c>
      <c r="E5356" s="16" t="s">
        <v>116</v>
      </c>
      <c r="F5356" s="16" t="s">
        <v>90</v>
      </c>
      <c r="G5356" s="22">
        <v>25</v>
      </c>
      <c r="H5356" s="18">
        <v>21.5</v>
      </c>
      <c r="I5356" s="18">
        <v>0.86</v>
      </c>
      <c r="J5356" s="18">
        <v>0.87</v>
      </c>
      <c r="K5356" s="18">
        <v>0.85</v>
      </c>
      <c r="L5356" s="22">
        <v>2</v>
      </c>
    </row>
    <row r="5357" spans="1:12">
      <c r="A5357">
        <v>6</v>
      </c>
      <c r="B5357" s="16" t="s">
        <v>61</v>
      </c>
      <c r="C5357" s="9">
        <v>45870</v>
      </c>
      <c r="D5357">
        <v>27</v>
      </c>
      <c r="E5357" s="16" t="s">
        <v>116</v>
      </c>
      <c r="F5357" s="16" t="s">
        <v>90</v>
      </c>
      <c r="G5357" s="22">
        <v>12.5</v>
      </c>
      <c r="H5357" s="18">
        <v>10.75</v>
      </c>
      <c r="I5357" s="18">
        <v>0.86</v>
      </c>
      <c r="J5357" s="18">
        <v>0.86</v>
      </c>
      <c r="K5357" s="18">
        <v>0.86</v>
      </c>
      <c r="L5357" s="22">
        <v>1</v>
      </c>
    </row>
    <row r="5358" spans="1:12">
      <c r="A5358">
        <v>6</v>
      </c>
      <c r="B5358" s="16" t="s">
        <v>61</v>
      </c>
      <c r="C5358" s="9">
        <v>45901</v>
      </c>
      <c r="D5358">
        <v>27</v>
      </c>
      <c r="E5358" s="16" t="s">
        <v>116</v>
      </c>
      <c r="F5358" s="16" t="s">
        <v>90</v>
      </c>
      <c r="G5358" s="22">
        <v>25</v>
      </c>
      <c r="H5358" s="18">
        <v>21.875</v>
      </c>
      <c r="I5358" s="18">
        <v>0.875</v>
      </c>
      <c r="J5358" s="18">
        <v>0.88</v>
      </c>
      <c r="K5358" s="18">
        <v>0.87</v>
      </c>
      <c r="L5358" s="22">
        <v>2</v>
      </c>
    </row>
    <row r="5359" spans="1:12">
      <c r="A5359">
        <v>6</v>
      </c>
      <c r="B5359" s="16" t="s">
        <v>61</v>
      </c>
      <c r="C5359" s="9">
        <v>45931</v>
      </c>
      <c r="D5359">
        <v>27</v>
      </c>
      <c r="E5359" s="16" t="s">
        <v>116</v>
      </c>
      <c r="F5359" s="16" t="s">
        <v>90</v>
      </c>
      <c r="G5359" s="22">
        <v>25</v>
      </c>
      <c r="H5359" s="18">
        <v>21.5</v>
      </c>
      <c r="I5359" s="18">
        <v>0.86</v>
      </c>
      <c r="J5359" s="18">
        <v>0.86</v>
      </c>
      <c r="K5359" s="18">
        <v>0.86</v>
      </c>
      <c r="L5359" s="22">
        <v>1</v>
      </c>
    </row>
    <row r="5360" spans="1:12">
      <c r="A5360">
        <v>6</v>
      </c>
      <c r="B5360" s="16" t="s">
        <v>61</v>
      </c>
      <c r="C5360" s="9">
        <v>45962</v>
      </c>
      <c r="D5360">
        <v>27</v>
      </c>
      <c r="E5360" s="16" t="s">
        <v>116</v>
      </c>
      <c r="F5360" s="16" t="s">
        <v>90</v>
      </c>
      <c r="G5360" s="22">
        <v>25</v>
      </c>
      <c r="H5360" s="18">
        <v>22</v>
      </c>
      <c r="I5360" s="18">
        <v>0.88</v>
      </c>
      <c r="J5360" s="18">
        <v>0.89</v>
      </c>
      <c r="K5360" s="18">
        <v>0.87</v>
      </c>
      <c r="L5360" s="22">
        <v>2</v>
      </c>
    </row>
    <row r="5361" spans="1:12">
      <c r="A5361">
        <v>6</v>
      </c>
      <c r="B5361" s="16" t="s">
        <v>61</v>
      </c>
      <c r="C5361" s="9">
        <v>45992</v>
      </c>
      <c r="D5361">
        <v>27</v>
      </c>
      <c r="E5361" s="16" t="s">
        <v>116</v>
      </c>
      <c r="F5361" s="16" t="s">
        <v>90</v>
      </c>
      <c r="G5361" s="22">
        <v>12.5</v>
      </c>
      <c r="H5361" s="18">
        <v>11.125</v>
      </c>
      <c r="I5361" s="18">
        <v>0.89</v>
      </c>
      <c r="J5361" s="18">
        <v>0.89</v>
      </c>
      <c r="K5361" s="18">
        <v>0.89</v>
      </c>
      <c r="L5361" s="22">
        <v>1</v>
      </c>
    </row>
    <row r="5362" spans="1:12">
      <c r="A5362">
        <v>6</v>
      </c>
      <c r="B5362" s="16" t="s">
        <v>61</v>
      </c>
      <c r="C5362" s="9">
        <v>46023</v>
      </c>
      <c r="D5362">
        <v>27</v>
      </c>
      <c r="E5362" s="16" t="s">
        <v>116</v>
      </c>
      <c r="F5362" s="16" t="s">
        <v>90</v>
      </c>
      <c r="G5362" s="22">
        <v>25</v>
      </c>
      <c r="H5362" s="18">
        <v>22</v>
      </c>
      <c r="I5362" s="18">
        <v>0.88</v>
      </c>
      <c r="J5362" s="18">
        <v>0.88</v>
      </c>
      <c r="K5362" s="18">
        <v>0.88</v>
      </c>
      <c r="L5362" s="22">
        <v>2</v>
      </c>
    </row>
    <row r="5363" spans="1:12">
      <c r="A5363">
        <v>6</v>
      </c>
      <c r="B5363" s="16" t="s">
        <v>61</v>
      </c>
      <c r="C5363" s="9">
        <v>46054</v>
      </c>
      <c r="D5363">
        <v>27</v>
      </c>
      <c r="E5363" s="16" t="s">
        <v>116</v>
      </c>
      <c r="F5363" s="16" t="s">
        <v>90</v>
      </c>
      <c r="G5363" s="22">
        <v>12.5</v>
      </c>
      <c r="H5363" s="18">
        <v>11</v>
      </c>
      <c r="I5363" s="18">
        <v>0.88</v>
      </c>
      <c r="J5363" s="18">
        <v>0.88</v>
      </c>
      <c r="K5363" s="18">
        <v>0.88</v>
      </c>
      <c r="L5363" s="22">
        <v>1</v>
      </c>
    </row>
    <row r="5364" spans="1:12">
      <c r="A5364">
        <v>6</v>
      </c>
      <c r="B5364" s="16" t="s">
        <v>61</v>
      </c>
      <c r="C5364" s="9">
        <v>46082</v>
      </c>
      <c r="D5364">
        <v>27</v>
      </c>
      <c r="E5364" s="16" t="s">
        <v>116</v>
      </c>
      <c r="F5364" s="16" t="s">
        <v>90</v>
      </c>
      <c r="G5364" s="22">
        <v>25</v>
      </c>
      <c r="H5364" s="18">
        <v>22</v>
      </c>
      <c r="I5364" s="18">
        <v>0.88</v>
      </c>
      <c r="J5364" s="18">
        <v>0.88</v>
      </c>
      <c r="K5364" s="18">
        <v>0.88</v>
      </c>
      <c r="L5364" s="22">
        <v>2</v>
      </c>
    </row>
    <row r="5365" spans="1:12">
      <c r="A5365">
        <v>6</v>
      </c>
      <c r="B5365" s="16" t="s">
        <v>61</v>
      </c>
      <c r="C5365" s="9">
        <v>46113</v>
      </c>
      <c r="D5365">
        <v>27</v>
      </c>
      <c r="E5365" s="16" t="s">
        <v>116</v>
      </c>
      <c r="F5365" s="16" t="s">
        <v>90</v>
      </c>
      <c r="G5365" s="22">
        <v>37.5</v>
      </c>
      <c r="H5365" s="18">
        <v>33.625</v>
      </c>
      <c r="I5365" s="18">
        <v>0.89666666699999997</v>
      </c>
      <c r="J5365" s="18">
        <v>0.91</v>
      </c>
      <c r="K5365" s="18">
        <v>0.89</v>
      </c>
      <c r="L5365" s="22">
        <v>3</v>
      </c>
    </row>
    <row r="5366" spans="1:12">
      <c r="A5366">
        <v>6</v>
      </c>
      <c r="B5366" s="16" t="s">
        <v>61</v>
      </c>
      <c r="C5366" s="9">
        <v>46143</v>
      </c>
      <c r="D5366">
        <v>27</v>
      </c>
      <c r="E5366" s="16" t="s">
        <v>116</v>
      </c>
      <c r="F5366" s="16" t="s">
        <v>90</v>
      </c>
      <c r="G5366" s="22">
        <v>25</v>
      </c>
      <c r="H5366" s="18">
        <v>22.875</v>
      </c>
      <c r="I5366" s="18">
        <v>0.91500000000000004</v>
      </c>
      <c r="J5366" s="18">
        <v>0.92</v>
      </c>
      <c r="K5366" s="18">
        <v>0.91</v>
      </c>
      <c r="L5366" s="22">
        <v>2</v>
      </c>
    </row>
    <row r="5367" spans="1:12">
      <c r="A5367">
        <v>6</v>
      </c>
      <c r="B5367" s="16" t="s">
        <v>61</v>
      </c>
      <c r="C5367" s="9">
        <v>46174</v>
      </c>
      <c r="D5367">
        <v>27</v>
      </c>
      <c r="E5367" s="16" t="s">
        <v>116</v>
      </c>
      <c r="F5367" s="16" t="s">
        <v>90</v>
      </c>
      <c r="G5367" s="22">
        <v>12.5</v>
      </c>
      <c r="H5367" s="18">
        <v>11</v>
      </c>
      <c r="I5367" s="18">
        <v>0.88</v>
      </c>
      <c r="J5367" s="18">
        <v>0.88</v>
      </c>
      <c r="K5367" s="18">
        <v>0.88</v>
      </c>
      <c r="L5367" s="22">
        <v>1</v>
      </c>
    </row>
    <row r="5368" spans="1:12">
      <c r="A5368">
        <v>6</v>
      </c>
      <c r="B5368" s="16" t="s">
        <v>61</v>
      </c>
      <c r="C5368" s="9">
        <v>46204</v>
      </c>
      <c r="D5368">
        <v>27</v>
      </c>
      <c r="E5368" s="16" t="s">
        <v>116</v>
      </c>
      <c r="F5368" s="16" t="s">
        <v>90</v>
      </c>
      <c r="G5368" s="22">
        <v>25</v>
      </c>
      <c r="H5368" s="18">
        <v>22.125</v>
      </c>
      <c r="I5368" s="18">
        <v>0.88500000000000001</v>
      </c>
      <c r="J5368" s="18">
        <v>0.9</v>
      </c>
      <c r="K5368" s="18">
        <v>0.87</v>
      </c>
      <c r="L5368" s="22">
        <v>2</v>
      </c>
    </row>
    <row r="5369" spans="1:12">
      <c r="A5369">
        <v>6</v>
      </c>
      <c r="B5369" s="16" t="s">
        <v>61</v>
      </c>
      <c r="C5369" s="9">
        <v>46235</v>
      </c>
      <c r="D5369">
        <v>27</v>
      </c>
      <c r="E5369" s="16" t="s">
        <v>116</v>
      </c>
      <c r="F5369" s="16" t="s">
        <v>90</v>
      </c>
      <c r="G5369" s="22">
        <v>12.5</v>
      </c>
      <c r="H5369" s="18">
        <v>11</v>
      </c>
      <c r="I5369" s="18">
        <v>0.88</v>
      </c>
      <c r="J5369" s="18">
        <v>0.88</v>
      </c>
      <c r="K5369" s="18">
        <v>0.88</v>
      </c>
      <c r="L5369" s="22">
        <v>1</v>
      </c>
    </row>
    <row r="5370" spans="1:12">
      <c r="A5370">
        <v>6</v>
      </c>
      <c r="B5370" s="16" t="s">
        <v>61</v>
      </c>
      <c r="C5370" s="9">
        <v>46266</v>
      </c>
      <c r="D5370">
        <v>27</v>
      </c>
      <c r="E5370" s="16" t="s">
        <v>116</v>
      </c>
      <c r="F5370" s="16" t="s">
        <v>90</v>
      </c>
      <c r="G5370" s="22">
        <v>12.5</v>
      </c>
      <c r="H5370" s="18">
        <v>11.125</v>
      </c>
      <c r="I5370" s="18">
        <v>0.89</v>
      </c>
      <c r="J5370" s="18">
        <v>0.89</v>
      </c>
      <c r="K5370" s="18">
        <v>0.89</v>
      </c>
      <c r="L5370" s="22">
        <v>1</v>
      </c>
    </row>
    <row r="5371" spans="1:12">
      <c r="A5371">
        <v>6</v>
      </c>
      <c r="B5371" s="16" t="s">
        <v>61</v>
      </c>
      <c r="C5371" s="9">
        <v>45689</v>
      </c>
      <c r="D5371">
        <v>28</v>
      </c>
      <c r="E5371" s="16" t="s">
        <v>117</v>
      </c>
      <c r="F5371" s="16" t="s">
        <v>92</v>
      </c>
      <c r="G5371" s="22">
        <v>36.5</v>
      </c>
      <c r="H5371" s="18">
        <v>45.36</v>
      </c>
      <c r="I5371" s="18">
        <v>1.2427397259999999</v>
      </c>
      <c r="J5371" s="18">
        <v>1.26</v>
      </c>
      <c r="K5371" s="18">
        <v>1.23</v>
      </c>
      <c r="L5371" s="22">
        <v>12</v>
      </c>
    </row>
    <row r="5372" spans="1:12">
      <c r="A5372">
        <v>6</v>
      </c>
      <c r="B5372" s="16" t="s">
        <v>61</v>
      </c>
      <c r="C5372" s="9">
        <v>45717</v>
      </c>
      <c r="D5372">
        <v>28</v>
      </c>
      <c r="E5372" s="16" t="s">
        <v>117</v>
      </c>
      <c r="F5372" s="16" t="s">
        <v>92</v>
      </c>
      <c r="G5372" s="22">
        <v>31.5</v>
      </c>
      <c r="H5372" s="18">
        <v>38.15</v>
      </c>
      <c r="I5372" s="18">
        <v>1.2111111109999999</v>
      </c>
      <c r="J5372" s="18">
        <v>1.24</v>
      </c>
      <c r="K5372" s="18">
        <v>1.19</v>
      </c>
      <c r="L5372" s="22">
        <v>13</v>
      </c>
    </row>
    <row r="5373" spans="1:12">
      <c r="A5373">
        <v>6</v>
      </c>
      <c r="B5373" s="16" t="s">
        <v>61</v>
      </c>
      <c r="C5373" s="9">
        <v>45748</v>
      </c>
      <c r="D5373">
        <v>28</v>
      </c>
      <c r="E5373" s="16" t="s">
        <v>117</v>
      </c>
      <c r="F5373" s="16" t="s">
        <v>92</v>
      </c>
      <c r="G5373" s="22">
        <v>39.5</v>
      </c>
      <c r="H5373" s="18">
        <v>45.965000000000003</v>
      </c>
      <c r="I5373" s="18">
        <v>1.163670886</v>
      </c>
      <c r="J5373" s="18">
        <v>1.2</v>
      </c>
      <c r="K5373" s="18">
        <v>1.1399999999999999</v>
      </c>
      <c r="L5373" s="22">
        <v>13</v>
      </c>
    </row>
    <row r="5374" spans="1:12">
      <c r="A5374">
        <v>6</v>
      </c>
      <c r="B5374" s="16" t="s">
        <v>61</v>
      </c>
      <c r="C5374" s="9">
        <v>45778</v>
      </c>
      <c r="D5374">
        <v>28</v>
      </c>
      <c r="E5374" s="16" t="s">
        <v>117</v>
      </c>
      <c r="F5374" s="16" t="s">
        <v>92</v>
      </c>
      <c r="G5374" s="22">
        <v>40.5</v>
      </c>
      <c r="H5374" s="18">
        <v>45.73</v>
      </c>
      <c r="I5374" s="18">
        <v>1.129135802</v>
      </c>
      <c r="J5374" s="18">
        <v>1.2</v>
      </c>
      <c r="K5374" s="18">
        <v>1.0900000000000001</v>
      </c>
      <c r="L5374" s="22">
        <v>13</v>
      </c>
    </row>
    <row r="5375" spans="1:12">
      <c r="A5375">
        <v>6</v>
      </c>
      <c r="B5375" s="16" t="s">
        <v>61</v>
      </c>
      <c r="C5375" s="9">
        <v>45809</v>
      </c>
      <c r="D5375">
        <v>28</v>
      </c>
      <c r="E5375" s="16" t="s">
        <v>117</v>
      </c>
      <c r="F5375" s="16" t="s">
        <v>92</v>
      </c>
      <c r="G5375" s="22">
        <v>30.5</v>
      </c>
      <c r="H5375" s="18">
        <v>33.450000000000003</v>
      </c>
      <c r="I5375" s="18">
        <v>1.096721311</v>
      </c>
      <c r="J5375" s="18">
        <v>1.1100000000000001</v>
      </c>
      <c r="K5375" s="18">
        <v>1.08</v>
      </c>
      <c r="L5375" s="22">
        <v>13</v>
      </c>
    </row>
    <row r="5376" spans="1:12">
      <c r="A5376">
        <v>6</v>
      </c>
      <c r="B5376" s="16" t="s">
        <v>61</v>
      </c>
      <c r="C5376" s="9">
        <v>45839</v>
      </c>
      <c r="D5376">
        <v>28</v>
      </c>
      <c r="E5376" s="16" t="s">
        <v>117</v>
      </c>
      <c r="F5376" s="16" t="s">
        <v>92</v>
      </c>
      <c r="G5376" s="22">
        <v>27.5</v>
      </c>
      <c r="H5376" s="18">
        <v>29.9</v>
      </c>
      <c r="I5376" s="18">
        <v>1.087272727</v>
      </c>
      <c r="J5376" s="18">
        <v>1.1100000000000001</v>
      </c>
      <c r="K5376" s="18">
        <v>1.08</v>
      </c>
      <c r="L5376" s="22">
        <v>13</v>
      </c>
    </row>
    <row r="5377" spans="1:12">
      <c r="A5377">
        <v>6</v>
      </c>
      <c r="B5377" s="16" t="s">
        <v>61</v>
      </c>
      <c r="C5377" s="9">
        <v>45870</v>
      </c>
      <c r="D5377">
        <v>28</v>
      </c>
      <c r="E5377" s="16" t="s">
        <v>117</v>
      </c>
      <c r="F5377" s="16" t="s">
        <v>92</v>
      </c>
      <c r="G5377" s="22">
        <v>25.5</v>
      </c>
      <c r="H5377" s="18">
        <v>28.045000000000002</v>
      </c>
      <c r="I5377" s="18">
        <v>1.099803922</v>
      </c>
      <c r="J5377" s="18">
        <v>1.1299999999999999</v>
      </c>
      <c r="K5377" s="18">
        <v>1.07</v>
      </c>
      <c r="L5377" s="22">
        <v>13</v>
      </c>
    </row>
    <row r="5378" spans="1:12">
      <c r="A5378">
        <v>6</v>
      </c>
      <c r="B5378" s="16" t="s">
        <v>61</v>
      </c>
      <c r="C5378" s="9">
        <v>45901</v>
      </c>
      <c r="D5378">
        <v>28</v>
      </c>
      <c r="E5378" s="16" t="s">
        <v>117</v>
      </c>
      <c r="F5378" s="16" t="s">
        <v>92</v>
      </c>
      <c r="G5378" s="22">
        <v>29.5</v>
      </c>
      <c r="H5378" s="18">
        <v>33.57</v>
      </c>
      <c r="I5378" s="18">
        <v>1.137966102</v>
      </c>
      <c r="J5378" s="18">
        <v>1.1599999999999999</v>
      </c>
      <c r="K5378" s="18">
        <v>1.1200000000000001</v>
      </c>
      <c r="L5378" s="22">
        <v>13</v>
      </c>
    </row>
    <row r="5379" spans="1:12">
      <c r="A5379">
        <v>6</v>
      </c>
      <c r="B5379" s="16" t="s">
        <v>61</v>
      </c>
      <c r="C5379" s="9">
        <v>45931</v>
      </c>
      <c r="D5379">
        <v>28</v>
      </c>
      <c r="E5379" s="16" t="s">
        <v>117</v>
      </c>
      <c r="F5379" s="16" t="s">
        <v>92</v>
      </c>
      <c r="G5379" s="22">
        <v>46.5</v>
      </c>
      <c r="H5379" s="18">
        <v>55.585000000000001</v>
      </c>
      <c r="I5379" s="18">
        <v>1.195376344</v>
      </c>
      <c r="J5379" s="18">
        <v>1.23</v>
      </c>
      <c r="K5379" s="18">
        <v>1.17</v>
      </c>
      <c r="L5379" s="22">
        <v>14</v>
      </c>
    </row>
    <row r="5380" spans="1:12">
      <c r="A5380">
        <v>6</v>
      </c>
      <c r="B5380" s="16" t="s">
        <v>61</v>
      </c>
      <c r="C5380" s="9">
        <v>45962</v>
      </c>
      <c r="D5380">
        <v>28</v>
      </c>
      <c r="E5380" s="16" t="s">
        <v>117</v>
      </c>
      <c r="F5380" s="16" t="s">
        <v>92</v>
      </c>
      <c r="G5380" s="22">
        <v>30.5</v>
      </c>
      <c r="H5380" s="18">
        <v>38.094999999999999</v>
      </c>
      <c r="I5380" s="18">
        <v>1.249016393</v>
      </c>
      <c r="J5380" s="18">
        <v>1.27</v>
      </c>
      <c r="K5380" s="18">
        <v>1.23</v>
      </c>
      <c r="L5380" s="22">
        <v>12</v>
      </c>
    </row>
    <row r="5381" spans="1:12">
      <c r="A5381">
        <v>6</v>
      </c>
      <c r="B5381" s="16" t="s">
        <v>61</v>
      </c>
      <c r="C5381" s="9">
        <v>45992</v>
      </c>
      <c r="D5381">
        <v>28</v>
      </c>
      <c r="E5381" s="16" t="s">
        <v>117</v>
      </c>
      <c r="F5381" s="16" t="s">
        <v>92</v>
      </c>
      <c r="G5381" s="22">
        <v>35.5</v>
      </c>
      <c r="H5381" s="18">
        <v>45.825000000000003</v>
      </c>
      <c r="I5381" s="18">
        <v>1.29084507</v>
      </c>
      <c r="J5381" s="18">
        <v>1.32</v>
      </c>
      <c r="K5381" s="18">
        <v>1.26</v>
      </c>
      <c r="L5381" s="22">
        <v>14</v>
      </c>
    </row>
    <row r="5382" spans="1:12">
      <c r="A5382">
        <v>6</v>
      </c>
      <c r="B5382" s="16" t="s">
        <v>61</v>
      </c>
      <c r="C5382" s="9">
        <v>46023</v>
      </c>
      <c r="D5382">
        <v>28</v>
      </c>
      <c r="E5382" s="16" t="s">
        <v>117</v>
      </c>
      <c r="F5382" s="16" t="s">
        <v>92</v>
      </c>
      <c r="G5382" s="22">
        <v>41</v>
      </c>
      <c r="H5382" s="18">
        <v>53.36</v>
      </c>
      <c r="I5382" s="18">
        <v>1.301463415</v>
      </c>
      <c r="J5382" s="18">
        <v>1.33</v>
      </c>
      <c r="K5382" s="18">
        <v>1.28</v>
      </c>
      <c r="L5382" s="22">
        <v>13</v>
      </c>
    </row>
    <row r="5383" spans="1:12">
      <c r="A5383">
        <v>6</v>
      </c>
      <c r="B5383" s="16" t="s">
        <v>61</v>
      </c>
      <c r="C5383" s="9">
        <v>46054</v>
      </c>
      <c r="D5383">
        <v>28</v>
      </c>
      <c r="E5383" s="16" t="s">
        <v>117</v>
      </c>
      <c r="F5383" s="16" t="s">
        <v>92</v>
      </c>
      <c r="G5383" s="22">
        <v>29.5</v>
      </c>
      <c r="H5383" s="18">
        <v>38.020000000000003</v>
      </c>
      <c r="I5383" s="18">
        <v>1.2888135590000001</v>
      </c>
      <c r="J5383" s="18">
        <v>1.31</v>
      </c>
      <c r="K5383" s="18">
        <v>1.27</v>
      </c>
      <c r="L5383" s="22">
        <v>12</v>
      </c>
    </row>
    <row r="5384" spans="1:12">
      <c r="A5384">
        <v>6</v>
      </c>
      <c r="B5384" s="16" t="s">
        <v>61</v>
      </c>
      <c r="C5384" s="9">
        <v>46082</v>
      </c>
      <c r="D5384">
        <v>28</v>
      </c>
      <c r="E5384" s="16" t="s">
        <v>117</v>
      </c>
      <c r="F5384" s="16" t="s">
        <v>92</v>
      </c>
      <c r="G5384" s="22">
        <v>43.5</v>
      </c>
      <c r="H5384" s="18">
        <v>54.36</v>
      </c>
      <c r="I5384" s="18">
        <v>1.249655172</v>
      </c>
      <c r="J5384" s="18">
        <v>1.28</v>
      </c>
      <c r="K5384" s="18">
        <v>1.23</v>
      </c>
      <c r="L5384" s="22">
        <v>13</v>
      </c>
    </row>
    <row r="5385" spans="1:12">
      <c r="A5385">
        <v>6</v>
      </c>
      <c r="B5385" s="16" t="s">
        <v>61</v>
      </c>
      <c r="C5385" s="9">
        <v>46113</v>
      </c>
      <c r="D5385">
        <v>28</v>
      </c>
      <c r="E5385" s="16" t="s">
        <v>117</v>
      </c>
      <c r="F5385" s="16" t="s">
        <v>92</v>
      </c>
      <c r="G5385" s="22">
        <v>38.5</v>
      </c>
      <c r="H5385" s="18">
        <v>46.204999999999998</v>
      </c>
      <c r="I5385" s="18">
        <v>1.20012987</v>
      </c>
      <c r="J5385" s="18">
        <v>1.23</v>
      </c>
      <c r="K5385" s="18">
        <v>1.17</v>
      </c>
      <c r="L5385" s="22">
        <v>13</v>
      </c>
    </row>
    <row r="5386" spans="1:12">
      <c r="A5386">
        <v>6</v>
      </c>
      <c r="B5386" s="16" t="s">
        <v>61</v>
      </c>
      <c r="C5386" s="9">
        <v>46143</v>
      </c>
      <c r="D5386">
        <v>28</v>
      </c>
      <c r="E5386" s="16" t="s">
        <v>117</v>
      </c>
      <c r="F5386" s="16" t="s">
        <v>92</v>
      </c>
      <c r="G5386" s="22">
        <v>39.5</v>
      </c>
      <c r="H5386" s="18">
        <v>45.29</v>
      </c>
      <c r="I5386" s="18">
        <v>1.1465822779999999</v>
      </c>
      <c r="J5386" s="18">
        <v>1.17</v>
      </c>
      <c r="K5386" s="18">
        <v>1.1200000000000001</v>
      </c>
      <c r="L5386" s="22">
        <v>13</v>
      </c>
    </row>
    <row r="5387" spans="1:12">
      <c r="A5387">
        <v>6</v>
      </c>
      <c r="B5387" s="16" t="s">
        <v>61</v>
      </c>
      <c r="C5387" s="9">
        <v>46174</v>
      </c>
      <c r="D5387">
        <v>28</v>
      </c>
      <c r="E5387" s="16" t="s">
        <v>117</v>
      </c>
      <c r="F5387" s="16" t="s">
        <v>92</v>
      </c>
      <c r="G5387" s="22">
        <v>37.5</v>
      </c>
      <c r="H5387" s="18">
        <v>42.03</v>
      </c>
      <c r="I5387" s="18">
        <v>1.1208</v>
      </c>
      <c r="J5387" s="18">
        <v>1.1399999999999999</v>
      </c>
      <c r="K5387" s="18">
        <v>1.1000000000000001</v>
      </c>
      <c r="L5387" s="22">
        <v>13</v>
      </c>
    </row>
    <row r="5388" spans="1:12">
      <c r="A5388">
        <v>6</v>
      </c>
      <c r="B5388" s="16" t="s">
        <v>61</v>
      </c>
      <c r="C5388" s="9">
        <v>46204</v>
      </c>
      <c r="D5388">
        <v>28</v>
      </c>
      <c r="E5388" s="16" t="s">
        <v>117</v>
      </c>
      <c r="F5388" s="16" t="s">
        <v>92</v>
      </c>
      <c r="G5388" s="22">
        <v>39</v>
      </c>
      <c r="H5388" s="18">
        <v>42.53</v>
      </c>
      <c r="I5388" s="18">
        <v>1.0905128209999999</v>
      </c>
      <c r="J5388" s="18">
        <v>1.17</v>
      </c>
      <c r="K5388" s="18">
        <v>1.06</v>
      </c>
      <c r="L5388" s="22">
        <v>14</v>
      </c>
    </row>
    <row r="5389" spans="1:12">
      <c r="A5389">
        <v>6</v>
      </c>
      <c r="B5389" s="16" t="s">
        <v>61</v>
      </c>
      <c r="C5389" s="9">
        <v>46235</v>
      </c>
      <c r="D5389">
        <v>28</v>
      </c>
      <c r="E5389" s="16" t="s">
        <v>117</v>
      </c>
      <c r="F5389" s="16" t="s">
        <v>92</v>
      </c>
      <c r="G5389" s="22">
        <v>31.5</v>
      </c>
      <c r="H5389" s="18">
        <v>34.634999999999998</v>
      </c>
      <c r="I5389" s="18">
        <v>1.09952381</v>
      </c>
      <c r="J5389" s="18">
        <v>1.1200000000000001</v>
      </c>
      <c r="K5389" s="18">
        <v>1.08</v>
      </c>
      <c r="L5389" s="22">
        <v>13</v>
      </c>
    </row>
    <row r="5390" spans="1:12">
      <c r="A5390">
        <v>6</v>
      </c>
      <c r="B5390" s="16" t="s">
        <v>61</v>
      </c>
      <c r="C5390" s="9">
        <v>46266</v>
      </c>
      <c r="D5390">
        <v>28</v>
      </c>
      <c r="E5390" s="16" t="s">
        <v>117</v>
      </c>
      <c r="F5390" s="16" t="s">
        <v>92</v>
      </c>
      <c r="G5390" s="22">
        <v>40</v>
      </c>
      <c r="H5390" s="18">
        <v>45.375</v>
      </c>
      <c r="I5390" s="18">
        <v>1.1343749999999999</v>
      </c>
      <c r="J5390" s="18">
        <v>1.1599999999999999</v>
      </c>
      <c r="K5390" s="18">
        <v>1.1200000000000001</v>
      </c>
      <c r="L5390" s="22">
        <v>13</v>
      </c>
    </row>
    <row r="5391" spans="1:12">
      <c r="A5391">
        <v>6</v>
      </c>
      <c r="B5391" s="16" t="s">
        <v>61</v>
      </c>
      <c r="C5391" s="9">
        <v>45689</v>
      </c>
      <c r="D5391">
        <v>29</v>
      </c>
      <c r="E5391" s="16" t="s">
        <v>118</v>
      </c>
      <c r="F5391" s="16" t="s">
        <v>87</v>
      </c>
      <c r="G5391" s="22">
        <v>122</v>
      </c>
      <c r="H5391" s="18">
        <v>1854.17</v>
      </c>
      <c r="I5391" s="18">
        <v>15.198114754000001</v>
      </c>
      <c r="J5391" s="18">
        <v>15.32</v>
      </c>
      <c r="K5391" s="18">
        <v>14.85</v>
      </c>
      <c r="L5391" s="22">
        <v>12</v>
      </c>
    </row>
    <row r="5392" spans="1:12">
      <c r="A5392">
        <v>6</v>
      </c>
      <c r="B5392" s="16" t="s">
        <v>61</v>
      </c>
      <c r="C5392" s="9">
        <v>45717</v>
      </c>
      <c r="D5392">
        <v>29</v>
      </c>
      <c r="E5392" s="16" t="s">
        <v>118</v>
      </c>
      <c r="F5392" s="16" t="s">
        <v>87</v>
      </c>
      <c r="G5392" s="22">
        <v>123</v>
      </c>
      <c r="H5392" s="18">
        <v>1881.5775000000001</v>
      </c>
      <c r="I5392" s="18">
        <v>15.297378049000001</v>
      </c>
      <c r="J5392" s="18">
        <v>16.27</v>
      </c>
      <c r="K5392" s="18">
        <v>14.88</v>
      </c>
      <c r="L5392" s="22">
        <v>13</v>
      </c>
    </row>
    <row r="5393" spans="1:12">
      <c r="A5393">
        <v>6</v>
      </c>
      <c r="B5393" s="16" t="s">
        <v>61</v>
      </c>
      <c r="C5393" s="9">
        <v>45748</v>
      </c>
      <c r="D5393">
        <v>29</v>
      </c>
      <c r="E5393" s="16" t="s">
        <v>118</v>
      </c>
      <c r="F5393" s="16" t="s">
        <v>87</v>
      </c>
      <c r="G5393" s="22">
        <v>123</v>
      </c>
      <c r="H5393" s="18">
        <v>1901.4</v>
      </c>
      <c r="I5393" s="18">
        <v>15.458536584999999</v>
      </c>
      <c r="J5393" s="18">
        <v>16.29</v>
      </c>
      <c r="K5393" s="18">
        <v>15.06</v>
      </c>
      <c r="L5393" s="22">
        <v>13</v>
      </c>
    </row>
    <row r="5394" spans="1:12">
      <c r="A5394">
        <v>6</v>
      </c>
      <c r="B5394" s="16" t="s">
        <v>61</v>
      </c>
      <c r="C5394" s="9">
        <v>45778</v>
      </c>
      <c r="D5394">
        <v>29</v>
      </c>
      <c r="E5394" s="16" t="s">
        <v>118</v>
      </c>
      <c r="F5394" s="16" t="s">
        <v>87</v>
      </c>
      <c r="G5394" s="22">
        <v>86</v>
      </c>
      <c r="H5394" s="18">
        <v>1341.3325</v>
      </c>
      <c r="I5394" s="18">
        <v>15.596889535000001</v>
      </c>
      <c r="J5394" s="18">
        <v>15.79</v>
      </c>
      <c r="K5394" s="18">
        <v>15.25</v>
      </c>
      <c r="L5394" s="22">
        <v>13</v>
      </c>
    </row>
    <row r="5395" spans="1:12">
      <c r="A5395">
        <v>6</v>
      </c>
      <c r="B5395" s="16" t="s">
        <v>61</v>
      </c>
      <c r="C5395" s="9">
        <v>45809</v>
      </c>
      <c r="D5395">
        <v>29</v>
      </c>
      <c r="E5395" s="16" t="s">
        <v>118</v>
      </c>
      <c r="F5395" s="16" t="s">
        <v>87</v>
      </c>
      <c r="G5395" s="22">
        <v>68.75</v>
      </c>
      <c r="H5395" s="18">
        <v>1075.68</v>
      </c>
      <c r="I5395" s="18">
        <v>15.646254545</v>
      </c>
      <c r="J5395" s="18">
        <v>15.89</v>
      </c>
      <c r="K5395" s="18">
        <v>15.31</v>
      </c>
      <c r="L5395" s="22">
        <v>13</v>
      </c>
    </row>
    <row r="5396" spans="1:12">
      <c r="A5396">
        <v>6</v>
      </c>
      <c r="B5396" s="16" t="s">
        <v>61</v>
      </c>
      <c r="C5396" s="9">
        <v>45839</v>
      </c>
      <c r="D5396">
        <v>29</v>
      </c>
      <c r="E5396" s="16" t="s">
        <v>118</v>
      </c>
      <c r="F5396" s="16" t="s">
        <v>87</v>
      </c>
      <c r="G5396" s="22">
        <v>62</v>
      </c>
      <c r="H5396" s="18">
        <v>974.99249999999995</v>
      </c>
      <c r="I5396" s="18">
        <v>15.725685484</v>
      </c>
      <c r="J5396" s="18">
        <v>16.940000000000001</v>
      </c>
      <c r="K5396" s="18">
        <v>15.31</v>
      </c>
      <c r="L5396" s="22">
        <v>13</v>
      </c>
    </row>
    <row r="5397" spans="1:12">
      <c r="A5397">
        <v>6</v>
      </c>
      <c r="B5397" s="16" t="s">
        <v>61</v>
      </c>
      <c r="C5397" s="9">
        <v>45870</v>
      </c>
      <c r="D5397">
        <v>29</v>
      </c>
      <c r="E5397" s="16" t="s">
        <v>118</v>
      </c>
      <c r="F5397" s="16" t="s">
        <v>87</v>
      </c>
      <c r="G5397" s="22">
        <v>58.75</v>
      </c>
      <c r="H5397" s="18">
        <v>924.82249999999999</v>
      </c>
      <c r="I5397" s="18">
        <v>15.741659574</v>
      </c>
      <c r="J5397" s="18">
        <v>16.43</v>
      </c>
      <c r="K5397" s="18">
        <v>15.48</v>
      </c>
      <c r="L5397" s="22">
        <v>12</v>
      </c>
    </row>
    <row r="5398" spans="1:12">
      <c r="A5398">
        <v>6</v>
      </c>
      <c r="B5398" s="16" t="s">
        <v>61</v>
      </c>
      <c r="C5398" s="9">
        <v>45901</v>
      </c>
      <c r="D5398">
        <v>29</v>
      </c>
      <c r="E5398" s="16" t="s">
        <v>118</v>
      </c>
      <c r="F5398" s="16" t="s">
        <v>87</v>
      </c>
      <c r="G5398" s="22">
        <v>74.25</v>
      </c>
      <c r="H5398" s="18">
        <v>1165.895</v>
      </c>
      <c r="I5398" s="18">
        <v>15.702289562000001</v>
      </c>
      <c r="J5398" s="18">
        <v>16.02</v>
      </c>
      <c r="K5398" s="18">
        <v>15.35</v>
      </c>
      <c r="L5398" s="22">
        <v>13</v>
      </c>
    </row>
    <row r="5399" spans="1:12">
      <c r="A5399">
        <v>6</v>
      </c>
      <c r="B5399" s="16" t="s">
        <v>61</v>
      </c>
      <c r="C5399" s="9">
        <v>45931</v>
      </c>
      <c r="D5399">
        <v>29</v>
      </c>
      <c r="E5399" s="16" t="s">
        <v>118</v>
      </c>
      <c r="F5399" s="16" t="s">
        <v>87</v>
      </c>
      <c r="G5399" s="22">
        <v>112.25</v>
      </c>
      <c r="H5399" s="18">
        <v>1768.9475</v>
      </c>
      <c r="I5399" s="18">
        <v>15.758997773000001</v>
      </c>
      <c r="J5399" s="18">
        <v>15.99</v>
      </c>
      <c r="K5399" s="18">
        <v>15.51</v>
      </c>
      <c r="L5399" s="22">
        <v>13</v>
      </c>
    </row>
    <row r="5400" spans="1:12">
      <c r="A5400">
        <v>6</v>
      </c>
      <c r="B5400" s="16" t="s">
        <v>61</v>
      </c>
      <c r="C5400" s="9">
        <v>45962</v>
      </c>
      <c r="D5400">
        <v>29</v>
      </c>
      <c r="E5400" s="16" t="s">
        <v>118</v>
      </c>
      <c r="F5400" s="16" t="s">
        <v>87</v>
      </c>
      <c r="G5400" s="22">
        <v>79.75</v>
      </c>
      <c r="H5400" s="18">
        <v>1260.2674999999999</v>
      </c>
      <c r="I5400" s="18">
        <v>15.802727273</v>
      </c>
      <c r="J5400" s="18">
        <v>16.18</v>
      </c>
      <c r="K5400" s="18">
        <v>15.52</v>
      </c>
      <c r="L5400" s="22">
        <v>12</v>
      </c>
    </row>
    <row r="5401" spans="1:12">
      <c r="A5401">
        <v>6</v>
      </c>
      <c r="B5401" s="16" t="s">
        <v>61</v>
      </c>
      <c r="C5401" s="9">
        <v>45992</v>
      </c>
      <c r="D5401">
        <v>29</v>
      </c>
      <c r="E5401" s="16" t="s">
        <v>118</v>
      </c>
      <c r="F5401" s="16" t="s">
        <v>87</v>
      </c>
      <c r="G5401" s="22">
        <v>83</v>
      </c>
      <c r="H5401" s="18">
        <v>1302.1099999999999</v>
      </c>
      <c r="I5401" s="18">
        <v>15.688072289000001</v>
      </c>
      <c r="J5401" s="18">
        <v>15.93</v>
      </c>
      <c r="K5401" s="18">
        <v>15.45</v>
      </c>
      <c r="L5401" s="22">
        <v>14</v>
      </c>
    </row>
    <row r="5402" spans="1:12">
      <c r="A5402">
        <v>6</v>
      </c>
      <c r="B5402" s="16" t="s">
        <v>61</v>
      </c>
      <c r="C5402" s="9">
        <v>46023</v>
      </c>
      <c r="D5402">
        <v>29</v>
      </c>
      <c r="E5402" s="16" t="s">
        <v>118</v>
      </c>
      <c r="F5402" s="16" t="s">
        <v>87</v>
      </c>
      <c r="G5402" s="22">
        <v>105.5</v>
      </c>
      <c r="H5402" s="18">
        <v>1672.1175000000001</v>
      </c>
      <c r="I5402" s="18">
        <v>15.849454976000001</v>
      </c>
      <c r="J5402" s="18">
        <v>16.09</v>
      </c>
      <c r="K5402" s="18">
        <v>15.56</v>
      </c>
      <c r="L5402" s="22">
        <v>13</v>
      </c>
    </row>
    <row r="5403" spans="1:12">
      <c r="A5403">
        <v>6</v>
      </c>
      <c r="B5403" s="16" t="s">
        <v>61</v>
      </c>
      <c r="C5403" s="9">
        <v>46054</v>
      </c>
      <c r="D5403">
        <v>29</v>
      </c>
      <c r="E5403" s="16" t="s">
        <v>118</v>
      </c>
      <c r="F5403" s="16" t="s">
        <v>87</v>
      </c>
      <c r="G5403" s="22">
        <v>101.5</v>
      </c>
      <c r="H5403" s="18">
        <v>1625.6025</v>
      </c>
      <c r="I5403" s="18">
        <v>16.015788177000001</v>
      </c>
      <c r="J5403" s="18">
        <v>16.260000000000002</v>
      </c>
      <c r="K5403" s="18">
        <v>15.74</v>
      </c>
      <c r="L5403" s="22">
        <v>12</v>
      </c>
    </row>
    <row r="5404" spans="1:12">
      <c r="A5404">
        <v>6</v>
      </c>
      <c r="B5404" s="16" t="s">
        <v>61</v>
      </c>
      <c r="C5404" s="9">
        <v>46082</v>
      </c>
      <c r="D5404">
        <v>29</v>
      </c>
      <c r="E5404" s="16" t="s">
        <v>118</v>
      </c>
      <c r="F5404" s="16" t="s">
        <v>87</v>
      </c>
      <c r="G5404" s="22">
        <v>145.75</v>
      </c>
      <c r="H5404" s="18">
        <v>2328.2399999999998</v>
      </c>
      <c r="I5404" s="18">
        <v>15.974202400999999</v>
      </c>
      <c r="J5404" s="18">
        <v>16.37</v>
      </c>
      <c r="K5404" s="18">
        <v>15.52</v>
      </c>
      <c r="L5404" s="22">
        <v>13</v>
      </c>
    </row>
    <row r="5405" spans="1:12">
      <c r="A5405">
        <v>6</v>
      </c>
      <c r="B5405" s="16" t="s">
        <v>61</v>
      </c>
      <c r="C5405" s="9">
        <v>46113</v>
      </c>
      <c r="D5405">
        <v>29</v>
      </c>
      <c r="E5405" s="16" t="s">
        <v>118</v>
      </c>
      <c r="F5405" s="16" t="s">
        <v>87</v>
      </c>
      <c r="G5405" s="22">
        <v>122</v>
      </c>
      <c r="H5405" s="18">
        <v>1952.5574999999999</v>
      </c>
      <c r="I5405" s="18">
        <v>16.004569671999999</v>
      </c>
      <c r="J5405" s="18">
        <v>16.21</v>
      </c>
      <c r="K5405" s="18">
        <v>15.74</v>
      </c>
      <c r="L5405" s="22">
        <v>12</v>
      </c>
    </row>
    <row r="5406" spans="1:12">
      <c r="A5406">
        <v>6</v>
      </c>
      <c r="B5406" s="16" t="s">
        <v>61</v>
      </c>
      <c r="C5406" s="9">
        <v>46143</v>
      </c>
      <c r="D5406">
        <v>29</v>
      </c>
      <c r="E5406" s="16" t="s">
        <v>118</v>
      </c>
      <c r="F5406" s="16" t="s">
        <v>87</v>
      </c>
      <c r="G5406" s="22">
        <v>109.75</v>
      </c>
      <c r="H5406" s="18">
        <v>1761.2950000000001</v>
      </c>
      <c r="I5406" s="18">
        <v>16.048246014</v>
      </c>
      <c r="J5406" s="18">
        <v>16.29</v>
      </c>
      <c r="K5406" s="18">
        <v>15.85</v>
      </c>
      <c r="L5406" s="22">
        <v>13</v>
      </c>
    </row>
    <row r="5407" spans="1:12">
      <c r="A5407">
        <v>6</v>
      </c>
      <c r="B5407" s="16" t="s">
        <v>61</v>
      </c>
      <c r="C5407" s="9">
        <v>46174</v>
      </c>
      <c r="D5407">
        <v>29</v>
      </c>
      <c r="E5407" s="16" t="s">
        <v>118</v>
      </c>
      <c r="F5407" s="16" t="s">
        <v>87</v>
      </c>
      <c r="G5407" s="22">
        <v>91.75</v>
      </c>
      <c r="H5407" s="18">
        <v>1484.4549999999999</v>
      </c>
      <c r="I5407" s="18">
        <v>16.179346048999999</v>
      </c>
      <c r="J5407" s="18">
        <v>16.52</v>
      </c>
      <c r="K5407" s="18">
        <v>15.88</v>
      </c>
      <c r="L5407" s="22">
        <v>12</v>
      </c>
    </row>
    <row r="5408" spans="1:12">
      <c r="A5408">
        <v>6</v>
      </c>
      <c r="B5408" s="16" t="s">
        <v>61</v>
      </c>
      <c r="C5408" s="9">
        <v>46204</v>
      </c>
      <c r="D5408">
        <v>29</v>
      </c>
      <c r="E5408" s="16" t="s">
        <v>118</v>
      </c>
      <c r="F5408" s="16" t="s">
        <v>87</v>
      </c>
      <c r="G5408" s="22">
        <v>107.25</v>
      </c>
      <c r="H5408" s="18">
        <v>1735.4575</v>
      </c>
      <c r="I5408" s="18">
        <v>16.181421911000001</v>
      </c>
      <c r="J5408" s="18">
        <v>16.649999999999999</v>
      </c>
      <c r="K5408" s="18">
        <v>15.64</v>
      </c>
      <c r="L5408" s="22">
        <v>14</v>
      </c>
    </row>
    <row r="5409" spans="1:12">
      <c r="A5409">
        <v>6</v>
      </c>
      <c r="B5409" s="16" t="s">
        <v>61</v>
      </c>
      <c r="C5409" s="9">
        <v>46235</v>
      </c>
      <c r="D5409">
        <v>29</v>
      </c>
      <c r="E5409" s="16" t="s">
        <v>118</v>
      </c>
      <c r="F5409" s="16" t="s">
        <v>87</v>
      </c>
      <c r="G5409" s="22">
        <v>78</v>
      </c>
      <c r="H5409" s="18">
        <v>1267.9649999999999</v>
      </c>
      <c r="I5409" s="18">
        <v>16.255961538000001</v>
      </c>
      <c r="J5409" s="18">
        <v>16.52</v>
      </c>
      <c r="K5409" s="18">
        <v>15.88</v>
      </c>
      <c r="L5409" s="22">
        <v>12</v>
      </c>
    </row>
    <row r="5410" spans="1:12">
      <c r="A5410">
        <v>6</v>
      </c>
      <c r="B5410" s="16" t="s">
        <v>61</v>
      </c>
      <c r="C5410" s="9">
        <v>46266</v>
      </c>
      <c r="D5410">
        <v>29</v>
      </c>
      <c r="E5410" s="16" t="s">
        <v>118</v>
      </c>
      <c r="F5410" s="16" t="s">
        <v>87</v>
      </c>
      <c r="G5410" s="22">
        <v>95.25</v>
      </c>
      <c r="H5410" s="18">
        <v>1545.27</v>
      </c>
      <c r="I5410" s="18">
        <v>16.223307086999998</v>
      </c>
      <c r="J5410" s="18">
        <v>16.46</v>
      </c>
      <c r="K5410" s="18">
        <v>15.81</v>
      </c>
      <c r="L5410" s="22">
        <v>12</v>
      </c>
    </row>
    <row r="5411" spans="1:12">
      <c r="A5411">
        <v>6</v>
      </c>
      <c r="B5411" s="16" t="s">
        <v>61</v>
      </c>
      <c r="C5411" s="9">
        <v>45689</v>
      </c>
      <c r="D5411">
        <v>30</v>
      </c>
      <c r="E5411" s="16" t="s">
        <v>119</v>
      </c>
      <c r="F5411" s="16" t="s">
        <v>92</v>
      </c>
      <c r="G5411" s="22">
        <v>12.5</v>
      </c>
      <c r="H5411" s="18">
        <v>8.6750000000000007</v>
      </c>
      <c r="I5411" s="18">
        <v>0.69399999999999995</v>
      </c>
      <c r="J5411" s="18">
        <v>0.72</v>
      </c>
      <c r="K5411" s="18">
        <v>0.68</v>
      </c>
      <c r="L5411" s="22">
        <v>7</v>
      </c>
    </row>
    <row r="5412" spans="1:12">
      <c r="A5412">
        <v>6</v>
      </c>
      <c r="B5412" s="16" t="s">
        <v>61</v>
      </c>
      <c r="C5412" s="9">
        <v>45717</v>
      </c>
      <c r="D5412">
        <v>30</v>
      </c>
      <c r="E5412" s="16" t="s">
        <v>119</v>
      </c>
      <c r="F5412" s="16" t="s">
        <v>92</v>
      </c>
      <c r="G5412" s="22">
        <v>13.75</v>
      </c>
      <c r="H5412" s="18">
        <v>9.4625000000000004</v>
      </c>
      <c r="I5412" s="18">
        <v>0.688181818</v>
      </c>
      <c r="J5412" s="18">
        <v>0.73</v>
      </c>
      <c r="K5412" s="18">
        <v>0.67</v>
      </c>
      <c r="L5412" s="22">
        <v>9</v>
      </c>
    </row>
    <row r="5413" spans="1:12">
      <c r="A5413">
        <v>6</v>
      </c>
      <c r="B5413" s="16" t="s">
        <v>61</v>
      </c>
      <c r="C5413" s="9">
        <v>45748</v>
      </c>
      <c r="D5413">
        <v>30</v>
      </c>
      <c r="E5413" s="16" t="s">
        <v>119</v>
      </c>
      <c r="F5413" s="16" t="s">
        <v>92</v>
      </c>
      <c r="G5413" s="22">
        <v>12.5</v>
      </c>
      <c r="H5413" s="18">
        <v>8.1125000000000007</v>
      </c>
      <c r="I5413" s="18">
        <v>0.64900000000000002</v>
      </c>
      <c r="J5413" s="18">
        <v>0.66</v>
      </c>
      <c r="K5413" s="18">
        <v>0.64</v>
      </c>
      <c r="L5413" s="22">
        <v>8</v>
      </c>
    </row>
    <row r="5414" spans="1:12">
      <c r="A5414">
        <v>6</v>
      </c>
      <c r="B5414" s="16" t="s">
        <v>61</v>
      </c>
      <c r="C5414" s="9">
        <v>45778</v>
      </c>
      <c r="D5414">
        <v>30</v>
      </c>
      <c r="E5414" s="16" t="s">
        <v>119</v>
      </c>
      <c r="F5414" s="16" t="s">
        <v>92</v>
      </c>
      <c r="G5414" s="22">
        <v>8.75</v>
      </c>
      <c r="H5414" s="18">
        <v>5.4749999999999996</v>
      </c>
      <c r="I5414" s="18">
        <v>0.62571428600000001</v>
      </c>
      <c r="J5414" s="18">
        <v>0.63</v>
      </c>
      <c r="K5414" s="18">
        <v>0.62</v>
      </c>
      <c r="L5414" s="22">
        <v>6</v>
      </c>
    </row>
    <row r="5415" spans="1:12">
      <c r="A5415">
        <v>6</v>
      </c>
      <c r="B5415" s="16" t="s">
        <v>61</v>
      </c>
      <c r="C5415" s="9">
        <v>45809</v>
      </c>
      <c r="D5415">
        <v>30</v>
      </c>
      <c r="E5415" s="16" t="s">
        <v>119</v>
      </c>
      <c r="F5415" s="16" t="s">
        <v>92</v>
      </c>
      <c r="G5415" s="22">
        <v>8.75</v>
      </c>
      <c r="H5415" s="18">
        <v>5.3375000000000004</v>
      </c>
      <c r="I5415" s="18">
        <v>0.61</v>
      </c>
      <c r="J5415" s="18">
        <v>0.62</v>
      </c>
      <c r="K5415" s="18">
        <v>0.6</v>
      </c>
      <c r="L5415" s="22">
        <v>7</v>
      </c>
    </row>
    <row r="5416" spans="1:12">
      <c r="A5416">
        <v>6</v>
      </c>
      <c r="B5416" s="16" t="s">
        <v>61</v>
      </c>
      <c r="C5416" s="9">
        <v>45839</v>
      </c>
      <c r="D5416">
        <v>30</v>
      </c>
      <c r="E5416" s="16" t="s">
        <v>119</v>
      </c>
      <c r="F5416" s="16" t="s">
        <v>92</v>
      </c>
      <c r="G5416" s="22">
        <v>6.25</v>
      </c>
      <c r="H5416" s="18">
        <v>3.8</v>
      </c>
      <c r="I5416" s="18">
        <v>0.60799999999999998</v>
      </c>
      <c r="J5416" s="18">
        <v>0.62</v>
      </c>
      <c r="K5416" s="18">
        <v>0.6</v>
      </c>
      <c r="L5416" s="22">
        <v>5</v>
      </c>
    </row>
    <row r="5417" spans="1:12">
      <c r="A5417">
        <v>6</v>
      </c>
      <c r="B5417" s="16" t="s">
        <v>61</v>
      </c>
      <c r="C5417" s="9">
        <v>45870</v>
      </c>
      <c r="D5417">
        <v>30</v>
      </c>
      <c r="E5417" s="16" t="s">
        <v>119</v>
      </c>
      <c r="F5417" s="16" t="s">
        <v>92</v>
      </c>
      <c r="G5417" s="22">
        <v>7.5</v>
      </c>
      <c r="H5417" s="18">
        <v>4.6875</v>
      </c>
      <c r="I5417" s="18">
        <v>0.625</v>
      </c>
      <c r="J5417" s="18">
        <v>0.63</v>
      </c>
      <c r="K5417" s="18">
        <v>0.62</v>
      </c>
      <c r="L5417" s="22">
        <v>6</v>
      </c>
    </row>
    <row r="5418" spans="1:12">
      <c r="A5418">
        <v>6</v>
      </c>
      <c r="B5418" s="16" t="s">
        <v>61</v>
      </c>
      <c r="C5418" s="9">
        <v>45901</v>
      </c>
      <c r="D5418">
        <v>30</v>
      </c>
      <c r="E5418" s="16" t="s">
        <v>119</v>
      </c>
      <c r="F5418" s="16" t="s">
        <v>92</v>
      </c>
      <c r="G5418" s="22">
        <v>7.5</v>
      </c>
      <c r="H5418" s="18">
        <v>4.8</v>
      </c>
      <c r="I5418" s="18">
        <v>0.64</v>
      </c>
      <c r="J5418" s="18">
        <v>0.65</v>
      </c>
      <c r="K5418" s="18">
        <v>0.62</v>
      </c>
      <c r="L5418" s="22">
        <v>6</v>
      </c>
    </row>
    <row r="5419" spans="1:12">
      <c r="A5419">
        <v>6</v>
      </c>
      <c r="B5419" s="16" t="s">
        <v>61</v>
      </c>
      <c r="C5419" s="9">
        <v>45931</v>
      </c>
      <c r="D5419">
        <v>30</v>
      </c>
      <c r="E5419" s="16" t="s">
        <v>119</v>
      </c>
      <c r="F5419" s="16" t="s">
        <v>92</v>
      </c>
      <c r="G5419" s="22">
        <v>12.5</v>
      </c>
      <c r="H5419" s="18">
        <v>8.3874999999999993</v>
      </c>
      <c r="I5419" s="18">
        <v>0.67100000000000004</v>
      </c>
      <c r="J5419" s="18">
        <v>0.68</v>
      </c>
      <c r="K5419" s="18">
        <v>0.66</v>
      </c>
      <c r="L5419" s="22">
        <v>8</v>
      </c>
    </row>
    <row r="5420" spans="1:12">
      <c r="A5420">
        <v>6</v>
      </c>
      <c r="B5420" s="16" t="s">
        <v>61</v>
      </c>
      <c r="C5420" s="9">
        <v>45962</v>
      </c>
      <c r="D5420">
        <v>30</v>
      </c>
      <c r="E5420" s="16" t="s">
        <v>119</v>
      </c>
      <c r="F5420" s="16" t="s">
        <v>92</v>
      </c>
      <c r="G5420" s="22">
        <v>8.75</v>
      </c>
      <c r="H5420" s="18">
        <v>6.2374999999999998</v>
      </c>
      <c r="I5420" s="18">
        <v>0.71285714300000003</v>
      </c>
      <c r="J5420" s="18">
        <v>0.75</v>
      </c>
      <c r="K5420" s="18">
        <v>0.69</v>
      </c>
      <c r="L5420" s="22">
        <v>6</v>
      </c>
    </row>
    <row r="5421" spans="1:12">
      <c r="A5421">
        <v>6</v>
      </c>
      <c r="B5421" s="16" t="s">
        <v>61</v>
      </c>
      <c r="C5421" s="9">
        <v>45992</v>
      </c>
      <c r="D5421">
        <v>30</v>
      </c>
      <c r="E5421" s="16" t="s">
        <v>119</v>
      </c>
      <c r="F5421" s="16" t="s">
        <v>92</v>
      </c>
      <c r="G5421" s="22">
        <v>8.75</v>
      </c>
      <c r="H5421" s="18">
        <v>6.3375000000000004</v>
      </c>
      <c r="I5421" s="18">
        <v>0.72428571399999997</v>
      </c>
      <c r="J5421" s="18">
        <v>0.74</v>
      </c>
      <c r="K5421" s="18">
        <v>0.71</v>
      </c>
      <c r="L5421" s="22">
        <v>6</v>
      </c>
    </row>
    <row r="5422" spans="1:12">
      <c r="A5422">
        <v>6</v>
      </c>
      <c r="B5422" s="16" t="s">
        <v>61</v>
      </c>
      <c r="C5422" s="9">
        <v>46023</v>
      </c>
      <c r="D5422">
        <v>30</v>
      </c>
      <c r="E5422" s="16" t="s">
        <v>119</v>
      </c>
      <c r="F5422" s="16" t="s">
        <v>92</v>
      </c>
      <c r="G5422" s="22">
        <v>11.25</v>
      </c>
      <c r="H5422" s="18">
        <v>8.2624999999999993</v>
      </c>
      <c r="I5422" s="18">
        <v>0.73444444399999997</v>
      </c>
      <c r="J5422" s="18">
        <v>0.75</v>
      </c>
      <c r="K5422" s="18">
        <v>0.72</v>
      </c>
      <c r="L5422" s="22">
        <v>9</v>
      </c>
    </row>
    <row r="5423" spans="1:12">
      <c r="A5423">
        <v>6</v>
      </c>
      <c r="B5423" s="16" t="s">
        <v>61</v>
      </c>
      <c r="C5423" s="9">
        <v>46054</v>
      </c>
      <c r="D5423">
        <v>30</v>
      </c>
      <c r="E5423" s="16" t="s">
        <v>119</v>
      </c>
      <c r="F5423" s="16" t="s">
        <v>92</v>
      </c>
      <c r="G5423" s="22">
        <v>11.25</v>
      </c>
      <c r="H5423" s="18">
        <v>8.2375000000000007</v>
      </c>
      <c r="I5423" s="18">
        <v>0.73222222199999998</v>
      </c>
      <c r="J5423" s="18">
        <v>0.74</v>
      </c>
      <c r="K5423" s="18">
        <v>0.72</v>
      </c>
      <c r="L5423" s="22">
        <v>8</v>
      </c>
    </row>
    <row r="5424" spans="1:12">
      <c r="A5424">
        <v>6</v>
      </c>
      <c r="B5424" s="16" t="s">
        <v>61</v>
      </c>
      <c r="C5424" s="9">
        <v>46082</v>
      </c>
      <c r="D5424">
        <v>30</v>
      </c>
      <c r="E5424" s="16" t="s">
        <v>119</v>
      </c>
      <c r="F5424" s="16" t="s">
        <v>92</v>
      </c>
      <c r="G5424" s="22">
        <v>13.75</v>
      </c>
      <c r="H5424" s="18">
        <v>9.7375000000000007</v>
      </c>
      <c r="I5424" s="18">
        <v>0.70818181800000002</v>
      </c>
      <c r="J5424" s="18">
        <v>0.72</v>
      </c>
      <c r="K5424" s="18">
        <v>0.7</v>
      </c>
      <c r="L5424" s="22">
        <v>9</v>
      </c>
    </row>
    <row r="5425" spans="1:12">
      <c r="A5425">
        <v>6</v>
      </c>
      <c r="B5425" s="16" t="s">
        <v>61</v>
      </c>
      <c r="C5425" s="9">
        <v>46113</v>
      </c>
      <c r="D5425">
        <v>30</v>
      </c>
      <c r="E5425" s="16" t="s">
        <v>119</v>
      </c>
      <c r="F5425" s="16" t="s">
        <v>92</v>
      </c>
      <c r="G5425" s="22">
        <v>11.25</v>
      </c>
      <c r="H5425" s="18">
        <v>7.7625000000000002</v>
      </c>
      <c r="I5425" s="18">
        <v>0.69</v>
      </c>
      <c r="J5425" s="18">
        <v>0.7</v>
      </c>
      <c r="K5425" s="18">
        <v>0.68</v>
      </c>
      <c r="L5425" s="22">
        <v>9</v>
      </c>
    </row>
    <row r="5426" spans="1:12">
      <c r="A5426">
        <v>6</v>
      </c>
      <c r="B5426" s="16" t="s">
        <v>61</v>
      </c>
      <c r="C5426" s="9">
        <v>46143</v>
      </c>
      <c r="D5426">
        <v>30</v>
      </c>
      <c r="E5426" s="16" t="s">
        <v>119</v>
      </c>
      <c r="F5426" s="16" t="s">
        <v>92</v>
      </c>
      <c r="G5426" s="22">
        <v>10</v>
      </c>
      <c r="H5426" s="18">
        <v>6.6124999999999998</v>
      </c>
      <c r="I5426" s="18">
        <v>0.66125</v>
      </c>
      <c r="J5426" s="18">
        <v>0.67</v>
      </c>
      <c r="K5426" s="18">
        <v>0.65</v>
      </c>
      <c r="L5426" s="22">
        <v>8</v>
      </c>
    </row>
    <row r="5427" spans="1:12">
      <c r="A5427">
        <v>6</v>
      </c>
      <c r="B5427" s="16" t="s">
        <v>61</v>
      </c>
      <c r="C5427" s="9">
        <v>46174</v>
      </c>
      <c r="D5427">
        <v>30</v>
      </c>
      <c r="E5427" s="16" t="s">
        <v>119</v>
      </c>
      <c r="F5427" s="16" t="s">
        <v>92</v>
      </c>
      <c r="G5427" s="22">
        <v>8.75</v>
      </c>
      <c r="H5427" s="18">
        <v>5.6124999999999998</v>
      </c>
      <c r="I5427" s="18">
        <v>0.64142857099999995</v>
      </c>
      <c r="J5427" s="18">
        <v>0.65</v>
      </c>
      <c r="K5427" s="18">
        <v>0.63</v>
      </c>
      <c r="L5427" s="22">
        <v>7</v>
      </c>
    </row>
    <row r="5428" spans="1:12">
      <c r="A5428">
        <v>6</v>
      </c>
      <c r="B5428" s="16" t="s">
        <v>61</v>
      </c>
      <c r="C5428" s="9">
        <v>46204</v>
      </c>
      <c r="D5428">
        <v>30</v>
      </c>
      <c r="E5428" s="16" t="s">
        <v>119</v>
      </c>
      <c r="F5428" s="16" t="s">
        <v>92</v>
      </c>
      <c r="G5428" s="22">
        <v>10</v>
      </c>
      <c r="H5428" s="18">
        <v>6.4124999999999996</v>
      </c>
      <c r="I5428" s="18">
        <v>0.64124999999999999</v>
      </c>
      <c r="J5428" s="18">
        <v>0.68</v>
      </c>
      <c r="K5428" s="18">
        <v>0.63</v>
      </c>
      <c r="L5428" s="22">
        <v>8</v>
      </c>
    </row>
    <row r="5429" spans="1:12">
      <c r="A5429">
        <v>6</v>
      </c>
      <c r="B5429" s="16" t="s">
        <v>61</v>
      </c>
      <c r="C5429" s="9">
        <v>46235</v>
      </c>
      <c r="D5429">
        <v>30</v>
      </c>
      <c r="E5429" s="16" t="s">
        <v>119</v>
      </c>
      <c r="F5429" s="16" t="s">
        <v>92</v>
      </c>
      <c r="G5429" s="22">
        <v>7.5</v>
      </c>
      <c r="H5429" s="18">
        <v>4.8875000000000002</v>
      </c>
      <c r="I5429" s="18">
        <v>0.65166666699999998</v>
      </c>
      <c r="J5429" s="18">
        <v>0.68</v>
      </c>
      <c r="K5429" s="18">
        <v>0.64</v>
      </c>
      <c r="L5429" s="22">
        <v>6</v>
      </c>
    </row>
    <row r="5430" spans="1:12">
      <c r="A5430">
        <v>6</v>
      </c>
      <c r="B5430" s="16" t="s">
        <v>61</v>
      </c>
      <c r="C5430" s="9">
        <v>46266</v>
      </c>
      <c r="D5430">
        <v>30</v>
      </c>
      <c r="E5430" s="16" t="s">
        <v>119</v>
      </c>
      <c r="F5430" s="16" t="s">
        <v>92</v>
      </c>
      <c r="G5430" s="22">
        <v>8.75</v>
      </c>
      <c r="H5430" s="18">
        <v>5.8375000000000004</v>
      </c>
      <c r="I5430" s="18">
        <v>0.66714285699999998</v>
      </c>
      <c r="J5430" s="18">
        <v>0.68</v>
      </c>
      <c r="K5430" s="18">
        <v>0.66</v>
      </c>
      <c r="L5430" s="22">
        <v>7</v>
      </c>
    </row>
    <row r="5431" spans="1:12">
      <c r="A5431">
        <v>6</v>
      </c>
      <c r="B5431" s="16" t="s">
        <v>61</v>
      </c>
      <c r="C5431" s="9">
        <v>45689</v>
      </c>
      <c r="D5431">
        <v>31</v>
      </c>
      <c r="E5431" s="16" t="s">
        <v>120</v>
      </c>
      <c r="F5431" s="16" t="s">
        <v>92</v>
      </c>
      <c r="G5431" s="22">
        <v>15</v>
      </c>
      <c r="H5431" s="18">
        <v>15.4575</v>
      </c>
      <c r="I5431" s="18">
        <v>1.0305</v>
      </c>
      <c r="J5431" s="18">
        <v>1.05</v>
      </c>
      <c r="K5431" s="18">
        <v>1.02</v>
      </c>
      <c r="L5431" s="22">
        <v>10</v>
      </c>
    </row>
    <row r="5432" spans="1:12">
      <c r="A5432">
        <v>6</v>
      </c>
      <c r="B5432" s="16" t="s">
        <v>61</v>
      </c>
      <c r="C5432" s="9">
        <v>45717</v>
      </c>
      <c r="D5432">
        <v>31</v>
      </c>
      <c r="E5432" s="16" t="s">
        <v>120</v>
      </c>
      <c r="F5432" s="16" t="s">
        <v>92</v>
      </c>
      <c r="G5432" s="22">
        <v>15.75</v>
      </c>
      <c r="H5432" s="18">
        <v>15.84</v>
      </c>
      <c r="I5432" s="18">
        <v>1.0057142859999999</v>
      </c>
      <c r="J5432" s="18">
        <v>1.06</v>
      </c>
      <c r="K5432" s="18">
        <v>0.99</v>
      </c>
      <c r="L5432" s="22">
        <v>13</v>
      </c>
    </row>
    <row r="5433" spans="1:12">
      <c r="A5433">
        <v>6</v>
      </c>
      <c r="B5433" s="16" t="s">
        <v>61</v>
      </c>
      <c r="C5433" s="9">
        <v>45748</v>
      </c>
      <c r="D5433">
        <v>31</v>
      </c>
      <c r="E5433" s="16" t="s">
        <v>120</v>
      </c>
      <c r="F5433" s="16" t="s">
        <v>92</v>
      </c>
      <c r="G5433" s="22">
        <v>17.25</v>
      </c>
      <c r="H5433" s="18">
        <v>16.5825</v>
      </c>
      <c r="I5433" s="18">
        <v>0.96130434799999998</v>
      </c>
      <c r="J5433" s="18">
        <v>0.99</v>
      </c>
      <c r="K5433" s="18">
        <v>0.94</v>
      </c>
      <c r="L5433" s="22">
        <v>13</v>
      </c>
    </row>
    <row r="5434" spans="1:12">
      <c r="A5434">
        <v>6</v>
      </c>
      <c r="B5434" s="16" t="s">
        <v>61</v>
      </c>
      <c r="C5434" s="9">
        <v>45778</v>
      </c>
      <c r="D5434">
        <v>31</v>
      </c>
      <c r="E5434" s="16" t="s">
        <v>120</v>
      </c>
      <c r="F5434" s="16" t="s">
        <v>92</v>
      </c>
      <c r="G5434" s="22">
        <v>14.25</v>
      </c>
      <c r="H5434" s="18">
        <v>13.102499999999999</v>
      </c>
      <c r="I5434" s="18">
        <v>0.91947368399999996</v>
      </c>
      <c r="J5434" s="18">
        <v>0.97</v>
      </c>
      <c r="K5434" s="18">
        <v>0.9</v>
      </c>
      <c r="L5434" s="22">
        <v>13</v>
      </c>
    </row>
    <row r="5435" spans="1:12">
      <c r="A5435">
        <v>6</v>
      </c>
      <c r="B5435" s="16" t="s">
        <v>61</v>
      </c>
      <c r="C5435" s="9">
        <v>45809</v>
      </c>
      <c r="D5435">
        <v>31</v>
      </c>
      <c r="E5435" s="16" t="s">
        <v>120</v>
      </c>
      <c r="F5435" s="16" t="s">
        <v>92</v>
      </c>
      <c r="G5435" s="22">
        <v>13.5</v>
      </c>
      <c r="H5435" s="18">
        <v>12.022500000000001</v>
      </c>
      <c r="I5435" s="18">
        <v>0.89055555600000003</v>
      </c>
      <c r="J5435" s="18">
        <v>0.91</v>
      </c>
      <c r="K5435" s="18">
        <v>0.87</v>
      </c>
      <c r="L5435" s="22">
        <v>13</v>
      </c>
    </row>
    <row r="5436" spans="1:12">
      <c r="A5436">
        <v>6</v>
      </c>
      <c r="B5436" s="16" t="s">
        <v>61</v>
      </c>
      <c r="C5436" s="9">
        <v>45839</v>
      </c>
      <c r="D5436">
        <v>31</v>
      </c>
      <c r="E5436" s="16" t="s">
        <v>120</v>
      </c>
      <c r="F5436" s="16" t="s">
        <v>92</v>
      </c>
      <c r="G5436" s="22">
        <v>15</v>
      </c>
      <c r="H5436" s="18">
        <v>13.3575</v>
      </c>
      <c r="I5436" s="18">
        <v>0.89049999999999996</v>
      </c>
      <c r="J5436" s="18">
        <v>0.91</v>
      </c>
      <c r="K5436" s="18">
        <v>0.87</v>
      </c>
      <c r="L5436" s="22">
        <v>13</v>
      </c>
    </row>
    <row r="5437" spans="1:12">
      <c r="A5437">
        <v>6</v>
      </c>
      <c r="B5437" s="16" t="s">
        <v>61</v>
      </c>
      <c r="C5437" s="9">
        <v>45870</v>
      </c>
      <c r="D5437">
        <v>31</v>
      </c>
      <c r="E5437" s="16" t="s">
        <v>120</v>
      </c>
      <c r="F5437" s="16" t="s">
        <v>92</v>
      </c>
      <c r="G5437" s="22">
        <v>12</v>
      </c>
      <c r="H5437" s="18">
        <v>10.8825</v>
      </c>
      <c r="I5437" s="18">
        <v>0.90687499999999999</v>
      </c>
      <c r="J5437" s="18">
        <v>0.93</v>
      </c>
      <c r="K5437" s="18">
        <v>0.86</v>
      </c>
      <c r="L5437" s="22">
        <v>12</v>
      </c>
    </row>
    <row r="5438" spans="1:12">
      <c r="A5438">
        <v>6</v>
      </c>
      <c r="B5438" s="16" t="s">
        <v>61</v>
      </c>
      <c r="C5438" s="9">
        <v>45901</v>
      </c>
      <c r="D5438">
        <v>31</v>
      </c>
      <c r="E5438" s="16" t="s">
        <v>120</v>
      </c>
      <c r="F5438" s="16" t="s">
        <v>92</v>
      </c>
      <c r="G5438" s="22">
        <v>13.5</v>
      </c>
      <c r="H5438" s="18">
        <v>12.7425</v>
      </c>
      <c r="I5438" s="18">
        <v>0.94388888900000001</v>
      </c>
      <c r="J5438" s="18">
        <v>1</v>
      </c>
      <c r="K5438" s="18">
        <v>0.92</v>
      </c>
      <c r="L5438" s="22">
        <v>12</v>
      </c>
    </row>
    <row r="5439" spans="1:12">
      <c r="A5439">
        <v>6</v>
      </c>
      <c r="B5439" s="16" t="s">
        <v>61</v>
      </c>
      <c r="C5439" s="9">
        <v>45931</v>
      </c>
      <c r="D5439">
        <v>31</v>
      </c>
      <c r="E5439" s="16" t="s">
        <v>120</v>
      </c>
      <c r="F5439" s="16" t="s">
        <v>92</v>
      </c>
      <c r="G5439" s="22">
        <v>16.5</v>
      </c>
      <c r="H5439" s="18">
        <v>16.192499999999999</v>
      </c>
      <c r="I5439" s="18">
        <v>0.98136363599999998</v>
      </c>
      <c r="J5439" s="18">
        <v>1</v>
      </c>
      <c r="K5439" s="18">
        <v>0.96</v>
      </c>
      <c r="L5439" s="22">
        <v>13</v>
      </c>
    </row>
    <row r="5440" spans="1:12">
      <c r="A5440">
        <v>6</v>
      </c>
      <c r="B5440" s="16" t="s">
        <v>61</v>
      </c>
      <c r="C5440" s="9">
        <v>45962</v>
      </c>
      <c r="D5440">
        <v>31</v>
      </c>
      <c r="E5440" s="16" t="s">
        <v>120</v>
      </c>
      <c r="F5440" s="16" t="s">
        <v>92</v>
      </c>
      <c r="G5440" s="22">
        <v>11.25</v>
      </c>
      <c r="H5440" s="18">
        <v>11.475</v>
      </c>
      <c r="I5440" s="18">
        <v>1.02</v>
      </c>
      <c r="J5440" s="18">
        <v>1.04</v>
      </c>
      <c r="K5440" s="18">
        <v>1</v>
      </c>
      <c r="L5440" s="22">
        <v>12</v>
      </c>
    </row>
    <row r="5441" spans="1:12">
      <c r="A5441">
        <v>6</v>
      </c>
      <c r="B5441" s="16" t="s">
        <v>61</v>
      </c>
      <c r="C5441" s="9">
        <v>45992</v>
      </c>
      <c r="D5441">
        <v>31</v>
      </c>
      <c r="E5441" s="16" t="s">
        <v>120</v>
      </c>
      <c r="F5441" s="16" t="s">
        <v>92</v>
      </c>
      <c r="G5441" s="22">
        <v>11.25</v>
      </c>
      <c r="H5441" s="18">
        <v>11.9475</v>
      </c>
      <c r="I5441" s="18">
        <v>1.0620000000000001</v>
      </c>
      <c r="J5441" s="18">
        <v>1.08</v>
      </c>
      <c r="K5441" s="18">
        <v>1.04</v>
      </c>
      <c r="L5441" s="22">
        <v>10</v>
      </c>
    </row>
    <row r="5442" spans="1:12">
      <c r="A5442">
        <v>6</v>
      </c>
      <c r="B5442" s="16" t="s">
        <v>61</v>
      </c>
      <c r="C5442" s="9">
        <v>46023</v>
      </c>
      <c r="D5442">
        <v>31</v>
      </c>
      <c r="E5442" s="16" t="s">
        <v>120</v>
      </c>
      <c r="F5442" s="16" t="s">
        <v>92</v>
      </c>
      <c r="G5442" s="22">
        <v>13.5</v>
      </c>
      <c r="H5442" s="18">
        <v>14.445</v>
      </c>
      <c r="I5442" s="18">
        <v>1.07</v>
      </c>
      <c r="J5442" s="18">
        <v>1.0900000000000001</v>
      </c>
      <c r="K5442" s="18">
        <v>1.05</v>
      </c>
      <c r="L5442" s="22">
        <v>13</v>
      </c>
    </row>
    <row r="5443" spans="1:12">
      <c r="A5443">
        <v>6</v>
      </c>
      <c r="B5443" s="16" t="s">
        <v>61</v>
      </c>
      <c r="C5443" s="9">
        <v>46054</v>
      </c>
      <c r="D5443">
        <v>31</v>
      </c>
      <c r="E5443" s="16" t="s">
        <v>120</v>
      </c>
      <c r="F5443" s="16" t="s">
        <v>92</v>
      </c>
      <c r="G5443" s="22">
        <v>12</v>
      </c>
      <c r="H5443" s="18">
        <v>12.772500000000001</v>
      </c>
      <c r="I5443" s="18">
        <v>1.0643750000000001</v>
      </c>
      <c r="J5443" s="18">
        <v>1.08</v>
      </c>
      <c r="K5443" s="18">
        <v>1.05</v>
      </c>
      <c r="L5443" s="22">
        <v>11</v>
      </c>
    </row>
    <row r="5444" spans="1:12">
      <c r="A5444">
        <v>6</v>
      </c>
      <c r="B5444" s="16" t="s">
        <v>61</v>
      </c>
      <c r="C5444" s="9">
        <v>46082</v>
      </c>
      <c r="D5444">
        <v>31</v>
      </c>
      <c r="E5444" s="16" t="s">
        <v>120</v>
      </c>
      <c r="F5444" s="16" t="s">
        <v>92</v>
      </c>
      <c r="G5444" s="22">
        <v>18</v>
      </c>
      <c r="H5444" s="18">
        <v>18.495000000000001</v>
      </c>
      <c r="I5444" s="18">
        <v>1.0275000000000001</v>
      </c>
      <c r="J5444" s="18">
        <v>1.05</v>
      </c>
      <c r="K5444" s="18">
        <v>1</v>
      </c>
      <c r="L5444" s="22">
        <v>13</v>
      </c>
    </row>
    <row r="5445" spans="1:12">
      <c r="A5445">
        <v>6</v>
      </c>
      <c r="B5445" s="16" t="s">
        <v>61</v>
      </c>
      <c r="C5445" s="9">
        <v>46113</v>
      </c>
      <c r="D5445">
        <v>31</v>
      </c>
      <c r="E5445" s="16" t="s">
        <v>120</v>
      </c>
      <c r="F5445" s="16" t="s">
        <v>92</v>
      </c>
      <c r="G5445" s="22">
        <v>18</v>
      </c>
      <c r="H5445" s="18">
        <v>17.842500000000001</v>
      </c>
      <c r="I5445" s="18">
        <v>0.99124999999999996</v>
      </c>
      <c r="J5445" s="18">
        <v>1.02</v>
      </c>
      <c r="K5445" s="18">
        <v>0.97</v>
      </c>
      <c r="L5445" s="22">
        <v>13</v>
      </c>
    </row>
    <row r="5446" spans="1:12">
      <c r="A5446">
        <v>6</v>
      </c>
      <c r="B5446" s="16" t="s">
        <v>61</v>
      </c>
      <c r="C5446" s="9">
        <v>46143</v>
      </c>
      <c r="D5446">
        <v>31</v>
      </c>
      <c r="E5446" s="16" t="s">
        <v>120</v>
      </c>
      <c r="F5446" s="16" t="s">
        <v>92</v>
      </c>
      <c r="G5446" s="22">
        <v>17.25</v>
      </c>
      <c r="H5446" s="18">
        <v>16.215</v>
      </c>
      <c r="I5446" s="18">
        <v>0.94</v>
      </c>
      <c r="J5446" s="18">
        <v>0.97</v>
      </c>
      <c r="K5446" s="18">
        <v>0.93</v>
      </c>
      <c r="L5446" s="22">
        <v>13</v>
      </c>
    </row>
    <row r="5447" spans="1:12">
      <c r="A5447">
        <v>6</v>
      </c>
      <c r="B5447" s="16" t="s">
        <v>61</v>
      </c>
      <c r="C5447" s="9">
        <v>46174</v>
      </c>
      <c r="D5447">
        <v>31</v>
      </c>
      <c r="E5447" s="16" t="s">
        <v>120</v>
      </c>
      <c r="F5447" s="16" t="s">
        <v>92</v>
      </c>
      <c r="G5447" s="22">
        <v>16.5</v>
      </c>
      <c r="H5447" s="18">
        <v>15.15</v>
      </c>
      <c r="I5447" s="18">
        <v>0.91818181799999998</v>
      </c>
      <c r="J5447" s="18">
        <v>0.93</v>
      </c>
      <c r="K5447" s="18">
        <v>0.91</v>
      </c>
      <c r="L5447" s="22">
        <v>13</v>
      </c>
    </row>
    <row r="5448" spans="1:12">
      <c r="A5448">
        <v>6</v>
      </c>
      <c r="B5448" s="16" t="s">
        <v>61</v>
      </c>
      <c r="C5448" s="9">
        <v>46204</v>
      </c>
      <c r="D5448">
        <v>31</v>
      </c>
      <c r="E5448" s="16" t="s">
        <v>120</v>
      </c>
      <c r="F5448" s="16" t="s">
        <v>92</v>
      </c>
      <c r="G5448" s="22">
        <v>17.25</v>
      </c>
      <c r="H5448" s="18">
        <v>15.734999999999999</v>
      </c>
      <c r="I5448" s="18">
        <v>0.91217391299999995</v>
      </c>
      <c r="J5448" s="18">
        <v>0.98</v>
      </c>
      <c r="K5448" s="18">
        <v>0.89</v>
      </c>
      <c r="L5448" s="22">
        <v>14</v>
      </c>
    </row>
    <row r="5449" spans="1:12">
      <c r="A5449">
        <v>6</v>
      </c>
      <c r="B5449" s="16" t="s">
        <v>61</v>
      </c>
      <c r="C5449" s="9">
        <v>46235</v>
      </c>
      <c r="D5449">
        <v>31</v>
      </c>
      <c r="E5449" s="16" t="s">
        <v>120</v>
      </c>
      <c r="F5449" s="16" t="s">
        <v>92</v>
      </c>
      <c r="G5449" s="22">
        <v>14.25</v>
      </c>
      <c r="H5449" s="18">
        <v>13.215</v>
      </c>
      <c r="I5449" s="18">
        <v>0.92736842100000005</v>
      </c>
      <c r="J5449" s="18">
        <v>0.95</v>
      </c>
      <c r="K5449" s="18">
        <v>0.91</v>
      </c>
      <c r="L5449" s="22">
        <v>13</v>
      </c>
    </row>
    <row r="5450" spans="1:12">
      <c r="A5450">
        <v>6</v>
      </c>
      <c r="B5450" s="16" t="s">
        <v>61</v>
      </c>
      <c r="C5450" s="9">
        <v>46266</v>
      </c>
      <c r="D5450">
        <v>31</v>
      </c>
      <c r="E5450" s="16" t="s">
        <v>120</v>
      </c>
      <c r="F5450" s="16" t="s">
        <v>92</v>
      </c>
      <c r="G5450" s="22">
        <v>15.75</v>
      </c>
      <c r="H5450" s="18">
        <v>15.067500000000001</v>
      </c>
      <c r="I5450" s="18">
        <v>0.95666666700000003</v>
      </c>
      <c r="J5450" s="18">
        <v>0.98</v>
      </c>
      <c r="K5450" s="18">
        <v>0.94</v>
      </c>
      <c r="L5450" s="22">
        <v>13</v>
      </c>
    </row>
    <row r="5451" spans="1:12">
      <c r="A5451">
        <v>6</v>
      </c>
      <c r="B5451" s="16" t="s">
        <v>61</v>
      </c>
      <c r="C5451" s="9">
        <v>45689</v>
      </c>
      <c r="D5451">
        <v>32</v>
      </c>
      <c r="E5451" s="16" t="s">
        <v>121</v>
      </c>
      <c r="F5451" s="16" t="s">
        <v>92</v>
      </c>
      <c r="G5451" s="22">
        <v>33</v>
      </c>
      <c r="H5451" s="18">
        <v>17.47</v>
      </c>
      <c r="I5451" s="18">
        <v>0.52939393899999998</v>
      </c>
      <c r="J5451" s="18">
        <v>0.54</v>
      </c>
      <c r="K5451" s="18">
        <v>0.52</v>
      </c>
      <c r="L5451" s="22">
        <v>12</v>
      </c>
    </row>
    <row r="5452" spans="1:12">
      <c r="A5452">
        <v>6</v>
      </c>
      <c r="B5452" s="16" t="s">
        <v>61</v>
      </c>
      <c r="C5452" s="9">
        <v>45717</v>
      </c>
      <c r="D5452">
        <v>32</v>
      </c>
      <c r="E5452" s="16" t="s">
        <v>121</v>
      </c>
      <c r="F5452" s="16" t="s">
        <v>92</v>
      </c>
      <c r="G5452" s="22">
        <v>33</v>
      </c>
      <c r="H5452" s="18">
        <v>16.98</v>
      </c>
      <c r="I5452" s="18">
        <v>0.51454545500000004</v>
      </c>
      <c r="J5452" s="18">
        <v>0.52</v>
      </c>
      <c r="K5452" s="18">
        <v>0.51</v>
      </c>
      <c r="L5452" s="22">
        <v>13</v>
      </c>
    </row>
    <row r="5453" spans="1:12">
      <c r="A5453">
        <v>6</v>
      </c>
      <c r="B5453" s="16" t="s">
        <v>61</v>
      </c>
      <c r="C5453" s="9">
        <v>45748</v>
      </c>
      <c r="D5453">
        <v>32</v>
      </c>
      <c r="E5453" s="16" t="s">
        <v>121</v>
      </c>
      <c r="F5453" s="16" t="s">
        <v>92</v>
      </c>
      <c r="G5453" s="22">
        <v>39.5</v>
      </c>
      <c r="H5453" s="18">
        <v>19.7</v>
      </c>
      <c r="I5453" s="18">
        <v>0.498734177</v>
      </c>
      <c r="J5453" s="18">
        <v>0.51</v>
      </c>
      <c r="K5453" s="18">
        <v>0.49</v>
      </c>
      <c r="L5453" s="22">
        <v>13</v>
      </c>
    </row>
    <row r="5454" spans="1:12">
      <c r="A5454">
        <v>6</v>
      </c>
      <c r="B5454" s="16" t="s">
        <v>61</v>
      </c>
      <c r="C5454" s="9">
        <v>45778</v>
      </c>
      <c r="D5454">
        <v>32</v>
      </c>
      <c r="E5454" s="16" t="s">
        <v>121</v>
      </c>
      <c r="F5454" s="16" t="s">
        <v>92</v>
      </c>
      <c r="G5454" s="22">
        <v>34.5</v>
      </c>
      <c r="H5454" s="18">
        <v>16.405000000000001</v>
      </c>
      <c r="I5454" s="18">
        <v>0.47550724599999999</v>
      </c>
      <c r="J5454" s="18">
        <v>0.48</v>
      </c>
      <c r="K5454" s="18">
        <v>0.47</v>
      </c>
      <c r="L5454" s="22">
        <v>13</v>
      </c>
    </row>
    <row r="5455" spans="1:12">
      <c r="A5455">
        <v>6</v>
      </c>
      <c r="B5455" s="16" t="s">
        <v>61</v>
      </c>
      <c r="C5455" s="9">
        <v>45809</v>
      </c>
      <c r="D5455">
        <v>32</v>
      </c>
      <c r="E5455" s="16" t="s">
        <v>121</v>
      </c>
      <c r="F5455" s="16" t="s">
        <v>92</v>
      </c>
      <c r="G5455" s="22">
        <v>34.5</v>
      </c>
      <c r="H5455" s="18">
        <v>15.89</v>
      </c>
      <c r="I5455" s="18">
        <v>0.46057970999999998</v>
      </c>
      <c r="J5455" s="18">
        <v>0.47</v>
      </c>
      <c r="K5455" s="18">
        <v>0.45</v>
      </c>
      <c r="L5455" s="22">
        <v>13</v>
      </c>
    </row>
    <row r="5456" spans="1:12">
      <c r="A5456">
        <v>6</v>
      </c>
      <c r="B5456" s="16" t="s">
        <v>61</v>
      </c>
      <c r="C5456" s="9">
        <v>45839</v>
      </c>
      <c r="D5456">
        <v>32</v>
      </c>
      <c r="E5456" s="16" t="s">
        <v>121</v>
      </c>
      <c r="F5456" s="16" t="s">
        <v>92</v>
      </c>
      <c r="G5456" s="22">
        <v>38</v>
      </c>
      <c r="H5456" s="18">
        <v>17.274999999999999</v>
      </c>
      <c r="I5456" s="18">
        <v>0.45460526299999998</v>
      </c>
      <c r="J5456" s="18">
        <v>0.46</v>
      </c>
      <c r="K5456" s="18">
        <v>0.44</v>
      </c>
      <c r="L5456" s="22">
        <v>13</v>
      </c>
    </row>
    <row r="5457" spans="1:12">
      <c r="A5457">
        <v>6</v>
      </c>
      <c r="B5457" s="16" t="s">
        <v>61</v>
      </c>
      <c r="C5457" s="9">
        <v>45870</v>
      </c>
      <c r="D5457">
        <v>32</v>
      </c>
      <c r="E5457" s="16" t="s">
        <v>121</v>
      </c>
      <c r="F5457" s="16" t="s">
        <v>92</v>
      </c>
      <c r="G5457" s="22">
        <v>30</v>
      </c>
      <c r="H5457" s="18">
        <v>13.91</v>
      </c>
      <c r="I5457" s="18">
        <v>0.46366666699999998</v>
      </c>
      <c r="J5457" s="18">
        <v>0.47</v>
      </c>
      <c r="K5457" s="18">
        <v>0.46</v>
      </c>
      <c r="L5457" s="22">
        <v>13</v>
      </c>
    </row>
    <row r="5458" spans="1:12">
      <c r="A5458">
        <v>6</v>
      </c>
      <c r="B5458" s="16" t="s">
        <v>61</v>
      </c>
      <c r="C5458" s="9">
        <v>45901</v>
      </c>
      <c r="D5458">
        <v>32</v>
      </c>
      <c r="E5458" s="16" t="s">
        <v>121</v>
      </c>
      <c r="F5458" s="16" t="s">
        <v>92</v>
      </c>
      <c r="G5458" s="22">
        <v>32</v>
      </c>
      <c r="H5458" s="18">
        <v>15.435</v>
      </c>
      <c r="I5458" s="18">
        <v>0.48234375000000002</v>
      </c>
      <c r="J5458" s="18">
        <v>0.49</v>
      </c>
      <c r="K5458" s="18">
        <v>0.47</v>
      </c>
      <c r="L5458" s="22">
        <v>13</v>
      </c>
    </row>
    <row r="5459" spans="1:12">
      <c r="A5459">
        <v>6</v>
      </c>
      <c r="B5459" s="16" t="s">
        <v>61</v>
      </c>
      <c r="C5459" s="9">
        <v>45931</v>
      </c>
      <c r="D5459">
        <v>32</v>
      </c>
      <c r="E5459" s="16" t="s">
        <v>121</v>
      </c>
      <c r="F5459" s="16" t="s">
        <v>92</v>
      </c>
      <c r="G5459" s="22">
        <v>39.5</v>
      </c>
      <c r="H5459" s="18">
        <v>19.940000000000001</v>
      </c>
      <c r="I5459" s="18">
        <v>0.50481012700000005</v>
      </c>
      <c r="J5459" s="18">
        <v>0.54</v>
      </c>
      <c r="K5459" s="18">
        <v>0.49</v>
      </c>
      <c r="L5459" s="22">
        <v>14</v>
      </c>
    </row>
    <row r="5460" spans="1:12">
      <c r="A5460">
        <v>6</v>
      </c>
      <c r="B5460" s="16" t="s">
        <v>61</v>
      </c>
      <c r="C5460" s="9">
        <v>45962</v>
      </c>
      <c r="D5460">
        <v>32</v>
      </c>
      <c r="E5460" s="16" t="s">
        <v>121</v>
      </c>
      <c r="F5460" s="16" t="s">
        <v>92</v>
      </c>
      <c r="G5460" s="22">
        <v>25</v>
      </c>
      <c r="H5460" s="18">
        <v>13.164999999999999</v>
      </c>
      <c r="I5460" s="18">
        <v>0.52659999999999996</v>
      </c>
      <c r="J5460" s="18">
        <v>0.54</v>
      </c>
      <c r="K5460" s="18">
        <v>0.52</v>
      </c>
      <c r="L5460" s="22">
        <v>12</v>
      </c>
    </row>
    <row r="5461" spans="1:12">
      <c r="A5461">
        <v>6</v>
      </c>
      <c r="B5461" s="16" t="s">
        <v>61</v>
      </c>
      <c r="C5461" s="9">
        <v>45992</v>
      </c>
      <c r="D5461">
        <v>32</v>
      </c>
      <c r="E5461" s="16" t="s">
        <v>121</v>
      </c>
      <c r="F5461" s="16" t="s">
        <v>92</v>
      </c>
      <c r="G5461" s="22">
        <v>24.5</v>
      </c>
      <c r="H5461" s="18">
        <v>13.46</v>
      </c>
      <c r="I5461" s="18">
        <v>0.54938775500000003</v>
      </c>
      <c r="J5461" s="18">
        <v>0.57999999999999996</v>
      </c>
      <c r="K5461" s="18">
        <v>0.54</v>
      </c>
      <c r="L5461" s="22">
        <v>14</v>
      </c>
    </row>
    <row r="5462" spans="1:12">
      <c r="A5462">
        <v>6</v>
      </c>
      <c r="B5462" s="16" t="s">
        <v>61</v>
      </c>
      <c r="C5462" s="9">
        <v>46023</v>
      </c>
      <c r="D5462">
        <v>32</v>
      </c>
      <c r="E5462" s="16" t="s">
        <v>121</v>
      </c>
      <c r="F5462" s="16" t="s">
        <v>92</v>
      </c>
      <c r="G5462" s="22">
        <v>28</v>
      </c>
      <c r="H5462" s="18">
        <v>15.47</v>
      </c>
      <c r="I5462" s="18">
        <v>0.55249999999999999</v>
      </c>
      <c r="J5462" s="18">
        <v>0.56999999999999995</v>
      </c>
      <c r="K5462" s="18">
        <v>0.54</v>
      </c>
      <c r="L5462" s="22">
        <v>13</v>
      </c>
    </row>
    <row r="5463" spans="1:12">
      <c r="A5463">
        <v>6</v>
      </c>
      <c r="B5463" s="16" t="s">
        <v>61</v>
      </c>
      <c r="C5463" s="9">
        <v>46054</v>
      </c>
      <c r="D5463">
        <v>32</v>
      </c>
      <c r="E5463" s="16" t="s">
        <v>121</v>
      </c>
      <c r="F5463" s="16" t="s">
        <v>92</v>
      </c>
      <c r="G5463" s="22">
        <v>24.5</v>
      </c>
      <c r="H5463" s="18">
        <v>13.425000000000001</v>
      </c>
      <c r="I5463" s="18">
        <v>0.54795918399999999</v>
      </c>
      <c r="J5463" s="18">
        <v>0.56000000000000005</v>
      </c>
      <c r="K5463" s="18">
        <v>0.53</v>
      </c>
      <c r="L5463" s="22">
        <v>12</v>
      </c>
    </row>
    <row r="5464" spans="1:12">
      <c r="A5464">
        <v>6</v>
      </c>
      <c r="B5464" s="16" t="s">
        <v>61</v>
      </c>
      <c r="C5464" s="9">
        <v>46082</v>
      </c>
      <c r="D5464">
        <v>32</v>
      </c>
      <c r="E5464" s="16" t="s">
        <v>121</v>
      </c>
      <c r="F5464" s="16" t="s">
        <v>92</v>
      </c>
      <c r="G5464" s="22">
        <v>43</v>
      </c>
      <c r="H5464" s="18">
        <v>22.74</v>
      </c>
      <c r="I5464" s="18">
        <v>0.52883720899999997</v>
      </c>
      <c r="J5464" s="18">
        <v>0.54</v>
      </c>
      <c r="K5464" s="18">
        <v>0.52</v>
      </c>
      <c r="L5464" s="22">
        <v>13</v>
      </c>
    </row>
    <row r="5465" spans="1:12">
      <c r="A5465">
        <v>6</v>
      </c>
      <c r="B5465" s="16" t="s">
        <v>61</v>
      </c>
      <c r="C5465" s="9">
        <v>46113</v>
      </c>
      <c r="D5465">
        <v>32</v>
      </c>
      <c r="E5465" s="16" t="s">
        <v>121</v>
      </c>
      <c r="F5465" s="16" t="s">
        <v>92</v>
      </c>
      <c r="G5465" s="22">
        <v>45.5</v>
      </c>
      <c r="H5465" s="18">
        <v>23.26</v>
      </c>
      <c r="I5465" s="18">
        <v>0.51120879100000005</v>
      </c>
      <c r="J5465" s="18">
        <v>0.52</v>
      </c>
      <c r="K5465" s="18">
        <v>0.5</v>
      </c>
      <c r="L5465" s="22">
        <v>13</v>
      </c>
    </row>
    <row r="5466" spans="1:12">
      <c r="A5466">
        <v>6</v>
      </c>
      <c r="B5466" s="16" t="s">
        <v>61</v>
      </c>
      <c r="C5466" s="9">
        <v>46143</v>
      </c>
      <c r="D5466">
        <v>32</v>
      </c>
      <c r="E5466" s="16" t="s">
        <v>121</v>
      </c>
      <c r="F5466" s="16" t="s">
        <v>92</v>
      </c>
      <c r="G5466" s="22">
        <v>48</v>
      </c>
      <c r="H5466" s="18">
        <v>23.17</v>
      </c>
      <c r="I5466" s="18">
        <v>0.48270833299999999</v>
      </c>
      <c r="J5466" s="18">
        <v>0.49</v>
      </c>
      <c r="K5466" s="18">
        <v>0.47</v>
      </c>
      <c r="L5466" s="22">
        <v>13</v>
      </c>
    </row>
    <row r="5467" spans="1:12">
      <c r="A5467">
        <v>6</v>
      </c>
      <c r="B5467" s="16" t="s">
        <v>61</v>
      </c>
      <c r="C5467" s="9">
        <v>46174</v>
      </c>
      <c r="D5467">
        <v>32</v>
      </c>
      <c r="E5467" s="16" t="s">
        <v>121</v>
      </c>
      <c r="F5467" s="16" t="s">
        <v>92</v>
      </c>
      <c r="G5467" s="22">
        <v>45</v>
      </c>
      <c r="H5467" s="18">
        <v>20.934999999999999</v>
      </c>
      <c r="I5467" s="18">
        <v>0.46522222200000002</v>
      </c>
      <c r="J5467" s="18">
        <v>0.48</v>
      </c>
      <c r="K5467" s="18">
        <v>0.46</v>
      </c>
      <c r="L5467" s="22">
        <v>13</v>
      </c>
    </row>
    <row r="5468" spans="1:12">
      <c r="A5468">
        <v>6</v>
      </c>
      <c r="B5468" s="16" t="s">
        <v>61</v>
      </c>
      <c r="C5468" s="9">
        <v>46204</v>
      </c>
      <c r="D5468">
        <v>32</v>
      </c>
      <c r="E5468" s="16" t="s">
        <v>121</v>
      </c>
      <c r="F5468" s="16" t="s">
        <v>92</v>
      </c>
      <c r="G5468" s="22">
        <v>47</v>
      </c>
      <c r="H5468" s="18">
        <v>21.395</v>
      </c>
      <c r="I5468" s="18">
        <v>0.45521276599999999</v>
      </c>
      <c r="J5468" s="18">
        <v>0.47</v>
      </c>
      <c r="K5468" s="18">
        <v>0.44</v>
      </c>
      <c r="L5468" s="22">
        <v>14</v>
      </c>
    </row>
    <row r="5469" spans="1:12">
      <c r="A5469">
        <v>6</v>
      </c>
      <c r="B5469" s="16" t="s">
        <v>61</v>
      </c>
      <c r="C5469" s="9">
        <v>46235</v>
      </c>
      <c r="D5469">
        <v>32</v>
      </c>
      <c r="E5469" s="16" t="s">
        <v>121</v>
      </c>
      <c r="F5469" s="16" t="s">
        <v>92</v>
      </c>
      <c r="G5469" s="22">
        <v>37.5</v>
      </c>
      <c r="H5469" s="18">
        <v>17.045000000000002</v>
      </c>
      <c r="I5469" s="18">
        <v>0.45453333299999998</v>
      </c>
      <c r="J5469" s="18">
        <v>0.46</v>
      </c>
      <c r="K5469" s="18">
        <v>0.45</v>
      </c>
      <c r="L5469" s="22">
        <v>13</v>
      </c>
    </row>
    <row r="5470" spans="1:12">
      <c r="A5470">
        <v>6</v>
      </c>
      <c r="B5470" s="16" t="s">
        <v>61</v>
      </c>
      <c r="C5470" s="9">
        <v>46266</v>
      </c>
      <c r="D5470">
        <v>32</v>
      </c>
      <c r="E5470" s="16" t="s">
        <v>121</v>
      </c>
      <c r="F5470" s="16" t="s">
        <v>92</v>
      </c>
      <c r="G5470" s="22">
        <v>41.5</v>
      </c>
      <c r="H5470" s="18">
        <v>19.809999999999999</v>
      </c>
      <c r="I5470" s="18">
        <v>0.47734939799999998</v>
      </c>
      <c r="J5470" s="18">
        <v>0.51</v>
      </c>
      <c r="K5470" s="18">
        <v>0.47</v>
      </c>
      <c r="L5470" s="22">
        <v>13</v>
      </c>
    </row>
    <row r="5471" spans="1:12">
      <c r="A5471">
        <v>6</v>
      </c>
      <c r="B5471" s="16" t="s">
        <v>61</v>
      </c>
      <c r="C5471" s="9">
        <v>45689</v>
      </c>
      <c r="D5471">
        <v>33</v>
      </c>
      <c r="E5471" s="16" t="s">
        <v>122</v>
      </c>
      <c r="F5471" s="16" t="s">
        <v>92</v>
      </c>
      <c r="G5471" s="22">
        <v>142</v>
      </c>
      <c r="H5471" s="18">
        <v>107.94</v>
      </c>
      <c r="I5471" s="18">
        <v>0.76014084500000001</v>
      </c>
      <c r="J5471" s="18">
        <v>0.77</v>
      </c>
      <c r="K5471" s="18">
        <v>0.74</v>
      </c>
      <c r="L5471" s="22">
        <v>12</v>
      </c>
    </row>
    <row r="5472" spans="1:12">
      <c r="A5472">
        <v>6</v>
      </c>
      <c r="B5472" s="16" t="s">
        <v>61</v>
      </c>
      <c r="C5472" s="9">
        <v>45717</v>
      </c>
      <c r="D5472">
        <v>33</v>
      </c>
      <c r="E5472" s="16" t="s">
        <v>122</v>
      </c>
      <c r="F5472" s="16" t="s">
        <v>92</v>
      </c>
      <c r="G5472" s="22">
        <v>136</v>
      </c>
      <c r="H5472" s="18">
        <v>101.04</v>
      </c>
      <c r="I5472" s="18">
        <v>0.74294117599999998</v>
      </c>
      <c r="J5472" s="18">
        <v>0.75</v>
      </c>
      <c r="K5472" s="18">
        <v>0.73</v>
      </c>
      <c r="L5472" s="22">
        <v>13</v>
      </c>
    </row>
    <row r="5473" spans="1:12">
      <c r="A5473">
        <v>6</v>
      </c>
      <c r="B5473" s="16" t="s">
        <v>61</v>
      </c>
      <c r="C5473" s="9">
        <v>45748</v>
      </c>
      <c r="D5473">
        <v>33</v>
      </c>
      <c r="E5473" s="16" t="s">
        <v>122</v>
      </c>
      <c r="F5473" s="16" t="s">
        <v>92</v>
      </c>
      <c r="G5473" s="22">
        <v>182</v>
      </c>
      <c r="H5473" s="18">
        <v>130.36000000000001</v>
      </c>
      <c r="I5473" s="18">
        <v>0.71626373600000004</v>
      </c>
      <c r="J5473" s="18">
        <v>0.73</v>
      </c>
      <c r="K5473" s="18">
        <v>0.71</v>
      </c>
      <c r="L5473" s="22">
        <v>13</v>
      </c>
    </row>
    <row r="5474" spans="1:12">
      <c r="A5474">
        <v>6</v>
      </c>
      <c r="B5474" s="16" t="s">
        <v>61</v>
      </c>
      <c r="C5474" s="9">
        <v>45778</v>
      </c>
      <c r="D5474">
        <v>33</v>
      </c>
      <c r="E5474" s="16" t="s">
        <v>122</v>
      </c>
      <c r="F5474" s="16" t="s">
        <v>92</v>
      </c>
      <c r="G5474" s="22">
        <v>174</v>
      </c>
      <c r="H5474" s="18">
        <v>120.16</v>
      </c>
      <c r="I5474" s="18">
        <v>0.69057471299999995</v>
      </c>
      <c r="J5474" s="18">
        <v>0.7</v>
      </c>
      <c r="K5474" s="18">
        <v>0.68</v>
      </c>
      <c r="L5474" s="22">
        <v>13</v>
      </c>
    </row>
    <row r="5475" spans="1:12">
      <c r="A5475">
        <v>6</v>
      </c>
      <c r="B5475" s="16" t="s">
        <v>61</v>
      </c>
      <c r="C5475" s="9">
        <v>45809</v>
      </c>
      <c r="D5475">
        <v>33</v>
      </c>
      <c r="E5475" s="16" t="s">
        <v>122</v>
      </c>
      <c r="F5475" s="16" t="s">
        <v>92</v>
      </c>
      <c r="G5475" s="22">
        <v>160</v>
      </c>
      <c r="H5475" s="18">
        <v>106.1</v>
      </c>
      <c r="I5475" s="18">
        <v>0.66312499999999996</v>
      </c>
      <c r="J5475" s="18">
        <v>0.68</v>
      </c>
      <c r="K5475" s="18">
        <v>0.65</v>
      </c>
      <c r="L5475" s="22">
        <v>13</v>
      </c>
    </row>
    <row r="5476" spans="1:12">
      <c r="A5476">
        <v>6</v>
      </c>
      <c r="B5476" s="16" t="s">
        <v>61</v>
      </c>
      <c r="C5476" s="9">
        <v>45839</v>
      </c>
      <c r="D5476">
        <v>33</v>
      </c>
      <c r="E5476" s="16" t="s">
        <v>122</v>
      </c>
      <c r="F5476" s="16" t="s">
        <v>92</v>
      </c>
      <c r="G5476" s="22">
        <v>168</v>
      </c>
      <c r="H5476" s="18">
        <v>111.08</v>
      </c>
      <c r="I5476" s="18">
        <v>0.66119047600000003</v>
      </c>
      <c r="J5476" s="18">
        <v>0.68</v>
      </c>
      <c r="K5476" s="18">
        <v>0.64</v>
      </c>
      <c r="L5476" s="22">
        <v>13</v>
      </c>
    </row>
    <row r="5477" spans="1:12">
      <c r="A5477">
        <v>6</v>
      </c>
      <c r="B5477" s="16" t="s">
        <v>61</v>
      </c>
      <c r="C5477" s="9">
        <v>45870</v>
      </c>
      <c r="D5477">
        <v>33</v>
      </c>
      <c r="E5477" s="16" t="s">
        <v>122</v>
      </c>
      <c r="F5477" s="16" t="s">
        <v>92</v>
      </c>
      <c r="G5477" s="22">
        <v>138</v>
      </c>
      <c r="H5477" s="18">
        <v>90.32</v>
      </c>
      <c r="I5477" s="18">
        <v>0.65449275399999995</v>
      </c>
      <c r="J5477" s="18">
        <v>0.67</v>
      </c>
      <c r="K5477" s="18">
        <v>0.65</v>
      </c>
      <c r="L5477" s="22">
        <v>13</v>
      </c>
    </row>
    <row r="5478" spans="1:12">
      <c r="A5478">
        <v>6</v>
      </c>
      <c r="B5478" s="16" t="s">
        <v>61</v>
      </c>
      <c r="C5478" s="9">
        <v>45901</v>
      </c>
      <c r="D5478">
        <v>33</v>
      </c>
      <c r="E5478" s="16" t="s">
        <v>122</v>
      </c>
      <c r="F5478" s="16" t="s">
        <v>92</v>
      </c>
      <c r="G5478" s="22">
        <v>146</v>
      </c>
      <c r="H5478" s="18">
        <v>99.92</v>
      </c>
      <c r="I5478" s="18">
        <v>0.68438356199999995</v>
      </c>
      <c r="J5478" s="18">
        <v>0.7</v>
      </c>
      <c r="K5478" s="18">
        <v>0.67</v>
      </c>
      <c r="L5478" s="22">
        <v>13</v>
      </c>
    </row>
    <row r="5479" spans="1:12">
      <c r="A5479">
        <v>6</v>
      </c>
      <c r="B5479" s="16" t="s">
        <v>61</v>
      </c>
      <c r="C5479" s="9">
        <v>45931</v>
      </c>
      <c r="D5479">
        <v>33</v>
      </c>
      <c r="E5479" s="16" t="s">
        <v>122</v>
      </c>
      <c r="F5479" s="16" t="s">
        <v>92</v>
      </c>
      <c r="G5479" s="22">
        <v>194</v>
      </c>
      <c r="H5479" s="18">
        <v>138.9</v>
      </c>
      <c r="I5479" s="18">
        <v>0.71597938100000003</v>
      </c>
      <c r="J5479" s="18">
        <v>0.73</v>
      </c>
      <c r="K5479" s="18">
        <v>0.7</v>
      </c>
      <c r="L5479" s="22">
        <v>14</v>
      </c>
    </row>
    <row r="5480" spans="1:12">
      <c r="A5480">
        <v>6</v>
      </c>
      <c r="B5480" s="16" t="s">
        <v>61</v>
      </c>
      <c r="C5480" s="9">
        <v>45962</v>
      </c>
      <c r="D5480">
        <v>33</v>
      </c>
      <c r="E5480" s="16" t="s">
        <v>122</v>
      </c>
      <c r="F5480" s="16" t="s">
        <v>92</v>
      </c>
      <c r="G5480" s="22">
        <v>120</v>
      </c>
      <c r="H5480" s="18">
        <v>89.06</v>
      </c>
      <c r="I5480" s="18">
        <v>0.742166667</v>
      </c>
      <c r="J5480" s="18">
        <v>0.76</v>
      </c>
      <c r="K5480" s="18">
        <v>0.73</v>
      </c>
      <c r="L5480" s="22">
        <v>12</v>
      </c>
    </row>
    <row r="5481" spans="1:12">
      <c r="A5481">
        <v>6</v>
      </c>
      <c r="B5481" s="16" t="s">
        <v>61</v>
      </c>
      <c r="C5481" s="9">
        <v>45992</v>
      </c>
      <c r="D5481">
        <v>33</v>
      </c>
      <c r="E5481" s="16" t="s">
        <v>122</v>
      </c>
      <c r="F5481" s="16" t="s">
        <v>92</v>
      </c>
      <c r="G5481" s="22">
        <v>118</v>
      </c>
      <c r="H5481" s="18">
        <v>90.56</v>
      </c>
      <c r="I5481" s="18">
        <v>0.76745762699999998</v>
      </c>
      <c r="J5481" s="18">
        <v>0.81</v>
      </c>
      <c r="K5481" s="18">
        <v>0.75</v>
      </c>
      <c r="L5481" s="22">
        <v>14</v>
      </c>
    </row>
    <row r="5482" spans="1:12">
      <c r="A5482">
        <v>6</v>
      </c>
      <c r="B5482" s="16" t="s">
        <v>61</v>
      </c>
      <c r="C5482" s="9">
        <v>46023</v>
      </c>
      <c r="D5482">
        <v>33</v>
      </c>
      <c r="E5482" s="16" t="s">
        <v>122</v>
      </c>
      <c r="F5482" s="16" t="s">
        <v>92</v>
      </c>
      <c r="G5482" s="22">
        <v>144</v>
      </c>
      <c r="H5482" s="18">
        <v>111</v>
      </c>
      <c r="I5482" s="18">
        <v>0.77083333300000001</v>
      </c>
      <c r="J5482" s="18">
        <v>0.78</v>
      </c>
      <c r="K5482" s="18">
        <v>0.75</v>
      </c>
      <c r="L5482" s="22">
        <v>13</v>
      </c>
    </row>
    <row r="5483" spans="1:12">
      <c r="A5483">
        <v>6</v>
      </c>
      <c r="B5483" s="16" t="s">
        <v>61</v>
      </c>
      <c r="C5483" s="9">
        <v>46054</v>
      </c>
      <c r="D5483">
        <v>33</v>
      </c>
      <c r="E5483" s="16" t="s">
        <v>122</v>
      </c>
      <c r="F5483" s="16" t="s">
        <v>92</v>
      </c>
      <c r="G5483" s="22">
        <v>110</v>
      </c>
      <c r="H5483" s="18">
        <v>84.7</v>
      </c>
      <c r="I5483" s="18">
        <v>0.77</v>
      </c>
      <c r="J5483" s="18">
        <v>0.78</v>
      </c>
      <c r="K5483" s="18">
        <v>0.75</v>
      </c>
      <c r="L5483" s="22">
        <v>12</v>
      </c>
    </row>
    <row r="5484" spans="1:12">
      <c r="A5484">
        <v>6</v>
      </c>
      <c r="B5484" s="16" t="s">
        <v>61</v>
      </c>
      <c r="C5484" s="9">
        <v>46082</v>
      </c>
      <c r="D5484">
        <v>33</v>
      </c>
      <c r="E5484" s="16" t="s">
        <v>122</v>
      </c>
      <c r="F5484" s="16" t="s">
        <v>92</v>
      </c>
      <c r="G5484" s="22">
        <v>166</v>
      </c>
      <c r="H5484" s="18">
        <v>124.86</v>
      </c>
      <c r="I5484" s="18">
        <v>0.75216867499999995</v>
      </c>
      <c r="J5484" s="18">
        <v>0.77</v>
      </c>
      <c r="K5484" s="18">
        <v>0.73</v>
      </c>
      <c r="L5484" s="22">
        <v>13</v>
      </c>
    </row>
    <row r="5485" spans="1:12">
      <c r="A5485">
        <v>6</v>
      </c>
      <c r="B5485" s="16" t="s">
        <v>61</v>
      </c>
      <c r="C5485" s="9">
        <v>46113</v>
      </c>
      <c r="D5485">
        <v>33</v>
      </c>
      <c r="E5485" s="16" t="s">
        <v>122</v>
      </c>
      <c r="F5485" s="16" t="s">
        <v>92</v>
      </c>
      <c r="G5485" s="22">
        <v>162</v>
      </c>
      <c r="H5485" s="18">
        <v>117.5</v>
      </c>
      <c r="I5485" s="18">
        <v>0.725308642</v>
      </c>
      <c r="J5485" s="18">
        <v>0.74</v>
      </c>
      <c r="K5485" s="18">
        <v>0.71</v>
      </c>
      <c r="L5485" s="22">
        <v>13</v>
      </c>
    </row>
    <row r="5486" spans="1:12">
      <c r="A5486">
        <v>6</v>
      </c>
      <c r="B5486" s="16" t="s">
        <v>61</v>
      </c>
      <c r="C5486" s="9">
        <v>46143</v>
      </c>
      <c r="D5486">
        <v>33</v>
      </c>
      <c r="E5486" s="16" t="s">
        <v>122</v>
      </c>
      <c r="F5486" s="16" t="s">
        <v>92</v>
      </c>
      <c r="G5486" s="22">
        <v>178</v>
      </c>
      <c r="H5486" s="18">
        <v>124.64</v>
      </c>
      <c r="I5486" s="18">
        <v>0.70022471900000005</v>
      </c>
      <c r="J5486" s="18">
        <v>0.75</v>
      </c>
      <c r="K5486" s="18">
        <v>0.69</v>
      </c>
      <c r="L5486" s="22">
        <v>13</v>
      </c>
    </row>
    <row r="5487" spans="1:12">
      <c r="A5487">
        <v>6</v>
      </c>
      <c r="B5487" s="16" t="s">
        <v>61</v>
      </c>
      <c r="C5487" s="9">
        <v>46174</v>
      </c>
      <c r="D5487">
        <v>33</v>
      </c>
      <c r="E5487" s="16" t="s">
        <v>122</v>
      </c>
      <c r="F5487" s="16" t="s">
        <v>92</v>
      </c>
      <c r="G5487" s="22">
        <v>168</v>
      </c>
      <c r="H5487" s="18">
        <v>114.78</v>
      </c>
      <c r="I5487" s="18">
        <v>0.683214286</v>
      </c>
      <c r="J5487" s="18">
        <v>0.73</v>
      </c>
      <c r="K5487" s="18">
        <v>0.67</v>
      </c>
      <c r="L5487" s="22">
        <v>13</v>
      </c>
    </row>
    <row r="5488" spans="1:12">
      <c r="A5488">
        <v>6</v>
      </c>
      <c r="B5488" s="16" t="s">
        <v>61</v>
      </c>
      <c r="C5488" s="9">
        <v>46204</v>
      </c>
      <c r="D5488">
        <v>33</v>
      </c>
      <c r="E5488" s="16" t="s">
        <v>122</v>
      </c>
      <c r="F5488" s="16" t="s">
        <v>92</v>
      </c>
      <c r="G5488" s="22">
        <v>176</v>
      </c>
      <c r="H5488" s="18">
        <v>116.92</v>
      </c>
      <c r="I5488" s="18">
        <v>0.66431818200000003</v>
      </c>
      <c r="J5488" s="18">
        <v>0.68</v>
      </c>
      <c r="K5488" s="18">
        <v>0.65</v>
      </c>
      <c r="L5488" s="22">
        <v>14</v>
      </c>
    </row>
    <row r="5489" spans="1:12">
      <c r="A5489">
        <v>6</v>
      </c>
      <c r="B5489" s="16" t="s">
        <v>61</v>
      </c>
      <c r="C5489" s="9">
        <v>46235</v>
      </c>
      <c r="D5489">
        <v>33</v>
      </c>
      <c r="E5489" s="16" t="s">
        <v>122</v>
      </c>
      <c r="F5489" s="16" t="s">
        <v>92</v>
      </c>
      <c r="G5489" s="22">
        <v>132</v>
      </c>
      <c r="H5489" s="18">
        <v>88.36</v>
      </c>
      <c r="I5489" s="18">
        <v>0.66939393899999999</v>
      </c>
      <c r="J5489" s="18">
        <v>0.68</v>
      </c>
      <c r="K5489" s="18">
        <v>0.66</v>
      </c>
      <c r="L5489" s="22">
        <v>13</v>
      </c>
    </row>
    <row r="5490" spans="1:12">
      <c r="A5490">
        <v>6</v>
      </c>
      <c r="B5490" s="16" t="s">
        <v>61</v>
      </c>
      <c r="C5490" s="9">
        <v>46266</v>
      </c>
      <c r="D5490">
        <v>33</v>
      </c>
      <c r="E5490" s="16" t="s">
        <v>122</v>
      </c>
      <c r="F5490" s="16" t="s">
        <v>92</v>
      </c>
      <c r="G5490" s="22">
        <v>160</v>
      </c>
      <c r="H5490" s="18">
        <v>110.6</v>
      </c>
      <c r="I5490" s="18">
        <v>0.69125000000000003</v>
      </c>
      <c r="J5490" s="18">
        <v>0.73</v>
      </c>
      <c r="K5490" s="18">
        <v>0.67</v>
      </c>
      <c r="L5490" s="22">
        <v>13</v>
      </c>
    </row>
    <row r="5491" spans="1:12">
      <c r="A5491">
        <v>6</v>
      </c>
      <c r="B5491" s="16" t="s">
        <v>61</v>
      </c>
      <c r="C5491" s="9">
        <v>45689</v>
      </c>
      <c r="D5491">
        <v>34</v>
      </c>
      <c r="E5491" s="16" t="s">
        <v>123</v>
      </c>
      <c r="F5491" s="16" t="s">
        <v>114</v>
      </c>
      <c r="G5491" s="22">
        <v>15</v>
      </c>
      <c r="H5491" s="18">
        <v>52.717500000000001</v>
      </c>
      <c r="I5491" s="18">
        <v>3.5145</v>
      </c>
      <c r="J5491" s="18">
        <v>3.58</v>
      </c>
      <c r="K5491" s="18">
        <v>3.47</v>
      </c>
      <c r="L5491" s="22">
        <v>8</v>
      </c>
    </row>
    <row r="5492" spans="1:12">
      <c r="A5492">
        <v>6</v>
      </c>
      <c r="B5492" s="16" t="s">
        <v>61</v>
      </c>
      <c r="C5492" s="9">
        <v>45717</v>
      </c>
      <c r="D5492">
        <v>34</v>
      </c>
      <c r="E5492" s="16" t="s">
        <v>123</v>
      </c>
      <c r="F5492" s="16" t="s">
        <v>114</v>
      </c>
      <c r="G5492" s="22">
        <v>14.25</v>
      </c>
      <c r="H5492" s="18">
        <v>49.83</v>
      </c>
      <c r="I5492" s="18">
        <v>3.4968421049999998</v>
      </c>
      <c r="J5492" s="18">
        <v>3.55</v>
      </c>
      <c r="K5492" s="18">
        <v>3.45</v>
      </c>
      <c r="L5492" s="22">
        <v>8</v>
      </c>
    </row>
    <row r="5493" spans="1:12">
      <c r="A5493">
        <v>6</v>
      </c>
      <c r="B5493" s="16" t="s">
        <v>61</v>
      </c>
      <c r="C5493" s="9">
        <v>45748</v>
      </c>
      <c r="D5493">
        <v>34</v>
      </c>
      <c r="E5493" s="16" t="s">
        <v>123</v>
      </c>
      <c r="F5493" s="16" t="s">
        <v>114</v>
      </c>
      <c r="G5493" s="22">
        <v>16.5</v>
      </c>
      <c r="H5493" s="18">
        <v>57.787500000000001</v>
      </c>
      <c r="I5493" s="18">
        <v>3.5022727269999998</v>
      </c>
      <c r="J5493" s="18">
        <v>3.56</v>
      </c>
      <c r="K5493" s="18">
        <v>3.47</v>
      </c>
      <c r="L5493" s="22">
        <v>9</v>
      </c>
    </row>
    <row r="5494" spans="1:12">
      <c r="A5494">
        <v>6</v>
      </c>
      <c r="B5494" s="16" t="s">
        <v>61</v>
      </c>
      <c r="C5494" s="9">
        <v>45778</v>
      </c>
      <c r="D5494">
        <v>34</v>
      </c>
      <c r="E5494" s="16" t="s">
        <v>123</v>
      </c>
      <c r="F5494" s="16" t="s">
        <v>114</v>
      </c>
      <c r="G5494" s="22">
        <v>19.5</v>
      </c>
      <c r="H5494" s="18">
        <v>68.19</v>
      </c>
      <c r="I5494" s="18">
        <v>3.4969230769999999</v>
      </c>
      <c r="J5494" s="18">
        <v>3.56</v>
      </c>
      <c r="K5494" s="18">
        <v>3.43</v>
      </c>
      <c r="L5494" s="22">
        <v>9</v>
      </c>
    </row>
    <row r="5495" spans="1:12">
      <c r="A5495">
        <v>6</v>
      </c>
      <c r="B5495" s="16" t="s">
        <v>61</v>
      </c>
      <c r="C5495" s="9">
        <v>45809</v>
      </c>
      <c r="D5495">
        <v>34</v>
      </c>
      <c r="E5495" s="16" t="s">
        <v>123</v>
      </c>
      <c r="F5495" s="16" t="s">
        <v>114</v>
      </c>
      <c r="G5495" s="22">
        <v>17.25</v>
      </c>
      <c r="H5495" s="18">
        <v>60.9</v>
      </c>
      <c r="I5495" s="18">
        <v>3.530434783</v>
      </c>
      <c r="J5495" s="18">
        <v>3.6</v>
      </c>
      <c r="K5495" s="18">
        <v>3.49</v>
      </c>
      <c r="L5495" s="22">
        <v>8</v>
      </c>
    </row>
    <row r="5496" spans="1:12">
      <c r="A5496">
        <v>6</v>
      </c>
      <c r="B5496" s="16" t="s">
        <v>61</v>
      </c>
      <c r="C5496" s="9">
        <v>45839</v>
      </c>
      <c r="D5496">
        <v>34</v>
      </c>
      <c r="E5496" s="16" t="s">
        <v>123</v>
      </c>
      <c r="F5496" s="16" t="s">
        <v>114</v>
      </c>
      <c r="G5496" s="22">
        <v>18</v>
      </c>
      <c r="H5496" s="18">
        <v>63.352499999999999</v>
      </c>
      <c r="I5496" s="18">
        <v>3.5195833329999999</v>
      </c>
      <c r="J5496" s="18">
        <v>3.6</v>
      </c>
      <c r="K5496" s="18">
        <v>3.45</v>
      </c>
      <c r="L5496" s="22">
        <v>10</v>
      </c>
    </row>
    <row r="5497" spans="1:12">
      <c r="A5497">
        <v>6</v>
      </c>
      <c r="B5497" s="16" t="s">
        <v>61</v>
      </c>
      <c r="C5497" s="9">
        <v>45870</v>
      </c>
      <c r="D5497">
        <v>34</v>
      </c>
      <c r="E5497" s="16" t="s">
        <v>123</v>
      </c>
      <c r="F5497" s="16" t="s">
        <v>114</v>
      </c>
      <c r="G5497" s="22">
        <v>16.5</v>
      </c>
      <c r="H5497" s="18">
        <v>58.912500000000001</v>
      </c>
      <c r="I5497" s="18">
        <v>3.570454545</v>
      </c>
      <c r="J5497" s="18">
        <v>3.63</v>
      </c>
      <c r="K5497" s="18">
        <v>3.51</v>
      </c>
      <c r="L5497" s="22">
        <v>8</v>
      </c>
    </row>
    <row r="5498" spans="1:12">
      <c r="A5498">
        <v>6</v>
      </c>
      <c r="B5498" s="16" t="s">
        <v>61</v>
      </c>
      <c r="C5498" s="9">
        <v>45901</v>
      </c>
      <c r="D5498">
        <v>34</v>
      </c>
      <c r="E5498" s="16" t="s">
        <v>123</v>
      </c>
      <c r="F5498" s="16" t="s">
        <v>114</v>
      </c>
      <c r="G5498" s="22">
        <v>14.25</v>
      </c>
      <c r="H5498" s="18">
        <v>50.722499999999997</v>
      </c>
      <c r="I5498" s="18">
        <v>3.5594736839999999</v>
      </c>
      <c r="J5498" s="18">
        <v>3.6</v>
      </c>
      <c r="K5498" s="18">
        <v>3.52</v>
      </c>
      <c r="L5498" s="22">
        <v>9</v>
      </c>
    </row>
    <row r="5499" spans="1:12">
      <c r="A5499">
        <v>6</v>
      </c>
      <c r="B5499" s="16" t="s">
        <v>61</v>
      </c>
      <c r="C5499" s="9">
        <v>45931</v>
      </c>
      <c r="D5499">
        <v>34</v>
      </c>
      <c r="E5499" s="16" t="s">
        <v>123</v>
      </c>
      <c r="F5499" s="16" t="s">
        <v>114</v>
      </c>
      <c r="G5499" s="22">
        <v>18.75</v>
      </c>
      <c r="H5499" s="18">
        <v>67.739999999999995</v>
      </c>
      <c r="I5499" s="18">
        <v>3.6128</v>
      </c>
      <c r="J5499" s="18">
        <v>3.71</v>
      </c>
      <c r="K5499" s="18">
        <v>3.54</v>
      </c>
      <c r="L5499" s="22">
        <v>9</v>
      </c>
    </row>
    <row r="5500" spans="1:12">
      <c r="A5500">
        <v>6</v>
      </c>
      <c r="B5500" s="16" t="s">
        <v>61</v>
      </c>
      <c r="C5500" s="9">
        <v>45962</v>
      </c>
      <c r="D5500">
        <v>34</v>
      </c>
      <c r="E5500" s="16" t="s">
        <v>123</v>
      </c>
      <c r="F5500" s="16" t="s">
        <v>114</v>
      </c>
      <c r="G5500" s="22">
        <v>14.25</v>
      </c>
      <c r="H5500" s="18">
        <v>51.405000000000001</v>
      </c>
      <c r="I5500" s="18">
        <v>3.6073684209999999</v>
      </c>
      <c r="J5500" s="18">
        <v>3.67</v>
      </c>
      <c r="K5500" s="18">
        <v>3.56</v>
      </c>
      <c r="L5500" s="22">
        <v>7</v>
      </c>
    </row>
    <row r="5501" spans="1:12">
      <c r="A5501">
        <v>6</v>
      </c>
      <c r="B5501" s="16" t="s">
        <v>61</v>
      </c>
      <c r="C5501" s="9">
        <v>45992</v>
      </c>
      <c r="D5501">
        <v>34</v>
      </c>
      <c r="E5501" s="16" t="s">
        <v>123</v>
      </c>
      <c r="F5501" s="16" t="s">
        <v>114</v>
      </c>
      <c r="G5501" s="22">
        <v>15</v>
      </c>
      <c r="H5501" s="18">
        <v>54.314999999999998</v>
      </c>
      <c r="I5501" s="18">
        <v>3.621</v>
      </c>
      <c r="J5501" s="18">
        <v>3.71</v>
      </c>
      <c r="K5501" s="18">
        <v>3.59</v>
      </c>
      <c r="L5501" s="22">
        <v>9</v>
      </c>
    </row>
    <row r="5502" spans="1:12">
      <c r="A5502">
        <v>6</v>
      </c>
      <c r="B5502" s="16" t="s">
        <v>61</v>
      </c>
      <c r="C5502" s="9">
        <v>46023</v>
      </c>
      <c r="D5502">
        <v>34</v>
      </c>
      <c r="E5502" s="16" t="s">
        <v>123</v>
      </c>
      <c r="F5502" s="16" t="s">
        <v>114</v>
      </c>
      <c r="G5502" s="22">
        <v>15</v>
      </c>
      <c r="H5502" s="18">
        <v>55.222499999999997</v>
      </c>
      <c r="I5502" s="18">
        <v>3.6815000000000002</v>
      </c>
      <c r="J5502" s="18">
        <v>3.73</v>
      </c>
      <c r="K5502" s="18">
        <v>3.62</v>
      </c>
      <c r="L5502" s="22">
        <v>9</v>
      </c>
    </row>
    <row r="5503" spans="1:12">
      <c r="A5503">
        <v>6</v>
      </c>
      <c r="B5503" s="16" t="s">
        <v>61</v>
      </c>
      <c r="C5503" s="9">
        <v>46054</v>
      </c>
      <c r="D5503">
        <v>34</v>
      </c>
      <c r="E5503" s="16" t="s">
        <v>123</v>
      </c>
      <c r="F5503" s="16" t="s">
        <v>114</v>
      </c>
      <c r="G5503" s="22">
        <v>13.5</v>
      </c>
      <c r="H5503" s="18">
        <v>49.972499999999997</v>
      </c>
      <c r="I5503" s="18">
        <v>3.701666667</v>
      </c>
      <c r="J5503" s="18">
        <v>3.74</v>
      </c>
      <c r="K5503" s="18">
        <v>3.67</v>
      </c>
      <c r="L5503" s="22">
        <v>8</v>
      </c>
    </row>
    <row r="5504" spans="1:12">
      <c r="A5504">
        <v>6</v>
      </c>
      <c r="B5504" s="16" t="s">
        <v>61</v>
      </c>
      <c r="C5504" s="9">
        <v>46082</v>
      </c>
      <c r="D5504">
        <v>34</v>
      </c>
      <c r="E5504" s="16" t="s">
        <v>123</v>
      </c>
      <c r="F5504" s="16" t="s">
        <v>114</v>
      </c>
      <c r="G5504" s="22">
        <v>21</v>
      </c>
      <c r="H5504" s="18">
        <v>78.284999999999997</v>
      </c>
      <c r="I5504" s="18">
        <v>3.727857143</v>
      </c>
      <c r="J5504" s="18">
        <v>3.79</v>
      </c>
      <c r="K5504" s="18">
        <v>3.64</v>
      </c>
      <c r="L5504" s="22">
        <v>9</v>
      </c>
    </row>
    <row r="5505" spans="1:12">
      <c r="A5505">
        <v>6</v>
      </c>
      <c r="B5505" s="16" t="s">
        <v>61</v>
      </c>
      <c r="C5505" s="9">
        <v>46113</v>
      </c>
      <c r="D5505">
        <v>34</v>
      </c>
      <c r="E5505" s="16" t="s">
        <v>123</v>
      </c>
      <c r="F5505" s="16" t="s">
        <v>114</v>
      </c>
      <c r="G5505" s="22">
        <v>20.25</v>
      </c>
      <c r="H5505" s="18">
        <v>74.775000000000006</v>
      </c>
      <c r="I5505" s="18">
        <v>3.6925925930000001</v>
      </c>
      <c r="J5505" s="18">
        <v>3.81</v>
      </c>
      <c r="K5505" s="18">
        <v>3.53</v>
      </c>
      <c r="L5505" s="22">
        <v>9</v>
      </c>
    </row>
    <row r="5506" spans="1:12">
      <c r="A5506">
        <v>6</v>
      </c>
      <c r="B5506" s="16" t="s">
        <v>61</v>
      </c>
      <c r="C5506" s="9">
        <v>46143</v>
      </c>
      <c r="D5506">
        <v>34</v>
      </c>
      <c r="E5506" s="16" t="s">
        <v>123</v>
      </c>
      <c r="F5506" s="16" t="s">
        <v>114</v>
      </c>
      <c r="G5506" s="22">
        <v>18.75</v>
      </c>
      <c r="H5506" s="18">
        <v>68.265000000000001</v>
      </c>
      <c r="I5506" s="18">
        <v>3.6408</v>
      </c>
      <c r="J5506" s="18">
        <v>3.77</v>
      </c>
      <c r="K5506" s="18">
        <v>3.6</v>
      </c>
      <c r="L5506" s="22">
        <v>8</v>
      </c>
    </row>
    <row r="5507" spans="1:12">
      <c r="A5507">
        <v>6</v>
      </c>
      <c r="B5507" s="16" t="s">
        <v>61</v>
      </c>
      <c r="C5507" s="9">
        <v>46174</v>
      </c>
      <c r="D5507">
        <v>34</v>
      </c>
      <c r="E5507" s="16" t="s">
        <v>123</v>
      </c>
      <c r="F5507" s="16" t="s">
        <v>114</v>
      </c>
      <c r="G5507" s="22">
        <v>18</v>
      </c>
      <c r="H5507" s="18">
        <v>65.415000000000006</v>
      </c>
      <c r="I5507" s="18">
        <v>3.6341666670000001</v>
      </c>
      <c r="J5507" s="18">
        <v>3.74</v>
      </c>
      <c r="K5507" s="18">
        <v>3.55</v>
      </c>
      <c r="L5507" s="22">
        <v>8</v>
      </c>
    </row>
    <row r="5508" spans="1:12">
      <c r="A5508">
        <v>6</v>
      </c>
      <c r="B5508" s="16" t="s">
        <v>61</v>
      </c>
      <c r="C5508" s="9">
        <v>46204</v>
      </c>
      <c r="D5508">
        <v>34</v>
      </c>
      <c r="E5508" s="16" t="s">
        <v>123</v>
      </c>
      <c r="F5508" s="16" t="s">
        <v>114</v>
      </c>
      <c r="G5508" s="22">
        <v>21.75</v>
      </c>
      <c r="H5508" s="18">
        <v>81.284999999999997</v>
      </c>
      <c r="I5508" s="18">
        <v>3.7372413789999999</v>
      </c>
      <c r="J5508" s="18">
        <v>3.92</v>
      </c>
      <c r="K5508" s="18">
        <v>3.62</v>
      </c>
      <c r="L5508" s="22">
        <v>9</v>
      </c>
    </row>
    <row r="5509" spans="1:12">
      <c r="A5509">
        <v>6</v>
      </c>
      <c r="B5509" s="16" t="s">
        <v>61</v>
      </c>
      <c r="C5509" s="9">
        <v>46235</v>
      </c>
      <c r="D5509">
        <v>34</v>
      </c>
      <c r="E5509" s="16" t="s">
        <v>123</v>
      </c>
      <c r="F5509" s="16" t="s">
        <v>114</v>
      </c>
      <c r="G5509" s="22">
        <v>12</v>
      </c>
      <c r="H5509" s="18">
        <v>43.477499999999999</v>
      </c>
      <c r="I5509" s="18">
        <v>3.6231249999999999</v>
      </c>
      <c r="J5509" s="18">
        <v>3.67</v>
      </c>
      <c r="K5509" s="18">
        <v>3.57</v>
      </c>
      <c r="L5509" s="22">
        <v>8</v>
      </c>
    </row>
    <row r="5510" spans="1:12">
      <c r="A5510">
        <v>6</v>
      </c>
      <c r="B5510" s="16" t="s">
        <v>61</v>
      </c>
      <c r="C5510" s="9">
        <v>46266</v>
      </c>
      <c r="D5510">
        <v>34</v>
      </c>
      <c r="E5510" s="16" t="s">
        <v>123</v>
      </c>
      <c r="F5510" s="16" t="s">
        <v>114</v>
      </c>
      <c r="G5510" s="22">
        <v>21</v>
      </c>
      <c r="H5510" s="18">
        <v>77.234999999999999</v>
      </c>
      <c r="I5510" s="18">
        <v>3.6778571430000002</v>
      </c>
      <c r="J5510" s="18">
        <v>3.87</v>
      </c>
      <c r="K5510" s="18">
        <v>3.57</v>
      </c>
      <c r="L5510" s="22">
        <v>9</v>
      </c>
    </row>
    <row r="5511" spans="1:12">
      <c r="A5511">
        <v>6</v>
      </c>
      <c r="B5511" s="16" t="s">
        <v>61</v>
      </c>
      <c r="C5511" s="9">
        <v>45689</v>
      </c>
      <c r="D5511">
        <v>35</v>
      </c>
      <c r="E5511" s="16" t="s">
        <v>124</v>
      </c>
      <c r="F5511" s="16" t="s">
        <v>90</v>
      </c>
      <c r="G5511" s="22">
        <v>1</v>
      </c>
      <c r="H5511" s="18">
        <v>7.53</v>
      </c>
      <c r="I5511" s="18">
        <v>7.53</v>
      </c>
      <c r="J5511" s="18">
        <v>7.53</v>
      </c>
      <c r="K5511" s="18">
        <v>7.53</v>
      </c>
      <c r="L5511" s="22">
        <v>1</v>
      </c>
    </row>
    <row r="5512" spans="1:12">
      <c r="A5512">
        <v>6</v>
      </c>
      <c r="B5512" s="16" t="s">
        <v>61</v>
      </c>
      <c r="C5512" s="9">
        <v>45748</v>
      </c>
      <c r="D5512">
        <v>35</v>
      </c>
      <c r="E5512" s="16" t="s">
        <v>124</v>
      </c>
      <c r="F5512" s="16" t="s">
        <v>90</v>
      </c>
      <c r="G5512" s="22">
        <v>1</v>
      </c>
      <c r="H5512" s="18">
        <v>7.46</v>
      </c>
      <c r="I5512" s="18">
        <v>7.46</v>
      </c>
      <c r="J5512" s="18">
        <v>7.46</v>
      </c>
      <c r="K5512" s="18">
        <v>7.46</v>
      </c>
      <c r="L5512" s="22">
        <v>1</v>
      </c>
    </row>
    <row r="5513" spans="1:12">
      <c r="A5513">
        <v>6</v>
      </c>
      <c r="B5513" s="16" t="s">
        <v>61</v>
      </c>
      <c r="C5513" s="9">
        <v>45778</v>
      </c>
      <c r="D5513">
        <v>35</v>
      </c>
      <c r="E5513" s="16" t="s">
        <v>124</v>
      </c>
      <c r="F5513" s="16" t="s">
        <v>90</v>
      </c>
      <c r="G5513" s="22">
        <v>1</v>
      </c>
      <c r="H5513" s="18">
        <v>7.52</v>
      </c>
      <c r="I5513" s="18">
        <v>7.52</v>
      </c>
      <c r="J5513" s="18">
        <v>7.52</v>
      </c>
      <c r="K5513" s="18">
        <v>7.52</v>
      </c>
      <c r="L5513" s="22">
        <v>1</v>
      </c>
    </row>
    <row r="5514" spans="1:12">
      <c r="A5514">
        <v>6</v>
      </c>
      <c r="B5514" s="16" t="s">
        <v>61</v>
      </c>
      <c r="C5514" s="9">
        <v>45809</v>
      </c>
      <c r="D5514">
        <v>35</v>
      </c>
      <c r="E5514" s="16" t="s">
        <v>124</v>
      </c>
      <c r="F5514" s="16" t="s">
        <v>90</v>
      </c>
      <c r="G5514" s="22">
        <v>1</v>
      </c>
      <c r="H5514" s="18">
        <v>7.61</v>
      </c>
      <c r="I5514" s="18">
        <v>7.61</v>
      </c>
      <c r="J5514" s="18">
        <v>7.61</v>
      </c>
      <c r="K5514" s="18">
        <v>7.61</v>
      </c>
      <c r="L5514" s="22">
        <v>1</v>
      </c>
    </row>
    <row r="5515" spans="1:12">
      <c r="A5515">
        <v>6</v>
      </c>
      <c r="B5515" s="16" t="s">
        <v>61</v>
      </c>
      <c r="C5515" s="9">
        <v>45839</v>
      </c>
      <c r="D5515">
        <v>35</v>
      </c>
      <c r="E5515" s="16" t="s">
        <v>124</v>
      </c>
      <c r="F5515" s="16" t="s">
        <v>90</v>
      </c>
      <c r="G5515" s="22">
        <v>1</v>
      </c>
      <c r="H5515" s="18">
        <v>7.47</v>
      </c>
      <c r="I5515" s="18">
        <v>7.47</v>
      </c>
      <c r="J5515" s="18">
        <v>7.47</v>
      </c>
      <c r="K5515" s="18">
        <v>7.47</v>
      </c>
      <c r="L5515" s="22">
        <v>1</v>
      </c>
    </row>
    <row r="5516" spans="1:12">
      <c r="A5516">
        <v>6</v>
      </c>
      <c r="B5516" s="16" t="s">
        <v>61</v>
      </c>
      <c r="C5516" s="9">
        <v>45870</v>
      </c>
      <c r="D5516">
        <v>35</v>
      </c>
      <c r="E5516" s="16" t="s">
        <v>124</v>
      </c>
      <c r="F5516" s="16" t="s">
        <v>90</v>
      </c>
      <c r="G5516" s="22">
        <v>1</v>
      </c>
      <c r="H5516" s="18">
        <v>7.62</v>
      </c>
      <c r="I5516" s="18">
        <v>7.62</v>
      </c>
      <c r="J5516" s="18">
        <v>7.62</v>
      </c>
      <c r="K5516" s="18">
        <v>7.62</v>
      </c>
      <c r="L5516" s="22">
        <v>1</v>
      </c>
    </row>
    <row r="5517" spans="1:12">
      <c r="A5517">
        <v>6</v>
      </c>
      <c r="B5517" s="16" t="s">
        <v>61</v>
      </c>
      <c r="C5517" s="9">
        <v>45931</v>
      </c>
      <c r="D5517">
        <v>35</v>
      </c>
      <c r="E5517" s="16" t="s">
        <v>124</v>
      </c>
      <c r="F5517" s="16" t="s">
        <v>90</v>
      </c>
      <c r="G5517" s="22">
        <v>1</v>
      </c>
      <c r="H5517" s="18">
        <v>7.75</v>
      </c>
      <c r="I5517" s="18">
        <v>7.75</v>
      </c>
      <c r="J5517" s="18">
        <v>7.75</v>
      </c>
      <c r="K5517" s="18">
        <v>7.75</v>
      </c>
      <c r="L5517" s="22">
        <v>1</v>
      </c>
    </row>
    <row r="5518" spans="1:12">
      <c r="A5518">
        <v>6</v>
      </c>
      <c r="B5518" s="16" t="s">
        <v>61</v>
      </c>
      <c r="C5518" s="9">
        <v>45962</v>
      </c>
      <c r="D5518">
        <v>35</v>
      </c>
      <c r="E5518" s="16" t="s">
        <v>124</v>
      </c>
      <c r="F5518" s="16" t="s">
        <v>90</v>
      </c>
      <c r="G5518" s="22">
        <v>1</v>
      </c>
      <c r="H5518" s="18">
        <v>7.55</v>
      </c>
      <c r="I5518" s="18">
        <v>7.55</v>
      </c>
      <c r="J5518" s="18">
        <v>7.55</v>
      </c>
      <c r="K5518" s="18">
        <v>7.55</v>
      </c>
      <c r="L5518" s="22">
        <v>1</v>
      </c>
    </row>
    <row r="5519" spans="1:12">
      <c r="A5519">
        <v>6</v>
      </c>
      <c r="B5519" s="16" t="s">
        <v>61</v>
      </c>
      <c r="C5519" s="9">
        <v>45992</v>
      </c>
      <c r="D5519">
        <v>35</v>
      </c>
      <c r="E5519" s="16" t="s">
        <v>124</v>
      </c>
      <c r="F5519" s="16" t="s">
        <v>90</v>
      </c>
      <c r="G5519" s="22">
        <v>1</v>
      </c>
      <c r="H5519" s="18">
        <v>7.55</v>
      </c>
      <c r="I5519" s="18">
        <v>7.55</v>
      </c>
      <c r="J5519" s="18">
        <v>7.55</v>
      </c>
      <c r="K5519" s="18">
        <v>7.55</v>
      </c>
      <c r="L5519" s="22">
        <v>1</v>
      </c>
    </row>
    <row r="5520" spans="1:12">
      <c r="A5520">
        <v>6</v>
      </c>
      <c r="B5520" s="16" t="s">
        <v>61</v>
      </c>
      <c r="C5520" s="9">
        <v>46023</v>
      </c>
      <c r="D5520">
        <v>35</v>
      </c>
      <c r="E5520" s="16" t="s">
        <v>124</v>
      </c>
      <c r="F5520" s="16" t="s">
        <v>90</v>
      </c>
      <c r="G5520" s="22">
        <v>1</v>
      </c>
      <c r="H5520" s="18">
        <v>7.47</v>
      </c>
      <c r="I5520" s="18">
        <v>7.47</v>
      </c>
      <c r="J5520" s="18">
        <v>7.47</v>
      </c>
      <c r="K5520" s="18">
        <v>7.47</v>
      </c>
      <c r="L5520" s="22">
        <v>1</v>
      </c>
    </row>
    <row r="5521" spans="1:12">
      <c r="A5521">
        <v>6</v>
      </c>
      <c r="B5521" s="16" t="s">
        <v>61</v>
      </c>
      <c r="C5521" s="9">
        <v>46082</v>
      </c>
      <c r="D5521">
        <v>35</v>
      </c>
      <c r="E5521" s="16" t="s">
        <v>124</v>
      </c>
      <c r="F5521" s="16" t="s">
        <v>90</v>
      </c>
      <c r="G5521" s="22">
        <v>2</v>
      </c>
      <c r="H5521" s="18">
        <v>15.12</v>
      </c>
      <c r="I5521" s="18">
        <v>7.56</v>
      </c>
      <c r="J5521" s="18">
        <v>7.56</v>
      </c>
      <c r="K5521" s="18">
        <v>7.56</v>
      </c>
      <c r="L5521" s="22">
        <v>1</v>
      </c>
    </row>
    <row r="5522" spans="1:12">
      <c r="A5522">
        <v>6</v>
      </c>
      <c r="B5522" s="16" t="s">
        <v>61</v>
      </c>
      <c r="C5522" s="9">
        <v>46113</v>
      </c>
      <c r="D5522">
        <v>35</v>
      </c>
      <c r="E5522" s="16" t="s">
        <v>124</v>
      </c>
      <c r="F5522" s="16" t="s">
        <v>90</v>
      </c>
      <c r="G5522" s="22">
        <v>1</v>
      </c>
      <c r="H5522" s="18">
        <v>7.49</v>
      </c>
      <c r="I5522" s="18">
        <v>7.49</v>
      </c>
      <c r="J5522" s="18">
        <v>7.49</v>
      </c>
      <c r="K5522" s="18">
        <v>7.49</v>
      </c>
      <c r="L5522" s="22">
        <v>1</v>
      </c>
    </row>
    <row r="5523" spans="1:12">
      <c r="A5523">
        <v>6</v>
      </c>
      <c r="B5523" s="16" t="s">
        <v>61</v>
      </c>
      <c r="C5523" s="9">
        <v>46143</v>
      </c>
      <c r="D5523">
        <v>35</v>
      </c>
      <c r="E5523" s="16" t="s">
        <v>124</v>
      </c>
      <c r="F5523" s="16" t="s">
        <v>90</v>
      </c>
      <c r="G5523" s="22">
        <v>1</v>
      </c>
      <c r="H5523" s="18">
        <v>7.57</v>
      </c>
      <c r="I5523" s="18">
        <v>7.57</v>
      </c>
      <c r="J5523" s="18">
        <v>7.57</v>
      </c>
      <c r="K5523" s="18">
        <v>7.57</v>
      </c>
      <c r="L5523" s="22">
        <v>1</v>
      </c>
    </row>
    <row r="5524" spans="1:12">
      <c r="A5524">
        <v>6</v>
      </c>
      <c r="B5524" s="16" t="s">
        <v>61</v>
      </c>
      <c r="C5524" s="9">
        <v>46174</v>
      </c>
      <c r="D5524">
        <v>35</v>
      </c>
      <c r="E5524" s="16" t="s">
        <v>124</v>
      </c>
      <c r="F5524" s="16" t="s">
        <v>90</v>
      </c>
      <c r="G5524" s="22">
        <v>1</v>
      </c>
      <c r="H5524" s="18">
        <v>7.64</v>
      </c>
      <c r="I5524" s="18">
        <v>7.64</v>
      </c>
      <c r="J5524" s="18">
        <v>7.64</v>
      </c>
      <c r="K5524" s="18">
        <v>7.64</v>
      </c>
      <c r="L5524" s="22">
        <v>1</v>
      </c>
    </row>
    <row r="5525" spans="1:12">
      <c r="A5525">
        <v>6</v>
      </c>
      <c r="B5525" s="16" t="s">
        <v>61</v>
      </c>
      <c r="C5525" s="9">
        <v>46204</v>
      </c>
      <c r="D5525">
        <v>35</v>
      </c>
      <c r="E5525" s="16" t="s">
        <v>124</v>
      </c>
      <c r="F5525" s="16" t="s">
        <v>90</v>
      </c>
      <c r="G5525" s="22">
        <v>1</v>
      </c>
      <c r="H5525" s="18">
        <v>7.88</v>
      </c>
      <c r="I5525" s="18">
        <v>7.88</v>
      </c>
      <c r="J5525" s="18">
        <v>7.88</v>
      </c>
      <c r="K5525" s="18">
        <v>7.88</v>
      </c>
      <c r="L5525" s="22">
        <v>1</v>
      </c>
    </row>
    <row r="5526" spans="1:12">
      <c r="A5526">
        <v>6</v>
      </c>
      <c r="B5526" s="16" t="s">
        <v>61</v>
      </c>
      <c r="C5526" s="9">
        <v>46266</v>
      </c>
      <c r="D5526">
        <v>35</v>
      </c>
      <c r="E5526" s="16" t="s">
        <v>124</v>
      </c>
      <c r="F5526" s="16" t="s">
        <v>90</v>
      </c>
      <c r="G5526" s="22">
        <v>1</v>
      </c>
      <c r="H5526" s="18">
        <v>7.85</v>
      </c>
      <c r="I5526" s="18">
        <v>7.85</v>
      </c>
      <c r="J5526" s="18">
        <v>7.85</v>
      </c>
      <c r="K5526" s="18">
        <v>7.85</v>
      </c>
      <c r="L5526" s="22">
        <v>1</v>
      </c>
    </row>
    <row r="5527" spans="1:12">
      <c r="A5527">
        <v>6</v>
      </c>
      <c r="B5527" s="16" t="s">
        <v>61</v>
      </c>
      <c r="C5527" s="9">
        <v>45689</v>
      </c>
      <c r="D5527">
        <v>36</v>
      </c>
      <c r="E5527" s="16" t="s">
        <v>125</v>
      </c>
      <c r="F5527" s="16" t="s">
        <v>98</v>
      </c>
      <c r="G5527" s="22">
        <v>40</v>
      </c>
      <c r="H5527" s="18">
        <v>99.2</v>
      </c>
      <c r="I5527" s="18">
        <v>2.48</v>
      </c>
      <c r="J5527" s="18">
        <v>2.5</v>
      </c>
      <c r="K5527" s="18">
        <v>2.46</v>
      </c>
      <c r="L5527" s="22">
        <v>2</v>
      </c>
    </row>
    <row r="5528" spans="1:12">
      <c r="A5528">
        <v>6</v>
      </c>
      <c r="B5528" s="16" t="s">
        <v>61</v>
      </c>
      <c r="C5528" s="9">
        <v>45717</v>
      </c>
      <c r="D5528">
        <v>36</v>
      </c>
      <c r="E5528" s="16" t="s">
        <v>125</v>
      </c>
      <c r="F5528" s="16" t="s">
        <v>98</v>
      </c>
      <c r="G5528" s="22">
        <v>60</v>
      </c>
      <c r="H5528" s="18">
        <v>149.80000000000001</v>
      </c>
      <c r="I5528" s="18">
        <v>2.496666667</v>
      </c>
      <c r="J5528" s="18">
        <v>2.5</v>
      </c>
      <c r="K5528" s="18">
        <v>2.4900000000000002</v>
      </c>
      <c r="L5528" s="22">
        <v>2</v>
      </c>
    </row>
    <row r="5529" spans="1:12">
      <c r="A5529">
        <v>6</v>
      </c>
      <c r="B5529" s="16" t="s">
        <v>61</v>
      </c>
      <c r="C5529" s="9">
        <v>45748</v>
      </c>
      <c r="D5529">
        <v>36</v>
      </c>
      <c r="E5529" s="16" t="s">
        <v>125</v>
      </c>
      <c r="F5529" s="16" t="s">
        <v>98</v>
      </c>
      <c r="G5529" s="22">
        <v>40</v>
      </c>
      <c r="H5529" s="18">
        <v>99.4</v>
      </c>
      <c r="I5529" s="18">
        <v>2.4849999999999999</v>
      </c>
      <c r="J5529" s="18">
        <v>2.5099999999999998</v>
      </c>
      <c r="K5529" s="18">
        <v>2.46</v>
      </c>
      <c r="L5529" s="22">
        <v>2</v>
      </c>
    </row>
    <row r="5530" spans="1:12">
      <c r="A5530">
        <v>6</v>
      </c>
      <c r="B5530" s="16" t="s">
        <v>61</v>
      </c>
      <c r="C5530" s="9">
        <v>45778</v>
      </c>
      <c r="D5530">
        <v>36</v>
      </c>
      <c r="E5530" s="16" t="s">
        <v>125</v>
      </c>
      <c r="F5530" s="16" t="s">
        <v>98</v>
      </c>
      <c r="G5530" s="22">
        <v>40</v>
      </c>
      <c r="H5530" s="18">
        <v>100</v>
      </c>
      <c r="I5530" s="18">
        <v>2.5</v>
      </c>
      <c r="J5530" s="18">
        <v>2.54</v>
      </c>
      <c r="K5530" s="18">
        <v>2.46</v>
      </c>
      <c r="L5530" s="22">
        <v>2</v>
      </c>
    </row>
    <row r="5531" spans="1:12">
      <c r="A5531">
        <v>6</v>
      </c>
      <c r="B5531" s="16" t="s">
        <v>61</v>
      </c>
      <c r="C5531" s="9">
        <v>45809</v>
      </c>
      <c r="D5531">
        <v>36</v>
      </c>
      <c r="E5531" s="16" t="s">
        <v>125</v>
      </c>
      <c r="F5531" s="16" t="s">
        <v>98</v>
      </c>
      <c r="G5531" s="22">
        <v>40</v>
      </c>
      <c r="H5531" s="18">
        <v>100.4</v>
      </c>
      <c r="I5531" s="18">
        <v>2.5099999999999998</v>
      </c>
      <c r="J5531" s="18">
        <v>2.5299999999999998</v>
      </c>
      <c r="K5531" s="18">
        <v>2.4900000000000002</v>
      </c>
      <c r="L5531" s="22">
        <v>2</v>
      </c>
    </row>
    <row r="5532" spans="1:12">
      <c r="A5532">
        <v>6</v>
      </c>
      <c r="B5532" s="16" t="s">
        <v>61</v>
      </c>
      <c r="C5532" s="9">
        <v>45839</v>
      </c>
      <c r="D5532">
        <v>36</v>
      </c>
      <c r="E5532" s="16" t="s">
        <v>125</v>
      </c>
      <c r="F5532" s="16" t="s">
        <v>98</v>
      </c>
      <c r="G5532" s="22">
        <v>40</v>
      </c>
      <c r="H5532" s="18">
        <v>100.6</v>
      </c>
      <c r="I5532" s="18">
        <v>2.5150000000000001</v>
      </c>
      <c r="J5532" s="18">
        <v>2.54</v>
      </c>
      <c r="K5532" s="18">
        <v>2.4900000000000002</v>
      </c>
      <c r="L5532" s="22">
        <v>2</v>
      </c>
    </row>
    <row r="5533" spans="1:12">
      <c r="A5533">
        <v>6</v>
      </c>
      <c r="B5533" s="16" t="s">
        <v>61</v>
      </c>
      <c r="C5533" s="9">
        <v>45870</v>
      </c>
      <c r="D5533">
        <v>36</v>
      </c>
      <c r="E5533" s="16" t="s">
        <v>125</v>
      </c>
      <c r="F5533" s="16" t="s">
        <v>98</v>
      </c>
      <c r="G5533" s="22">
        <v>40</v>
      </c>
      <c r="H5533" s="18">
        <v>101.8</v>
      </c>
      <c r="I5533" s="18">
        <v>2.5449999999999999</v>
      </c>
      <c r="J5533" s="18">
        <v>2.5499999999999998</v>
      </c>
      <c r="K5533" s="18">
        <v>2.54</v>
      </c>
      <c r="L5533" s="22">
        <v>2</v>
      </c>
    </row>
    <row r="5534" spans="1:12">
      <c r="A5534">
        <v>6</v>
      </c>
      <c r="B5534" s="16" t="s">
        <v>61</v>
      </c>
      <c r="C5534" s="9">
        <v>45901</v>
      </c>
      <c r="D5534">
        <v>36</v>
      </c>
      <c r="E5534" s="16" t="s">
        <v>125</v>
      </c>
      <c r="F5534" s="16" t="s">
        <v>98</v>
      </c>
      <c r="G5534" s="22">
        <v>40</v>
      </c>
      <c r="H5534" s="18">
        <v>102.6</v>
      </c>
      <c r="I5534" s="18">
        <v>2.5649999999999999</v>
      </c>
      <c r="J5534" s="18">
        <v>2.6</v>
      </c>
      <c r="K5534" s="18">
        <v>2.5299999999999998</v>
      </c>
      <c r="L5534" s="22">
        <v>2</v>
      </c>
    </row>
    <row r="5535" spans="1:12">
      <c r="A5535">
        <v>6</v>
      </c>
      <c r="B5535" s="16" t="s">
        <v>61</v>
      </c>
      <c r="C5535" s="9">
        <v>45931</v>
      </c>
      <c r="D5535">
        <v>36</v>
      </c>
      <c r="E5535" s="16" t="s">
        <v>125</v>
      </c>
      <c r="F5535" s="16" t="s">
        <v>98</v>
      </c>
      <c r="G5535" s="22">
        <v>40</v>
      </c>
      <c r="H5535" s="18">
        <v>101.6</v>
      </c>
      <c r="I5535" s="18">
        <v>2.54</v>
      </c>
      <c r="J5535" s="18">
        <v>2.56</v>
      </c>
      <c r="K5535" s="18">
        <v>2.52</v>
      </c>
      <c r="L5535" s="22">
        <v>2</v>
      </c>
    </row>
    <row r="5536" spans="1:12">
      <c r="A5536">
        <v>6</v>
      </c>
      <c r="B5536" s="16" t="s">
        <v>61</v>
      </c>
      <c r="C5536" s="9">
        <v>45962</v>
      </c>
      <c r="D5536">
        <v>36</v>
      </c>
      <c r="E5536" s="16" t="s">
        <v>125</v>
      </c>
      <c r="F5536" s="16" t="s">
        <v>98</v>
      </c>
      <c r="G5536" s="22">
        <v>40</v>
      </c>
      <c r="H5536" s="18">
        <v>102</v>
      </c>
      <c r="I5536" s="18">
        <v>2.5499999999999998</v>
      </c>
      <c r="J5536" s="18">
        <v>2.57</v>
      </c>
      <c r="K5536" s="18">
        <v>2.5299999999999998</v>
      </c>
      <c r="L5536" s="22">
        <v>2</v>
      </c>
    </row>
    <row r="5537" spans="1:12">
      <c r="A5537">
        <v>6</v>
      </c>
      <c r="B5537" s="16" t="s">
        <v>61</v>
      </c>
      <c r="C5537" s="9">
        <v>45992</v>
      </c>
      <c r="D5537">
        <v>36</v>
      </c>
      <c r="E5537" s="16" t="s">
        <v>125</v>
      </c>
      <c r="F5537" s="16" t="s">
        <v>98</v>
      </c>
      <c r="G5537" s="22">
        <v>40</v>
      </c>
      <c r="H5537" s="18">
        <v>103.2</v>
      </c>
      <c r="I5537" s="18">
        <v>2.58</v>
      </c>
      <c r="J5537" s="18">
        <v>2.58</v>
      </c>
      <c r="K5537" s="18">
        <v>2.58</v>
      </c>
      <c r="L5537" s="22">
        <v>2</v>
      </c>
    </row>
    <row r="5538" spans="1:12">
      <c r="A5538">
        <v>6</v>
      </c>
      <c r="B5538" s="16" t="s">
        <v>61</v>
      </c>
      <c r="C5538" s="9">
        <v>46023</v>
      </c>
      <c r="D5538">
        <v>36</v>
      </c>
      <c r="E5538" s="16" t="s">
        <v>125</v>
      </c>
      <c r="F5538" s="16" t="s">
        <v>98</v>
      </c>
      <c r="G5538" s="22">
        <v>100</v>
      </c>
      <c r="H5538" s="18">
        <v>256.2</v>
      </c>
      <c r="I5538" s="18">
        <v>2.5619999999999998</v>
      </c>
      <c r="J5538" s="18">
        <v>2.61</v>
      </c>
      <c r="K5538" s="18">
        <v>2.5299999999999998</v>
      </c>
      <c r="L5538" s="22">
        <v>3</v>
      </c>
    </row>
    <row r="5539" spans="1:12">
      <c r="A5539">
        <v>6</v>
      </c>
      <c r="B5539" s="16" t="s">
        <v>61</v>
      </c>
      <c r="C5539" s="9">
        <v>46054</v>
      </c>
      <c r="D5539">
        <v>36</v>
      </c>
      <c r="E5539" s="16" t="s">
        <v>125</v>
      </c>
      <c r="F5539" s="16" t="s">
        <v>98</v>
      </c>
      <c r="G5539" s="22">
        <v>40</v>
      </c>
      <c r="H5539" s="18">
        <v>105.8</v>
      </c>
      <c r="I5539" s="18">
        <v>2.645</v>
      </c>
      <c r="J5539" s="18">
        <v>2.68</v>
      </c>
      <c r="K5539" s="18">
        <v>2.61</v>
      </c>
      <c r="L5539" s="22">
        <v>2</v>
      </c>
    </row>
    <row r="5540" spans="1:12">
      <c r="A5540">
        <v>6</v>
      </c>
      <c r="B5540" s="16" t="s">
        <v>61</v>
      </c>
      <c r="C5540" s="9">
        <v>46082</v>
      </c>
      <c r="D5540">
        <v>36</v>
      </c>
      <c r="E5540" s="16" t="s">
        <v>125</v>
      </c>
      <c r="F5540" s="16" t="s">
        <v>98</v>
      </c>
      <c r="G5540" s="22">
        <v>60</v>
      </c>
      <c r="H5540" s="18">
        <v>155.6</v>
      </c>
      <c r="I5540" s="18">
        <v>2.5933333329999999</v>
      </c>
      <c r="J5540" s="18">
        <v>2.62</v>
      </c>
      <c r="K5540" s="18">
        <v>2.54</v>
      </c>
      <c r="L5540" s="22">
        <v>2</v>
      </c>
    </row>
    <row r="5541" spans="1:12">
      <c r="A5541">
        <v>6</v>
      </c>
      <c r="B5541" s="16" t="s">
        <v>61</v>
      </c>
      <c r="C5541" s="9">
        <v>46113</v>
      </c>
      <c r="D5541">
        <v>36</v>
      </c>
      <c r="E5541" s="16" t="s">
        <v>125</v>
      </c>
      <c r="F5541" s="16" t="s">
        <v>98</v>
      </c>
      <c r="G5541" s="22">
        <v>40</v>
      </c>
      <c r="H5541" s="18">
        <v>102.4</v>
      </c>
      <c r="I5541" s="18">
        <v>2.56</v>
      </c>
      <c r="J5541" s="18">
        <v>2.57</v>
      </c>
      <c r="K5541" s="18">
        <v>2.5499999999999998</v>
      </c>
      <c r="L5541" s="22">
        <v>2</v>
      </c>
    </row>
    <row r="5542" spans="1:12">
      <c r="A5542">
        <v>6</v>
      </c>
      <c r="B5542" s="16" t="s">
        <v>61</v>
      </c>
      <c r="C5542" s="9">
        <v>46143</v>
      </c>
      <c r="D5542">
        <v>36</v>
      </c>
      <c r="E5542" s="16" t="s">
        <v>125</v>
      </c>
      <c r="F5542" s="16" t="s">
        <v>98</v>
      </c>
      <c r="G5542" s="22">
        <v>40</v>
      </c>
      <c r="H5542" s="18">
        <v>102.8</v>
      </c>
      <c r="I5542" s="18">
        <v>2.57</v>
      </c>
      <c r="J5542" s="18">
        <v>2.59</v>
      </c>
      <c r="K5542" s="18">
        <v>2.5499999999999998</v>
      </c>
      <c r="L5542" s="22">
        <v>2</v>
      </c>
    </row>
    <row r="5543" spans="1:12">
      <c r="A5543">
        <v>6</v>
      </c>
      <c r="B5543" s="16" t="s">
        <v>61</v>
      </c>
      <c r="C5543" s="9">
        <v>46174</v>
      </c>
      <c r="D5543">
        <v>36</v>
      </c>
      <c r="E5543" s="16" t="s">
        <v>125</v>
      </c>
      <c r="F5543" s="16" t="s">
        <v>98</v>
      </c>
      <c r="G5543" s="22">
        <v>40</v>
      </c>
      <c r="H5543" s="18">
        <v>103</v>
      </c>
      <c r="I5543" s="18">
        <v>2.5750000000000002</v>
      </c>
      <c r="J5543" s="18">
        <v>2.58</v>
      </c>
      <c r="K5543" s="18">
        <v>2.57</v>
      </c>
      <c r="L5543" s="22">
        <v>2</v>
      </c>
    </row>
    <row r="5544" spans="1:12">
      <c r="A5544">
        <v>6</v>
      </c>
      <c r="B5544" s="16" t="s">
        <v>61</v>
      </c>
      <c r="C5544" s="9">
        <v>46204</v>
      </c>
      <c r="D5544">
        <v>36</v>
      </c>
      <c r="E5544" s="16" t="s">
        <v>125</v>
      </c>
      <c r="F5544" s="16" t="s">
        <v>98</v>
      </c>
      <c r="G5544" s="22">
        <v>40</v>
      </c>
      <c r="H5544" s="18">
        <v>101.8</v>
      </c>
      <c r="I5544" s="18">
        <v>2.5449999999999999</v>
      </c>
      <c r="J5544" s="18">
        <v>2.5499999999999998</v>
      </c>
      <c r="K5544" s="18">
        <v>2.54</v>
      </c>
      <c r="L5544" s="22">
        <v>2</v>
      </c>
    </row>
    <row r="5545" spans="1:12">
      <c r="A5545">
        <v>6</v>
      </c>
      <c r="B5545" s="16" t="s">
        <v>61</v>
      </c>
      <c r="C5545" s="9">
        <v>46235</v>
      </c>
      <c r="D5545">
        <v>36</v>
      </c>
      <c r="E5545" s="16" t="s">
        <v>125</v>
      </c>
      <c r="F5545" s="16" t="s">
        <v>98</v>
      </c>
      <c r="G5545" s="22">
        <v>20</v>
      </c>
      <c r="H5545" s="18">
        <v>52</v>
      </c>
      <c r="I5545" s="18">
        <v>2.6</v>
      </c>
      <c r="J5545" s="18">
        <v>2.6</v>
      </c>
      <c r="K5545" s="18">
        <v>2.6</v>
      </c>
      <c r="L5545" s="22">
        <v>1</v>
      </c>
    </row>
    <row r="5546" spans="1:12">
      <c r="A5546">
        <v>6</v>
      </c>
      <c r="B5546" s="16" t="s">
        <v>61</v>
      </c>
      <c r="C5546" s="9">
        <v>46266</v>
      </c>
      <c r="D5546">
        <v>36</v>
      </c>
      <c r="E5546" s="16" t="s">
        <v>125</v>
      </c>
      <c r="F5546" s="16" t="s">
        <v>98</v>
      </c>
      <c r="G5546" s="22">
        <v>40</v>
      </c>
      <c r="H5546" s="18">
        <v>102.4</v>
      </c>
      <c r="I5546" s="18">
        <v>2.56</v>
      </c>
      <c r="J5546" s="18">
        <v>2.57</v>
      </c>
      <c r="K5546" s="18">
        <v>2.5499999999999998</v>
      </c>
      <c r="L5546" s="22">
        <v>2</v>
      </c>
    </row>
    <row r="5547" spans="1:12">
      <c r="A5547">
        <v>6</v>
      </c>
      <c r="B5547" s="16" t="s">
        <v>61</v>
      </c>
      <c r="C5547" s="9">
        <v>45689</v>
      </c>
      <c r="D5547">
        <v>37</v>
      </c>
      <c r="E5547" s="16" t="s">
        <v>126</v>
      </c>
      <c r="F5547" s="16" t="s">
        <v>90</v>
      </c>
      <c r="G5547" s="22">
        <v>96</v>
      </c>
      <c r="H5547" s="18">
        <v>134.08000000000001</v>
      </c>
      <c r="I5547" s="18">
        <v>1.3966666670000001</v>
      </c>
      <c r="J5547" s="18">
        <v>1.41</v>
      </c>
      <c r="K5547" s="18">
        <v>1.39</v>
      </c>
      <c r="L5547" s="22">
        <v>2</v>
      </c>
    </row>
    <row r="5548" spans="1:12">
      <c r="A5548">
        <v>6</v>
      </c>
      <c r="B5548" s="16" t="s">
        <v>61</v>
      </c>
      <c r="C5548" s="9">
        <v>45717</v>
      </c>
      <c r="D5548">
        <v>37</v>
      </c>
      <c r="E5548" s="16" t="s">
        <v>126</v>
      </c>
      <c r="F5548" s="16" t="s">
        <v>90</v>
      </c>
      <c r="G5548" s="22">
        <v>64</v>
      </c>
      <c r="H5548" s="18">
        <v>94.08</v>
      </c>
      <c r="I5548" s="18">
        <v>1.47</v>
      </c>
      <c r="J5548" s="18">
        <v>1.5</v>
      </c>
      <c r="K5548" s="18">
        <v>1.44</v>
      </c>
      <c r="L5548" s="22">
        <v>2</v>
      </c>
    </row>
    <row r="5549" spans="1:12">
      <c r="A5549">
        <v>6</v>
      </c>
      <c r="B5549" s="16" t="s">
        <v>61</v>
      </c>
      <c r="C5549" s="9">
        <v>45748</v>
      </c>
      <c r="D5549">
        <v>37</v>
      </c>
      <c r="E5549" s="16" t="s">
        <v>126</v>
      </c>
      <c r="F5549" s="16" t="s">
        <v>90</v>
      </c>
      <c r="G5549" s="22">
        <v>64</v>
      </c>
      <c r="H5549" s="18">
        <v>88.32</v>
      </c>
      <c r="I5549" s="18">
        <v>1.38</v>
      </c>
      <c r="J5549" s="18">
        <v>1.4</v>
      </c>
      <c r="K5549" s="18">
        <v>1.36</v>
      </c>
      <c r="L5549" s="22">
        <v>2</v>
      </c>
    </row>
    <row r="5550" spans="1:12">
      <c r="A5550">
        <v>6</v>
      </c>
      <c r="B5550" s="16" t="s">
        <v>61</v>
      </c>
      <c r="C5550" s="9">
        <v>45778</v>
      </c>
      <c r="D5550">
        <v>37</v>
      </c>
      <c r="E5550" s="16" t="s">
        <v>126</v>
      </c>
      <c r="F5550" s="16" t="s">
        <v>90</v>
      </c>
      <c r="G5550" s="22">
        <v>96</v>
      </c>
      <c r="H5550" s="18">
        <v>138.88</v>
      </c>
      <c r="I5550" s="18">
        <v>1.4466666669999999</v>
      </c>
      <c r="J5550" s="18">
        <v>1.46</v>
      </c>
      <c r="K5550" s="18">
        <v>1.42</v>
      </c>
      <c r="L5550" s="22">
        <v>2</v>
      </c>
    </row>
    <row r="5551" spans="1:12">
      <c r="A5551">
        <v>6</v>
      </c>
      <c r="B5551" s="16" t="s">
        <v>61</v>
      </c>
      <c r="C5551" s="9">
        <v>45809</v>
      </c>
      <c r="D5551">
        <v>37</v>
      </c>
      <c r="E5551" s="16" t="s">
        <v>126</v>
      </c>
      <c r="F5551" s="16" t="s">
        <v>90</v>
      </c>
      <c r="G5551" s="22">
        <v>64</v>
      </c>
      <c r="H5551" s="18">
        <v>89.92</v>
      </c>
      <c r="I5551" s="18">
        <v>1.405</v>
      </c>
      <c r="J5551" s="18">
        <v>1.42</v>
      </c>
      <c r="K5551" s="18">
        <v>1.39</v>
      </c>
      <c r="L5551" s="22">
        <v>2</v>
      </c>
    </row>
    <row r="5552" spans="1:12">
      <c r="A5552">
        <v>6</v>
      </c>
      <c r="B5552" s="16" t="s">
        <v>61</v>
      </c>
      <c r="C5552" s="9">
        <v>45839</v>
      </c>
      <c r="D5552">
        <v>37</v>
      </c>
      <c r="E5552" s="16" t="s">
        <v>126</v>
      </c>
      <c r="F5552" s="16" t="s">
        <v>90</v>
      </c>
      <c r="G5552" s="22">
        <v>128</v>
      </c>
      <c r="H5552" s="18">
        <v>183.04</v>
      </c>
      <c r="I5552" s="18">
        <v>1.43</v>
      </c>
      <c r="J5552" s="18">
        <v>1.45</v>
      </c>
      <c r="K5552" s="18">
        <v>1.42</v>
      </c>
      <c r="L5552" s="22">
        <v>3</v>
      </c>
    </row>
    <row r="5553" spans="1:12">
      <c r="A5553">
        <v>6</v>
      </c>
      <c r="B5553" s="16" t="s">
        <v>61</v>
      </c>
      <c r="C5553" s="9">
        <v>45870</v>
      </c>
      <c r="D5553">
        <v>37</v>
      </c>
      <c r="E5553" s="16" t="s">
        <v>126</v>
      </c>
      <c r="F5553" s="16" t="s">
        <v>90</v>
      </c>
      <c r="G5553" s="22">
        <v>64</v>
      </c>
      <c r="H5553" s="18">
        <v>92.48</v>
      </c>
      <c r="I5553" s="18">
        <v>1.4450000000000001</v>
      </c>
      <c r="J5553" s="18">
        <v>1.46</v>
      </c>
      <c r="K5553" s="18">
        <v>1.43</v>
      </c>
      <c r="L5553" s="22">
        <v>2</v>
      </c>
    </row>
    <row r="5554" spans="1:12">
      <c r="A5554">
        <v>6</v>
      </c>
      <c r="B5554" s="16" t="s">
        <v>61</v>
      </c>
      <c r="C5554" s="9">
        <v>45901</v>
      </c>
      <c r="D5554">
        <v>37</v>
      </c>
      <c r="E5554" s="16" t="s">
        <v>126</v>
      </c>
      <c r="F5554" s="16" t="s">
        <v>90</v>
      </c>
      <c r="G5554" s="22">
        <v>96</v>
      </c>
      <c r="H5554" s="18">
        <v>140.80000000000001</v>
      </c>
      <c r="I5554" s="18">
        <v>1.4666666669999999</v>
      </c>
      <c r="J5554" s="18">
        <v>1.48</v>
      </c>
      <c r="K5554" s="18">
        <v>1.46</v>
      </c>
      <c r="L5554" s="22">
        <v>2</v>
      </c>
    </row>
    <row r="5555" spans="1:12">
      <c r="A5555">
        <v>6</v>
      </c>
      <c r="B5555" s="16" t="s">
        <v>61</v>
      </c>
      <c r="C5555" s="9">
        <v>45931</v>
      </c>
      <c r="D5555">
        <v>37</v>
      </c>
      <c r="E5555" s="16" t="s">
        <v>126</v>
      </c>
      <c r="F5555" s="16" t="s">
        <v>90</v>
      </c>
      <c r="G5555" s="22">
        <v>64</v>
      </c>
      <c r="H5555" s="18">
        <v>92.8</v>
      </c>
      <c r="I5555" s="18">
        <v>1.45</v>
      </c>
      <c r="J5555" s="18">
        <v>1.45</v>
      </c>
      <c r="K5555" s="18">
        <v>1.45</v>
      </c>
      <c r="L5555" s="22">
        <v>2</v>
      </c>
    </row>
    <row r="5556" spans="1:12">
      <c r="A5556">
        <v>6</v>
      </c>
      <c r="B5556" s="16" t="s">
        <v>61</v>
      </c>
      <c r="C5556" s="9">
        <v>45962</v>
      </c>
      <c r="D5556">
        <v>37</v>
      </c>
      <c r="E5556" s="16" t="s">
        <v>126</v>
      </c>
      <c r="F5556" s="16" t="s">
        <v>90</v>
      </c>
      <c r="G5556" s="22">
        <v>96</v>
      </c>
      <c r="H5556" s="18">
        <v>141.76</v>
      </c>
      <c r="I5556" s="18">
        <v>1.4766666669999999</v>
      </c>
      <c r="J5556" s="18">
        <v>1.48</v>
      </c>
      <c r="K5556" s="18">
        <v>1.47</v>
      </c>
      <c r="L5556" s="22">
        <v>2</v>
      </c>
    </row>
    <row r="5557" spans="1:12">
      <c r="A5557">
        <v>6</v>
      </c>
      <c r="B5557" s="16" t="s">
        <v>61</v>
      </c>
      <c r="C5557" s="9">
        <v>45992</v>
      </c>
      <c r="D5557">
        <v>37</v>
      </c>
      <c r="E5557" s="16" t="s">
        <v>126</v>
      </c>
      <c r="F5557" s="16" t="s">
        <v>90</v>
      </c>
      <c r="G5557" s="22">
        <v>64</v>
      </c>
      <c r="H5557" s="18">
        <v>93.76</v>
      </c>
      <c r="I5557" s="18">
        <v>1.4650000000000001</v>
      </c>
      <c r="J5557" s="18">
        <v>1.49</v>
      </c>
      <c r="K5557" s="18">
        <v>1.44</v>
      </c>
      <c r="L5557" s="22">
        <v>2</v>
      </c>
    </row>
    <row r="5558" spans="1:12">
      <c r="A5558">
        <v>6</v>
      </c>
      <c r="B5558" s="16" t="s">
        <v>61</v>
      </c>
      <c r="C5558" s="9">
        <v>46023</v>
      </c>
      <c r="D5558">
        <v>37</v>
      </c>
      <c r="E5558" s="16" t="s">
        <v>126</v>
      </c>
      <c r="F5558" s="16" t="s">
        <v>90</v>
      </c>
      <c r="G5558" s="22">
        <v>64</v>
      </c>
      <c r="H5558" s="18">
        <v>94.4</v>
      </c>
      <c r="I5558" s="18">
        <v>1.4750000000000001</v>
      </c>
      <c r="J5558" s="18">
        <v>1.49</v>
      </c>
      <c r="K5558" s="18">
        <v>1.46</v>
      </c>
      <c r="L5558" s="22">
        <v>2</v>
      </c>
    </row>
    <row r="5559" spans="1:12">
      <c r="A5559">
        <v>6</v>
      </c>
      <c r="B5559" s="16" t="s">
        <v>61</v>
      </c>
      <c r="C5559" s="9">
        <v>46054</v>
      </c>
      <c r="D5559">
        <v>37</v>
      </c>
      <c r="E5559" s="16" t="s">
        <v>126</v>
      </c>
      <c r="F5559" s="16" t="s">
        <v>90</v>
      </c>
      <c r="G5559" s="22">
        <v>96</v>
      </c>
      <c r="H5559" s="18">
        <v>147.52000000000001</v>
      </c>
      <c r="I5559" s="18">
        <v>1.536666667</v>
      </c>
      <c r="J5559" s="18">
        <v>1.56</v>
      </c>
      <c r="K5559" s="18">
        <v>1.49</v>
      </c>
      <c r="L5559" s="22">
        <v>2</v>
      </c>
    </row>
    <row r="5560" spans="1:12">
      <c r="A5560">
        <v>6</v>
      </c>
      <c r="B5560" s="16" t="s">
        <v>61</v>
      </c>
      <c r="C5560" s="9">
        <v>46082</v>
      </c>
      <c r="D5560">
        <v>37</v>
      </c>
      <c r="E5560" s="16" t="s">
        <v>126</v>
      </c>
      <c r="F5560" s="16" t="s">
        <v>90</v>
      </c>
      <c r="G5560" s="22">
        <v>96</v>
      </c>
      <c r="H5560" s="18">
        <v>144.63999999999999</v>
      </c>
      <c r="I5560" s="18">
        <v>1.506666667</v>
      </c>
      <c r="J5560" s="18">
        <v>1.52</v>
      </c>
      <c r="K5560" s="18">
        <v>1.48</v>
      </c>
      <c r="L5560" s="22">
        <v>2</v>
      </c>
    </row>
    <row r="5561" spans="1:12">
      <c r="A5561">
        <v>6</v>
      </c>
      <c r="B5561" s="16" t="s">
        <v>61</v>
      </c>
      <c r="C5561" s="9">
        <v>46113</v>
      </c>
      <c r="D5561">
        <v>37</v>
      </c>
      <c r="E5561" s="16" t="s">
        <v>126</v>
      </c>
      <c r="F5561" s="16" t="s">
        <v>90</v>
      </c>
      <c r="G5561" s="22">
        <v>64</v>
      </c>
      <c r="H5561" s="18">
        <v>96.32</v>
      </c>
      <c r="I5561" s="18">
        <v>1.5049999999999999</v>
      </c>
      <c r="J5561" s="18">
        <v>1.54</v>
      </c>
      <c r="K5561" s="18">
        <v>1.47</v>
      </c>
      <c r="L5561" s="22">
        <v>2</v>
      </c>
    </row>
    <row r="5562" spans="1:12">
      <c r="A5562">
        <v>6</v>
      </c>
      <c r="B5562" s="16" t="s">
        <v>61</v>
      </c>
      <c r="C5562" s="9">
        <v>46143</v>
      </c>
      <c r="D5562">
        <v>37</v>
      </c>
      <c r="E5562" s="16" t="s">
        <v>126</v>
      </c>
      <c r="F5562" s="16" t="s">
        <v>90</v>
      </c>
      <c r="G5562" s="22">
        <v>96</v>
      </c>
      <c r="H5562" s="18">
        <v>145.6</v>
      </c>
      <c r="I5562" s="18">
        <v>1.516666667</v>
      </c>
      <c r="J5562" s="18">
        <v>1.53</v>
      </c>
      <c r="K5562" s="18">
        <v>1.51</v>
      </c>
      <c r="L5562" s="22">
        <v>2</v>
      </c>
    </row>
    <row r="5563" spans="1:12">
      <c r="A5563">
        <v>6</v>
      </c>
      <c r="B5563" s="16" t="s">
        <v>61</v>
      </c>
      <c r="C5563" s="9">
        <v>46174</v>
      </c>
      <c r="D5563">
        <v>37</v>
      </c>
      <c r="E5563" s="16" t="s">
        <v>126</v>
      </c>
      <c r="F5563" s="16" t="s">
        <v>90</v>
      </c>
      <c r="G5563" s="22">
        <v>96</v>
      </c>
      <c r="H5563" s="18">
        <v>144</v>
      </c>
      <c r="I5563" s="18">
        <v>1.5</v>
      </c>
      <c r="J5563" s="18">
        <v>1.51</v>
      </c>
      <c r="K5563" s="18">
        <v>1.48</v>
      </c>
      <c r="L5563" s="22">
        <v>2</v>
      </c>
    </row>
    <row r="5564" spans="1:12">
      <c r="A5564">
        <v>6</v>
      </c>
      <c r="B5564" s="16" t="s">
        <v>61</v>
      </c>
      <c r="C5564" s="9">
        <v>46204</v>
      </c>
      <c r="D5564">
        <v>37</v>
      </c>
      <c r="E5564" s="16" t="s">
        <v>126</v>
      </c>
      <c r="F5564" s="16" t="s">
        <v>90</v>
      </c>
      <c r="G5564" s="22">
        <v>96</v>
      </c>
      <c r="H5564" s="18">
        <v>148.16</v>
      </c>
      <c r="I5564" s="18">
        <v>1.5433333330000001</v>
      </c>
      <c r="J5564" s="18">
        <v>1.57</v>
      </c>
      <c r="K5564" s="18">
        <v>1.51</v>
      </c>
      <c r="L5564" s="22">
        <v>3</v>
      </c>
    </row>
    <row r="5565" spans="1:12">
      <c r="A5565">
        <v>6</v>
      </c>
      <c r="B5565" s="16" t="s">
        <v>61</v>
      </c>
      <c r="C5565" s="9">
        <v>46235</v>
      </c>
      <c r="D5565">
        <v>37</v>
      </c>
      <c r="E5565" s="16" t="s">
        <v>126</v>
      </c>
      <c r="F5565" s="16" t="s">
        <v>90</v>
      </c>
      <c r="G5565" s="22">
        <v>64</v>
      </c>
      <c r="H5565" s="18">
        <v>99.52</v>
      </c>
      <c r="I5565" s="18">
        <v>1.5549999999999999</v>
      </c>
      <c r="J5565" s="18">
        <v>1.56</v>
      </c>
      <c r="K5565" s="18">
        <v>1.55</v>
      </c>
      <c r="L5565" s="22">
        <v>2</v>
      </c>
    </row>
    <row r="5566" spans="1:12">
      <c r="A5566">
        <v>6</v>
      </c>
      <c r="B5566" s="16" t="s">
        <v>61</v>
      </c>
      <c r="C5566" s="9">
        <v>46266</v>
      </c>
      <c r="D5566">
        <v>37</v>
      </c>
      <c r="E5566" s="16" t="s">
        <v>126</v>
      </c>
      <c r="F5566" s="16" t="s">
        <v>90</v>
      </c>
      <c r="G5566" s="22">
        <v>64</v>
      </c>
      <c r="H5566" s="18">
        <v>98.56</v>
      </c>
      <c r="I5566" s="18">
        <v>1.54</v>
      </c>
      <c r="J5566" s="18">
        <v>1.55</v>
      </c>
      <c r="K5566" s="18">
        <v>1.53</v>
      </c>
      <c r="L5566" s="22">
        <v>2</v>
      </c>
    </row>
    <row r="5567" spans="1:12">
      <c r="A5567">
        <v>6</v>
      </c>
      <c r="B5567" s="16" t="s">
        <v>61</v>
      </c>
      <c r="C5567" s="9">
        <v>45689</v>
      </c>
      <c r="D5567">
        <v>38</v>
      </c>
      <c r="E5567" s="16" t="s">
        <v>127</v>
      </c>
      <c r="F5567" s="16" t="s">
        <v>83</v>
      </c>
      <c r="G5567" s="22">
        <v>29</v>
      </c>
      <c r="H5567" s="18">
        <v>449.3</v>
      </c>
      <c r="I5567" s="18">
        <v>15.493103447999999</v>
      </c>
      <c r="J5567" s="18">
        <v>15.8</v>
      </c>
      <c r="K5567" s="18">
        <v>15.05</v>
      </c>
      <c r="L5567" s="22">
        <v>8</v>
      </c>
    </row>
    <row r="5568" spans="1:12">
      <c r="A5568">
        <v>6</v>
      </c>
      <c r="B5568" s="16" t="s">
        <v>61</v>
      </c>
      <c r="C5568" s="9">
        <v>45717</v>
      </c>
      <c r="D5568">
        <v>38</v>
      </c>
      <c r="E5568" s="16" t="s">
        <v>127</v>
      </c>
      <c r="F5568" s="16" t="s">
        <v>83</v>
      </c>
      <c r="G5568" s="22">
        <v>26</v>
      </c>
      <c r="H5568" s="18">
        <v>400.46</v>
      </c>
      <c r="I5568" s="18">
        <v>15.402307692000001</v>
      </c>
      <c r="J5568" s="18">
        <v>15.7</v>
      </c>
      <c r="K5568" s="18">
        <v>15.19</v>
      </c>
      <c r="L5568" s="22">
        <v>9</v>
      </c>
    </row>
    <row r="5569" spans="1:12">
      <c r="A5569">
        <v>6</v>
      </c>
      <c r="B5569" s="16" t="s">
        <v>61</v>
      </c>
      <c r="C5569" s="9">
        <v>45748</v>
      </c>
      <c r="D5569">
        <v>38</v>
      </c>
      <c r="E5569" s="16" t="s">
        <v>127</v>
      </c>
      <c r="F5569" s="16" t="s">
        <v>83</v>
      </c>
      <c r="G5569" s="22">
        <v>23.5</v>
      </c>
      <c r="H5569" s="18">
        <v>370.08</v>
      </c>
      <c r="I5569" s="18">
        <v>15.748085106</v>
      </c>
      <c r="J5569" s="18">
        <v>15.93</v>
      </c>
      <c r="K5569" s="18">
        <v>15.47</v>
      </c>
      <c r="L5569" s="22">
        <v>8</v>
      </c>
    </row>
    <row r="5570" spans="1:12">
      <c r="A5570">
        <v>6</v>
      </c>
      <c r="B5570" s="16" t="s">
        <v>61</v>
      </c>
      <c r="C5570" s="9">
        <v>45778</v>
      </c>
      <c r="D5570">
        <v>38</v>
      </c>
      <c r="E5570" s="16" t="s">
        <v>127</v>
      </c>
      <c r="F5570" s="16" t="s">
        <v>83</v>
      </c>
      <c r="G5570" s="22">
        <v>27</v>
      </c>
      <c r="H5570" s="18">
        <v>428.66</v>
      </c>
      <c r="I5570" s="18">
        <v>15.876296296</v>
      </c>
      <c r="J5570" s="18">
        <v>16.04</v>
      </c>
      <c r="K5570" s="18">
        <v>15.55</v>
      </c>
      <c r="L5570" s="22">
        <v>9</v>
      </c>
    </row>
    <row r="5571" spans="1:12">
      <c r="A5571">
        <v>6</v>
      </c>
      <c r="B5571" s="16" t="s">
        <v>61</v>
      </c>
      <c r="C5571" s="9">
        <v>45809</v>
      </c>
      <c r="D5571">
        <v>38</v>
      </c>
      <c r="E5571" s="16" t="s">
        <v>127</v>
      </c>
      <c r="F5571" s="16" t="s">
        <v>83</v>
      </c>
      <c r="G5571" s="22">
        <v>23.5</v>
      </c>
      <c r="H5571" s="18">
        <v>373.185</v>
      </c>
      <c r="I5571" s="18">
        <v>15.880212766</v>
      </c>
      <c r="J5571" s="18">
        <v>16.07</v>
      </c>
      <c r="K5571" s="18">
        <v>15.53</v>
      </c>
      <c r="L5571" s="22">
        <v>9</v>
      </c>
    </row>
    <row r="5572" spans="1:12">
      <c r="A5572">
        <v>6</v>
      </c>
      <c r="B5572" s="16" t="s">
        <v>61</v>
      </c>
      <c r="C5572" s="9">
        <v>45839</v>
      </c>
      <c r="D5572">
        <v>38</v>
      </c>
      <c r="E5572" s="16" t="s">
        <v>127</v>
      </c>
      <c r="F5572" s="16" t="s">
        <v>83</v>
      </c>
      <c r="G5572" s="22">
        <v>16</v>
      </c>
      <c r="H5572" s="18">
        <v>253.995</v>
      </c>
      <c r="I5572" s="18">
        <v>15.8746875</v>
      </c>
      <c r="J5572" s="18">
        <v>16.14</v>
      </c>
      <c r="K5572" s="18">
        <v>15.69</v>
      </c>
      <c r="L5572" s="22">
        <v>9</v>
      </c>
    </row>
    <row r="5573" spans="1:12">
      <c r="A5573">
        <v>6</v>
      </c>
      <c r="B5573" s="16" t="s">
        <v>61</v>
      </c>
      <c r="C5573" s="9">
        <v>45870</v>
      </c>
      <c r="D5573">
        <v>38</v>
      </c>
      <c r="E5573" s="16" t="s">
        <v>127</v>
      </c>
      <c r="F5573" s="16" t="s">
        <v>83</v>
      </c>
      <c r="G5573" s="22">
        <v>15</v>
      </c>
      <c r="H5573" s="18">
        <v>237.22</v>
      </c>
      <c r="I5573" s="18">
        <v>15.814666666999999</v>
      </c>
      <c r="J5573" s="18">
        <v>16.149999999999999</v>
      </c>
      <c r="K5573" s="18">
        <v>15.54</v>
      </c>
      <c r="L5573" s="22">
        <v>8</v>
      </c>
    </row>
    <row r="5574" spans="1:12">
      <c r="A5574">
        <v>6</v>
      </c>
      <c r="B5574" s="16" t="s">
        <v>61</v>
      </c>
      <c r="C5574" s="9">
        <v>45901</v>
      </c>
      <c r="D5574">
        <v>38</v>
      </c>
      <c r="E5574" s="16" t="s">
        <v>127</v>
      </c>
      <c r="F5574" s="16" t="s">
        <v>83</v>
      </c>
      <c r="G5574" s="22">
        <v>22</v>
      </c>
      <c r="H5574" s="18">
        <v>346.1</v>
      </c>
      <c r="I5574" s="18">
        <v>15.731818182</v>
      </c>
      <c r="J5574" s="18">
        <v>16.13</v>
      </c>
      <c r="K5574" s="18">
        <v>15.54</v>
      </c>
      <c r="L5574" s="22">
        <v>9</v>
      </c>
    </row>
    <row r="5575" spans="1:12">
      <c r="A5575">
        <v>6</v>
      </c>
      <c r="B5575" s="16" t="s">
        <v>61</v>
      </c>
      <c r="C5575" s="9">
        <v>45931</v>
      </c>
      <c r="D5575">
        <v>38</v>
      </c>
      <c r="E5575" s="16" t="s">
        <v>127</v>
      </c>
      <c r="F5575" s="16" t="s">
        <v>83</v>
      </c>
      <c r="G5575" s="22">
        <v>31</v>
      </c>
      <c r="H5575" s="18">
        <v>490.9</v>
      </c>
      <c r="I5575" s="18">
        <v>15.835483870999999</v>
      </c>
      <c r="J5575" s="18">
        <v>16.059999999999999</v>
      </c>
      <c r="K5575" s="18">
        <v>15.7</v>
      </c>
      <c r="L5575" s="22">
        <v>9</v>
      </c>
    </row>
    <row r="5576" spans="1:12">
      <c r="A5576">
        <v>6</v>
      </c>
      <c r="B5576" s="16" t="s">
        <v>61</v>
      </c>
      <c r="C5576" s="9">
        <v>45962</v>
      </c>
      <c r="D5576">
        <v>38</v>
      </c>
      <c r="E5576" s="16" t="s">
        <v>127</v>
      </c>
      <c r="F5576" s="16" t="s">
        <v>83</v>
      </c>
      <c r="G5576" s="22">
        <v>27</v>
      </c>
      <c r="H5576" s="18">
        <v>428.375</v>
      </c>
      <c r="I5576" s="18">
        <v>15.865740741</v>
      </c>
      <c r="J5576" s="18">
        <v>16.059999999999999</v>
      </c>
      <c r="K5576" s="18">
        <v>15.61</v>
      </c>
      <c r="L5576" s="22">
        <v>8</v>
      </c>
    </row>
    <row r="5577" spans="1:12">
      <c r="A5577">
        <v>6</v>
      </c>
      <c r="B5577" s="16" t="s">
        <v>61</v>
      </c>
      <c r="C5577" s="9">
        <v>45992</v>
      </c>
      <c r="D5577">
        <v>38</v>
      </c>
      <c r="E5577" s="16" t="s">
        <v>127</v>
      </c>
      <c r="F5577" s="16" t="s">
        <v>83</v>
      </c>
      <c r="G5577" s="22">
        <v>27.5</v>
      </c>
      <c r="H5577" s="18">
        <v>435.28500000000003</v>
      </c>
      <c r="I5577" s="18">
        <v>15.828545455</v>
      </c>
      <c r="J5577" s="18">
        <v>16.149999999999999</v>
      </c>
      <c r="K5577" s="18">
        <v>15.57</v>
      </c>
      <c r="L5577" s="22">
        <v>9</v>
      </c>
    </row>
    <row r="5578" spans="1:12">
      <c r="A5578">
        <v>6</v>
      </c>
      <c r="B5578" s="16" t="s">
        <v>61</v>
      </c>
      <c r="C5578" s="9">
        <v>46023</v>
      </c>
      <c r="D5578">
        <v>38</v>
      </c>
      <c r="E5578" s="16" t="s">
        <v>127</v>
      </c>
      <c r="F5578" s="16" t="s">
        <v>83</v>
      </c>
      <c r="G5578" s="22">
        <v>34</v>
      </c>
      <c r="H5578" s="18">
        <v>536.45000000000005</v>
      </c>
      <c r="I5578" s="18">
        <v>15.777941176000001</v>
      </c>
      <c r="J5578" s="18">
        <v>16.2</v>
      </c>
      <c r="K5578" s="18">
        <v>15.67</v>
      </c>
      <c r="L5578" s="22">
        <v>9</v>
      </c>
    </row>
    <row r="5579" spans="1:12">
      <c r="A5579">
        <v>6</v>
      </c>
      <c r="B5579" s="16" t="s">
        <v>61</v>
      </c>
      <c r="C5579" s="9">
        <v>46054</v>
      </c>
      <c r="D5579">
        <v>38</v>
      </c>
      <c r="E5579" s="16" t="s">
        <v>127</v>
      </c>
      <c r="F5579" s="16" t="s">
        <v>83</v>
      </c>
      <c r="G5579" s="22">
        <v>31.5</v>
      </c>
      <c r="H5579" s="18">
        <v>499.47</v>
      </c>
      <c r="I5579" s="18">
        <v>15.856190476</v>
      </c>
      <c r="J5579" s="18">
        <v>16.27</v>
      </c>
      <c r="K5579" s="18">
        <v>15.51</v>
      </c>
      <c r="L5579" s="22">
        <v>8</v>
      </c>
    </row>
    <row r="5580" spans="1:12">
      <c r="A5580">
        <v>6</v>
      </c>
      <c r="B5580" s="16" t="s">
        <v>61</v>
      </c>
      <c r="C5580" s="9">
        <v>46082</v>
      </c>
      <c r="D5580">
        <v>38</v>
      </c>
      <c r="E5580" s="16" t="s">
        <v>127</v>
      </c>
      <c r="F5580" s="16" t="s">
        <v>83</v>
      </c>
      <c r="G5580" s="22">
        <v>32.5</v>
      </c>
      <c r="H5580" s="18">
        <v>517.28</v>
      </c>
      <c r="I5580" s="18">
        <v>15.916307692</v>
      </c>
      <c r="J5580" s="18">
        <v>16.22</v>
      </c>
      <c r="K5580" s="18">
        <v>15.64</v>
      </c>
      <c r="L5580" s="22">
        <v>9</v>
      </c>
    </row>
    <row r="5581" spans="1:12">
      <c r="A5581">
        <v>6</v>
      </c>
      <c r="B5581" s="16" t="s">
        <v>61</v>
      </c>
      <c r="C5581" s="9">
        <v>46113</v>
      </c>
      <c r="D5581">
        <v>38</v>
      </c>
      <c r="E5581" s="16" t="s">
        <v>127</v>
      </c>
      <c r="F5581" s="16" t="s">
        <v>83</v>
      </c>
      <c r="G5581" s="22">
        <v>30</v>
      </c>
      <c r="H5581" s="18">
        <v>486.56</v>
      </c>
      <c r="I5581" s="18">
        <v>16.218666667000001</v>
      </c>
      <c r="J5581" s="18">
        <v>16.579999999999998</v>
      </c>
      <c r="K5581" s="18">
        <v>15.8</v>
      </c>
      <c r="L5581" s="22">
        <v>9</v>
      </c>
    </row>
    <row r="5582" spans="1:12">
      <c r="A5582">
        <v>6</v>
      </c>
      <c r="B5582" s="16" t="s">
        <v>61</v>
      </c>
      <c r="C5582" s="9">
        <v>46143</v>
      </c>
      <c r="D5582">
        <v>38</v>
      </c>
      <c r="E5582" s="16" t="s">
        <v>127</v>
      </c>
      <c r="F5582" s="16" t="s">
        <v>83</v>
      </c>
      <c r="G5582" s="22">
        <v>26.5</v>
      </c>
      <c r="H5582" s="18">
        <v>427.35</v>
      </c>
      <c r="I5582" s="18">
        <v>16.126415093999999</v>
      </c>
      <c r="J5582" s="18">
        <v>16.420000000000002</v>
      </c>
      <c r="K5582" s="18">
        <v>15.86</v>
      </c>
      <c r="L5582" s="22">
        <v>8</v>
      </c>
    </row>
    <row r="5583" spans="1:12">
      <c r="A5583">
        <v>6</v>
      </c>
      <c r="B5583" s="16" t="s">
        <v>61</v>
      </c>
      <c r="C5583" s="9">
        <v>46174</v>
      </c>
      <c r="D5583">
        <v>38</v>
      </c>
      <c r="E5583" s="16" t="s">
        <v>127</v>
      </c>
      <c r="F5583" s="16" t="s">
        <v>83</v>
      </c>
      <c r="G5583" s="22">
        <v>23.5</v>
      </c>
      <c r="H5583" s="18">
        <v>379.94</v>
      </c>
      <c r="I5583" s="18">
        <v>16.167659574000002</v>
      </c>
      <c r="J5583" s="18">
        <v>16.41</v>
      </c>
      <c r="K5583" s="18">
        <v>15.86</v>
      </c>
      <c r="L5583" s="22">
        <v>9</v>
      </c>
    </row>
    <row r="5584" spans="1:12">
      <c r="A5584">
        <v>6</v>
      </c>
      <c r="B5584" s="16" t="s">
        <v>61</v>
      </c>
      <c r="C5584" s="9">
        <v>46204</v>
      </c>
      <c r="D5584">
        <v>38</v>
      </c>
      <c r="E5584" s="16" t="s">
        <v>127</v>
      </c>
      <c r="F5584" s="16" t="s">
        <v>83</v>
      </c>
      <c r="G5584" s="22">
        <v>22</v>
      </c>
      <c r="H5584" s="18">
        <v>360.185</v>
      </c>
      <c r="I5584" s="18">
        <v>16.372045454999999</v>
      </c>
      <c r="J5584" s="18">
        <v>17.27</v>
      </c>
      <c r="K5584" s="18">
        <v>15.84</v>
      </c>
      <c r="L5584" s="22">
        <v>9</v>
      </c>
    </row>
    <row r="5585" spans="1:12">
      <c r="A5585">
        <v>6</v>
      </c>
      <c r="B5585" s="16" t="s">
        <v>61</v>
      </c>
      <c r="C5585" s="9">
        <v>46235</v>
      </c>
      <c r="D5585">
        <v>38</v>
      </c>
      <c r="E5585" s="16" t="s">
        <v>127</v>
      </c>
      <c r="F5585" s="16" t="s">
        <v>83</v>
      </c>
      <c r="G5585" s="22">
        <v>20.5</v>
      </c>
      <c r="H5585" s="18">
        <v>333.78</v>
      </c>
      <c r="I5585" s="18">
        <v>16.28195122</v>
      </c>
      <c r="J5585" s="18">
        <v>16.53</v>
      </c>
      <c r="K5585" s="18">
        <v>16.04</v>
      </c>
      <c r="L5585" s="22">
        <v>9</v>
      </c>
    </row>
    <row r="5586" spans="1:12">
      <c r="A5586">
        <v>6</v>
      </c>
      <c r="B5586" s="16" t="s">
        <v>61</v>
      </c>
      <c r="C5586" s="9">
        <v>46266</v>
      </c>
      <c r="D5586">
        <v>38</v>
      </c>
      <c r="E5586" s="16" t="s">
        <v>127</v>
      </c>
      <c r="F5586" s="16" t="s">
        <v>83</v>
      </c>
      <c r="G5586" s="22">
        <v>23</v>
      </c>
      <c r="H5586" s="18">
        <v>377.78</v>
      </c>
      <c r="I5586" s="18">
        <v>16.425217391</v>
      </c>
      <c r="J5586" s="18">
        <v>16.649999999999999</v>
      </c>
      <c r="K5586" s="18">
        <v>16.25</v>
      </c>
      <c r="L5586" s="22">
        <v>8</v>
      </c>
    </row>
    <row r="5587" spans="1:12">
      <c r="A5587">
        <v>6</v>
      </c>
      <c r="B5587" s="16" t="s">
        <v>61</v>
      </c>
      <c r="C5587" s="9">
        <v>45689</v>
      </c>
      <c r="D5587">
        <v>39</v>
      </c>
      <c r="E5587" s="16" t="s">
        <v>128</v>
      </c>
      <c r="F5587" s="16" t="s">
        <v>87</v>
      </c>
      <c r="G5587" s="22">
        <v>72</v>
      </c>
      <c r="H5587" s="18">
        <v>541.38499999999999</v>
      </c>
      <c r="I5587" s="18">
        <v>7.5192361109999997</v>
      </c>
      <c r="J5587" s="18">
        <v>7.72</v>
      </c>
      <c r="K5587" s="18">
        <v>7.39</v>
      </c>
      <c r="L5587" s="22">
        <v>12</v>
      </c>
    </row>
    <row r="5588" spans="1:12">
      <c r="A5588">
        <v>6</v>
      </c>
      <c r="B5588" s="16" t="s">
        <v>61</v>
      </c>
      <c r="C5588" s="9">
        <v>45717</v>
      </c>
      <c r="D5588">
        <v>39</v>
      </c>
      <c r="E5588" s="16" t="s">
        <v>128</v>
      </c>
      <c r="F5588" s="16" t="s">
        <v>87</v>
      </c>
      <c r="G5588" s="22">
        <v>60.75</v>
      </c>
      <c r="H5588" s="18">
        <v>450.57499999999999</v>
      </c>
      <c r="I5588" s="18">
        <v>7.4168724279999996</v>
      </c>
      <c r="J5588" s="18">
        <v>7.57</v>
      </c>
      <c r="K5588" s="18">
        <v>7.3</v>
      </c>
      <c r="L5588" s="22">
        <v>13</v>
      </c>
    </row>
    <row r="5589" spans="1:12">
      <c r="A5589">
        <v>6</v>
      </c>
      <c r="B5589" s="16" t="s">
        <v>61</v>
      </c>
      <c r="C5589" s="9">
        <v>45748</v>
      </c>
      <c r="D5589">
        <v>39</v>
      </c>
      <c r="E5589" s="16" t="s">
        <v>128</v>
      </c>
      <c r="F5589" s="16" t="s">
        <v>87</v>
      </c>
      <c r="G5589" s="22">
        <v>69.25</v>
      </c>
      <c r="H5589" s="18">
        <v>520.34249999999997</v>
      </c>
      <c r="I5589" s="18">
        <v>7.5139711189999998</v>
      </c>
      <c r="J5589" s="18">
        <v>7.73</v>
      </c>
      <c r="K5589" s="18">
        <v>7.35</v>
      </c>
      <c r="L5589" s="22">
        <v>13</v>
      </c>
    </row>
    <row r="5590" spans="1:12">
      <c r="A5590">
        <v>6</v>
      </c>
      <c r="B5590" s="16" t="s">
        <v>61</v>
      </c>
      <c r="C5590" s="9">
        <v>45778</v>
      </c>
      <c r="D5590">
        <v>39</v>
      </c>
      <c r="E5590" s="16" t="s">
        <v>128</v>
      </c>
      <c r="F5590" s="16" t="s">
        <v>87</v>
      </c>
      <c r="G5590" s="22">
        <v>65.5</v>
      </c>
      <c r="H5590" s="18">
        <v>496.745</v>
      </c>
      <c r="I5590" s="18">
        <v>7.5838931299999999</v>
      </c>
      <c r="J5590" s="18">
        <v>7.92</v>
      </c>
      <c r="K5590" s="18">
        <v>7.37</v>
      </c>
      <c r="L5590" s="22">
        <v>13</v>
      </c>
    </row>
    <row r="5591" spans="1:12">
      <c r="A5591">
        <v>6</v>
      </c>
      <c r="B5591" s="16" t="s">
        <v>61</v>
      </c>
      <c r="C5591" s="9">
        <v>45809</v>
      </c>
      <c r="D5591">
        <v>39</v>
      </c>
      <c r="E5591" s="16" t="s">
        <v>128</v>
      </c>
      <c r="F5591" s="16" t="s">
        <v>87</v>
      </c>
      <c r="G5591" s="22">
        <v>45.25</v>
      </c>
      <c r="H5591" s="18">
        <v>343.625</v>
      </c>
      <c r="I5591" s="18">
        <v>7.5939226519999998</v>
      </c>
      <c r="J5591" s="18">
        <v>7.73</v>
      </c>
      <c r="K5591" s="18">
        <v>7.45</v>
      </c>
      <c r="L5591" s="22">
        <v>13</v>
      </c>
    </row>
    <row r="5592" spans="1:12">
      <c r="A5592">
        <v>6</v>
      </c>
      <c r="B5592" s="16" t="s">
        <v>61</v>
      </c>
      <c r="C5592" s="9">
        <v>45839</v>
      </c>
      <c r="D5592">
        <v>39</v>
      </c>
      <c r="E5592" s="16" t="s">
        <v>128</v>
      </c>
      <c r="F5592" s="16" t="s">
        <v>87</v>
      </c>
      <c r="G5592" s="22">
        <v>38.5</v>
      </c>
      <c r="H5592" s="18">
        <v>291.09249999999997</v>
      </c>
      <c r="I5592" s="18">
        <v>7.5608441559999999</v>
      </c>
      <c r="J5592" s="18">
        <v>7.99</v>
      </c>
      <c r="K5592" s="18">
        <v>7.35</v>
      </c>
      <c r="L5592" s="22">
        <v>13</v>
      </c>
    </row>
    <row r="5593" spans="1:12">
      <c r="A5593">
        <v>6</v>
      </c>
      <c r="B5593" s="16" t="s">
        <v>61</v>
      </c>
      <c r="C5593" s="9">
        <v>45870</v>
      </c>
      <c r="D5593">
        <v>39</v>
      </c>
      <c r="E5593" s="16" t="s">
        <v>128</v>
      </c>
      <c r="F5593" s="16" t="s">
        <v>87</v>
      </c>
      <c r="G5593" s="22">
        <v>33</v>
      </c>
      <c r="H5593" s="18">
        <v>251.04</v>
      </c>
      <c r="I5593" s="18">
        <v>7.6072727269999998</v>
      </c>
      <c r="J5593" s="18">
        <v>8.1999999999999993</v>
      </c>
      <c r="K5593" s="18">
        <v>7.51</v>
      </c>
      <c r="L5593" s="22">
        <v>11</v>
      </c>
    </row>
    <row r="5594" spans="1:12">
      <c r="A5594">
        <v>6</v>
      </c>
      <c r="B5594" s="16" t="s">
        <v>61</v>
      </c>
      <c r="C5594" s="9">
        <v>45901</v>
      </c>
      <c r="D5594">
        <v>39</v>
      </c>
      <c r="E5594" s="16" t="s">
        <v>128</v>
      </c>
      <c r="F5594" s="16" t="s">
        <v>87</v>
      </c>
      <c r="G5594" s="22">
        <v>41.75</v>
      </c>
      <c r="H5594" s="18">
        <v>321.01749999999998</v>
      </c>
      <c r="I5594" s="18">
        <v>7.6890419159999999</v>
      </c>
      <c r="J5594" s="18">
        <v>7.83</v>
      </c>
      <c r="K5594" s="18">
        <v>7.47</v>
      </c>
      <c r="L5594" s="22">
        <v>13</v>
      </c>
    </row>
    <row r="5595" spans="1:12">
      <c r="A5595">
        <v>6</v>
      </c>
      <c r="B5595" s="16" t="s">
        <v>61</v>
      </c>
      <c r="C5595" s="9">
        <v>45931</v>
      </c>
      <c r="D5595">
        <v>39</v>
      </c>
      <c r="E5595" s="16" t="s">
        <v>128</v>
      </c>
      <c r="F5595" s="16" t="s">
        <v>87</v>
      </c>
      <c r="G5595" s="22">
        <v>89.5</v>
      </c>
      <c r="H5595" s="18">
        <v>685.12249999999995</v>
      </c>
      <c r="I5595" s="18">
        <v>7.6550000000000002</v>
      </c>
      <c r="J5595" s="18">
        <v>7.82</v>
      </c>
      <c r="K5595" s="18">
        <v>7.45</v>
      </c>
      <c r="L5595" s="22">
        <v>14</v>
      </c>
    </row>
    <row r="5596" spans="1:12">
      <c r="A5596">
        <v>6</v>
      </c>
      <c r="B5596" s="16" t="s">
        <v>61</v>
      </c>
      <c r="C5596" s="9">
        <v>45962</v>
      </c>
      <c r="D5596">
        <v>39</v>
      </c>
      <c r="E5596" s="16" t="s">
        <v>128</v>
      </c>
      <c r="F5596" s="16" t="s">
        <v>87</v>
      </c>
      <c r="G5596" s="22">
        <v>49.25</v>
      </c>
      <c r="H5596" s="18">
        <v>380.22500000000002</v>
      </c>
      <c r="I5596" s="18">
        <v>7.7203045689999996</v>
      </c>
      <c r="J5596" s="18">
        <v>7.86</v>
      </c>
      <c r="K5596" s="18">
        <v>7.58</v>
      </c>
      <c r="L5596" s="22">
        <v>11</v>
      </c>
    </row>
    <row r="5597" spans="1:12">
      <c r="A5597">
        <v>6</v>
      </c>
      <c r="B5597" s="16" t="s">
        <v>61</v>
      </c>
      <c r="C5597" s="9">
        <v>45992</v>
      </c>
      <c r="D5597">
        <v>39</v>
      </c>
      <c r="E5597" s="16" t="s">
        <v>128</v>
      </c>
      <c r="F5597" s="16" t="s">
        <v>87</v>
      </c>
      <c r="G5597" s="22">
        <v>71</v>
      </c>
      <c r="H5597" s="18">
        <v>549.96</v>
      </c>
      <c r="I5597" s="18">
        <v>7.745915493</v>
      </c>
      <c r="J5597" s="18">
        <v>7.85</v>
      </c>
      <c r="K5597" s="18">
        <v>7.6</v>
      </c>
      <c r="L5597" s="22">
        <v>14</v>
      </c>
    </row>
    <row r="5598" spans="1:12">
      <c r="A5598">
        <v>6</v>
      </c>
      <c r="B5598" s="16" t="s">
        <v>61</v>
      </c>
      <c r="C5598" s="9">
        <v>46023</v>
      </c>
      <c r="D5598">
        <v>39</v>
      </c>
      <c r="E5598" s="16" t="s">
        <v>128</v>
      </c>
      <c r="F5598" s="16" t="s">
        <v>87</v>
      </c>
      <c r="G5598" s="22">
        <v>79.5</v>
      </c>
      <c r="H5598" s="18">
        <v>619.8175</v>
      </c>
      <c r="I5598" s="18">
        <v>7.7964465409999999</v>
      </c>
      <c r="J5598" s="18">
        <v>7.98</v>
      </c>
      <c r="K5598" s="18">
        <v>7.63</v>
      </c>
      <c r="L5598" s="22">
        <v>13</v>
      </c>
    </row>
    <row r="5599" spans="1:12">
      <c r="A5599">
        <v>6</v>
      </c>
      <c r="B5599" s="16" t="s">
        <v>61</v>
      </c>
      <c r="C5599" s="9">
        <v>46054</v>
      </c>
      <c r="D5599">
        <v>39</v>
      </c>
      <c r="E5599" s="16" t="s">
        <v>128</v>
      </c>
      <c r="F5599" s="16" t="s">
        <v>87</v>
      </c>
      <c r="G5599" s="22">
        <v>31.5</v>
      </c>
      <c r="H5599" s="18">
        <v>246.29750000000001</v>
      </c>
      <c r="I5599" s="18">
        <v>7.8189682539999996</v>
      </c>
      <c r="J5599" s="18">
        <v>7.96</v>
      </c>
      <c r="K5599" s="18">
        <v>7.72</v>
      </c>
      <c r="L5599" s="22">
        <v>11</v>
      </c>
    </row>
    <row r="5600" spans="1:12">
      <c r="A5600">
        <v>6</v>
      </c>
      <c r="B5600" s="16" t="s">
        <v>61</v>
      </c>
      <c r="C5600" s="9">
        <v>46082</v>
      </c>
      <c r="D5600">
        <v>39</v>
      </c>
      <c r="E5600" s="16" t="s">
        <v>128</v>
      </c>
      <c r="F5600" s="16" t="s">
        <v>87</v>
      </c>
      <c r="G5600" s="22">
        <v>61.5</v>
      </c>
      <c r="H5600" s="18">
        <v>481.28</v>
      </c>
      <c r="I5600" s="18">
        <v>7.8256910570000002</v>
      </c>
      <c r="J5600" s="18">
        <v>7.95</v>
      </c>
      <c r="K5600" s="18">
        <v>7.65</v>
      </c>
      <c r="L5600" s="22">
        <v>13</v>
      </c>
    </row>
    <row r="5601" spans="1:12">
      <c r="A5601">
        <v>6</v>
      </c>
      <c r="B5601" s="16" t="s">
        <v>61</v>
      </c>
      <c r="C5601" s="9">
        <v>46113</v>
      </c>
      <c r="D5601">
        <v>39</v>
      </c>
      <c r="E5601" s="16" t="s">
        <v>128</v>
      </c>
      <c r="F5601" s="16" t="s">
        <v>87</v>
      </c>
      <c r="G5601" s="22">
        <v>46</v>
      </c>
      <c r="H5601" s="18">
        <v>358.01499999999999</v>
      </c>
      <c r="I5601" s="18">
        <v>7.782934783</v>
      </c>
      <c r="J5601" s="18">
        <v>7.95</v>
      </c>
      <c r="K5601" s="18">
        <v>7.6</v>
      </c>
      <c r="L5601" s="22">
        <v>12</v>
      </c>
    </row>
    <row r="5602" spans="1:12">
      <c r="A5602">
        <v>6</v>
      </c>
      <c r="B5602" s="16" t="s">
        <v>61</v>
      </c>
      <c r="C5602" s="9">
        <v>46143</v>
      </c>
      <c r="D5602">
        <v>39</v>
      </c>
      <c r="E5602" s="16" t="s">
        <v>128</v>
      </c>
      <c r="F5602" s="16" t="s">
        <v>87</v>
      </c>
      <c r="G5602" s="22">
        <v>50</v>
      </c>
      <c r="H5602" s="18">
        <v>388.38499999999999</v>
      </c>
      <c r="I5602" s="18">
        <v>7.7676999999999996</v>
      </c>
      <c r="J5602" s="18">
        <v>7.96</v>
      </c>
      <c r="K5602" s="18">
        <v>7.64</v>
      </c>
      <c r="L5602" s="22">
        <v>13</v>
      </c>
    </row>
    <row r="5603" spans="1:12">
      <c r="A5603">
        <v>6</v>
      </c>
      <c r="B5603" s="16" t="s">
        <v>61</v>
      </c>
      <c r="C5603" s="9">
        <v>46174</v>
      </c>
      <c r="D5603">
        <v>39</v>
      </c>
      <c r="E5603" s="16" t="s">
        <v>128</v>
      </c>
      <c r="F5603" s="16" t="s">
        <v>87</v>
      </c>
      <c r="G5603" s="22">
        <v>40.25</v>
      </c>
      <c r="H5603" s="18">
        <v>316.14249999999998</v>
      </c>
      <c r="I5603" s="18">
        <v>7.85447205</v>
      </c>
      <c r="J5603" s="18">
        <v>8.0500000000000007</v>
      </c>
      <c r="K5603" s="18">
        <v>7.72</v>
      </c>
      <c r="L5603" s="22">
        <v>12</v>
      </c>
    </row>
    <row r="5604" spans="1:12">
      <c r="A5604">
        <v>6</v>
      </c>
      <c r="B5604" s="16" t="s">
        <v>61</v>
      </c>
      <c r="C5604" s="9">
        <v>46204</v>
      </c>
      <c r="D5604">
        <v>39</v>
      </c>
      <c r="E5604" s="16" t="s">
        <v>128</v>
      </c>
      <c r="F5604" s="16" t="s">
        <v>87</v>
      </c>
      <c r="G5604" s="22">
        <v>41.25</v>
      </c>
      <c r="H5604" s="18">
        <v>322.755</v>
      </c>
      <c r="I5604" s="18">
        <v>7.8243636360000002</v>
      </c>
      <c r="J5604" s="18">
        <v>7.92</v>
      </c>
      <c r="K5604" s="18">
        <v>7.7</v>
      </c>
      <c r="L5604" s="22">
        <v>12</v>
      </c>
    </row>
    <row r="5605" spans="1:12">
      <c r="A5605">
        <v>6</v>
      </c>
      <c r="B5605" s="16" t="s">
        <v>61</v>
      </c>
      <c r="C5605" s="9">
        <v>46235</v>
      </c>
      <c r="D5605">
        <v>39</v>
      </c>
      <c r="E5605" s="16" t="s">
        <v>128</v>
      </c>
      <c r="F5605" s="16" t="s">
        <v>87</v>
      </c>
      <c r="G5605" s="22">
        <v>29.75</v>
      </c>
      <c r="H5605" s="18">
        <v>232.375</v>
      </c>
      <c r="I5605" s="18">
        <v>7.8109243700000004</v>
      </c>
      <c r="J5605" s="18">
        <v>7.97</v>
      </c>
      <c r="K5605" s="18">
        <v>7.74</v>
      </c>
      <c r="L5605" s="22">
        <v>9</v>
      </c>
    </row>
    <row r="5606" spans="1:12">
      <c r="A5606">
        <v>6</v>
      </c>
      <c r="B5606" s="16" t="s">
        <v>61</v>
      </c>
      <c r="C5606" s="9">
        <v>46266</v>
      </c>
      <c r="D5606">
        <v>39</v>
      </c>
      <c r="E5606" s="16" t="s">
        <v>128</v>
      </c>
      <c r="F5606" s="16" t="s">
        <v>87</v>
      </c>
      <c r="G5606" s="22">
        <v>46.25</v>
      </c>
      <c r="H5606" s="18">
        <v>361.745</v>
      </c>
      <c r="I5606" s="18">
        <v>7.8215135140000003</v>
      </c>
      <c r="J5606" s="18">
        <v>8.2899999999999991</v>
      </c>
      <c r="K5606" s="18">
        <v>7.63</v>
      </c>
      <c r="L5606" s="22">
        <v>12</v>
      </c>
    </row>
    <row r="5607" spans="1:12">
      <c r="A5607">
        <v>6</v>
      </c>
      <c r="B5607" s="16" t="s">
        <v>61</v>
      </c>
      <c r="C5607" s="9">
        <v>45689</v>
      </c>
      <c r="D5607">
        <v>40</v>
      </c>
      <c r="E5607" s="16" t="s">
        <v>129</v>
      </c>
      <c r="F5607" s="16" t="s">
        <v>108</v>
      </c>
      <c r="G5607" s="22">
        <v>4</v>
      </c>
      <c r="H5607" s="18">
        <v>2.44</v>
      </c>
      <c r="I5607" s="18">
        <v>0.61</v>
      </c>
      <c r="J5607" s="18">
        <v>0.61</v>
      </c>
      <c r="K5607" s="18">
        <v>0.61</v>
      </c>
      <c r="L5607" s="22">
        <v>1</v>
      </c>
    </row>
    <row r="5608" spans="1:12">
      <c r="A5608">
        <v>6</v>
      </c>
      <c r="B5608" s="16" t="s">
        <v>61</v>
      </c>
      <c r="C5608" s="9">
        <v>45717</v>
      </c>
      <c r="D5608">
        <v>40</v>
      </c>
      <c r="E5608" s="16" t="s">
        <v>129</v>
      </c>
      <c r="F5608" s="16" t="s">
        <v>108</v>
      </c>
      <c r="G5608" s="22">
        <v>4</v>
      </c>
      <c r="H5608" s="18">
        <v>2.52</v>
      </c>
      <c r="I5608" s="18">
        <v>0.63</v>
      </c>
      <c r="J5608" s="18">
        <v>0.63</v>
      </c>
      <c r="K5608" s="18">
        <v>0.63</v>
      </c>
      <c r="L5608" s="22">
        <v>1</v>
      </c>
    </row>
    <row r="5609" spans="1:12">
      <c r="A5609">
        <v>6</v>
      </c>
      <c r="B5609" s="16" t="s">
        <v>61</v>
      </c>
      <c r="C5609" s="9">
        <v>45748</v>
      </c>
      <c r="D5609">
        <v>40</v>
      </c>
      <c r="E5609" s="16" t="s">
        <v>129</v>
      </c>
      <c r="F5609" s="16" t="s">
        <v>108</v>
      </c>
      <c r="G5609" s="22">
        <v>4</v>
      </c>
      <c r="H5609" s="18">
        <v>2.56</v>
      </c>
      <c r="I5609" s="18">
        <v>0.64</v>
      </c>
      <c r="J5609" s="18">
        <v>0.64</v>
      </c>
      <c r="K5609" s="18">
        <v>0.64</v>
      </c>
      <c r="L5609" s="22">
        <v>1</v>
      </c>
    </row>
    <row r="5610" spans="1:12">
      <c r="A5610">
        <v>6</v>
      </c>
      <c r="B5610" s="16" t="s">
        <v>61</v>
      </c>
      <c r="C5610" s="9">
        <v>45809</v>
      </c>
      <c r="D5610">
        <v>40</v>
      </c>
      <c r="E5610" s="16" t="s">
        <v>129</v>
      </c>
      <c r="F5610" s="16" t="s">
        <v>108</v>
      </c>
      <c r="G5610" s="22">
        <v>4</v>
      </c>
      <c r="H5610" s="18">
        <v>2.56</v>
      </c>
      <c r="I5610" s="18">
        <v>0.64</v>
      </c>
      <c r="J5610" s="18">
        <v>0.64</v>
      </c>
      <c r="K5610" s="18">
        <v>0.64</v>
      </c>
      <c r="L5610" s="22">
        <v>1</v>
      </c>
    </row>
    <row r="5611" spans="1:12">
      <c r="A5611">
        <v>6</v>
      </c>
      <c r="B5611" s="16" t="s">
        <v>61</v>
      </c>
      <c r="C5611" s="9">
        <v>45870</v>
      </c>
      <c r="D5611">
        <v>40</v>
      </c>
      <c r="E5611" s="16" t="s">
        <v>129</v>
      </c>
      <c r="F5611" s="16" t="s">
        <v>108</v>
      </c>
      <c r="G5611" s="22">
        <v>4</v>
      </c>
      <c r="H5611" s="18">
        <v>2.6</v>
      </c>
      <c r="I5611" s="18">
        <v>0.65</v>
      </c>
      <c r="J5611" s="18">
        <v>0.65</v>
      </c>
      <c r="K5611" s="18">
        <v>0.65</v>
      </c>
      <c r="L5611" s="22">
        <v>1</v>
      </c>
    </row>
    <row r="5612" spans="1:12">
      <c r="A5612">
        <v>6</v>
      </c>
      <c r="B5612" s="16" t="s">
        <v>61</v>
      </c>
      <c r="C5612" s="9">
        <v>45901</v>
      </c>
      <c r="D5612">
        <v>40</v>
      </c>
      <c r="E5612" s="16" t="s">
        <v>129</v>
      </c>
      <c r="F5612" s="16" t="s">
        <v>108</v>
      </c>
      <c r="G5612" s="22">
        <v>4</v>
      </c>
      <c r="H5612" s="18">
        <v>2.64</v>
      </c>
      <c r="I5612" s="18">
        <v>0.66</v>
      </c>
      <c r="J5612" s="18">
        <v>0.66</v>
      </c>
      <c r="K5612" s="18">
        <v>0.66</v>
      </c>
      <c r="L5612" s="22">
        <v>1</v>
      </c>
    </row>
    <row r="5613" spans="1:12">
      <c r="A5613">
        <v>6</v>
      </c>
      <c r="B5613" s="16" t="s">
        <v>61</v>
      </c>
      <c r="C5613" s="9">
        <v>45931</v>
      </c>
      <c r="D5613">
        <v>40</v>
      </c>
      <c r="E5613" s="16" t="s">
        <v>129</v>
      </c>
      <c r="F5613" s="16" t="s">
        <v>108</v>
      </c>
      <c r="G5613" s="22">
        <v>4</v>
      </c>
      <c r="H5613" s="18">
        <v>2.6</v>
      </c>
      <c r="I5613" s="18">
        <v>0.65</v>
      </c>
      <c r="J5613" s="18">
        <v>0.65</v>
      </c>
      <c r="K5613" s="18">
        <v>0.65</v>
      </c>
      <c r="L5613" s="22">
        <v>1</v>
      </c>
    </row>
    <row r="5614" spans="1:12">
      <c r="A5614">
        <v>6</v>
      </c>
      <c r="B5614" s="16" t="s">
        <v>61</v>
      </c>
      <c r="C5614" s="9">
        <v>45992</v>
      </c>
      <c r="D5614">
        <v>40</v>
      </c>
      <c r="E5614" s="16" t="s">
        <v>129</v>
      </c>
      <c r="F5614" s="16" t="s">
        <v>108</v>
      </c>
      <c r="G5614" s="22">
        <v>8</v>
      </c>
      <c r="H5614" s="18">
        <v>5.2</v>
      </c>
      <c r="I5614" s="18">
        <v>0.65</v>
      </c>
      <c r="J5614" s="18">
        <v>0.65</v>
      </c>
      <c r="K5614" s="18">
        <v>0.65</v>
      </c>
      <c r="L5614" s="22">
        <v>2</v>
      </c>
    </row>
    <row r="5615" spans="1:12">
      <c r="A5615">
        <v>6</v>
      </c>
      <c r="B5615" s="16" t="s">
        <v>61</v>
      </c>
      <c r="C5615" s="9">
        <v>46023</v>
      </c>
      <c r="D5615">
        <v>40</v>
      </c>
      <c r="E5615" s="16" t="s">
        <v>129</v>
      </c>
      <c r="F5615" s="16" t="s">
        <v>108</v>
      </c>
      <c r="G5615" s="22">
        <v>4</v>
      </c>
      <c r="H5615" s="18">
        <v>2.6</v>
      </c>
      <c r="I5615" s="18">
        <v>0.65</v>
      </c>
      <c r="J5615" s="18">
        <v>0.65</v>
      </c>
      <c r="K5615" s="18">
        <v>0.65</v>
      </c>
      <c r="L5615" s="22">
        <v>1</v>
      </c>
    </row>
    <row r="5616" spans="1:12">
      <c r="A5616">
        <v>6</v>
      </c>
      <c r="B5616" s="16" t="s">
        <v>61</v>
      </c>
      <c r="C5616" s="9">
        <v>46082</v>
      </c>
      <c r="D5616">
        <v>40</v>
      </c>
      <c r="E5616" s="16" t="s">
        <v>129</v>
      </c>
      <c r="F5616" s="16" t="s">
        <v>108</v>
      </c>
      <c r="G5616" s="22">
        <v>4</v>
      </c>
      <c r="H5616" s="18">
        <v>2.56</v>
      </c>
      <c r="I5616" s="18">
        <v>0.64</v>
      </c>
      <c r="J5616" s="18">
        <v>0.64</v>
      </c>
      <c r="K5616" s="18">
        <v>0.64</v>
      </c>
      <c r="L5616" s="22">
        <v>1</v>
      </c>
    </row>
    <row r="5617" spans="1:12">
      <c r="A5617">
        <v>6</v>
      </c>
      <c r="B5617" s="16" t="s">
        <v>61</v>
      </c>
      <c r="C5617" s="9">
        <v>46113</v>
      </c>
      <c r="D5617">
        <v>40</v>
      </c>
      <c r="E5617" s="16" t="s">
        <v>129</v>
      </c>
      <c r="F5617" s="16" t="s">
        <v>108</v>
      </c>
      <c r="G5617" s="22">
        <v>4</v>
      </c>
      <c r="H5617" s="18">
        <v>2.48</v>
      </c>
      <c r="I5617" s="18">
        <v>0.62</v>
      </c>
      <c r="J5617" s="18">
        <v>0.62</v>
      </c>
      <c r="K5617" s="18">
        <v>0.62</v>
      </c>
      <c r="L5617" s="22">
        <v>1</v>
      </c>
    </row>
    <row r="5618" spans="1:12">
      <c r="A5618">
        <v>6</v>
      </c>
      <c r="B5618" s="16" t="s">
        <v>61</v>
      </c>
      <c r="C5618" s="9">
        <v>46204</v>
      </c>
      <c r="D5618">
        <v>40</v>
      </c>
      <c r="E5618" s="16" t="s">
        <v>129</v>
      </c>
      <c r="F5618" s="16" t="s">
        <v>108</v>
      </c>
      <c r="G5618" s="22">
        <v>4</v>
      </c>
      <c r="H5618" s="18">
        <v>2.52</v>
      </c>
      <c r="I5618" s="18">
        <v>0.63</v>
      </c>
      <c r="J5618" s="18">
        <v>0.63</v>
      </c>
      <c r="K5618" s="18">
        <v>0.63</v>
      </c>
      <c r="L5618" s="22">
        <v>1</v>
      </c>
    </row>
    <row r="5619" spans="1:12">
      <c r="A5619">
        <v>6</v>
      </c>
      <c r="B5619" s="16" t="s">
        <v>61</v>
      </c>
      <c r="C5619" s="9">
        <v>46266</v>
      </c>
      <c r="D5619">
        <v>40</v>
      </c>
      <c r="E5619" s="16" t="s">
        <v>129</v>
      </c>
      <c r="F5619" s="16" t="s">
        <v>108</v>
      </c>
      <c r="G5619" s="22">
        <v>4</v>
      </c>
      <c r="H5619" s="18">
        <v>2.64</v>
      </c>
      <c r="I5619" s="18">
        <v>0.66</v>
      </c>
      <c r="J5619" s="18">
        <v>0.66</v>
      </c>
      <c r="K5619" s="18">
        <v>0.66</v>
      </c>
      <c r="L5619" s="22">
        <v>1</v>
      </c>
    </row>
    <row r="5620" spans="1:12">
      <c r="A5620">
        <v>6</v>
      </c>
      <c r="B5620" s="16" t="s">
        <v>61</v>
      </c>
      <c r="C5620" s="9">
        <v>45689</v>
      </c>
      <c r="D5620">
        <v>41</v>
      </c>
      <c r="E5620" s="16" t="s">
        <v>130</v>
      </c>
      <c r="F5620" s="16" t="s">
        <v>87</v>
      </c>
      <c r="G5620" s="22">
        <v>80.75</v>
      </c>
      <c r="H5620" s="18">
        <v>333.62</v>
      </c>
      <c r="I5620" s="18">
        <v>4.1315170280000002</v>
      </c>
      <c r="J5620" s="18">
        <v>4.2</v>
      </c>
      <c r="K5620" s="18">
        <v>4.09</v>
      </c>
      <c r="L5620" s="22">
        <v>12</v>
      </c>
    </row>
    <row r="5621" spans="1:12">
      <c r="A5621">
        <v>6</v>
      </c>
      <c r="B5621" s="16" t="s">
        <v>61</v>
      </c>
      <c r="C5621" s="9">
        <v>45717</v>
      </c>
      <c r="D5621">
        <v>41</v>
      </c>
      <c r="E5621" s="16" t="s">
        <v>130</v>
      </c>
      <c r="F5621" s="16" t="s">
        <v>87</v>
      </c>
      <c r="G5621" s="22">
        <v>68.25</v>
      </c>
      <c r="H5621" s="18">
        <v>286.85750000000002</v>
      </c>
      <c r="I5621" s="18">
        <v>4.2030402929999999</v>
      </c>
      <c r="J5621" s="18">
        <v>4.25</v>
      </c>
      <c r="K5621" s="18">
        <v>4.12</v>
      </c>
      <c r="L5621" s="22">
        <v>13</v>
      </c>
    </row>
    <row r="5622" spans="1:12">
      <c r="A5622">
        <v>6</v>
      </c>
      <c r="B5622" s="16" t="s">
        <v>61</v>
      </c>
      <c r="C5622" s="9">
        <v>45748</v>
      </c>
      <c r="D5622">
        <v>41</v>
      </c>
      <c r="E5622" s="16" t="s">
        <v>130</v>
      </c>
      <c r="F5622" s="16" t="s">
        <v>87</v>
      </c>
      <c r="G5622" s="22">
        <v>107.25</v>
      </c>
      <c r="H5622" s="18">
        <v>454.3775</v>
      </c>
      <c r="I5622" s="18">
        <v>4.2366200469999997</v>
      </c>
      <c r="J5622" s="18">
        <v>4.43</v>
      </c>
      <c r="K5622" s="18">
        <v>4.1100000000000003</v>
      </c>
      <c r="L5622" s="22">
        <v>13</v>
      </c>
    </row>
    <row r="5623" spans="1:12">
      <c r="A5623">
        <v>6</v>
      </c>
      <c r="B5623" s="16" t="s">
        <v>61</v>
      </c>
      <c r="C5623" s="9">
        <v>45778</v>
      </c>
      <c r="D5623">
        <v>41</v>
      </c>
      <c r="E5623" s="16" t="s">
        <v>130</v>
      </c>
      <c r="F5623" s="16" t="s">
        <v>87</v>
      </c>
      <c r="G5623" s="22">
        <v>111</v>
      </c>
      <c r="H5623" s="18">
        <v>467.10750000000002</v>
      </c>
      <c r="I5623" s="18">
        <v>4.2081756759999998</v>
      </c>
      <c r="J5623" s="18">
        <v>4.28</v>
      </c>
      <c r="K5623" s="18">
        <v>4.12</v>
      </c>
      <c r="L5623" s="22">
        <v>13</v>
      </c>
    </row>
    <row r="5624" spans="1:12">
      <c r="A5624">
        <v>6</v>
      </c>
      <c r="B5624" s="16" t="s">
        <v>61</v>
      </c>
      <c r="C5624" s="9">
        <v>45809</v>
      </c>
      <c r="D5624">
        <v>41</v>
      </c>
      <c r="E5624" s="16" t="s">
        <v>130</v>
      </c>
      <c r="F5624" s="16" t="s">
        <v>87</v>
      </c>
      <c r="G5624" s="22">
        <v>98</v>
      </c>
      <c r="H5624" s="18">
        <v>414.35500000000002</v>
      </c>
      <c r="I5624" s="18">
        <v>4.2281122450000002</v>
      </c>
      <c r="J5624" s="18">
        <v>4.3600000000000003</v>
      </c>
      <c r="K5624" s="18">
        <v>4.13</v>
      </c>
      <c r="L5624" s="22">
        <v>13</v>
      </c>
    </row>
    <row r="5625" spans="1:12">
      <c r="A5625">
        <v>6</v>
      </c>
      <c r="B5625" s="16" t="s">
        <v>61</v>
      </c>
      <c r="C5625" s="9">
        <v>45839</v>
      </c>
      <c r="D5625">
        <v>41</v>
      </c>
      <c r="E5625" s="16" t="s">
        <v>130</v>
      </c>
      <c r="F5625" s="16" t="s">
        <v>87</v>
      </c>
      <c r="G5625" s="22">
        <v>83.75</v>
      </c>
      <c r="H5625" s="18">
        <v>357.61250000000001</v>
      </c>
      <c r="I5625" s="18">
        <v>4.2699999999999996</v>
      </c>
      <c r="J5625" s="18">
        <v>4.37</v>
      </c>
      <c r="K5625" s="18">
        <v>4.0999999999999996</v>
      </c>
      <c r="L5625" s="22">
        <v>13</v>
      </c>
    </row>
    <row r="5626" spans="1:12">
      <c r="A5626">
        <v>6</v>
      </c>
      <c r="B5626" s="16" t="s">
        <v>61</v>
      </c>
      <c r="C5626" s="9">
        <v>45870</v>
      </c>
      <c r="D5626">
        <v>41</v>
      </c>
      <c r="E5626" s="16" t="s">
        <v>130</v>
      </c>
      <c r="F5626" s="16" t="s">
        <v>87</v>
      </c>
      <c r="G5626" s="22">
        <v>80.25</v>
      </c>
      <c r="H5626" s="18">
        <v>344.36750000000001</v>
      </c>
      <c r="I5626" s="18">
        <v>4.2911838009999999</v>
      </c>
      <c r="J5626" s="18">
        <v>4.59</v>
      </c>
      <c r="K5626" s="18">
        <v>4.17</v>
      </c>
      <c r="L5626" s="22">
        <v>13</v>
      </c>
    </row>
    <row r="5627" spans="1:12">
      <c r="A5627">
        <v>6</v>
      </c>
      <c r="B5627" s="16" t="s">
        <v>61</v>
      </c>
      <c r="C5627" s="9">
        <v>45901</v>
      </c>
      <c r="D5627">
        <v>41</v>
      </c>
      <c r="E5627" s="16" t="s">
        <v>130</v>
      </c>
      <c r="F5627" s="16" t="s">
        <v>87</v>
      </c>
      <c r="G5627" s="22">
        <v>87.5</v>
      </c>
      <c r="H5627" s="18">
        <v>375.88249999999999</v>
      </c>
      <c r="I5627" s="18">
        <v>4.2957999999999998</v>
      </c>
      <c r="J5627" s="18">
        <v>4.59</v>
      </c>
      <c r="K5627" s="18">
        <v>4.22</v>
      </c>
      <c r="L5627" s="22">
        <v>13</v>
      </c>
    </row>
    <row r="5628" spans="1:12">
      <c r="A5628">
        <v>6</v>
      </c>
      <c r="B5628" s="16" t="s">
        <v>61</v>
      </c>
      <c r="C5628" s="9">
        <v>45931</v>
      </c>
      <c r="D5628">
        <v>41</v>
      </c>
      <c r="E5628" s="16" t="s">
        <v>130</v>
      </c>
      <c r="F5628" s="16" t="s">
        <v>87</v>
      </c>
      <c r="G5628" s="22">
        <v>116.75</v>
      </c>
      <c r="H5628" s="18">
        <v>498.17250000000001</v>
      </c>
      <c r="I5628" s="18">
        <v>4.2670021409999999</v>
      </c>
      <c r="J5628" s="18">
        <v>4.3600000000000003</v>
      </c>
      <c r="K5628" s="18">
        <v>4.21</v>
      </c>
      <c r="L5628" s="22">
        <v>14</v>
      </c>
    </row>
    <row r="5629" spans="1:12">
      <c r="A5629">
        <v>6</v>
      </c>
      <c r="B5629" s="16" t="s">
        <v>61</v>
      </c>
      <c r="C5629" s="9">
        <v>45962</v>
      </c>
      <c r="D5629">
        <v>41</v>
      </c>
      <c r="E5629" s="16" t="s">
        <v>130</v>
      </c>
      <c r="F5629" s="16" t="s">
        <v>87</v>
      </c>
      <c r="G5629" s="22">
        <v>78.75</v>
      </c>
      <c r="H5629" s="18">
        <v>337.63749999999999</v>
      </c>
      <c r="I5629" s="18">
        <v>4.2874603169999999</v>
      </c>
      <c r="J5629" s="18">
        <v>4.37</v>
      </c>
      <c r="K5629" s="18">
        <v>4.2</v>
      </c>
      <c r="L5629" s="22">
        <v>12</v>
      </c>
    </row>
    <row r="5630" spans="1:12">
      <c r="A5630">
        <v>6</v>
      </c>
      <c r="B5630" s="16" t="s">
        <v>61</v>
      </c>
      <c r="C5630" s="9">
        <v>45992</v>
      </c>
      <c r="D5630">
        <v>41</v>
      </c>
      <c r="E5630" s="16" t="s">
        <v>130</v>
      </c>
      <c r="F5630" s="16" t="s">
        <v>87</v>
      </c>
      <c r="G5630" s="22">
        <v>76.75</v>
      </c>
      <c r="H5630" s="18">
        <v>328.66500000000002</v>
      </c>
      <c r="I5630" s="18">
        <v>4.2822801300000002</v>
      </c>
      <c r="J5630" s="18">
        <v>4.58</v>
      </c>
      <c r="K5630" s="18">
        <v>4.2</v>
      </c>
      <c r="L5630" s="22">
        <v>14</v>
      </c>
    </row>
    <row r="5631" spans="1:12">
      <c r="A5631">
        <v>6</v>
      </c>
      <c r="B5631" s="16" t="s">
        <v>61</v>
      </c>
      <c r="C5631" s="9">
        <v>46023</v>
      </c>
      <c r="D5631">
        <v>41</v>
      </c>
      <c r="E5631" s="16" t="s">
        <v>130</v>
      </c>
      <c r="F5631" s="16" t="s">
        <v>87</v>
      </c>
      <c r="G5631" s="22">
        <v>104.25</v>
      </c>
      <c r="H5631" s="18">
        <v>445.6925</v>
      </c>
      <c r="I5631" s="18">
        <v>4.2752278180000003</v>
      </c>
      <c r="J5631" s="18">
        <v>4.3499999999999996</v>
      </c>
      <c r="K5631" s="18">
        <v>4.1900000000000004</v>
      </c>
      <c r="L5631" s="22">
        <v>13</v>
      </c>
    </row>
    <row r="5632" spans="1:12">
      <c r="A5632">
        <v>6</v>
      </c>
      <c r="B5632" s="16" t="s">
        <v>61</v>
      </c>
      <c r="C5632" s="9">
        <v>46054</v>
      </c>
      <c r="D5632">
        <v>41</v>
      </c>
      <c r="E5632" s="16" t="s">
        <v>130</v>
      </c>
      <c r="F5632" s="16" t="s">
        <v>87</v>
      </c>
      <c r="G5632" s="22">
        <v>82.25</v>
      </c>
      <c r="H5632" s="18">
        <v>351.36</v>
      </c>
      <c r="I5632" s="18">
        <v>4.2718541029999999</v>
      </c>
      <c r="J5632" s="18">
        <v>4.3499999999999996</v>
      </c>
      <c r="K5632" s="18">
        <v>4.1900000000000004</v>
      </c>
      <c r="L5632" s="22">
        <v>12</v>
      </c>
    </row>
    <row r="5633" spans="1:12">
      <c r="A5633">
        <v>6</v>
      </c>
      <c r="B5633" s="16" t="s">
        <v>61</v>
      </c>
      <c r="C5633" s="9">
        <v>46082</v>
      </c>
      <c r="D5633">
        <v>41</v>
      </c>
      <c r="E5633" s="16" t="s">
        <v>130</v>
      </c>
      <c r="F5633" s="16" t="s">
        <v>87</v>
      </c>
      <c r="G5633" s="22">
        <v>131</v>
      </c>
      <c r="H5633" s="18">
        <v>560.04250000000002</v>
      </c>
      <c r="I5633" s="18">
        <v>4.2751335880000001</v>
      </c>
      <c r="J5633" s="18">
        <v>4.3499999999999996</v>
      </c>
      <c r="K5633" s="18">
        <v>4.18</v>
      </c>
      <c r="L5633" s="22">
        <v>13</v>
      </c>
    </row>
    <row r="5634" spans="1:12">
      <c r="A5634">
        <v>6</v>
      </c>
      <c r="B5634" s="16" t="s">
        <v>61</v>
      </c>
      <c r="C5634" s="9">
        <v>46113</v>
      </c>
      <c r="D5634">
        <v>41</v>
      </c>
      <c r="E5634" s="16" t="s">
        <v>130</v>
      </c>
      <c r="F5634" s="16" t="s">
        <v>87</v>
      </c>
      <c r="G5634" s="22">
        <v>124.5</v>
      </c>
      <c r="H5634" s="18">
        <v>537.44749999999999</v>
      </c>
      <c r="I5634" s="18">
        <v>4.3168473900000004</v>
      </c>
      <c r="J5634" s="18">
        <v>4.37</v>
      </c>
      <c r="K5634" s="18">
        <v>4.26</v>
      </c>
      <c r="L5634" s="22">
        <v>13</v>
      </c>
    </row>
    <row r="5635" spans="1:12">
      <c r="A5635">
        <v>6</v>
      </c>
      <c r="B5635" s="16" t="s">
        <v>61</v>
      </c>
      <c r="C5635" s="9">
        <v>46143</v>
      </c>
      <c r="D5635">
        <v>41</v>
      </c>
      <c r="E5635" s="16" t="s">
        <v>130</v>
      </c>
      <c r="F5635" s="16" t="s">
        <v>87</v>
      </c>
      <c r="G5635" s="22">
        <v>129.75</v>
      </c>
      <c r="H5635" s="18">
        <v>554.21</v>
      </c>
      <c r="I5635" s="18">
        <v>4.2713680150000002</v>
      </c>
      <c r="J5635" s="18">
        <v>4.38</v>
      </c>
      <c r="K5635" s="18">
        <v>4.1399999999999997</v>
      </c>
      <c r="L5635" s="22">
        <v>13</v>
      </c>
    </row>
    <row r="5636" spans="1:12">
      <c r="A5636">
        <v>6</v>
      </c>
      <c r="B5636" s="16" t="s">
        <v>61</v>
      </c>
      <c r="C5636" s="9">
        <v>46174</v>
      </c>
      <c r="D5636">
        <v>41</v>
      </c>
      <c r="E5636" s="16" t="s">
        <v>130</v>
      </c>
      <c r="F5636" s="16" t="s">
        <v>87</v>
      </c>
      <c r="G5636" s="22">
        <v>128.25</v>
      </c>
      <c r="H5636" s="18">
        <v>547.82249999999999</v>
      </c>
      <c r="I5636" s="18">
        <v>4.2715204680000003</v>
      </c>
      <c r="J5636" s="18">
        <v>4.34</v>
      </c>
      <c r="K5636" s="18">
        <v>4.2</v>
      </c>
      <c r="L5636" s="22">
        <v>13</v>
      </c>
    </row>
    <row r="5637" spans="1:12">
      <c r="A5637">
        <v>6</v>
      </c>
      <c r="B5637" s="16" t="s">
        <v>61</v>
      </c>
      <c r="C5637" s="9">
        <v>46204</v>
      </c>
      <c r="D5637">
        <v>41</v>
      </c>
      <c r="E5637" s="16" t="s">
        <v>130</v>
      </c>
      <c r="F5637" s="16" t="s">
        <v>87</v>
      </c>
      <c r="G5637" s="22">
        <v>136.75</v>
      </c>
      <c r="H5637" s="18">
        <v>591.75</v>
      </c>
      <c r="I5637" s="18">
        <v>4.327239488</v>
      </c>
      <c r="J5637" s="18">
        <v>4.42</v>
      </c>
      <c r="K5637" s="18">
        <v>4.2</v>
      </c>
      <c r="L5637" s="22">
        <v>14</v>
      </c>
    </row>
    <row r="5638" spans="1:12">
      <c r="A5638">
        <v>6</v>
      </c>
      <c r="B5638" s="16" t="s">
        <v>61</v>
      </c>
      <c r="C5638" s="9">
        <v>46235</v>
      </c>
      <c r="D5638">
        <v>41</v>
      </c>
      <c r="E5638" s="16" t="s">
        <v>130</v>
      </c>
      <c r="F5638" s="16" t="s">
        <v>87</v>
      </c>
      <c r="G5638" s="22">
        <v>104.75</v>
      </c>
      <c r="H5638" s="18">
        <v>455.33249999999998</v>
      </c>
      <c r="I5638" s="18">
        <v>4.3468496419999996</v>
      </c>
      <c r="J5638" s="18">
        <v>4.4400000000000004</v>
      </c>
      <c r="K5638" s="18">
        <v>4.2699999999999996</v>
      </c>
      <c r="L5638" s="22">
        <v>13</v>
      </c>
    </row>
    <row r="5639" spans="1:12">
      <c r="A5639">
        <v>6</v>
      </c>
      <c r="B5639" s="16" t="s">
        <v>61</v>
      </c>
      <c r="C5639" s="9">
        <v>46266</v>
      </c>
      <c r="D5639">
        <v>41</v>
      </c>
      <c r="E5639" s="16" t="s">
        <v>130</v>
      </c>
      <c r="F5639" s="16" t="s">
        <v>87</v>
      </c>
      <c r="G5639" s="22">
        <v>133.25</v>
      </c>
      <c r="H5639" s="18">
        <v>577.95249999999999</v>
      </c>
      <c r="I5639" s="18">
        <v>4.337354597</v>
      </c>
      <c r="J5639" s="18">
        <v>4.46</v>
      </c>
      <c r="K5639" s="18">
        <v>4.24</v>
      </c>
      <c r="L5639" s="22">
        <v>13</v>
      </c>
    </row>
    <row r="5640" spans="1:12">
      <c r="A5640">
        <v>6</v>
      </c>
      <c r="B5640" s="16" t="s">
        <v>61</v>
      </c>
      <c r="C5640" s="9">
        <v>45689</v>
      </c>
      <c r="D5640">
        <v>42</v>
      </c>
      <c r="E5640" s="16" t="s">
        <v>131</v>
      </c>
      <c r="F5640" s="16" t="s">
        <v>83</v>
      </c>
      <c r="G5640" s="22">
        <v>24</v>
      </c>
      <c r="H5640" s="18">
        <v>161.4</v>
      </c>
      <c r="I5640" s="18">
        <v>6.7249999999999996</v>
      </c>
      <c r="J5640" s="18">
        <v>7.15</v>
      </c>
      <c r="K5640" s="18">
        <v>6.65</v>
      </c>
      <c r="L5640" s="22">
        <v>8</v>
      </c>
    </row>
    <row r="5641" spans="1:12">
      <c r="A5641">
        <v>6</v>
      </c>
      <c r="B5641" s="16" t="s">
        <v>61</v>
      </c>
      <c r="C5641" s="9">
        <v>45717</v>
      </c>
      <c r="D5641">
        <v>42</v>
      </c>
      <c r="E5641" s="16" t="s">
        <v>131</v>
      </c>
      <c r="F5641" s="16" t="s">
        <v>83</v>
      </c>
      <c r="G5641" s="22">
        <v>20.5</v>
      </c>
      <c r="H5641" s="18">
        <v>137.71</v>
      </c>
      <c r="I5641" s="18">
        <v>6.7175609759999997</v>
      </c>
      <c r="J5641" s="18">
        <v>6.83</v>
      </c>
      <c r="K5641" s="18">
        <v>6.5</v>
      </c>
      <c r="L5641" s="22">
        <v>9</v>
      </c>
    </row>
    <row r="5642" spans="1:12">
      <c r="A5642">
        <v>6</v>
      </c>
      <c r="B5642" s="16" t="s">
        <v>61</v>
      </c>
      <c r="C5642" s="9">
        <v>45748</v>
      </c>
      <c r="D5642">
        <v>42</v>
      </c>
      <c r="E5642" s="16" t="s">
        <v>131</v>
      </c>
      <c r="F5642" s="16" t="s">
        <v>83</v>
      </c>
      <c r="G5642" s="22">
        <v>28</v>
      </c>
      <c r="H5642" s="18">
        <v>189.255</v>
      </c>
      <c r="I5642" s="18">
        <v>6.7591071429999996</v>
      </c>
      <c r="J5642" s="18">
        <v>6.8</v>
      </c>
      <c r="K5642" s="18">
        <v>6.64</v>
      </c>
      <c r="L5642" s="22">
        <v>8</v>
      </c>
    </row>
    <row r="5643" spans="1:12">
      <c r="A5643">
        <v>6</v>
      </c>
      <c r="B5643" s="16" t="s">
        <v>61</v>
      </c>
      <c r="C5643" s="9">
        <v>45778</v>
      </c>
      <c r="D5643">
        <v>42</v>
      </c>
      <c r="E5643" s="16" t="s">
        <v>131</v>
      </c>
      <c r="F5643" s="16" t="s">
        <v>83</v>
      </c>
      <c r="G5643" s="22">
        <v>26</v>
      </c>
      <c r="H5643" s="18">
        <v>177.08</v>
      </c>
      <c r="I5643" s="18">
        <v>6.8107692310000001</v>
      </c>
      <c r="J5643" s="18">
        <v>6.93</v>
      </c>
      <c r="K5643" s="18">
        <v>6.69</v>
      </c>
      <c r="L5643" s="22">
        <v>9</v>
      </c>
    </row>
    <row r="5644" spans="1:12">
      <c r="A5644">
        <v>6</v>
      </c>
      <c r="B5644" s="16" t="s">
        <v>61</v>
      </c>
      <c r="C5644" s="9">
        <v>45809</v>
      </c>
      <c r="D5644">
        <v>42</v>
      </c>
      <c r="E5644" s="16" t="s">
        <v>131</v>
      </c>
      <c r="F5644" s="16" t="s">
        <v>83</v>
      </c>
      <c r="G5644" s="22">
        <v>21.5</v>
      </c>
      <c r="H5644" s="18">
        <v>147.155</v>
      </c>
      <c r="I5644" s="18">
        <v>6.8444186050000004</v>
      </c>
      <c r="J5644" s="18">
        <v>6.9</v>
      </c>
      <c r="K5644" s="18">
        <v>6.78</v>
      </c>
      <c r="L5644" s="22">
        <v>9</v>
      </c>
    </row>
    <row r="5645" spans="1:12">
      <c r="A5645">
        <v>6</v>
      </c>
      <c r="B5645" s="16" t="s">
        <v>61</v>
      </c>
      <c r="C5645" s="9">
        <v>45839</v>
      </c>
      <c r="D5645">
        <v>42</v>
      </c>
      <c r="E5645" s="16" t="s">
        <v>131</v>
      </c>
      <c r="F5645" s="16" t="s">
        <v>83</v>
      </c>
      <c r="G5645" s="22">
        <v>26</v>
      </c>
      <c r="H5645" s="18">
        <v>179.5</v>
      </c>
      <c r="I5645" s="18">
        <v>6.903846154</v>
      </c>
      <c r="J5645" s="18">
        <v>7.04</v>
      </c>
      <c r="K5645" s="18">
        <v>6.7</v>
      </c>
      <c r="L5645" s="22">
        <v>9</v>
      </c>
    </row>
    <row r="5646" spans="1:12">
      <c r="A5646">
        <v>6</v>
      </c>
      <c r="B5646" s="16" t="s">
        <v>61</v>
      </c>
      <c r="C5646" s="9">
        <v>45870</v>
      </c>
      <c r="D5646">
        <v>42</v>
      </c>
      <c r="E5646" s="16" t="s">
        <v>131</v>
      </c>
      <c r="F5646" s="16" t="s">
        <v>83</v>
      </c>
      <c r="G5646" s="22">
        <v>18.5</v>
      </c>
      <c r="H5646" s="18">
        <v>128.435</v>
      </c>
      <c r="I5646" s="18">
        <v>6.9424324320000004</v>
      </c>
      <c r="J5646" s="18">
        <v>7.02</v>
      </c>
      <c r="K5646" s="18">
        <v>6.86</v>
      </c>
      <c r="L5646" s="22">
        <v>7</v>
      </c>
    </row>
    <row r="5647" spans="1:12">
      <c r="A5647">
        <v>6</v>
      </c>
      <c r="B5647" s="16" t="s">
        <v>61</v>
      </c>
      <c r="C5647" s="9">
        <v>45901</v>
      </c>
      <c r="D5647">
        <v>42</v>
      </c>
      <c r="E5647" s="16" t="s">
        <v>131</v>
      </c>
      <c r="F5647" s="16" t="s">
        <v>83</v>
      </c>
      <c r="G5647" s="22">
        <v>20.5</v>
      </c>
      <c r="H5647" s="18">
        <v>142.63</v>
      </c>
      <c r="I5647" s="18">
        <v>6.9575609759999999</v>
      </c>
      <c r="J5647" s="18">
        <v>7.06</v>
      </c>
      <c r="K5647" s="18">
        <v>6.76</v>
      </c>
      <c r="L5647" s="22">
        <v>8</v>
      </c>
    </row>
    <row r="5648" spans="1:12">
      <c r="A5648">
        <v>6</v>
      </c>
      <c r="B5648" s="16" t="s">
        <v>61</v>
      </c>
      <c r="C5648" s="9">
        <v>45931</v>
      </c>
      <c r="D5648">
        <v>42</v>
      </c>
      <c r="E5648" s="16" t="s">
        <v>131</v>
      </c>
      <c r="F5648" s="16" t="s">
        <v>83</v>
      </c>
      <c r="G5648" s="22">
        <v>32.5</v>
      </c>
      <c r="H5648" s="18">
        <v>222.77500000000001</v>
      </c>
      <c r="I5648" s="18">
        <v>6.8546153849999998</v>
      </c>
      <c r="J5648" s="18">
        <v>6.97</v>
      </c>
      <c r="K5648" s="18">
        <v>6.71</v>
      </c>
      <c r="L5648" s="22">
        <v>9</v>
      </c>
    </row>
    <row r="5649" spans="1:12">
      <c r="A5649">
        <v>6</v>
      </c>
      <c r="B5649" s="16" t="s">
        <v>61</v>
      </c>
      <c r="C5649" s="9">
        <v>45962</v>
      </c>
      <c r="D5649">
        <v>42</v>
      </c>
      <c r="E5649" s="16" t="s">
        <v>131</v>
      </c>
      <c r="F5649" s="16" t="s">
        <v>83</v>
      </c>
      <c r="G5649" s="22">
        <v>23</v>
      </c>
      <c r="H5649" s="18">
        <v>159.36000000000001</v>
      </c>
      <c r="I5649" s="18">
        <v>6.928695652</v>
      </c>
      <c r="J5649" s="18">
        <v>7.01</v>
      </c>
      <c r="K5649" s="18">
        <v>6.78</v>
      </c>
      <c r="L5649" s="22">
        <v>7</v>
      </c>
    </row>
    <row r="5650" spans="1:12">
      <c r="A5650">
        <v>6</v>
      </c>
      <c r="B5650" s="16" t="s">
        <v>61</v>
      </c>
      <c r="C5650" s="9">
        <v>45992</v>
      </c>
      <c r="D5650">
        <v>42</v>
      </c>
      <c r="E5650" s="16" t="s">
        <v>131</v>
      </c>
      <c r="F5650" s="16" t="s">
        <v>83</v>
      </c>
      <c r="G5650" s="22">
        <v>28</v>
      </c>
      <c r="H5650" s="18">
        <v>193.095</v>
      </c>
      <c r="I5650" s="18">
        <v>6.8962500000000002</v>
      </c>
      <c r="J5650" s="18">
        <v>6.96</v>
      </c>
      <c r="K5650" s="18">
        <v>6.83</v>
      </c>
      <c r="L5650" s="22">
        <v>9</v>
      </c>
    </row>
    <row r="5651" spans="1:12">
      <c r="A5651">
        <v>6</v>
      </c>
      <c r="B5651" s="16" t="s">
        <v>61</v>
      </c>
      <c r="C5651" s="9">
        <v>46023</v>
      </c>
      <c r="D5651">
        <v>42</v>
      </c>
      <c r="E5651" s="16" t="s">
        <v>131</v>
      </c>
      <c r="F5651" s="16" t="s">
        <v>83</v>
      </c>
      <c r="G5651" s="22">
        <v>27</v>
      </c>
      <c r="H5651" s="18">
        <v>188.86500000000001</v>
      </c>
      <c r="I5651" s="18">
        <v>6.9950000000000001</v>
      </c>
      <c r="J5651" s="18">
        <v>7.1</v>
      </c>
      <c r="K5651" s="18">
        <v>6.84</v>
      </c>
      <c r="L5651" s="22">
        <v>9</v>
      </c>
    </row>
    <row r="5652" spans="1:12">
      <c r="A5652">
        <v>6</v>
      </c>
      <c r="B5652" s="16" t="s">
        <v>61</v>
      </c>
      <c r="C5652" s="9">
        <v>46054</v>
      </c>
      <c r="D5652">
        <v>42</v>
      </c>
      <c r="E5652" s="16" t="s">
        <v>131</v>
      </c>
      <c r="F5652" s="16" t="s">
        <v>83</v>
      </c>
      <c r="G5652" s="22">
        <v>29</v>
      </c>
      <c r="H5652" s="18">
        <v>203.35</v>
      </c>
      <c r="I5652" s="18">
        <v>7.0120689660000002</v>
      </c>
      <c r="J5652" s="18">
        <v>7.12</v>
      </c>
      <c r="K5652" s="18">
        <v>6.87</v>
      </c>
      <c r="L5652" s="22">
        <v>8</v>
      </c>
    </row>
    <row r="5653" spans="1:12">
      <c r="A5653">
        <v>6</v>
      </c>
      <c r="B5653" s="16" t="s">
        <v>61</v>
      </c>
      <c r="C5653" s="9">
        <v>46082</v>
      </c>
      <c r="D5653">
        <v>42</v>
      </c>
      <c r="E5653" s="16" t="s">
        <v>131</v>
      </c>
      <c r="F5653" s="16" t="s">
        <v>83</v>
      </c>
      <c r="G5653" s="22">
        <v>37.5</v>
      </c>
      <c r="H5653" s="18">
        <v>266.76499999999999</v>
      </c>
      <c r="I5653" s="18">
        <v>7.1137333329999999</v>
      </c>
      <c r="J5653" s="18">
        <v>7.22</v>
      </c>
      <c r="K5653" s="18">
        <v>7.03</v>
      </c>
      <c r="L5653" s="22">
        <v>9</v>
      </c>
    </row>
    <row r="5654" spans="1:12">
      <c r="A5654">
        <v>6</v>
      </c>
      <c r="B5654" s="16" t="s">
        <v>61</v>
      </c>
      <c r="C5654" s="9">
        <v>46113</v>
      </c>
      <c r="D5654">
        <v>42</v>
      </c>
      <c r="E5654" s="16" t="s">
        <v>131</v>
      </c>
      <c r="F5654" s="16" t="s">
        <v>83</v>
      </c>
      <c r="G5654" s="22">
        <v>37</v>
      </c>
      <c r="H5654" s="18">
        <v>262.82</v>
      </c>
      <c r="I5654" s="18">
        <v>7.1032432429999997</v>
      </c>
      <c r="J5654" s="18">
        <v>7.21</v>
      </c>
      <c r="K5654" s="18">
        <v>6.99</v>
      </c>
      <c r="L5654" s="22">
        <v>9</v>
      </c>
    </row>
    <row r="5655" spans="1:12">
      <c r="A5655">
        <v>6</v>
      </c>
      <c r="B5655" s="16" t="s">
        <v>61</v>
      </c>
      <c r="C5655" s="9">
        <v>46143</v>
      </c>
      <c r="D5655">
        <v>42</v>
      </c>
      <c r="E5655" s="16" t="s">
        <v>131</v>
      </c>
      <c r="F5655" s="16" t="s">
        <v>83</v>
      </c>
      <c r="G5655" s="22">
        <v>34.5</v>
      </c>
      <c r="H5655" s="18">
        <v>246.76499999999999</v>
      </c>
      <c r="I5655" s="18">
        <v>7.1526086959999997</v>
      </c>
      <c r="J5655" s="18">
        <v>7.25</v>
      </c>
      <c r="K5655" s="18">
        <v>7.02</v>
      </c>
      <c r="L5655" s="22">
        <v>8</v>
      </c>
    </row>
    <row r="5656" spans="1:12">
      <c r="A5656">
        <v>6</v>
      </c>
      <c r="B5656" s="16" t="s">
        <v>61</v>
      </c>
      <c r="C5656" s="9">
        <v>46174</v>
      </c>
      <c r="D5656">
        <v>42</v>
      </c>
      <c r="E5656" s="16" t="s">
        <v>131</v>
      </c>
      <c r="F5656" s="16" t="s">
        <v>83</v>
      </c>
      <c r="G5656" s="22">
        <v>27.5</v>
      </c>
      <c r="H5656" s="18">
        <v>197.14500000000001</v>
      </c>
      <c r="I5656" s="18">
        <v>7.1689090909999997</v>
      </c>
      <c r="J5656" s="18">
        <v>7.24</v>
      </c>
      <c r="K5656" s="18">
        <v>7.09</v>
      </c>
      <c r="L5656" s="22">
        <v>8</v>
      </c>
    </row>
    <row r="5657" spans="1:12">
      <c r="A5657">
        <v>6</v>
      </c>
      <c r="B5657" s="16" t="s">
        <v>61</v>
      </c>
      <c r="C5657" s="9">
        <v>46204</v>
      </c>
      <c r="D5657">
        <v>42</v>
      </c>
      <c r="E5657" s="16" t="s">
        <v>131</v>
      </c>
      <c r="F5657" s="16" t="s">
        <v>83</v>
      </c>
      <c r="G5657" s="22">
        <v>25.5</v>
      </c>
      <c r="H5657" s="18">
        <v>183.155</v>
      </c>
      <c r="I5657" s="18">
        <v>7.1825490199999997</v>
      </c>
      <c r="J5657" s="18">
        <v>7.42</v>
      </c>
      <c r="K5657" s="18">
        <v>7.03</v>
      </c>
      <c r="L5657" s="22">
        <v>9</v>
      </c>
    </row>
    <row r="5658" spans="1:12">
      <c r="A5658">
        <v>6</v>
      </c>
      <c r="B5658" s="16" t="s">
        <v>61</v>
      </c>
      <c r="C5658" s="9">
        <v>46235</v>
      </c>
      <c r="D5658">
        <v>42</v>
      </c>
      <c r="E5658" s="16" t="s">
        <v>131</v>
      </c>
      <c r="F5658" s="16" t="s">
        <v>83</v>
      </c>
      <c r="G5658" s="22">
        <v>22.5</v>
      </c>
      <c r="H5658" s="18">
        <v>159.82499999999999</v>
      </c>
      <c r="I5658" s="18">
        <v>7.1033333330000001</v>
      </c>
      <c r="J5658" s="18">
        <v>7.19</v>
      </c>
      <c r="K5658" s="18">
        <v>7</v>
      </c>
      <c r="L5658" s="22">
        <v>8</v>
      </c>
    </row>
    <row r="5659" spans="1:12">
      <c r="A5659">
        <v>6</v>
      </c>
      <c r="B5659" s="16" t="s">
        <v>61</v>
      </c>
      <c r="C5659" s="9">
        <v>46266</v>
      </c>
      <c r="D5659">
        <v>42</v>
      </c>
      <c r="E5659" s="16" t="s">
        <v>131</v>
      </c>
      <c r="F5659" s="16" t="s">
        <v>83</v>
      </c>
      <c r="G5659" s="22">
        <v>27</v>
      </c>
      <c r="H5659" s="18">
        <v>192.7</v>
      </c>
      <c r="I5659" s="18">
        <v>7.1370370369999998</v>
      </c>
      <c r="J5659" s="18">
        <v>7.34</v>
      </c>
      <c r="K5659" s="18">
        <v>7</v>
      </c>
      <c r="L5659" s="22">
        <v>8</v>
      </c>
    </row>
    <row r="5660" spans="1:12">
      <c r="A5660">
        <v>6</v>
      </c>
      <c r="B5660" s="16" t="s">
        <v>61</v>
      </c>
      <c r="C5660" s="9">
        <v>45689</v>
      </c>
      <c r="D5660">
        <v>43</v>
      </c>
      <c r="E5660" s="16" t="s">
        <v>132</v>
      </c>
      <c r="F5660" s="16" t="s">
        <v>90</v>
      </c>
      <c r="G5660" s="22">
        <v>3</v>
      </c>
      <c r="H5660" s="18">
        <v>3.75</v>
      </c>
      <c r="I5660" s="18">
        <v>1.25</v>
      </c>
      <c r="J5660" s="18">
        <v>1.25</v>
      </c>
      <c r="K5660" s="18">
        <v>1.25</v>
      </c>
      <c r="L5660" s="22">
        <v>1</v>
      </c>
    </row>
    <row r="5661" spans="1:12">
      <c r="A5661">
        <v>6</v>
      </c>
      <c r="B5661" s="16" t="s">
        <v>61</v>
      </c>
      <c r="C5661" s="9">
        <v>45717</v>
      </c>
      <c r="D5661">
        <v>43</v>
      </c>
      <c r="E5661" s="16" t="s">
        <v>132</v>
      </c>
      <c r="F5661" s="16" t="s">
        <v>90</v>
      </c>
      <c r="G5661" s="22">
        <v>3</v>
      </c>
      <c r="H5661" s="18">
        <v>3.81</v>
      </c>
      <c r="I5661" s="18">
        <v>1.27</v>
      </c>
      <c r="J5661" s="18">
        <v>1.27</v>
      </c>
      <c r="K5661" s="18">
        <v>1.27</v>
      </c>
      <c r="L5661" s="22">
        <v>1</v>
      </c>
    </row>
    <row r="5662" spans="1:12">
      <c r="A5662">
        <v>6</v>
      </c>
      <c r="B5662" s="16" t="s">
        <v>61</v>
      </c>
      <c r="C5662" s="9">
        <v>45748</v>
      </c>
      <c r="D5662">
        <v>43</v>
      </c>
      <c r="E5662" s="16" t="s">
        <v>132</v>
      </c>
      <c r="F5662" s="16" t="s">
        <v>90</v>
      </c>
      <c r="G5662" s="22">
        <v>3</v>
      </c>
      <c r="H5662" s="18">
        <v>3.84</v>
      </c>
      <c r="I5662" s="18">
        <v>1.28</v>
      </c>
      <c r="J5662" s="18">
        <v>1.28</v>
      </c>
      <c r="K5662" s="18">
        <v>1.28</v>
      </c>
      <c r="L5662" s="22">
        <v>1</v>
      </c>
    </row>
    <row r="5663" spans="1:12">
      <c r="A5663">
        <v>6</v>
      </c>
      <c r="B5663" s="16" t="s">
        <v>61</v>
      </c>
      <c r="C5663" s="9">
        <v>45778</v>
      </c>
      <c r="D5663">
        <v>43</v>
      </c>
      <c r="E5663" s="16" t="s">
        <v>132</v>
      </c>
      <c r="F5663" s="16" t="s">
        <v>90</v>
      </c>
      <c r="G5663" s="22">
        <v>3</v>
      </c>
      <c r="H5663" s="18">
        <v>3.84</v>
      </c>
      <c r="I5663" s="18">
        <v>1.28</v>
      </c>
      <c r="J5663" s="18">
        <v>1.28</v>
      </c>
      <c r="K5663" s="18">
        <v>1.28</v>
      </c>
      <c r="L5663" s="22">
        <v>1</v>
      </c>
    </row>
    <row r="5664" spans="1:12">
      <c r="A5664">
        <v>6</v>
      </c>
      <c r="B5664" s="16" t="s">
        <v>61</v>
      </c>
      <c r="C5664" s="9">
        <v>45809</v>
      </c>
      <c r="D5664">
        <v>43</v>
      </c>
      <c r="E5664" s="16" t="s">
        <v>132</v>
      </c>
      <c r="F5664" s="16" t="s">
        <v>90</v>
      </c>
      <c r="G5664" s="22">
        <v>3</v>
      </c>
      <c r="H5664" s="18">
        <v>3.81</v>
      </c>
      <c r="I5664" s="18">
        <v>1.27</v>
      </c>
      <c r="J5664" s="18">
        <v>1.27</v>
      </c>
      <c r="K5664" s="18">
        <v>1.27</v>
      </c>
      <c r="L5664" s="22">
        <v>1</v>
      </c>
    </row>
    <row r="5665" spans="1:12">
      <c r="A5665">
        <v>6</v>
      </c>
      <c r="B5665" s="16" t="s">
        <v>61</v>
      </c>
      <c r="C5665" s="9">
        <v>45839</v>
      </c>
      <c r="D5665">
        <v>43</v>
      </c>
      <c r="E5665" s="16" t="s">
        <v>132</v>
      </c>
      <c r="F5665" s="16" t="s">
        <v>90</v>
      </c>
      <c r="G5665" s="22">
        <v>3</v>
      </c>
      <c r="H5665" s="18">
        <v>3.81</v>
      </c>
      <c r="I5665" s="18">
        <v>1.27</v>
      </c>
      <c r="J5665" s="18">
        <v>1.27</v>
      </c>
      <c r="K5665" s="18">
        <v>1.27</v>
      </c>
      <c r="L5665" s="22">
        <v>1</v>
      </c>
    </row>
    <row r="5666" spans="1:12">
      <c r="A5666">
        <v>6</v>
      </c>
      <c r="B5666" s="16" t="s">
        <v>61</v>
      </c>
      <c r="C5666" s="9">
        <v>45870</v>
      </c>
      <c r="D5666">
        <v>43</v>
      </c>
      <c r="E5666" s="16" t="s">
        <v>132</v>
      </c>
      <c r="F5666" s="16" t="s">
        <v>90</v>
      </c>
      <c r="G5666" s="22">
        <v>3</v>
      </c>
      <c r="H5666" s="18">
        <v>3.93</v>
      </c>
      <c r="I5666" s="18">
        <v>1.31</v>
      </c>
      <c r="J5666" s="18">
        <v>1.31</v>
      </c>
      <c r="K5666" s="18">
        <v>1.31</v>
      </c>
      <c r="L5666" s="22">
        <v>1</v>
      </c>
    </row>
    <row r="5667" spans="1:12">
      <c r="A5667">
        <v>6</v>
      </c>
      <c r="B5667" s="16" t="s">
        <v>61</v>
      </c>
      <c r="C5667" s="9">
        <v>45931</v>
      </c>
      <c r="D5667">
        <v>43</v>
      </c>
      <c r="E5667" s="16" t="s">
        <v>132</v>
      </c>
      <c r="F5667" s="16" t="s">
        <v>90</v>
      </c>
      <c r="G5667" s="22">
        <v>6</v>
      </c>
      <c r="H5667" s="18">
        <v>7.86</v>
      </c>
      <c r="I5667" s="18">
        <v>1.31</v>
      </c>
      <c r="J5667" s="18">
        <v>1.32</v>
      </c>
      <c r="K5667" s="18">
        <v>1.3</v>
      </c>
      <c r="L5667" s="22">
        <v>2</v>
      </c>
    </row>
    <row r="5668" spans="1:12">
      <c r="A5668">
        <v>6</v>
      </c>
      <c r="B5668" s="16" t="s">
        <v>61</v>
      </c>
      <c r="C5668" s="9">
        <v>45962</v>
      </c>
      <c r="D5668">
        <v>43</v>
      </c>
      <c r="E5668" s="16" t="s">
        <v>132</v>
      </c>
      <c r="F5668" s="16" t="s">
        <v>90</v>
      </c>
      <c r="G5668" s="22">
        <v>3</v>
      </c>
      <c r="H5668" s="18">
        <v>3.9</v>
      </c>
      <c r="I5668" s="18">
        <v>1.3</v>
      </c>
      <c r="J5668" s="18">
        <v>1.3</v>
      </c>
      <c r="K5668" s="18">
        <v>1.3</v>
      </c>
      <c r="L5668" s="22">
        <v>1</v>
      </c>
    </row>
    <row r="5669" spans="1:12">
      <c r="A5669">
        <v>6</v>
      </c>
      <c r="B5669" s="16" t="s">
        <v>61</v>
      </c>
      <c r="C5669" s="9">
        <v>45992</v>
      </c>
      <c r="D5669">
        <v>43</v>
      </c>
      <c r="E5669" s="16" t="s">
        <v>132</v>
      </c>
      <c r="F5669" s="16" t="s">
        <v>90</v>
      </c>
      <c r="G5669" s="22">
        <v>3</v>
      </c>
      <c r="H5669" s="18">
        <v>3.93</v>
      </c>
      <c r="I5669" s="18">
        <v>1.31</v>
      </c>
      <c r="J5669" s="18">
        <v>1.31</v>
      </c>
      <c r="K5669" s="18">
        <v>1.31</v>
      </c>
      <c r="L5669" s="22">
        <v>1</v>
      </c>
    </row>
    <row r="5670" spans="1:12">
      <c r="A5670">
        <v>6</v>
      </c>
      <c r="B5670" s="16" t="s">
        <v>61</v>
      </c>
      <c r="C5670" s="9">
        <v>46023</v>
      </c>
      <c r="D5670">
        <v>43</v>
      </c>
      <c r="E5670" s="16" t="s">
        <v>132</v>
      </c>
      <c r="F5670" s="16" t="s">
        <v>90</v>
      </c>
      <c r="G5670" s="22">
        <v>3</v>
      </c>
      <c r="H5670" s="18">
        <v>3.96</v>
      </c>
      <c r="I5670" s="18">
        <v>1.32</v>
      </c>
      <c r="J5670" s="18">
        <v>1.32</v>
      </c>
      <c r="K5670" s="18">
        <v>1.32</v>
      </c>
      <c r="L5670" s="22">
        <v>1</v>
      </c>
    </row>
    <row r="5671" spans="1:12">
      <c r="A5671">
        <v>6</v>
      </c>
      <c r="B5671" s="16" t="s">
        <v>61</v>
      </c>
      <c r="C5671" s="9">
        <v>46054</v>
      </c>
      <c r="D5671">
        <v>43</v>
      </c>
      <c r="E5671" s="16" t="s">
        <v>132</v>
      </c>
      <c r="F5671" s="16" t="s">
        <v>90</v>
      </c>
      <c r="G5671" s="22">
        <v>3</v>
      </c>
      <c r="H5671" s="18">
        <v>4.2</v>
      </c>
      <c r="I5671" s="18">
        <v>1.4</v>
      </c>
      <c r="J5671" s="18">
        <v>1.4</v>
      </c>
      <c r="K5671" s="18">
        <v>1.4</v>
      </c>
      <c r="L5671" s="22">
        <v>1</v>
      </c>
    </row>
    <row r="5672" spans="1:12">
      <c r="A5672">
        <v>6</v>
      </c>
      <c r="B5672" s="16" t="s">
        <v>61</v>
      </c>
      <c r="C5672" s="9">
        <v>46082</v>
      </c>
      <c r="D5672">
        <v>43</v>
      </c>
      <c r="E5672" s="16" t="s">
        <v>132</v>
      </c>
      <c r="F5672" s="16" t="s">
        <v>90</v>
      </c>
      <c r="G5672" s="22">
        <v>6</v>
      </c>
      <c r="H5672" s="18">
        <v>7.74</v>
      </c>
      <c r="I5672" s="18">
        <v>1.29</v>
      </c>
      <c r="J5672" s="18">
        <v>1.29</v>
      </c>
      <c r="K5672" s="18">
        <v>1.29</v>
      </c>
      <c r="L5672" s="22">
        <v>2</v>
      </c>
    </row>
    <row r="5673" spans="1:12">
      <c r="A5673">
        <v>6</v>
      </c>
      <c r="B5673" s="16" t="s">
        <v>61</v>
      </c>
      <c r="C5673" s="9">
        <v>46113</v>
      </c>
      <c r="D5673">
        <v>43</v>
      </c>
      <c r="E5673" s="16" t="s">
        <v>132</v>
      </c>
      <c r="F5673" s="16" t="s">
        <v>90</v>
      </c>
      <c r="G5673" s="22">
        <v>3</v>
      </c>
      <c r="H5673" s="18">
        <v>3.96</v>
      </c>
      <c r="I5673" s="18">
        <v>1.32</v>
      </c>
      <c r="J5673" s="18">
        <v>1.32</v>
      </c>
      <c r="K5673" s="18">
        <v>1.32</v>
      </c>
      <c r="L5673" s="22">
        <v>1</v>
      </c>
    </row>
    <row r="5674" spans="1:12">
      <c r="A5674">
        <v>6</v>
      </c>
      <c r="B5674" s="16" t="s">
        <v>61</v>
      </c>
      <c r="C5674" s="9">
        <v>46143</v>
      </c>
      <c r="D5674">
        <v>43</v>
      </c>
      <c r="E5674" s="16" t="s">
        <v>132</v>
      </c>
      <c r="F5674" s="16" t="s">
        <v>90</v>
      </c>
      <c r="G5674" s="22">
        <v>3</v>
      </c>
      <c r="H5674" s="18">
        <v>3.96</v>
      </c>
      <c r="I5674" s="18">
        <v>1.32</v>
      </c>
      <c r="J5674" s="18">
        <v>1.32</v>
      </c>
      <c r="K5674" s="18">
        <v>1.32</v>
      </c>
      <c r="L5674" s="22">
        <v>1</v>
      </c>
    </row>
    <row r="5675" spans="1:12">
      <c r="A5675">
        <v>6</v>
      </c>
      <c r="B5675" s="16" t="s">
        <v>61</v>
      </c>
      <c r="C5675" s="9">
        <v>46174</v>
      </c>
      <c r="D5675">
        <v>43</v>
      </c>
      <c r="E5675" s="16" t="s">
        <v>132</v>
      </c>
      <c r="F5675" s="16" t="s">
        <v>90</v>
      </c>
      <c r="G5675" s="22">
        <v>3</v>
      </c>
      <c r="H5675" s="18">
        <v>3.99</v>
      </c>
      <c r="I5675" s="18">
        <v>1.33</v>
      </c>
      <c r="J5675" s="18">
        <v>1.33</v>
      </c>
      <c r="K5675" s="18">
        <v>1.33</v>
      </c>
      <c r="L5675" s="22">
        <v>1</v>
      </c>
    </row>
    <row r="5676" spans="1:12">
      <c r="A5676">
        <v>6</v>
      </c>
      <c r="B5676" s="16" t="s">
        <v>61</v>
      </c>
      <c r="C5676" s="9">
        <v>46235</v>
      </c>
      <c r="D5676">
        <v>43</v>
      </c>
      <c r="E5676" s="16" t="s">
        <v>132</v>
      </c>
      <c r="F5676" s="16" t="s">
        <v>90</v>
      </c>
      <c r="G5676" s="22">
        <v>3</v>
      </c>
      <c r="H5676" s="18">
        <v>4.0199999999999996</v>
      </c>
      <c r="I5676" s="18">
        <v>1.34</v>
      </c>
      <c r="J5676" s="18">
        <v>1.34</v>
      </c>
      <c r="K5676" s="18">
        <v>1.34</v>
      </c>
      <c r="L5676" s="22">
        <v>1</v>
      </c>
    </row>
    <row r="5677" spans="1:12">
      <c r="A5677">
        <v>6</v>
      </c>
      <c r="B5677" s="16" t="s">
        <v>61</v>
      </c>
      <c r="C5677" s="9">
        <v>46266</v>
      </c>
      <c r="D5677">
        <v>43</v>
      </c>
      <c r="E5677" s="16" t="s">
        <v>132</v>
      </c>
      <c r="F5677" s="16" t="s">
        <v>90</v>
      </c>
      <c r="G5677" s="22">
        <v>3</v>
      </c>
      <c r="H5677" s="18">
        <v>4.05</v>
      </c>
      <c r="I5677" s="18">
        <v>1.35</v>
      </c>
      <c r="J5677" s="18">
        <v>1.35</v>
      </c>
      <c r="K5677" s="18">
        <v>1.35</v>
      </c>
      <c r="L5677" s="22">
        <v>1</v>
      </c>
    </row>
    <row r="5678" spans="1:12">
      <c r="A5678">
        <v>6</v>
      </c>
      <c r="B5678" s="16" t="s">
        <v>61</v>
      </c>
      <c r="C5678" s="9">
        <v>45689</v>
      </c>
      <c r="D5678">
        <v>44</v>
      </c>
      <c r="E5678" s="16" t="s">
        <v>133</v>
      </c>
      <c r="F5678" s="16" t="s">
        <v>90</v>
      </c>
      <c r="G5678" s="22">
        <v>3.75</v>
      </c>
      <c r="H5678" s="18">
        <v>72.3</v>
      </c>
      <c r="I5678" s="18">
        <v>19.28</v>
      </c>
      <c r="J5678" s="18">
        <v>19.28</v>
      </c>
      <c r="K5678" s="18">
        <v>19.28</v>
      </c>
      <c r="L5678" s="22">
        <v>1</v>
      </c>
    </row>
    <row r="5679" spans="1:12">
      <c r="A5679">
        <v>6</v>
      </c>
      <c r="B5679" s="16" t="s">
        <v>61</v>
      </c>
      <c r="C5679" s="9">
        <v>45717</v>
      </c>
      <c r="D5679">
        <v>44</v>
      </c>
      <c r="E5679" s="16" t="s">
        <v>133</v>
      </c>
      <c r="F5679" s="16" t="s">
        <v>90</v>
      </c>
      <c r="G5679" s="22">
        <v>7.5</v>
      </c>
      <c r="H5679" s="18">
        <v>147.44999999999999</v>
      </c>
      <c r="I5679" s="18">
        <v>19.66</v>
      </c>
      <c r="J5679" s="18">
        <v>19.7</v>
      </c>
      <c r="K5679" s="18">
        <v>19.62</v>
      </c>
      <c r="L5679" s="22">
        <v>2</v>
      </c>
    </row>
    <row r="5680" spans="1:12">
      <c r="A5680">
        <v>6</v>
      </c>
      <c r="B5680" s="16" t="s">
        <v>61</v>
      </c>
      <c r="C5680" s="9">
        <v>45748</v>
      </c>
      <c r="D5680">
        <v>44</v>
      </c>
      <c r="E5680" s="16" t="s">
        <v>133</v>
      </c>
      <c r="F5680" s="16" t="s">
        <v>90</v>
      </c>
      <c r="G5680" s="22">
        <v>11.25</v>
      </c>
      <c r="H5680" s="18">
        <v>219.3</v>
      </c>
      <c r="I5680" s="18">
        <v>19.493333332999999</v>
      </c>
      <c r="J5680" s="18">
        <v>19.97</v>
      </c>
      <c r="K5680" s="18">
        <v>19.100000000000001</v>
      </c>
      <c r="L5680" s="22">
        <v>3</v>
      </c>
    </row>
    <row r="5681" spans="1:12">
      <c r="A5681">
        <v>6</v>
      </c>
      <c r="B5681" s="16" t="s">
        <v>61</v>
      </c>
      <c r="C5681" s="9">
        <v>45778</v>
      </c>
      <c r="D5681">
        <v>44</v>
      </c>
      <c r="E5681" s="16" t="s">
        <v>133</v>
      </c>
      <c r="F5681" s="16" t="s">
        <v>90</v>
      </c>
      <c r="G5681" s="22">
        <v>7.5</v>
      </c>
      <c r="H5681" s="18">
        <v>146.88749999999999</v>
      </c>
      <c r="I5681" s="18">
        <v>19.585000000000001</v>
      </c>
      <c r="J5681" s="18">
        <v>19.62</v>
      </c>
      <c r="K5681" s="18">
        <v>19.55</v>
      </c>
      <c r="L5681" s="22">
        <v>2</v>
      </c>
    </row>
    <row r="5682" spans="1:12">
      <c r="A5682">
        <v>6</v>
      </c>
      <c r="B5682" s="16" t="s">
        <v>61</v>
      </c>
      <c r="C5682" s="9">
        <v>45809</v>
      </c>
      <c r="D5682">
        <v>44</v>
      </c>
      <c r="E5682" s="16" t="s">
        <v>133</v>
      </c>
      <c r="F5682" s="16" t="s">
        <v>90</v>
      </c>
      <c r="G5682" s="22">
        <v>7.5</v>
      </c>
      <c r="H5682" s="18">
        <v>146.58750000000001</v>
      </c>
      <c r="I5682" s="18">
        <v>19.545000000000002</v>
      </c>
      <c r="J5682" s="18">
        <v>19.649999999999999</v>
      </c>
      <c r="K5682" s="18">
        <v>19.440000000000001</v>
      </c>
      <c r="L5682" s="22">
        <v>2</v>
      </c>
    </row>
    <row r="5683" spans="1:12">
      <c r="A5683">
        <v>6</v>
      </c>
      <c r="B5683" s="16" t="s">
        <v>61</v>
      </c>
      <c r="C5683" s="9">
        <v>45839</v>
      </c>
      <c r="D5683">
        <v>44</v>
      </c>
      <c r="E5683" s="16" t="s">
        <v>133</v>
      </c>
      <c r="F5683" s="16" t="s">
        <v>90</v>
      </c>
      <c r="G5683" s="22">
        <v>7.5</v>
      </c>
      <c r="H5683" s="18">
        <v>148.08750000000001</v>
      </c>
      <c r="I5683" s="18">
        <v>19.745000000000001</v>
      </c>
      <c r="J5683" s="18">
        <v>19.8</v>
      </c>
      <c r="K5683" s="18">
        <v>19.690000000000001</v>
      </c>
      <c r="L5683" s="22">
        <v>2</v>
      </c>
    </row>
    <row r="5684" spans="1:12">
      <c r="A5684">
        <v>6</v>
      </c>
      <c r="B5684" s="16" t="s">
        <v>61</v>
      </c>
      <c r="C5684" s="9">
        <v>45870</v>
      </c>
      <c r="D5684">
        <v>44</v>
      </c>
      <c r="E5684" s="16" t="s">
        <v>133</v>
      </c>
      <c r="F5684" s="16" t="s">
        <v>90</v>
      </c>
      <c r="G5684" s="22">
        <v>3.75</v>
      </c>
      <c r="H5684" s="18">
        <v>73.424999999999997</v>
      </c>
      <c r="I5684" s="18">
        <v>19.579999999999998</v>
      </c>
      <c r="J5684" s="18">
        <v>19.579999999999998</v>
      </c>
      <c r="K5684" s="18">
        <v>19.579999999999998</v>
      </c>
      <c r="L5684" s="22">
        <v>1</v>
      </c>
    </row>
    <row r="5685" spans="1:12">
      <c r="A5685">
        <v>6</v>
      </c>
      <c r="B5685" s="16" t="s">
        <v>61</v>
      </c>
      <c r="C5685" s="9">
        <v>45901</v>
      </c>
      <c r="D5685">
        <v>44</v>
      </c>
      <c r="E5685" s="16" t="s">
        <v>133</v>
      </c>
      <c r="F5685" s="16" t="s">
        <v>90</v>
      </c>
      <c r="G5685" s="22">
        <v>7.5</v>
      </c>
      <c r="H5685" s="18">
        <v>147.97499999999999</v>
      </c>
      <c r="I5685" s="18">
        <v>19.73</v>
      </c>
      <c r="J5685" s="18">
        <v>19.809999999999999</v>
      </c>
      <c r="K5685" s="18">
        <v>19.649999999999999</v>
      </c>
      <c r="L5685" s="22">
        <v>2</v>
      </c>
    </row>
    <row r="5686" spans="1:12">
      <c r="A5686">
        <v>6</v>
      </c>
      <c r="B5686" s="16" t="s">
        <v>61</v>
      </c>
      <c r="C5686" s="9">
        <v>45931</v>
      </c>
      <c r="D5686">
        <v>44</v>
      </c>
      <c r="E5686" s="16" t="s">
        <v>133</v>
      </c>
      <c r="F5686" s="16" t="s">
        <v>90</v>
      </c>
      <c r="G5686" s="22">
        <v>11.25</v>
      </c>
      <c r="H5686" s="18">
        <v>220.2</v>
      </c>
      <c r="I5686" s="18">
        <v>19.573333333000001</v>
      </c>
      <c r="J5686" s="18">
        <v>19.809999999999999</v>
      </c>
      <c r="K5686" s="18">
        <v>19.100000000000001</v>
      </c>
      <c r="L5686" s="22">
        <v>2</v>
      </c>
    </row>
    <row r="5687" spans="1:12">
      <c r="A5687">
        <v>6</v>
      </c>
      <c r="B5687" s="16" t="s">
        <v>61</v>
      </c>
      <c r="C5687" s="9">
        <v>45962</v>
      </c>
      <c r="D5687">
        <v>44</v>
      </c>
      <c r="E5687" s="16" t="s">
        <v>133</v>
      </c>
      <c r="F5687" s="16" t="s">
        <v>90</v>
      </c>
      <c r="G5687" s="22">
        <v>7.5</v>
      </c>
      <c r="H5687" s="18">
        <v>149.8125</v>
      </c>
      <c r="I5687" s="18">
        <v>19.975000000000001</v>
      </c>
      <c r="J5687" s="18">
        <v>20.13</v>
      </c>
      <c r="K5687" s="18">
        <v>19.82</v>
      </c>
      <c r="L5687" s="22">
        <v>2</v>
      </c>
    </row>
    <row r="5688" spans="1:12">
      <c r="A5688">
        <v>6</v>
      </c>
      <c r="B5688" s="16" t="s">
        <v>61</v>
      </c>
      <c r="C5688" s="9">
        <v>45992</v>
      </c>
      <c r="D5688">
        <v>44</v>
      </c>
      <c r="E5688" s="16" t="s">
        <v>133</v>
      </c>
      <c r="F5688" s="16" t="s">
        <v>90</v>
      </c>
      <c r="G5688" s="22">
        <v>3.75</v>
      </c>
      <c r="H5688" s="18">
        <v>74.25</v>
      </c>
      <c r="I5688" s="18">
        <v>19.8</v>
      </c>
      <c r="J5688" s="18">
        <v>19.8</v>
      </c>
      <c r="K5688" s="18">
        <v>19.8</v>
      </c>
      <c r="L5688" s="22">
        <v>1</v>
      </c>
    </row>
    <row r="5689" spans="1:12">
      <c r="A5689">
        <v>6</v>
      </c>
      <c r="B5689" s="16" t="s">
        <v>61</v>
      </c>
      <c r="C5689" s="9">
        <v>46023</v>
      </c>
      <c r="D5689">
        <v>44</v>
      </c>
      <c r="E5689" s="16" t="s">
        <v>133</v>
      </c>
      <c r="F5689" s="16" t="s">
        <v>90</v>
      </c>
      <c r="G5689" s="22">
        <v>7.5</v>
      </c>
      <c r="H5689" s="18">
        <v>146.47499999999999</v>
      </c>
      <c r="I5689" s="18">
        <v>19.53</v>
      </c>
      <c r="J5689" s="18">
        <v>19.670000000000002</v>
      </c>
      <c r="K5689" s="18">
        <v>19.39</v>
      </c>
      <c r="L5689" s="22">
        <v>2</v>
      </c>
    </row>
    <row r="5690" spans="1:12">
      <c r="A5690">
        <v>6</v>
      </c>
      <c r="B5690" s="16" t="s">
        <v>61</v>
      </c>
      <c r="C5690" s="9">
        <v>46054</v>
      </c>
      <c r="D5690">
        <v>44</v>
      </c>
      <c r="E5690" s="16" t="s">
        <v>133</v>
      </c>
      <c r="F5690" s="16" t="s">
        <v>90</v>
      </c>
      <c r="G5690" s="22">
        <v>7.5</v>
      </c>
      <c r="H5690" s="18">
        <v>146.25</v>
      </c>
      <c r="I5690" s="18">
        <v>19.5</v>
      </c>
      <c r="J5690" s="18">
        <v>19.77</v>
      </c>
      <c r="K5690" s="18">
        <v>19.23</v>
      </c>
      <c r="L5690" s="22">
        <v>2</v>
      </c>
    </row>
    <row r="5691" spans="1:12">
      <c r="A5691">
        <v>6</v>
      </c>
      <c r="B5691" s="16" t="s">
        <v>61</v>
      </c>
      <c r="C5691" s="9">
        <v>46082</v>
      </c>
      <c r="D5691">
        <v>44</v>
      </c>
      <c r="E5691" s="16" t="s">
        <v>133</v>
      </c>
      <c r="F5691" s="16" t="s">
        <v>90</v>
      </c>
      <c r="G5691" s="22">
        <v>7.5</v>
      </c>
      <c r="H5691" s="18">
        <v>147.26249999999999</v>
      </c>
      <c r="I5691" s="18">
        <v>19.635000000000002</v>
      </c>
      <c r="J5691" s="18">
        <v>19.8</v>
      </c>
      <c r="K5691" s="18">
        <v>19.47</v>
      </c>
      <c r="L5691" s="22">
        <v>2</v>
      </c>
    </row>
    <row r="5692" spans="1:12">
      <c r="A5692">
        <v>6</v>
      </c>
      <c r="B5692" s="16" t="s">
        <v>61</v>
      </c>
      <c r="C5692" s="9">
        <v>46113</v>
      </c>
      <c r="D5692">
        <v>44</v>
      </c>
      <c r="E5692" s="16" t="s">
        <v>133</v>
      </c>
      <c r="F5692" s="16" t="s">
        <v>90</v>
      </c>
      <c r="G5692" s="22">
        <v>11.25</v>
      </c>
      <c r="H5692" s="18">
        <v>221.25</v>
      </c>
      <c r="I5692" s="18">
        <v>19.666666667000001</v>
      </c>
      <c r="J5692" s="18">
        <v>19.899999999999999</v>
      </c>
      <c r="K5692" s="18">
        <v>19.39</v>
      </c>
      <c r="L5692" s="22">
        <v>3</v>
      </c>
    </row>
    <row r="5693" spans="1:12">
      <c r="A5693">
        <v>6</v>
      </c>
      <c r="B5693" s="16" t="s">
        <v>61</v>
      </c>
      <c r="C5693" s="9">
        <v>46143</v>
      </c>
      <c r="D5693">
        <v>44</v>
      </c>
      <c r="E5693" s="16" t="s">
        <v>133</v>
      </c>
      <c r="F5693" s="16" t="s">
        <v>90</v>
      </c>
      <c r="G5693" s="22">
        <v>7.5</v>
      </c>
      <c r="H5693" s="18">
        <v>147.67500000000001</v>
      </c>
      <c r="I5693" s="18">
        <v>19.690000000000001</v>
      </c>
      <c r="J5693" s="18">
        <v>19.989999999999998</v>
      </c>
      <c r="K5693" s="18">
        <v>19.39</v>
      </c>
      <c r="L5693" s="22">
        <v>2</v>
      </c>
    </row>
    <row r="5694" spans="1:12">
      <c r="A5694">
        <v>6</v>
      </c>
      <c r="B5694" s="16" t="s">
        <v>61</v>
      </c>
      <c r="C5694" s="9">
        <v>46174</v>
      </c>
      <c r="D5694">
        <v>44</v>
      </c>
      <c r="E5694" s="16" t="s">
        <v>133</v>
      </c>
      <c r="F5694" s="16" t="s">
        <v>90</v>
      </c>
      <c r="G5694" s="22">
        <v>7.5</v>
      </c>
      <c r="H5694" s="18">
        <v>149.36250000000001</v>
      </c>
      <c r="I5694" s="18">
        <v>19.914999999999999</v>
      </c>
      <c r="J5694" s="18">
        <v>19.96</v>
      </c>
      <c r="K5694" s="18">
        <v>19.87</v>
      </c>
      <c r="L5694" s="22">
        <v>2</v>
      </c>
    </row>
    <row r="5695" spans="1:12">
      <c r="A5695">
        <v>6</v>
      </c>
      <c r="B5695" s="16" t="s">
        <v>61</v>
      </c>
      <c r="C5695" s="9">
        <v>46204</v>
      </c>
      <c r="D5695">
        <v>44</v>
      </c>
      <c r="E5695" s="16" t="s">
        <v>133</v>
      </c>
      <c r="F5695" s="16" t="s">
        <v>90</v>
      </c>
      <c r="G5695" s="22">
        <v>7.5</v>
      </c>
      <c r="H5695" s="18">
        <v>149.32499999999999</v>
      </c>
      <c r="I5695" s="18">
        <v>19.91</v>
      </c>
      <c r="J5695" s="18">
        <v>20</v>
      </c>
      <c r="K5695" s="18">
        <v>19.82</v>
      </c>
      <c r="L5695" s="22">
        <v>2</v>
      </c>
    </row>
    <row r="5696" spans="1:12">
      <c r="A5696">
        <v>6</v>
      </c>
      <c r="B5696" s="16" t="s">
        <v>61</v>
      </c>
      <c r="C5696" s="9">
        <v>46235</v>
      </c>
      <c r="D5696">
        <v>44</v>
      </c>
      <c r="E5696" s="16" t="s">
        <v>133</v>
      </c>
      <c r="F5696" s="16" t="s">
        <v>90</v>
      </c>
      <c r="G5696" s="22">
        <v>7.5</v>
      </c>
      <c r="H5696" s="18">
        <v>150.48750000000001</v>
      </c>
      <c r="I5696" s="18">
        <v>20.065000000000001</v>
      </c>
      <c r="J5696" s="18">
        <v>20.22</v>
      </c>
      <c r="K5696" s="18">
        <v>19.91</v>
      </c>
      <c r="L5696" s="22">
        <v>2</v>
      </c>
    </row>
    <row r="5697" spans="1:12">
      <c r="A5697">
        <v>6</v>
      </c>
      <c r="B5697" s="16" t="s">
        <v>61</v>
      </c>
      <c r="C5697" s="9">
        <v>46266</v>
      </c>
      <c r="D5697">
        <v>44</v>
      </c>
      <c r="E5697" s="16" t="s">
        <v>133</v>
      </c>
      <c r="F5697" s="16" t="s">
        <v>90</v>
      </c>
      <c r="G5697" s="22">
        <v>11.25</v>
      </c>
      <c r="H5697" s="18">
        <v>225.75</v>
      </c>
      <c r="I5697" s="18">
        <v>20.066666667</v>
      </c>
      <c r="J5697" s="18">
        <v>20.18</v>
      </c>
      <c r="K5697" s="18">
        <v>19.97</v>
      </c>
      <c r="L5697" s="22">
        <v>3</v>
      </c>
    </row>
    <row r="5698" spans="1:12">
      <c r="A5698">
        <v>6</v>
      </c>
      <c r="B5698" s="16" t="s">
        <v>61</v>
      </c>
      <c r="C5698" s="9">
        <v>45689</v>
      </c>
      <c r="D5698">
        <v>45</v>
      </c>
      <c r="E5698" s="16" t="s">
        <v>134</v>
      </c>
      <c r="F5698" s="16" t="s">
        <v>83</v>
      </c>
      <c r="G5698" s="22">
        <v>18.75</v>
      </c>
      <c r="H5698" s="18">
        <v>24.5625</v>
      </c>
      <c r="I5698" s="18">
        <v>1.31</v>
      </c>
      <c r="J5698" s="18">
        <v>1.34</v>
      </c>
      <c r="K5698" s="18">
        <v>1.3</v>
      </c>
      <c r="L5698" s="22">
        <v>8</v>
      </c>
    </row>
    <row r="5699" spans="1:12">
      <c r="A5699">
        <v>6</v>
      </c>
      <c r="B5699" s="16" t="s">
        <v>61</v>
      </c>
      <c r="C5699" s="9">
        <v>45717</v>
      </c>
      <c r="D5699">
        <v>45</v>
      </c>
      <c r="E5699" s="16" t="s">
        <v>134</v>
      </c>
      <c r="F5699" s="16" t="s">
        <v>83</v>
      </c>
      <c r="G5699" s="22">
        <v>21.25</v>
      </c>
      <c r="H5699" s="18">
        <v>28.125</v>
      </c>
      <c r="I5699" s="18">
        <v>1.3235294120000001</v>
      </c>
      <c r="J5699" s="18">
        <v>1.34</v>
      </c>
      <c r="K5699" s="18">
        <v>1.31</v>
      </c>
      <c r="L5699" s="22">
        <v>9</v>
      </c>
    </row>
    <row r="5700" spans="1:12">
      <c r="A5700">
        <v>6</v>
      </c>
      <c r="B5700" s="16" t="s">
        <v>61</v>
      </c>
      <c r="C5700" s="9">
        <v>45748</v>
      </c>
      <c r="D5700">
        <v>45</v>
      </c>
      <c r="E5700" s="16" t="s">
        <v>134</v>
      </c>
      <c r="F5700" s="16" t="s">
        <v>83</v>
      </c>
      <c r="G5700" s="22">
        <v>18.75</v>
      </c>
      <c r="H5700" s="18">
        <v>24.774999999999999</v>
      </c>
      <c r="I5700" s="18">
        <v>1.3213333330000001</v>
      </c>
      <c r="J5700" s="18">
        <v>1.35</v>
      </c>
      <c r="K5700" s="18">
        <v>1.3</v>
      </c>
      <c r="L5700" s="22">
        <v>8</v>
      </c>
    </row>
    <row r="5701" spans="1:12">
      <c r="A5701">
        <v>6</v>
      </c>
      <c r="B5701" s="16" t="s">
        <v>61</v>
      </c>
      <c r="C5701" s="9">
        <v>45778</v>
      </c>
      <c r="D5701">
        <v>45</v>
      </c>
      <c r="E5701" s="16" t="s">
        <v>134</v>
      </c>
      <c r="F5701" s="16" t="s">
        <v>83</v>
      </c>
      <c r="G5701" s="22">
        <v>25</v>
      </c>
      <c r="H5701" s="18">
        <v>33.774999999999999</v>
      </c>
      <c r="I5701" s="18">
        <v>1.351</v>
      </c>
      <c r="J5701" s="18">
        <v>1.38</v>
      </c>
      <c r="K5701" s="18">
        <v>1.33</v>
      </c>
      <c r="L5701" s="22">
        <v>9</v>
      </c>
    </row>
    <row r="5702" spans="1:12">
      <c r="A5702">
        <v>6</v>
      </c>
      <c r="B5702" s="16" t="s">
        <v>61</v>
      </c>
      <c r="C5702" s="9">
        <v>45809</v>
      </c>
      <c r="D5702">
        <v>45</v>
      </c>
      <c r="E5702" s="16" t="s">
        <v>134</v>
      </c>
      <c r="F5702" s="16" t="s">
        <v>83</v>
      </c>
      <c r="G5702" s="22">
        <v>22.5</v>
      </c>
      <c r="H5702" s="18">
        <v>30</v>
      </c>
      <c r="I5702" s="18">
        <v>1.3333333329999999</v>
      </c>
      <c r="J5702" s="18">
        <v>1.36</v>
      </c>
      <c r="K5702" s="18">
        <v>1.31</v>
      </c>
      <c r="L5702" s="22">
        <v>9</v>
      </c>
    </row>
    <row r="5703" spans="1:12">
      <c r="A5703">
        <v>6</v>
      </c>
      <c r="B5703" s="16" t="s">
        <v>61</v>
      </c>
      <c r="C5703" s="9">
        <v>45839</v>
      </c>
      <c r="D5703">
        <v>45</v>
      </c>
      <c r="E5703" s="16" t="s">
        <v>134</v>
      </c>
      <c r="F5703" s="16" t="s">
        <v>83</v>
      </c>
      <c r="G5703" s="22">
        <v>23.75</v>
      </c>
      <c r="H5703" s="18">
        <v>32.5625</v>
      </c>
      <c r="I5703" s="18">
        <v>1.371052632</v>
      </c>
      <c r="J5703" s="18">
        <v>1.41</v>
      </c>
      <c r="K5703" s="18">
        <v>1.34</v>
      </c>
      <c r="L5703" s="22">
        <v>9</v>
      </c>
    </row>
    <row r="5704" spans="1:12">
      <c r="A5704">
        <v>6</v>
      </c>
      <c r="B5704" s="16" t="s">
        <v>61</v>
      </c>
      <c r="C5704" s="9">
        <v>45870</v>
      </c>
      <c r="D5704">
        <v>45</v>
      </c>
      <c r="E5704" s="16" t="s">
        <v>134</v>
      </c>
      <c r="F5704" s="16" t="s">
        <v>83</v>
      </c>
      <c r="G5704" s="22">
        <v>18.75</v>
      </c>
      <c r="H5704" s="18">
        <v>25.7</v>
      </c>
      <c r="I5704" s="18">
        <v>1.3706666670000001</v>
      </c>
      <c r="J5704" s="18">
        <v>1.42</v>
      </c>
      <c r="K5704" s="18">
        <v>1.35</v>
      </c>
      <c r="L5704" s="22">
        <v>8</v>
      </c>
    </row>
    <row r="5705" spans="1:12">
      <c r="A5705">
        <v>6</v>
      </c>
      <c r="B5705" s="16" t="s">
        <v>61</v>
      </c>
      <c r="C5705" s="9">
        <v>45901</v>
      </c>
      <c r="D5705">
        <v>45</v>
      </c>
      <c r="E5705" s="16" t="s">
        <v>134</v>
      </c>
      <c r="F5705" s="16" t="s">
        <v>83</v>
      </c>
      <c r="G5705" s="22">
        <v>23.75</v>
      </c>
      <c r="H5705" s="18">
        <v>32.737499999999997</v>
      </c>
      <c r="I5705" s="18">
        <v>1.3784210530000001</v>
      </c>
      <c r="J5705" s="18">
        <v>1.39</v>
      </c>
      <c r="K5705" s="18">
        <v>1.36</v>
      </c>
      <c r="L5705" s="22">
        <v>9</v>
      </c>
    </row>
    <row r="5706" spans="1:12">
      <c r="A5706">
        <v>6</v>
      </c>
      <c r="B5706" s="16" t="s">
        <v>61</v>
      </c>
      <c r="C5706" s="9">
        <v>45931</v>
      </c>
      <c r="D5706">
        <v>45</v>
      </c>
      <c r="E5706" s="16" t="s">
        <v>134</v>
      </c>
      <c r="F5706" s="16" t="s">
        <v>83</v>
      </c>
      <c r="G5706" s="22">
        <v>26.25</v>
      </c>
      <c r="H5706" s="18">
        <v>36.4</v>
      </c>
      <c r="I5706" s="18">
        <v>1.3866666670000001</v>
      </c>
      <c r="J5706" s="18">
        <v>1.4</v>
      </c>
      <c r="K5706" s="18">
        <v>1.35</v>
      </c>
      <c r="L5706" s="22">
        <v>9</v>
      </c>
    </row>
    <row r="5707" spans="1:12">
      <c r="A5707">
        <v>6</v>
      </c>
      <c r="B5707" s="16" t="s">
        <v>61</v>
      </c>
      <c r="C5707" s="9">
        <v>45962</v>
      </c>
      <c r="D5707">
        <v>45</v>
      </c>
      <c r="E5707" s="16" t="s">
        <v>134</v>
      </c>
      <c r="F5707" s="16" t="s">
        <v>83</v>
      </c>
      <c r="G5707" s="22">
        <v>18.75</v>
      </c>
      <c r="H5707" s="18">
        <v>25.875</v>
      </c>
      <c r="I5707" s="18">
        <v>1.38</v>
      </c>
      <c r="J5707" s="18">
        <v>1.41</v>
      </c>
      <c r="K5707" s="18">
        <v>1.36</v>
      </c>
      <c r="L5707" s="22">
        <v>8</v>
      </c>
    </row>
    <row r="5708" spans="1:12">
      <c r="A5708">
        <v>6</v>
      </c>
      <c r="B5708" s="16" t="s">
        <v>61</v>
      </c>
      <c r="C5708" s="9">
        <v>45992</v>
      </c>
      <c r="D5708">
        <v>45</v>
      </c>
      <c r="E5708" s="16" t="s">
        <v>134</v>
      </c>
      <c r="F5708" s="16" t="s">
        <v>83</v>
      </c>
      <c r="G5708" s="22">
        <v>16.25</v>
      </c>
      <c r="H5708" s="18">
        <v>22.4375</v>
      </c>
      <c r="I5708" s="18">
        <v>1.3807692309999999</v>
      </c>
      <c r="J5708" s="18">
        <v>1.43</v>
      </c>
      <c r="K5708" s="18">
        <v>1.36</v>
      </c>
      <c r="L5708" s="22">
        <v>9</v>
      </c>
    </row>
    <row r="5709" spans="1:12">
      <c r="A5709">
        <v>6</v>
      </c>
      <c r="B5709" s="16" t="s">
        <v>61</v>
      </c>
      <c r="C5709" s="9">
        <v>46023</v>
      </c>
      <c r="D5709">
        <v>45</v>
      </c>
      <c r="E5709" s="16" t="s">
        <v>134</v>
      </c>
      <c r="F5709" s="16" t="s">
        <v>83</v>
      </c>
      <c r="G5709" s="22">
        <v>17.5</v>
      </c>
      <c r="H5709" s="18">
        <v>24.324999999999999</v>
      </c>
      <c r="I5709" s="18">
        <v>1.39</v>
      </c>
      <c r="J5709" s="18">
        <v>1.4</v>
      </c>
      <c r="K5709" s="18">
        <v>1.38</v>
      </c>
      <c r="L5709" s="22">
        <v>9</v>
      </c>
    </row>
    <row r="5710" spans="1:12">
      <c r="A5710">
        <v>6</v>
      </c>
      <c r="B5710" s="16" t="s">
        <v>61</v>
      </c>
      <c r="C5710" s="9">
        <v>46054</v>
      </c>
      <c r="D5710">
        <v>45</v>
      </c>
      <c r="E5710" s="16" t="s">
        <v>134</v>
      </c>
      <c r="F5710" s="16" t="s">
        <v>83</v>
      </c>
      <c r="G5710" s="22">
        <v>15</v>
      </c>
      <c r="H5710" s="18">
        <v>20.875</v>
      </c>
      <c r="I5710" s="18">
        <v>1.391666667</v>
      </c>
      <c r="J5710" s="18">
        <v>1.4</v>
      </c>
      <c r="K5710" s="18">
        <v>1.38</v>
      </c>
      <c r="L5710" s="22">
        <v>8</v>
      </c>
    </row>
    <row r="5711" spans="1:12">
      <c r="A5711">
        <v>6</v>
      </c>
      <c r="B5711" s="16" t="s">
        <v>61</v>
      </c>
      <c r="C5711" s="9">
        <v>46082</v>
      </c>
      <c r="D5711">
        <v>45</v>
      </c>
      <c r="E5711" s="16" t="s">
        <v>134</v>
      </c>
      <c r="F5711" s="16" t="s">
        <v>83</v>
      </c>
      <c r="G5711" s="22">
        <v>30</v>
      </c>
      <c r="H5711" s="18">
        <v>42.037500000000001</v>
      </c>
      <c r="I5711" s="18">
        <v>1.4012500000000001</v>
      </c>
      <c r="J5711" s="18">
        <v>1.43</v>
      </c>
      <c r="K5711" s="18">
        <v>1.37</v>
      </c>
      <c r="L5711" s="22">
        <v>9</v>
      </c>
    </row>
    <row r="5712" spans="1:12">
      <c r="A5712">
        <v>6</v>
      </c>
      <c r="B5712" s="16" t="s">
        <v>61</v>
      </c>
      <c r="C5712" s="9">
        <v>46113</v>
      </c>
      <c r="D5712">
        <v>45</v>
      </c>
      <c r="E5712" s="16" t="s">
        <v>134</v>
      </c>
      <c r="F5712" s="16" t="s">
        <v>83</v>
      </c>
      <c r="G5712" s="22">
        <v>31.25</v>
      </c>
      <c r="H5712" s="18">
        <v>43.774999999999999</v>
      </c>
      <c r="I5712" s="18">
        <v>1.4008</v>
      </c>
      <c r="J5712" s="18">
        <v>1.42</v>
      </c>
      <c r="K5712" s="18">
        <v>1.37</v>
      </c>
      <c r="L5712" s="22">
        <v>9</v>
      </c>
    </row>
    <row r="5713" spans="1:12">
      <c r="A5713">
        <v>6</v>
      </c>
      <c r="B5713" s="16" t="s">
        <v>61</v>
      </c>
      <c r="C5713" s="9">
        <v>46143</v>
      </c>
      <c r="D5713">
        <v>45</v>
      </c>
      <c r="E5713" s="16" t="s">
        <v>134</v>
      </c>
      <c r="F5713" s="16" t="s">
        <v>83</v>
      </c>
      <c r="G5713" s="22">
        <v>27.5</v>
      </c>
      <c r="H5713" s="18">
        <v>38.875</v>
      </c>
      <c r="I5713" s="18">
        <v>1.413636364</v>
      </c>
      <c r="J5713" s="18">
        <v>1.51</v>
      </c>
      <c r="K5713" s="18">
        <v>1.39</v>
      </c>
      <c r="L5713" s="22">
        <v>8</v>
      </c>
    </row>
    <row r="5714" spans="1:12">
      <c r="A5714">
        <v>6</v>
      </c>
      <c r="B5714" s="16" t="s">
        <v>61</v>
      </c>
      <c r="C5714" s="9">
        <v>46174</v>
      </c>
      <c r="D5714">
        <v>45</v>
      </c>
      <c r="E5714" s="16" t="s">
        <v>134</v>
      </c>
      <c r="F5714" s="16" t="s">
        <v>83</v>
      </c>
      <c r="G5714" s="22">
        <v>33.75</v>
      </c>
      <c r="H5714" s="18">
        <v>47.924999999999997</v>
      </c>
      <c r="I5714" s="18">
        <v>1.42</v>
      </c>
      <c r="J5714" s="18">
        <v>1.45</v>
      </c>
      <c r="K5714" s="18">
        <v>1.4</v>
      </c>
      <c r="L5714" s="22">
        <v>9</v>
      </c>
    </row>
    <row r="5715" spans="1:12">
      <c r="A5715">
        <v>6</v>
      </c>
      <c r="B5715" s="16" t="s">
        <v>61</v>
      </c>
      <c r="C5715" s="9">
        <v>46204</v>
      </c>
      <c r="D5715">
        <v>45</v>
      </c>
      <c r="E5715" s="16" t="s">
        <v>134</v>
      </c>
      <c r="F5715" s="16" t="s">
        <v>83</v>
      </c>
      <c r="G5715" s="22">
        <v>30</v>
      </c>
      <c r="H5715" s="18">
        <v>42.262500000000003</v>
      </c>
      <c r="I5715" s="18">
        <v>1.4087499999999999</v>
      </c>
      <c r="J5715" s="18">
        <v>1.44</v>
      </c>
      <c r="K5715" s="18">
        <v>1.39</v>
      </c>
      <c r="L5715" s="22">
        <v>9</v>
      </c>
    </row>
    <row r="5716" spans="1:12">
      <c r="A5716">
        <v>6</v>
      </c>
      <c r="B5716" s="16" t="s">
        <v>61</v>
      </c>
      <c r="C5716" s="9">
        <v>46235</v>
      </c>
      <c r="D5716">
        <v>45</v>
      </c>
      <c r="E5716" s="16" t="s">
        <v>134</v>
      </c>
      <c r="F5716" s="16" t="s">
        <v>83</v>
      </c>
      <c r="G5716" s="22">
        <v>31.25</v>
      </c>
      <c r="H5716" s="18">
        <v>44</v>
      </c>
      <c r="I5716" s="18">
        <v>1.4079999999999999</v>
      </c>
      <c r="J5716" s="18">
        <v>1.44</v>
      </c>
      <c r="K5716" s="18">
        <v>1.38</v>
      </c>
      <c r="L5716" s="22">
        <v>9</v>
      </c>
    </row>
    <row r="5717" spans="1:12">
      <c r="A5717">
        <v>6</v>
      </c>
      <c r="B5717" s="16" t="s">
        <v>61</v>
      </c>
      <c r="C5717" s="9">
        <v>46266</v>
      </c>
      <c r="D5717">
        <v>45</v>
      </c>
      <c r="E5717" s="16" t="s">
        <v>134</v>
      </c>
      <c r="F5717" s="16" t="s">
        <v>83</v>
      </c>
      <c r="G5717" s="22">
        <v>27.5</v>
      </c>
      <c r="H5717" s="18">
        <v>38.837499999999999</v>
      </c>
      <c r="I5717" s="18">
        <v>1.4122727269999999</v>
      </c>
      <c r="J5717" s="18">
        <v>1.43</v>
      </c>
      <c r="K5717" s="18">
        <v>1.37</v>
      </c>
      <c r="L5717" s="22">
        <v>8</v>
      </c>
    </row>
    <row r="5718" spans="1:12">
      <c r="A5718">
        <v>6</v>
      </c>
      <c r="B5718" s="16" t="s">
        <v>61</v>
      </c>
      <c r="C5718" s="9">
        <v>45689</v>
      </c>
      <c r="D5718">
        <v>46</v>
      </c>
      <c r="E5718" s="16" t="s">
        <v>135</v>
      </c>
      <c r="F5718" s="16" t="s">
        <v>108</v>
      </c>
      <c r="G5718" s="22">
        <v>32</v>
      </c>
      <c r="H5718" s="18">
        <v>71.36</v>
      </c>
      <c r="I5718" s="18">
        <v>2.23</v>
      </c>
      <c r="J5718" s="18">
        <v>2.23</v>
      </c>
      <c r="K5718" s="18">
        <v>2.23</v>
      </c>
      <c r="L5718" s="22">
        <v>1</v>
      </c>
    </row>
    <row r="5719" spans="1:12">
      <c r="A5719">
        <v>6</v>
      </c>
      <c r="B5719" s="16" t="s">
        <v>61</v>
      </c>
      <c r="C5719" s="9">
        <v>45717</v>
      </c>
      <c r="D5719">
        <v>46</v>
      </c>
      <c r="E5719" s="16" t="s">
        <v>135</v>
      </c>
      <c r="F5719" s="16" t="s">
        <v>108</v>
      </c>
      <c r="G5719" s="22">
        <v>48</v>
      </c>
      <c r="H5719" s="18">
        <v>109.92</v>
      </c>
      <c r="I5719" s="18">
        <v>2.29</v>
      </c>
      <c r="J5719" s="18">
        <v>2.29</v>
      </c>
      <c r="K5719" s="18">
        <v>2.29</v>
      </c>
      <c r="L5719" s="22">
        <v>1</v>
      </c>
    </row>
    <row r="5720" spans="1:12">
      <c r="A5720">
        <v>6</v>
      </c>
      <c r="B5720" s="16" t="s">
        <v>61</v>
      </c>
      <c r="C5720" s="9">
        <v>45748</v>
      </c>
      <c r="D5720">
        <v>46</v>
      </c>
      <c r="E5720" s="16" t="s">
        <v>135</v>
      </c>
      <c r="F5720" s="16" t="s">
        <v>108</v>
      </c>
      <c r="G5720" s="22">
        <v>48</v>
      </c>
      <c r="H5720" s="18">
        <v>115.2</v>
      </c>
      <c r="I5720" s="18">
        <v>2.4</v>
      </c>
      <c r="J5720" s="18">
        <v>2.4</v>
      </c>
      <c r="K5720" s="18">
        <v>2.4</v>
      </c>
      <c r="L5720" s="22">
        <v>1</v>
      </c>
    </row>
    <row r="5721" spans="1:12">
      <c r="A5721">
        <v>6</v>
      </c>
      <c r="B5721" s="16" t="s">
        <v>61</v>
      </c>
      <c r="C5721" s="9">
        <v>45778</v>
      </c>
      <c r="D5721">
        <v>46</v>
      </c>
      <c r="E5721" s="16" t="s">
        <v>135</v>
      </c>
      <c r="F5721" s="16" t="s">
        <v>108</v>
      </c>
      <c r="G5721" s="22">
        <v>32</v>
      </c>
      <c r="H5721" s="18">
        <v>70.72</v>
      </c>
      <c r="I5721" s="18">
        <v>2.21</v>
      </c>
      <c r="J5721" s="18">
        <v>2.21</v>
      </c>
      <c r="K5721" s="18">
        <v>2.21</v>
      </c>
      <c r="L5721" s="22">
        <v>1</v>
      </c>
    </row>
    <row r="5722" spans="1:12">
      <c r="A5722">
        <v>6</v>
      </c>
      <c r="B5722" s="16" t="s">
        <v>61</v>
      </c>
      <c r="C5722" s="9">
        <v>45809</v>
      </c>
      <c r="D5722">
        <v>46</v>
      </c>
      <c r="E5722" s="16" t="s">
        <v>135</v>
      </c>
      <c r="F5722" s="16" t="s">
        <v>108</v>
      </c>
      <c r="G5722" s="22">
        <v>48</v>
      </c>
      <c r="H5722" s="18">
        <v>108</v>
      </c>
      <c r="I5722" s="18">
        <v>2.25</v>
      </c>
      <c r="J5722" s="18">
        <v>2.25</v>
      </c>
      <c r="K5722" s="18">
        <v>2.25</v>
      </c>
      <c r="L5722" s="22">
        <v>1</v>
      </c>
    </row>
    <row r="5723" spans="1:12">
      <c r="A5723">
        <v>6</v>
      </c>
      <c r="B5723" s="16" t="s">
        <v>61</v>
      </c>
      <c r="C5723" s="9">
        <v>45839</v>
      </c>
      <c r="D5723">
        <v>46</v>
      </c>
      <c r="E5723" s="16" t="s">
        <v>135</v>
      </c>
      <c r="F5723" s="16" t="s">
        <v>108</v>
      </c>
      <c r="G5723" s="22">
        <v>64</v>
      </c>
      <c r="H5723" s="18">
        <v>146.88</v>
      </c>
      <c r="I5723" s="18">
        <v>2.2949999999999999</v>
      </c>
      <c r="J5723" s="18">
        <v>2.34</v>
      </c>
      <c r="K5723" s="18">
        <v>2.25</v>
      </c>
      <c r="L5723" s="22">
        <v>2</v>
      </c>
    </row>
    <row r="5724" spans="1:12">
      <c r="A5724">
        <v>6</v>
      </c>
      <c r="B5724" s="16" t="s">
        <v>61</v>
      </c>
      <c r="C5724" s="9">
        <v>45870</v>
      </c>
      <c r="D5724">
        <v>46</v>
      </c>
      <c r="E5724" s="16" t="s">
        <v>135</v>
      </c>
      <c r="F5724" s="16" t="s">
        <v>108</v>
      </c>
      <c r="G5724" s="22">
        <v>48</v>
      </c>
      <c r="H5724" s="18">
        <v>113.28</v>
      </c>
      <c r="I5724" s="18">
        <v>2.36</v>
      </c>
      <c r="J5724" s="18">
        <v>2.36</v>
      </c>
      <c r="K5724" s="18">
        <v>2.36</v>
      </c>
      <c r="L5724" s="22">
        <v>1</v>
      </c>
    </row>
    <row r="5725" spans="1:12">
      <c r="A5725">
        <v>6</v>
      </c>
      <c r="B5725" s="16" t="s">
        <v>61</v>
      </c>
      <c r="C5725" s="9">
        <v>45901</v>
      </c>
      <c r="D5725">
        <v>46</v>
      </c>
      <c r="E5725" s="16" t="s">
        <v>135</v>
      </c>
      <c r="F5725" s="16" t="s">
        <v>108</v>
      </c>
      <c r="G5725" s="22">
        <v>32</v>
      </c>
      <c r="H5725" s="18">
        <v>75.2</v>
      </c>
      <c r="I5725" s="18">
        <v>2.35</v>
      </c>
      <c r="J5725" s="18">
        <v>2.35</v>
      </c>
      <c r="K5725" s="18">
        <v>2.35</v>
      </c>
      <c r="L5725" s="22">
        <v>1</v>
      </c>
    </row>
    <row r="5726" spans="1:12">
      <c r="A5726">
        <v>6</v>
      </c>
      <c r="B5726" s="16" t="s">
        <v>61</v>
      </c>
      <c r="C5726" s="9">
        <v>45931</v>
      </c>
      <c r="D5726">
        <v>46</v>
      </c>
      <c r="E5726" s="16" t="s">
        <v>135</v>
      </c>
      <c r="F5726" s="16" t="s">
        <v>108</v>
      </c>
      <c r="G5726" s="22">
        <v>32</v>
      </c>
      <c r="H5726" s="18">
        <v>74.56</v>
      </c>
      <c r="I5726" s="18">
        <v>2.33</v>
      </c>
      <c r="J5726" s="18">
        <v>2.33</v>
      </c>
      <c r="K5726" s="18">
        <v>2.33</v>
      </c>
      <c r="L5726" s="22">
        <v>1</v>
      </c>
    </row>
    <row r="5727" spans="1:12">
      <c r="A5727">
        <v>6</v>
      </c>
      <c r="B5727" s="16" t="s">
        <v>61</v>
      </c>
      <c r="C5727" s="9">
        <v>45962</v>
      </c>
      <c r="D5727">
        <v>46</v>
      </c>
      <c r="E5727" s="16" t="s">
        <v>135</v>
      </c>
      <c r="F5727" s="16" t="s">
        <v>108</v>
      </c>
      <c r="G5727" s="22">
        <v>48</v>
      </c>
      <c r="H5727" s="18">
        <v>112.8</v>
      </c>
      <c r="I5727" s="18">
        <v>2.35</v>
      </c>
      <c r="J5727" s="18">
        <v>2.35</v>
      </c>
      <c r="K5727" s="18">
        <v>2.35</v>
      </c>
      <c r="L5727" s="22">
        <v>1</v>
      </c>
    </row>
    <row r="5728" spans="1:12">
      <c r="A5728">
        <v>6</v>
      </c>
      <c r="B5728" s="16" t="s">
        <v>61</v>
      </c>
      <c r="C5728" s="9">
        <v>45992</v>
      </c>
      <c r="D5728">
        <v>46</v>
      </c>
      <c r="E5728" s="16" t="s">
        <v>135</v>
      </c>
      <c r="F5728" s="16" t="s">
        <v>108</v>
      </c>
      <c r="G5728" s="22">
        <v>32</v>
      </c>
      <c r="H5728" s="18">
        <v>75.52</v>
      </c>
      <c r="I5728" s="18">
        <v>2.36</v>
      </c>
      <c r="J5728" s="18">
        <v>2.36</v>
      </c>
      <c r="K5728" s="18">
        <v>2.36</v>
      </c>
      <c r="L5728" s="22">
        <v>1</v>
      </c>
    </row>
    <row r="5729" spans="1:12">
      <c r="A5729">
        <v>6</v>
      </c>
      <c r="B5729" s="16" t="s">
        <v>61</v>
      </c>
      <c r="C5729" s="9">
        <v>46023</v>
      </c>
      <c r="D5729">
        <v>46</v>
      </c>
      <c r="E5729" s="16" t="s">
        <v>135</v>
      </c>
      <c r="F5729" s="16" t="s">
        <v>108</v>
      </c>
      <c r="G5729" s="22">
        <v>32</v>
      </c>
      <c r="H5729" s="18">
        <v>75.84</v>
      </c>
      <c r="I5729" s="18">
        <v>2.37</v>
      </c>
      <c r="J5729" s="18">
        <v>2.37</v>
      </c>
      <c r="K5729" s="18">
        <v>2.37</v>
      </c>
      <c r="L5729" s="22">
        <v>1</v>
      </c>
    </row>
    <row r="5730" spans="1:12">
      <c r="A5730">
        <v>6</v>
      </c>
      <c r="B5730" s="16" t="s">
        <v>61</v>
      </c>
      <c r="C5730" s="9">
        <v>46054</v>
      </c>
      <c r="D5730">
        <v>46</v>
      </c>
      <c r="E5730" s="16" t="s">
        <v>135</v>
      </c>
      <c r="F5730" s="16" t="s">
        <v>108</v>
      </c>
      <c r="G5730" s="22">
        <v>32</v>
      </c>
      <c r="H5730" s="18">
        <v>75.2</v>
      </c>
      <c r="I5730" s="18">
        <v>2.35</v>
      </c>
      <c r="J5730" s="18">
        <v>2.35</v>
      </c>
      <c r="K5730" s="18">
        <v>2.35</v>
      </c>
      <c r="L5730" s="22">
        <v>1</v>
      </c>
    </row>
    <row r="5731" spans="1:12">
      <c r="A5731">
        <v>6</v>
      </c>
      <c r="B5731" s="16" t="s">
        <v>61</v>
      </c>
      <c r="C5731" s="9">
        <v>46082</v>
      </c>
      <c r="D5731">
        <v>46</v>
      </c>
      <c r="E5731" s="16" t="s">
        <v>135</v>
      </c>
      <c r="F5731" s="16" t="s">
        <v>108</v>
      </c>
      <c r="G5731" s="22">
        <v>64</v>
      </c>
      <c r="H5731" s="18">
        <v>149.12</v>
      </c>
      <c r="I5731" s="18">
        <v>2.33</v>
      </c>
      <c r="J5731" s="18">
        <v>2.33</v>
      </c>
      <c r="K5731" s="18">
        <v>2.33</v>
      </c>
      <c r="L5731" s="22">
        <v>1</v>
      </c>
    </row>
    <row r="5732" spans="1:12">
      <c r="A5732">
        <v>6</v>
      </c>
      <c r="B5732" s="16" t="s">
        <v>61</v>
      </c>
      <c r="C5732" s="9">
        <v>46113</v>
      </c>
      <c r="D5732">
        <v>46</v>
      </c>
      <c r="E5732" s="16" t="s">
        <v>135</v>
      </c>
      <c r="F5732" s="16" t="s">
        <v>108</v>
      </c>
      <c r="G5732" s="22">
        <v>32</v>
      </c>
      <c r="H5732" s="18">
        <v>76.48</v>
      </c>
      <c r="I5732" s="18">
        <v>2.39</v>
      </c>
      <c r="J5732" s="18">
        <v>2.39</v>
      </c>
      <c r="K5732" s="18">
        <v>2.39</v>
      </c>
      <c r="L5732" s="22">
        <v>1</v>
      </c>
    </row>
    <row r="5733" spans="1:12">
      <c r="A5733">
        <v>6</v>
      </c>
      <c r="B5733" s="16" t="s">
        <v>61</v>
      </c>
      <c r="C5733" s="9">
        <v>46143</v>
      </c>
      <c r="D5733">
        <v>46</v>
      </c>
      <c r="E5733" s="16" t="s">
        <v>135</v>
      </c>
      <c r="F5733" s="16" t="s">
        <v>108</v>
      </c>
      <c r="G5733" s="22">
        <v>48</v>
      </c>
      <c r="H5733" s="18">
        <v>113.28</v>
      </c>
      <c r="I5733" s="18">
        <v>2.36</v>
      </c>
      <c r="J5733" s="18">
        <v>2.36</v>
      </c>
      <c r="K5733" s="18">
        <v>2.36</v>
      </c>
      <c r="L5733" s="22">
        <v>1</v>
      </c>
    </row>
    <row r="5734" spans="1:12">
      <c r="A5734">
        <v>6</v>
      </c>
      <c r="B5734" s="16" t="s">
        <v>61</v>
      </c>
      <c r="C5734" s="9">
        <v>46174</v>
      </c>
      <c r="D5734">
        <v>46</v>
      </c>
      <c r="E5734" s="16" t="s">
        <v>135</v>
      </c>
      <c r="F5734" s="16" t="s">
        <v>108</v>
      </c>
      <c r="G5734" s="22">
        <v>32</v>
      </c>
      <c r="H5734" s="18">
        <v>75.84</v>
      </c>
      <c r="I5734" s="18">
        <v>2.37</v>
      </c>
      <c r="J5734" s="18">
        <v>2.37</v>
      </c>
      <c r="K5734" s="18">
        <v>2.37</v>
      </c>
      <c r="L5734" s="22">
        <v>1</v>
      </c>
    </row>
    <row r="5735" spans="1:12">
      <c r="A5735">
        <v>6</v>
      </c>
      <c r="B5735" s="16" t="s">
        <v>61</v>
      </c>
      <c r="C5735" s="9">
        <v>46204</v>
      </c>
      <c r="D5735">
        <v>46</v>
      </c>
      <c r="E5735" s="16" t="s">
        <v>135</v>
      </c>
      <c r="F5735" s="16" t="s">
        <v>108</v>
      </c>
      <c r="G5735" s="22">
        <v>64</v>
      </c>
      <c r="H5735" s="18">
        <v>153.6</v>
      </c>
      <c r="I5735" s="18">
        <v>2.4</v>
      </c>
      <c r="J5735" s="18">
        <v>2.41</v>
      </c>
      <c r="K5735" s="18">
        <v>2.39</v>
      </c>
      <c r="L5735" s="22">
        <v>2</v>
      </c>
    </row>
    <row r="5736" spans="1:12">
      <c r="A5736">
        <v>6</v>
      </c>
      <c r="B5736" s="16" t="s">
        <v>61</v>
      </c>
      <c r="C5736" s="9">
        <v>46235</v>
      </c>
      <c r="D5736">
        <v>46</v>
      </c>
      <c r="E5736" s="16" t="s">
        <v>135</v>
      </c>
      <c r="F5736" s="16" t="s">
        <v>108</v>
      </c>
      <c r="G5736" s="22">
        <v>48</v>
      </c>
      <c r="H5736" s="18">
        <v>115.2</v>
      </c>
      <c r="I5736" s="18">
        <v>2.4</v>
      </c>
      <c r="J5736" s="18">
        <v>2.4</v>
      </c>
      <c r="K5736" s="18">
        <v>2.4</v>
      </c>
      <c r="L5736" s="22">
        <v>1</v>
      </c>
    </row>
    <row r="5737" spans="1:12">
      <c r="A5737">
        <v>6</v>
      </c>
      <c r="B5737" s="16" t="s">
        <v>61</v>
      </c>
      <c r="C5737" s="9">
        <v>46266</v>
      </c>
      <c r="D5737">
        <v>46</v>
      </c>
      <c r="E5737" s="16" t="s">
        <v>135</v>
      </c>
      <c r="F5737" s="16" t="s">
        <v>108</v>
      </c>
      <c r="G5737" s="22">
        <v>16</v>
      </c>
      <c r="H5737" s="18">
        <v>38.24</v>
      </c>
      <c r="I5737" s="18">
        <v>2.39</v>
      </c>
      <c r="J5737" s="18">
        <v>2.39</v>
      </c>
      <c r="K5737" s="18">
        <v>2.39</v>
      </c>
      <c r="L5737" s="22">
        <v>1</v>
      </c>
    </row>
    <row r="5738" spans="1:12">
      <c r="A5738">
        <v>6</v>
      </c>
      <c r="B5738" s="16" t="s">
        <v>61</v>
      </c>
      <c r="C5738" s="9">
        <v>45689</v>
      </c>
      <c r="D5738">
        <v>47</v>
      </c>
      <c r="E5738" s="16" t="s">
        <v>136</v>
      </c>
      <c r="F5738" s="16" t="s">
        <v>92</v>
      </c>
      <c r="G5738" s="22">
        <v>105</v>
      </c>
      <c r="H5738" s="18">
        <v>434.04750000000001</v>
      </c>
      <c r="I5738" s="18">
        <v>4.1337857140000001</v>
      </c>
      <c r="J5738" s="18">
        <v>4.17</v>
      </c>
      <c r="K5738" s="18">
        <v>4.0599999999999996</v>
      </c>
      <c r="L5738" s="22">
        <v>12</v>
      </c>
    </row>
    <row r="5739" spans="1:12">
      <c r="A5739">
        <v>6</v>
      </c>
      <c r="B5739" s="16" t="s">
        <v>61</v>
      </c>
      <c r="C5739" s="9">
        <v>45717</v>
      </c>
      <c r="D5739">
        <v>47</v>
      </c>
      <c r="E5739" s="16" t="s">
        <v>136</v>
      </c>
      <c r="F5739" s="16" t="s">
        <v>92</v>
      </c>
      <c r="G5739" s="22">
        <v>108</v>
      </c>
      <c r="H5739" s="18">
        <v>424.34249999999997</v>
      </c>
      <c r="I5739" s="18">
        <v>3.9290972219999998</v>
      </c>
      <c r="J5739" s="18">
        <v>4</v>
      </c>
      <c r="K5739" s="18">
        <v>3.8</v>
      </c>
      <c r="L5739" s="22">
        <v>13</v>
      </c>
    </row>
    <row r="5740" spans="1:12">
      <c r="A5740">
        <v>6</v>
      </c>
      <c r="B5740" s="16" t="s">
        <v>61</v>
      </c>
      <c r="C5740" s="9">
        <v>45748</v>
      </c>
      <c r="D5740">
        <v>47</v>
      </c>
      <c r="E5740" s="16" t="s">
        <v>136</v>
      </c>
      <c r="F5740" s="16" t="s">
        <v>92</v>
      </c>
      <c r="G5740" s="22">
        <v>127.5</v>
      </c>
      <c r="H5740" s="18">
        <v>466.26</v>
      </c>
      <c r="I5740" s="18">
        <v>3.6569411760000001</v>
      </c>
      <c r="J5740" s="18">
        <v>3.85</v>
      </c>
      <c r="K5740" s="18">
        <v>3.56</v>
      </c>
      <c r="L5740" s="22">
        <v>13</v>
      </c>
    </row>
    <row r="5741" spans="1:12">
      <c r="A5741">
        <v>6</v>
      </c>
      <c r="B5741" s="16" t="s">
        <v>61</v>
      </c>
      <c r="C5741" s="9">
        <v>45778</v>
      </c>
      <c r="D5741">
        <v>47</v>
      </c>
      <c r="E5741" s="16" t="s">
        <v>136</v>
      </c>
      <c r="F5741" s="16" t="s">
        <v>92</v>
      </c>
      <c r="G5741" s="22">
        <v>126</v>
      </c>
      <c r="H5741" s="18">
        <v>421.66500000000002</v>
      </c>
      <c r="I5741" s="18">
        <v>3.3465476189999999</v>
      </c>
      <c r="J5741" s="18">
        <v>3.4</v>
      </c>
      <c r="K5741" s="18">
        <v>3.27</v>
      </c>
      <c r="L5741" s="22">
        <v>13</v>
      </c>
    </row>
    <row r="5742" spans="1:12">
      <c r="A5742">
        <v>6</v>
      </c>
      <c r="B5742" s="16" t="s">
        <v>61</v>
      </c>
      <c r="C5742" s="9">
        <v>45809</v>
      </c>
      <c r="D5742">
        <v>47</v>
      </c>
      <c r="E5742" s="16" t="s">
        <v>136</v>
      </c>
      <c r="F5742" s="16" t="s">
        <v>92</v>
      </c>
      <c r="G5742" s="22">
        <v>119.25</v>
      </c>
      <c r="H5742" s="18">
        <v>369.09750000000003</v>
      </c>
      <c r="I5742" s="18">
        <v>3.0951572330000001</v>
      </c>
      <c r="J5742" s="18">
        <v>3.15</v>
      </c>
      <c r="K5742" s="18">
        <v>2.98</v>
      </c>
      <c r="L5742" s="22">
        <v>13</v>
      </c>
    </row>
    <row r="5743" spans="1:12">
      <c r="A5743">
        <v>6</v>
      </c>
      <c r="B5743" s="16" t="s">
        <v>61</v>
      </c>
      <c r="C5743" s="9">
        <v>45839</v>
      </c>
      <c r="D5743">
        <v>47</v>
      </c>
      <c r="E5743" s="16" t="s">
        <v>136</v>
      </c>
      <c r="F5743" s="16" t="s">
        <v>92</v>
      </c>
      <c r="G5743" s="22">
        <v>100.5</v>
      </c>
      <c r="H5743" s="18">
        <v>307.09500000000003</v>
      </c>
      <c r="I5743" s="18">
        <v>3.0556716420000001</v>
      </c>
      <c r="J5743" s="18">
        <v>3.18</v>
      </c>
      <c r="K5743" s="18">
        <v>2.96</v>
      </c>
      <c r="L5743" s="22">
        <v>13</v>
      </c>
    </row>
    <row r="5744" spans="1:12">
      <c r="A5744">
        <v>6</v>
      </c>
      <c r="B5744" s="16" t="s">
        <v>61</v>
      </c>
      <c r="C5744" s="9">
        <v>45870</v>
      </c>
      <c r="D5744">
        <v>47</v>
      </c>
      <c r="E5744" s="16" t="s">
        <v>136</v>
      </c>
      <c r="F5744" s="16" t="s">
        <v>92</v>
      </c>
      <c r="G5744" s="22">
        <v>114</v>
      </c>
      <c r="H5744" s="18">
        <v>358.59750000000003</v>
      </c>
      <c r="I5744" s="18">
        <v>3.145592105</v>
      </c>
      <c r="J5744" s="18">
        <v>3.23</v>
      </c>
      <c r="K5744" s="18">
        <v>3.08</v>
      </c>
      <c r="L5744" s="22">
        <v>13</v>
      </c>
    </row>
    <row r="5745" spans="1:12">
      <c r="A5745">
        <v>6</v>
      </c>
      <c r="B5745" s="16" t="s">
        <v>61</v>
      </c>
      <c r="C5745" s="9">
        <v>45901</v>
      </c>
      <c r="D5745">
        <v>47</v>
      </c>
      <c r="E5745" s="16" t="s">
        <v>136</v>
      </c>
      <c r="F5745" s="16" t="s">
        <v>92</v>
      </c>
      <c r="G5745" s="22">
        <v>94.5</v>
      </c>
      <c r="H5745" s="18">
        <v>322.96499999999997</v>
      </c>
      <c r="I5745" s="18">
        <v>3.4176190480000002</v>
      </c>
      <c r="J5745" s="18">
        <v>3.49</v>
      </c>
      <c r="K5745" s="18">
        <v>3.31</v>
      </c>
      <c r="L5745" s="22">
        <v>13</v>
      </c>
    </row>
    <row r="5746" spans="1:12">
      <c r="A5746">
        <v>6</v>
      </c>
      <c r="B5746" s="16" t="s">
        <v>61</v>
      </c>
      <c r="C5746" s="9">
        <v>45931</v>
      </c>
      <c r="D5746">
        <v>47</v>
      </c>
      <c r="E5746" s="16" t="s">
        <v>136</v>
      </c>
      <c r="F5746" s="16" t="s">
        <v>92</v>
      </c>
      <c r="G5746" s="22">
        <v>149.25</v>
      </c>
      <c r="H5746" s="18">
        <v>559.52250000000004</v>
      </c>
      <c r="I5746" s="18">
        <v>3.7488944719999999</v>
      </c>
      <c r="J5746" s="18">
        <v>3.79</v>
      </c>
      <c r="K5746" s="18">
        <v>3.7</v>
      </c>
      <c r="L5746" s="22">
        <v>14</v>
      </c>
    </row>
    <row r="5747" spans="1:12">
      <c r="A5747">
        <v>6</v>
      </c>
      <c r="B5747" s="16" t="s">
        <v>61</v>
      </c>
      <c r="C5747" s="9">
        <v>45962</v>
      </c>
      <c r="D5747">
        <v>47</v>
      </c>
      <c r="E5747" s="16" t="s">
        <v>136</v>
      </c>
      <c r="F5747" s="16" t="s">
        <v>92</v>
      </c>
      <c r="G5747" s="22">
        <v>96.75</v>
      </c>
      <c r="H5747" s="18">
        <v>394.72500000000002</v>
      </c>
      <c r="I5747" s="18">
        <v>4.079844961</v>
      </c>
      <c r="J5747" s="18">
        <v>4.3099999999999996</v>
      </c>
      <c r="K5747" s="18">
        <v>3.99</v>
      </c>
      <c r="L5747" s="22">
        <v>12</v>
      </c>
    </row>
    <row r="5748" spans="1:12">
      <c r="A5748">
        <v>6</v>
      </c>
      <c r="B5748" s="16" t="s">
        <v>61</v>
      </c>
      <c r="C5748" s="9">
        <v>45992</v>
      </c>
      <c r="D5748">
        <v>47</v>
      </c>
      <c r="E5748" s="16" t="s">
        <v>136</v>
      </c>
      <c r="F5748" s="16" t="s">
        <v>92</v>
      </c>
      <c r="G5748" s="22">
        <v>95.25</v>
      </c>
      <c r="H5748" s="18">
        <v>414.4425</v>
      </c>
      <c r="I5748" s="18">
        <v>4.3511023619999998</v>
      </c>
      <c r="J5748" s="18">
        <v>4.4400000000000004</v>
      </c>
      <c r="K5748" s="18">
        <v>4.2699999999999996</v>
      </c>
      <c r="L5748" s="22">
        <v>14</v>
      </c>
    </row>
    <row r="5749" spans="1:12">
      <c r="A5749">
        <v>6</v>
      </c>
      <c r="B5749" s="16" t="s">
        <v>61</v>
      </c>
      <c r="C5749" s="9">
        <v>46023</v>
      </c>
      <c r="D5749">
        <v>47</v>
      </c>
      <c r="E5749" s="16" t="s">
        <v>136</v>
      </c>
      <c r="F5749" s="16" t="s">
        <v>92</v>
      </c>
      <c r="G5749" s="22">
        <v>99</v>
      </c>
      <c r="H5749" s="18">
        <v>435.3</v>
      </c>
      <c r="I5749" s="18">
        <v>4.3969696970000003</v>
      </c>
      <c r="J5749" s="18">
        <v>4.51</v>
      </c>
      <c r="K5749" s="18">
        <v>4.3</v>
      </c>
      <c r="L5749" s="22">
        <v>13</v>
      </c>
    </row>
    <row r="5750" spans="1:12">
      <c r="A5750">
        <v>6</v>
      </c>
      <c r="B5750" s="16" t="s">
        <v>61</v>
      </c>
      <c r="C5750" s="9">
        <v>46054</v>
      </c>
      <c r="D5750">
        <v>47</v>
      </c>
      <c r="E5750" s="16" t="s">
        <v>136</v>
      </c>
      <c r="F5750" s="16" t="s">
        <v>92</v>
      </c>
      <c r="G5750" s="22">
        <v>99.75</v>
      </c>
      <c r="H5750" s="18">
        <v>429.255</v>
      </c>
      <c r="I5750" s="18">
        <v>4.3033082709999997</v>
      </c>
      <c r="J5750" s="18">
        <v>4.34</v>
      </c>
      <c r="K5750" s="18">
        <v>4.24</v>
      </c>
      <c r="L5750" s="22">
        <v>12</v>
      </c>
    </row>
    <row r="5751" spans="1:12">
      <c r="A5751">
        <v>6</v>
      </c>
      <c r="B5751" s="16" t="s">
        <v>61</v>
      </c>
      <c r="C5751" s="9">
        <v>46082</v>
      </c>
      <c r="D5751">
        <v>47</v>
      </c>
      <c r="E5751" s="16" t="s">
        <v>136</v>
      </c>
      <c r="F5751" s="16" t="s">
        <v>92</v>
      </c>
      <c r="G5751" s="22">
        <v>163.5</v>
      </c>
      <c r="H5751" s="18">
        <v>662.57249999999999</v>
      </c>
      <c r="I5751" s="18">
        <v>4.0524311930000003</v>
      </c>
      <c r="J5751" s="18">
        <v>4.13</v>
      </c>
      <c r="K5751" s="18">
        <v>3.96</v>
      </c>
      <c r="L5751" s="22">
        <v>13</v>
      </c>
    </row>
    <row r="5752" spans="1:12">
      <c r="A5752">
        <v>6</v>
      </c>
      <c r="B5752" s="16" t="s">
        <v>61</v>
      </c>
      <c r="C5752" s="9">
        <v>46113</v>
      </c>
      <c r="D5752">
        <v>47</v>
      </c>
      <c r="E5752" s="16" t="s">
        <v>136</v>
      </c>
      <c r="F5752" s="16" t="s">
        <v>92</v>
      </c>
      <c r="G5752" s="22">
        <v>154.5</v>
      </c>
      <c r="H5752" s="18">
        <v>578.66999999999996</v>
      </c>
      <c r="I5752" s="18">
        <v>3.7454368929999999</v>
      </c>
      <c r="J5752" s="18">
        <v>3.85</v>
      </c>
      <c r="K5752" s="18">
        <v>3.67</v>
      </c>
      <c r="L5752" s="22">
        <v>13</v>
      </c>
    </row>
    <row r="5753" spans="1:12">
      <c r="A5753">
        <v>6</v>
      </c>
      <c r="B5753" s="16" t="s">
        <v>61</v>
      </c>
      <c r="C5753" s="9">
        <v>46143</v>
      </c>
      <c r="D5753">
        <v>47</v>
      </c>
      <c r="E5753" s="16" t="s">
        <v>136</v>
      </c>
      <c r="F5753" s="16" t="s">
        <v>92</v>
      </c>
      <c r="G5753" s="22">
        <v>165</v>
      </c>
      <c r="H5753" s="18">
        <v>566.91</v>
      </c>
      <c r="I5753" s="18">
        <v>3.4358181820000002</v>
      </c>
      <c r="J5753" s="18">
        <v>3.63</v>
      </c>
      <c r="K5753" s="18">
        <v>3.33</v>
      </c>
      <c r="L5753" s="22">
        <v>13</v>
      </c>
    </row>
    <row r="5754" spans="1:12">
      <c r="A5754">
        <v>6</v>
      </c>
      <c r="B5754" s="16" t="s">
        <v>61</v>
      </c>
      <c r="C5754" s="9">
        <v>46174</v>
      </c>
      <c r="D5754">
        <v>47</v>
      </c>
      <c r="E5754" s="16" t="s">
        <v>136</v>
      </c>
      <c r="F5754" s="16" t="s">
        <v>92</v>
      </c>
      <c r="G5754" s="22">
        <v>147</v>
      </c>
      <c r="H5754" s="18">
        <v>470.59500000000003</v>
      </c>
      <c r="I5754" s="18">
        <v>3.2013265309999999</v>
      </c>
      <c r="J5754" s="18">
        <v>3.39</v>
      </c>
      <c r="K5754" s="18">
        <v>3.15</v>
      </c>
      <c r="L5754" s="22">
        <v>13</v>
      </c>
    </row>
    <row r="5755" spans="1:12">
      <c r="A5755">
        <v>6</v>
      </c>
      <c r="B5755" s="16" t="s">
        <v>61</v>
      </c>
      <c r="C5755" s="9">
        <v>46204</v>
      </c>
      <c r="D5755">
        <v>47</v>
      </c>
      <c r="E5755" s="16" t="s">
        <v>136</v>
      </c>
      <c r="F5755" s="16" t="s">
        <v>92</v>
      </c>
      <c r="G5755" s="22">
        <v>168.75</v>
      </c>
      <c r="H5755" s="18">
        <v>525.31500000000005</v>
      </c>
      <c r="I5755" s="18">
        <v>3.1129777779999999</v>
      </c>
      <c r="J5755" s="18">
        <v>3.17</v>
      </c>
      <c r="K5755" s="18">
        <v>3.04</v>
      </c>
      <c r="L5755" s="22">
        <v>14</v>
      </c>
    </row>
    <row r="5756" spans="1:12">
      <c r="A5756">
        <v>6</v>
      </c>
      <c r="B5756" s="16" t="s">
        <v>61</v>
      </c>
      <c r="C5756" s="9">
        <v>46235</v>
      </c>
      <c r="D5756">
        <v>47</v>
      </c>
      <c r="E5756" s="16" t="s">
        <v>136</v>
      </c>
      <c r="F5756" s="16" t="s">
        <v>92</v>
      </c>
      <c r="G5756" s="22">
        <v>124.5</v>
      </c>
      <c r="H5756" s="18">
        <v>404.51249999999999</v>
      </c>
      <c r="I5756" s="18">
        <v>3.2490963860000002</v>
      </c>
      <c r="J5756" s="18">
        <v>3.48</v>
      </c>
      <c r="K5756" s="18">
        <v>3.18</v>
      </c>
      <c r="L5756" s="22">
        <v>13</v>
      </c>
    </row>
    <row r="5757" spans="1:12">
      <c r="A5757">
        <v>6</v>
      </c>
      <c r="B5757" s="16" t="s">
        <v>61</v>
      </c>
      <c r="C5757" s="9">
        <v>46266</v>
      </c>
      <c r="D5757">
        <v>47</v>
      </c>
      <c r="E5757" s="16" t="s">
        <v>136</v>
      </c>
      <c r="F5757" s="16" t="s">
        <v>92</v>
      </c>
      <c r="G5757" s="22">
        <v>168</v>
      </c>
      <c r="H5757" s="18">
        <v>582.35249999999996</v>
      </c>
      <c r="I5757" s="18">
        <v>3.466383929</v>
      </c>
      <c r="J5757" s="18">
        <v>3.52</v>
      </c>
      <c r="K5757" s="18">
        <v>3.4</v>
      </c>
      <c r="L5757" s="22">
        <v>13</v>
      </c>
    </row>
    <row r="5758" spans="1:12">
      <c r="A5758">
        <v>6</v>
      </c>
      <c r="B5758" s="16" t="s">
        <v>61</v>
      </c>
      <c r="C5758" s="9">
        <v>45689</v>
      </c>
      <c r="D5758">
        <v>48</v>
      </c>
      <c r="E5758" s="16" t="s">
        <v>137</v>
      </c>
      <c r="F5758" s="16" t="s">
        <v>138</v>
      </c>
      <c r="G5758" s="22">
        <v>13.25</v>
      </c>
      <c r="H5758" s="18">
        <v>173.54</v>
      </c>
      <c r="I5758" s="18">
        <v>13.097358491</v>
      </c>
      <c r="J5758" s="18">
        <v>13.41</v>
      </c>
      <c r="K5758" s="18">
        <v>12.77</v>
      </c>
      <c r="L5758" s="22">
        <v>12</v>
      </c>
    </row>
    <row r="5759" spans="1:12">
      <c r="A5759">
        <v>6</v>
      </c>
      <c r="B5759" s="16" t="s">
        <v>61</v>
      </c>
      <c r="C5759" s="9">
        <v>45717</v>
      </c>
      <c r="D5759">
        <v>48</v>
      </c>
      <c r="E5759" s="16" t="s">
        <v>137</v>
      </c>
      <c r="F5759" s="16" t="s">
        <v>138</v>
      </c>
      <c r="G5759" s="22">
        <v>13.25</v>
      </c>
      <c r="H5759" s="18">
        <v>171.655</v>
      </c>
      <c r="I5759" s="18">
        <v>12.95509434</v>
      </c>
      <c r="J5759" s="18">
        <v>13.35</v>
      </c>
      <c r="K5759" s="18">
        <v>12.79</v>
      </c>
      <c r="L5759" s="22">
        <v>13</v>
      </c>
    </row>
    <row r="5760" spans="1:12">
      <c r="A5760">
        <v>6</v>
      </c>
      <c r="B5760" s="16" t="s">
        <v>61</v>
      </c>
      <c r="C5760" s="9">
        <v>45748</v>
      </c>
      <c r="D5760">
        <v>48</v>
      </c>
      <c r="E5760" s="16" t="s">
        <v>137</v>
      </c>
      <c r="F5760" s="16" t="s">
        <v>138</v>
      </c>
      <c r="G5760" s="22">
        <v>20.5</v>
      </c>
      <c r="H5760" s="18">
        <v>267.60500000000002</v>
      </c>
      <c r="I5760" s="18">
        <v>13.053902439</v>
      </c>
      <c r="J5760" s="18">
        <v>13.29</v>
      </c>
      <c r="K5760" s="18">
        <v>12.92</v>
      </c>
      <c r="L5760" s="22">
        <v>13</v>
      </c>
    </row>
    <row r="5761" spans="1:12">
      <c r="A5761">
        <v>6</v>
      </c>
      <c r="B5761" s="16" t="s">
        <v>61</v>
      </c>
      <c r="C5761" s="9">
        <v>45778</v>
      </c>
      <c r="D5761">
        <v>48</v>
      </c>
      <c r="E5761" s="16" t="s">
        <v>137</v>
      </c>
      <c r="F5761" s="16" t="s">
        <v>138</v>
      </c>
      <c r="G5761" s="22">
        <v>20.25</v>
      </c>
      <c r="H5761" s="18">
        <v>263.9975</v>
      </c>
      <c r="I5761" s="18">
        <v>13.03691358</v>
      </c>
      <c r="J5761" s="18">
        <v>13.39</v>
      </c>
      <c r="K5761" s="18">
        <v>12.77</v>
      </c>
      <c r="L5761" s="22">
        <v>13</v>
      </c>
    </row>
    <row r="5762" spans="1:12">
      <c r="A5762">
        <v>6</v>
      </c>
      <c r="B5762" s="16" t="s">
        <v>61</v>
      </c>
      <c r="C5762" s="9">
        <v>45809</v>
      </c>
      <c r="D5762">
        <v>48</v>
      </c>
      <c r="E5762" s="16" t="s">
        <v>137</v>
      </c>
      <c r="F5762" s="16" t="s">
        <v>138</v>
      </c>
      <c r="G5762" s="22">
        <v>21.5</v>
      </c>
      <c r="H5762" s="18">
        <v>278.61500000000001</v>
      </c>
      <c r="I5762" s="18">
        <v>12.958837209</v>
      </c>
      <c r="J5762" s="18">
        <v>13.47</v>
      </c>
      <c r="K5762" s="18">
        <v>12.74</v>
      </c>
      <c r="L5762" s="22">
        <v>13</v>
      </c>
    </row>
    <row r="5763" spans="1:12">
      <c r="A5763">
        <v>6</v>
      </c>
      <c r="B5763" s="16" t="s">
        <v>61</v>
      </c>
      <c r="C5763" s="9">
        <v>45839</v>
      </c>
      <c r="D5763">
        <v>48</v>
      </c>
      <c r="E5763" s="16" t="s">
        <v>137</v>
      </c>
      <c r="F5763" s="16" t="s">
        <v>138</v>
      </c>
      <c r="G5763" s="22">
        <v>26.5</v>
      </c>
      <c r="H5763" s="18">
        <v>349.61750000000001</v>
      </c>
      <c r="I5763" s="18">
        <v>13.193113208</v>
      </c>
      <c r="J5763" s="18">
        <v>13.5</v>
      </c>
      <c r="K5763" s="18">
        <v>12.96</v>
      </c>
      <c r="L5763" s="22">
        <v>13</v>
      </c>
    </row>
    <row r="5764" spans="1:12">
      <c r="A5764">
        <v>6</v>
      </c>
      <c r="B5764" s="16" t="s">
        <v>61</v>
      </c>
      <c r="C5764" s="9">
        <v>45870</v>
      </c>
      <c r="D5764">
        <v>48</v>
      </c>
      <c r="E5764" s="16" t="s">
        <v>137</v>
      </c>
      <c r="F5764" s="16" t="s">
        <v>138</v>
      </c>
      <c r="G5764" s="22">
        <v>18.75</v>
      </c>
      <c r="H5764" s="18">
        <v>284.60000000000002</v>
      </c>
      <c r="I5764" s="18">
        <v>15.178666667</v>
      </c>
      <c r="J5764" s="18">
        <v>15.85</v>
      </c>
      <c r="K5764" s="18">
        <v>14.81</v>
      </c>
      <c r="L5764" s="22">
        <v>13</v>
      </c>
    </row>
    <row r="5765" spans="1:12">
      <c r="A5765">
        <v>6</v>
      </c>
      <c r="B5765" s="16" t="s">
        <v>61</v>
      </c>
      <c r="C5765" s="9">
        <v>45901</v>
      </c>
      <c r="D5765">
        <v>48</v>
      </c>
      <c r="E5765" s="16" t="s">
        <v>137</v>
      </c>
      <c r="F5765" s="16" t="s">
        <v>138</v>
      </c>
      <c r="G5765" s="22">
        <v>17.75</v>
      </c>
      <c r="H5765" s="18">
        <v>271.07</v>
      </c>
      <c r="I5765" s="18">
        <v>15.271549296</v>
      </c>
      <c r="J5765" s="18">
        <v>15.58</v>
      </c>
      <c r="K5765" s="18">
        <v>14.9</v>
      </c>
      <c r="L5765" s="22">
        <v>12</v>
      </c>
    </row>
    <row r="5766" spans="1:12">
      <c r="A5766">
        <v>6</v>
      </c>
      <c r="B5766" s="16" t="s">
        <v>61</v>
      </c>
      <c r="C5766" s="9">
        <v>45931</v>
      </c>
      <c r="D5766">
        <v>48</v>
      </c>
      <c r="E5766" s="16" t="s">
        <v>137</v>
      </c>
      <c r="F5766" s="16" t="s">
        <v>138</v>
      </c>
      <c r="G5766" s="22">
        <v>21.75</v>
      </c>
      <c r="H5766" s="18">
        <v>289.27999999999997</v>
      </c>
      <c r="I5766" s="18">
        <v>13.300229885</v>
      </c>
      <c r="J5766" s="18">
        <v>13.64</v>
      </c>
      <c r="K5766" s="18">
        <v>13.13</v>
      </c>
      <c r="L5766" s="22">
        <v>14</v>
      </c>
    </row>
    <row r="5767" spans="1:12">
      <c r="A5767">
        <v>6</v>
      </c>
      <c r="B5767" s="16" t="s">
        <v>61</v>
      </c>
      <c r="C5767" s="9">
        <v>45962</v>
      </c>
      <c r="D5767">
        <v>48</v>
      </c>
      <c r="E5767" s="16" t="s">
        <v>137</v>
      </c>
      <c r="F5767" s="16" t="s">
        <v>138</v>
      </c>
      <c r="G5767" s="22">
        <v>11</v>
      </c>
      <c r="H5767" s="18">
        <v>154.32249999999999</v>
      </c>
      <c r="I5767" s="18">
        <v>14.029318182000001</v>
      </c>
      <c r="J5767" s="18">
        <v>15.04</v>
      </c>
      <c r="K5767" s="18">
        <v>12.92</v>
      </c>
      <c r="L5767" s="22">
        <v>12</v>
      </c>
    </row>
    <row r="5768" spans="1:12">
      <c r="A5768">
        <v>6</v>
      </c>
      <c r="B5768" s="16" t="s">
        <v>61</v>
      </c>
      <c r="C5768" s="9">
        <v>45992</v>
      </c>
      <c r="D5768">
        <v>48</v>
      </c>
      <c r="E5768" s="16" t="s">
        <v>137</v>
      </c>
      <c r="F5768" s="16" t="s">
        <v>138</v>
      </c>
      <c r="G5768" s="22">
        <v>10.25</v>
      </c>
      <c r="H5768" s="18">
        <v>153.345</v>
      </c>
      <c r="I5768" s="18">
        <v>14.960487805</v>
      </c>
      <c r="J5768" s="18">
        <v>16</v>
      </c>
      <c r="K5768" s="18">
        <v>14.58</v>
      </c>
      <c r="L5768" s="22">
        <v>12</v>
      </c>
    </row>
    <row r="5769" spans="1:12">
      <c r="A5769">
        <v>6</v>
      </c>
      <c r="B5769" s="16" t="s">
        <v>61</v>
      </c>
      <c r="C5769" s="9">
        <v>46023</v>
      </c>
      <c r="D5769">
        <v>48</v>
      </c>
      <c r="E5769" s="16" t="s">
        <v>137</v>
      </c>
      <c r="F5769" s="16" t="s">
        <v>138</v>
      </c>
      <c r="G5769" s="22">
        <v>11.25</v>
      </c>
      <c r="H5769" s="18">
        <v>149.27000000000001</v>
      </c>
      <c r="I5769" s="18">
        <v>13.268444444</v>
      </c>
      <c r="J5769" s="18">
        <v>13.47</v>
      </c>
      <c r="K5769" s="18">
        <v>13.07</v>
      </c>
      <c r="L5769" s="22">
        <v>13</v>
      </c>
    </row>
    <row r="5770" spans="1:12">
      <c r="A5770">
        <v>6</v>
      </c>
      <c r="B5770" s="16" t="s">
        <v>61</v>
      </c>
      <c r="C5770" s="9">
        <v>46054</v>
      </c>
      <c r="D5770">
        <v>48</v>
      </c>
      <c r="E5770" s="16" t="s">
        <v>137</v>
      </c>
      <c r="F5770" s="16" t="s">
        <v>138</v>
      </c>
      <c r="G5770" s="22">
        <v>9</v>
      </c>
      <c r="H5770" s="18">
        <v>120.905</v>
      </c>
      <c r="I5770" s="18">
        <v>13.433888889</v>
      </c>
      <c r="J5770" s="18">
        <v>13.74</v>
      </c>
      <c r="K5770" s="18">
        <v>13.05</v>
      </c>
      <c r="L5770" s="22">
        <v>11</v>
      </c>
    </row>
    <row r="5771" spans="1:12">
      <c r="A5771">
        <v>6</v>
      </c>
      <c r="B5771" s="16" t="s">
        <v>61</v>
      </c>
      <c r="C5771" s="9">
        <v>46082</v>
      </c>
      <c r="D5771">
        <v>48</v>
      </c>
      <c r="E5771" s="16" t="s">
        <v>137</v>
      </c>
      <c r="F5771" s="16" t="s">
        <v>138</v>
      </c>
      <c r="G5771" s="22">
        <v>18.5</v>
      </c>
      <c r="H5771" s="18">
        <v>248.38749999999999</v>
      </c>
      <c r="I5771" s="18">
        <v>13.426351350999999</v>
      </c>
      <c r="J5771" s="18">
        <v>13.62</v>
      </c>
      <c r="K5771" s="18">
        <v>13.26</v>
      </c>
      <c r="L5771" s="22">
        <v>13</v>
      </c>
    </row>
    <row r="5772" spans="1:12">
      <c r="A5772">
        <v>6</v>
      </c>
      <c r="B5772" s="16" t="s">
        <v>61</v>
      </c>
      <c r="C5772" s="9">
        <v>46113</v>
      </c>
      <c r="D5772">
        <v>48</v>
      </c>
      <c r="E5772" s="16" t="s">
        <v>137</v>
      </c>
      <c r="F5772" s="16" t="s">
        <v>138</v>
      </c>
      <c r="G5772" s="22">
        <v>22</v>
      </c>
      <c r="H5772" s="18">
        <v>297.48500000000001</v>
      </c>
      <c r="I5772" s="18">
        <v>13.522045455000001</v>
      </c>
      <c r="J5772" s="18">
        <v>13.83</v>
      </c>
      <c r="K5772" s="18">
        <v>13.32</v>
      </c>
      <c r="L5772" s="22">
        <v>13</v>
      </c>
    </row>
    <row r="5773" spans="1:12">
      <c r="A5773">
        <v>6</v>
      </c>
      <c r="B5773" s="16" t="s">
        <v>61</v>
      </c>
      <c r="C5773" s="9">
        <v>46143</v>
      </c>
      <c r="D5773">
        <v>48</v>
      </c>
      <c r="E5773" s="16" t="s">
        <v>137</v>
      </c>
      <c r="F5773" s="16" t="s">
        <v>138</v>
      </c>
      <c r="G5773" s="22">
        <v>26.75</v>
      </c>
      <c r="H5773" s="18">
        <v>361.72250000000003</v>
      </c>
      <c r="I5773" s="18">
        <v>13.522336449000001</v>
      </c>
      <c r="J5773" s="18">
        <v>13.89</v>
      </c>
      <c r="K5773" s="18">
        <v>13.32</v>
      </c>
      <c r="L5773" s="22">
        <v>13</v>
      </c>
    </row>
    <row r="5774" spans="1:12">
      <c r="A5774">
        <v>6</v>
      </c>
      <c r="B5774" s="16" t="s">
        <v>61</v>
      </c>
      <c r="C5774" s="9">
        <v>46174</v>
      </c>
      <c r="D5774">
        <v>48</v>
      </c>
      <c r="E5774" s="16" t="s">
        <v>137</v>
      </c>
      <c r="F5774" s="16" t="s">
        <v>138</v>
      </c>
      <c r="G5774" s="22">
        <v>26.75</v>
      </c>
      <c r="H5774" s="18">
        <v>362.26749999999998</v>
      </c>
      <c r="I5774" s="18">
        <v>13.54271028</v>
      </c>
      <c r="J5774" s="18">
        <v>13.85</v>
      </c>
      <c r="K5774" s="18">
        <v>13.26</v>
      </c>
      <c r="L5774" s="22">
        <v>13</v>
      </c>
    </row>
    <row r="5775" spans="1:12">
      <c r="A5775">
        <v>6</v>
      </c>
      <c r="B5775" s="16" t="s">
        <v>61</v>
      </c>
      <c r="C5775" s="9">
        <v>46204</v>
      </c>
      <c r="D5775">
        <v>48</v>
      </c>
      <c r="E5775" s="16" t="s">
        <v>137</v>
      </c>
      <c r="F5775" s="16" t="s">
        <v>138</v>
      </c>
      <c r="G5775" s="22">
        <v>27</v>
      </c>
      <c r="H5775" s="18">
        <v>360.86250000000001</v>
      </c>
      <c r="I5775" s="18">
        <v>13.365277777999999</v>
      </c>
      <c r="J5775" s="18">
        <v>13.77</v>
      </c>
      <c r="K5775" s="18">
        <v>13.03</v>
      </c>
      <c r="L5775" s="22">
        <v>14</v>
      </c>
    </row>
    <row r="5776" spans="1:12">
      <c r="A5776">
        <v>6</v>
      </c>
      <c r="B5776" s="16" t="s">
        <v>61</v>
      </c>
      <c r="C5776" s="9">
        <v>46235</v>
      </c>
      <c r="D5776">
        <v>48</v>
      </c>
      <c r="E5776" s="16" t="s">
        <v>137</v>
      </c>
      <c r="F5776" s="16" t="s">
        <v>138</v>
      </c>
      <c r="G5776" s="22">
        <v>20.25</v>
      </c>
      <c r="H5776" s="18">
        <v>309.03750000000002</v>
      </c>
      <c r="I5776" s="18">
        <v>15.261111111</v>
      </c>
      <c r="J5776" s="18">
        <v>15.51</v>
      </c>
      <c r="K5776" s="18">
        <v>15.07</v>
      </c>
      <c r="L5776" s="22">
        <v>12</v>
      </c>
    </row>
    <row r="5777" spans="1:12">
      <c r="A5777">
        <v>6</v>
      </c>
      <c r="B5777" s="16" t="s">
        <v>61</v>
      </c>
      <c r="C5777" s="9">
        <v>46266</v>
      </c>
      <c r="D5777">
        <v>48</v>
      </c>
      <c r="E5777" s="16" t="s">
        <v>137</v>
      </c>
      <c r="F5777" s="16" t="s">
        <v>138</v>
      </c>
      <c r="G5777" s="22">
        <v>23</v>
      </c>
      <c r="H5777" s="18">
        <v>354.34500000000003</v>
      </c>
      <c r="I5777" s="18">
        <v>15.406304348000001</v>
      </c>
      <c r="J5777" s="18">
        <v>16.52</v>
      </c>
      <c r="K5777" s="18">
        <v>15.16</v>
      </c>
      <c r="L5777" s="22">
        <v>13</v>
      </c>
    </row>
    <row r="5778" spans="1:12">
      <c r="A5778">
        <v>6</v>
      </c>
      <c r="B5778" s="16" t="s">
        <v>61</v>
      </c>
      <c r="C5778" s="9">
        <v>45689</v>
      </c>
      <c r="D5778">
        <v>49</v>
      </c>
      <c r="E5778" s="16" t="s">
        <v>139</v>
      </c>
      <c r="F5778" s="16" t="s">
        <v>138</v>
      </c>
      <c r="G5778" s="22">
        <v>18</v>
      </c>
      <c r="H5778" s="18">
        <v>132.16249999999999</v>
      </c>
      <c r="I5778" s="18">
        <v>7.3423611109999998</v>
      </c>
      <c r="J5778" s="18">
        <v>7.44</v>
      </c>
      <c r="K5778" s="18">
        <v>7.21</v>
      </c>
      <c r="L5778" s="22">
        <v>8</v>
      </c>
    </row>
    <row r="5779" spans="1:12">
      <c r="A5779">
        <v>6</v>
      </c>
      <c r="B5779" s="16" t="s">
        <v>61</v>
      </c>
      <c r="C5779" s="9">
        <v>45717</v>
      </c>
      <c r="D5779">
        <v>49</v>
      </c>
      <c r="E5779" s="16" t="s">
        <v>139</v>
      </c>
      <c r="F5779" s="16" t="s">
        <v>138</v>
      </c>
      <c r="G5779" s="22">
        <v>17.25</v>
      </c>
      <c r="H5779" s="18">
        <v>127.2</v>
      </c>
      <c r="I5779" s="18">
        <v>7.3739130429999999</v>
      </c>
      <c r="J5779" s="18">
        <v>7.57</v>
      </c>
      <c r="K5779" s="18">
        <v>7.25</v>
      </c>
      <c r="L5779" s="22">
        <v>8</v>
      </c>
    </row>
    <row r="5780" spans="1:12">
      <c r="A5780">
        <v>6</v>
      </c>
      <c r="B5780" s="16" t="s">
        <v>61</v>
      </c>
      <c r="C5780" s="9">
        <v>45748</v>
      </c>
      <c r="D5780">
        <v>49</v>
      </c>
      <c r="E5780" s="16" t="s">
        <v>139</v>
      </c>
      <c r="F5780" s="16" t="s">
        <v>138</v>
      </c>
      <c r="G5780" s="22">
        <v>30.75</v>
      </c>
      <c r="H5780" s="18">
        <v>226.81</v>
      </c>
      <c r="I5780" s="18">
        <v>7.3759349590000003</v>
      </c>
      <c r="J5780" s="18">
        <v>7.44</v>
      </c>
      <c r="K5780" s="18">
        <v>7.23</v>
      </c>
      <c r="L5780" s="22">
        <v>9</v>
      </c>
    </row>
    <row r="5781" spans="1:12">
      <c r="A5781">
        <v>6</v>
      </c>
      <c r="B5781" s="16" t="s">
        <v>61</v>
      </c>
      <c r="C5781" s="9">
        <v>45778</v>
      </c>
      <c r="D5781">
        <v>49</v>
      </c>
      <c r="E5781" s="16" t="s">
        <v>139</v>
      </c>
      <c r="F5781" s="16" t="s">
        <v>138</v>
      </c>
      <c r="G5781" s="22">
        <v>29</v>
      </c>
      <c r="H5781" s="18">
        <v>212.73249999999999</v>
      </c>
      <c r="I5781" s="18">
        <v>7.3356034479999996</v>
      </c>
      <c r="J5781" s="18">
        <v>7.47</v>
      </c>
      <c r="K5781" s="18">
        <v>7.25</v>
      </c>
      <c r="L5781" s="22">
        <v>9</v>
      </c>
    </row>
    <row r="5782" spans="1:12">
      <c r="A5782">
        <v>6</v>
      </c>
      <c r="B5782" s="16" t="s">
        <v>61</v>
      </c>
      <c r="C5782" s="9">
        <v>45809</v>
      </c>
      <c r="D5782">
        <v>49</v>
      </c>
      <c r="E5782" s="16" t="s">
        <v>139</v>
      </c>
      <c r="F5782" s="16" t="s">
        <v>138</v>
      </c>
      <c r="G5782" s="22">
        <v>30</v>
      </c>
      <c r="H5782" s="18">
        <v>221.08250000000001</v>
      </c>
      <c r="I5782" s="18">
        <v>7.3694166670000003</v>
      </c>
      <c r="J5782" s="18">
        <v>7.51</v>
      </c>
      <c r="K5782" s="18">
        <v>7.25</v>
      </c>
      <c r="L5782" s="22">
        <v>8</v>
      </c>
    </row>
    <row r="5783" spans="1:12">
      <c r="A5783">
        <v>6</v>
      </c>
      <c r="B5783" s="16" t="s">
        <v>61</v>
      </c>
      <c r="C5783" s="9">
        <v>45839</v>
      </c>
      <c r="D5783">
        <v>49</v>
      </c>
      <c r="E5783" s="16" t="s">
        <v>139</v>
      </c>
      <c r="F5783" s="16" t="s">
        <v>138</v>
      </c>
      <c r="G5783" s="22">
        <v>41.5</v>
      </c>
      <c r="H5783" s="18">
        <v>303.34249999999997</v>
      </c>
      <c r="I5783" s="18">
        <v>7.3094578309999996</v>
      </c>
      <c r="J5783" s="18">
        <v>7.44</v>
      </c>
      <c r="K5783" s="18">
        <v>7.11</v>
      </c>
      <c r="L5783" s="22">
        <v>10</v>
      </c>
    </row>
    <row r="5784" spans="1:12">
      <c r="A5784">
        <v>6</v>
      </c>
      <c r="B5784" s="16" t="s">
        <v>61</v>
      </c>
      <c r="C5784" s="9">
        <v>45870</v>
      </c>
      <c r="D5784">
        <v>49</v>
      </c>
      <c r="E5784" s="16" t="s">
        <v>139</v>
      </c>
      <c r="F5784" s="16" t="s">
        <v>138</v>
      </c>
      <c r="G5784" s="22">
        <v>23.25</v>
      </c>
      <c r="H5784" s="18">
        <v>198.85249999999999</v>
      </c>
      <c r="I5784" s="18">
        <v>8.5527956990000007</v>
      </c>
      <c r="J5784" s="18">
        <v>8.7100000000000009</v>
      </c>
      <c r="K5784" s="18">
        <v>8.3800000000000008</v>
      </c>
      <c r="L5784" s="22">
        <v>8</v>
      </c>
    </row>
    <row r="5785" spans="1:12">
      <c r="A5785">
        <v>6</v>
      </c>
      <c r="B5785" s="16" t="s">
        <v>61</v>
      </c>
      <c r="C5785" s="9">
        <v>45901</v>
      </c>
      <c r="D5785">
        <v>49</v>
      </c>
      <c r="E5785" s="16" t="s">
        <v>139</v>
      </c>
      <c r="F5785" s="16" t="s">
        <v>138</v>
      </c>
      <c r="G5785" s="22">
        <v>26.75</v>
      </c>
      <c r="H5785" s="18">
        <v>225.875</v>
      </c>
      <c r="I5785" s="18">
        <v>8.4439252339999999</v>
      </c>
      <c r="J5785" s="18">
        <v>8.51</v>
      </c>
      <c r="K5785" s="18">
        <v>8.3699999999999992</v>
      </c>
      <c r="L5785" s="22">
        <v>9</v>
      </c>
    </row>
    <row r="5786" spans="1:12">
      <c r="A5786">
        <v>6</v>
      </c>
      <c r="B5786" s="16" t="s">
        <v>61</v>
      </c>
      <c r="C5786" s="9">
        <v>45931</v>
      </c>
      <c r="D5786">
        <v>49</v>
      </c>
      <c r="E5786" s="16" t="s">
        <v>139</v>
      </c>
      <c r="F5786" s="16" t="s">
        <v>138</v>
      </c>
      <c r="G5786" s="22">
        <v>31.25</v>
      </c>
      <c r="H5786" s="18">
        <v>232.1225</v>
      </c>
      <c r="I5786" s="18">
        <v>7.4279200000000003</v>
      </c>
      <c r="J5786" s="18">
        <v>7.64</v>
      </c>
      <c r="K5786" s="18">
        <v>7.18</v>
      </c>
      <c r="L5786" s="22">
        <v>9</v>
      </c>
    </row>
    <row r="5787" spans="1:12">
      <c r="A5787">
        <v>6</v>
      </c>
      <c r="B5787" s="16" t="s">
        <v>61</v>
      </c>
      <c r="C5787" s="9">
        <v>45962</v>
      </c>
      <c r="D5787">
        <v>49</v>
      </c>
      <c r="E5787" s="16" t="s">
        <v>139</v>
      </c>
      <c r="F5787" s="16" t="s">
        <v>138</v>
      </c>
      <c r="G5787" s="22">
        <v>15.25</v>
      </c>
      <c r="H5787" s="18">
        <v>122.4975</v>
      </c>
      <c r="I5787" s="18">
        <v>8.0326229510000005</v>
      </c>
      <c r="J5787" s="18">
        <v>8.56</v>
      </c>
      <c r="K5787" s="18">
        <v>7.48</v>
      </c>
      <c r="L5787" s="22">
        <v>8</v>
      </c>
    </row>
    <row r="5788" spans="1:12">
      <c r="A5788">
        <v>6</v>
      </c>
      <c r="B5788" s="16" t="s">
        <v>61</v>
      </c>
      <c r="C5788" s="9">
        <v>45992</v>
      </c>
      <c r="D5788">
        <v>49</v>
      </c>
      <c r="E5788" s="16" t="s">
        <v>139</v>
      </c>
      <c r="F5788" s="16" t="s">
        <v>138</v>
      </c>
      <c r="G5788" s="22">
        <v>13.5</v>
      </c>
      <c r="H5788" s="18">
        <v>114.465</v>
      </c>
      <c r="I5788" s="18">
        <v>8.4788888890000003</v>
      </c>
      <c r="J5788" s="18">
        <v>8.6199999999999992</v>
      </c>
      <c r="K5788" s="18">
        <v>8.32</v>
      </c>
      <c r="L5788" s="22">
        <v>9</v>
      </c>
    </row>
    <row r="5789" spans="1:12">
      <c r="A5789">
        <v>6</v>
      </c>
      <c r="B5789" s="16" t="s">
        <v>61</v>
      </c>
      <c r="C5789" s="9">
        <v>46023</v>
      </c>
      <c r="D5789">
        <v>49</v>
      </c>
      <c r="E5789" s="16" t="s">
        <v>139</v>
      </c>
      <c r="F5789" s="16" t="s">
        <v>138</v>
      </c>
      <c r="G5789" s="22">
        <v>15.75</v>
      </c>
      <c r="H5789" s="18">
        <v>118.005</v>
      </c>
      <c r="I5789" s="18">
        <v>7.4923809520000004</v>
      </c>
      <c r="J5789" s="18">
        <v>7.65</v>
      </c>
      <c r="K5789" s="18">
        <v>7.38</v>
      </c>
      <c r="L5789" s="22">
        <v>9</v>
      </c>
    </row>
    <row r="5790" spans="1:12">
      <c r="A5790">
        <v>6</v>
      </c>
      <c r="B5790" s="16" t="s">
        <v>61</v>
      </c>
      <c r="C5790" s="9">
        <v>46054</v>
      </c>
      <c r="D5790">
        <v>49</v>
      </c>
      <c r="E5790" s="16" t="s">
        <v>139</v>
      </c>
      <c r="F5790" s="16" t="s">
        <v>138</v>
      </c>
      <c r="G5790" s="22">
        <v>11.5</v>
      </c>
      <c r="H5790" s="18">
        <v>85.722499999999997</v>
      </c>
      <c r="I5790" s="18">
        <v>7.4541304349999997</v>
      </c>
      <c r="J5790" s="18">
        <v>7.56</v>
      </c>
      <c r="K5790" s="18">
        <v>7.33</v>
      </c>
      <c r="L5790" s="22">
        <v>8</v>
      </c>
    </row>
    <row r="5791" spans="1:12">
      <c r="A5791">
        <v>6</v>
      </c>
      <c r="B5791" s="16" t="s">
        <v>61</v>
      </c>
      <c r="C5791" s="9">
        <v>46082</v>
      </c>
      <c r="D5791">
        <v>49</v>
      </c>
      <c r="E5791" s="16" t="s">
        <v>139</v>
      </c>
      <c r="F5791" s="16" t="s">
        <v>138</v>
      </c>
      <c r="G5791" s="22">
        <v>25.75</v>
      </c>
      <c r="H5791" s="18">
        <v>191.54249999999999</v>
      </c>
      <c r="I5791" s="18">
        <v>7.4385436890000003</v>
      </c>
      <c r="J5791" s="18">
        <v>7.63</v>
      </c>
      <c r="K5791" s="18">
        <v>7.31</v>
      </c>
      <c r="L5791" s="22">
        <v>9</v>
      </c>
    </row>
    <row r="5792" spans="1:12">
      <c r="A5792">
        <v>6</v>
      </c>
      <c r="B5792" s="16" t="s">
        <v>61</v>
      </c>
      <c r="C5792" s="9">
        <v>46113</v>
      </c>
      <c r="D5792">
        <v>49</v>
      </c>
      <c r="E5792" s="16" t="s">
        <v>139</v>
      </c>
      <c r="F5792" s="16" t="s">
        <v>138</v>
      </c>
      <c r="G5792" s="22">
        <v>33.5</v>
      </c>
      <c r="H5792" s="18">
        <v>250.4975</v>
      </c>
      <c r="I5792" s="18">
        <v>7.477537313</v>
      </c>
      <c r="J5792" s="18">
        <v>7.58</v>
      </c>
      <c r="K5792" s="18">
        <v>7.36</v>
      </c>
      <c r="L5792" s="22">
        <v>9</v>
      </c>
    </row>
    <row r="5793" spans="1:12">
      <c r="A5793">
        <v>6</v>
      </c>
      <c r="B5793" s="16" t="s">
        <v>61</v>
      </c>
      <c r="C5793" s="9">
        <v>46143</v>
      </c>
      <c r="D5793">
        <v>49</v>
      </c>
      <c r="E5793" s="16" t="s">
        <v>139</v>
      </c>
      <c r="F5793" s="16" t="s">
        <v>138</v>
      </c>
      <c r="G5793" s="22">
        <v>34</v>
      </c>
      <c r="H5793" s="18">
        <v>254.14250000000001</v>
      </c>
      <c r="I5793" s="18">
        <v>7.4747794120000002</v>
      </c>
      <c r="J5793" s="18">
        <v>7.76</v>
      </c>
      <c r="K5793" s="18">
        <v>7.29</v>
      </c>
      <c r="L5793" s="22">
        <v>8</v>
      </c>
    </row>
    <row r="5794" spans="1:12">
      <c r="A5794">
        <v>6</v>
      </c>
      <c r="B5794" s="16" t="s">
        <v>61</v>
      </c>
      <c r="C5794" s="9">
        <v>46174</v>
      </c>
      <c r="D5794">
        <v>49</v>
      </c>
      <c r="E5794" s="16" t="s">
        <v>139</v>
      </c>
      <c r="F5794" s="16" t="s">
        <v>138</v>
      </c>
      <c r="G5794" s="22">
        <v>35.75</v>
      </c>
      <c r="H5794" s="18">
        <v>269.66750000000002</v>
      </c>
      <c r="I5794" s="18">
        <v>7.5431468529999997</v>
      </c>
      <c r="J5794" s="18">
        <v>7.63</v>
      </c>
      <c r="K5794" s="18">
        <v>7.41</v>
      </c>
      <c r="L5794" s="22">
        <v>9</v>
      </c>
    </row>
    <row r="5795" spans="1:12">
      <c r="A5795">
        <v>6</v>
      </c>
      <c r="B5795" s="16" t="s">
        <v>61</v>
      </c>
      <c r="C5795" s="9">
        <v>46204</v>
      </c>
      <c r="D5795">
        <v>49</v>
      </c>
      <c r="E5795" s="16" t="s">
        <v>139</v>
      </c>
      <c r="F5795" s="16" t="s">
        <v>138</v>
      </c>
      <c r="G5795" s="22">
        <v>36</v>
      </c>
      <c r="H5795" s="18">
        <v>268.47250000000003</v>
      </c>
      <c r="I5795" s="18">
        <v>7.4575694439999998</v>
      </c>
      <c r="J5795" s="18">
        <v>7.6</v>
      </c>
      <c r="K5795" s="18">
        <v>7.35</v>
      </c>
      <c r="L5795" s="22">
        <v>9</v>
      </c>
    </row>
    <row r="5796" spans="1:12">
      <c r="A5796">
        <v>6</v>
      </c>
      <c r="B5796" s="16" t="s">
        <v>61</v>
      </c>
      <c r="C5796" s="9">
        <v>46235</v>
      </c>
      <c r="D5796">
        <v>49</v>
      </c>
      <c r="E5796" s="16" t="s">
        <v>139</v>
      </c>
      <c r="F5796" s="16" t="s">
        <v>138</v>
      </c>
      <c r="G5796" s="22">
        <v>25.75</v>
      </c>
      <c r="H5796" s="18">
        <v>218.61750000000001</v>
      </c>
      <c r="I5796" s="18">
        <v>8.49</v>
      </c>
      <c r="J5796" s="18">
        <v>8.66</v>
      </c>
      <c r="K5796" s="18">
        <v>8.32</v>
      </c>
      <c r="L5796" s="22">
        <v>8</v>
      </c>
    </row>
    <row r="5797" spans="1:12">
      <c r="A5797">
        <v>6</v>
      </c>
      <c r="B5797" s="16" t="s">
        <v>61</v>
      </c>
      <c r="C5797" s="9">
        <v>46266</v>
      </c>
      <c r="D5797">
        <v>49</v>
      </c>
      <c r="E5797" s="16" t="s">
        <v>139</v>
      </c>
      <c r="F5797" s="16" t="s">
        <v>138</v>
      </c>
      <c r="G5797" s="22">
        <v>31.75</v>
      </c>
      <c r="H5797" s="18">
        <v>273.51249999999999</v>
      </c>
      <c r="I5797" s="18">
        <v>8.6145669290000004</v>
      </c>
      <c r="J5797" s="18">
        <v>9.2200000000000006</v>
      </c>
      <c r="K5797" s="18">
        <v>8.36</v>
      </c>
      <c r="L5797" s="22">
        <v>9</v>
      </c>
    </row>
    <row r="5798" spans="1:12">
      <c r="A5798">
        <v>6</v>
      </c>
      <c r="B5798" s="16" t="s">
        <v>61</v>
      </c>
      <c r="C5798" s="9">
        <v>45689</v>
      </c>
      <c r="D5798">
        <v>50</v>
      </c>
      <c r="E5798" s="16" t="s">
        <v>140</v>
      </c>
      <c r="F5798" s="16" t="s">
        <v>138</v>
      </c>
      <c r="G5798" s="22">
        <v>17.75</v>
      </c>
      <c r="H5798" s="18">
        <v>75.867500000000007</v>
      </c>
      <c r="I5798" s="18">
        <v>4.2742253520000002</v>
      </c>
      <c r="J5798" s="18">
        <v>4.5</v>
      </c>
      <c r="K5798" s="18">
        <v>4.2</v>
      </c>
      <c r="L5798" s="22">
        <v>8</v>
      </c>
    </row>
    <row r="5799" spans="1:12">
      <c r="A5799">
        <v>6</v>
      </c>
      <c r="B5799" s="16" t="s">
        <v>61</v>
      </c>
      <c r="C5799" s="9">
        <v>45717</v>
      </c>
      <c r="D5799">
        <v>50</v>
      </c>
      <c r="E5799" s="16" t="s">
        <v>140</v>
      </c>
      <c r="F5799" s="16" t="s">
        <v>138</v>
      </c>
      <c r="G5799" s="22">
        <v>16.75</v>
      </c>
      <c r="H5799" s="18">
        <v>70.602500000000006</v>
      </c>
      <c r="I5799" s="18">
        <v>4.2150746269999999</v>
      </c>
      <c r="J5799" s="18">
        <v>4.29</v>
      </c>
      <c r="K5799" s="18">
        <v>4.07</v>
      </c>
      <c r="L5799" s="22">
        <v>8</v>
      </c>
    </row>
    <row r="5800" spans="1:12">
      <c r="A5800">
        <v>6</v>
      </c>
      <c r="B5800" s="16" t="s">
        <v>61</v>
      </c>
      <c r="C5800" s="9">
        <v>45748</v>
      </c>
      <c r="D5800">
        <v>50</v>
      </c>
      <c r="E5800" s="16" t="s">
        <v>140</v>
      </c>
      <c r="F5800" s="16" t="s">
        <v>138</v>
      </c>
      <c r="G5800" s="22">
        <v>30</v>
      </c>
      <c r="H5800" s="18">
        <v>126.3</v>
      </c>
      <c r="I5800" s="18">
        <v>4.21</v>
      </c>
      <c r="J5800" s="18">
        <v>4.34</v>
      </c>
      <c r="K5800" s="18">
        <v>4.12</v>
      </c>
      <c r="L5800" s="22">
        <v>9</v>
      </c>
    </row>
    <row r="5801" spans="1:12">
      <c r="A5801">
        <v>6</v>
      </c>
      <c r="B5801" s="16" t="s">
        <v>61</v>
      </c>
      <c r="C5801" s="9">
        <v>45778</v>
      </c>
      <c r="D5801">
        <v>50</v>
      </c>
      <c r="E5801" s="16" t="s">
        <v>140</v>
      </c>
      <c r="F5801" s="16" t="s">
        <v>138</v>
      </c>
      <c r="G5801" s="22">
        <v>29.5</v>
      </c>
      <c r="H5801" s="18">
        <v>123.03</v>
      </c>
      <c r="I5801" s="18">
        <v>4.1705084750000001</v>
      </c>
      <c r="J5801" s="18">
        <v>4.2300000000000004</v>
      </c>
      <c r="K5801" s="18">
        <v>4.0999999999999996</v>
      </c>
      <c r="L5801" s="22">
        <v>9</v>
      </c>
    </row>
    <row r="5802" spans="1:12">
      <c r="A5802">
        <v>6</v>
      </c>
      <c r="B5802" s="16" t="s">
        <v>61</v>
      </c>
      <c r="C5802" s="9">
        <v>45809</v>
      </c>
      <c r="D5802">
        <v>50</v>
      </c>
      <c r="E5802" s="16" t="s">
        <v>140</v>
      </c>
      <c r="F5802" s="16" t="s">
        <v>138</v>
      </c>
      <c r="G5802" s="22">
        <v>30.75</v>
      </c>
      <c r="H5802" s="18">
        <v>126.9425</v>
      </c>
      <c r="I5802" s="18">
        <v>4.1282113819999999</v>
      </c>
      <c r="J5802" s="18">
        <v>4.24</v>
      </c>
      <c r="K5802" s="18">
        <v>4.08</v>
      </c>
      <c r="L5802" s="22">
        <v>8</v>
      </c>
    </row>
    <row r="5803" spans="1:12">
      <c r="A5803">
        <v>6</v>
      </c>
      <c r="B5803" s="16" t="s">
        <v>61</v>
      </c>
      <c r="C5803" s="9">
        <v>45839</v>
      </c>
      <c r="D5803">
        <v>50</v>
      </c>
      <c r="E5803" s="16" t="s">
        <v>140</v>
      </c>
      <c r="F5803" s="16" t="s">
        <v>138</v>
      </c>
      <c r="G5803" s="22">
        <v>41.5</v>
      </c>
      <c r="H5803" s="18">
        <v>170.37</v>
      </c>
      <c r="I5803" s="18">
        <v>4.105301205</v>
      </c>
      <c r="J5803" s="18">
        <v>4.18</v>
      </c>
      <c r="K5803" s="18">
        <v>4.04</v>
      </c>
      <c r="L5803" s="22">
        <v>10</v>
      </c>
    </row>
    <row r="5804" spans="1:12">
      <c r="A5804">
        <v>6</v>
      </c>
      <c r="B5804" s="16" t="s">
        <v>61</v>
      </c>
      <c r="C5804" s="9">
        <v>45870</v>
      </c>
      <c r="D5804">
        <v>50</v>
      </c>
      <c r="E5804" s="16" t="s">
        <v>140</v>
      </c>
      <c r="F5804" s="16" t="s">
        <v>138</v>
      </c>
      <c r="G5804" s="22">
        <v>23.75</v>
      </c>
      <c r="H5804" s="18">
        <v>111.79</v>
      </c>
      <c r="I5804" s="18">
        <v>4.7069473679999998</v>
      </c>
      <c r="J5804" s="18">
        <v>4.79</v>
      </c>
      <c r="K5804" s="18">
        <v>4.6399999999999997</v>
      </c>
      <c r="L5804" s="22">
        <v>8</v>
      </c>
    </row>
    <row r="5805" spans="1:12">
      <c r="A5805">
        <v>6</v>
      </c>
      <c r="B5805" s="16" t="s">
        <v>61</v>
      </c>
      <c r="C5805" s="9">
        <v>45901</v>
      </c>
      <c r="D5805">
        <v>50</v>
      </c>
      <c r="E5805" s="16" t="s">
        <v>140</v>
      </c>
      <c r="F5805" s="16" t="s">
        <v>138</v>
      </c>
      <c r="G5805" s="22">
        <v>27</v>
      </c>
      <c r="H5805" s="18">
        <v>127.61</v>
      </c>
      <c r="I5805" s="18">
        <v>4.7262962960000001</v>
      </c>
      <c r="J5805" s="18">
        <v>4.79</v>
      </c>
      <c r="K5805" s="18">
        <v>4.67</v>
      </c>
      <c r="L5805" s="22">
        <v>9</v>
      </c>
    </row>
    <row r="5806" spans="1:12">
      <c r="A5806">
        <v>6</v>
      </c>
      <c r="B5806" s="16" t="s">
        <v>61</v>
      </c>
      <c r="C5806" s="9">
        <v>45931</v>
      </c>
      <c r="D5806">
        <v>50</v>
      </c>
      <c r="E5806" s="16" t="s">
        <v>140</v>
      </c>
      <c r="F5806" s="16" t="s">
        <v>138</v>
      </c>
      <c r="G5806" s="22">
        <v>30.75</v>
      </c>
      <c r="H5806" s="18">
        <v>126.8725</v>
      </c>
      <c r="I5806" s="18">
        <v>4.1259349590000003</v>
      </c>
      <c r="J5806" s="18">
        <v>4.22</v>
      </c>
      <c r="K5806" s="18">
        <v>4.04</v>
      </c>
      <c r="L5806" s="22">
        <v>9</v>
      </c>
    </row>
    <row r="5807" spans="1:12">
      <c r="A5807">
        <v>6</v>
      </c>
      <c r="B5807" s="16" t="s">
        <v>61</v>
      </c>
      <c r="C5807" s="9">
        <v>45962</v>
      </c>
      <c r="D5807">
        <v>50</v>
      </c>
      <c r="E5807" s="16" t="s">
        <v>140</v>
      </c>
      <c r="F5807" s="16" t="s">
        <v>138</v>
      </c>
      <c r="G5807" s="22">
        <v>15</v>
      </c>
      <c r="H5807" s="18">
        <v>65.722499999999997</v>
      </c>
      <c r="I5807" s="18">
        <v>4.3815</v>
      </c>
      <c r="J5807" s="18">
        <v>4.66</v>
      </c>
      <c r="K5807" s="18">
        <v>4.04</v>
      </c>
      <c r="L5807" s="22">
        <v>8</v>
      </c>
    </row>
    <row r="5808" spans="1:12">
      <c r="A5808">
        <v>6</v>
      </c>
      <c r="B5808" s="16" t="s">
        <v>61</v>
      </c>
      <c r="C5808" s="9">
        <v>45992</v>
      </c>
      <c r="D5808">
        <v>50</v>
      </c>
      <c r="E5808" s="16" t="s">
        <v>140</v>
      </c>
      <c r="F5808" s="16" t="s">
        <v>138</v>
      </c>
      <c r="G5808" s="22">
        <v>12.5</v>
      </c>
      <c r="H5808" s="18">
        <v>57.66</v>
      </c>
      <c r="I5808" s="18">
        <v>4.6128</v>
      </c>
      <c r="J5808" s="18">
        <v>4.97</v>
      </c>
      <c r="K5808" s="18">
        <v>4.55</v>
      </c>
      <c r="L5808" s="22">
        <v>9</v>
      </c>
    </row>
    <row r="5809" spans="1:12">
      <c r="A5809">
        <v>6</v>
      </c>
      <c r="B5809" s="16" t="s">
        <v>61</v>
      </c>
      <c r="C5809" s="9">
        <v>46023</v>
      </c>
      <c r="D5809">
        <v>50</v>
      </c>
      <c r="E5809" s="16" t="s">
        <v>140</v>
      </c>
      <c r="F5809" s="16" t="s">
        <v>138</v>
      </c>
      <c r="G5809" s="22">
        <v>16.5</v>
      </c>
      <c r="H5809" s="18">
        <v>67.662499999999994</v>
      </c>
      <c r="I5809" s="18">
        <v>4.1007575760000003</v>
      </c>
      <c r="J5809" s="18">
        <v>4.21</v>
      </c>
      <c r="K5809" s="18">
        <v>4.05</v>
      </c>
      <c r="L5809" s="22">
        <v>9</v>
      </c>
    </row>
    <row r="5810" spans="1:12">
      <c r="A5810">
        <v>6</v>
      </c>
      <c r="B5810" s="16" t="s">
        <v>61</v>
      </c>
      <c r="C5810" s="9">
        <v>46054</v>
      </c>
      <c r="D5810">
        <v>50</v>
      </c>
      <c r="E5810" s="16" t="s">
        <v>140</v>
      </c>
      <c r="F5810" s="16" t="s">
        <v>138</v>
      </c>
      <c r="G5810" s="22">
        <v>11.25</v>
      </c>
      <c r="H5810" s="18">
        <v>45.6325</v>
      </c>
      <c r="I5810" s="18">
        <v>4.0562222219999997</v>
      </c>
      <c r="J5810" s="18">
        <v>4.18</v>
      </c>
      <c r="K5810" s="18">
        <v>4.01</v>
      </c>
      <c r="L5810" s="22">
        <v>8</v>
      </c>
    </row>
    <row r="5811" spans="1:12">
      <c r="A5811">
        <v>6</v>
      </c>
      <c r="B5811" s="16" t="s">
        <v>61</v>
      </c>
      <c r="C5811" s="9">
        <v>46082</v>
      </c>
      <c r="D5811">
        <v>50</v>
      </c>
      <c r="E5811" s="16" t="s">
        <v>140</v>
      </c>
      <c r="F5811" s="16" t="s">
        <v>138</v>
      </c>
      <c r="G5811" s="22">
        <v>25.25</v>
      </c>
      <c r="H5811" s="18">
        <v>103.63500000000001</v>
      </c>
      <c r="I5811" s="18">
        <v>4.1043564359999998</v>
      </c>
      <c r="J5811" s="18">
        <v>4.17</v>
      </c>
      <c r="K5811" s="18">
        <v>4.07</v>
      </c>
      <c r="L5811" s="22">
        <v>9</v>
      </c>
    </row>
    <row r="5812" spans="1:12">
      <c r="A5812">
        <v>6</v>
      </c>
      <c r="B5812" s="16" t="s">
        <v>61</v>
      </c>
      <c r="C5812" s="9">
        <v>46113</v>
      </c>
      <c r="D5812">
        <v>50</v>
      </c>
      <c r="E5812" s="16" t="s">
        <v>140</v>
      </c>
      <c r="F5812" s="16" t="s">
        <v>138</v>
      </c>
      <c r="G5812" s="22">
        <v>33.5</v>
      </c>
      <c r="H5812" s="18">
        <v>138.79</v>
      </c>
      <c r="I5812" s="18">
        <v>4.1429850750000004</v>
      </c>
      <c r="J5812" s="18">
        <v>4.2300000000000004</v>
      </c>
      <c r="K5812" s="18">
        <v>4.09</v>
      </c>
      <c r="L5812" s="22">
        <v>9</v>
      </c>
    </row>
    <row r="5813" spans="1:12">
      <c r="A5813">
        <v>6</v>
      </c>
      <c r="B5813" s="16" t="s">
        <v>61</v>
      </c>
      <c r="C5813" s="9">
        <v>46143</v>
      </c>
      <c r="D5813">
        <v>50</v>
      </c>
      <c r="E5813" s="16" t="s">
        <v>140</v>
      </c>
      <c r="F5813" s="16" t="s">
        <v>138</v>
      </c>
      <c r="G5813" s="22">
        <v>33.5</v>
      </c>
      <c r="H5813" s="18">
        <v>139.41</v>
      </c>
      <c r="I5813" s="18">
        <v>4.161492537</v>
      </c>
      <c r="J5813" s="18">
        <v>4.24</v>
      </c>
      <c r="K5813" s="18">
        <v>4.03</v>
      </c>
      <c r="L5813" s="22">
        <v>8</v>
      </c>
    </row>
    <row r="5814" spans="1:12">
      <c r="A5814">
        <v>6</v>
      </c>
      <c r="B5814" s="16" t="s">
        <v>61</v>
      </c>
      <c r="C5814" s="9">
        <v>46174</v>
      </c>
      <c r="D5814">
        <v>50</v>
      </c>
      <c r="E5814" s="16" t="s">
        <v>140</v>
      </c>
      <c r="F5814" s="16" t="s">
        <v>138</v>
      </c>
      <c r="G5814" s="22">
        <v>36.25</v>
      </c>
      <c r="H5814" s="18">
        <v>150.5025</v>
      </c>
      <c r="I5814" s="18">
        <v>4.1517931030000002</v>
      </c>
      <c r="J5814" s="18">
        <v>4.18</v>
      </c>
      <c r="K5814" s="18">
        <v>4.0999999999999996</v>
      </c>
      <c r="L5814" s="22">
        <v>9</v>
      </c>
    </row>
    <row r="5815" spans="1:12">
      <c r="A5815">
        <v>6</v>
      </c>
      <c r="B5815" s="16" t="s">
        <v>61</v>
      </c>
      <c r="C5815" s="9">
        <v>46204</v>
      </c>
      <c r="D5815">
        <v>50</v>
      </c>
      <c r="E5815" s="16" t="s">
        <v>140</v>
      </c>
      <c r="F5815" s="16" t="s">
        <v>138</v>
      </c>
      <c r="G5815" s="22">
        <v>37</v>
      </c>
      <c r="H5815" s="18">
        <v>152.54</v>
      </c>
      <c r="I5815" s="18">
        <v>4.1227027029999999</v>
      </c>
      <c r="J5815" s="18">
        <v>4.21</v>
      </c>
      <c r="K5815" s="18">
        <v>4.07</v>
      </c>
      <c r="L5815" s="22">
        <v>9</v>
      </c>
    </row>
    <row r="5816" spans="1:12">
      <c r="A5816">
        <v>6</v>
      </c>
      <c r="B5816" s="16" t="s">
        <v>61</v>
      </c>
      <c r="C5816" s="9">
        <v>46235</v>
      </c>
      <c r="D5816">
        <v>50</v>
      </c>
      <c r="E5816" s="16" t="s">
        <v>140</v>
      </c>
      <c r="F5816" s="16" t="s">
        <v>138</v>
      </c>
      <c r="G5816" s="22">
        <v>25.25</v>
      </c>
      <c r="H5816" s="18">
        <v>120.2775</v>
      </c>
      <c r="I5816" s="18">
        <v>4.7634653470000003</v>
      </c>
      <c r="J5816" s="18">
        <v>4.82</v>
      </c>
      <c r="K5816" s="18">
        <v>4.71</v>
      </c>
      <c r="L5816" s="22">
        <v>8</v>
      </c>
    </row>
    <row r="5817" spans="1:12">
      <c r="A5817">
        <v>6</v>
      </c>
      <c r="B5817" s="16" t="s">
        <v>61</v>
      </c>
      <c r="C5817" s="9">
        <v>46266</v>
      </c>
      <c r="D5817">
        <v>50</v>
      </c>
      <c r="E5817" s="16" t="s">
        <v>140</v>
      </c>
      <c r="F5817" s="16" t="s">
        <v>138</v>
      </c>
      <c r="G5817" s="22">
        <v>31.25</v>
      </c>
      <c r="H5817" s="18">
        <v>147.68</v>
      </c>
      <c r="I5817" s="18">
        <v>4.7257600000000002</v>
      </c>
      <c r="J5817" s="18">
        <v>4.8600000000000003</v>
      </c>
      <c r="K5817" s="18">
        <v>4.62</v>
      </c>
      <c r="L5817" s="22">
        <v>9</v>
      </c>
    </row>
    <row r="5818" spans="1:12">
      <c r="A5818">
        <v>6</v>
      </c>
      <c r="B5818" s="16" t="s">
        <v>61</v>
      </c>
      <c r="C5818" s="9">
        <v>45689</v>
      </c>
      <c r="D5818">
        <v>51</v>
      </c>
      <c r="E5818" s="16" t="s">
        <v>141</v>
      </c>
      <c r="F5818" s="16" t="s">
        <v>81</v>
      </c>
      <c r="G5818" s="22">
        <v>7.5</v>
      </c>
      <c r="H5818" s="18">
        <v>23.4</v>
      </c>
      <c r="I5818" s="18">
        <v>3.12</v>
      </c>
      <c r="J5818" s="18">
        <v>3.15</v>
      </c>
      <c r="K5818" s="18">
        <v>3.09</v>
      </c>
      <c r="L5818" s="22">
        <v>2</v>
      </c>
    </row>
    <row r="5819" spans="1:12">
      <c r="A5819">
        <v>6</v>
      </c>
      <c r="B5819" s="16" t="s">
        <v>61</v>
      </c>
      <c r="C5819" s="9">
        <v>45717</v>
      </c>
      <c r="D5819">
        <v>51</v>
      </c>
      <c r="E5819" s="16" t="s">
        <v>141</v>
      </c>
      <c r="F5819" s="16" t="s">
        <v>81</v>
      </c>
      <c r="G5819" s="22">
        <v>3.75</v>
      </c>
      <c r="H5819" s="18">
        <v>11.85</v>
      </c>
      <c r="I5819" s="18">
        <v>3.16</v>
      </c>
      <c r="J5819" s="18">
        <v>3.16</v>
      </c>
      <c r="K5819" s="18">
        <v>3.16</v>
      </c>
      <c r="L5819" s="22">
        <v>1</v>
      </c>
    </row>
    <row r="5820" spans="1:12">
      <c r="A5820">
        <v>6</v>
      </c>
      <c r="B5820" s="16" t="s">
        <v>61</v>
      </c>
      <c r="C5820" s="9">
        <v>45748</v>
      </c>
      <c r="D5820">
        <v>51</v>
      </c>
      <c r="E5820" s="16" t="s">
        <v>141</v>
      </c>
      <c r="F5820" s="16" t="s">
        <v>81</v>
      </c>
      <c r="G5820" s="22">
        <v>7.5</v>
      </c>
      <c r="H5820" s="18">
        <v>23.737500000000001</v>
      </c>
      <c r="I5820" s="18">
        <v>3.165</v>
      </c>
      <c r="J5820" s="18">
        <v>3.19</v>
      </c>
      <c r="K5820" s="18">
        <v>3.14</v>
      </c>
      <c r="L5820" s="22">
        <v>2</v>
      </c>
    </row>
    <row r="5821" spans="1:12">
      <c r="A5821">
        <v>6</v>
      </c>
      <c r="B5821" s="16" t="s">
        <v>61</v>
      </c>
      <c r="C5821" s="9">
        <v>45778</v>
      </c>
      <c r="D5821">
        <v>51</v>
      </c>
      <c r="E5821" s="16" t="s">
        <v>141</v>
      </c>
      <c r="F5821" s="16" t="s">
        <v>81</v>
      </c>
      <c r="G5821" s="22">
        <v>3.75</v>
      </c>
      <c r="H5821" s="18">
        <v>11.8125</v>
      </c>
      <c r="I5821" s="18">
        <v>3.15</v>
      </c>
      <c r="J5821" s="18">
        <v>3.15</v>
      </c>
      <c r="K5821" s="18">
        <v>3.15</v>
      </c>
      <c r="L5821" s="22">
        <v>1</v>
      </c>
    </row>
    <row r="5822" spans="1:12">
      <c r="A5822">
        <v>6</v>
      </c>
      <c r="B5822" s="16" t="s">
        <v>61</v>
      </c>
      <c r="C5822" s="9">
        <v>45809</v>
      </c>
      <c r="D5822">
        <v>51</v>
      </c>
      <c r="E5822" s="16" t="s">
        <v>141</v>
      </c>
      <c r="F5822" s="16" t="s">
        <v>81</v>
      </c>
      <c r="G5822" s="22">
        <v>7.5</v>
      </c>
      <c r="H5822" s="18">
        <v>23.774999999999999</v>
      </c>
      <c r="I5822" s="18">
        <v>3.17</v>
      </c>
      <c r="J5822" s="18">
        <v>3.2</v>
      </c>
      <c r="K5822" s="18">
        <v>3.14</v>
      </c>
      <c r="L5822" s="22">
        <v>2</v>
      </c>
    </row>
    <row r="5823" spans="1:12">
      <c r="A5823">
        <v>6</v>
      </c>
      <c r="B5823" s="16" t="s">
        <v>61</v>
      </c>
      <c r="C5823" s="9">
        <v>45839</v>
      </c>
      <c r="D5823">
        <v>51</v>
      </c>
      <c r="E5823" s="16" t="s">
        <v>141</v>
      </c>
      <c r="F5823" s="16" t="s">
        <v>81</v>
      </c>
      <c r="G5823" s="22">
        <v>3.75</v>
      </c>
      <c r="H5823" s="18">
        <v>11.55</v>
      </c>
      <c r="I5823" s="18">
        <v>3.08</v>
      </c>
      <c r="J5823" s="18">
        <v>3.08</v>
      </c>
      <c r="K5823" s="18">
        <v>3.08</v>
      </c>
      <c r="L5823" s="22">
        <v>1</v>
      </c>
    </row>
    <row r="5824" spans="1:12">
      <c r="A5824">
        <v>6</v>
      </c>
      <c r="B5824" s="16" t="s">
        <v>61</v>
      </c>
      <c r="C5824" s="9">
        <v>45870</v>
      </c>
      <c r="D5824">
        <v>51</v>
      </c>
      <c r="E5824" s="16" t="s">
        <v>141</v>
      </c>
      <c r="F5824" s="16" t="s">
        <v>81</v>
      </c>
      <c r="G5824" s="22">
        <v>3.75</v>
      </c>
      <c r="H5824" s="18">
        <v>11.6625</v>
      </c>
      <c r="I5824" s="18">
        <v>3.11</v>
      </c>
      <c r="J5824" s="18">
        <v>3.11</v>
      </c>
      <c r="K5824" s="18">
        <v>3.11</v>
      </c>
      <c r="L5824" s="22">
        <v>1</v>
      </c>
    </row>
    <row r="5825" spans="1:12">
      <c r="A5825">
        <v>6</v>
      </c>
      <c r="B5825" s="16" t="s">
        <v>61</v>
      </c>
      <c r="C5825" s="9">
        <v>45901</v>
      </c>
      <c r="D5825">
        <v>51</v>
      </c>
      <c r="E5825" s="16" t="s">
        <v>141</v>
      </c>
      <c r="F5825" s="16" t="s">
        <v>81</v>
      </c>
      <c r="G5825" s="22">
        <v>3.75</v>
      </c>
      <c r="H5825" s="18">
        <v>11.737500000000001</v>
      </c>
      <c r="I5825" s="18">
        <v>3.13</v>
      </c>
      <c r="J5825" s="18">
        <v>3.13</v>
      </c>
      <c r="K5825" s="18">
        <v>3.13</v>
      </c>
      <c r="L5825" s="22">
        <v>1</v>
      </c>
    </row>
    <row r="5826" spans="1:12">
      <c r="A5826">
        <v>6</v>
      </c>
      <c r="B5826" s="16" t="s">
        <v>61</v>
      </c>
      <c r="C5826" s="9">
        <v>45931</v>
      </c>
      <c r="D5826">
        <v>51</v>
      </c>
      <c r="E5826" s="16" t="s">
        <v>141</v>
      </c>
      <c r="F5826" s="16" t="s">
        <v>81</v>
      </c>
      <c r="G5826" s="22">
        <v>7.5</v>
      </c>
      <c r="H5826" s="18">
        <v>23.324999999999999</v>
      </c>
      <c r="I5826" s="18">
        <v>3.11</v>
      </c>
      <c r="J5826" s="18">
        <v>3.14</v>
      </c>
      <c r="K5826" s="18">
        <v>3.08</v>
      </c>
      <c r="L5826" s="22">
        <v>2</v>
      </c>
    </row>
    <row r="5827" spans="1:12">
      <c r="A5827">
        <v>6</v>
      </c>
      <c r="B5827" s="16" t="s">
        <v>61</v>
      </c>
      <c r="C5827" s="9">
        <v>45962</v>
      </c>
      <c r="D5827">
        <v>51</v>
      </c>
      <c r="E5827" s="16" t="s">
        <v>141</v>
      </c>
      <c r="F5827" s="16" t="s">
        <v>81</v>
      </c>
      <c r="G5827" s="22">
        <v>3.75</v>
      </c>
      <c r="H5827" s="18">
        <v>11.625</v>
      </c>
      <c r="I5827" s="18">
        <v>3.1</v>
      </c>
      <c r="J5827" s="18">
        <v>3.1</v>
      </c>
      <c r="K5827" s="18">
        <v>3.1</v>
      </c>
      <c r="L5827" s="22">
        <v>1</v>
      </c>
    </row>
    <row r="5828" spans="1:12">
      <c r="A5828">
        <v>6</v>
      </c>
      <c r="B5828" s="16" t="s">
        <v>61</v>
      </c>
      <c r="C5828" s="9">
        <v>45992</v>
      </c>
      <c r="D5828">
        <v>51</v>
      </c>
      <c r="E5828" s="16" t="s">
        <v>141</v>
      </c>
      <c r="F5828" s="16" t="s">
        <v>81</v>
      </c>
      <c r="G5828" s="22">
        <v>7.5</v>
      </c>
      <c r="H5828" s="18">
        <v>23.475000000000001</v>
      </c>
      <c r="I5828" s="18">
        <v>3.13</v>
      </c>
      <c r="J5828" s="18">
        <v>3.14</v>
      </c>
      <c r="K5828" s="18">
        <v>3.12</v>
      </c>
      <c r="L5828" s="22">
        <v>2</v>
      </c>
    </row>
    <row r="5829" spans="1:12">
      <c r="A5829">
        <v>6</v>
      </c>
      <c r="B5829" s="16" t="s">
        <v>61</v>
      </c>
      <c r="C5829" s="9">
        <v>46023</v>
      </c>
      <c r="D5829">
        <v>51</v>
      </c>
      <c r="E5829" s="16" t="s">
        <v>141</v>
      </c>
      <c r="F5829" s="16" t="s">
        <v>81</v>
      </c>
      <c r="G5829" s="22">
        <v>3.75</v>
      </c>
      <c r="H5829" s="18">
        <v>11.5875</v>
      </c>
      <c r="I5829" s="18">
        <v>3.09</v>
      </c>
      <c r="J5829" s="18">
        <v>3.09</v>
      </c>
      <c r="K5829" s="18">
        <v>3.09</v>
      </c>
      <c r="L5829" s="22">
        <v>1</v>
      </c>
    </row>
    <row r="5830" spans="1:12">
      <c r="A5830">
        <v>6</v>
      </c>
      <c r="B5830" s="16" t="s">
        <v>61</v>
      </c>
      <c r="C5830" s="9">
        <v>46054</v>
      </c>
      <c r="D5830">
        <v>51</v>
      </c>
      <c r="E5830" s="16" t="s">
        <v>141</v>
      </c>
      <c r="F5830" s="16" t="s">
        <v>81</v>
      </c>
      <c r="G5830" s="22">
        <v>7.5</v>
      </c>
      <c r="H5830" s="18">
        <v>23.0625</v>
      </c>
      <c r="I5830" s="18">
        <v>3.0750000000000002</v>
      </c>
      <c r="J5830" s="18">
        <v>3.1</v>
      </c>
      <c r="K5830" s="18">
        <v>3.05</v>
      </c>
      <c r="L5830" s="22">
        <v>2</v>
      </c>
    </row>
    <row r="5831" spans="1:12">
      <c r="A5831">
        <v>6</v>
      </c>
      <c r="B5831" s="16" t="s">
        <v>61</v>
      </c>
      <c r="C5831" s="9">
        <v>46082</v>
      </c>
      <c r="D5831">
        <v>51</v>
      </c>
      <c r="E5831" s="16" t="s">
        <v>141</v>
      </c>
      <c r="F5831" s="16" t="s">
        <v>81</v>
      </c>
      <c r="G5831" s="22">
        <v>7.5</v>
      </c>
      <c r="H5831" s="18">
        <v>23.212499999999999</v>
      </c>
      <c r="I5831" s="18">
        <v>3.0950000000000002</v>
      </c>
      <c r="J5831" s="18">
        <v>3.1</v>
      </c>
      <c r="K5831" s="18">
        <v>3.09</v>
      </c>
      <c r="L5831" s="22">
        <v>2</v>
      </c>
    </row>
    <row r="5832" spans="1:12">
      <c r="A5832">
        <v>6</v>
      </c>
      <c r="B5832" s="16" t="s">
        <v>61</v>
      </c>
      <c r="C5832" s="9">
        <v>46113</v>
      </c>
      <c r="D5832">
        <v>51</v>
      </c>
      <c r="E5832" s="16" t="s">
        <v>141</v>
      </c>
      <c r="F5832" s="16" t="s">
        <v>81</v>
      </c>
      <c r="G5832" s="22">
        <v>7.5</v>
      </c>
      <c r="H5832" s="18">
        <v>23.737500000000001</v>
      </c>
      <c r="I5832" s="18">
        <v>3.165</v>
      </c>
      <c r="J5832" s="18">
        <v>3.2</v>
      </c>
      <c r="K5832" s="18">
        <v>3.13</v>
      </c>
      <c r="L5832" s="22">
        <v>2</v>
      </c>
    </row>
    <row r="5833" spans="1:12">
      <c r="A5833">
        <v>6</v>
      </c>
      <c r="B5833" s="16" t="s">
        <v>61</v>
      </c>
      <c r="C5833" s="9">
        <v>46143</v>
      </c>
      <c r="D5833">
        <v>51</v>
      </c>
      <c r="E5833" s="16" t="s">
        <v>141</v>
      </c>
      <c r="F5833" s="16" t="s">
        <v>81</v>
      </c>
      <c r="G5833" s="22">
        <v>3.75</v>
      </c>
      <c r="H5833" s="18">
        <v>11.85</v>
      </c>
      <c r="I5833" s="18">
        <v>3.16</v>
      </c>
      <c r="J5833" s="18">
        <v>3.16</v>
      </c>
      <c r="K5833" s="18">
        <v>3.16</v>
      </c>
      <c r="L5833" s="22">
        <v>1</v>
      </c>
    </row>
    <row r="5834" spans="1:12">
      <c r="A5834">
        <v>6</v>
      </c>
      <c r="B5834" s="16" t="s">
        <v>61</v>
      </c>
      <c r="C5834" s="9">
        <v>46174</v>
      </c>
      <c r="D5834">
        <v>51</v>
      </c>
      <c r="E5834" s="16" t="s">
        <v>141</v>
      </c>
      <c r="F5834" s="16" t="s">
        <v>81</v>
      </c>
      <c r="G5834" s="22">
        <v>3.75</v>
      </c>
      <c r="H5834" s="18">
        <v>12.0375</v>
      </c>
      <c r="I5834" s="18">
        <v>3.21</v>
      </c>
      <c r="J5834" s="18">
        <v>3.21</v>
      </c>
      <c r="K5834" s="18">
        <v>3.21</v>
      </c>
      <c r="L5834" s="22">
        <v>1</v>
      </c>
    </row>
    <row r="5835" spans="1:12">
      <c r="A5835">
        <v>6</v>
      </c>
      <c r="B5835" s="16" t="s">
        <v>61</v>
      </c>
      <c r="C5835" s="9">
        <v>46204</v>
      </c>
      <c r="D5835">
        <v>51</v>
      </c>
      <c r="E5835" s="16" t="s">
        <v>141</v>
      </c>
      <c r="F5835" s="16" t="s">
        <v>81</v>
      </c>
      <c r="G5835" s="22">
        <v>3.75</v>
      </c>
      <c r="H5835" s="18">
        <v>11.887499999999999</v>
      </c>
      <c r="I5835" s="18">
        <v>3.17</v>
      </c>
      <c r="J5835" s="18">
        <v>3.17</v>
      </c>
      <c r="K5835" s="18">
        <v>3.17</v>
      </c>
      <c r="L5835" s="22">
        <v>1</v>
      </c>
    </row>
    <row r="5836" spans="1:12">
      <c r="A5836">
        <v>6</v>
      </c>
      <c r="B5836" s="16" t="s">
        <v>61</v>
      </c>
      <c r="C5836" s="9">
        <v>46235</v>
      </c>
      <c r="D5836">
        <v>51</v>
      </c>
      <c r="E5836" s="16" t="s">
        <v>141</v>
      </c>
      <c r="F5836" s="16" t="s">
        <v>81</v>
      </c>
      <c r="G5836" s="22">
        <v>3.75</v>
      </c>
      <c r="H5836" s="18">
        <v>11.6625</v>
      </c>
      <c r="I5836" s="18">
        <v>3.11</v>
      </c>
      <c r="J5836" s="18">
        <v>3.11</v>
      </c>
      <c r="K5836" s="18">
        <v>3.11</v>
      </c>
      <c r="L5836" s="22">
        <v>1</v>
      </c>
    </row>
    <row r="5837" spans="1:12">
      <c r="A5837">
        <v>6</v>
      </c>
      <c r="B5837" s="16" t="s">
        <v>61</v>
      </c>
      <c r="C5837" s="9">
        <v>46266</v>
      </c>
      <c r="D5837">
        <v>51</v>
      </c>
      <c r="E5837" s="16" t="s">
        <v>141</v>
      </c>
      <c r="F5837" s="16" t="s">
        <v>81</v>
      </c>
      <c r="G5837" s="22">
        <v>3.75</v>
      </c>
      <c r="H5837" s="18">
        <v>12.0375</v>
      </c>
      <c r="I5837" s="18">
        <v>3.21</v>
      </c>
      <c r="J5837" s="18">
        <v>3.21</v>
      </c>
      <c r="K5837" s="18">
        <v>3.21</v>
      </c>
      <c r="L5837" s="22">
        <v>1</v>
      </c>
    </row>
    <row r="5838" spans="1:12">
      <c r="A5838">
        <v>6</v>
      </c>
      <c r="B5838" s="16" t="s">
        <v>61</v>
      </c>
      <c r="C5838" s="9">
        <v>45717</v>
      </c>
      <c r="D5838">
        <v>52</v>
      </c>
      <c r="E5838" s="16" t="s">
        <v>142</v>
      </c>
      <c r="F5838" s="16" t="s">
        <v>108</v>
      </c>
      <c r="G5838" s="22">
        <v>12</v>
      </c>
      <c r="H5838" s="18">
        <v>13.92</v>
      </c>
      <c r="I5838" s="18">
        <v>1.1599999999999999</v>
      </c>
      <c r="J5838" s="18">
        <v>1.1599999999999999</v>
      </c>
      <c r="K5838" s="18">
        <v>1.1599999999999999</v>
      </c>
      <c r="L5838" s="22">
        <v>1</v>
      </c>
    </row>
    <row r="5839" spans="1:12">
      <c r="A5839">
        <v>6</v>
      </c>
      <c r="B5839" s="16" t="s">
        <v>61</v>
      </c>
      <c r="C5839" s="9">
        <v>45748</v>
      </c>
      <c r="D5839">
        <v>52</v>
      </c>
      <c r="E5839" s="16" t="s">
        <v>142</v>
      </c>
      <c r="F5839" s="16" t="s">
        <v>108</v>
      </c>
      <c r="G5839" s="22">
        <v>12</v>
      </c>
      <c r="H5839" s="18">
        <v>13.8</v>
      </c>
      <c r="I5839" s="18">
        <v>1.1499999999999999</v>
      </c>
      <c r="J5839" s="18">
        <v>1.1499999999999999</v>
      </c>
      <c r="K5839" s="18">
        <v>1.1499999999999999</v>
      </c>
      <c r="L5839" s="22">
        <v>1</v>
      </c>
    </row>
    <row r="5840" spans="1:12">
      <c r="A5840">
        <v>6</v>
      </c>
      <c r="B5840" s="16" t="s">
        <v>61</v>
      </c>
      <c r="C5840" s="9">
        <v>45809</v>
      </c>
      <c r="D5840">
        <v>52</v>
      </c>
      <c r="E5840" s="16" t="s">
        <v>142</v>
      </c>
      <c r="F5840" s="16" t="s">
        <v>108</v>
      </c>
      <c r="G5840" s="22">
        <v>12</v>
      </c>
      <c r="H5840" s="18">
        <v>13.92</v>
      </c>
      <c r="I5840" s="18">
        <v>1.1599999999999999</v>
      </c>
      <c r="J5840" s="18">
        <v>1.1599999999999999</v>
      </c>
      <c r="K5840" s="18">
        <v>1.1599999999999999</v>
      </c>
      <c r="L5840" s="22">
        <v>1</v>
      </c>
    </row>
    <row r="5841" spans="1:12">
      <c r="A5841">
        <v>6</v>
      </c>
      <c r="B5841" s="16" t="s">
        <v>61</v>
      </c>
      <c r="C5841" s="9">
        <v>45870</v>
      </c>
      <c r="D5841">
        <v>52</v>
      </c>
      <c r="E5841" s="16" t="s">
        <v>142</v>
      </c>
      <c r="F5841" s="16" t="s">
        <v>108</v>
      </c>
      <c r="G5841" s="22">
        <v>12</v>
      </c>
      <c r="H5841" s="18">
        <v>13.8</v>
      </c>
      <c r="I5841" s="18">
        <v>1.1499999999999999</v>
      </c>
      <c r="J5841" s="18">
        <v>1.1499999999999999</v>
      </c>
      <c r="K5841" s="18">
        <v>1.1499999999999999</v>
      </c>
      <c r="L5841" s="22">
        <v>1</v>
      </c>
    </row>
    <row r="5842" spans="1:12">
      <c r="A5842">
        <v>6</v>
      </c>
      <c r="B5842" s="16" t="s">
        <v>61</v>
      </c>
      <c r="C5842" s="9">
        <v>45901</v>
      </c>
      <c r="D5842">
        <v>52</v>
      </c>
      <c r="E5842" s="16" t="s">
        <v>142</v>
      </c>
      <c r="F5842" s="16" t="s">
        <v>108</v>
      </c>
      <c r="G5842" s="22">
        <v>12</v>
      </c>
      <c r="H5842" s="18">
        <v>13.56</v>
      </c>
      <c r="I5842" s="18">
        <v>1.1299999999999999</v>
      </c>
      <c r="J5842" s="18">
        <v>1.1299999999999999</v>
      </c>
      <c r="K5842" s="18">
        <v>1.1299999999999999</v>
      </c>
      <c r="L5842" s="22">
        <v>1</v>
      </c>
    </row>
    <row r="5843" spans="1:12">
      <c r="A5843">
        <v>6</v>
      </c>
      <c r="B5843" s="16" t="s">
        <v>61</v>
      </c>
      <c r="C5843" s="9">
        <v>45962</v>
      </c>
      <c r="D5843">
        <v>52</v>
      </c>
      <c r="E5843" s="16" t="s">
        <v>142</v>
      </c>
      <c r="F5843" s="16" t="s">
        <v>108</v>
      </c>
      <c r="G5843" s="22">
        <v>12</v>
      </c>
      <c r="H5843" s="18">
        <v>14.04</v>
      </c>
      <c r="I5843" s="18">
        <v>1.17</v>
      </c>
      <c r="J5843" s="18">
        <v>1.17</v>
      </c>
      <c r="K5843" s="18">
        <v>1.17</v>
      </c>
      <c r="L5843" s="22">
        <v>1</v>
      </c>
    </row>
    <row r="5844" spans="1:12">
      <c r="A5844">
        <v>6</v>
      </c>
      <c r="B5844" s="16" t="s">
        <v>61</v>
      </c>
      <c r="C5844" s="9">
        <v>46023</v>
      </c>
      <c r="D5844">
        <v>52</v>
      </c>
      <c r="E5844" s="16" t="s">
        <v>142</v>
      </c>
      <c r="F5844" s="16" t="s">
        <v>108</v>
      </c>
      <c r="G5844" s="22">
        <v>24</v>
      </c>
      <c r="H5844" s="18">
        <v>28.68</v>
      </c>
      <c r="I5844" s="18">
        <v>1.1950000000000001</v>
      </c>
      <c r="J5844" s="18">
        <v>1.2</v>
      </c>
      <c r="K5844" s="18">
        <v>1.19</v>
      </c>
      <c r="L5844" s="22">
        <v>2</v>
      </c>
    </row>
    <row r="5845" spans="1:12">
      <c r="A5845">
        <v>6</v>
      </c>
      <c r="B5845" s="16" t="s">
        <v>61</v>
      </c>
      <c r="C5845" s="9">
        <v>46082</v>
      </c>
      <c r="D5845">
        <v>52</v>
      </c>
      <c r="E5845" s="16" t="s">
        <v>142</v>
      </c>
      <c r="F5845" s="16" t="s">
        <v>108</v>
      </c>
      <c r="G5845" s="22">
        <v>12</v>
      </c>
      <c r="H5845" s="18">
        <v>14.28</v>
      </c>
      <c r="I5845" s="18">
        <v>1.19</v>
      </c>
      <c r="J5845" s="18">
        <v>1.19</v>
      </c>
      <c r="K5845" s="18">
        <v>1.19</v>
      </c>
      <c r="L5845" s="22">
        <v>1</v>
      </c>
    </row>
    <row r="5846" spans="1:12">
      <c r="A5846">
        <v>6</v>
      </c>
      <c r="B5846" s="16" t="s">
        <v>61</v>
      </c>
      <c r="C5846" s="9">
        <v>46113</v>
      </c>
      <c r="D5846">
        <v>52</v>
      </c>
      <c r="E5846" s="16" t="s">
        <v>142</v>
      </c>
      <c r="F5846" s="16" t="s">
        <v>108</v>
      </c>
      <c r="G5846" s="22">
        <v>12</v>
      </c>
      <c r="H5846" s="18">
        <v>14.4</v>
      </c>
      <c r="I5846" s="18">
        <v>1.2</v>
      </c>
      <c r="J5846" s="18">
        <v>1.2</v>
      </c>
      <c r="K5846" s="18">
        <v>1.2</v>
      </c>
      <c r="L5846" s="22">
        <v>1</v>
      </c>
    </row>
    <row r="5847" spans="1:12">
      <c r="A5847">
        <v>6</v>
      </c>
      <c r="B5847" s="16" t="s">
        <v>61</v>
      </c>
      <c r="C5847" s="9">
        <v>46143</v>
      </c>
      <c r="D5847">
        <v>52</v>
      </c>
      <c r="E5847" s="16" t="s">
        <v>142</v>
      </c>
      <c r="F5847" s="16" t="s">
        <v>108</v>
      </c>
      <c r="G5847" s="22">
        <v>12</v>
      </c>
      <c r="H5847" s="18">
        <v>14.28</v>
      </c>
      <c r="I5847" s="18">
        <v>1.19</v>
      </c>
      <c r="J5847" s="18">
        <v>1.19</v>
      </c>
      <c r="K5847" s="18">
        <v>1.19</v>
      </c>
      <c r="L5847" s="22">
        <v>1</v>
      </c>
    </row>
    <row r="5848" spans="1:12">
      <c r="A5848">
        <v>6</v>
      </c>
      <c r="B5848" s="16" t="s">
        <v>61</v>
      </c>
      <c r="C5848" s="9">
        <v>46204</v>
      </c>
      <c r="D5848">
        <v>52</v>
      </c>
      <c r="E5848" s="16" t="s">
        <v>142</v>
      </c>
      <c r="F5848" s="16" t="s">
        <v>108</v>
      </c>
      <c r="G5848" s="22">
        <v>12</v>
      </c>
      <c r="H5848" s="18">
        <v>14.4</v>
      </c>
      <c r="I5848" s="18">
        <v>1.2</v>
      </c>
      <c r="J5848" s="18">
        <v>1.2</v>
      </c>
      <c r="K5848" s="18">
        <v>1.2</v>
      </c>
      <c r="L5848" s="22">
        <v>1</v>
      </c>
    </row>
    <row r="5849" spans="1:12">
      <c r="A5849">
        <v>6</v>
      </c>
      <c r="B5849" s="16" t="s">
        <v>61</v>
      </c>
      <c r="C5849" s="9">
        <v>46266</v>
      </c>
      <c r="D5849">
        <v>52</v>
      </c>
      <c r="E5849" s="16" t="s">
        <v>142</v>
      </c>
      <c r="F5849" s="16" t="s">
        <v>108</v>
      </c>
      <c r="G5849" s="22">
        <v>12</v>
      </c>
      <c r="H5849" s="18">
        <v>14.4</v>
      </c>
      <c r="I5849" s="18">
        <v>1.2</v>
      </c>
      <c r="J5849" s="18">
        <v>1.2</v>
      </c>
      <c r="K5849" s="18">
        <v>1.2</v>
      </c>
      <c r="L5849" s="22">
        <v>1</v>
      </c>
    </row>
    <row r="5850" spans="1:12">
      <c r="A5850">
        <v>6</v>
      </c>
      <c r="B5850" s="16" t="s">
        <v>61</v>
      </c>
      <c r="C5850" s="9">
        <v>45689</v>
      </c>
      <c r="D5850">
        <v>53</v>
      </c>
      <c r="E5850" s="16" t="s">
        <v>143</v>
      </c>
      <c r="F5850" s="16" t="s">
        <v>103</v>
      </c>
      <c r="G5850" s="22">
        <v>9</v>
      </c>
      <c r="H5850" s="18">
        <v>76.814999999999998</v>
      </c>
      <c r="I5850" s="18">
        <v>8.5350000000000001</v>
      </c>
      <c r="J5850" s="18">
        <v>8.69</v>
      </c>
      <c r="K5850" s="18">
        <v>8.3800000000000008</v>
      </c>
      <c r="L5850" s="22">
        <v>2</v>
      </c>
    </row>
    <row r="5851" spans="1:12">
      <c r="A5851">
        <v>6</v>
      </c>
      <c r="B5851" s="16" t="s">
        <v>61</v>
      </c>
      <c r="C5851" s="9">
        <v>45717</v>
      </c>
      <c r="D5851">
        <v>53</v>
      </c>
      <c r="E5851" s="16" t="s">
        <v>143</v>
      </c>
      <c r="F5851" s="16" t="s">
        <v>103</v>
      </c>
      <c r="G5851" s="22">
        <v>13.5</v>
      </c>
      <c r="H5851" s="18">
        <v>115.69499999999999</v>
      </c>
      <c r="I5851" s="18">
        <v>8.57</v>
      </c>
      <c r="J5851" s="18">
        <v>8.57</v>
      </c>
      <c r="K5851" s="18">
        <v>8.57</v>
      </c>
      <c r="L5851" s="22">
        <v>2</v>
      </c>
    </row>
    <row r="5852" spans="1:12">
      <c r="A5852">
        <v>6</v>
      </c>
      <c r="B5852" s="16" t="s">
        <v>61</v>
      </c>
      <c r="C5852" s="9">
        <v>45748</v>
      </c>
      <c r="D5852">
        <v>53</v>
      </c>
      <c r="E5852" s="16" t="s">
        <v>143</v>
      </c>
      <c r="F5852" s="16" t="s">
        <v>103</v>
      </c>
      <c r="G5852" s="22">
        <v>9</v>
      </c>
      <c r="H5852" s="18">
        <v>77.444999999999993</v>
      </c>
      <c r="I5852" s="18">
        <v>8.6050000000000004</v>
      </c>
      <c r="J5852" s="18">
        <v>8.6999999999999993</v>
      </c>
      <c r="K5852" s="18">
        <v>8.51</v>
      </c>
      <c r="L5852" s="22">
        <v>2</v>
      </c>
    </row>
    <row r="5853" spans="1:12">
      <c r="A5853">
        <v>6</v>
      </c>
      <c r="B5853" s="16" t="s">
        <v>61</v>
      </c>
      <c r="C5853" s="9">
        <v>45778</v>
      </c>
      <c r="D5853">
        <v>53</v>
      </c>
      <c r="E5853" s="16" t="s">
        <v>143</v>
      </c>
      <c r="F5853" s="16" t="s">
        <v>103</v>
      </c>
      <c r="G5853" s="22">
        <v>9</v>
      </c>
      <c r="H5853" s="18">
        <v>77.13</v>
      </c>
      <c r="I5853" s="18">
        <v>8.57</v>
      </c>
      <c r="J5853" s="18">
        <v>8.64</v>
      </c>
      <c r="K5853" s="18">
        <v>8.5</v>
      </c>
      <c r="L5853" s="22">
        <v>2</v>
      </c>
    </row>
    <row r="5854" spans="1:12">
      <c r="A5854">
        <v>6</v>
      </c>
      <c r="B5854" s="16" t="s">
        <v>61</v>
      </c>
      <c r="C5854" s="9">
        <v>45809</v>
      </c>
      <c r="D5854">
        <v>53</v>
      </c>
      <c r="E5854" s="16" t="s">
        <v>143</v>
      </c>
      <c r="F5854" s="16" t="s">
        <v>103</v>
      </c>
      <c r="G5854" s="22">
        <v>9</v>
      </c>
      <c r="H5854" s="18">
        <v>78.075000000000003</v>
      </c>
      <c r="I5854" s="18">
        <v>8.6750000000000007</v>
      </c>
      <c r="J5854" s="18">
        <v>8.68</v>
      </c>
      <c r="K5854" s="18">
        <v>8.67</v>
      </c>
      <c r="L5854" s="22">
        <v>2</v>
      </c>
    </row>
    <row r="5855" spans="1:12">
      <c r="A5855">
        <v>6</v>
      </c>
      <c r="B5855" s="16" t="s">
        <v>61</v>
      </c>
      <c r="C5855" s="9">
        <v>45839</v>
      </c>
      <c r="D5855">
        <v>53</v>
      </c>
      <c r="E5855" s="16" t="s">
        <v>143</v>
      </c>
      <c r="F5855" s="16" t="s">
        <v>103</v>
      </c>
      <c r="G5855" s="22">
        <v>9</v>
      </c>
      <c r="H5855" s="18">
        <v>81</v>
      </c>
      <c r="I5855" s="18">
        <v>9</v>
      </c>
      <c r="J5855" s="18">
        <v>9.1</v>
      </c>
      <c r="K5855" s="18">
        <v>8.9</v>
      </c>
      <c r="L5855" s="22">
        <v>2</v>
      </c>
    </row>
    <row r="5856" spans="1:12">
      <c r="A5856">
        <v>6</v>
      </c>
      <c r="B5856" s="16" t="s">
        <v>61</v>
      </c>
      <c r="C5856" s="9">
        <v>45870</v>
      </c>
      <c r="D5856">
        <v>53</v>
      </c>
      <c r="E5856" s="16" t="s">
        <v>143</v>
      </c>
      <c r="F5856" s="16" t="s">
        <v>103</v>
      </c>
      <c r="G5856" s="22">
        <v>9</v>
      </c>
      <c r="H5856" s="18">
        <v>78.12</v>
      </c>
      <c r="I5856" s="18">
        <v>8.68</v>
      </c>
      <c r="J5856" s="18">
        <v>8.7200000000000006</v>
      </c>
      <c r="K5856" s="18">
        <v>8.64</v>
      </c>
      <c r="L5856" s="22">
        <v>2</v>
      </c>
    </row>
    <row r="5857" spans="1:12">
      <c r="A5857">
        <v>6</v>
      </c>
      <c r="B5857" s="16" t="s">
        <v>61</v>
      </c>
      <c r="C5857" s="9">
        <v>45901</v>
      </c>
      <c r="D5857">
        <v>53</v>
      </c>
      <c r="E5857" s="16" t="s">
        <v>143</v>
      </c>
      <c r="F5857" s="16" t="s">
        <v>103</v>
      </c>
      <c r="G5857" s="22">
        <v>9</v>
      </c>
      <c r="H5857" s="18">
        <v>78.525000000000006</v>
      </c>
      <c r="I5857" s="18">
        <v>8.7249999999999996</v>
      </c>
      <c r="J5857" s="18">
        <v>8.7899999999999991</v>
      </c>
      <c r="K5857" s="18">
        <v>8.66</v>
      </c>
      <c r="L5857" s="22">
        <v>2</v>
      </c>
    </row>
    <row r="5858" spans="1:12">
      <c r="A5858">
        <v>6</v>
      </c>
      <c r="B5858" s="16" t="s">
        <v>61</v>
      </c>
      <c r="C5858" s="9">
        <v>45931</v>
      </c>
      <c r="D5858">
        <v>53</v>
      </c>
      <c r="E5858" s="16" t="s">
        <v>143</v>
      </c>
      <c r="F5858" s="16" t="s">
        <v>103</v>
      </c>
      <c r="G5858" s="22">
        <v>13.5</v>
      </c>
      <c r="H5858" s="18">
        <v>117.13500000000001</v>
      </c>
      <c r="I5858" s="18">
        <v>8.6766666669999992</v>
      </c>
      <c r="J5858" s="18">
        <v>8.7100000000000009</v>
      </c>
      <c r="K5858" s="18">
        <v>8.66</v>
      </c>
      <c r="L5858" s="22">
        <v>2</v>
      </c>
    </row>
    <row r="5859" spans="1:12">
      <c r="A5859">
        <v>6</v>
      </c>
      <c r="B5859" s="16" t="s">
        <v>61</v>
      </c>
      <c r="C5859" s="9">
        <v>45962</v>
      </c>
      <c r="D5859">
        <v>53</v>
      </c>
      <c r="E5859" s="16" t="s">
        <v>143</v>
      </c>
      <c r="F5859" s="16" t="s">
        <v>103</v>
      </c>
      <c r="G5859" s="22">
        <v>9</v>
      </c>
      <c r="H5859" s="18">
        <v>79.875</v>
      </c>
      <c r="I5859" s="18">
        <v>8.875</v>
      </c>
      <c r="J5859" s="18">
        <v>8.8800000000000008</v>
      </c>
      <c r="K5859" s="18">
        <v>8.8699999999999992</v>
      </c>
      <c r="L5859" s="22">
        <v>2</v>
      </c>
    </row>
    <row r="5860" spans="1:12">
      <c r="A5860">
        <v>6</v>
      </c>
      <c r="B5860" s="16" t="s">
        <v>61</v>
      </c>
      <c r="C5860" s="9">
        <v>45992</v>
      </c>
      <c r="D5860">
        <v>53</v>
      </c>
      <c r="E5860" s="16" t="s">
        <v>143</v>
      </c>
      <c r="F5860" s="16" t="s">
        <v>103</v>
      </c>
      <c r="G5860" s="22">
        <v>18</v>
      </c>
      <c r="H5860" s="18">
        <v>160.65</v>
      </c>
      <c r="I5860" s="18">
        <v>8.9250000000000007</v>
      </c>
      <c r="J5860" s="18">
        <v>9.06</v>
      </c>
      <c r="K5860" s="18">
        <v>8.84</v>
      </c>
      <c r="L5860" s="22">
        <v>3</v>
      </c>
    </row>
    <row r="5861" spans="1:12">
      <c r="A5861">
        <v>6</v>
      </c>
      <c r="B5861" s="16" t="s">
        <v>61</v>
      </c>
      <c r="C5861" s="9">
        <v>46023</v>
      </c>
      <c r="D5861">
        <v>53</v>
      </c>
      <c r="E5861" s="16" t="s">
        <v>143</v>
      </c>
      <c r="F5861" s="16" t="s">
        <v>103</v>
      </c>
      <c r="G5861" s="22">
        <v>9</v>
      </c>
      <c r="H5861" s="18">
        <v>79.605000000000004</v>
      </c>
      <c r="I5861" s="18">
        <v>8.8450000000000006</v>
      </c>
      <c r="J5861" s="18">
        <v>8.85</v>
      </c>
      <c r="K5861" s="18">
        <v>8.84</v>
      </c>
      <c r="L5861" s="22">
        <v>2</v>
      </c>
    </row>
    <row r="5862" spans="1:12">
      <c r="A5862">
        <v>6</v>
      </c>
      <c r="B5862" s="16" t="s">
        <v>61</v>
      </c>
      <c r="C5862" s="9">
        <v>46054</v>
      </c>
      <c r="D5862">
        <v>53</v>
      </c>
      <c r="E5862" s="16" t="s">
        <v>143</v>
      </c>
      <c r="F5862" s="16" t="s">
        <v>103</v>
      </c>
      <c r="G5862" s="22">
        <v>9</v>
      </c>
      <c r="H5862" s="18">
        <v>79.875</v>
      </c>
      <c r="I5862" s="18">
        <v>8.875</v>
      </c>
      <c r="J5862" s="18">
        <v>8.98</v>
      </c>
      <c r="K5862" s="18">
        <v>8.77</v>
      </c>
      <c r="L5862" s="22">
        <v>2</v>
      </c>
    </row>
    <row r="5863" spans="1:12">
      <c r="A5863">
        <v>6</v>
      </c>
      <c r="B5863" s="16" t="s">
        <v>61</v>
      </c>
      <c r="C5863" s="9">
        <v>46082</v>
      </c>
      <c r="D5863">
        <v>53</v>
      </c>
      <c r="E5863" s="16" t="s">
        <v>143</v>
      </c>
      <c r="F5863" s="16" t="s">
        <v>103</v>
      </c>
      <c r="G5863" s="22">
        <v>13.5</v>
      </c>
      <c r="H5863" s="18">
        <v>118.395</v>
      </c>
      <c r="I5863" s="18">
        <v>8.77</v>
      </c>
      <c r="J5863" s="18">
        <v>8.8000000000000007</v>
      </c>
      <c r="K5863" s="18">
        <v>8.7100000000000009</v>
      </c>
      <c r="L5863" s="22">
        <v>2</v>
      </c>
    </row>
    <row r="5864" spans="1:12">
      <c r="A5864">
        <v>6</v>
      </c>
      <c r="B5864" s="16" t="s">
        <v>61</v>
      </c>
      <c r="C5864" s="9">
        <v>46113</v>
      </c>
      <c r="D5864">
        <v>53</v>
      </c>
      <c r="E5864" s="16" t="s">
        <v>143</v>
      </c>
      <c r="F5864" s="16" t="s">
        <v>103</v>
      </c>
      <c r="G5864" s="22">
        <v>13.5</v>
      </c>
      <c r="H5864" s="18">
        <v>117.58499999999999</v>
      </c>
      <c r="I5864" s="18">
        <v>8.7100000000000009</v>
      </c>
      <c r="J5864" s="18">
        <v>8.83</v>
      </c>
      <c r="K5864" s="18">
        <v>8.65</v>
      </c>
      <c r="L5864" s="22">
        <v>2</v>
      </c>
    </row>
    <row r="5865" spans="1:12">
      <c r="A5865">
        <v>6</v>
      </c>
      <c r="B5865" s="16" t="s">
        <v>61</v>
      </c>
      <c r="C5865" s="9">
        <v>46143</v>
      </c>
      <c r="D5865">
        <v>53</v>
      </c>
      <c r="E5865" s="16" t="s">
        <v>143</v>
      </c>
      <c r="F5865" s="16" t="s">
        <v>103</v>
      </c>
      <c r="G5865" s="22">
        <v>9</v>
      </c>
      <c r="H5865" s="18">
        <v>79.155000000000001</v>
      </c>
      <c r="I5865" s="18">
        <v>8.7949999999999999</v>
      </c>
      <c r="J5865" s="18">
        <v>8.93</v>
      </c>
      <c r="K5865" s="18">
        <v>8.66</v>
      </c>
      <c r="L5865" s="22">
        <v>2</v>
      </c>
    </row>
    <row r="5866" spans="1:12">
      <c r="A5866">
        <v>6</v>
      </c>
      <c r="B5866" s="16" t="s">
        <v>61</v>
      </c>
      <c r="C5866" s="9">
        <v>46174</v>
      </c>
      <c r="D5866">
        <v>53</v>
      </c>
      <c r="E5866" s="16" t="s">
        <v>143</v>
      </c>
      <c r="F5866" s="16" t="s">
        <v>103</v>
      </c>
      <c r="G5866" s="22">
        <v>9</v>
      </c>
      <c r="H5866" s="18">
        <v>79.334999999999994</v>
      </c>
      <c r="I5866" s="18">
        <v>8.8149999999999995</v>
      </c>
      <c r="J5866" s="18">
        <v>8.83</v>
      </c>
      <c r="K5866" s="18">
        <v>8.8000000000000007</v>
      </c>
      <c r="L5866" s="22">
        <v>2</v>
      </c>
    </row>
    <row r="5867" spans="1:12">
      <c r="A5867">
        <v>6</v>
      </c>
      <c r="B5867" s="16" t="s">
        <v>61</v>
      </c>
      <c r="C5867" s="9">
        <v>46204</v>
      </c>
      <c r="D5867">
        <v>53</v>
      </c>
      <c r="E5867" s="16" t="s">
        <v>143</v>
      </c>
      <c r="F5867" s="16" t="s">
        <v>103</v>
      </c>
      <c r="G5867" s="22">
        <v>9</v>
      </c>
      <c r="H5867" s="18">
        <v>79.605000000000004</v>
      </c>
      <c r="I5867" s="18">
        <v>8.8450000000000006</v>
      </c>
      <c r="J5867" s="18">
        <v>8.9700000000000006</v>
      </c>
      <c r="K5867" s="18">
        <v>8.7200000000000006</v>
      </c>
      <c r="L5867" s="22">
        <v>2</v>
      </c>
    </row>
    <row r="5868" spans="1:12">
      <c r="A5868">
        <v>6</v>
      </c>
      <c r="B5868" s="16" t="s">
        <v>61</v>
      </c>
      <c r="C5868" s="9">
        <v>46235</v>
      </c>
      <c r="D5868">
        <v>53</v>
      </c>
      <c r="E5868" s="16" t="s">
        <v>143</v>
      </c>
      <c r="F5868" s="16" t="s">
        <v>103</v>
      </c>
      <c r="G5868" s="22">
        <v>9</v>
      </c>
      <c r="H5868" s="18">
        <v>79.56</v>
      </c>
      <c r="I5868" s="18">
        <v>8.84</v>
      </c>
      <c r="J5868" s="18">
        <v>8.86</v>
      </c>
      <c r="K5868" s="18">
        <v>8.82</v>
      </c>
      <c r="L5868" s="22">
        <v>2</v>
      </c>
    </row>
    <row r="5869" spans="1:12">
      <c r="A5869">
        <v>6</v>
      </c>
      <c r="B5869" s="16" t="s">
        <v>61</v>
      </c>
      <c r="C5869" s="9">
        <v>46266</v>
      </c>
      <c r="D5869">
        <v>53</v>
      </c>
      <c r="E5869" s="16" t="s">
        <v>143</v>
      </c>
      <c r="F5869" s="16" t="s">
        <v>103</v>
      </c>
      <c r="G5869" s="22">
        <v>9</v>
      </c>
      <c r="H5869" s="18">
        <v>81.09</v>
      </c>
      <c r="I5869" s="18">
        <v>9.01</v>
      </c>
      <c r="J5869" s="18">
        <v>9.09</v>
      </c>
      <c r="K5869" s="18">
        <v>8.93</v>
      </c>
      <c r="L5869" s="22">
        <v>2</v>
      </c>
    </row>
    <row r="5870" spans="1:12">
      <c r="A5870">
        <v>6</v>
      </c>
      <c r="B5870" s="16" t="s">
        <v>61</v>
      </c>
      <c r="C5870" s="9">
        <v>45689</v>
      </c>
      <c r="D5870">
        <v>54</v>
      </c>
      <c r="E5870" s="16" t="s">
        <v>144</v>
      </c>
      <c r="F5870" s="16" t="s">
        <v>103</v>
      </c>
      <c r="G5870" s="22">
        <v>2.25</v>
      </c>
      <c r="H5870" s="18">
        <v>22.094999999999999</v>
      </c>
      <c r="I5870" s="18">
        <v>9.82</v>
      </c>
      <c r="J5870" s="18">
        <v>9.82</v>
      </c>
      <c r="K5870" s="18">
        <v>9.82</v>
      </c>
      <c r="L5870" s="22">
        <v>1</v>
      </c>
    </row>
    <row r="5871" spans="1:12">
      <c r="A5871">
        <v>6</v>
      </c>
      <c r="B5871" s="16" t="s">
        <v>61</v>
      </c>
      <c r="C5871" s="9">
        <v>45717</v>
      </c>
      <c r="D5871">
        <v>54</v>
      </c>
      <c r="E5871" s="16" t="s">
        <v>144</v>
      </c>
      <c r="F5871" s="16" t="s">
        <v>103</v>
      </c>
      <c r="G5871" s="22">
        <v>4.5</v>
      </c>
      <c r="H5871" s="18">
        <v>45.202500000000001</v>
      </c>
      <c r="I5871" s="18">
        <v>10.045</v>
      </c>
      <c r="J5871" s="18">
        <v>10.06</v>
      </c>
      <c r="K5871" s="18">
        <v>10.029999999999999</v>
      </c>
      <c r="L5871" s="22">
        <v>2</v>
      </c>
    </row>
    <row r="5872" spans="1:12">
      <c r="A5872">
        <v>6</v>
      </c>
      <c r="B5872" s="16" t="s">
        <v>61</v>
      </c>
      <c r="C5872" s="9">
        <v>45748</v>
      </c>
      <c r="D5872">
        <v>54</v>
      </c>
      <c r="E5872" s="16" t="s">
        <v>144</v>
      </c>
      <c r="F5872" s="16" t="s">
        <v>103</v>
      </c>
      <c r="G5872" s="22">
        <v>4.5</v>
      </c>
      <c r="H5872" s="18">
        <v>45</v>
      </c>
      <c r="I5872" s="18">
        <v>10</v>
      </c>
      <c r="J5872" s="18">
        <v>10.18</v>
      </c>
      <c r="K5872" s="18">
        <v>9.82</v>
      </c>
      <c r="L5872" s="22">
        <v>2</v>
      </c>
    </row>
    <row r="5873" spans="1:12">
      <c r="A5873">
        <v>6</v>
      </c>
      <c r="B5873" s="16" t="s">
        <v>61</v>
      </c>
      <c r="C5873" s="9">
        <v>45778</v>
      </c>
      <c r="D5873">
        <v>54</v>
      </c>
      <c r="E5873" s="16" t="s">
        <v>144</v>
      </c>
      <c r="F5873" s="16" t="s">
        <v>103</v>
      </c>
      <c r="G5873" s="22">
        <v>4.5</v>
      </c>
      <c r="H5873" s="18">
        <v>45.832500000000003</v>
      </c>
      <c r="I5873" s="18">
        <v>10.185</v>
      </c>
      <c r="J5873" s="18">
        <v>10.25</v>
      </c>
      <c r="K5873" s="18">
        <v>10.119999999999999</v>
      </c>
      <c r="L5873" s="22">
        <v>2</v>
      </c>
    </row>
    <row r="5874" spans="1:12">
      <c r="A5874">
        <v>6</v>
      </c>
      <c r="B5874" s="16" t="s">
        <v>61</v>
      </c>
      <c r="C5874" s="9">
        <v>45809</v>
      </c>
      <c r="D5874">
        <v>54</v>
      </c>
      <c r="E5874" s="16" t="s">
        <v>144</v>
      </c>
      <c r="F5874" s="16" t="s">
        <v>103</v>
      </c>
      <c r="G5874" s="22">
        <v>4.5</v>
      </c>
      <c r="H5874" s="18">
        <v>45.067500000000003</v>
      </c>
      <c r="I5874" s="18">
        <v>10.015000000000001</v>
      </c>
      <c r="J5874" s="18">
        <v>10.050000000000001</v>
      </c>
      <c r="K5874" s="18">
        <v>9.98</v>
      </c>
      <c r="L5874" s="22">
        <v>2</v>
      </c>
    </row>
    <row r="5875" spans="1:12">
      <c r="A5875">
        <v>6</v>
      </c>
      <c r="B5875" s="16" t="s">
        <v>61</v>
      </c>
      <c r="C5875" s="9">
        <v>45839</v>
      </c>
      <c r="D5875">
        <v>54</v>
      </c>
      <c r="E5875" s="16" t="s">
        <v>144</v>
      </c>
      <c r="F5875" s="16" t="s">
        <v>103</v>
      </c>
      <c r="G5875" s="22">
        <v>4.5</v>
      </c>
      <c r="H5875" s="18">
        <v>46.822499999999998</v>
      </c>
      <c r="I5875" s="18">
        <v>10.404999999999999</v>
      </c>
      <c r="J5875" s="18">
        <v>10.64</v>
      </c>
      <c r="K5875" s="18">
        <v>10.17</v>
      </c>
      <c r="L5875" s="22">
        <v>2</v>
      </c>
    </row>
    <row r="5876" spans="1:12">
      <c r="A5876">
        <v>6</v>
      </c>
      <c r="B5876" s="16" t="s">
        <v>61</v>
      </c>
      <c r="C5876" s="9">
        <v>45870</v>
      </c>
      <c r="D5876">
        <v>54</v>
      </c>
      <c r="E5876" s="16" t="s">
        <v>144</v>
      </c>
      <c r="F5876" s="16" t="s">
        <v>103</v>
      </c>
      <c r="G5876" s="22">
        <v>2.25</v>
      </c>
      <c r="H5876" s="18">
        <v>23.647500000000001</v>
      </c>
      <c r="I5876" s="18">
        <v>10.51</v>
      </c>
      <c r="J5876" s="18">
        <v>10.51</v>
      </c>
      <c r="K5876" s="18">
        <v>10.51</v>
      </c>
      <c r="L5876" s="22">
        <v>1</v>
      </c>
    </row>
    <row r="5877" spans="1:12">
      <c r="A5877">
        <v>6</v>
      </c>
      <c r="B5877" s="16" t="s">
        <v>61</v>
      </c>
      <c r="C5877" s="9">
        <v>45901</v>
      </c>
      <c r="D5877">
        <v>54</v>
      </c>
      <c r="E5877" s="16" t="s">
        <v>144</v>
      </c>
      <c r="F5877" s="16" t="s">
        <v>103</v>
      </c>
      <c r="G5877" s="22">
        <v>4.5</v>
      </c>
      <c r="H5877" s="18">
        <v>47.182499999999997</v>
      </c>
      <c r="I5877" s="18">
        <v>10.484999999999999</v>
      </c>
      <c r="J5877" s="18">
        <v>10.51</v>
      </c>
      <c r="K5877" s="18">
        <v>10.46</v>
      </c>
      <c r="L5877" s="22">
        <v>2</v>
      </c>
    </row>
    <row r="5878" spans="1:12">
      <c r="A5878">
        <v>6</v>
      </c>
      <c r="B5878" s="16" t="s">
        <v>61</v>
      </c>
      <c r="C5878" s="9">
        <v>45931</v>
      </c>
      <c r="D5878">
        <v>54</v>
      </c>
      <c r="E5878" s="16" t="s">
        <v>144</v>
      </c>
      <c r="F5878" s="16" t="s">
        <v>103</v>
      </c>
      <c r="G5878" s="22">
        <v>4.5</v>
      </c>
      <c r="H5878" s="18">
        <v>46.935000000000002</v>
      </c>
      <c r="I5878" s="18">
        <v>10.43</v>
      </c>
      <c r="J5878" s="18">
        <v>10.59</v>
      </c>
      <c r="K5878" s="18">
        <v>10.27</v>
      </c>
      <c r="L5878" s="22">
        <v>2</v>
      </c>
    </row>
    <row r="5879" spans="1:12">
      <c r="A5879">
        <v>6</v>
      </c>
      <c r="B5879" s="16" t="s">
        <v>61</v>
      </c>
      <c r="C5879" s="9">
        <v>45962</v>
      </c>
      <c r="D5879">
        <v>54</v>
      </c>
      <c r="E5879" s="16" t="s">
        <v>144</v>
      </c>
      <c r="F5879" s="16" t="s">
        <v>103</v>
      </c>
      <c r="G5879" s="22">
        <v>2.25</v>
      </c>
      <c r="H5879" s="18">
        <v>23.22</v>
      </c>
      <c r="I5879" s="18">
        <v>10.32</v>
      </c>
      <c r="J5879" s="18">
        <v>10.32</v>
      </c>
      <c r="K5879" s="18">
        <v>10.32</v>
      </c>
      <c r="L5879" s="22">
        <v>1</v>
      </c>
    </row>
    <row r="5880" spans="1:12">
      <c r="A5880">
        <v>6</v>
      </c>
      <c r="B5880" s="16" t="s">
        <v>61</v>
      </c>
      <c r="C5880" s="9">
        <v>45992</v>
      </c>
      <c r="D5880">
        <v>54</v>
      </c>
      <c r="E5880" s="16" t="s">
        <v>144</v>
      </c>
      <c r="F5880" s="16" t="s">
        <v>103</v>
      </c>
      <c r="G5880" s="22">
        <v>6.75</v>
      </c>
      <c r="H5880" s="18">
        <v>70.38</v>
      </c>
      <c r="I5880" s="18">
        <v>10.426666666999999</v>
      </c>
      <c r="J5880" s="18">
        <v>10.45</v>
      </c>
      <c r="K5880" s="18">
        <v>10.39</v>
      </c>
      <c r="L5880" s="22">
        <v>3</v>
      </c>
    </row>
    <row r="5881" spans="1:12">
      <c r="A5881">
        <v>6</v>
      </c>
      <c r="B5881" s="16" t="s">
        <v>61</v>
      </c>
      <c r="C5881" s="9">
        <v>46023</v>
      </c>
      <c r="D5881">
        <v>54</v>
      </c>
      <c r="E5881" s="16" t="s">
        <v>144</v>
      </c>
      <c r="F5881" s="16" t="s">
        <v>103</v>
      </c>
      <c r="G5881" s="22">
        <v>4.5</v>
      </c>
      <c r="H5881" s="18">
        <v>46.5075</v>
      </c>
      <c r="I5881" s="18">
        <v>10.335000000000001</v>
      </c>
      <c r="J5881" s="18">
        <v>10.37</v>
      </c>
      <c r="K5881" s="18">
        <v>10.3</v>
      </c>
      <c r="L5881" s="22">
        <v>2</v>
      </c>
    </row>
    <row r="5882" spans="1:12">
      <c r="A5882">
        <v>6</v>
      </c>
      <c r="B5882" s="16" t="s">
        <v>61</v>
      </c>
      <c r="C5882" s="9">
        <v>46054</v>
      </c>
      <c r="D5882">
        <v>54</v>
      </c>
      <c r="E5882" s="16" t="s">
        <v>144</v>
      </c>
      <c r="F5882" s="16" t="s">
        <v>103</v>
      </c>
      <c r="G5882" s="22">
        <v>2.25</v>
      </c>
      <c r="H5882" s="18">
        <v>22.68</v>
      </c>
      <c r="I5882" s="18">
        <v>10.08</v>
      </c>
      <c r="J5882" s="18">
        <v>10.08</v>
      </c>
      <c r="K5882" s="18">
        <v>10.08</v>
      </c>
      <c r="L5882" s="22">
        <v>1</v>
      </c>
    </row>
    <row r="5883" spans="1:12">
      <c r="A5883">
        <v>6</v>
      </c>
      <c r="B5883" s="16" t="s">
        <v>61</v>
      </c>
      <c r="C5883" s="9">
        <v>46082</v>
      </c>
      <c r="D5883">
        <v>54</v>
      </c>
      <c r="E5883" s="16" t="s">
        <v>144</v>
      </c>
      <c r="F5883" s="16" t="s">
        <v>103</v>
      </c>
      <c r="G5883" s="22">
        <v>4.5</v>
      </c>
      <c r="H5883" s="18">
        <v>46.89</v>
      </c>
      <c r="I5883" s="18">
        <v>10.42</v>
      </c>
      <c r="J5883" s="18">
        <v>10.42</v>
      </c>
      <c r="K5883" s="18">
        <v>10.42</v>
      </c>
      <c r="L5883" s="22">
        <v>1</v>
      </c>
    </row>
    <row r="5884" spans="1:12">
      <c r="A5884">
        <v>6</v>
      </c>
      <c r="B5884" s="16" t="s">
        <v>61</v>
      </c>
      <c r="C5884" s="9">
        <v>46113</v>
      </c>
      <c r="D5884">
        <v>54</v>
      </c>
      <c r="E5884" s="16" t="s">
        <v>144</v>
      </c>
      <c r="F5884" s="16" t="s">
        <v>103</v>
      </c>
      <c r="G5884" s="22">
        <v>4.5</v>
      </c>
      <c r="H5884" s="18">
        <v>47.61</v>
      </c>
      <c r="I5884" s="18">
        <v>10.58</v>
      </c>
      <c r="J5884" s="18">
        <v>10.65</v>
      </c>
      <c r="K5884" s="18">
        <v>10.51</v>
      </c>
      <c r="L5884" s="22">
        <v>2</v>
      </c>
    </row>
    <row r="5885" spans="1:12">
      <c r="A5885">
        <v>6</v>
      </c>
      <c r="B5885" s="16" t="s">
        <v>61</v>
      </c>
      <c r="C5885" s="9">
        <v>46143</v>
      </c>
      <c r="D5885">
        <v>54</v>
      </c>
      <c r="E5885" s="16" t="s">
        <v>144</v>
      </c>
      <c r="F5885" s="16" t="s">
        <v>103</v>
      </c>
      <c r="G5885" s="22">
        <v>4.5</v>
      </c>
      <c r="H5885" s="18">
        <v>47.7</v>
      </c>
      <c r="I5885" s="18">
        <v>10.6</v>
      </c>
      <c r="J5885" s="18">
        <v>10.69</v>
      </c>
      <c r="K5885" s="18">
        <v>10.51</v>
      </c>
      <c r="L5885" s="22">
        <v>2</v>
      </c>
    </row>
    <row r="5886" spans="1:12">
      <c r="A5886">
        <v>6</v>
      </c>
      <c r="B5886" s="16" t="s">
        <v>61</v>
      </c>
      <c r="C5886" s="9">
        <v>46174</v>
      </c>
      <c r="D5886">
        <v>54</v>
      </c>
      <c r="E5886" s="16" t="s">
        <v>144</v>
      </c>
      <c r="F5886" s="16" t="s">
        <v>103</v>
      </c>
      <c r="G5886" s="22">
        <v>2.25</v>
      </c>
      <c r="H5886" s="18">
        <v>24.074999999999999</v>
      </c>
      <c r="I5886" s="18">
        <v>10.7</v>
      </c>
      <c r="J5886" s="18">
        <v>10.7</v>
      </c>
      <c r="K5886" s="18">
        <v>10.7</v>
      </c>
      <c r="L5886" s="22">
        <v>1</v>
      </c>
    </row>
    <row r="5887" spans="1:12">
      <c r="A5887">
        <v>6</v>
      </c>
      <c r="B5887" s="16" t="s">
        <v>61</v>
      </c>
      <c r="C5887" s="9">
        <v>46204</v>
      </c>
      <c r="D5887">
        <v>54</v>
      </c>
      <c r="E5887" s="16" t="s">
        <v>144</v>
      </c>
      <c r="F5887" s="16" t="s">
        <v>103</v>
      </c>
      <c r="G5887" s="22">
        <v>4.5</v>
      </c>
      <c r="H5887" s="18">
        <v>47.272500000000001</v>
      </c>
      <c r="I5887" s="18">
        <v>10.505000000000001</v>
      </c>
      <c r="J5887" s="18">
        <v>10.55</v>
      </c>
      <c r="K5887" s="18">
        <v>10.46</v>
      </c>
      <c r="L5887" s="22">
        <v>2</v>
      </c>
    </row>
    <row r="5888" spans="1:12">
      <c r="A5888">
        <v>6</v>
      </c>
      <c r="B5888" s="16" t="s">
        <v>61</v>
      </c>
      <c r="C5888" s="9">
        <v>46235</v>
      </c>
      <c r="D5888">
        <v>54</v>
      </c>
      <c r="E5888" s="16" t="s">
        <v>144</v>
      </c>
      <c r="F5888" s="16" t="s">
        <v>103</v>
      </c>
      <c r="G5888" s="22">
        <v>2.25</v>
      </c>
      <c r="H5888" s="18">
        <v>23.355</v>
      </c>
      <c r="I5888" s="18">
        <v>10.38</v>
      </c>
      <c r="J5888" s="18">
        <v>10.38</v>
      </c>
      <c r="K5888" s="18">
        <v>10.38</v>
      </c>
      <c r="L5888" s="22">
        <v>1</v>
      </c>
    </row>
    <row r="5889" spans="1:12">
      <c r="A5889">
        <v>6</v>
      </c>
      <c r="B5889" s="16" t="s">
        <v>61</v>
      </c>
      <c r="C5889" s="9">
        <v>46266</v>
      </c>
      <c r="D5889">
        <v>54</v>
      </c>
      <c r="E5889" s="16" t="s">
        <v>144</v>
      </c>
      <c r="F5889" s="16" t="s">
        <v>103</v>
      </c>
      <c r="G5889" s="22">
        <v>2.25</v>
      </c>
      <c r="H5889" s="18">
        <v>23.872499999999999</v>
      </c>
      <c r="I5889" s="18">
        <v>10.61</v>
      </c>
      <c r="J5889" s="18">
        <v>10.61</v>
      </c>
      <c r="K5889" s="18">
        <v>10.61</v>
      </c>
      <c r="L5889" s="22">
        <v>1</v>
      </c>
    </row>
    <row r="5890" spans="1:12">
      <c r="A5890">
        <v>6</v>
      </c>
      <c r="B5890" s="16" t="s">
        <v>61</v>
      </c>
      <c r="C5890" s="9">
        <v>45689</v>
      </c>
      <c r="D5890">
        <v>55</v>
      </c>
      <c r="E5890" s="16" t="s">
        <v>145</v>
      </c>
      <c r="F5890" s="16" t="s">
        <v>83</v>
      </c>
      <c r="G5890" s="22">
        <v>11</v>
      </c>
      <c r="H5890" s="18">
        <v>65.125</v>
      </c>
      <c r="I5890" s="18">
        <v>5.9204545450000001</v>
      </c>
      <c r="J5890" s="18">
        <v>6.01</v>
      </c>
      <c r="K5890" s="18">
        <v>5.8</v>
      </c>
      <c r="L5890" s="22">
        <v>8</v>
      </c>
    </row>
    <row r="5891" spans="1:12">
      <c r="A5891">
        <v>6</v>
      </c>
      <c r="B5891" s="16" t="s">
        <v>61</v>
      </c>
      <c r="C5891" s="9">
        <v>45717</v>
      </c>
      <c r="D5891">
        <v>55</v>
      </c>
      <c r="E5891" s="16" t="s">
        <v>145</v>
      </c>
      <c r="F5891" s="16" t="s">
        <v>83</v>
      </c>
      <c r="G5891" s="22">
        <v>12</v>
      </c>
      <c r="H5891" s="18">
        <v>70.965000000000003</v>
      </c>
      <c r="I5891" s="18">
        <v>5.9137500000000003</v>
      </c>
      <c r="J5891" s="18">
        <v>6.03</v>
      </c>
      <c r="K5891" s="18">
        <v>5.76</v>
      </c>
      <c r="L5891" s="22">
        <v>9</v>
      </c>
    </row>
    <row r="5892" spans="1:12">
      <c r="A5892">
        <v>6</v>
      </c>
      <c r="B5892" s="16" t="s">
        <v>61</v>
      </c>
      <c r="C5892" s="9">
        <v>45748</v>
      </c>
      <c r="D5892">
        <v>55</v>
      </c>
      <c r="E5892" s="16" t="s">
        <v>145</v>
      </c>
      <c r="F5892" s="16" t="s">
        <v>83</v>
      </c>
      <c r="G5892" s="22">
        <v>12</v>
      </c>
      <c r="H5892" s="18">
        <v>73.004999999999995</v>
      </c>
      <c r="I5892" s="18">
        <v>6.0837500000000002</v>
      </c>
      <c r="J5892" s="18">
        <v>6.32</v>
      </c>
      <c r="K5892" s="18">
        <v>5.91</v>
      </c>
      <c r="L5892" s="22">
        <v>8</v>
      </c>
    </row>
    <row r="5893" spans="1:12">
      <c r="A5893">
        <v>6</v>
      </c>
      <c r="B5893" s="16" t="s">
        <v>61</v>
      </c>
      <c r="C5893" s="9">
        <v>45778</v>
      </c>
      <c r="D5893">
        <v>55</v>
      </c>
      <c r="E5893" s="16" t="s">
        <v>145</v>
      </c>
      <c r="F5893" s="16" t="s">
        <v>83</v>
      </c>
      <c r="G5893" s="22">
        <v>15</v>
      </c>
      <c r="H5893" s="18">
        <v>90.885000000000005</v>
      </c>
      <c r="I5893" s="18">
        <v>6.0590000000000002</v>
      </c>
      <c r="J5893" s="18">
        <v>6.2</v>
      </c>
      <c r="K5893" s="18">
        <v>5.95</v>
      </c>
      <c r="L5893" s="22">
        <v>9</v>
      </c>
    </row>
    <row r="5894" spans="1:12">
      <c r="A5894">
        <v>6</v>
      </c>
      <c r="B5894" s="16" t="s">
        <v>61</v>
      </c>
      <c r="C5894" s="9">
        <v>45809</v>
      </c>
      <c r="D5894">
        <v>55</v>
      </c>
      <c r="E5894" s="16" t="s">
        <v>145</v>
      </c>
      <c r="F5894" s="16" t="s">
        <v>83</v>
      </c>
      <c r="G5894" s="22">
        <v>13.5</v>
      </c>
      <c r="H5894" s="18">
        <v>81.64</v>
      </c>
      <c r="I5894" s="18">
        <v>6.0474074069999997</v>
      </c>
      <c r="J5894" s="18">
        <v>6.16</v>
      </c>
      <c r="K5894" s="18">
        <v>5.99</v>
      </c>
      <c r="L5894" s="22">
        <v>9</v>
      </c>
    </row>
    <row r="5895" spans="1:12">
      <c r="A5895">
        <v>6</v>
      </c>
      <c r="B5895" s="16" t="s">
        <v>61</v>
      </c>
      <c r="C5895" s="9">
        <v>45839</v>
      </c>
      <c r="D5895">
        <v>55</v>
      </c>
      <c r="E5895" s="16" t="s">
        <v>145</v>
      </c>
      <c r="F5895" s="16" t="s">
        <v>83</v>
      </c>
      <c r="G5895" s="22">
        <v>13</v>
      </c>
      <c r="H5895" s="18">
        <v>79.34</v>
      </c>
      <c r="I5895" s="18">
        <v>6.1030769229999997</v>
      </c>
      <c r="J5895" s="18">
        <v>6.24</v>
      </c>
      <c r="K5895" s="18">
        <v>5.96</v>
      </c>
      <c r="L5895" s="22">
        <v>9</v>
      </c>
    </row>
    <row r="5896" spans="1:12">
      <c r="A5896">
        <v>6</v>
      </c>
      <c r="B5896" s="16" t="s">
        <v>61</v>
      </c>
      <c r="C5896" s="9">
        <v>45870</v>
      </c>
      <c r="D5896">
        <v>55</v>
      </c>
      <c r="E5896" s="16" t="s">
        <v>145</v>
      </c>
      <c r="F5896" s="16" t="s">
        <v>83</v>
      </c>
      <c r="G5896" s="22">
        <v>10</v>
      </c>
      <c r="H5896" s="18">
        <v>61.945</v>
      </c>
      <c r="I5896" s="18">
        <v>6.1944999999999997</v>
      </c>
      <c r="J5896" s="18">
        <v>6.64</v>
      </c>
      <c r="K5896" s="18">
        <v>6.08</v>
      </c>
      <c r="L5896" s="22">
        <v>8</v>
      </c>
    </row>
    <row r="5897" spans="1:12">
      <c r="A5897">
        <v>6</v>
      </c>
      <c r="B5897" s="16" t="s">
        <v>61</v>
      </c>
      <c r="C5897" s="9">
        <v>45901</v>
      </c>
      <c r="D5897">
        <v>55</v>
      </c>
      <c r="E5897" s="16" t="s">
        <v>145</v>
      </c>
      <c r="F5897" s="16" t="s">
        <v>83</v>
      </c>
      <c r="G5897" s="22">
        <v>13.5</v>
      </c>
      <c r="H5897" s="18">
        <v>83.685000000000002</v>
      </c>
      <c r="I5897" s="18">
        <v>6.198888889</v>
      </c>
      <c r="J5897" s="18">
        <v>6.37</v>
      </c>
      <c r="K5897" s="18">
        <v>6.11</v>
      </c>
      <c r="L5897" s="22">
        <v>9</v>
      </c>
    </row>
    <row r="5898" spans="1:12">
      <c r="A5898">
        <v>6</v>
      </c>
      <c r="B5898" s="16" t="s">
        <v>61</v>
      </c>
      <c r="C5898" s="9">
        <v>45931</v>
      </c>
      <c r="D5898">
        <v>55</v>
      </c>
      <c r="E5898" s="16" t="s">
        <v>145</v>
      </c>
      <c r="F5898" s="16" t="s">
        <v>83</v>
      </c>
      <c r="G5898" s="22">
        <v>15</v>
      </c>
      <c r="H5898" s="18">
        <v>93.26</v>
      </c>
      <c r="I5898" s="18">
        <v>6.217333333</v>
      </c>
      <c r="J5898" s="18">
        <v>6.35</v>
      </c>
      <c r="K5898" s="18">
        <v>6.12</v>
      </c>
      <c r="L5898" s="22">
        <v>9</v>
      </c>
    </row>
    <row r="5899" spans="1:12">
      <c r="A5899">
        <v>6</v>
      </c>
      <c r="B5899" s="16" t="s">
        <v>61</v>
      </c>
      <c r="C5899" s="9">
        <v>45962</v>
      </c>
      <c r="D5899">
        <v>55</v>
      </c>
      <c r="E5899" s="16" t="s">
        <v>145</v>
      </c>
      <c r="F5899" s="16" t="s">
        <v>83</v>
      </c>
      <c r="G5899" s="22">
        <v>11</v>
      </c>
      <c r="H5899" s="18">
        <v>68.34</v>
      </c>
      <c r="I5899" s="18">
        <v>6.2127272729999996</v>
      </c>
      <c r="J5899" s="18">
        <v>6.33</v>
      </c>
      <c r="K5899" s="18">
        <v>6.05</v>
      </c>
      <c r="L5899" s="22">
        <v>8</v>
      </c>
    </row>
    <row r="5900" spans="1:12">
      <c r="A5900">
        <v>6</v>
      </c>
      <c r="B5900" s="16" t="s">
        <v>61</v>
      </c>
      <c r="C5900" s="9">
        <v>45992</v>
      </c>
      <c r="D5900">
        <v>55</v>
      </c>
      <c r="E5900" s="16" t="s">
        <v>145</v>
      </c>
      <c r="F5900" s="16" t="s">
        <v>83</v>
      </c>
      <c r="G5900" s="22">
        <v>9.5</v>
      </c>
      <c r="H5900" s="18">
        <v>59.54</v>
      </c>
      <c r="I5900" s="18">
        <v>6.2673684209999996</v>
      </c>
      <c r="J5900" s="18">
        <v>6.4</v>
      </c>
      <c r="K5900" s="18">
        <v>6.19</v>
      </c>
      <c r="L5900" s="22">
        <v>9</v>
      </c>
    </row>
    <row r="5901" spans="1:12">
      <c r="A5901">
        <v>6</v>
      </c>
      <c r="B5901" s="16" t="s">
        <v>61</v>
      </c>
      <c r="C5901" s="9">
        <v>46023</v>
      </c>
      <c r="D5901">
        <v>55</v>
      </c>
      <c r="E5901" s="16" t="s">
        <v>145</v>
      </c>
      <c r="F5901" s="16" t="s">
        <v>83</v>
      </c>
      <c r="G5901" s="22">
        <v>10</v>
      </c>
      <c r="H5901" s="18">
        <v>62.395000000000003</v>
      </c>
      <c r="I5901" s="18">
        <v>6.2394999999999996</v>
      </c>
      <c r="J5901" s="18">
        <v>6.4</v>
      </c>
      <c r="K5901" s="18">
        <v>6.13</v>
      </c>
      <c r="L5901" s="22">
        <v>9</v>
      </c>
    </row>
    <row r="5902" spans="1:12">
      <c r="A5902">
        <v>6</v>
      </c>
      <c r="B5902" s="16" t="s">
        <v>61</v>
      </c>
      <c r="C5902" s="9">
        <v>46054</v>
      </c>
      <c r="D5902">
        <v>55</v>
      </c>
      <c r="E5902" s="16" t="s">
        <v>145</v>
      </c>
      <c r="F5902" s="16" t="s">
        <v>83</v>
      </c>
      <c r="G5902" s="22">
        <v>10.5</v>
      </c>
      <c r="H5902" s="18">
        <v>66.484999999999999</v>
      </c>
      <c r="I5902" s="18">
        <v>6.3319047619999997</v>
      </c>
      <c r="J5902" s="18">
        <v>6.68</v>
      </c>
      <c r="K5902" s="18">
        <v>6.19</v>
      </c>
      <c r="L5902" s="22">
        <v>8</v>
      </c>
    </row>
    <row r="5903" spans="1:12">
      <c r="A5903">
        <v>6</v>
      </c>
      <c r="B5903" s="16" t="s">
        <v>61</v>
      </c>
      <c r="C5903" s="9">
        <v>46082</v>
      </c>
      <c r="D5903">
        <v>55</v>
      </c>
      <c r="E5903" s="16" t="s">
        <v>145</v>
      </c>
      <c r="F5903" s="16" t="s">
        <v>83</v>
      </c>
      <c r="G5903" s="22">
        <v>16.5</v>
      </c>
      <c r="H5903" s="18">
        <v>103.2</v>
      </c>
      <c r="I5903" s="18">
        <v>6.2545454549999997</v>
      </c>
      <c r="J5903" s="18">
        <v>6.37</v>
      </c>
      <c r="K5903" s="18">
        <v>6.14</v>
      </c>
      <c r="L5903" s="22">
        <v>9</v>
      </c>
    </row>
    <row r="5904" spans="1:12">
      <c r="A5904">
        <v>6</v>
      </c>
      <c r="B5904" s="16" t="s">
        <v>61</v>
      </c>
      <c r="C5904" s="9">
        <v>46113</v>
      </c>
      <c r="D5904">
        <v>55</v>
      </c>
      <c r="E5904" s="16" t="s">
        <v>145</v>
      </c>
      <c r="F5904" s="16" t="s">
        <v>83</v>
      </c>
      <c r="G5904" s="22">
        <v>18</v>
      </c>
      <c r="H5904" s="18">
        <v>112.85</v>
      </c>
      <c r="I5904" s="18">
        <v>6.2694444440000003</v>
      </c>
      <c r="J5904" s="18">
        <v>6.45</v>
      </c>
      <c r="K5904" s="18">
        <v>6.17</v>
      </c>
      <c r="L5904" s="22">
        <v>9</v>
      </c>
    </row>
    <row r="5905" spans="1:12">
      <c r="A5905">
        <v>6</v>
      </c>
      <c r="B5905" s="16" t="s">
        <v>61</v>
      </c>
      <c r="C5905" s="9">
        <v>46143</v>
      </c>
      <c r="D5905">
        <v>55</v>
      </c>
      <c r="E5905" s="16" t="s">
        <v>145</v>
      </c>
      <c r="F5905" s="16" t="s">
        <v>83</v>
      </c>
      <c r="G5905" s="22">
        <v>16.5</v>
      </c>
      <c r="H5905" s="18">
        <v>103.845</v>
      </c>
      <c r="I5905" s="18">
        <v>6.2936363640000001</v>
      </c>
      <c r="J5905" s="18">
        <v>6.39</v>
      </c>
      <c r="K5905" s="18">
        <v>6.19</v>
      </c>
      <c r="L5905" s="22">
        <v>8</v>
      </c>
    </row>
    <row r="5906" spans="1:12">
      <c r="A5906">
        <v>6</v>
      </c>
      <c r="B5906" s="16" t="s">
        <v>61</v>
      </c>
      <c r="C5906" s="9">
        <v>46174</v>
      </c>
      <c r="D5906">
        <v>55</v>
      </c>
      <c r="E5906" s="16" t="s">
        <v>145</v>
      </c>
      <c r="F5906" s="16" t="s">
        <v>83</v>
      </c>
      <c r="G5906" s="22">
        <v>19.5</v>
      </c>
      <c r="H5906" s="18">
        <v>122.925</v>
      </c>
      <c r="I5906" s="18">
        <v>6.3038461540000004</v>
      </c>
      <c r="J5906" s="18">
        <v>6.39</v>
      </c>
      <c r="K5906" s="18">
        <v>6.22</v>
      </c>
      <c r="L5906" s="22">
        <v>9</v>
      </c>
    </row>
    <row r="5907" spans="1:12">
      <c r="A5907">
        <v>6</v>
      </c>
      <c r="B5907" s="16" t="s">
        <v>61</v>
      </c>
      <c r="C5907" s="9">
        <v>46204</v>
      </c>
      <c r="D5907">
        <v>55</v>
      </c>
      <c r="E5907" s="16" t="s">
        <v>145</v>
      </c>
      <c r="F5907" s="16" t="s">
        <v>83</v>
      </c>
      <c r="G5907" s="22">
        <v>16</v>
      </c>
      <c r="H5907" s="18">
        <v>99.284999999999997</v>
      </c>
      <c r="I5907" s="18">
        <v>6.2053124999999998</v>
      </c>
      <c r="J5907" s="18">
        <v>6.31</v>
      </c>
      <c r="K5907" s="18">
        <v>6.11</v>
      </c>
      <c r="L5907" s="22">
        <v>9</v>
      </c>
    </row>
    <row r="5908" spans="1:12">
      <c r="A5908">
        <v>6</v>
      </c>
      <c r="B5908" s="16" t="s">
        <v>61</v>
      </c>
      <c r="C5908" s="9">
        <v>46235</v>
      </c>
      <c r="D5908">
        <v>55</v>
      </c>
      <c r="E5908" s="16" t="s">
        <v>145</v>
      </c>
      <c r="F5908" s="16" t="s">
        <v>83</v>
      </c>
      <c r="G5908" s="22">
        <v>16.5</v>
      </c>
      <c r="H5908" s="18">
        <v>102.845</v>
      </c>
      <c r="I5908" s="18">
        <v>6.2330303029999996</v>
      </c>
      <c r="J5908" s="18">
        <v>6.36</v>
      </c>
      <c r="K5908" s="18">
        <v>6.12</v>
      </c>
      <c r="L5908" s="22">
        <v>9</v>
      </c>
    </row>
    <row r="5909" spans="1:12">
      <c r="A5909">
        <v>6</v>
      </c>
      <c r="B5909" s="16" t="s">
        <v>61</v>
      </c>
      <c r="C5909" s="9">
        <v>46266</v>
      </c>
      <c r="D5909">
        <v>55</v>
      </c>
      <c r="E5909" s="16" t="s">
        <v>145</v>
      </c>
      <c r="F5909" s="16" t="s">
        <v>83</v>
      </c>
      <c r="G5909" s="22">
        <v>15</v>
      </c>
      <c r="H5909" s="18">
        <v>93.54</v>
      </c>
      <c r="I5909" s="18">
        <v>6.2359999999999998</v>
      </c>
      <c r="J5909" s="18">
        <v>6.35</v>
      </c>
      <c r="K5909" s="18">
        <v>6.14</v>
      </c>
      <c r="L5909" s="22">
        <v>8</v>
      </c>
    </row>
    <row r="5910" spans="1:12">
      <c r="A5910">
        <v>6</v>
      </c>
      <c r="B5910" s="16" t="s">
        <v>61</v>
      </c>
      <c r="C5910" s="9">
        <v>45689</v>
      </c>
      <c r="D5910">
        <v>56</v>
      </c>
      <c r="E5910" s="16" t="s">
        <v>146</v>
      </c>
      <c r="F5910" s="16" t="s">
        <v>138</v>
      </c>
      <c r="G5910" s="22">
        <v>17.5</v>
      </c>
      <c r="H5910" s="18">
        <v>147.4375</v>
      </c>
      <c r="I5910" s="18">
        <v>8.4250000000000007</v>
      </c>
      <c r="J5910" s="18">
        <v>8.64</v>
      </c>
      <c r="K5910" s="18">
        <v>8.26</v>
      </c>
      <c r="L5910" s="22">
        <v>8</v>
      </c>
    </row>
    <row r="5911" spans="1:12">
      <c r="A5911">
        <v>6</v>
      </c>
      <c r="B5911" s="16" t="s">
        <v>61</v>
      </c>
      <c r="C5911" s="9">
        <v>45717</v>
      </c>
      <c r="D5911">
        <v>56</v>
      </c>
      <c r="E5911" s="16" t="s">
        <v>146</v>
      </c>
      <c r="F5911" s="16" t="s">
        <v>138</v>
      </c>
      <c r="G5911" s="22">
        <v>17.25</v>
      </c>
      <c r="H5911" s="18">
        <v>147.30250000000001</v>
      </c>
      <c r="I5911" s="18">
        <v>8.5392753619999997</v>
      </c>
      <c r="J5911" s="18">
        <v>8.84</v>
      </c>
      <c r="K5911" s="18">
        <v>8.2799999999999994</v>
      </c>
      <c r="L5911" s="22">
        <v>8</v>
      </c>
    </row>
    <row r="5912" spans="1:12">
      <c r="A5912">
        <v>6</v>
      </c>
      <c r="B5912" s="16" t="s">
        <v>61</v>
      </c>
      <c r="C5912" s="9">
        <v>45748</v>
      </c>
      <c r="D5912">
        <v>56</v>
      </c>
      <c r="E5912" s="16" t="s">
        <v>146</v>
      </c>
      <c r="F5912" s="16" t="s">
        <v>138</v>
      </c>
      <c r="G5912" s="22">
        <v>30.5</v>
      </c>
      <c r="H5912" s="18">
        <v>256.92250000000001</v>
      </c>
      <c r="I5912" s="18">
        <v>8.4236885249999993</v>
      </c>
      <c r="J5912" s="18">
        <v>8.76</v>
      </c>
      <c r="K5912" s="18">
        <v>8.1199999999999992</v>
      </c>
      <c r="L5912" s="22">
        <v>9</v>
      </c>
    </row>
    <row r="5913" spans="1:12">
      <c r="A5913">
        <v>6</v>
      </c>
      <c r="B5913" s="16" t="s">
        <v>61</v>
      </c>
      <c r="C5913" s="9">
        <v>45778</v>
      </c>
      <c r="D5913">
        <v>56</v>
      </c>
      <c r="E5913" s="16" t="s">
        <v>146</v>
      </c>
      <c r="F5913" s="16" t="s">
        <v>138</v>
      </c>
      <c r="G5913" s="22">
        <v>28.75</v>
      </c>
      <c r="H5913" s="18">
        <v>235.95</v>
      </c>
      <c r="I5913" s="18">
        <v>8.2069565220000005</v>
      </c>
      <c r="J5913" s="18">
        <v>8.4</v>
      </c>
      <c r="K5913" s="18">
        <v>8.07</v>
      </c>
      <c r="L5913" s="22">
        <v>9</v>
      </c>
    </row>
    <row r="5914" spans="1:12">
      <c r="A5914">
        <v>6</v>
      </c>
      <c r="B5914" s="16" t="s">
        <v>61</v>
      </c>
      <c r="C5914" s="9">
        <v>45809</v>
      </c>
      <c r="D5914">
        <v>56</v>
      </c>
      <c r="E5914" s="16" t="s">
        <v>146</v>
      </c>
      <c r="F5914" s="16" t="s">
        <v>138</v>
      </c>
      <c r="G5914" s="22">
        <v>30</v>
      </c>
      <c r="H5914" s="18">
        <v>249.05250000000001</v>
      </c>
      <c r="I5914" s="18">
        <v>8.3017500000000002</v>
      </c>
      <c r="J5914" s="18">
        <v>8.35</v>
      </c>
      <c r="K5914" s="18">
        <v>8.09</v>
      </c>
      <c r="L5914" s="22">
        <v>8</v>
      </c>
    </row>
    <row r="5915" spans="1:12">
      <c r="A5915">
        <v>6</v>
      </c>
      <c r="B5915" s="16" t="s">
        <v>61</v>
      </c>
      <c r="C5915" s="9">
        <v>45839</v>
      </c>
      <c r="D5915">
        <v>56</v>
      </c>
      <c r="E5915" s="16" t="s">
        <v>146</v>
      </c>
      <c r="F5915" s="16" t="s">
        <v>138</v>
      </c>
      <c r="G5915" s="22">
        <v>41.75</v>
      </c>
      <c r="H5915" s="18">
        <v>337.1275</v>
      </c>
      <c r="I5915" s="18">
        <v>8.0749101799999998</v>
      </c>
      <c r="J5915" s="18">
        <v>8.2899999999999991</v>
      </c>
      <c r="K5915" s="18">
        <v>7.88</v>
      </c>
      <c r="L5915" s="22">
        <v>10</v>
      </c>
    </row>
    <row r="5916" spans="1:12">
      <c r="A5916">
        <v>6</v>
      </c>
      <c r="B5916" s="16" t="s">
        <v>61</v>
      </c>
      <c r="C5916" s="9">
        <v>45870</v>
      </c>
      <c r="D5916">
        <v>56</v>
      </c>
      <c r="E5916" s="16" t="s">
        <v>146</v>
      </c>
      <c r="F5916" s="16" t="s">
        <v>138</v>
      </c>
      <c r="G5916" s="22">
        <v>23.75</v>
      </c>
      <c r="H5916" s="18">
        <v>221.815</v>
      </c>
      <c r="I5916" s="18">
        <v>9.3395789469999997</v>
      </c>
      <c r="J5916" s="18">
        <v>9.56</v>
      </c>
      <c r="K5916" s="18">
        <v>9.18</v>
      </c>
      <c r="L5916" s="22">
        <v>8</v>
      </c>
    </row>
    <row r="5917" spans="1:12">
      <c r="A5917">
        <v>6</v>
      </c>
      <c r="B5917" s="16" t="s">
        <v>61</v>
      </c>
      <c r="C5917" s="9">
        <v>45901</v>
      </c>
      <c r="D5917">
        <v>56</v>
      </c>
      <c r="E5917" s="16" t="s">
        <v>146</v>
      </c>
      <c r="F5917" s="16" t="s">
        <v>138</v>
      </c>
      <c r="G5917" s="22">
        <v>27.75</v>
      </c>
      <c r="H5917" s="18">
        <v>259.42250000000001</v>
      </c>
      <c r="I5917" s="18">
        <v>9.3485585590000007</v>
      </c>
      <c r="J5917" s="18">
        <v>9.44</v>
      </c>
      <c r="K5917" s="18">
        <v>9.14</v>
      </c>
      <c r="L5917" s="22">
        <v>9</v>
      </c>
    </row>
    <row r="5918" spans="1:12">
      <c r="A5918">
        <v>6</v>
      </c>
      <c r="B5918" s="16" t="s">
        <v>61</v>
      </c>
      <c r="C5918" s="9">
        <v>45931</v>
      </c>
      <c r="D5918">
        <v>56</v>
      </c>
      <c r="E5918" s="16" t="s">
        <v>146</v>
      </c>
      <c r="F5918" s="16" t="s">
        <v>138</v>
      </c>
      <c r="G5918" s="22">
        <v>31.5</v>
      </c>
      <c r="H5918" s="18">
        <v>256.36250000000001</v>
      </c>
      <c r="I5918" s="18">
        <v>8.1384920629999993</v>
      </c>
      <c r="J5918" s="18">
        <v>8.3800000000000008</v>
      </c>
      <c r="K5918" s="18">
        <v>7.9</v>
      </c>
      <c r="L5918" s="22">
        <v>9</v>
      </c>
    </row>
    <row r="5919" spans="1:12">
      <c r="A5919">
        <v>6</v>
      </c>
      <c r="B5919" s="16" t="s">
        <v>61</v>
      </c>
      <c r="C5919" s="9">
        <v>45962</v>
      </c>
      <c r="D5919">
        <v>56</v>
      </c>
      <c r="E5919" s="16" t="s">
        <v>146</v>
      </c>
      <c r="F5919" s="16" t="s">
        <v>138</v>
      </c>
      <c r="G5919" s="22">
        <v>15.5</v>
      </c>
      <c r="H5919" s="18">
        <v>132.71250000000001</v>
      </c>
      <c r="I5919" s="18">
        <v>8.5620967740000005</v>
      </c>
      <c r="J5919" s="18">
        <v>9.15</v>
      </c>
      <c r="K5919" s="18">
        <v>7.86</v>
      </c>
      <c r="L5919" s="22">
        <v>8</v>
      </c>
    </row>
    <row r="5920" spans="1:12">
      <c r="A5920">
        <v>6</v>
      </c>
      <c r="B5920" s="16" t="s">
        <v>61</v>
      </c>
      <c r="C5920" s="9">
        <v>45992</v>
      </c>
      <c r="D5920">
        <v>56</v>
      </c>
      <c r="E5920" s="16" t="s">
        <v>146</v>
      </c>
      <c r="F5920" s="16" t="s">
        <v>138</v>
      </c>
      <c r="G5920" s="22">
        <v>13</v>
      </c>
      <c r="H5920" s="18">
        <v>117.925</v>
      </c>
      <c r="I5920" s="18">
        <v>9.0711538459999996</v>
      </c>
      <c r="J5920" s="18">
        <v>9.1999999999999993</v>
      </c>
      <c r="K5920" s="18">
        <v>8.9600000000000009</v>
      </c>
      <c r="L5920" s="22">
        <v>9</v>
      </c>
    </row>
    <row r="5921" spans="1:12">
      <c r="A5921">
        <v>6</v>
      </c>
      <c r="B5921" s="16" t="s">
        <v>61</v>
      </c>
      <c r="C5921" s="9">
        <v>46023</v>
      </c>
      <c r="D5921">
        <v>56</v>
      </c>
      <c r="E5921" s="16" t="s">
        <v>146</v>
      </c>
      <c r="F5921" s="16" t="s">
        <v>138</v>
      </c>
      <c r="G5921" s="22">
        <v>16</v>
      </c>
      <c r="H5921" s="18">
        <v>129.80500000000001</v>
      </c>
      <c r="I5921" s="18">
        <v>8.1128125000000004</v>
      </c>
      <c r="J5921" s="18">
        <v>8.5500000000000007</v>
      </c>
      <c r="K5921" s="18">
        <v>7.91</v>
      </c>
      <c r="L5921" s="22">
        <v>9</v>
      </c>
    </row>
    <row r="5922" spans="1:12">
      <c r="A5922">
        <v>6</v>
      </c>
      <c r="B5922" s="16" t="s">
        <v>61</v>
      </c>
      <c r="C5922" s="9">
        <v>46054</v>
      </c>
      <c r="D5922">
        <v>56</v>
      </c>
      <c r="E5922" s="16" t="s">
        <v>146</v>
      </c>
      <c r="F5922" s="16" t="s">
        <v>138</v>
      </c>
      <c r="G5922" s="22">
        <v>11.25</v>
      </c>
      <c r="H5922" s="18">
        <v>90.722499999999997</v>
      </c>
      <c r="I5922" s="18">
        <v>8.0642222219999997</v>
      </c>
      <c r="J5922" s="18">
        <v>8.24</v>
      </c>
      <c r="K5922" s="18">
        <v>7.89</v>
      </c>
      <c r="L5922" s="22">
        <v>8</v>
      </c>
    </row>
    <row r="5923" spans="1:12">
      <c r="A5923">
        <v>6</v>
      </c>
      <c r="B5923" s="16" t="s">
        <v>61</v>
      </c>
      <c r="C5923" s="9">
        <v>46082</v>
      </c>
      <c r="D5923">
        <v>56</v>
      </c>
      <c r="E5923" s="16" t="s">
        <v>146</v>
      </c>
      <c r="F5923" s="16" t="s">
        <v>138</v>
      </c>
      <c r="G5923" s="22">
        <v>25</v>
      </c>
      <c r="H5923" s="18">
        <v>202.46</v>
      </c>
      <c r="I5923" s="18">
        <v>8.0983999999999998</v>
      </c>
      <c r="J5923" s="18">
        <v>8.2200000000000006</v>
      </c>
      <c r="K5923" s="18">
        <v>7.92</v>
      </c>
      <c r="L5923" s="22">
        <v>9</v>
      </c>
    </row>
    <row r="5924" spans="1:12">
      <c r="A5924">
        <v>6</v>
      </c>
      <c r="B5924" s="16" t="s">
        <v>61</v>
      </c>
      <c r="C5924" s="9">
        <v>46113</v>
      </c>
      <c r="D5924">
        <v>56</v>
      </c>
      <c r="E5924" s="16" t="s">
        <v>146</v>
      </c>
      <c r="F5924" s="16" t="s">
        <v>138</v>
      </c>
      <c r="G5924" s="22">
        <v>33</v>
      </c>
      <c r="H5924" s="18">
        <v>269.1875</v>
      </c>
      <c r="I5924" s="18">
        <v>8.1571969699999993</v>
      </c>
      <c r="J5924" s="18">
        <v>8.35</v>
      </c>
      <c r="K5924" s="18">
        <v>7.98</v>
      </c>
      <c r="L5924" s="22">
        <v>9</v>
      </c>
    </row>
    <row r="5925" spans="1:12">
      <c r="A5925">
        <v>6</v>
      </c>
      <c r="B5925" s="16" t="s">
        <v>61</v>
      </c>
      <c r="C5925" s="9">
        <v>46143</v>
      </c>
      <c r="D5925">
        <v>56</v>
      </c>
      <c r="E5925" s="16" t="s">
        <v>146</v>
      </c>
      <c r="F5925" s="16" t="s">
        <v>138</v>
      </c>
      <c r="G5925" s="22">
        <v>33</v>
      </c>
      <c r="H5925" s="18">
        <v>272.02499999999998</v>
      </c>
      <c r="I5925" s="18">
        <v>8.243181818</v>
      </c>
      <c r="J5925" s="18">
        <v>8.5399999999999991</v>
      </c>
      <c r="K5925" s="18">
        <v>8.01</v>
      </c>
      <c r="L5925" s="22">
        <v>8</v>
      </c>
    </row>
    <row r="5926" spans="1:12">
      <c r="A5926">
        <v>6</v>
      </c>
      <c r="B5926" s="16" t="s">
        <v>61</v>
      </c>
      <c r="C5926" s="9">
        <v>46174</v>
      </c>
      <c r="D5926">
        <v>56</v>
      </c>
      <c r="E5926" s="16" t="s">
        <v>146</v>
      </c>
      <c r="F5926" s="16" t="s">
        <v>138</v>
      </c>
      <c r="G5926" s="22">
        <v>35.75</v>
      </c>
      <c r="H5926" s="18">
        <v>293.495</v>
      </c>
      <c r="I5926" s="18">
        <v>8.2096503500000004</v>
      </c>
      <c r="J5926" s="18">
        <v>8.34</v>
      </c>
      <c r="K5926" s="18">
        <v>8.07</v>
      </c>
      <c r="L5926" s="22">
        <v>9</v>
      </c>
    </row>
    <row r="5927" spans="1:12">
      <c r="A5927">
        <v>6</v>
      </c>
      <c r="B5927" s="16" t="s">
        <v>61</v>
      </c>
      <c r="C5927" s="9">
        <v>46204</v>
      </c>
      <c r="D5927">
        <v>56</v>
      </c>
      <c r="E5927" s="16" t="s">
        <v>146</v>
      </c>
      <c r="F5927" s="16" t="s">
        <v>138</v>
      </c>
      <c r="G5927" s="22">
        <v>36.75</v>
      </c>
      <c r="H5927" s="18">
        <v>297.02749999999997</v>
      </c>
      <c r="I5927" s="18">
        <v>8.0823809519999994</v>
      </c>
      <c r="J5927" s="18">
        <v>8.25</v>
      </c>
      <c r="K5927" s="18">
        <v>7.91</v>
      </c>
      <c r="L5927" s="22">
        <v>9</v>
      </c>
    </row>
    <row r="5928" spans="1:12">
      <c r="A5928">
        <v>6</v>
      </c>
      <c r="B5928" s="16" t="s">
        <v>61</v>
      </c>
      <c r="C5928" s="9">
        <v>46235</v>
      </c>
      <c r="D5928">
        <v>56</v>
      </c>
      <c r="E5928" s="16" t="s">
        <v>146</v>
      </c>
      <c r="F5928" s="16" t="s">
        <v>138</v>
      </c>
      <c r="G5928" s="22">
        <v>25.25</v>
      </c>
      <c r="H5928" s="18">
        <v>234.80250000000001</v>
      </c>
      <c r="I5928" s="18">
        <v>9.2991089109999994</v>
      </c>
      <c r="J5928" s="18">
        <v>9.42</v>
      </c>
      <c r="K5928" s="18">
        <v>9.09</v>
      </c>
      <c r="L5928" s="22">
        <v>8</v>
      </c>
    </row>
    <row r="5929" spans="1:12">
      <c r="A5929">
        <v>6</v>
      </c>
      <c r="B5929" s="16" t="s">
        <v>61</v>
      </c>
      <c r="C5929" s="9">
        <v>46266</v>
      </c>
      <c r="D5929">
        <v>56</v>
      </c>
      <c r="E5929" s="16" t="s">
        <v>146</v>
      </c>
      <c r="F5929" s="16" t="s">
        <v>138</v>
      </c>
      <c r="G5929" s="22">
        <v>31.25</v>
      </c>
      <c r="H5929" s="18">
        <v>290.58499999999998</v>
      </c>
      <c r="I5929" s="18">
        <v>9.2987199999999994</v>
      </c>
      <c r="J5929" s="18">
        <v>9.58</v>
      </c>
      <c r="K5929" s="18">
        <v>9.0399999999999991</v>
      </c>
      <c r="L5929" s="22">
        <v>9</v>
      </c>
    </row>
    <row r="5930" spans="1:12">
      <c r="A5930">
        <v>7</v>
      </c>
      <c r="B5930" s="16" t="s">
        <v>62</v>
      </c>
      <c r="C5930" s="9">
        <v>45689</v>
      </c>
      <c r="D5930">
        <v>1</v>
      </c>
      <c r="E5930" s="16" t="s">
        <v>80</v>
      </c>
      <c r="F5930" s="16" t="s">
        <v>81</v>
      </c>
      <c r="G5930" s="22">
        <v>12</v>
      </c>
      <c r="H5930" s="18">
        <v>138.66</v>
      </c>
      <c r="I5930" s="18">
        <v>11.555</v>
      </c>
      <c r="J5930" s="18">
        <v>11.83</v>
      </c>
      <c r="K5930" s="18">
        <v>11.28</v>
      </c>
      <c r="L5930" s="22">
        <v>2</v>
      </c>
    </row>
    <row r="5931" spans="1:12">
      <c r="A5931">
        <v>7</v>
      </c>
      <c r="B5931" s="16" t="s">
        <v>62</v>
      </c>
      <c r="C5931" s="9">
        <v>45717</v>
      </c>
      <c r="D5931">
        <v>1</v>
      </c>
      <c r="E5931" s="16" t="s">
        <v>80</v>
      </c>
      <c r="F5931" s="16" t="s">
        <v>81</v>
      </c>
      <c r="G5931" s="22">
        <v>6</v>
      </c>
      <c r="H5931" s="18">
        <v>83.34</v>
      </c>
      <c r="I5931" s="18">
        <v>13.89</v>
      </c>
      <c r="J5931" s="18">
        <v>13.89</v>
      </c>
      <c r="K5931" s="18">
        <v>13.89</v>
      </c>
      <c r="L5931" s="22">
        <v>1</v>
      </c>
    </row>
    <row r="5932" spans="1:12">
      <c r="A5932">
        <v>7</v>
      </c>
      <c r="B5932" s="16" t="s">
        <v>62</v>
      </c>
      <c r="C5932" s="9">
        <v>45748</v>
      </c>
      <c r="D5932">
        <v>1</v>
      </c>
      <c r="E5932" s="16" t="s">
        <v>80</v>
      </c>
      <c r="F5932" s="16" t="s">
        <v>81</v>
      </c>
      <c r="G5932" s="22">
        <v>12</v>
      </c>
      <c r="H5932" s="18">
        <v>162.47999999999999</v>
      </c>
      <c r="I5932" s="18">
        <v>13.54</v>
      </c>
      <c r="J5932" s="18">
        <v>13.57</v>
      </c>
      <c r="K5932" s="18">
        <v>13.51</v>
      </c>
      <c r="L5932" s="22">
        <v>2</v>
      </c>
    </row>
    <row r="5933" spans="1:12">
      <c r="A5933">
        <v>7</v>
      </c>
      <c r="B5933" s="16" t="s">
        <v>62</v>
      </c>
      <c r="C5933" s="9">
        <v>45778</v>
      </c>
      <c r="D5933">
        <v>1</v>
      </c>
      <c r="E5933" s="16" t="s">
        <v>80</v>
      </c>
      <c r="F5933" s="16" t="s">
        <v>81</v>
      </c>
      <c r="G5933" s="22">
        <v>18</v>
      </c>
      <c r="H5933" s="18">
        <v>248.28</v>
      </c>
      <c r="I5933" s="18">
        <v>13.793333333</v>
      </c>
      <c r="J5933" s="18">
        <v>13.87</v>
      </c>
      <c r="K5933" s="18">
        <v>13.69</v>
      </c>
      <c r="L5933" s="22">
        <v>3</v>
      </c>
    </row>
    <row r="5934" spans="1:12">
      <c r="A5934">
        <v>7</v>
      </c>
      <c r="B5934" s="16" t="s">
        <v>62</v>
      </c>
      <c r="C5934" s="9">
        <v>45809</v>
      </c>
      <c r="D5934">
        <v>1</v>
      </c>
      <c r="E5934" s="16" t="s">
        <v>80</v>
      </c>
      <c r="F5934" s="16" t="s">
        <v>81</v>
      </c>
      <c r="G5934" s="22">
        <v>12</v>
      </c>
      <c r="H5934" s="18">
        <v>163.02000000000001</v>
      </c>
      <c r="I5934" s="18">
        <v>13.585000000000001</v>
      </c>
      <c r="J5934" s="18">
        <v>13.71</v>
      </c>
      <c r="K5934" s="18">
        <v>13.46</v>
      </c>
      <c r="L5934" s="22">
        <v>2</v>
      </c>
    </row>
    <row r="5935" spans="1:12">
      <c r="A5935">
        <v>7</v>
      </c>
      <c r="B5935" s="16" t="s">
        <v>62</v>
      </c>
      <c r="C5935" s="9">
        <v>45839</v>
      </c>
      <c r="D5935">
        <v>1</v>
      </c>
      <c r="E5935" s="16" t="s">
        <v>80</v>
      </c>
      <c r="F5935" s="16" t="s">
        <v>81</v>
      </c>
      <c r="G5935" s="22">
        <v>6</v>
      </c>
      <c r="H5935" s="18">
        <v>67.14</v>
      </c>
      <c r="I5935" s="18">
        <v>11.19</v>
      </c>
      <c r="J5935" s="18">
        <v>11.19</v>
      </c>
      <c r="K5935" s="18">
        <v>11.19</v>
      </c>
      <c r="L5935" s="22">
        <v>1</v>
      </c>
    </row>
    <row r="5936" spans="1:12">
      <c r="A5936">
        <v>7</v>
      </c>
      <c r="B5936" s="16" t="s">
        <v>62</v>
      </c>
      <c r="C5936" s="9">
        <v>45870</v>
      </c>
      <c r="D5936">
        <v>1</v>
      </c>
      <c r="E5936" s="16" t="s">
        <v>80</v>
      </c>
      <c r="F5936" s="16" t="s">
        <v>81</v>
      </c>
      <c r="G5936" s="22">
        <v>12</v>
      </c>
      <c r="H5936" s="18">
        <v>136.08000000000001</v>
      </c>
      <c r="I5936" s="18">
        <v>11.34</v>
      </c>
      <c r="J5936" s="18">
        <v>11.43</v>
      </c>
      <c r="K5936" s="18">
        <v>11.25</v>
      </c>
      <c r="L5936" s="22">
        <v>2</v>
      </c>
    </row>
    <row r="5937" spans="1:12">
      <c r="A5937">
        <v>7</v>
      </c>
      <c r="B5937" s="16" t="s">
        <v>62</v>
      </c>
      <c r="C5937" s="9">
        <v>45901</v>
      </c>
      <c r="D5937">
        <v>1</v>
      </c>
      <c r="E5937" s="16" t="s">
        <v>80</v>
      </c>
      <c r="F5937" s="16" t="s">
        <v>81</v>
      </c>
      <c r="G5937" s="22">
        <v>12</v>
      </c>
      <c r="H5937" s="18">
        <v>138.66</v>
      </c>
      <c r="I5937" s="18">
        <v>11.555</v>
      </c>
      <c r="J5937" s="18">
        <v>11.56</v>
      </c>
      <c r="K5937" s="18">
        <v>11.55</v>
      </c>
      <c r="L5937" s="22">
        <v>2</v>
      </c>
    </row>
    <row r="5938" spans="1:12">
      <c r="A5938">
        <v>7</v>
      </c>
      <c r="B5938" s="16" t="s">
        <v>62</v>
      </c>
      <c r="C5938" s="9">
        <v>45931</v>
      </c>
      <c r="D5938">
        <v>1</v>
      </c>
      <c r="E5938" s="16" t="s">
        <v>80</v>
      </c>
      <c r="F5938" s="16" t="s">
        <v>81</v>
      </c>
      <c r="G5938" s="22">
        <v>18</v>
      </c>
      <c r="H5938" s="18">
        <v>206.4</v>
      </c>
      <c r="I5938" s="18">
        <v>11.466666667</v>
      </c>
      <c r="J5938" s="18">
        <v>11.5</v>
      </c>
      <c r="K5938" s="18">
        <v>11.45</v>
      </c>
      <c r="L5938" s="22">
        <v>3</v>
      </c>
    </row>
    <row r="5939" spans="1:12">
      <c r="A5939">
        <v>7</v>
      </c>
      <c r="B5939" s="16" t="s">
        <v>62</v>
      </c>
      <c r="C5939" s="9">
        <v>45962</v>
      </c>
      <c r="D5939">
        <v>1</v>
      </c>
      <c r="E5939" s="16" t="s">
        <v>80</v>
      </c>
      <c r="F5939" s="16" t="s">
        <v>81</v>
      </c>
      <c r="G5939" s="22">
        <v>12</v>
      </c>
      <c r="H5939" s="18">
        <v>138</v>
      </c>
      <c r="I5939" s="18">
        <v>11.5</v>
      </c>
      <c r="J5939" s="18">
        <v>11.52</v>
      </c>
      <c r="K5939" s="18">
        <v>11.48</v>
      </c>
      <c r="L5939" s="22">
        <v>2</v>
      </c>
    </row>
    <row r="5940" spans="1:12">
      <c r="A5940">
        <v>7</v>
      </c>
      <c r="B5940" s="16" t="s">
        <v>62</v>
      </c>
      <c r="C5940" s="9">
        <v>45992</v>
      </c>
      <c r="D5940">
        <v>1</v>
      </c>
      <c r="E5940" s="16" t="s">
        <v>80</v>
      </c>
      <c r="F5940" s="16" t="s">
        <v>81</v>
      </c>
      <c r="G5940" s="22">
        <v>12</v>
      </c>
      <c r="H5940" s="18">
        <v>138.36000000000001</v>
      </c>
      <c r="I5940" s="18">
        <v>11.53</v>
      </c>
      <c r="J5940" s="18">
        <v>11.57</v>
      </c>
      <c r="K5940" s="18">
        <v>11.49</v>
      </c>
      <c r="L5940" s="22">
        <v>2</v>
      </c>
    </row>
    <row r="5941" spans="1:12">
      <c r="A5941">
        <v>7</v>
      </c>
      <c r="B5941" s="16" t="s">
        <v>62</v>
      </c>
      <c r="C5941" s="9">
        <v>46023</v>
      </c>
      <c r="D5941">
        <v>1</v>
      </c>
      <c r="E5941" s="16" t="s">
        <v>80</v>
      </c>
      <c r="F5941" s="16" t="s">
        <v>81</v>
      </c>
      <c r="G5941" s="22">
        <v>6</v>
      </c>
      <c r="H5941" s="18">
        <v>74.88</v>
      </c>
      <c r="I5941" s="18">
        <v>12.48</v>
      </c>
      <c r="J5941" s="18">
        <v>12.48</v>
      </c>
      <c r="K5941" s="18">
        <v>12.48</v>
      </c>
      <c r="L5941" s="22">
        <v>1</v>
      </c>
    </row>
    <row r="5942" spans="1:12">
      <c r="A5942">
        <v>7</v>
      </c>
      <c r="B5942" s="16" t="s">
        <v>62</v>
      </c>
      <c r="C5942" s="9">
        <v>46054</v>
      </c>
      <c r="D5942">
        <v>1</v>
      </c>
      <c r="E5942" s="16" t="s">
        <v>80</v>
      </c>
      <c r="F5942" s="16" t="s">
        <v>81</v>
      </c>
      <c r="G5942" s="22">
        <v>12</v>
      </c>
      <c r="H5942" s="18">
        <v>140.82</v>
      </c>
      <c r="I5942" s="18">
        <v>11.734999999999999</v>
      </c>
      <c r="J5942" s="18">
        <v>11.81</v>
      </c>
      <c r="K5942" s="18">
        <v>11.66</v>
      </c>
      <c r="L5942" s="22">
        <v>2</v>
      </c>
    </row>
    <row r="5943" spans="1:12">
      <c r="A5943">
        <v>7</v>
      </c>
      <c r="B5943" s="16" t="s">
        <v>62</v>
      </c>
      <c r="C5943" s="9">
        <v>46082</v>
      </c>
      <c r="D5943">
        <v>1</v>
      </c>
      <c r="E5943" s="16" t="s">
        <v>80</v>
      </c>
      <c r="F5943" s="16" t="s">
        <v>81</v>
      </c>
      <c r="G5943" s="22">
        <v>12</v>
      </c>
      <c r="H5943" s="18">
        <v>170.04</v>
      </c>
      <c r="I5943" s="18">
        <v>14.17</v>
      </c>
      <c r="J5943" s="18">
        <v>14.22</v>
      </c>
      <c r="K5943" s="18">
        <v>14.12</v>
      </c>
      <c r="L5943" s="22">
        <v>2</v>
      </c>
    </row>
    <row r="5944" spans="1:12">
      <c r="A5944">
        <v>7</v>
      </c>
      <c r="B5944" s="16" t="s">
        <v>62</v>
      </c>
      <c r="C5944" s="9">
        <v>46113</v>
      </c>
      <c r="D5944">
        <v>1</v>
      </c>
      <c r="E5944" s="16" t="s">
        <v>80</v>
      </c>
      <c r="F5944" s="16" t="s">
        <v>81</v>
      </c>
      <c r="G5944" s="22">
        <v>18</v>
      </c>
      <c r="H5944" s="18">
        <v>259.8</v>
      </c>
      <c r="I5944" s="18">
        <v>14.433333333</v>
      </c>
      <c r="J5944" s="18">
        <v>14.66</v>
      </c>
      <c r="K5944" s="18">
        <v>14.22</v>
      </c>
      <c r="L5944" s="22">
        <v>3</v>
      </c>
    </row>
    <row r="5945" spans="1:12">
      <c r="A5945">
        <v>7</v>
      </c>
      <c r="B5945" s="16" t="s">
        <v>62</v>
      </c>
      <c r="C5945" s="9">
        <v>46143</v>
      </c>
      <c r="D5945">
        <v>1</v>
      </c>
      <c r="E5945" s="16" t="s">
        <v>80</v>
      </c>
      <c r="F5945" s="16" t="s">
        <v>81</v>
      </c>
      <c r="G5945" s="22">
        <v>12</v>
      </c>
      <c r="H5945" s="18">
        <v>175.44</v>
      </c>
      <c r="I5945" s="18">
        <v>14.62</v>
      </c>
      <c r="J5945" s="18">
        <v>14.71</v>
      </c>
      <c r="K5945" s="18">
        <v>14.53</v>
      </c>
      <c r="L5945" s="22">
        <v>2</v>
      </c>
    </row>
    <row r="5946" spans="1:12">
      <c r="A5946">
        <v>7</v>
      </c>
      <c r="B5946" s="16" t="s">
        <v>62</v>
      </c>
      <c r="C5946" s="9">
        <v>46174</v>
      </c>
      <c r="D5946">
        <v>1</v>
      </c>
      <c r="E5946" s="16" t="s">
        <v>80</v>
      </c>
      <c r="F5946" s="16" t="s">
        <v>81</v>
      </c>
      <c r="G5946" s="22">
        <v>12</v>
      </c>
      <c r="H5946" s="18">
        <v>173.52</v>
      </c>
      <c r="I5946" s="18">
        <v>14.46</v>
      </c>
      <c r="J5946" s="18">
        <v>14.46</v>
      </c>
      <c r="K5946" s="18">
        <v>14.46</v>
      </c>
      <c r="L5946" s="22">
        <v>1</v>
      </c>
    </row>
    <row r="5947" spans="1:12">
      <c r="A5947">
        <v>7</v>
      </c>
      <c r="B5947" s="16" t="s">
        <v>62</v>
      </c>
      <c r="C5947" s="9">
        <v>46204</v>
      </c>
      <c r="D5947">
        <v>1</v>
      </c>
      <c r="E5947" s="16" t="s">
        <v>80</v>
      </c>
      <c r="F5947" s="16" t="s">
        <v>81</v>
      </c>
      <c r="G5947" s="22">
        <v>12</v>
      </c>
      <c r="H5947" s="18">
        <v>145.86000000000001</v>
      </c>
      <c r="I5947" s="18">
        <v>12.154999999999999</v>
      </c>
      <c r="J5947" s="18">
        <v>12.18</v>
      </c>
      <c r="K5947" s="18">
        <v>12.13</v>
      </c>
      <c r="L5947" s="22">
        <v>2</v>
      </c>
    </row>
    <row r="5948" spans="1:12">
      <c r="A5948">
        <v>7</v>
      </c>
      <c r="B5948" s="16" t="s">
        <v>62</v>
      </c>
      <c r="C5948" s="9">
        <v>46235</v>
      </c>
      <c r="D5948">
        <v>1</v>
      </c>
      <c r="E5948" s="16" t="s">
        <v>80</v>
      </c>
      <c r="F5948" s="16" t="s">
        <v>81</v>
      </c>
      <c r="G5948" s="22">
        <v>12</v>
      </c>
      <c r="H5948" s="18">
        <v>144.06</v>
      </c>
      <c r="I5948" s="18">
        <v>12.005000000000001</v>
      </c>
      <c r="J5948" s="18">
        <v>12.04</v>
      </c>
      <c r="K5948" s="18">
        <v>11.97</v>
      </c>
      <c r="L5948" s="22">
        <v>2</v>
      </c>
    </row>
    <row r="5949" spans="1:12">
      <c r="A5949">
        <v>7</v>
      </c>
      <c r="B5949" s="16" t="s">
        <v>62</v>
      </c>
      <c r="C5949" s="9">
        <v>46266</v>
      </c>
      <c r="D5949">
        <v>1</v>
      </c>
      <c r="E5949" s="16" t="s">
        <v>80</v>
      </c>
      <c r="F5949" s="16" t="s">
        <v>81</v>
      </c>
      <c r="G5949" s="22">
        <v>18</v>
      </c>
      <c r="H5949" s="18">
        <v>220.5</v>
      </c>
      <c r="I5949" s="18">
        <v>12.25</v>
      </c>
      <c r="J5949" s="18">
        <v>12.33</v>
      </c>
      <c r="K5949" s="18">
        <v>12.21</v>
      </c>
      <c r="L5949" s="22">
        <v>2</v>
      </c>
    </row>
    <row r="5950" spans="1:12">
      <c r="A5950">
        <v>7</v>
      </c>
      <c r="B5950" s="16" t="s">
        <v>62</v>
      </c>
      <c r="C5950" s="9">
        <v>45689</v>
      </c>
      <c r="D5950">
        <v>2</v>
      </c>
      <c r="E5950" s="16" t="s">
        <v>82</v>
      </c>
      <c r="F5950" s="16" t="s">
        <v>83</v>
      </c>
      <c r="G5950" s="22">
        <v>12</v>
      </c>
      <c r="H5950" s="18">
        <v>207.36500000000001</v>
      </c>
      <c r="I5950" s="18">
        <v>17.280416667000001</v>
      </c>
      <c r="J5950" s="18">
        <v>17.399999999999999</v>
      </c>
      <c r="K5950" s="18">
        <v>16.84</v>
      </c>
      <c r="L5950" s="22">
        <v>8</v>
      </c>
    </row>
    <row r="5951" spans="1:12">
      <c r="A5951">
        <v>7</v>
      </c>
      <c r="B5951" s="16" t="s">
        <v>62</v>
      </c>
      <c r="C5951" s="9">
        <v>45717</v>
      </c>
      <c r="D5951">
        <v>2</v>
      </c>
      <c r="E5951" s="16" t="s">
        <v>82</v>
      </c>
      <c r="F5951" s="16" t="s">
        <v>83</v>
      </c>
      <c r="G5951" s="22">
        <v>16.5</v>
      </c>
      <c r="H5951" s="18">
        <v>285.33</v>
      </c>
      <c r="I5951" s="18">
        <v>17.292727273000001</v>
      </c>
      <c r="J5951" s="18">
        <v>17.649999999999999</v>
      </c>
      <c r="K5951" s="18">
        <v>17.03</v>
      </c>
      <c r="L5951" s="22">
        <v>9</v>
      </c>
    </row>
    <row r="5952" spans="1:12">
      <c r="A5952">
        <v>7</v>
      </c>
      <c r="B5952" s="16" t="s">
        <v>62</v>
      </c>
      <c r="C5952" s="9">
        <v>45748</v>
      </c>
      <c r="D5952">
        <v>2</v>
      </c>
      <c r="E5952" s="16" t="s">
        <v>82</v>
      </c>
      <c r="F5952" s="16" t="s">
        <v>83</v>
      </c>
      <c r="G5952" s="22">
        <v>14.5</v>
      </c>
      <c r="H5952" s="18">
        <v>253.74</v>
      </c>
      <c r="I5952" s="18">
        <v>17.499310345000001</v>
      </c>
      <c r="J5952" s="18">
        <v>17.940000000000001</v>
      </c>
      <c r="K5952" s="18">
        <v>17.23</v>
      </c>
      <c r="L5952" s="22">
        <v>8</v>
      </c>
    </row>
    <row r="5953" spans="1:12">
      <c r="A5953">
        <v>7</v>
      </c>
      <c r="B5953" s="16" t="s">
        <v>62</v>
      </c>
      <c r="C5953" s="9">
        <v>45778</v>
      </c>
      <c r="D5953">
        <v>2</v>
      </c>
      <c r="E5953" s="16" t="s">
        <v>82</v>
      </c>
      <c r="F5953" s="16" t="s">
        <v>83</v>
      </c>
      <c r="G5953" s="22">
        <v>14.5</v>
      </c>
      <c r="H5953" s="18">
        <v>257.76</v>
      </c>
      <c r="I5953" s="18">
        <v>17.776551724000001</v>
      </c>
      <c r="J5953" s="18">
        <v>18.03</v>
      </c>
      <c r="K5953" s="18">
        <v>17.53</v>
      </c>
      <c r="L5953" s="22">
        <v>9</v>
      </c>
    </row>
    <row r="5954" spans="1:12">
      <c r="A5954">
        <v>7</v>
      </c>
      <c r="B5954" s="16" t="s">
        <v>62</v>
      </c>
      <c r="C5954" s="9">
        <v>45809</v>
      </c>
      <c r="D5954">
        <v>2</v>
      </c>
      <c r="E5954" s="16" t="s">
        <v>82</v>
      </c>
      <c r="F5954" s="16" t="s">
        <v>83</v>
      </c>
      <c r="G5954" s="22">
        <v>11</v>
      </c>
      <c r="H5954" s="18">
        <v>195.245</v>
      </c>
      <c r="I5954" s="18">
        <v>17.749545455</v>
      </c>
      <c r="J5954" s="18">
        <v>18.079999999999998</v>
      </c>
      <c r="K5954" s="18">
        <v>17.37</v>
      </c>
      <c r="L5954" s="22">
        <v>9</v>
      </c>
    </row>
    <row r="5955" spans="1:12">
      <c r="A5955">
        <v>7</v>
      </c>
      <c r="B5955" s="16" t="s">
        <v>62</v>
      </c>
      <c r="C5955" s="9">
        <v>45839</v>
      </c>
      <c r="D5955">
        <v>2</v>
      </c>
      <c r="E5955" s="16" t="s">
        <v>82</v>
      </c>
      <c r="F5955" s="16" t="s">
        <v>83</v>
      </c>
      <c r="G5955" s="22">
        <v>12</v>
      </c>
      <c r="H5955" s="18">
        <v>226.5</v>
      </c>
      <c r="I5955" s="18">
        <v>18.875</v>
      </c>
      <c r="J5955" s="18">
        <v>19.239999999999998</v>
      </c>
      <c r="K5955" s="18">
        <v>18.309999999999999</v>
      </c>
      <c r="L5955" s="22">
        <v>9</v>
      </c>
    </row>
    <row r="5956" spans="1:12">
      <c r="A5956">
        <v>7</v>
      </c>
      <c r="B5956" s="16" t="s">
        <v>62</v>
      </c>
      <c r="C5956" s="9">
        <v>45870</v>
      </c>
      <c r="D5956">
        <v>2</v>
      </c>
      <c r="E5956" s="16" t="s">
        <v>82</v>
      </c>
      <c r="F5956" s="16" t="s">
        <v>83</v>
      </c>
      <c r="G5956" s="22">
        <v>10.5</v>
      </c>
      <c r="H5956" s="18">
        <v>198.84</v>
      </c>
      <c r="I5956" s="18">
        <v>18.937142857000001</v>
      </c>
      <c r="J5956" s="18">
        <v>19.68</v>
      </c>
      <c r="K5956" s="18">
        <v>18.559999999999999</v>
      </c>
      <c r="L5956" s="22">
        <v>8</v>
      </c>
    </row>
    <row r="5957" spans="1:12">
      <c r="A5957">
        <v>7</v>
      </c>
      <c r="B5957" s="16" t="s">
        <v>62</v>
      </c>
      <c r="C5957" s="9">
        <v>45901</v>
      </c>
      <c r="D5957">
        <v>2</v>
      </c>
      <c r="E5957" s="16" t="s">
        <v>82</v>
      </c>
      <c r="F5957" s="16" t="s">
        <v>83</v>
      </c>
      <c r="G5957" s="22">
        <v>14</v>
      </c>
      <c r="H5957" s="18">
        <v>260.7</v>
      </c>
      <c r="I5957" s="18">
        <v>18.621428570999999</v>
      </c>
      <c r="J5957" s="18">
        <v>18.87</v>
      </c>
      <c r="K5957" s="18">
        <v>18.34</v>
      </c>
      <c r="L5957" s="22">
        <v>9</v>
      </c>
    </row>
    <row r="5958" spans="1:12">
      <c r="A5958">
        <v>7</v>
      </c>
      <c r="B5958" s="16" t="s">
        <v>62</v>
      </c>
      <c r="C5958" s="9">
        <v>45931</v>
      </c>
      <c r="D5958">
        <v>2</v>
      </c>
      <c r="E5958" s="16" t="s">
        <v>82</v>
      </c>
      <c r="F5958" s="16" t="s">
        <v>83</v>
      </c>
      <c r="G5958" s="22">
        <v>15</v>
      </c>
      <c r="H5958" s="18">
        <v>278.505</v>
      </c>
      <c r="I5958" s="18">
        <v>18.567</v>
      </c>
      <c r="J5958" s="18">
        <v>19.100000000000001</v>
      </c>
      <c r="K5958" s="18">
        <v>18.079999999999998</v>
      </c>
      <c r="L5958" s="22">
        <v>9</v>
      </c>
    </row>
    <row r="5959" spans="1:12">
      <c r="A5959">
        <v>7</v>
      </c>
      <c r="B5959" s="16" t="s">
        <v>62</v>
      </c>
      <c r="C5959" s="9">
        <v>45962</v>
      </c>
      <c r="D5959">
        <v>2</v>
      </c>
      <c r="E5959" s="16" t="s">
        <v>82</v>
      </c>
      <c r="F5959" s="16" t="s">
        <v>83</v>
      </c>
      <c r="G5959" s="22">
        <v>15.5</v>
      </c>
      <c r="H5959" s="18">
        <v>289.82</v>
      </c>
      <c r="I5959" s="18">
        <v>18.698064515999999</v>
      </c>
      <c r="J5959" s="18">
        <v>18.98</v>
      </c>
      <c r="K5959" s="18">
        <v>18.46</v>
      </c>
      <c r="L5959" s="22">
        <v>8</v>
      </c>
    </row>
    <row r="5960" spans="1:12">
      <c r="A5960">
        <v>7</v>
      </c>
      <c r="B5960" s="16" t="s">
        <v>62</v>
      </c>
      <c r="C5960" s="9">
        <v>45992</v>
      </c>
      <c r="D5960">
        <v>2</v>
      </c>
      <c r="E5960" s="16" t="s">
        <v>82</v>
      </c>
      <c r="F5960" s="16" t="s">
        <v>83</v>
      </c>
      <c r="G5960" s="22">
        <v>17.5</v>
      </c>
      <c r="H5960" s="18">
        <v>330.23500000000001</v>
      </c>
      <c r="I5960" s="18">
        <v>18.870571429000002</v>
      </c>
      <c r="J5960" s="18">
        <v>19.97</v>
      </c>
      <c r="K5960" s="18">
        <v>18.55</v>
      </c>
      <c r="L5960" s="22">
        <v>9</v>
      </c>
    </row>
    <row r="5961" spans="1:12">
      <c r="A5961">
        <v>7</v>
      </c>
      <c r="B5961" s="16" t="s">
        <v>62</v>
      </c>
      <c r="C5961" s="9">
        <v>46023</v>
      </c>
      <c r="D5961">
        <v>2</v>
      </c>
      <c r="E5961" s="16" t="s">
        <v>82</v>
      </c>
      <c r="F5961" s="16" t="s">
        <v>83</v>
      </c>
      <c r="G5961" s="22">
        <v>15.5</v>
      </c>
      <c r="H5961" s="18">
        <v>273.3</v>
      </c>
      <c r="I5961" s="18">
        <v>17.632258064999998</v>
      </c>
      <c r="J5961" s="18">
        <v>18.03</v>
      </c>
      <c r="K5961" s="18">
        <v>17.350000000000001</v>
      </c>
      <c r="L5961" s="22">
        <v>9</v>
      </c>
    </row>
    <row r="5962" spans="1:12">
      <c r="A5962">
        <v>7</v>
      </c>
      <c r="B5962" s="16" t="s">
        <v>62</v>
      </c>
      <c r="C5962" s="9">
        <v>46054</v>
      </c>
      <c r="D5962">
        <v>2</v>
      </c>
      <c r="E5962" s="16" t="s">
        <v>82</v>
      </c>
      <c r="F5962" s="16" t="s">
        <v>83</v>
      </c>
      <c r="G5962" s="22">
        <v>15.5</v>
      </c>
      <c r="H5962" s="18">
        <v>277.33</v>
      </c>
      <c r="I5962" s="18">
        <v>17.892258065</v>
      </c>
      <c r="J5962" s="18">
        <v>19.170000000000002</v>
      </c>
      <c r="K5962" s="18">
        <v>17.34</v>
      </c>
      <c r="L5962" s="22">
        <v>8</v>
      </c>
    </row>
    <row r="5963" spans="1:12">
      <c r="A5963">
        <v>7</v>
      </c>
      <c r="B5963" s="16" t="s">
        <v>62</v>
      </c>
      <c r="C5963" s="9">
        <v>46082</v>
      </c>
      <c r="D5963">
        <v>2</v>
      </c>
      <c r="E5963" s="16" t="s">
        <v>82</v>
      </c>
      <c r="F5963" s="16" t="s">
        <v>83</v>
      </c>
      <c r="G5963" s="22">
        <v>16.5</v>
      </c>
      <c r="H5963" s="18">
        <v>295.625</v>
      </c>
      <c r="I5963" s="18">
        <v>17.916666667000001</v>
      </c>
      <c r="J5963" s="18">
        <v>18.75</v>
      </c>
      <c r="K5963" s="18">
        <v>17.45</v>
      </c>
      <c r="L5963" s="22">
        <v>9</v>
      </c>
    </row>
    <row r="5964" spans="1:12">
      <c r="A5964">
        <v>7</v>
      </c>
      <c r="B5964" s="16" t="s">
        <v>62</v>
      </c>
      <c r="C5964" s="9">
        <v>46113</v>
      </c>
      <c r="D5964">
        <v>2</v>
      </c>
      <c r="E5964" s="16" t="s">
        <v>82</v>
      </c>
      <c r="F5964" s="16" t="s">
        <v>83</v>
      </c>
      <c r="G5964" s="22">
        <v>17.5</v>
      </c>
      <c r="H5964" s="18">
        <v>315.17</v>
      </c>
      <c r="I5964" s="18">
        <v>18.009714286000001</v>
      </c>
      <c r="J5964" s="18">
        <v>18.670000000000002</v>
      </c>
      <c r="K5964" s="18">
        <v>17.559999999999999</v>
      </c>
      <c r="L5964" s="22">
        <v>9</v>
      </c>
    </row>
    <row r="5965" spans="1:12">
      <c r="A5965">
        <v>7</v>
      </c>
      <c r="B5965" s="16" t="s">
        <v>62</v>
      </c>
      <c r="C5965" s="9">
        <v>46143</v>
      </c>
      <c r="D5965">
        <v>2</v>
      </c>
      <c r="E5965" s="16" t="s">
        <v>82</v>
      </c>
      <c r="F5965" s="16" t="s">
        <v>83</v>
      </c>
      <c r="G5965" s="22">
        <v>15</v>
      </c>
      <c r="H5965" s="18">
        <v>271.93</v>
      </c>
      <c r="I5965" s="18">
        <v>18.128666667000001</v>
      </c>
      <c r="J5965" s="18">
        <v>18.420000000000002</v>
      </c>
      <c r="K5965" s="18">
        <v>17.920000000000002</v>
      </c>
      <c r="L5965" s="22">
        <v>8</v>
      </c>
    </row>
    <row r="5966" spans="1:12">
      <c r="A5966">
        <v>7</v>
      </c>
      <c r="B5966" s="16" t="s">
        <v>62</v>
      </c>
      <c r="C5966" s="9">
        <v>46174</v>
      </c>
      <c r="D5966">
        <v>2</v>
      </c>
      <c r="E5966" s="16" t="s">
        <v>82</v>
      </c>
      <c r="F5966" s="16" t="s">
        <v>83</v>
      </c>
      <c r="G5966" s="22">
        <v>13.5</v>
      </c>
      <c r="H5966" s="18">
        <v>242.89500000000001</v>
      </c>
      <c r="I5966" s="18">
        <v>17.992222221999999</v>
      </c>
      <c r="J5966" s="18">
        <v>18.420000000000002</v>
      </c>
      <c r="K5966" s="18">
        <v>17.38</v>
      </c>
      <c r="L5966" s="22">
        <v>9</v>
      </c>
    </row>
    <row r="5967" spans="1:12">
      <c r="A5967">
        <v>7</v>
      </c>
      <c r="B5967" s="16" t="s">
        <v>62</v>
      </c>
      <c r="C5967" s="9">
        <v>46204</v>
      </c>
      <c r="D5967">
        <v>2</v>
      </c>
      <c r="E5967" s="16" t="s">
        <v>82</v>
      </c>
      <c r="F5967" s="16" t="s">
        <v>83</v>
      </c>
      <c r="G5967" s="22">
        <v>13</v>
      </c>
      <c r="H5967" s="18">
        <v>253.77500000000001</v>
      </c>
      <c r="I5967" s="18">
        <v>19.521153846000001</v>
      </c>
      <c r="J5967" s="18">
        <v>19.8</v>
      </c>
      <c r="K5967" s="18">
        <v>19.22</v>
      </c>
      <c r="L5967" s="22">
        <v>9</v>
      </c>
    </row>
    <row r="5968" spans="1:12">
      <c r="A5968">
        <v>7</v>
      </c>
      <c r="B5968" s="16" t="s">
        <v>62</v>
      </c>
      <c r="C5968" s="9">
        <v>46235</v>
      </c>
      <c r="D5968">
        <v>2</v>
      </c>
      <c r="E5968" s="16" t="s">
        <v>82</v>
      </c>
      <c r="F5968" s="16" t="s">
        <v>83</v>
      </c>
      <c r="G5968" s="22">
        <v>14</v>
      </c>
      <c r="H5968" s="18">
        <v>273.80500000000001</v>
      </c>
      <c r="I5968" s="18">
        <v>19.557500000000001</v>
      </c>
      <c r="J5968" s="18">
        <v>19.920000000000002</v>
      </c>
      <c r="K5968" s="18">
        <v>19.350000000000001</v>
      </c>
      <c r="L5968" s="22">
        <v>9</v>
      </c>
    </row>
    <row r="5969" spans="1:12">
      <c r="A5969">
        <v>7</v>
      </c>
      <c r="B5969" s="16" t="s">
        <v>62</v>
      </c>
      <c r="C5969" s="9">
        <v>46266</v>
      </c>
      <c r="D5969">
        <v>2</v>
      </c>
      <c r="E5969" s="16" t="s">
        <v>82</v>
      </c>
      <c r="F5969" s="16" t="s">
        <v>83</v>
      </c>
      <c r="G5969" s="22">
        <v>14</v>
      </c>
      <c r="H5969" s="18">
        <v>273.57</v>
      </c>
      <c r="I5969" s="18">
        <v>19.540714286</v>
      </c>
      <c r="J5969" s="18">
        <v>20.010000000000002</v>
      </c>
      <c r="K5969" s="18">
        <v>19.23</v>
      </c>
      <c r="L5969" s="22">
        <v>8</v>
      </c>
    </row>
    <row r="5970" spans="1:12">
      <c r="A5970">
        <v>7</v>
      </c>
      <c r="B5970" s="16" t="s">
        <v>62</v>
      </c>
      <c r="C5970" s="9">
        <v>45689</v>
      </c>
      <c r="D5970">
        <v>3</v>
      </c>
      <c r="E5970" s="16" t="s">
        <v>84</v>
      </c>
      <c r="F5970" s="16" t="s">
        <v>85</v>
      </c>
      <c r="G5970" s="22">
        <v>100</v>
      </c>
      <c r="H5970" s="18">
        <v>61</v>
      </c>
      <c r="I5970" s="18">
        <v>0.61</v>
      </c>
      <c r="J5970" s="18">
        <v>0.61</v>
      </c>
      <c r="K5970" s="18">
        <v>0.61</v>
      </c>
      <c r="L5970" s="22">
        <v>2</v>
      </c>
    </row>
    <row r="5971" spans="1:12">
      <c r="A5971">
        <v>7</v>
      </c>
      <c r="B5971" s="16" t="s">
        <v>62</v>
      </c>
      <c r="C5971" s="9">
        <v>45717</v>
      </c>
      <c r="D5971">
        <v>3</v>
      </c>
      <c r="E5971" s="16" t="s">
        <v>84</v>
      </c>
      <c r="F5971" s="16" t="s">
        <v>85</v>
      </c>
      <c r="G5971" s="22">
        <v>200</v>
      </c>
      <c r="H5971" s="18">
        <v>123</v>
      </c>
      <c r="I5971" s="18">
        <v>0.61499999999999999</v>
      </c>
      <c r="J5971" s="18">
        <v>0.62</v>
      </c>
      <c r="K5971" s="18">
        <v>0.61</v>
      </c>
      <c r="L5971" s="22">
        <v>2</v>
      </c>
    </row>
    <row r="5972" spans="1:12">
      <c r="A5972">
        <v>7</v>
      </c>
      <c r="B5972" s="16" t="s">
        <v>62</v>
      </c>
      <c r="C5972" s="9">
        <v>45748</v>
      </c>
      <c r="D5972">
        <v>3</v>
      </c>
      <c r="E5972" s="16" t="s">
        <v>84</v>
      </c>
      <c r="F5972" s="16" t="s">
        <v>85</v>
      </c>
      <c r="G5972" s="22">
        <v>150</v>
      </c>
      <c r="H5972" s="18">
        <v>89.5</v>
      </c>
      <c r="I5972" s="18">
        <v>0.59666666700000004</v>
      </c>
      <c r="J5972" s="18">
        <v>0.61</v>
      </c>
      <c r="K5972" s="18">
        <v>0.59</v>
      </c>
      <c r="L5972" s="22">
        <v>2</v>
      </c>
    </row>
    <row r="5973" spans="1:12">
      <c r="A5973">
        <v>7</v>
      </c>
      <c r="B5973" s="16" t="s">
        <v>62</v>
      </c>
      <c r="C5973" s="9">
        <v>45778</v>
      </c>
      <c r="D5973">
        <v>3</v>
      </c>
      <c r="E5973" s="16" t="s">
        <v>84</v>
      </c>
      <c r="F5973" s="16" t="s">
        <v>85</v>
      </c>
      <c r="G5973" s="22">
        <v>150</v>
      </c>
      <c r="H5973" s="18">
        <v>89.5</v>
      </c>
      <c r="I5973" s="18">
        <v>0.59666666700000004</v>
      </c>
      <c r="J5973" s="18">
        <v>0.6</v>
      </c>
      <c r="K5973" s="18">
        <v>0.59</v>
      </c>
      <c r="L5973" s="22">
        <v>2</v>
      </c>
    </row>
    <row r="5974" spans="1:12">
      <c r="A5974">
        <v>7</v>
      </c>
      <c r="B5974" s="16" t="s">
        <v>62</v>
      </c>
      <c r="C5974" s="9">
        <v>45809</v>
      </c>
      <c r="D5974">
        <v>3</v>
      </c>
      <c r="E5974" s="16" t="s">
        <v>84</v>
      </c>
      <c r="F5974" s="16" t="s">
        <v>85</v>
      </c>
      <c r="G5974" s="22">
        <v>150</v>
      </c>
      <c r="H5974" s="18">
        <v>91.5</v>
      </c>
      <c r="I5974" s="18">
        <v>0.61</v>
      </c>
      <c r="J5974" s="18">
        <v>0.61</v>
      </c>
      <c r="K5974" s="18">
        <v>0.61</v>
      </c>
      <c r="L5974" s="22">
        <v>2</v>
      </c>
    </row>
    <row r="5975" spans="1:12">
      <c r="A5975">
        <v>7</v>
      </c>
      <c r="B5975" s="16" t="s">
        <v>62</v>
      </c>
      <c r="C5975" s="9">
        <v>45839</v>
      </c>
      <c r="D5975">
        <v>3</v>
      </c>
      <c r="E5975" s="16" t="s">
        <v>84</v>
      </c>
      <c r="F5975" s="16" t="s">
        <v>85</v>
      </c>
      <c r="G5975" s="22">
        <v>150</v>
      </c>
      <c r="H5975" s="18">
        <v>90.5</v>
      </c>
      <c r="I5975" s="18">
        <v>0.60333333300000003</v>
      </c>
      <c r="J5975" s="18">
        <v>0.62</v>
      </c>
      <c r="K5975" s="18">
        <v>0.59</v>
      </c>
      <c r="L5975" s="22">
        <v>3</v>
      </c>
    </row>
    <row r="5976" spans="1:12">
      <c r="A5976">
        <v>7</v>
      </c>
      <c r="B5976" s="16" t="s">
        <v>62</v>
      </c>
      <c r="C5976" s="9">
        <v>45870</v>
      </c>
      <c r="D5976">
        <v>3</v>
      </c>
      <c r="E5976" s="16" t="s">
        <v>84</v>
      </c>
      <c r="F5976" s="16" t="s">
        <v>85</v>
      </c>
      <c r="G5976" s="22">
        <v>150</v>
      </c>
      <c r="H5976" s="18">
        <v>94.5</v>
      </c>
      <c r="I5976" s="18">
        <v>0.63</v>
      </c>
      <c r="J5976" s="18">
        <v>0.64</v>
      </c>
      <c r="K5976" s="18">
        <v>0.61</v>
      </c>
      <c r="L5976" s="22">
        <v>2</v>
      </c>
    </row>
    <row r="5977" spans="1:12">
      <c r="A5977">
        <v>7</v>
      </c>
      <c r="B5977" s="16" t="s">
        <v>62</v>
      </c>
      <c r="C5977" s="9">
        <v>45901</v>
      </c>
      <c r="D5977">
        <v>3</v>
      </c>
      <c r="E5977" s="16" t="s">
        <v>84</v>
      </c>
      <c r="F5977" s="16" t="s">
        <v>85</v>
      </c>
      <c r="G5977" s="22">
        <v>150</v>
      </c>
      <c r="H5977" s="18">
        <v>90.5</v>
      </c>
      <c r="I5977" s="18">
        <v>0.60333333300000003</v>
      </c>
      <c r="J5977" s="18">
        <v>0.61</v>
      </c>
      <c r="K5977" s="18">
        <v>0.59</v>
      </c>
      <c r="L5977" s="22">
        <v>2</v>
      </c>
    </row>
    <row r="5978" spans="1:12">
      <c r="A5978">
        <v>7</v>
      </c>
      <c r="B5978" s="16" t="s">
        <v>62</v>
      </c>
      <c r="C5978" s="9">
        <v>45931</v>
      </c>
      <c r="D5978">
        <v>3</v>
      </c>
      <c r="E5978" s="16" t="s">
        <v>84</v>
      </c>
      <c r="F5978" s="16" t="s">
        <v>85</v>
      </c>
      <c r="G5978" s="22">
        <v>200</v>
      </c>
      <c r="H5978" s="18">
        <v>119</v>
      </c>
      <c r="I5978" s="18">
        <v>0.59499999999999997</v>
      </c>
      <c r="J5978" s="18">
        <v>0.6</v>
      </c>
      <c r="K5978" s="18">
        <v>0.59</v>
      </c>
      <c r="L5978" s="22">
        <v>2</v>
      </c>
    </row>
    <row r="5979" spans="1:12">
      <c r="A5979">
        <v>7</v>
      </c>
      <c r="B5979" s="16" t="s">
        <v>62</v>
      </c>
      <c r="C5979" s="9">
        <v>45962</v>
      </c>
      <c r="D5979">
        <v>3</v>
      </c>
      <c r="E5979" s="16" t="s">
        <v>84</v>
      </c>
      <c r="F5979" s="16" t="s">
        <v>85</v>
      </c>
      <c r="G5979" s="22">
        <v>150</v>
      </c>
      <c r="H5979" s="18">
        <v>92</v>
      </c>
      <c r="I5979" s="18">
        <v>0.61333333300000004</v>
      </c>
      <c r="J5979" s="18">
        <v>0.62</v>
      </c>
      <c r="K5979" s="18">
        <v>0.61</v>
      </c>
      <c r="L5979" s="22">
        <v>2</v>
      </c>
    </row>
    <row r="5980" spans="1:12">
      <c r="A5980">
        <v>7</v>
      </c>
      <c r="B5980" s="16" t="s">
        <v>62</v>
      </c>
      <c r="C5980" s="9">
        <v>45992</v>
      </c>
      <c r="D5980">
        <v>3</v>
      </c>
      <c r="E5980" s="16" t="s">
        <v>84</v>
      </c>
      <c r="F5980" s="16" t="s">
        <v>85</v>
      </c>
      <c r="G5980" s="22">
        <v>250</v>
      </c>
      <c r="H5980" s="18">
        <v>150</v>
      </c>
      <c r="I5980" s="18">
        <v>0.6</v>
      </c>
      <c r="J5980" s="18">
        <v>0.6</v>
      </c>
      <c r="K5980" s="18">
        <v>0.6</v>
      </c>
      <c r="L5980" s="22">
        <v>3</v>
      </c>
    </row>
    <row r="5981" spans="1:12">
      <c r="A5981">
        <v>7</v>
      </c>
      <c r="B5981" s="16" t="s">
        <v>62</v>
      </c>
      <c r="C5981" s="9">
        <v>46023</v>
      </c>
      <c r="D5981">
        <v>3</v>
      </c>
      <c r="E5981" s="16" t="s">
        <v>84</v>
      </c>
      <c r="F5981" s="16" t="s">
        <v>85</v>
      </c>
      <c r="G5981" s="22">
        <v>150</v>
      </c>
      <c r="H5981" s="18">
        <v>91</v>
      </c>
      <c r="I5981" s="18">
        <v>0.60666666700000005</v>
      </c>
      <c r="J5981" s="18">
        <v>0.61</v>
      </c>
      <c r="K5981" s="18">
        <v>0.6</v>
      </c>
      <c r="L5981" s="22">
        <v>2</v>
      </c>
    </row>
    <row r="5982" spans="1:12">
      <c r="A5982">
        <v>7</v>
      </c>
      <c r="B5982" s="16" t="s">
        <v>62</v>
      </c>
      <c r="C5982" s="9">
        <v>46054</v>
      </c>
      <c r="D5982">
        <v>3</v>
      </c>
      <c r="E5982" s="16" t="s">
        <v>84</v>
      </c>
      <c r="F5982" s="16" t="s">
        <v>85</v>
      </c>
      <c r="G5982" s="22">
        <v>200</v>
      </c>
      <c r="H5982" s="18">
        <v>120</v>
      </c>
      <c r="I5982" s="18">
        <v>0.6</v>
      </c>
      <c r="J5982" s="18">
        <v>0.6</v>
      </c>
      <c r="K5982" s="18">
        <v>0.6</v>
      </c>
      <c r="L5982" s="22">
        <v>2</v>
      </c>
    </row>
    <row r="5983" spans="1:12">
      <c r="A5983">
        <v>7</v>
      </c>
      <c r="B5983" s="16" t="s">
        <v>62</v>
      </c>
      <c r="C5983" s="9">
        <v>46082</v>
      </c>
      <c r="D5983">
        <v>3</v>
      </c>
      <c r="E5983" s="16" t="s">
        <v>84</v>
      </c>
      <c r="F5983" s="16" t="s">
        <v>85</v>
      </c>
      <c r="G5983" s="22">
        <v>150</v>
      </c>
      <c r="H5983" s="18">
        <v>91.5</v>
      </c>
      <c r="I5983" s="18">
        <v>0.61</v>
      </c>
      <c r="J5983" s="18">
        <v>0.61</v>
      </c>
      <c r="K5983" s="18">
        <v>0.61</v>
      </c>
      <c r="L5983" s="22">
        <v>2</v>
      </c>
    </row>
    <row r="5984" spans="1:12">
      <c r="A5984">
        <v>7</v>
      </c>
      <c r="B5984" s="16" t="s">
        <v>62</v>
      </c>
      <c r="C5984" s="9">
        <v>46113</v>
      </c>
      <c r="D5984">
        <v>3</v>
      </c>
      <c r="E5984" s="16" t="s">
        <v>84</v>
      </c>
      <c r="F5984" s="16" t="s">
        <v>85</v>
      </c>
      <c r="G5984" s="22">
        <v>200</v>
      </c>
      <c r="H5984" s="18">
        <v>121</v>
      </c>
      <c r="I5984" s="18">
        <v>0.60499999999999998</v>
      </c>
      <c r="J5984" s="18">
        <v>0.62</v>
      </c>
      <c r="K5984" s="18">
        <v>0.59</v>
      </c>
      <c r="L5984" s="22">
        <v>2</v>
      </c>
    </row>
    <row r="5985" spans="1:12">
      <c r="A5985">
        <v>7</v>
      </c>
      <c r="B5985" s="16" t="s">
        <v>62</v>
      </c>
      <c r="C5985" s="9">
        <v>46143</v>
      </c>
      <c r="D5985">
        <v>3</v>
      </c>
      <c r="E5985" s="16" t="s">
        <v>84</v>
      </c>
      <c r="F5985" s="16" t="s">
        <v>85</v>
      </c>
      <c r="G5985" s="22">
        <v>200</v>
      </c>
      <c r="H5985" s="18">
        <v>116</v>
      </c>
      <c r="I5985" s="18">
        <v>0.57999999999999996</v>
      </c>
      <c r="J5985" s="18">
        <v>0.57999999999999996</v>
      </c>
      <c r="K5985" s="18">
        <v>0.57999999999999996</v>
      </c>
      <c r="L5985" s="22">
        <v>2</v>
      </c>
    </row>
    <row r="5986" spans="1:12">
      <c r="A5986">
        <v>7</v>
      </c>
      <c r="B5986" s="16" t="s">
        <v>62</v>
      </c>
      <c r="C5986" s="9">
        <v>46174</v>
      </c>
      <c r="D5986">
        <v>3</v>
      </c>
      <c r="E5986" s="16" t="s">
        <v>84</v>
      </c>
      <c r="F5986" s="16" t="s">
        <v>85</v>
      </c>
      <c r="G5986" s="22">
        <v>200</v>
      </c>
      <c r="H5986" s="18">
        <v>120.5</v>
      </c>
      <c r="I5986" s="18">
        <v>0.60250000000000004</v>
      </c>
      <c r="J5986" s="18">
        <v>0.62</v>
      </c>
      <c r="K5986" s="18">
        <v>0.59</v>
      </c>
      <c r="L5986" s="22">
        <v>3</v>
      </c>
    </row>
    <row r="5987" spans="1:12">
      <c r="A5987">
        <v>7</v>
      </c>
      <c r="B5987" s="16" t="s">
        <v>62</v>
      </c>
      <c r="C5987" s="9">
        <v>46204</v>
      </c>
      <c r="D5987">
        <v>3</v>
      </c>
      <c r="E5987" s="16" t="s">
        <v>84</v>
      </c>
      <c r="F5987" s="16" t="s">
        <v>85</v>
      </c>
      <c r="G5987" s="22">
        <v>100</v>
      </c>
      <c r="H5987" s="18">
        <v>59.5</v>
      </c>
      <c r="I5987" s="18">
        <v>0.59499999999999997</v>
      </c>
      <c r="J5987" s="18">
        <v>0.6</v>
      </c>
      <c r="K5987" s="18">
        <v>0.59</v>
      </c>
      <c r="L5987" s="22">
        <v>2</v>
      </c>
    </row>
    <row r="5988" spans="1:12">
      <c r="A5988">
        <v>7</v>
      </c>
      <c r="B5988" s="16" t="s">
        <v>62</v>
      </c>
      <c r="C5988" s="9">
        <v>46235</v>
      </c>
      <c r="D5988">
        <v>3</v>
      </c>
      <c r="E5988" s="16" t="s">
        <v>84</v>
      </c>
      <c r="F5988" s="16" t="s">
        <v>85</v>
      </c>
      <c r="G5988" s="22">
        <v>200</v>
      </c>
      <c r="H5988" s="18">
        <v>120</v>
      </c>
      <c r="I5988" s="18">
        <v>0.6</v>
      </c>
      <c r="J5988" s="18">
        <v>0.6</v>
      </c>
      <c r="K5988" s="18">
        <v>0.6</v>
      </c>
      <c r="L5988" s="22">
        <v>2</v>
      </c>
    </row>
    <row r="5989" spans="1:12">
      <c r="A5989">
        <v>7</v>
      </c>
      <c r="B5989" s="16" t="s">
        <v>62</v>
      </c>
      <c r="C5989" s="9">
        <v>46266</v>
      </c>
      <c r="D5989">
        <v>3</v>
      </c>
      <c r="E5989" s="16" t="s">
        <v>84</v>
      </c>
      <c r="F5989" s="16" t="s">
        <v>85</v>
      </c>
      <c r="G5989" s="22">
        <v>150</v>
      </c>
      <c r="H5989" s="18">
        <v>89.5</v>
      </c>
      <c r="I5989" s="18">
        <v>0.59666666700000004</v>
      </c>
      <c r="J5989" s="18">
        <v>0.6</v>
      </c>
      <c r="K5989" s="18">
        <v>0.59</v>
      </c>
      <c r="L5989" s="22">
        <v>2</v>
      </c>
    </row>
    <row r="5990" spans="1:12">
      <c r="A5990">
        <v>7</v>
      </c>
      <c r="B5990" s="16" t="s">
        <v>62</v>
      </c>
      <c r="C5990" s="9">
        <v>45689</v>
      </c>
      <c r="D5990">
        <v>4</v>
      </c>
      <c r="E5990" s="16" t="s">
        <v>86</v>
      </c>
      <c r="F5990" s="16" t="s">
        <v>87</v>
      </c>
      <c r="G5990" s="22">
        <v>23</v>
      </c>
      <c r="H5990" s="18">
        <v>324.74</v>
      </c>
      <c r="I5990" s="18">
        <v>14.119130435000001</v>
      </c>
      <c r="J5990" s="18">
        <v>14.43</v>
      </c>
      <c r="K5990" s="18">
        <v>13.92</v>
      </c>
      <c r="L5990" s="22">
        <v>8</v>
      </c>
    </row>
    <row r="5991" spans="1:12">
      <c r="A5991">
        <v>7</v>
      </c>
      <c r="B5991" s="16" t="s">
        <v>62</v>
      </c>
      <c r="C5991" s="9">
        <v>45717</v>
      </c>
      <c r="D5991">
        <v>4</v>
      </c>
      <c r="E5991" s="16" t="s">
        <v>86</v>
      </c>
      <c r="F5991" s="16" t="s">
        <v>87</v>
      </c>
      <c r="G5991" s="22">
        <v>27.75</v>
      </c>
      <c r="H5991" s="18">
        <v>393.61500000000001</v>
      </c>
      <c r="I5991" s="18">
        <v>14.184324324</v>
      </c>
      <c r="J5991" s="18">
        <v>14.41</v>
      </c>
      <c r="K5991" s="18">
        <v>13.99</v>
      </c>
      <c r="L5991" s="22">
        <v>8</v>
      </c>
    </row>
    <row r="5992" spans="1:12">
      <c r="A5992">
        <v>7</v>
      </c>
      <c r="B5992" s="16" t="s">
        <v>62</v>
      </c>
      <c r="C5992" s="9">
        <v>45748</v>
      </c>
      <c r="D5992">
        <v>4</v>
      </c>
      <c r="E5992" s="16" t="s">
        <v>86</v>
      </c>
      <c r="F5992" s="16" t="s">
        <v>87</v>
      </c>
      <c r="G5992" s="22">
        <v>35</v>
      </c>
      <c r="H5992" s="18">
        <v>495.44499999999999</v>
      </c>
      <c r="I5992" s="18">
        <v>14.155571429</v>
      </c>
      <c r="J5992" s="18">
        <v>14.51</v>
      </c>
      <c r="K5992" s="18">
        <v>13.87</v>
      </c>
      <c r="L5992" s="22">
        <v>9</v>
      </c>
    </row>
    <row r="5993" spans="1:12">
      <c r="A5993">
        <v>7</v>
      </c>
      <c r="B5993" s="16" t="s">
        <v>62</v>
      </c>
      <c r="C5993" s="9">
        <v>45778</v>
      </c>
      <c r="D5993">
        <v>4</v>
      </c>
      <c r="E5993" s="16" t="s">
        <v>86</v>
      </c>
      <c r="F5993" s="16" t="s">
        <v>87</v>
      </c>
      <c r="G5993" s="22">
        <v>37.25</v>
      </c>
      <c r="H5993" s="18">
        <v>529.79250000000002</v>
      </c>
      <c r="I5993" s="18">
        <v>14.22261745</v>
      </c>
      <c r="J5993" s="18">
        <v>14.39</v>
      </c>
      <c r="K5993" s="18">
        <v>13.87</v>
      </c>
      <c r="L5993" s="22">
        <v>9</v>
      </c>
    </row>
    <row r="5994" spans="1:12">
      <c r="A5994">
        <v>7</v>
      </c>
      <c r="B5994" s="16" t="s">
        <v>62</v>
      </c>
      <c r="C5994" s="9">
        <v>45809</v>
      </c>
      <c r="D5994">
        <v>4</v>
      </c>
      <c r="E5994" s="16" t="s">
        <v>86</v>
      </c>
      <c r="F5994" s="16" t="s">
        <v>87</v>
      </c>
      <c r="G5994" s="22">
        <v>26.25</v>
      </c>
      <c r="H5994" s="18">
        <v>377.15249999999997</v>
      </c>
      <c r="I5994" s="18">
        <v>14.367714286</v>
      </c>
      <c r="J5994" s="18">
        <v>14.5</v>
      </c>
      <c r="K5994" s="18">
        <v>14.24</v>
      </c>
      <c r="L5994" s="22">
        <v>8</v>
      </c>
    </row>
    <row r="5995" spans="1:12">
      <c r="A5995">
        <v>7</v>
      </c>
      <c r="B5995" s="16" t="s">
        <v>62</v>
      </c>
      <c r="C5995" s="9">
        <v>45839</v>
      </c>
      <c r="D5995">
        <v>4</v>
      </c>
      <c r="E5995" s="16" t="s">
        <v>86</v>
      </c>
      <c r="F5995" s="16" t="s">
        <v>87</v>
      </c>
      <c r="G5995" s="22">
        <v>34</v>
      </c>
      <c r="H5995" s="18">
        <v>488.81</v>
      </c>
      <c r="I5995" s="18">
        <v>14.376764705999999</v>
      </c>
      <c r="J5995" s="18">
        <v>14.74</v>
      </c>
      <c r="K5995" s="18">
        <v>14.06</v>
      </c>
      <c r="L5995" s="22">
        <v>10</v>
      </c>
    </row>
    <row r="5996" spans="1:12">
      <c r="A5996">
        <v>7</v>
      </c>
      <c r="B5996" s="16" t="s">
        <v>62</v>
      </c>
      <c r="C5996" s="9">
        <v>45870</v>
      </c>
      <c r="D5996">
        <v>4</v>
      </c>
      <c r="E5996" s="16" t="s">
        <v>86</v>
      </c>
      <c r="F5996" s="16" t="s">
        <v>87</v>
      </c>
      <c r="G5996" s="22">
        <v>30</v>
      </c>
      <c r="H5996" s="18">
        <v>431.22250000000003</v>
      </c>
      <c r="I5996" s="18">
        <v>14.374083333</v>
      </c>
      <c r="J5996" s="18">
        <v>14.52</v>
      </c>
      <c r="K5996" s="18">
        <v>14.11</v>
      </c>
      <c r="L5996" s="22">
        <v>8</v>
      </c>
    </row>
    <row r="5997" spans="1:12">
      <c r="A5997">
        <v>7</v>
      </c>
      <c r="B5997" s="16" t="s">
        <v>62</v>
      </c>
      <c r="C5997" s="9">
        <v>45901</v>
      </c>
      <c r="D5997">
        <v>4</v>
      </c>
      <c r="E5997" s="16" t="s">
        <v>86</v>
      </c>
      <c r="F5997" s="16" t="s">
        <v>87</v>
      </c>
      <c r="G5997" s="22">
        <v>32.75</v>
      </c>
      <c r="H5997" s="18">
        <v>473.49250000000001</v>
      </c>
      <c r="I5997" s="18">
        <v>14.457786260000001</v>
      </c>
      <c r="J5997" s="18">
        <v>14.74</v>
      </c>
      <c r="K5997" s="18">
        <v>14.17</v>
      </c>
      <c r="L5997" s="22">
        <v>9</v>
      </c>
    </row>
    <row r="5998" spans="1:12">
      <c r="A5998">
        <v>7</v>
      </c>
      <c r="B5998" s="16" t="s">
        <v>62</v>
      </c>
      <c r="C5998" s="9">
        <v>45931</v>
      </c>
      <c r="D5998">
        <v>4</v>
      </c>
      <c r="E5998" s="16" t="s">
        <v>86</v>
      </c>
      <c r="F5998" s="16" t="s">
        <v>87</v>
      </c>
      <c r="G5998" s="22">
        <v>37.5</v>
      </c>
      <c r="H5998" s="18">
        <v>539.83249999999998</v>
      </c>
      <c r="I5998" s="18">
        <v>14.395533332999999</v>
      </c>
      <c r="J5998" s="18">
        <v>14.76</v>
      </c>
      <c r="K5998" s="18">
        <v>14.14</v>
      </c>
      <c r="L5998" s="22">
        <v>9</v>
      </c>
    </row>
    <row r="5999" spans="1:12">
      <c r="A5999">
        <v>7</v>
      </c>
      <c r="B5999" s="16" t="s">
        <v>62</v>
      </c>
      <c r="C5999" s="9">
        <v>45962</v>
      </c>
      <c r="D5999">
        <v>4</v>
      </c>
      <c r="E5999" s="16" t="s">
        <v>86</v>
      </c>
      <c r="F5999" s="16" t="s">
        <v>87</v>
      </c>
      <c r="G5999" s="22">
        <v>27.5</v>
      </c>
      <c r="H5999" s="18">
        <v>406.95249999999999</v>
      </c>
      <c r="I5999" s="18">
        <v>14.798272727000001</v>
      </c>
      <c r="J5999" s="18">
        <v>15.4</v>
      </c>
      <c r="K5999" s="18">
        <v>14.38</v>
      </c>
      <c r="L5999" s="22">
        <v>8</v>
      </c>
    </row>
    <row r="6000" spans="1:12">
      <c r="A6000">
        <v>7</v>
      </c>
      <c r="B6000" s="16" t="s">
        <v>62</v>
      </c>
      <c r="C6000" s="9">
        <v>45992</v>
      </c>
      <c r="D6000">
        <v>4</v>
      </c>
      <c r="E6000" s="16" t="s">
        <v>86</v>
      </c>
      <c r="F6000" s="16" t="s">
        <v>87</v>
      </c>
      <c r="G6000" s="22">
        <v>30.75</v>
      </c>
      <c r="H6000" s="18">
        <v>447.62</v>
      </c>
      <c r="I6000" s="18">
        <v>14.556747967</v>
      </c>
      <c r="J6000" s="18">
        <v>14.74</v>
      </c>
      <c r="K6000" s="18">
        <v>14.28</v>
      </c>
      <c r="L6000" s="22">
        <v>9</v>
      </c>
    </row>
    <row r="6001" spans="1:12">
      <c r="A6001">
        <v>7</v>
      </c>
      <c r="B6001" s="16" t="s">
        <v>62</v>
      </c>
      <c r="C6001" s="9">
        <v>46023</v>
      </c>
      <c r="D6001">
        <v>4</v>
      </c>
      <c r="E6001" s="16" t="s">
        <v>86</v>
      </c>
      <c r="F6001" s="16" t="s">
        <v>87</v>
      </c>
      <c r="G6001" s="22">
        <v>34</v>
      </c>
      <c r="H6001" s="18">
        <v>486.19499999999999</v>
      </c>
      <c r="I6001" s="18">
        <v>14.299852940999999</v>
      </c>
      <c r="J6001" s="18">
        <v>14.68</v>
      </c>
      <c r="K6001" s="18">
        <v>13.96</v>
      </c>
      <c r="L6001" s="22">
        <v>9</v>
      </c>
    </row>
    <row r="6002" spans="1:12">
      <c r="A6002">
        <v>7</v>
      </c>
      <c r="B6002" s="16" t="s">
        <v>62</v>
      </c>
      <c r="C6002" s="9">
        <v>46054</v>
      </c>
      <c r="D6002">
        <v>4</v>
      </c>
      <c r="E6002" s="16" t="s">
        <v>86</v>
      </c>
      <c r="F6002" s="16" t="s">
        <v>87</v>
      </c>
      <c r="G6002" s="22">
        <v>31.25</v>
      </c>
      <c r="H6002" s="18">
        <v>446.15249999999997</v>
      </c>
      <c r="I6002" s="18">
        <v>14.27688</v>
      </c>
      <c r="J6002" s="18">
        <v>14.54</v>
      </c>
      <c r="K6002" s="18">
        <v>13.98</v>
      </c>
      <c r="L6002" s="22">
        <v>8</v>
      </c>
    </row>
    <row r="6003" spans="1:12">
      <c r="A6003">
        <v>7</v>
      </c>
      <c r="B6003" s="16" t="s">
        <v>62</v>
      </c>
      <c r="C6003" s="9">
        <v>46082</v>
      </c>
      <c r="D6003">
        <v>4</v>
      </c>
      <c r="E6003" s="16" t="s">
        <v>86</v>
      </c>
      <c r="F6003" s="16" t="s">
        <v>87</v>
      </c>
      <c r="G6003" s="22">
        <v>36.25</v>
      </c>
      <c r="H6003" s="18">
        <v>518.34500000000003</v>
      </c>
      <c r="I6003" s="18">
        <v>14.299172413999999</v>
      </c>
      <c r="J6003" s="18">
        <v>14.52</v>
      </c>
      <c r="K6003" s="18">
        <v>14.14</v>
      </c>
      <c r="L6003" s="22">
        <v>9</v>
      </c>
    </row>
    <row r="6004" spans="1:12">
      <c r="A6004">
        <v>7</v>
      </c>
      <c r="B6004" s="16" t="s">
        <v>62</v>
      </c>
      <c r="C6004" s="9">
        <v>46113</v>
      </c>
      <c r="D6004">
        <v>4</v>
      </c>
      <c r="E6004" s="16" t="s">
        <v>86</v>
      </c>
      <c r="F6004" s="16" t="s">
        <v>87</v>
      </c>
      <c r="G6004" s="22">
        <v>40</v>
      </c>
      <c r="H6004" s="18">
        <v>572.34</v>
      </c>
      <c r="I6004" s="18">
        <v>14.3085</v>
      </c>
      <c r="J6004" s="18">
        <v>14.61</v>
      </c>
      <c r="K6004" s="18">
        <v>14.17</v>
      </c>
      <c r="L6004" s="22">
        <v>9</v>
      </c>
    </row>
    <row r="6005" spans="1:12">
      <c r="A6005">
        <v>7</v>
      </c>
      <c r="B6005" s="16" t="s">
        <v>62</v>
      </c>
      <c r="C6005" s="9">
        <v>46143</v>
      </c>
      <c r="D6005">
        <v>4</v>
      </c>
      <c r="E6005" s="16" t="s">
        <v>86</v>
      </c>
      <c r="F6005" s="16" t="s">
        <v>87</v>
      </c>
      <c r="G6005" s="22">
        <v>37</v>
      </c>
      <c r="H6005" s="18">
        <v>535.66499999999996</v>
      </c>
      <c r="I6005" s="18">
        <v>14.477432432000001</v>
      </c>
      <c r="J6005" s="18">
        <v>15.3</v>
      </c>
      <c r="K6005" s="18">
        <v>14.06</v>
      </c>
      <c r="L6005" s="22">
        <v>8</v>
      </c>
    </row>
    <row r="6006" spans="1:12">
      <c r="A6006">
        <v>7</v>
      </c>
      <c r="B6006" s="16" t="s">
        <v>62</v>
      </c>
      <c r="C6006" s="9">
        <v>46174</v>
      </c>
      <c r="D6006">
        <v>4</v>
      </c>
      <c r="E6006" s="16" t="s">
        <v>86</v>
      </c>
      <c r="F6006" s="16" t="s">
        <v>87</v>
      </c>
      <c r="G6006" s="22">
        <v>35</v>
      </c>
      <c r="H6006" s="18">
        <v>502.7475</v>
      </c>
      <c r="I6006" s="18">
        <v>14.364214285999999</v>
      </c>
      <c r="J6006" s="18">
        <v>14.52</v>
      </c>
      <c r="K6006" s="18">
        <v>14.08</v>
      </c>
      <c r="L6006" s="22">
        <v>9</v>
      </c>
    </row>
    <row r="6007" spans="1:12">
      <c r="A6007">
        <v>7</v>
      </c>
      <c r="B6007" s="16" t="s">
        <v>62</v>
      </c>
      <c r="C6007" s="9">
        <v>46204</v>
      </c>
      <c r="D6007">
        <v>4</v>
      </c>
      <c r="E6007" s="16" t="s">
        <v>86</v>
      </c>
      <c r="F6007" s="16" t="s">
        <v>87</v>
      </c>
      <c r="G6007" s="22">
        <v>35.5</v>
      </c>
      <c r="H6007" s="18">
        <v>519.23</v>
      </c>
      <c r="I6007" s="18">
        <v>14.626197183</v>
      </c>
      <c r="J6007" s="18">
        <v>15.37</v>
      </c>
      <c r="K6007" s="18">
        <v>14.24</v>
      </c>
      <c r="L6007" s="22">
        <v>9</v>
      </c>
    </row>
    <row r="6008" spans="1:12">
      <c r="A6008">
        <v>7</v>
      </c>
      <c r="B6008" s="16" t="s">
        <v>62</v>
      </c>
      <c r="C6008" s="9">
        <v>46235</v>
      </c>
      <c r="D6008">
        <v>4</v>
      </c>
      <c r="E6008" s="16" t="s">
        <v>86</v>
      </c>
      <c r="F6008" s="16" t="s">
        <v>87</v>
      </c>
      <c r="G6008" s="22">
        <v>36.5</v>
      </c>
      <c r="H6008" s="18">
        <v>532.19000000000005</v>
      </c>
      <c r="I6008" s="18">
        <v>14.580547944999999</v>
      </c>
      <c r="J6008" s="18">
        <v>14.83</v>
      </c>
      <c r="K6008" s="18">
        <v>14.31</v>
      </c>
      <c r="L6008" s="22">
        <v>8</v>
      </c>
    </row>
    <row r="6009" spans="1:12">
      <c r="A6009">
        <v>7</v>
      </c>
      <c r="B6009" s="16" t="s">
        <v>62</v>
      </c>
      <c r="C6009" s="9">
        <v>46266</v>
      </c>
      <c r="D6009">
        <v>4</v>
      </c>
      <c r="E6009" s="16" t="s">
        <v>86</v>
      </c>
      <c r="F6009" s="16" t="s">
        <v>87</v>
      </c>
      <c r="G6009" s="22">
        <v>35.5</v>
      </c>
      <c r="H6009" s="18">
        <v>512.3175</v>
      </c>
      <c r="I6009" s="18">
        <v>14.431478873</v>
      </c>
      <c r="J6009" s="18">
        <v>14.89</v>
      </c>
      <c r="K6009" s="18">
        <v>14.23</v>
      </c>
      <c r="L6009" s="22">
        <v>9</v>
      </c>
    </row>
    <row r="6010" spans="1:12">
      <c r="A6010">
        <v>7</v>
      </c>
      <c r="B6010" s="16" t="s">
        <v>62</v>
      </c>
      <c r="C6010" s="9">
        <v>45689</v>
      </c>
      <c r="D6010">
        <v>5</v>
      </c>
      <c r="E6010" s="16" t="s">
        <v>88</v>
      </c>
      <c r="F6010" s="16" t="s">
        <v>83</v>
      </c>
      <c r="G6010" s="22">
        <v>282</v>
      </c>
      <c r="H6010" s="18">
        <v>108.18</v>
      </c>
      <c r="I6010" s="18">
        <v>0.383617021</v>
      </c>
      <c r="J6010" s="18">
        <v>0.39</v>
      </c>
      <c r="K6010" s="18">
        <v>0.38</v>
      </c>
      <c r="L6010" s="22">
        <v>8</v>
      </c>
    </row>
    <row r="6011" spans="1:12">
      <c r="A6011">
        <v>7</v>
      </c>
      <c r="B6011" s="16" t="s">
        <v>62</v>
      </c>
      <c r="C6011" s="9">
        <v>45717</v>
      </c>
      <c r="D6011">
        <v>5</v>
      </c>
      <c r="E6011" s="16" t="s">
        <v>88</v>
      </c>
      <c r="F6011" s="16" t="s">
        <v>83</v>
      </c>
      <c r="G6011" s="22">
        <v>360</v>
      </c>
      <c r="H6011" s="18">
        <v>139.32</v>
      </c>
      <c r="I6011" s="18">
        <v>0.38700000000000001</v>
      </c>
      <c r="J6011" s="18">
        <v>0.39</v>
      </c>
      <c r="K6011" s="18">
        <v>0.38</v>
      </c>
      <c r="L6011" s="22">
        <v>9</v>
      </c>
    </row>
    <row r="6012" spans="1:12">
      <c r="A6012">
        <v>7</v>
      </c>
      <c r="B6012" s="16" t="s">
        <v>62</v>
      </c>
      <c r="C6012" s="9">
        <v>45748</v>
      </c>
      <c r="D6012">
        <v>5</v>
      </c>
      <c r="E6012" s="16" t="s">
        <v>88</v>
      </c>
      <c r="F6012" s="16" t="s">
        <v>83</v>
      </c>
      <c r="G6012" s="22">
        <v>402</v>
      </c>
      <c r="H6012" s="18">
        <v>154.13999999999999</v>
      </c>
      <c r="I6012" s="18">
        <v>0.383432836</v>
      </c>
      <c r="J6012" s="18">
        <v>0.39</v>
      </c>
      <c r="K6012" s="18">
        <v>0.38</v>
      </c>
      <c r="L6012" s="22">
        <v>8</v>
      </c>
    </row>
    <row r="6013" spans="1:12">
      <c r="A6013">
        <v>7</v>
      </c>
      <c r="B6013" s="16" t="s">
        <v>62</v>
      </c>
      <c r="C6013" s="9">
        <v>45778</v>
      </c>
      <c r="D6013">
        <v>5</v>
      </c>
      <c r="E6013" s="16" t="s">
        <v>88</v>
      </c>
      <c r="F6013" s="16" t="s">
        <v>83</v>
      </c>
      <c r="G6013" s="22">
        <v>450</v>
      </c>
      <c r="H6013" s="18">
        <v>169.32</v>
      </c>
      <c r="I6013" s="18">
        <v>0.376266667</v>
      </c>
      <c r="J6013" s="18">
        <v>0.38</v>
      </c>
      <c r="K6013" s="18">
        <v>0.37</v>
      </c>
      <c r="L6013" s="22">
        <v>9</v>
      </c>
    </row>
    <row r="6014" spans="1:12">
      <c r="A6014">
        <v>7</v>
      </c>
      <c r="B6014" s="16" t="s">
        <v>62</v>
      </c>
      <c r="C6014" s="9">
        <v>45809</v>
      </c>
      <c r="D6014">
        <v>5</v>
      </c>
      <c r="E6014" s="16" t="s">
        <v>88</v>
      </c>
      <c r="F6014" s="16" t="s">
        <v>83</v>
      </c>
      <c r="G6014" s="22">
        <v>384</v>
      </c>
      <c r="H6014" s="18">
        <v>143.69999999999999</v>
      </c>
      <c r="I6014" s="18">
        <v>0.37421874999999999</v>
      </c>
      <c r="J6014" s="18">
        <v>0.38</v>
      </c>
      <c r="K6014" s="18">
        <v>0.37</v>
      </c>
      <c r="L6014" s="22">
        <v>9</v>
      </c>
    </row>
    <row r="6015" spans="1:12">
      <c r="A6015">
        <v>7</v>
      </c>
      <c r="B6015" s="16" t="s">
        <v>62</v>
      </c>
      <c r="C6015" s="9">
        <v>45839</v>
      </c>
      <c r="D6015">
        <v>5</v>
      </c>
      <c r="E6015" s="16" t="s">
        <v>88</v>
      </c>
      <c r="F6015" s="16" t="s">
        <v>83</v>
      </c>
      <c r="G6015" s="22">
        <v>426</v>
      </c>
      <c r="H6015" s="18">
        <v>164.4</v>
      </c>
      <c r="I6015" s="18">
        <v>0.385915493</v>
      </c>
      <c r="J6015" s="18">
        <v>0.39</v>
      </c>
      <c r="K6015" s="18">
        <v>0.37</v>
      </c>
      <c r="L6015" s="22">
        <v>9</v>
      </c>
    </row>
    <row r="6016" spans="1:12">
      <c r="A6016">
        <v>7</v>
      </c>
      <c r="B6016" s="16" t="s">
        <v>62</v>
      </c>
      <c r="C6016" s="9">
        <v>45870</v>
      </c>
      <c r="D6016">
        <v>5</v>
      </c>
      <c r="E6016" s="16" t="s">
        <v>88</v>
      </c>
      <c r="F6016" s="16" t="s">
        <v>83</v>
      </c>
      <c r="G6016" s="22">
        <v>372</v>
      </c>
      <c r="H6016" s="18">
        <v>146.52000000000001</v>
      </c>
      <c r="I6016" s="18">
        <v>0.39387096799999999</v>
      </c>
      <c r="J6016" s="18">
        <v>0.4</v>
      </c>
      <c r="K6016" s="18">
        <v>0.39</v>
      </c>
      <c r="L6016" s="22">
        <v>8</v>
      </c>
    </row>
    <row r="6017" spans="1:12">
      <c r="A6017">
        <v>7</v>
      </c>
      <c r="B6017" s="16" t="s">
        <v>62</v>
      </c>
      <c r="C6017" s="9">
        <v>45901</v>
      </c>
      <c r="D6017">
        <v>5</v>
      </c>
      <c r="E6017" s="16" t="s">
        <v>88</v>
      </c>
      <c r="F6017" s="16" t="s">
        <v>83</v>
      </c>
      <c r="G6017" s="22">
        <v>426</v>
      </c>
      <c r="H6017" s="18">
        <v>167.7</v>
      </c>
      <c r="I6017" s="18">
        <v>0.39366197200000003</v>
      </c>
      <c r="J6017" s="18">
        <v>0.4</v>
      </c>
      <c r="K6017" s="18">
        <v>0.39</v>
      </c>
      <c r="L6017" s="22">
        <v>9</v>
      </c>
    </row>
    <row r="6018" spans="1:12">
      <c r="A6018">
        <v>7</v>
      </c>
      <c r="B6018" s="16" t="s">
        <v>62</v>
      </c>
      <c r="C6018" s="9">
        <v>45931</v>
      </c>
      <c r="D6018">
        <v>5</v>
      </c>
      <c r="E6018" s="16" t="s">
        <v>88</v>
      </c>
      <c r="F6018" s="16" t="s">
        <v>83</v>
      </c>
      <c r="G6018" s="22">
        <v>468</v>
      </c>
      <c r="H6018" s="18">
        <v>179.7</v>
      </c>
      <c r="I6018" s="18">
        <v>0.38397435899999999</v>
      </c>
      <c r="J6018" s="18">
        <v>0.4</v>
      </c>
      <c r="K6018" s="18">
        <v>0.37</v>
      </c>
      <c r="L6018" s="22">
        <v>9</v>
      </c>
    </row>
    <row r="6019" spans="1:12">
      <c r="A6019">
        <v>7</v>
      </c>
      <c r="B6019" s="16" t="s">
        <v>62</v>
      </c>
      <c r="C6019" s="9">
        <v>45962</v>
      </c>
      <c r="D6019">
        <v>5</v>
      </c>
      <c r="E6019" s="16" t="s">
        <v>88</v>
      </c>
      <c r="F6019" s="16" t="s">
        <v>83</v>
      </c>
      <c r="G6019" s="22">
        <v>342</v>
      </c>
      <c r="H6019" s="18">
        <v>132.18</v>
      </c>
      <c r="I6019" s="18">
        <v>0.38649122800000002</v>
      </c>
      <c r="J6019" s="18">
        <v>0.39</v>
      </c>
      <c r="K6019" s="18">
        <v>0.38</v>
      </c>
      <c r="L6019" s="22">
        <v>8</v>
      </c>
    </row>
    <row r="6020" spans="1:12">
      <c r="A6020">
        <v>7</v>
      </c>
      <c r="B6020" s="16" t="s">
        <v>62</v>
      </c>
      <c r="C6020" s="9">
        <v>45992</v>
      </c>
      <c r="D6020">
        <v>5</v>
      </c>
      <c r="E6020" s="16" t="s">
        <v>88</v>
      </c>
      <c r="F6020" s="16" t="s">
        <v>83</v>
      </c>
      <c r="G6020" s="22">
        <v>390</v>
      </c>
      <c r="H6020" s="18">
        <v>151.19999999999999</v>
      </c>
      <c r="I6020" s="18">
        <v>0.38769230799999999</v>
      </c>
      <c r="J6020" s="18">
        <v>0.41</v>
      </c>
      <c r="K6020" s="18">
        <v>0.38</v>
      </c>
      <c r="L6020" s="22">
        <v>9</v>
      </c>
    </row>
    <row r="6021" spans="1:12">
      <c r="A6021">
        <v>7</v>
      </c>
      <c r="B6021" s="16" t="s">
        <v>62</v>
      </c>
      <c r="C6021" s="9">
        <v>46023</v>
      </c>
      <c r="D6021">
        <v>5</v>
      </c>
      <c r="E6021" s="16" t="s">
        <v>88</v>
      </c>
      <c r="F6021" s="16" t="s">
        <v>83</v>
      </c>
      <c r="G6021" s="22">
        <v>396</v>
      </c>
      <c r="H6021" s="18">
        <v>152.82</v>
      </c>
      <c r="I6021" s="18">
        <v>0.38590909099999998</v>
      </c>
      <c r="J6021" s="18">
        <v>0.39</v>
      </c>
      <c r="K6021" s="18">
        <v>0.38</v>
      </c>
      <c r="L6021" s="22">
        <v>9</v>
      </c>
    </row>
    <row r="6022" spans="1:12">
      <c r="A6022">
        <v>7</v>
      </c>
      <c r="B6022" s="16" t="s">
        <v>62</v>
      </c>
      <c r="C6022" s="9">
        <v>46054</v>
      </c>
      <c r="D6022">
        <v>5</v>
      </c>
      <c r="E6022" s="16" t="s">
        <v>88</v>
      </c>
      <c r="F6022" s="16" t="s">
        <v>83</v>
      </c>
      <c r="G6022" s="22">
        <v>372</v>
      </c>
      <c r="H6022" s="18">
        <v>143.76</v>
      </c>
      <c r="I6022" s="18">
        <v>0.38645161300000003</v>
      </c>
      <c r="J6022" s="18">
        <v>0.39</v>
      </c>
      <c r="K6022" s="18">
        <v>0.37</v>
      </c>
      <c r="L6022" s="22">
        <v>8</v>
      </c>
    </row>
    <row r="6023" spans="1:12">
      <c r="A6023">
        <v>7</v>
      </c>
      <c r="B6023" s="16" t="s">
        <v>62</v>
      </c>
      <c r="C6023" s="9">
        <v>46082</v>
      </c>
      <c r="D6023">
        <v>5</v>
      </c>
      <c r="E6023" s="16" t="s">
        <v>88</v>
      </c>
      <c r="F6023" s="16" t="s">
        <v>83</v>
      </c>
      <c r="G6023" s="22">
        <v>432</v>
      </c>
      <c r="H6023" s="18">
        <v>168.84</v>
      </c>
      <c r="I6023" s="18">
        <v>0.390833333</v>
      </c>
      <c r="J6023" s="18">
        <v>0.42</v>
      </c>
      <c r="K6023" s="18">
        <v>0.38</v>
      </c>
      <c r="L6023" s="22">
        <v>9</v>
      </c>
    </row>
    <row r="6024" spans="1:12">
      <c r="A6024">
        <v>7</v>
      </c>
      <c r="B6024" s="16" t="s">
        <v>62</v>
      </c>
      <c r="C6024" s="9">
        <v>46113</v>
      </c>
      <c r="D6024">
        <v>5</v>
      </c>
      <c r="E6024" s="16" t="s">
        <v>88</v>
      </c>
      <c r="F6024" s="16" t="s">
        <v>83</v>
      </c>
      <c r="G6024" s="22">
        <v>474</v>
      </c>
      <c r="H6024" s="18">
        <v>183</v>
      </c>
      <c r="I6024" s="18">
        <v>0.38607594899999997</v>
      </c>
      <c r="J6024" s="18">
        <v>0.39</v>
      </c>
      <c r="K6024" s="18">
        <v>0.38</v>
      </c>
      <c r="L6024" s="22">
        <v>9</v>
      </c>
    </row>
    <row r="6025" spans="1:12">
      <c r="A6025">
        <v>7</v>
      </c>
      <c r="B6025" s="16" t="s">
        <v>62</v>
      </c>
      <c r="C6025" s="9">
        <v>46143</v>
      </c>
      <c r="D6025">
        <v>5</v>
      </c>
      <c r="E6025" s="16" t="s">
        <v>88</v>
      </c>
      <c r="F6025" s="16" t="s">
        <v>83</v>
      </c>
      <c r="G6025" s="22">
        <v>474</v>
      </c>
      <c r="H6025" s="18">
        <v>184.14</v>
      </c>
      <c r="I6025" s="18">
        <v>0.38848101299999999</v>
      </c>
      <c r="J6025" s="18">
        <v>0.39</v>
      </c>
      <c r="K6025" s="18">
        <v>0.38</v>
      </c>
      <c r="L6025" s="22">
        <v>8</v>
      </c>
    </row>
    <row r="6026" spans="1:12">
      <c r="A6026">
        <v>7</v>
      </c>
      <c r="B6026" s="16" t="s">
        <v>62</v>
      </c>
      <c r="C6026" s="9">
        <v>46174</v>
      </c>
      <c r="D6026">
        <v>5</v>
      </c>
      <c r="E6026" s="16" t="s">
        <v>88</v>
      </c>
      <c r="F6026" s="16" t="s">
        <v>83</v>
      </c>
      <c r="G6026" s="22">
        <v>492</v>
      </c>
      <c r="H6026" s="18">
        <v>192</v>
      </c>
      <c r="I6026" s="18">
        <v>0.39024390199999998</v>
      </c>
      <c r="J6026" s="18">
        <v>0.4</v>
      </c>
      <c r="K6026" s="18">
        <v>0.38</v>
      </c>
      <c r="L6026" s="22">
        <v>9</v>
      </c>
    </row>
    <row r="6027" spans="1:12">
      <c r="A6027">
        <v>7</v>
      </c>
      <c r="B6027" s="16" t="s">
        <v>62</v>
      </c>
      <c r="C6027" s="9">
        <v>46204</v>
      </c>
      <c r="D6027">
        <v>5</v>
      </c>
      <c r="E6027" s="16" t="s">
        <v>88</v>
      </c>
      <c r="F6027" s="16" t="s">
        <v>83</v>
      </c>
      <c r="G6027" s="22">
        <v>468</v>
      </c>
      <c r="H6027" s="18">
        <v>182.4</v>
      </c>
      <c r="I6027" s="18">
        <v>0.38974358999999997</v>
      </c>
      <c r="J6027" s="18">
        <v>0.4</v>
      </c>
      <c r="K6027" s="18">
        <v>0.38</v>
      </c>
      <c r="L6027" s="22">
        <v>9</v>
      </c>
    </row>
    <row r="6028" spans="1:12">
      <c r="A6028">
        <v>7</v>
      </c>
      <c r="B6028" s="16" t="s">
        <v>62</v>
      </c>
      <c r="C6028" s="9">
        <v>46235</v>
      </c>
      <c r="D6028">
        <v>5</v>
      </c>
      <c r="E6028" s="16" t="s">
        <v>88</v>
      </c>
      <c r="F6028" s="16" t="s">
        <v>83</v>
      </c>
      <c r="G6028" s="22">
        <v>528</v>
      </c>
      <c r="H6028" s="18">
        <v>208.68</v>
      </c>
      <c r="I6028" s="18">
        <v>0.39522727299999999</v>
      </c>
      <c r="J6028" s="18">
        <v>0.41</v>
      </c>
      <c r="K6028" s="18">
        <v>0.39</v>
      </c>
      <c r="L6028" s="22">
        <v>9</v>
      </c>
    </row>
    <row r="6029" spans="1:12">
      <c r="A6029">
        <v>7</v>
      </c>
      <c r="B6029" s="16" t="s">
        <v>62</v>
      </c>
      <c r="C6029" s="9">
        <v>46266</v>
      </c>
      <c r="D6029">
        <v>5</v>
      </c>
      <c r="E6029" s="16" t="s">
        <v>88</v>
      </c>
      <c r="F6029" s="16" t="s">
        <v>83</v>
      </c>
      <c r="G6029" s="22">
        <v>474</v>
      </c>
      <c r="H6029" s="18">
        <v>186.18</v>
      </c>
      <c r="I6029" s="18">
        <v>0.39278480999999998</v>
      </c>
      <c r="J6029" s="18">
        <v>0.41</v>
      </c>
      <c r="K6029" s="18">
        <v>0.38</v>
      </c>
      <c r="L6029" s="22">
        <v>8</v>
      </c>
    </row>
    <row r="6030" spans="1:12">
      <c r="A6030">
        <v>7</v>
      </c>
      <c r="B6030" s="16" t="s">
        <v>62</v>
      </c>
      <c r="C6030" s="9">
        <v>45689</v>
      </c>
      <c r="D6030">
        <v>6</v>
      </c>
      <c r="E6030" s="16" t="s">
        <v>89</v>
      </c>
      <c r="F6030" s="16" t="s">
        <v>90</v>
      </c>
      <c r="G6030" s="22">
        <v>18</v>
      </c>
      <c r="H6030" s="18">
        <v>448.8</v>
      </c>
      <c r="I6030" s="18">
        <v>24.933333333</v>
      </c>
      <c r="J6030" s="18">
        <v>25.15</v>
      </c>
      <c r="K6030" s="18">
        <v>24.76</v>
      </c>
      <c r="L6030" s="22">
        <v>2</v>
      </c>
    </row>
    <row r="6031" spans="1:12">
      <c r="A6031">
        <v>7</v>
      </c>
      <c r="B6031" s="16" t="s">
        <v>62</v>
      </c>
      <c r="C6031" s="9">
        <v>45717</v>
      </c>
      <c r="D6031">
        <v>6</v>
      </c>
      <c r="E6031" s="16" t="s">
        <v>89</v>
      </c>
      <c r="F6031" s="16" t="s">
        <v>90</v>
      </c>
      <c r="G6031" s="22">
        <v>20</v>
      </c>
      <c r="H6031" s="18">
        <v>506.1</v>
      </c>
      <c r="I6031" s="18">
        <v>25.305</v>
      </c>
      <c r="J6031" s="18">
        <v>25.67</v>
      </c>
      <c r="K6031" s="18">
        <v>24.94</v>
      </c>
      <c r="L6031" s="22">
        <v>2</v>
      </c>
    </row>
    <row r="6032" spans="1:12">
      <c r="A6032">
        <v>7</v>
      </c>
      <c r="B6032" s="16" t="s">
        <v>62</v>
      </c>
      <c r="C6032" s="9">
        <v>45748</v>
      </c>
      <c r="D6032">
        <v>6</v>
      </c>
      <c r="E6032" s="16" t="s">
        <v>89</v>
      </c>
      <c r="F6032" s="16" t="s">
        <v>90</v>
      </c>
      <c r="G6032" s="22">
        <v>20</v>
      </c>
      <c r="H6032" s="18">
        <v>507.5</v>
      </c>
      <c r="I6032" s="18">
        <v>25.375</v>
      </c>
      <c r="J6032" s="18">
        <v>25.61</v>
      </c>
      <c r="K6032" s="18">
        <v>25.14</v>
      </c>
      <c r="L6032" s="22">
        <v>2</v>
      </c>
    </row>
    <row r="6033" spans="1:12">
      <c r="A6033">
        <v>7</v>
      </c>
      <c r="B6033" s="16" t="s">
        <v>62</v>
      </c>
      <c r="C6033" s="9">
        <v>45778</v>
      </c>
      <c r="D6033">
        <v>6</v>
      </c>
      <c r="E6033" s="16" t="s">
        <v>89</v>
      </c>
      <c r="F6033" s="16" t="s">
        <v>90</v>
      </c>
      <c r="G6033" s="22">
        <v>18</v>
      </c>
      <c r="H6033" s="18">
        <v>461.42</v>
      </c>
      <c r="I6033" s="18">
        <v>25.634444444</v>
      </c>
      <c r="J6033" s="18">
        <v>25.79</v>
      </c>
      <c r="K6033" s="18">
        <v>25.44</v>
      </c>
      <c r="L6033" s="22">
        <v>2</v>
      </c>
    </row>
    <row r="6034" spans="1:12">
      <c r="A6034">
        <v>7</v>
      </c>
      <c r="B6034" s="16" t="s">
        <v>62</v>
      </c>
      <c r="C6034" s="9">
        <v>45809</v>
      </c>
      <c r="D6034">
        <v>6</v>
      </c>
      <c r="E6034" s="16" t="s">
        <v>89</v>
      </c>
      <c r="F6034" s="16" t="s">
        <v>90</v>
      </c>
      <c r="G6034" s="22">
        <v>14</v>
      </c>
      <c r="H6034" s="18">
        <v>353.98</v>
      </c>
      <c r="I6034" s="18">
        <v>25.284285713999999</v>
      </c>
      <c r="J6034" s="18">
        <v>25.57</v>
      </c>
      <c r="K6034" s="18">
        <v>25.07</v>
      </c>
      <c r="L6034" s="22">
        <v>2</v>
      </c>
    </row>
    <row r="6035" spans="1:12">
      <c r="A6035">
        <v>7</v>
      </c>
      <c r="B6035" s="16" t="s">
        <v>62</v>
      </c>
      <c r="C6035" s="9">
        <v>45839</v>
      </c>
      <c r="D6035">
        <v>6</v>
      </c>
      <c r="E6035" s="16" t="s">
        <v>89</v>
      </c>
      <c r="F6035" s="16" t="s">
        <v>90</v>
      </c>
      <c r="G6035" s="22">
        <v>22</v>
      </c>
      <c r="H6035" s="18">
        <v>554.54</v>
      </c>
      <c r="I6035" s="18">
        <v>25.206363635999999</v>
      </c>
      <c r="J6035" s="18">
        <v>25.29</v>
      </c>
      <c r="K6035" s="18">
        <v>25.13</v>
      </c>
      <c r="L6035" s="22">
        <v>3</v>
      </c>
    </row>
    <row r="6036" spans="1:12">
      <c r="A6036">
        <v>7</v>
      </c>
      <c r="B6036" s="16" t="s">
        <v>62</v>
      </c>
      <c r="C6036" s="9">
        <v>45870</v>
      </c>
      <c r="D6036">
        <v>6</v>
      </c>
      <c r="E6036" s="16" t="s">
        <v>89</v>
      </c>
      <c r="F6036" s="16" t="s">
        <v>90</v>
      </c>
      <c r="G6036" s="22">
        <v>16</v>
      </c>
      <c r="H6036" s="18">
        <v>396.88</v>
      </c>
      <c r="I6036" s="18">
        <v>24.805</v>
      </c>
      <c r="J6036" s="18">
        <v>24.86</v>
      </c>
      <c r="K6036" s="18">
        <v>24.75</v>
      </c>
      <c r="L6036" s="22">
        <v>2</v>
      </c>
    </row>
    <row r="6037" spans="1:12">
      <c r="A6037">
        <v>7</v>
      </c>
      <c r="B6037" s="16" t="s">
        <v>62</v>
      </c>
      <c r="C6037" s="9">
        <v>45901</v>
      </c>
      <c r="D6037">
        <v>6</v>
      </c>
      <c r="E6037" s="16" t="s">
        <v>89</v>
      </c>
      <c r="F6037" s="16" t="s">
        <v>90</v>
      </c>
      <c r="G6037" s="22">
        <v>18</v>
      </c>
      <c r="H6037" s="18">
        <v>450.16</v>
      </c>
      <c r="I6037" s="18">
        <v>25.008888889000001</v>
      </c>
      <c r="J6037" s="18">
        <v>25.16</v>
      </c>
      <c r="K6037" s="18">
        <v>24.82</v>
      </c>
      <c r="L6037" s="22">
        <v>2</v>
      </c>
    </row>
    <row r="6038" spans="1:12">
      <c r="A6038">
        <v>7</v>
      </c>
      <c r="B6038" s="16" t="s">
        <v>62</v>
      </c>
      <c r="C6038" s="9">
        <v>45931</v>
      </c>
      <c r="D6038">
        <v>6</v>
      </c>
      <c r="E6038" s="16" t="s">
        <v>89</v>
      </c>
      <c r="F6038" s="16" t="s">
        <v>90</v>
      </c>
      <c r="G6038" s="22">
        <v>20</v>
      </c>
      <c r="H6038" s="18">
        <v>520.20000000000005</v>
      </c>
      <c r="I6038" s="18">
        <v>26.01</v>
      </c>
      <c r="J6038" s="18">
        <v>26.93</v>
      </c>
      <c r="K6038" s="18">
        <v>25.09</v>
      </c>
      <c r="L6038" s="22">
        <v>2</v>
      </c>
    </row>
    <row r="6039" spans="1:12">
      <c r="A6039">
        <v>7</v>
      </c>
      <c r="B6039" s="16" t="s">
        <v>62</v>
      </c>
      <c r="C6039" s="9">
        <v>45962</v>
      </c>
      <c r="D6039">
        <v>6</v>
      </c>
      <c r="E6039" s="16" t="s">
        <v>89</v>
      </c>
      <c r="F6039" s="16" t="s">
        <v>90</v>
      </c>
      <c r="G6039" s="22">
        <v>18</v>
      </c>
      <c r="H6039" s="18">
        <v>453.86</v>
      </c>
      <c r="I6039" s="18">
        <v>25.214444444000002</v>
      </c>
      <c r="J6039" s="18">
        <v>25.37</v>
      </c>
      <c r="K6039" s="18">
        <v>25.09</v>
      </c>
      <c r="L6039" s="22">
        <v>2</v>
      </c>
    </row>
    <row r="6040" spans="1:12">
      <c r="A6040">
        <v>7</v>
      </c>
      <c r="B6040" s="16" t="s">
        <v>62</v>
      </c>
      <c r="C6040" s="9">
        <v>45992</v>
      </c>
      <c r="D6040">
        <v>6</v>
      </c>
      <c r="E6040" s="16" t="s">
        <v>89</v>
      </c>
      <c r="F6040" s="16" t="s">
        <v>90</v>
      </c>
      <c r="G6040" s="22">
        <v>18</v>
      </c>
      <c r="H6040" s="18">
        <v>461.12</v>
      </c>
      <c r="I6040" s="18">
        <v>25.617777778000001</v>
      </c>
      <c r="J6040" s="18">
        <v>26.19</v>
      </c>
      <c r="K6040" s="18">
        <v>25.16</v>
      </c>
      <c r="L6040" s="22">
        <v>2</v>
      </c>
    </row>
    <row r="6041" spans="1:12">
      <c r="A6041">
        <v>7</v>
      </c>
      <c r="B6041" s="16" t="s">
        <v>62</v>
      </c>
      <c r="C6041" s="9">
        <v>46023</v>
      </c>
      <c r="D6041">
        <v>6</v>
      </c>
      <c r="E6041" s="16" t="s">
        <v>89</v>
      </c>
      <c r="F6041" s="16" t="s">
        <v>90</v>
      </c>
      <c r="G6041" s="22">
        <v>26</v>
      </c>
      <c r="H6041" s="18">
        <v>650.54</v>
      </c>
      <c r="I6041" s="18">
        <v>25.020769230999999</v>
      </c>
      <c r="J6041" s="18">
        <v>25.13</v>
      </c>
      <c r="K6041" s="18">
        <v>24.87</v>
      </c>
      <c r="L6041" s="22">
        <v>3</v>
      </c>
    </row>
    <row r="6042" spans="1:12">
      <c r="A6042">
        <v>7</v>
      </c>
      <c r="B6042" s="16" t="s">
        <v>62</v>
      </c>
      <c r="C6042" s="9">
        <v>46054</v>
      </c>
      <c r="D6042">
        <v>6</v>
      </c>
      <c r="E6042" s="16" t="s">
        <v>89</v>
      </c>
      <c r="F6042" s="16" t="s">
        <v>90</v>
      </c>
      <c r="G6042" s="22">
        <v>22</v>
      </c>
      <c r="H6042" s="18">
        <v>560.6</v>
      </c>
      <c r="I6042" s="18">
        <v>25.481818182000001</v>
      </c>
      <c r="J6042" s="18">
        <v>25.85</v>
      </c>
      <c r="K6042" s="18">
        <v>25.04</v>
      </c>
      <c r="L6042" s="22">
        <v>2</v>
      </c>
    </row>
    <row r="6043" spans="1:12">
      <c r="A6043">
        <v>7</v>
      </c>
      <c r="B6043" s="16" t="s">
        <v>62</v>
      </c>
      <c r="C6043" s="9">
        <v>46082</v>
      </c>
      <c r="D6043">
        <v>6</v>
      </c>
      <c r="E6043" s="16" t="s">
        <v>89</v>
      </c>
      <c r="F6043" s="16" t="s">
        <v>90</v>
      </c>
      <c r="G6043" s="22">
        <v>22</v>
      </c>
      <c r="H6043" s="18">
        <v>558.08000000000004</v>
      </c>
      <c r="I6043" s="18">
        <v>25.367272727</v>
      </c>
      <c r="J6043" s="18">
        <v>25.44</v>
      </c>
      <c r="K6043" s="18">
        <v>25.28</v>
      </c>
      <c r="L6043" s="22">
        <v>2</v>
      </c>
    </row>
    <row r="6044" spans="1:12">
      <c r="A6044">
        <v>7</v>
      </c>
      <c r="B6044" s="16" t="s">
        <v>62</v>
      </c>
      <c r="C6044" s="9">
        <v>46113</v>
      </c>
      <c r="D6044">
        <v>6</v>
      </c>
      <c r="E6044" s="16" t="s">
        <v>89</v>
      </c>
      <c r="F6044" s="16" t="s">
        <v>90</v>
      </c>
      <c r="G6044" s="22">
        <v>20</v>
      </c>
      <c r="H6044" s="18">
        <v>503.8</v>
      </c>
      <c r="I6044" s="18">
        <v>25.19</v>
      </c>
      <c r="J6044" s="18">
        <v>25.33</v>
      </c>
      <c r="K6044" s="18">
        <v>25.05</v>
      </c>
      <c r="L6044" s="22">
        <v>2</v>
      </c>
    </row>
    <row r="6045" spans="1:12">
      <c r="A6045">
        <v>7</v>
      </c>
      <c r="B6045" s="16" t="s">
        <v>62</v>
      </c>
      <c r="C6045" s="9">
        <v>46143</v>
      </c>
      <c r="D6045">
        <v>6</v>
      </c>
      <c r="E6045" s="16" t="s">
        <v>89</v>
      </c>
      <c r="F6045" s="16" t="s">
        <v>90</v>
      </c>
      <c r="G6045" s="22">
        <v>20</v>
      </c>
      <c r="H6045" s="18">
        <v>510.1</v>
      </c>
      <c r="I6045" s="18">
        <v>25.504999999999999</v>
      </c>
      <c r="J6045" s="18">
        <v>25.61</v>
      </c>
      <c r="K6045" s="18">
        <v>25.4</v>
      </c>
      <c r="L6045" s="22">
        <v>2</v>
      </c>
    </row>
    <row r="6046" spans="1:12">
      <c r="A6046">
        <v>7</v>
      </c>
      <c r="B6046" s="16" t="s">
        <v>62</v>
      </c>
      <c r="C6046" s="9">
        <v>46174</v>
      </c>
      <c r="D6046">
        <v>6</v>
      </c>
      <c r="E6046" s="16" t="s">
        <v>89</v>
      </c>
      <c r="F6046" s="16" t="s">
        <v>90</v>
      </c>
      <c r="G6046" s="22">
        <v>16</v>
      </c>
      <c r="H6046" s="18">
        <v>406.88</v>
      </c>
      <c r="I6046" s="18">
        <v>25.43</v>
      </c>
      <c r="J6046" s="18">
        <v>25.59</v>
      </c>
      <c r="K6046" s="18">
        <v>25.27</v>
      </c>
      <c r="L6046" s="22">
        <v>2</v>
      </c>
    </row>
    <row r="6047" spans="1:12">
      <c r="A6047">
        <v>7</v>
      </c>
      <c r="B6047" s="16" t="s">
        <v>62</v>
      </c>
      <c r="C6047" s="9">
        <v>46204</v>
      </c>
      <c r="D6047">
        <v>6</v>
      </c>
      <c r="E6047" s="16" t="s">
        <v>89</v>
      </c>
      <c r="F6047" s="16" t="s">
        <v>90</v>
      </c>
      <c r="G6047" s="22">
        <v>26</v>
      </c>
      <c r="H6047" s="18">
        <v>658.16</v>
      </c>
      <c r="I6047" s="18">
        <v>25.313846154</v>
      </c>
      <c r="J6047" s="18">
        <v>25.48</v>
      </c>
      <c r="K6047" s="18">
        <v>25.06</v>
      </c>
      <c r="L6047" s="22">
        <v>3</v>
      </c>
    </row>
    <row r="6048" spans="1:12">
      <c r="A6048">
        <v>7</v>
      </c>
      <c r="B6048" s="16" t="s">
        <v>62</v>
      </c>
      <c r="C6048" s="9">
        <v>46235</v>
      </c>
      <c r="D6048">
        <v>6</v>
      </c>
      <c r="E6048" s="16" t="s">
        <v>89</v>
      </c>
      <c r="F6048" s="16" t="s">
        <v>90</v>
      </c>
      <c r="G6048" s="22">
        <v>18</v>
      </c>
      <c r="H6048" s="18">
        <v>455.64</v>
      </c>
      <c r="I6048" s="18">
        <v>25.313333332999999</v>
      </c>
      <c r="J6048" s="18">
        <v>25.54</v>
      </c>
      <c r="K6048" s="18">
        <v>25.03</v>
      </c>
      <c r="L6048" s="22">
        <v>2</v>
      </c>
    </row>
    <row r="6049" spans="1:12">
      <c r="A6049">
        <v>7</v>
      </c>
      <c r="B6049" s="16" t="s">
        <v>62</v>
      </c>
      <c r="C6049" s="9">
        <v>46266</v>
      </c>
      <c r="D6049">
        <v>6</v>
      </c>
      <c r="E6049" s="16" t="s">
        <v>89</v>
      </c>
      <c r="F6049" s="16" t="s">
        <v>90</v>
      </c>
      <c r="G6049" s="22">
        <v>20</v>
      </c>
      <c r="H6049" s="18">
        <v>515.52</v>
      </c>
      <c r="I6049" s="18">
        <v>25.776</v>
      </c>
      <c r="J6049" s="18">
        <v>26.08</v>
      </c>
      <c r="K6049" s="18">
        <v>25.32</v>
      </c>
      <c r="L6049" s="22">
        <v>2</v>
      </c>
    </row>
    <row r="6050" spans="1:12">
      <c r="A6050">
        <v>7</v>
      </c>
      <c r="B6050" s="16" t="s">
        <v>62</v>
      </c>
      <c r="C6050" s="9">
        <v>45689</v>
      </c>
      <c r="D6050">
        <v>7</v>
      </c>
      <c r="E6050" s="16" t="s">
        <v>91</v>
      </c>
      <c r="F6050" s="16" t="s">
        <v>92</v>
      </c>
      <c r="G6050" s="22">
        <v>116</v>
      </c>
      <c r="H6050" s="18">
        <v>83.92</v>
      </c>
      <c r="I6050" s="18">
        <v>0.72344827599999995</v>
      </c>
      <c r="J6050" s="18">
        <v>0.73</v>
      </c>
      <c r="K6050" s="18">
        <v>0.71</v>
      </c>
      <c r="L6050" s="22">
        <v>8</v>
      </c>
    </row>
    <row r="6051" spans="1:12">
      <c r="A6051">
        <v>7</v>
      </c>
      <c r="B6051" s="16" t="s">
        <v>62</v>
      </c>
      <c r="C6051" s="9">
        <v>45717</v>
      </c>
      <c r="D6051">
        <v>7</v>
      </c>
      <c r="E6051" s="16" t="s">
        <v>91</v>
      </c>
      <c r="F6051" s="16" t="s">
        <v>92</v>
      </c>
      <c r="G6051" s="22">
        <v>138</v>
      </c>
      <c r="H6051" s="18">
        <v>95.36</v>
      </c>
      <c r="I6051" s="18">
        <v>0.69101449299999995</v>
      </c>
      <c r="J6051" s="18">
        <v>0.7</v>
      </c>
      <c r="K6051" s="18">
        <v>0.68</v>
      </c>
      <c r="L6051" s="22">
        <v>8</v>
      </c>
    </row>
    <row r="6052" spans="1:12">
      <c r="A6052">
        <v>7</v>
      </c>
      <c r="B6052" s="16" t="s">
        <v>62</v>
      </c>
      <c r="C6052" s="9">
        <v>45748</v>
      </c>
      <c r="D6052">
        <v>7</v>
      </c>
      <c r="E6052" s="16" t="s">
        <v>91</v>
      </c>
      <c r="F6052" s="16" t="s">
        <v>92</v>
      </c>
      <c r="G6052" s="22">
        <v>168</v>
      </c>
      <c r="H6052" s="18">
        <v>110.74</v>
      </c>
      <c r="I6052" s="18">
        <v>0.65916666700000004</v>
      </c>
      <c r="J6052" s="18">
        <v>0.68</v>
      </c>
      <c r="K6052" s="18">
        <v>0.64</v>
      </c>
      <c r="L6052" s="22">
        <v>9</v>
      </c>
    </row>
    <row r="6053" spans="1:12">
      <c r="A6053">
        <v>7</v>
      </c>
      <c r="B6053" s="16" t="s">
        <v>62</v>
      </c>
      <c r="C6053" s="9">
        <v>45778</v>
      </c>
      <c r="D6053">
        <v>7</v>
      </c>
      <c r="E6053" s="16" t="s">
        <v>91</v>
      </c>
      <c r="F6053" s="16" t="s">
        <v>92</v>
      </c>
      <c r="G6053" s="22">
        <v>184</v>
      </c>
      <c r="H6053" s="18">
        <v>114.66</v>
      </c>
      <c r="I6053" s="18">
        <v>0.623152174</v>
      </c>
      <c r="J6053" s="18">
        <v>0.65</v>
      </c>
      <c r="K6053" s="18">
        <v>0.61</v>
      </c>
      <c r="L6053" s="22">
        <v>9</v>
      </c>
    </row>
    <row r="6054" spans="1:12">
      <c r="A6054">
        <v>7</v>
      </c>
      <c r="B6054" s="16" t="s">
        <v>62</v>
      </c>
      <c r="C6054" s="9">
        <v>45809</v>
      </c>
      <c r="D6054">
        <v>7</v>
      </c>
      <c r="E6054" s="16" t="s">
        <v>91</v>
      </c>
      <c r="F6054" s="16" t="s">
        <v>92</v>
      </c>
      <c r="G6054" s="22">
        <v>160</v>
      </c>
      <c r="H6054" s="18">
        <v>96.18</v>
      </c>
      <c r="I6054" s="18">
        <v>0.60112500000000002</v>
      </c>
      <c r="J6054" s="18">
        <v>0.61</v>
      </c>
      <c r="K6054" s="18">
        <v>0.59</v>
      </c>
      <c r="L6054" s="22">
        <v>8</v>
      </c>
    </row>
    <row r="6055" spans="1:12">
      <c r="A6055">
        <v>7</v>
      </c>
      <c r="B6055" s="16" t="s">
        <v>62</v>
      </c>
      <c r="C6055" s="9">
        <v>45839</v>
      </c>
      <c r="D6055">
        <v>7</v>
      </c>
      <c r="E6055" s="16" t="s">
        <v>91</v>
      </c>
      <c r="F6055" s="16" t="s">
        <v>92</v>
      </c>
      <c r="G6055" s="22">
        <v>160</v>
      </c>
      <c r="H6055" s="18">
        <v>93.44</v>
      </c>
      <c r="I6055" s="18">
        <v>0.58399999999999996</v>
      </c>
      <c r="J6055" s="18">
        <v>0.6</v>
      </c>
      <c r="K6055" s="18">
        <v>0.56999999999999995</v>
      </c>
      <c r="L6055" s="22">
        <v>9</v>
      </c>
    </row>
    <row r="6056" spans="1:12">
      <c r="A6056">
        <v>7</v>
      </c>
      <c r="B6056" s="16" t="s">
        <v>62</v>
      </c>
      <c r="C6056" s="9">
        <v>45870</v>
      </c>
      <c r="D6056">
        <v>7</v>
      </c>
      <c r="E6056" s="16" t="s">
        <v>91</v>
      </c>
      <c r="F6056" s="16" t="s">
        <v>92</v>
      </c>
      <c r="G6056" s="22">
        <v>198</v>
      </c>
      <c r="H6056" s="18">
        <v>118.38</v>
      </c>
      <c r="I6056" s="18">
        <v>0.59787878800000005</v>
      </c>
      <c r="J6056" s="18">
        <v>0.62</v>
      </c>
      <c r="K6056" s="18">
        <v>0.57999999999999996</v>
      </c>
      <c r="L6056" s="22">
        <v>9</v>
      </c>
    </row>
    <row r="6057" spans="1:12">
      <c r="A6057">
        <v>7</v>
      </c>
      <c r="B6057" s="16" t="s">
        <v>62</v>
      </c>
      <c r="C6057" s="9">
        <v>45901</v>
      </c>
      <c r="D6057">
        <v>7</v>
      </c>
      <c r="E6057" s="16" t="s">
        <v>91</v>
      </c>
      <c r="F6057" s="16" t="s">
        <v>92</v>
      </c>
      <c r="G6057" s="22">
        <v>176</v>
      </c>
      <c r="H6057" s="18">
        <v>110.54</v>
      </c>
      <c r="I6057" s="18">
        <v>0.62806818200000003</v>
      </c>
      <c r="J6057" s="18">
        <v>0.64</v>
      </c>
      <c r="K6057" s="18">
        <v>0.61</v>
      </c>
      <c r="L6057" s="22">
        <v>9</v>
      </c>
    </row>
    <row r="6058" spans="1:12">
      <c r="A6058">
        <v>7</v>
      </c>
      <c r="B6058" s="16" t="s">
        <v>62</v>
      </c>
      <c r="C6058" s="9">
        <v>45931</v>
      </c>
      <c r="D6058">
        <v>7</v>
      </c>
      <c r="E6058" s="16" t="s">
        <v>91</v>
      </c>
      <c r="F6058" s="16" t="s">
        <v>92</v>
      </c>
      <c r="G6058" s="22">
        <v>168</v>
      </c>
      <c r="H6058" s="18">
        <v>112.84</v>
      </c>
      <c r="I6058" s="18">
        <v>0.671666667</v>
      </c>
      <c r="J6058" s="18">
        <v>0.69</v>
      </c>
      <c r="K6058" s="18">
        <v>0.65</v>
      </c>
      <c r="L6058" s="22">
        <v>9</v>
      </c>
    </row>
    <row r="6059" spans="1:12">
      <c r="A6059">
        <v>7</v>
      </c>
      <c r="B6059" s="16" t="s">
        <v>62</v>
      </c>
      <c r="C6059" s="9">
        <v>45962</v>
      </c>
      <c r="D6059">
        <v>7</v>
      </c>
      <c r="E6059" s="16" t="s">
        <v>91</v>
      </c>
      <c r="F6059" s="16" t="s">
        <v>92</v>
      </c>
      <c r="G6059" s="22">
        <v>156</v>
      </c>
      <c r="H6059" s="18">
        <v>113.42</v>
      </c>
      <c r="I6059" s="18">
        <v>0.72705128200000002</v>
      </c>
      <c r="J6059" s="18">
        <v>0.78</v>
      </c>
      <c r="K6059" s="18">
        <v>0.72</v>
      </c>
      <c r="L6059" s="22">
        <v>8</v>
      </c>
    </row>
    <row r="6060" spans="1:12">
      <c r="A6060">
        <v>7</v>
      </c>
      <c r="B6060" s="16" t="s">
        <v>62</v>
      </c>
      <c r="C6060" s="9">
        <v>45992</v>
      </c>
      <c r="D6060">
        <v>7</v>
      </c>
      <c r="E6060" s="16" t="s">
        <v>91</v>
      </c>
      <c r="F6060" s="16" t="s">
        <v>92</v>
      </c>
      <c r="G6060" s="22">
        <v>160</v>
      </c>
      <c r="H6060" s="18">
        <v>120.88</v>
      </c>
      <c r="I6060" s="18">
        <v>0.75549999999999995</v>
      </c>
      <c r="J6060" s="18">
        <v>0.77</v>
      </c>
      <c r="K6060" s="18">
        <v>0.74</v>
      </c>
      <c r="L6060" s="22">
        <v>9</v>
      </c>
    </row>
    <row r="6061" spans="1:12">
      <c r="A6061">
        <v>7</v>
      </c>
      <c r="B6061" s="16" t="s">
        <v>62</v>
      </c>
      <c r="C6061" s="9">
        <v>46023</v>
      </c>
      <c r="D6061">
        <v>7</v>
      </c>
      <c r="E6061" s="16" t="s">
        <v>91</v>
      </c>
      <c r="F6061" s="16" t="s">
        <v>92</v>
      </c>
      <c r="G6061" s="22">
        <v>148</v>
      </c>
      <c r="H6061" s="18">
        <v>113.7</v>
      </c>
      <c r="I6061" s="18">
        <v>0.76824324300000002</v>
      </c>
      <c r="J6061" s="18">
        <v>0.79</v>
      </c>
      <c r="K6061" s="18">
        <v>0.74</v>
      </c>
      <c r="L6061" s="22">
        <v>9</v>
      </c>
    </row>
    <row r="6062" spans="1:12">
      <c r="A6062">
        <v>7</v>
      </c>
      <c r="B6062" s="16" t="s">
        <v>62</v>
      </c>
      <c r="C6062" s="9">
        <v>46054</v>
      </c>
      <c r="D6062">
        <v>7</v>
      </c>
      <c r="E6062" s="16" t="s">
        <v>91</v>
      </c>
      <c r="F6062" s="16" t="s">
        <v>92</v>
      </c>
      <c r="G6062" s="22">
        <v>150</v>
      </c>
      <c r="H6062" s="18">
        <v>114.08</v>
      </c>
      <c r="I6062" s="18">
        <v>0.76053333300000003</v>
      </c>
      <c r="J6062" s="18">
        <v>0.81</v>
      </c>
      <c r="K6062" s="18">
        <v>0.74</v>
      </c>
      <c r="L6062" s="22">
        <v>8</v>
      </c>
    </row>
    <row r="6063" spans="1:12">
      <c r="A6063">
        <v>7</v>
      </c>
      <c r="B6063" s="16" t="s">
        <v>62</v>
      </c>
      <c r="C6063" s="9">
        <v>46082</v>
      </c>
      <c r="D6063">
        <v>7</v>
      </c>
      <c r="E6063" s="16" t="s">
        <v>91</v>
      </c>
      <c r="F6063" s="16" t="s">
        <v>92</v>
      </c>
      <c r="G6063" s="22">
        <v>186</v>
      </c>
      <c r="H6063" s="18">
        <v>137.08000000000001</v>
      </c>
      <c r="I6063" s="18">
        <v>0.73698924700000001</v>
      </c>
      <c r="J6063" s="18">
        <v>0.75</v>
      </c>
      <c r="K6063" s="18">
        <v>0.72</v>
      </c>
      <c r="L6063" s="22">
        <v>9</v>
      </c>
    </row>
    <row r="6064" spans="1:12">
      <c r="A6064">
        <v>7</v>
      </c>
      <c r="B6064" s="16" t="s">
        <v>62</v>
      </c>
      <c r="C6064" s="9">
        <v>46113</v>
      </c>
      <c r="D6064">
        <v>7</v>
      </c>
      <c r="E6064" s="16" t="s">
        <v>91</v>
      </c>
      <c r="F6064" s="16" t="s">
        <v>92</v>
      </c>
      <c r="G6064" s="22">
        <v>180</v>
      </c>
      <c r="H6064" s="18">
        <v>124.66</v>
      </c>
      <c r="I6064" s="18">
        <v>0.69255555599999996</v>
      </c>
      <c r="J6064" s="18">
        <v>0.73</v>
      </c>
      <c r="K6064" s="18">
        <v>0.67</v>
      </c>
      <c r="L6064" s="22">
        <v>8</v>
      </c>
    </row>
    <row r="6065" spans="1:12">
      <c r="A6065">
        <v>7</v>
      </c>
      <c r="B6065" s="16" t="s">
        <v>62</v>
      </c>
      <c r="C6065" s="9">
        <v>46143</v>
      </c>
      <c r="D6065">
        <v>7</v>
      </c>
      <c r="E6065" s="16" t="s">
        <v>91</v>
      </c>
      <c r="F6065" s="16" t="s">
        <v>92</v>
      </c>
      <c r="G6065" s="22">
        <v>228</v>
      </c>
      <c r="H6065" s="18">
        <v>147.19999999999999</v>
      </c>
      <c r="I6065" s="18">
        <v>0.64561403500000003</v>
      </c>
      <c r="J6065" s="18">
        <v>0.66</v>
      </c>
      <c r="K6065" s="18">
        <v>0.64</v>
      </c>
      <c r="L6065" s="22">
        <v>9</v>
      </c>
    </row>
    <row r="6066" spans="1:12">
      <c r="A6066">
        <v>7</v>
      </c>
      <c r="B6066" s="16" t="s">
        <v>62</v>
      </c>
      <c r="C6066" s="9">
        <v>46174</v>
      </c>
      <c r="D6066">
        <v>7</v>
      </c>
      <c r="E6066" s="16" t="s">
        <v>91</v>
      </c>
      <c r="F6066" s="16" t="s">
        <v>92</v>
      </c>
      <c r="G6066" s="22">
        <v>204</v>
      </c>
      <c r="H6066" s="18">
        <v>125.48</v>
      </c>
      <c r="I6066" s="18">
        <v>0.61509803900000004</v>
      </c>
      <c r="J6066" s="18">
        <v>0.62</v>
      </c>
      <c r="K6066" s="18">
        <v>0.61</v>
      </c>
      <c r="L6066" s="22">
        <v>9</v>
      </c>
    </row>
    <row r="6067" spans="1:12">
      <c r="A6067">
        <v>7</v>
      </c>
      <c r="B6067" s="16" t="s">
        <v>62</v>
      </c>
      <c r="C6067" s="9">
        <v>46204</v>
      </c>
      <c r="D6067">
        <v>7</v>
      </c>
      <c r="E6067" s="16" t="s">
        <v>91</v>
      </c>
      <c r="F6067" s="16" t="s">
        <v>92</v>
      </c>
      <c r="G6067" s="22">
        <v>194</v>
      </c>
      <c r="H6067" s="18">
        <v>116.14</v>
      </c>
      <c r="I6067" s="18">
        <v>0.59865979400000002</v>
      </c>
      <c r="J6067" s="18">
        <v>0.61</v>
      </c>
      <c r="K6067" s="18">
        <v>0.59</v>
      </c>
      <c r="L6067" s="22">
        <v>9</v>
      </c>
    </row>
    <row r="6068" spans="1:12">
      <c r="A6068">
        <v>7</v>
      </c>
      <c r="B6068" s="16" t="s">
        <v>62</v>
      </c>
      <c r="C6068" s="9">
        <v>46235</v>
      </c>
      <c r="D6068">
        <v>7</v>
      </c>
      <c r="E6068" s="16" t="s">
        <v>91</v>
      </c>
      <c r="F6068" s="16" t="s">
        <v>92</v>
      </c>
      <c r="G6068" s="22">
        <v>182</v>
      </c>
      <c r="H6068" s="18">
        <v>112</v>
      </c>
      <c r="I6068" s="18">
        <v>0.61538461499999997</v>
      </c>
      <c r="J6068" s="18">
        <v>0.63</v>
      </c>
      <c r="K6068" s="18">
        <v>0.61</v>
      </c>
      <c r="L6068" s="22">
        <v>8</v>
      </c>
    </row>
    <row r="6069" spans="1:12">
      <c r="A6069">
        <v>7</v>
      </c>
      <c r="B6069" s="16" t="s">
        <v>62</v>
      </c>
      <c r="C6069" s="9">
        <v>46266</v>
      </c>
      <c r="D6069">
        <v>7</v>
      </c>
      <c r="E6069" s="16" t="s">
        <v>91</v>
      </c>
      <c r="F6069" s="16" t="s">
        <v>92</v>
      </c>
      <c r="G6069" s="22">
        <v>202</v>
      </c>
      <c r="H6069" s="18">
        <v>131.13999999999999</v>
      </c>
      <c r="I6069" s="18">
        <v>0.64920792100000002</v>
      </c>
      <c r="J6069" s="18">
        <v>0.67</v>
      </c>
      <c r="K6069" s="18">
        <v>0.63</v>
      </c>
      <c r="L6069" s="22">
        <v>9</v>
      </c>
    </row>
    <row r="6070" spans="1:12">
      <c r="A6070">
        <v>7</v>
      </c>
      <c r="B6070" s="16" t="s">
        <v>62</v>
      </c>
      <c r="C6070" s="9">
        <v>45689</v>
      </c>
      <c r="D6070">
        <v>8</v>
      </c>
      <c r="E6070" s="16" t="s">
        <v>93</v>
      </c>
      <c r="F6070" s="16" t="s">
        <v>83</v>
      </c>
      <c r="G6070" s="22">
        <v>86.25</v>
      </c>
      <c r="H6070" s="18">
        <v>1645.0250000000001</v>
      </c>
      <c r="I6070" s="18">
        <v>19.072753623000001</v>
      </c>
      <c r="J6070" s="18">
        <v>19.34</v>
      </c>
      <c r="K6070" s="18">
        <v>18.829999999999998</v>
      </c>
      <c r="L6070" s="22">
        <v>8</v>
      </c>
    </row>
    <row r="6071" spans="1:12">
      <c r="A6071">
        <v>7</v>
      </c>
      <c r="B6071" s="16" t="s">
        <v>62</v>
      </c>
      <c r="C6071" s="9">
        <v>45717</v>
      </c>
      <c r="D6071">
        <v>8</v>
      </c>
      <c r="E6071" s="16" t="s">
        <v>93</v>
      </c>
      <c r="F6071" s="16" t="s">
        <v>83</v>
      </c>
      <c r="G6071" s="22">
        <v>116.25</v>
      </c>
      <c r="H6071" s="18">
        <v>2216.9875000000002</v>
      </c>
      <c r="I6071" s="18">
        <v>19.070860215</v>
      </c>
      <c r="J6071" s="18">
        <v>19.48</v>
      </c>
      <c r="K6071" s="18">
        <v>18.739999999999998</v>
      </c>
      <c r="L6071" s="22">
        <v>9</v>
      </c>
    </row>
    <row r="6072" spans="1:12">
      <c r="A6072">
        <v>7</v>
      </c>
      <c r="B6072" s="16" t="s">
        <v>62</v>
      </c>
      <c r="C6072" s="9">
        <v>45748</v>
      </c>
      <c r="D6072">
        <v>8</v>
      </c>
      <c r="E6072" s="16" t="s">
        <v>93</v>
      </c>
      <c r="F6072" s="16" t="s">
        <v>83</v>
      </c>
      <c r="G6072" s="22">
        <v>111.25</v>
      </c>
      <c r="H6072" s="18">
        <v>2150.3125</v>
      </c>
      <c r="I6072" s="18">
        <v>19.328651685000001</v>
      </c>
      <c r="J6072" s="18">
        <v>20.399999999999999</v>
      </c>
      <c r="K6072" s="18">
        <v>18.88</v>
      </c>
      <c r="L6072" s="22">
        <v>8</v>
      </c>
    </row>
    <row r="6073" spans="1:12">
      <c r="A6073">
        <v>7</v>
      </c>
      <c r="B6073" s="16" t="s">
        <v>62</v>
      </c>
      <c r="C6073" s="9">
        <v>45778</v>
      </c>
      <c r="D6073">
        <v>8</v>
      </c>
      <c r="E6073" s="16" t="s">
        <v>93</v>
      </c>
      <c r="F6073" s="16" t="s">
        <v>83</v>
      </c>
      <c r="G6073" s="22">
        <v>130</v>
      </c>
      <c r="H6073" s="18">
        <v>2477.8874999999998</v>
      </c>
      <c r="I6073" s="18">
        <v>19.060673077000001</v>
      </c>
      <c r="J6073" s="18">
        <v>19.329999999999998</v>
      </c>
      <c r="K6073" s="18">
        <v>18.73</v>
      </c>
      <c r="L6073" s="22">
        <v>9</v>
      </c>
    </row>
    <row r="6074" spans="1:12">
      <c r="A6074">
        <v>7</v>
      </c>
      <c r="B6074" s="16" t="s">
        <v>62</v>
      </c>
      <c r="C6074" s="9">
        <v>45809</v>
      </c>
      <c r="D6074">
        <v>8</v>
      </c>
      <c r="E6074" s="16" t="s">
        <v>93</v>
      </c>
      <c r="F6074" s="16" t="s">
        <v>83</v>
      </c>
      <c r="G6074" s="22">
        <v>111.25</v>
      </c>
      <c r="H6074" s="18">
        <v>2128.8625000000002</v>
      </c>
      <c r="I6074" s="18">
        <v>19.135842697000001</v>
      </c>
      <c r="J6074" s="18">
        <v>19.72</v>
      </c>
      <c r="K6074" s="18">
        <v>18.82</v>
      </c>
      <c r="L6074" s="22">
        <v>9</v>
      </c>
    </row>
    <row r="6075" spans="1:12">
      <c r="A6075">
        <v>7</v>
      </c>
      <c r="B6075" s="16" t="s">
        <v>62</v>
      </c>
      <c r="C6075" s="9">
        <v>45839</v>
      </c>
      <c r="D6075">
        <v>8</v>
      </c>
      <c r="E6075" s="16" t="s">
        <v>93</v>
      </c>
      <c r="F6075" s="16" t="s">
        <v>83</v>
      </c>
      <c r="G6075" s="22">
        <v>113.75</v>
      </c>
      <c r="H6075" s="18">
        <v>2176.1374999999998</v>
      </c>
      <c r="I6075" s="18">
        <v>19.130879121</v>
      </c>
      <c r="J6075" s="18">
        <v>19.510000000000002</v>
      </c>
      <c r="K6075" s="18">
        <v>18.8</v>
      </c>
      <c r="L6075" s="22">
        <v>9</v>
      </c>
    </row>
    <row r="6076" spans="1:12">
      <c r="A6076">
        <v>7</v>
      </c>
      <c r="B6076" s="16" t="s">
        <v>62</v>
      </c>
      <c r="C6076" s="9">
        <v>45870</v>
      </c>
      <c r="D6076">
        <v>8</v>
      </c>
      <c r="E6076" s="16" t="s">
        <v>93</v>
      </c>
      <c r="F6076" s="16" t="s">
        <v>83</v>
      </c>
      <c r="G6076" s="22">
        <v>115</v>
      </c>
      <c r="H6076" s="18">
        <v>2205.8000000000002</v>
      </c>
      <c r="I6076" s="18">
        <v>19.180869564999998</v>
      </c>
      <c r="J6076" s="18">
        <v>19.32</v>
      </c>
      <c r="K6076" s="18">
        <v>19.010000000000002</v>
      </c>
      <c r="L6076" s="22">
        <v>8</v>
      </c>
    </row>
    <row r="6077" spans="1:12">
      <c r="A6077">
        <v>7</v>
      </c>
      <c r="B6077" s="16" t="s">
        <v>62</v>
      </c>
      <c r="C6077" s="9">
        <v>45901</v>
      </c>
      <c r="D6077">
        <v>8</v>
      </c>
      <c r="E6077" s="16" t="s">
        <v>93</v>
      </c>
      <c r="F6077" s="16" t="s">
        <v>83</v>
      </c>
      <c r="G6077" s="22">
        <v>120</v>
      </c>
      <c r="H6077" s="18">
        <v>2316</v>
      </c>
      <c r="I6077" s="18">
        <v>19.3</v>
      </c>
      <c r="J6077" s="18">
        <v>20.37</v>
      </c>
      <c r="K6077" s="18">
        <v>18.87</v>
      </c>
      <c r="L6077" s="22">
        <v>9</v>
      </c>
    </row>
    <row r="6078" spans="1:12">
      <c r="A6078">
        <v>7</v>
      </c>
      <c r="B6078" s="16" t="s">
        <v>62</v>
      </c>
      <c r="C6078" s="9">
        <v>45931</v>
      </c>
      <c r="D6078">
        <v>8</v>
      </c>
      <c r="E6078" s="16" t="s">
        <v>93</v>
      </c>
      <c r="F6078" s="16" t="s">
        <v>83</v>
      </c>
      <c r="G6078" s="22">
        <v>126.25</v>
      </c>
      <c r="H6078" s="18">
        <v>2426.6999999999998</v>
      </c>
      <c r="I6078" s="18">
        <v>19.221386139</v>
      </c>
      <c r="J6078" s="18">
        <v>19.5</v>
      </c>
      <c r="K6078" s="18">
        <v>19</v>
      </c>
      <c r="L6078" s="22">
        <v>9</v>
      </c>
    </row>
    <row r="6079" spans="1:12">
      <c r="A6079">
        <v>7</v>
      </c>
      <c r="B6079" s="16" t="s">
        <v>62</v>
      </c>
      <c r="C6079" s="9">
        <v>45962</v>
      </c>
      <c r="D6079">
        <v>8</v>
      </c>
      <c r="E6079" s="16" t="s">
        <v>93</v>
      </c>
      <c r="F6079" s="16" t="s">
        <v>83</v>
      </c>
      <c r="G6079" s="22">
        <v>115</v>
      </c>
      <c r="H6079" s="18">
        <v>2218.0875000000001</v>
      </c>
      <c r="I6079" s="18">
        <v>19.287717391000001</v>
      </c>
      <c r="J6079" s="18">
        <v>20.55</v>
      </c>
      <c r="K6079" s="18">
        <v>18.45</v>
      </c>
      <c r="L6079" s="22">
        <v>8</v>
      </c>
    </row>
    <row r="6080" spans="1:12">
      <c r="A6080">
        <v>7</v>
      </c>
      <c r="B6080" s="16" t="s">
        <v>62</v>
      </c>
      <c r="C6080" s="9">
        <v>45992</v>
      </c>
      <c r="D6080">
        <v>8</v>
      </c>
      <c r="E6080" s="16" t="s">
        <v>93</v>
      </c>
      <c r="F6080" s="16" t="s">
        <v>83</v>
      </c>
      <c r="G6080" s="22">
        <v>112.5</v>
      </c>
      <c r="H6080" s="18">
        <v>2169.8249999999998</v>
      </c>
      <c r="I6080" s="18">
        <v>19.287333332999999</v>
      </c>
      <c r="J6080" s="18">
        <v>19.600000000000001</v>
      </c>
      <c r="K6080" s="18">
        <v>18.98</v>
      </c>
      <c r="L6080" s="22">
        <v>9</v>
      </c>
    </row>
    <row r="6081" spans="1:12">
      <c r="A6081">
        <v>7</v>
      </c>
      <c r="B6081" s="16" t="s">
        <v>62</v>
      </c>
      <c r="C6081" s="9">
        <v>46023</v>
      </c>
      <c r="D6081">
        <v>8</v>
      </c>
      <c r="E6081" s="16" t="s">
        <v>93</v>
      </c>
      <c r="F6081" s="16" t="s">
        <v>83</v>
      </c>
      <c r="G6081" s="22">
        <v>111.25</v>
      </c>
      <c r="H6081" s="18">
        <v>2156.8000000000002</v>
      </c>
      <c r="I6081" s="18">
        <v>19.386966292</v>
      </c>
      <c r="J6081" s="18">
        <v>20.440000000000001</v>
      </c>
      <c r="K6081" s="18">
        <v>18.86</v>
      </c>
      <c r="L6081" s="22">
        <v>9</v>
      </c>
    </row>
    <row r="6082" spans="1:12">
      <c r="A6082">
        <v>7</v>
      </c>
      <c r="B6082" s="16" t="s">
        <v>62</v>
      </c>
      <c r="C6082" s="9">
        <v>46054</v>
      </c>
      <c r="D6082">
        <v>8</v>
      </c>
      <c r="E6082" s="16" t="s">
        <v>93</v>
      </c>
      <c r="F6082" s="16" t="s">
        <v>83</v>
      </c>
      <c r="G6082" s="22">
        <v>115</v>
      </c>
      <c r="H6082" s="18">
        <v>2222.8000000000002</v>
      </c>
      <c r="I6082" s="18">
        <v>19.328695652</v>
      </c>
      <c r="J6082" s="18">
        <v>20.5</v>
      </c>
      <c r="K6082" s="18">
        <v>18.670000000000002</v>
      </c>
      <c r="L6082" s="22">
        <v>8</v>
      </c>
    </row>
    <row r="6083" spans="1:12">
      <c r="A6083">
        <v>7</v>
      </c>
      <c r="B6083" s="16" t="s">
        <v>62</v>
      </c>
      <c r="C6083" s="9">
        <v>46082</v>
      </c>
      <c r="D6083">
        <v>8</v>
      </c>
      <c r="E6083" s="16" t="s">
        <v>93</v>
      </c>
      <c r="F6083" s="16" t="s">
        <v>83</v>
      </c>
      <c r="G6083" s="22">
        <v>135</v>
      </c>
      <c r="H6083" s="18">
        <v>2617.1125000000002</v>
      </c>
      <c r="I6083" s="18">
        <v>19.386018519</v>
      </c>
      <c r="J6083" s="18">
        <v>19.670000000000002</v>
      </c>
      <c r="K6083" s="18">
        <v>19.170000000000002</v>
      </c>
      <c r="L6083" s="22">
        <v>9</v>
      </c>
    </row>
    <row r="6084" spans="1:12">
      <c r="A6084">
        <v>7</v>
      </c>
      <c r="B6084" s="16" t="s">
        <v>62</v>
      </c>
      <c r="C6084" s="9">
        <v>46113</v>
      </c>
      <c r="D6084">
        <v>8</v>
      </c>
      <c r="E6084" s="16" t="s">
        <v>93</v>
      </c>
      <c r="F6084" s="16" t="s">
        <v>83</v>
      </c>
      <c r="G6084" s="22">
        <v>140</v>
      </c>
      <c r="H6084" s="18">
        <v>2685.4749999999999</v>
      </c>
      <c r="I6084" s="18">
        <v>19.181964285999999</v>
      </c>
      <c r="J6084" s="18">
        <v>19.91</v>
      </c>
      <c r="K6084" s="18">
        <v>18.79</v>
      </c>
      <c r="L6084" s="22">
        <v>9</v>
      </c>
    </row>
    <row r="6085" spans="1:12">
      <c r="A6085">
        <v>7</v>
      </c>
      <c r="B6085" s="16" t="s">
        <v>62</v>
      </c>
      <c r="C6085" s="9">
        <v>46143</v>
      </c>
      <c r="D6085">
        <v>8</v>
      </c>
      <c r="E6085" s="16" t="s">
        <v>93</v>
      </c>
      <c r="F6085" s="16" t="s">
        <v>83</v>
      </c>
      <c r="G6085" s="22">
        <v>140</v>
      </c>
      <c r="H6085" s="18">
        <v>2684.3125</v>
      </c>
      <c r="I6085" s="18">
        <v>19.173660714</v>
      </c>
      <c r="J6085" s="18">
        <v>20.6</v>
      </c>
      <c r="K6085" s="18">
        <v>18.829999999999998</v>
      </c>
      <c r="L6085" s="22">
        <v>8</v>
      </c>
    </row>
    <row r="6086" spans="1:12">
      <c r="A6086">
        <v>7</v>
      </c>
      <c r="B6086" s="16" t="s">
        <v>62</v>
      </c>
      <c r="C6086" s="9">
        <v>46174</v>
      </c>
      <c r="D6086">
        <v>8</v>
      </c>
      <c r="E6086" s="16" t="s">
        <v>93</v>
      </c>
      <c r="F6086" s="16" t="s">
        <v>83</v>
      </c>
      <c r="G6086" s="22">
        <v>125</v>
      </c>
      <c r="H6086" s="18">
        <v>2398.85</v>
      </c>
      <c r="I6086" s="18">
        <v>19.190799999999999</v>
      </c>
      <c r="J6086" s="18">
        <v>19.53</v>
      </c>
      <c r="K6086" s="18">
        <v>18.82</v>
      </c>
      <c r="L6086" s="22">
        <v>9</v>
      </c>
    </row>
    <row r="6087" spans="1:12">
      <c r="A6087">
        <v>7</v>
      </c>
      <c r="B6087" s="16" t="s">
        <v>62</v>
      </c>
      <c r="C6087" s="9">
        <v>46204</v>
      </c>
      <c r="D6087">
        <v>8</v>
      </c>
      <c r="E6087" s="16" t="s">
        <v>93</v>
      </c>
      <c r="F6087" s="16" t="s">
        <v>83</v>
      </c>
      <c r="G6087" s="22">
        <v>130</v>
      </c>
      <c r="H6087" s="18">
        <v>2507.5</v>
      </c>
      <c r="I6087" s="18">
        <v>19.288461538</v>
      </c>
      <c r="J6087" s="18">
        <v>19.64</v>
      </c>
      <c r="K6087" s="18">
        <v>18.88</v>
      </c>
      <c r="L6087" s="22">
        <v>9</v>
      </c>
    </row>
    <row r="6088" spans="1:12">
      <c r="A6088">
        <v>7</v>
      </c>
      <c r="B6088" s="16" t="s">
        <v>62</v>
      </c>
      <c r="C6088" s="9">
        <v>46235</v>
      </c>
      <c r="D6088">
        <v>8</v>
      </c>
      <c r="E6088" s="16" t="s">
        <v>93</v>
      </c>
      <c r="F6088" s="16" t="s">
        <v>83</v>
      </c>
      <c r="G6088" s="22">
        <v>121.25</v>
      </c>
      <c r="H6088" s="18">
        <v>2366.8249999999998</v>
      </c>
      <c r="I6088" s="18">
        <v>19.520206185999999</v>
      </c>
      <c r="J6088" s="18">
        <v>19.78</v>
      </c>
      <c r="K6088" s="18">
        <v>18.87</v>
      </c>
      <c r="L6088" s="22">
        <v>9</v>
      </c>
    </row>
    <row r="6089" spans="1:12">
      <c r="A6089">
        <v>7</v>
      </c>
      <c r="B6089" s="16" t="s">
        <v>62</v>
      </c>
      <c r="C6089" s="9">
        <v>46266</v>
      </c>
      <c r="D6089">
        <v>8</v>
      </c>
      <c r="E6089" s="16" t="s">
        <v>93</v>
      </c>
      <c r="F6089" s="16" t="s">
        <v>83</v>
      </c>
      <c r="G6089" s="22">
        <v>120</v>
      </c>
      <c r="H6089" s="18">
        <v>2371.0625</v>
      </c>
      <c r="I6089" s="18">
        <v>19.758854166999999</v>
      </c>
      <c r="J6089" s="18">
        <v>20.85</v>
      </c>
      <c r="K6089" s="18">
        <v>19.350000000000001</v>
      </c>
      <c r="L6089" s="22">
        <v>8</v>
      </c>
    </row>
    <row r="6090" spans="1:12">
      <c r="A6090">
        <v>7</v>
      </c>
      <c r="B6090" s="16" t="s">
        <v>62</v>
      </c>
      <c r="C6090" s="9">
        <v>45689</v>
      </c>
      <c r="D6090">
        <v>9</v>
      </c>
      <c r="E6090" s="16" t="s">
        <v>94</v>
      </c>
      <c r="F6090" s="16" t="s">
        <v>85</v>
      </c>
      <c r="G6090" s="22">
        <v>12.5</v>
      </c>
      <c r="H6090" s="18">
        <v>41</v>
      </c>
      <c r="I6090" s="18">
        <v>3.28</v>
      </c>
      <c r="J6090" s="18">
        <v>3.29</v>
      </c>
      <c r="K6090" s="18">
        <v>3.27</v>
      </c>
      <c r="L6090" s="22">
        <v>2</v>
      </c>
    </row>
    <row r="6091" spans="1:12">
      <c r="A6091">
        <v>7</v>
      </c>
      <c r="B6091" s="16" t="s">
        <v>62</v>
      </c>
      <c r="C6091" s="9">
        <v>45717</v>
      </c>
      <c r="D6091">
        <v>9</v>
      </c>
      <c r="E6091" s="16" t="s">
        <v>94</v>
      </c>
      <c r="F6091" s="16" t="s">
        <v>85</v>
      </c>
      <c r="G6091" s="22">
        <v>12.5</v>
      </c>
      <c r="H6091" s="18">
        <v>41.0625</v>
      </c>
      <c r="I6091" s="18">
        <v>3.2850000000000001</v>
      </c>
      <c r="J6091" s="18">
        <v>3.34</v>
      </c>
      <c r="K6091" s="18">
        <v>3.23</v>
      </c>
      <c r="L6091" s="22">
        <v>2</v>
      </c>
    </row>
    <row r="6092" spans="1:12">
      <c r="A6092">
        <v>7</v>
      </c>
      <c r="B6092" s="16" t="s">
        <v>62</v>
      </c>
      <c r="C6092" s="9">
        <v>45748</v>
      </c>
      <c r="D6092">
        <v>9</v>
      </c>
      <c r="E6092" s="16" t="s">
        <v>94</v>
      </c>
      <c r="F6092" s="16" t="s">
        <v>85</v>
      </c>
      <c r="G6092" s="22">
        <v>18.75</v>
      </c>
      <c r="H6092" s="18">
        <v>63.1875</v>
      </c>
      <c r="I6092" s="18">
        <v>3.37</v>
      </c>
      <c r="J6092" s="18">
        <v>3.43</v>
      </c>
      <c r="K6092" s="18">
        <v>3.3</v>
      </c>
      <c r="L6092" s="22">
        <v>3</v>
      </c>
    </row>
    <row r="6093" spans="1:12">
      <c r="A6093">
        <v>7</v>
      </c>
      <c r="B6093" s="16" t="s">
        <v>62</v>
      </c>
      <c r="C6093" s="9">
        <v>45778</v>
      </c>
      <c r="D6093">
        <v>9</v>
      </c>
      <c r="E6093" s="16" t="s">
        <v>94</v>
      </c>
      <c r="F6093" s="16" t="s">
        <v>85</v>
      </c>
      <c r="G6093" s="22">
        <v>12.5</v>
      </c>
      <c r="H6093" s="18">
        <v>42.9375</v>
      </c>
      <c r="I6093" s="18">
        <v>3.4350000000000001</v>
      </c>
      <c r="J6093" s="18">
        <v>3.44</v>
      </c>
      <c r="K6093" s="18">
        <v>3.43</v>
      </c>
      <c r="L6093" s="22">
        <v>2</v>
      </c>
    </row>
    <row r="6094" spans="1:12">
      <c r="A6094">
        <v>7</v>
      </c>
      <c r="B6094" s="16" t="s">
        <v>62</v>
      </c>
      <c r="C6094" s="9">
        <v>45809</v>
      </c>
      <c r="D6094">
        <v>9</v>
      </c>
      <c r="E6094" s="16" t="s">
        <v>94</v>
      </c>
      <c r="F6094" s="16" t="s">
        <v>85</v>
      </c>
      <c r="G6094" s="22">
        <v>6.25</v>
      </c>
      <c r="H6094" s="18">
        <v>21.25</v>
      </c>
      <c r="I6094" s="18">
        <v>3.4</v>
      </c>
      <c r="J6094" s="18">
        <v>3.4</v>
      </c>
      <c r="K6094" s="18">
        <v>3.4</v>
      </c>
      <c r="L6094" s="22">
        <v>1</v>
      </c>
    </row>
    <row r="6095" spans="1:12">
      <c r="A6095">
        <v>7</v>
      </c>
      <c r="B6095" s="16" t="s">
        <v>62</v>
      </c>
      <c r="C6095" s="9">
        <v>45839</v>
      </c>
      <c r="D6095">
        <v>9</v>
      </c>
      <c r="E6095" s="16" t="s">
        <v>94</v>
      </c>
      <c r="F6095" s="16" t="s">
        <v>85</v>
      </c>
      <c r="G6095" s="22">
        <v>6.25</v>
      </c>
      <c r="H6095" s="18">
        <v>21.4375</v>
      </c>
      <c r="I6095" s="18">
        <v>3.43</v>
      </c>
      <c r="J6095" s="18">
        <v>3.43</v>
      </c>
      <c r="K6095" s="18">
        <v>3.43</v>
      </c>
      <c r="L6095" s="22">
        <v>1</v>
      </c>
    </row>
    <row r="6096" spans="1:12">
      <c r="A6096">
        <v>7</v>
      </c>
      <c r="B6096" s="16" t="s">
        <v>62</v>
      </c>
      <c r="C6096" s="9">
        <v>45870</v>
      </c>
      <c r="D6096">
        <v>9</v>
      </c>
      <c r="E6096" s="16" t="s">
        <v>94</v>
      </c>
      <c r="F6096" s="16" t="s">
        <v>85</v>
      </c>
      <c r="G6096" s="22">
        <v>12.5</v>
      </c>
      <c r="H6096" s="18">
        <v>42.125</v>
      </c>
      <c r="I6096" s="18">
        <v>3.37</v>
      </c>
      <c r="J6096" s="18">
        <v>3.43</v>
      </c>
      <c r="K6096" s="18">
        <v>3.31</v>
      </c>
      <c r="L6096" s="22">
        <v>2</v>
      </c>
    </row>
    <row r="6097" spans="1:12">
      <c r="A6097">
        <v>7</v>
      </c>
      <c r="B6097" s="16" t="s">
        <v>62</v>
      </c>
      <c r="C6097" s="9">
        <v>45901</v>
      </c>
      <c r="D6097">
        <v>9</v>
      </c>
      <c r="E6097" s="16" t="s">
        <v>94</v>
      </c>
      <c r="F6097" s="16" t="s">
        <v>85</v>
      </c>
      <c r="G6097" s="22">
        <v>12.5</v>
      </c>
      <c r="H6097" s="18">
        <v>42.5625</v>
      </c>
      <c r="I6097" s="18">
        <v>3.4049999999999998</v>
      </c>
      <c r="J6097" s="18">
        <v>3.43</v>
      </c>
      <c r="K6097" s="18">
        <v>3.38</v>
      </c>
      <c r="L6097" s="22">
        <v>2</v>
      </c>
    </row>
    <row r="6098" spans="1:12">
      <c r="A6098">
        <v>7</v>
      </c>
      <c r="B6098" s="16" t="s">
        <v>62</v>
      </c>
      <c r="C6098" s="9">
        <v>45931</v>
      </c>
      <c r="D6098">
        <v>9</v>
      </c>
      <c r="E6098" s="16" t="s">
        <v>94</v>
      </c>
      <c r="F6098" s="16" t="s">
        <v>85</v>
      </c>
      <c r="G6098" s="22">
        <v>12.5</v>
      </c>
      <c r="H6098" s="18">
        <v>43</v>
      </c>
      <c r="I6098" s="18">
        <v>3.44</v>
      </c>
      <c r="J6098" s="18">
        <v>3.47</v>
      </c>
      <c r="K6098" s="18">
        <v>3.41</v>
      </c>
      <c r="L6098" s="22">
        <v>2</v>
      </c>
    </row>
    <row r="6099" spans="1:12">
      <c r="A6099">
        <v>7</v>
      </c>
      <c r="B6099" s="16" t="s">
        <v>62</v>
      </c>
      <c r="C6099" s="9">
        <v>45962</v>
      </c>
      <c r="D6099">
        <v>9</v>
      </c>
      <c r="E6099" s="16" t="s">
        <v>94</v>
      </c>
      <c r="F6099" s="16" t="s">
        <v>85</v>
      </c>
      <c r="G6099" s="22">
        <v>12.5</v>
      </c>
      <c r="H6099" s="18">
        <v>42.75</v>
      </c>
      <c r="I6099" s="18">
        <v>3.42</v>
      </c>
      <c r="J6099" s="18">
        <v>3.46</v>
      </c>
      <c r="K6099" s="18">
        <v>3.38</v>
      </c>
      <c r="L6099" s="22">
        <v>2</v>
      </c>
    </row>
    <row r="6100" spans="1:12">
      <c r="A6100">
        <v>7</v>
      </c>
      <c r="B6100" s="16" t="s">
        <v>62</v>
      </c>
      <c r="C6100" s="9">
        <v>45992</v>
      </c>
      <c r="D6100">
        <v>9</v>
      </c>
      <c r="E6100" s="16" t="s">
        <v>94</v>
      </c>
      <c r="F6100" s="16" t="s">
        <v>85</v>
      </c>
      <c r="G6100" s="22">
        <v>12.5</v>
      </c>
      <c r="H6100" s="18">
        <v>42.375</v>
      </c>
      <c r="I6100" s="18">
        <v>3.39</v>
      </c>
      <c r="J6100" s="18">
        <v>3.41</v>
      </c>
      <c r="K6100" s="18">
        <v>3.37</v>
      </c>
      <c r="L6100" s="22">
        <v>2</v>
      </c>
    </row>
    <row r="6101" spans="1:12">
      <c r="A6101">
        <v>7</v>
      </c>
      <c r="B6101" s="16" t="s">
        <v>62</v>
      </c>
      <c r="C6101" s="9">
        <v>46023</v>
      </c>
      <c r="D6101">
        <v>9</v>
      </c>
      <c r="E6101" s="16" t="s">
        <v>94</v>
      </c>
      <c r="F6101" s="16" t="s">
        <v>85</v>
      </c>
      <c r="G6101" s="22">
        <v>18.75</v>
      </c>
      <c r="H6101" s="18">
        <v>63.125</v>
      </c>
      <c r="I6101" s="18">
        <v>3.3666666670000001</v>
      </c>
      <c r="J6101" s="18">
        <v>3.4</v>
      </c>
      <c r="K6101" s="18">
        <v>3.35</v>
      </c>
      <c r="L6101" s="22">
        <v>2</v>
      </c>
    </row>
    <row r="6102" spans="1:12">
      <c r="A6102">
        <v>7</v>
      </c>
      <c r="B6102" s="16" t="s">
        <v>62</v>
      </c>
      <c r="C6102" s="9">
        <v>46054</v>
      </c>
      <c r="D6102">
        <v>9</v>
      </c>
      <c r="E6102" s="16" t="s">
        <v>94</v>
      </c>
      <c r="F6102" s="16" t="s">
        <v>85</v>
      </c>
      <c r="G6102" s="22">
        <v>12.5</v>
      </c>
      <c r="H6102" s="18">
        <v>42</v>
      </c>
      <c r="I6102" s="18">
        <v>3.36</v>
      </c>
      <c r="J6102" s="18">
        <v>3.37</v>
      </c>
      <c r="K6102" s="18">
        <v>3.35</v>
      </c>
      <c r="L6102" s="22">
        <v>2</v>
      </c>
    </row>
    <row r="6103" spans="1:12">
      <c r="A6103">
        <v>7</v>
      </c>
      <c r="B6103" s="16" t="s">
        <v>62</v>
      </c>
      <c r="C6103" s="9">
        <v>46082</v>
      </c>
      <c r="D6103">
        <v>9</v>
      </c>
      <c r="E6103" s="16" t="s">
        <v>94</v>
      </c>
      <c r="F6103" s="16" t="s">
        <v>85</v>
      </c>
      <c r="G6103" s="22">
        <v>25</v>
      </c>
      <c r="H6103" s="18">
        <v>84.4375</v>
      </c>
      <c r="I6103" s="18">
        <v>3.3774999999999999</v>
      </c>
      <c r="J6103" s="18">
        <v>3.39</v>
      </c>
      <c r="K6103" s="18">
        <v>3.36</v>
      </c>
      <c r="L6103" s="22">
        <v>3</v>
      </c>
    </row>
    <row r="6104" spans="1:12">
      <c r="A6104">
        <v>7</v>
      </c>
      <c r="B6104" s="16" t="s">
        <v>62</v>
      </c>
      <c r="C6104" s="9">
        <v>46113</v>
      </c>
      <c r="D6104">
        <v>9</v>
      </c>
      <c r="E6104" s="16" t="s">
        <v>94</v>
      </c>
      <c r="F6104" s="16" t="s">
        <v>85</v>
      </c>
      <c r="G6104" s="22">
        <v>12.5</v>
      </c>
      <c r="H6104" s="18">
        <v>42.375</v>
      </c>
      <c r="I6104" s="18">
        <v>3.39</v>
      </c>
      <c r="J6104" s="18">
        <v>3.43</v>
      </c>
      <c r="K6104" s="18">
        <v>3.35</v>
      </c>
      <c r="L6104" s="22">
        <v>2</v>
      </c>
    </row>
    <row r="6105" spans="1:12">
      <c r="A6105">
        <v>7</v>
      </c>
      <c r="B6105" s="16" t="s">
        <v>62</v>
      </c>
      <c r="C6105" s="9">
        <v>46143</v>
      </c>
      <c r="D6105">
        <v>9</v>
      </c>
      <c r="E6105" s="16" t="s">
        <v>94</v>
      </c>
      <c r="F6105" s="16" t="s">
        <v>85</v>
      </c>
      <c r="G6105" s="22">
        <v>12.5</v>
      </c>
      <c r="H6105" s="18">
        <v>42.9375</v>
      </c>
      <c r="I6105" s="18">
        <v>3.4350000000000001</v>
      </c>
      <c r="J6105" s="18">
        <v>3.46</v>
      </c>
      <c r="K6105" s="18">
        <v>3.41</v>
      </c>
      <c r="L6105" s="22">
        <v>2</v>
      </c>
    </row>
    <row r="6106" spans="1:12">
      <c r="A6106">
        <v>7</v>
      </c>
      <c r="B6106" s="16" t="s">
        <v>62</v>
      </c>
      <c r="C6106" s="9">
        <v>46174</v>
      </c>
      <c r="D6106">
        <v>9</v>
      </c>
      <c r="E6106" s="16" t="s">
        <v>94</v>
      </c>
      <c r="F6106" s="16" t="s">
        <v>85</v>
      </c>
      <c r="G6106" s="22">
        <v>6.25</v>
      </c>
      <c r="H6106" s="18">
        <v>21.3125</v>
      </c>
      <c r="I6106" s="18">
        <v>3.41</v>
      </c>
      <c r="J6106" s="18">
        <v>3.41</v>
      </c>
      <c r="K6106" s="18">
        <v>3.41</v>
      </c>
      <c r="L6106" s="22">
        <v>1</v>
      </c>
    </row>
    <row r="6107" spans="1:12">
      <c r="A6107">
        <v>7</v>
      </c>
      <c r="B6107" s="16" t="s">
        <v>62</v>
      </c>
      <c r="C6107" s="9">
        <v>46204</v>
      </c>
      <c r="D6107">
        <v>9</v>
      </c>
      <c r="E6107" s="16" t="s">
        <v>94</v>
      </c>
      <c r="F6107" s="16" t="s">
        <v>85</v>
      </c>
      <c r="G6107" s="22">
        <v>12.5</v>
      </c>
      <c r="H6107" s="18">
        <v>42.125</v>
      </c>
      <c r="I6107" s="18">
        <v>3.37</v>
      </c>
      <c r="J6107" s="18">
        <v>3.38</v>
      </c>
      <c r="K6107" s="18">
        <v>3.36</v>
      </c>
      <c r="L6107" s="22">
        <v>2</v>
      </c>
    </row>
    <row r="6108" spans="1:12">
      <c r="A6108">
        <v>7</v>
      </c>
      <c r="B6108" s="16" t="s">
        <v>62</v>
      </c>
      <c r="C6108" s="9">
        <v>46235</v>
      </c>
      <c r="D6108">
        <v>9</v>
      </c>
      <c r="E6108" s="16" t="s">
        <v>94</v>
      </c>
      <c r="F6108" s="16" t="s">
        <v>85</v>
      </c>
      <c r="G6108" s="22">
        <v>12.5</v>
      </c>
      <c r="H6108" s="18">
        <v>42.6875</v>
      </c>
      <c r="I6108" s="18">
        <v>3.415</v>
      </c>
      <c r="J6108" s="18">
        <v>3.49</v>
      </c>
      <c r="K6108" s="18">
        <v>3.34</v>
      </c>
      <c r="L6108" s="22">
        <v>2</v>
      </c>
    </row>
    <row r="6109" spans="1:12">
      <c r="A6109">
        <v>7</v>
      </c>
      <c r="B6109" s="16" t="s">
        <v>62</v>
      </c>
      <c r="C6109" s="9">
        <v>46266</v>
      </c>
      <c r="D6109">
        <v>9</v>
      </c>
      <c r="E6109" s="16" t="s">
        <v>94</v>
      </c>
      <c r="F6109" s="16" t="s">
        <v>85</v>
      </c>
      <c r="G6109" s="22">
        <v>18.75</v>
      </c>
      <c r="H6109" s="18">
        <v>64.375</v>
      </c>
      <c r="I6109" s="18">
        <v>3.4333333330000002</v>
      </c>
      <c r="J6109" s="18">
        <v>3.45</v>
      </c>
      <c r="K6109" s="18">
        <v>3.41</v>
      </c>
      <c r="L6109" s="22">
        <v>3</v>
      </c>
    </row>
    <row r="6110" spans="1:12">
      <c r="A6110">
        <v>7</v>
      </c>
      <c r="B6110" s="16" t="s">
        <v>62</v>
      </c>
      <c r="C6110" s="9">
        <v>45689</v>
      </c>
      <c r="D6110">
        <v>10</v>
      </c>
      <c r="E6110" s="16" t="s">
        <v>95</v>
      </c>
      <c r="F6110" s="16" t="s">
        <v>83</v>
      </c>
      <c r="G6110" s="22">
        <v>20</v>
      </c>
      <c r="H6110" s="18">
        <v>308.8</v>
      </c>
      <c r="I6110" s="18">
        <v>15.44</v>
      </c>
      <c r="J6110" s="18">
        <v>15.6</v>
      </c>
      <c r="K6110" s="18">
        <v>15.34</v>
      </c>
      <c r="L6110" s="22">
        <v>4</v>
      </c>
    </row>
    <row r="6111" spans="1:12">
      <c r="A6111">
        <v>7</v>
      </c>
      <c r="B6111" s="16" t="s">
        <v>62</v>
      </c>
      <c r="C6111" s="9">
        <v>45717</v>
      </c>
      <c r="D6111">
        <v>10</v>
      </c>
      <c r="E6111" s="16" t="s">
        <v>95</v>
      </c>
      <c r="F6111" s="16" t="s">
        <v>83</v>
      </c>
      <c r="G6111" s="22">
        <v>35</v>
      </c>
      <c r="H6111" s="18">
        <v>535.70000000000005</v>
      </c>
      <c r="I6111" s="18">
        <v>15.305714286000001</v>
      </c>
      <c r="J6111" s="18">
        <v>15.6</v>
      </c>
      <c r="K6111" s="18">
        <v>15.15</v>
      </c>
      <c r="L6111" s="22">
        <v>7</v>
      </c>
    </row>
    <row r="6112" spans="1:12">
      <c r="A6112">
        <v>7</v>
      </c>
      <c r="B6112" s="16" t="s">
        <v>62</v>
      </c>
      <c r="C6112" s="9">
        <v>45748</v>
      </c>
      <c r="D6112">
        <v>10</v>
      </c>
      <c r="E6112" s="16" t="s">
        <v>95</v>
      </c>
      <c r="F6112" s="16" t="s">
        <v>83</v>
      </c>
      <c r="G6112" s="22">
        <v>30</v>
      </c>
      <c r="H6112" s="18">
        <v>467.3</v>
      </c>
      <c r="I6112" s="18">
        <v>15.576666667</v>
      </c>
      <c r="J6112" s="18">
        <v>15.76</v>
      </c>
      <c r="K6112" s="18">
        <v>15.35</v>
      </c>
      <c r="L6112" s="22">
        <v>5</v>
      </c>
    </row>
    <row r="6113" spans="1:12">
      <c r="A6113">
        <v>7</v>
      </c>
      <c r="B6113" s="16" t="s">
        <v>62</v>
      </c>
      <c r="C6113" s="9">
        <v>45778</v>
      </c>
      <c r="D6113">
        <v>10</v>
      </c>
      <c r="E6113" s="16" t="s">
        <v>95</v>
      </c>
      <c r="F6113" s="16" t="s">
        <v>83</v>
      </c>
      <c r="G6113" s="22">
        <v>35</v>
      </c>
      <c r="H6113" s="18">
        <v>542.20000000000005</v>
      </c>
      <c r="I6113" s="18">
        <v>15.491428571</v>
      </c>
      <c r="J6113" s="18">
        <v>15.79</v>
      </c>
      <c r="K6113" s="18">
        <v>15.23</v>
      </c>
      <c r="L6113" s="22">
        <v>7</v>
      </c>
    </row>
    <row r="6114" spans="1:12">
      <c r="A6114">
        <v>7</v>
      </c>
      <c r="B6114" s="16" t="s">
        <v>62</v>
      </c>
      <c r="C6114" s="9">
        <v>45809</v>
      </c>
      <c r="D6114">
        <v>10</v>
      </c>
      <c r="E6114" s="16" t="s">
        <v>95</v>
      </c>
      <c r="F6114" s="16" t="s">
        <v>83</v>
      </c>
      <c r="G6114" s="22">
        <v>30</v>
      </c>
      <c r="H6114" s="18">
        <v>465.05</v>
      </c>
      <c r="I6114" s="18">
        <v>15.501666667</v>
      </c>
      <c r="J6114" s="18">
        <v>15.7</v>
      </c>
      <c r="K6114" s="18">
        <v>15.2</v>
      </c>
      <c r="L6114" s="22">
        <v>6</v>
      </c>
    </row>
    <row r="6115" spans="1:12">
      <c r="A6115">
        <v>7</v>
      </c>
      <c r="B6115" s="16" t="s">
        <v>62</v>
      </c>
      <c r="C6115" s="9">
        <v>45839</v>
      </c>
      <c r="D6115">
        <v>10</v>
      </c>
      <c r="E6115" s="16" t="s">
        <v>95</v>
      </c>
      <c r="F6115" s="16" t="s">
        <v>83</v>
      </c>
      <c r="G6115" s="22">
        <v>25</v>
      </c>
      <c r="H6115" s="18">
        <v>415.6</v>
      </c>
      <c r="I6115" s="18">
        <v>16.623999999999999</v>
      </c>
      <c r="J6115" s="18">
        <v>16.899999999999999</v>
      </c>
      <c r="K6115" s="18">
        <v>16.34</v>
      </c>
      <c r="L6115" s="22">
        <v>5</v>
      </c>
    </row>
    <row r="6116" spans="1:12">
      <c r="A6116">
        <v>7</v>
      </c>
      <c r="B6116" s="16" t="s">
        <v>62</v>
      </c>
      <c r="C6116" s="9">
        <v>45870</v>
      </c>
      <c r="D6116">
        <v>10</v>
      </c>
      <c r="E6116" s="16" t="s">
        <v>95</v>
      </c>
      <c r="F6116" s="16" t="s">
        <v>83</v>
      </c>
      <c r="G6116" s="22">
        <v>30</v>
      </c>
      <c r="H6116" s="18">
        <v>499.55</v>
      </c>
      <c r="I6116" s="18">
        <v>16.651666667000001</v>
      </c>
      <c r="J6116" s="18">
        <v>16.809999999999999</v>
      </c>
      <c r="K6116" s="18">
        <v>16.48</v>
      </c>
      <c r="L6116" s="22">
        <v>5</v>
      </c>
    </row>
    <row r="6117" spans="1:12">
      <c r="A6117">
        <v>7</v>
      </c>
      <c r="B6117" s="16" t="s">
        <v>62</v>
      </c>
      <c r="C6117" s="9">
        <v>45901</v>
      </c>
      <c r="D6117">
        <v>10</v>
      </c>
      <c r="E6117" s="16" t="s">
        <v>95</v>
      </c>
      <c r="F6117" s="16" t="s">
        <v>83</v>
      </c>
      <c r="G6117" s="22">
        <v>30</v>
      </c>
      <c r="H6117" s="18">
        <v>499.05</v>
      </c>
      <c r="I6117" s="18">
        <v>16.635000000000002</v>
      </c>
      <c r="J6117" s="18">
        <v>17.13</v>
      </c>
      <c r="K6117" s="18">
        <v>16.27</v>
      </c>
      <c r="L6117" s="22">
        <v>6</v>
      </c>
    </row>
    <row r="6118" spans="1:12">
      <c r="A6118">
        <v>7</v>
      </c>
      <c r="B6118" s="16" t="s">
        <v>62</v>
      </c>
      <c r="C6118" s="9">
        <v>45931</v>
      </c>
      <c r="D6118">
        <v>10</v>
      </c>
      <c r="E6118" s="16" t="s">
        <v>95</v>
      </c>
      <c r="F6118" s="16" t="s">
        <v>83</v>
      </c>
      <c r="G6118" s="22">
        <v>40</v>
      </c>
      <c r="H6118" s="18">
        <v>660.5</v>
      </c>
      <c r="I6118" s="18">
        <v>16.512499999999999</v>
      </c>
      <c r="J6118" s="18">
        <v>16.79</v>
      </c>
      <c r="K6118" s="18">
        <v>16.149999999999999</v>
      </c>
      <c r="L6118" s="22">
        <v>8</v>
      </c>
    </row>
    <row r="6119" spans="1:12">
      <c r="A6119">
        <v>7</v>
      </c>
      <c r="B6119" s="16" t="s">
        <v>62</v>
      </c>
      <c r="C6119" s="9">
        <v>45962</v>
      </c>
      <c r="D6119">
        <v>10</v>
      </c>
      <c r="E6119" s="16" t="s">
        <v>95</v>
      </c>
      <c r="F6119" s="16" t="s">
        <v>83</v>
      </c>
      <c r="G6119" s="22">
        <v>30</v>
      </c>
      <c r="H6119" s="18">
        <v>490.65</v>
      </c>
      <c r="I6119" s="18">
        <v>16.355</v>
      </c>
      <c r="J6119" s="18">
        <v>16.5</v>
      </c>
      <c r="K6119" s="18">
        <v>16.07</v>
      </c>
      <c r="L6119" s="22">
        <v>5</v>
      </c>
    </row>
    <row r="6120" spans="1:12">
      <c r="A6120">
        <v>7</v>
      </c>
      <c r="B6120" s="16" t="s">
        <v>62</v>
      </c>
      <c r="C6120" s="9">
        <v>45992</v>
      </c>
      <c r="D6120">
        <v>10</v>
      </c>
      <c r="E6120" s="16" t="s">
        <v>95</v>
      </c>
      <c r="F6120" s="16" t="s">
        <v>83</v>
      </c>
      <c r="G6120" s="22">
        <v>30</v>
      </c>
      <c r="H6120" s="18">
        <v>488.3</v>
      </c>
      <c r="I6120" s="18">
        <v>16.276666667000001</v>
      </c>
      <c r="J6120" s="18">
        <v>16.47</v>
      </c>
      <c r="K6120" s="18">
        <v>16.010000000000002</v>
      </c>
      <c r="L6120" s="22">
        <v>6</v>
      </c>
    </row>
    <row r="6121" spans="1:12">
      <c r="A6121">
        <v>7</v>
      </c>
      <c r="B6121" s="16" t="s">
        <v>62</v>
      </c>
      <c r="C6121" s="9">
        <v>46023</v>
      </c>
      <c r="D6121">
        <v>10</v>
      </c>
      <c r="E6121" s="16" t="s">
        <v>95</v>
      </c>
      <c r="F6121" s="16" t="s">
        <v>83</v>
      </c>
      <c r="G6121" s="22">
        <v>30</v>
      </c>
      <c r="H6121" s="18">
        <v>457.7</v>
      </c>
      <c r="I6121" s="18">
        <v>15.256666666999999</v>
      </c>
      <c r="J6121" s="18">
        <v>15.69</v>
      </c>
      <c r="K6121" s="18">
        <v>14.96</v>
      </c>
      <c r="L6121" s="22">
        <v>6</v>
      </c>
    </row>
    <row r="6122" spans="1:12">
      <c r="A6122">
        <v>7</v>
      </c>
      <c r="B6122" s="16" t="s">
        <v>62</v>
      </c>
      <c r="C6122" s="9">
        <v>46054</v>
      </c>
      <c r="D6122">
        <v>10</v>
      </c>
      <c r="E6122" s="16" t="s">
        <v>95</v>
      </c>
      <c r="F6122" s="16" t="s">
        <v>83</v>
      </c>
      <c r="G6122" s="22">
        <v>35</v>
      </c>
      <c r="H6122" s="18">
        <v>530.45000000000005</v>
      </c>
      <c r="I6122" s="18">
        <v>15.155714286</v>
      </c>
      <c r="J6122" s="18">
        <v>15.26</v>
      </c>
      <c r="K6122" s="18">
        <v>15.04</v>
      </c>
      <c r="L6122" s="22">
        <v>6</v>
      </c>
    </row>
    <row r="6123" spans="1:12">
      <c r="A6123">
        <v>7</v>
      </c>
      <c r="B6123" s="16" t="s">
        <v>62</v>
      </c>
      <c r="C6123" s="9">
        <v>46082</v>
      </c>
      <c r="D6123">
        <v>10</v>
      </c>
      <c r="E6123" s="16" t="s">
        <v>95</v>
      </c>
      <c r="F6123" s="16" t="s">
        <v>83</v>
      </c>
      <c r="G6123" s="22">
        <v>35</v>
      </c>
      <c r="H6123" s="18">
        <v>535.20000000000005</v>
      </c>
      <c r="I6123" s="18">
        <v>15.291428571000001</v>
      </c>
      <c r="J6123" s="18">
        <v>15.49</v>
      </c>
      <c r="K6123" s="18">
        <v>14.92</v>
      </c>
      <c r="L6123" s="22">
        <v>7</v>
      </c>
    </row>
    <row r="6124" spans="1:12">
      <c r="A6124">
        <v>7</v>
      </c>
      <c r="B6124" s="16" t="s">
        <v>62</v>
      </c>
      <c r="C6124" s="9">
        <v>46113</v>
      </c>
      <c r="D6124">
        <v>10</v>
      </c>
      <c r="E6124" s="16" t="s">
        <v>95</v>
      </c>
      <c r="F6124" s="16" t="s">
        <v>83</v>
      </c>
      <c r="G6124" s="22">
        <v>40</v>
      </c>
      <c r="H6124" s="18">
        <v>617.25</v>
      </c>
      <c r="I6124" s="18">
        <v>15.43125</v>
      </c>
      <c r="J6124" s="18">
        <v>15.65</v>
      </c>
      <c r="K6124" s="18">
        <v>15.19</v>
      </c>
      <c r="L6124" s="22">
        <v>7</v>
      </c>
    </row>
    <row r="6125" spans="1:12">
      <c r="A6125">
        <v>7</v>
      </c>
      <c r="B6125" s="16" t="s">
        <v>62</v>
      </c>
      <c r="C6125" s="9">
        <v>46143</v>
      </c>
      <c r="D6125">
        <v>10</v>
      </c>
      <c r="E6125" s="16" t="s">
        <v>95</v>
      </c>
      <c r="F6125" s="16" t="s">
        <v>83</v>
      </c>
      <c r="G6125" s="22">
        <v>35</v>
      </c>
      <c r="H6125" s="18">
        <v>541.45000000000005</v>
      </c>
      <c r="I6125" s="18">
        <v>15.47</v>
      </c>
      <c r="J6125" s="18">
        <v>15.73</v>
      </c>
      <c r="K6125" s="18">
        <v>15.31</v>
      </c>
      <c r="L6125" s="22">
        <v>5</v>
      </c>
    </row>
    <row r="6126" spans="1:12">
      <c r="A6126">
        <v>7</v>
      </c>
      <c r="B6126" s="16" t="s">
        <v>62</v>
      </c>
      <c r="C6126" s="9">
        <v>46174</v>
      </c>
      <c r="D6126">
        <v>10</v>
      </c>
      <c r="E6126" s="16" t="s">
        <v>95</v>
      </c>
      <c r="F6126" s="16" t="s">
        <v>83</v>
      </c>
      <c r="G6126" s="22">
        <v>35</v>
      </c>
      <c r="H6126" s="18">
        <v>549.5</v>
      </c>
      <c r="I6126" s="18">
        <v>15.7</v>
      </c>
      <c r="J6126" s="18">
        <v>16.38</v>
      </c>
      <c r="K6126" s="18">
        <v>15.38</v>
      </c>
      <c r="L6126" s="22">
        <v>7</v>
      </c>
    </row>
    <row r="6127" spans="1:12">
      <c r="A6127">
        <v>7</v>
      </c>
      <c r="B6127" s="16" t="s">
        <v>62</v>
      </c>
      <c r="C6127" s="9">
        <v>46204</v>
      </c>
      <c r="D6127">
        <v>10</v>
      </c>
      <c r="E6127" s="16" t="s">
        <v>95</v>
      </c>
      <c r="F6127" s="16" t="s">
        <v>83</v>
      </c>
      <c r="G6127" s="22">
        <v>35</v>
      </c>
      <c r="H6127" s="18">
        <v>583.45000000000005</v>
      </c>
      <c r="I6127" s="18">
        <v>16.670000000000002</v>
      </c>
      <c r="J6127" s="18">
        <v>17.100000000000001</v>
      </c>
      <c r="K6127" s="18">
        <v>16.510000000000002</v>
      </c>
      <c r="L6127" s="22">
        <v>7</v>
      </c>
    </row>
    <row r="6128" spans="1:12">
      <c r="A6128">
        <v>7</v>
      </c>
      <c r="B6128" s="16" t="s">
        <v>62</v>
      </c>
      <c r="C6128" s="9">
        <v>46235</v>
      </c>
      <c r="D6128">
        <v>10</v>
      </c>
      <c r="E6128" s="16" t="s">
        <v>95</v>
      </c>
      <c r="F6128" s="16" t="s">
        <v>83</v>
      </c>
      <c r="G6128" s="22">
        <v>35</v>
      </c>
      <c r="H6128" s="18">
        <v>586.15</v>
      </c>
      <c r="I6128" s="18">
        <v>16.747142857</v>
      </c>
      <c r="J6128" s="18">
        <v>17.059999999999999</v>
      </c>
      <c r="K6128" s="18">
        <v>16.45</v>
      </c>
      <c r="L6128" s="22">
        <v>5</v>
      </c>
    </row>
    <row r="6129" spans="1:12">
      <c r="A6129">
        <v>7</v>
      </c>
      <c r="B6129" s="16" t="s">
        <v>62</v>
      </c>
      <c r="C6129" s="9">
        <v>46266</v>
      </c>
      <c r="D6129">
        <v>10</v>
      </c>
      <c r="E6129" s="16" t="s">
        <v>95</v>
      </c>
      <c r="F6129" s="16" t="s">
        <v>83</v>
      </c>
      <c r="G6129" s="22">
        <v>35</v>
      </c>
      <c r="H6129" s="18">
        <v>584.1</v>
      </c>
      <c r="I6129" s="18">
        <v>16.688571429</v>
      </c>
      <c r="J6129" s="18">
        <v>16.920000000000002</v>
      </c>
      <c r="K6129" s="18">
        <v>16.38</v>
      </c>
      <c r="L6129" s="22">
        <v>7</v>
      </c>
    </row>
    <row r="6130" spans="1:12">
      <c r="A6130">
        <v>7</v>
      </c>
      <c r="B6130" s="16" t="s">
        <v>62</v>
      </c>
      <c r="C6130" s="9">
        <v>45689</v>
      </c>
      <c r="D6130">
        <v>11</v>
      </c>
      <c r="E6130" s="16" t="s">
        <v>96</v>
      </c>
      <c r="F6130" s="16" t="s">
        <v>87</v>
      </c>
      <c r="G6130" s="22">
        <v>7.5</v>
      </c>
      <c r="H6130" s="18">
        <v>167.04249999999999</v>
      </c>
      <c r="I6130" s="18">
        <v>22.272333332999999</v>
      </c>
      <c r="J6130" s="18">
        <v>23.76</v>
      </c>
      <c r="K6130" s="18">
        <v>21.52</v>
      </c>
      <c r="L6130" s="22">
        <v>6</v>
      </c>
    </row>
    <row r="6131" spans="1:12">
      <c r="A6131">
        <v>7</v>
      </c>
      <c r="B6131" s="16" t="s">
        <v>62</v>
      </c>
      <c r="C6131" s="9">
        <v>45717</v>
      </c>
      <c r="D6131">
        <v>11</v>
      </c>
      <c r="E6131" s="16" t="s">
        <v>96</v>
      </c>
      <c r="F6131" s="16" t="s">
        <v>87</v>
      </c>
      <c r="G6131" s="22">
        <v>13</v>
      </c>
      <c r="H6131" s="18">
        <v>282.81</v>
      </c>
      <c r="I6131" s="18">
        <v>21.754615385000001</v>
      </c>
      <c r="J6131" s="18">
        <v>22.31</v>
      </c>
      <c r="K6131" s="18">
        <v>21.52</v>
      </c>
      <c r="L6131" s="22">
        <v>9</v>
      </c>
    </row>
    <row r="6132" spans="1:12">
      <c r="A6132">
        <v>7</v>
      </c>
      <c r="B6132" s="16" t="s">
        <v>62</v>
      </c>
      <c r="C6132" s="9">
        <v>45748</v>
      </c>
      <c r="D6132">
        <v>11</v>
      </c>
      <c r="E6132" s="16" t="s">
        <v>96</v>
      </c>
      <c r="F6132" s="16" t="s">
        <v>87</v>
      </c>
      <c r="G6132" s="22">
        <v>13.75</v>
      </c>
      <c r="H6132" s="18">
        <v>301.24250000000001</v>
      </c>
      <c r="I6132" s="18">
        <v>21.908545454999999</v>
      </c>
      <c r="J6132" s="18">
        <v>22.28</v>
      </c>
      <c r="K6132" s="18">
        <v>21.18</v>
      </c>
      <c r="L6132" s="22">
        <v>8</v>
      </c>
    </row>
    <row r="6133" spans="1:12">
      <c r="A6133">
        <v>7</v>
      </c>
      <c r="B6133" s="16" t="s">
        <v>62</v>
      </c>
      <c r="C6133" s="9">
        <v>45778</v>
      </c>
      <c r="D6133">
        <v>11</v>
      </c>
      <c r="E6133" s="16" t="s">
        <v>96</v>
      </c>
      <c r="F6133" s="16" t="s">
        <v>87</v>
      </c>
      <c r="G6133" s="22">
        <v>12</v>
      </c>
      <c r="H6133" s="18">
        <v>266.54000000000002</v>
      </c>
      <c r="I6133" s="18">
        <v>22.211666666999999</v>
      </c>
      <c r="J6133" s="18">
        <v>22.75</v>
      </c>
      <c r="K6133" s="18">
        <v>21.81</v>
      </c>
      <c r="L6133" s="22">
        <v>9</v>
      </c>
    </row>
    <row r="6134" spans="1:12">
      <c r="A6134">
        <v>7</v>
      </c>
      <c r="B6134" s="16" t="s">
        <v>62</v>
      </c>
      <c r="C6134" s="9">
        <v>45809</v>
      </c>
      <c r="D6134">
        <v>11</v>
      </c>
      <c r="E6134" s="16" t="s">
        <v>96</v>
      </c>
      <c r="F6134" s="16" t="s">
        <v>87</v>
      </c>
      <c r="G6134" s="22">
        <v>11.5</v>
      </c>
      <c r="H6134" s="18">
        <v>256.19</v>
      </c>
      <c r="I6134" s="18">
        <v>22.277391303999998</v>
      </c>
      <c r="J6134" s="18">
        <v>22.55</v>
      </c>
      <c r="K6134" s="18">
        <v>21.82</v>
      </c>
      <c r="L6134" s="22">
        <v>9</v>
      </c>
    </row>
    <row r="6135" spans="1:12">
      <c r="A6135">
        <v>7</v>
      </c>
      <c r="B6135" s="16" t="s">
        <v>62</v>
      </c>
      <c r="C6135" s="9">
        <v>45839</v>
      </c>
      <c r="D6135">
        <v>11</v>
      </c>
      <c r="E6135" s="16" t="s">
        <v>96</v>
      </c>
      <c r="F6135" s="16" t="s">
        <v>87</v>
      </c>
      <c r="G6135" s="22">
        <v>13</v>
      </c>
      <c r="H6135" s="18">
        <v>295.95499999999998</v>
      </c>
      <c r="I6135" s="18">
        <v>22.765769231</v>
      </c>
      <c r="J6135" s="18">
        <v>24.09</v>
      </c>
      <c r="K6135" s="18">
        <v>22.12</v>
      </c>
      <c r="L6135" s="22">
        <v>9</v>
      </c>
    </row>
    <row r="6136" spans="1:12">
      <c r="A6136">
        <v>7</v>
      </c>
      <c r="B6136" s="16" t="s">
        <v>62</v>
      </c>
      <c r="C6136" s="9">
        <v>45870</v>
      </c>
      <c r="D6136">
        <v>11</v>
      </c>
      <c r="E6136" s="16" t="s">
        <v>96</v>
      </c>
      <c r="F6136" s="16" t="s">
        <v>87</v>
      </c>
      <c r="G6136" s="22">
        <v>9.75</v>
      </c>
      <c r="H6136" s="18">
        <v>222.16249999999999</v>
      </c>
      <c r="I6136" s="18">
        <v>22.785897435999999</v>
      </c>
      <c r="J6136" s="18">
        <v>23.3</v>
      </c>
      <c r="K6136" s="18">
        <v>22.33</v>
      </c>
      <c r="L6136" s="22">
        <v>8</v>
      </c>
    </row>
    <row r="6137" spans="1:12">
      <c r="A6137">
        <v>7</v>
      </c>
      <c r="B6137" s="16" t="s">
        <v>62</v>
      </c>
      <c r="C6137" s="9">
        <v>45901</v>
      </c>
      <c r="D6137">
        <v>11</v>
      </c>
      <c r="E6137" s="16" t="s">
        <v>96</v>
      </c>
      <c r="F6137" s="16" t="s">
        <v>87</v>
      </c>
      <c r="G6137" s="22">
        <v>13.25</v>
      </c>
      <c r="H6137" s="18">
        <v>303.88499999999999</v>
      </c>
      <c r="I6137" s="18">
        <v>22.934716981000001</v>
      </c>
      <c r="J6137" s="18">
        <v>23.3</v>
      </c>
      <c r="K6137" s="18">
        <v>22.6</v>
      </c>
      <c r="L6137" s="22">
        <v>9</v>
      </c>
    </row>
    <row r="6138" spans="1:12">
      <c r="A6138">
        <v>7</v>
      </c>
      <c r="B6138" s="16" t="s">
        <v>62</v>
      </c>
      <c r="C6138" s="9">
        <v>45931</v>
      </c>
      <c r="D6138">
        <v>11</v>
      </c>
      <c r="E6138" s="16" t="s">
        <v>96</v>
      </c>
      <c r="F6138" s="16" t="s">
        <v>87</v>
      </c>
      <c r="G6138" s="22">
        <v>11</v>
      </c>
      <c r="H6138" s="18">
        <v>252.64750000000001</v>
      </c>
      <c r="I6138" s="18">
        <v>22.967954545000001</v>
      </c>
      <c r="J6138" s="18">
        <v>23.23</v>
      </c>
      <c r="K6138" s="18">
        <v>22.74</v>
      </c>
      <c r="L6138" s="22">
        <v>9</v>
      </c>
    </row>
    <row r="6139" spans="1:12">
      <c r="A6139">
        <v>7</v>
      </c>
      <c r="B6139" s="16" t="s">
        <v>62</v>
      </c>
      <c r="C6139" s="9">
        <v>45962</v>
      </c>
      <c r="D6139">
        <v>11</v>
      </c>
      <c r="E6139" s="16" t="s">
        <v>96</v>
      </c>
      <c r="F6139" s="16" t="s">
        <v>87</v>
      </c>
      <c r="G6139" s="22">
        <v>11.5</v>
      </c>
      <c r="H6139" s="18">
        <v>267.96249999999998</v>
      </c>
      <c r="I6139" s="18">
        <v>23.301086956999999</v>
      </c>
      <c r="J6139" s="18">
        <v>24.56</v>
      </c>
      <c r="K6139" s="18">
        <v>22.97</v>
      </c>
      <c r="L6139" s="22">
        <v>8</v>
      </c>
    </row>
    <row r="6140" spans="1:12">
      <c r="A6140">
        <v>7</v>
      </c>
      <c r="B6140" s="16" t="s">
        <v>62</v>
      </c>
      <c r="C6140" s="9">
        <v>45992</v>
      </c>
      <c r="D6140">
        <v>11</v>
      </c>
      <c r="E6140" s="16" t="s">
        <v>96</v>
      </c>
      <c r="F6140" s="16" t="s">
        <v>87</v>
      </c>
      <c r="G6140" s="22">
        <v>11.75</v>
      </c>
      <c r="H6140" s="18">
        <v>273.59750000000003</v>
      </c>
      <c r="I6140" s="18">
        <v>23.284893617000002</v>
      </c>
      <c r="J6140" s="18">
        <v>24.33</v>
      </c>
      <c r="K6140" s="18">
        <v>22.39</v>
      </c>
      <c r="L6140" s="22">
        <v>9</v>
      </c>
    </row>
    <row r="6141" spans="1:12">
      <c r="A6141">
        <v>7</v>
      </c>
      <c r="B6141" s="16" t="s">
        <v>62</v>
      </c>
      <c r="C6141" s="9">
        <v>46023</v>
      </c>
      <c r="D6141">
        <v>11</v>
      </c>
      <c r="E6141" s="16" t="s">
        <v>96</v>
      </c>
      <c r="F6141" s="16" t="s">
        <v>87</v>
      </c>
      <c r="G6141" s="22">
        <v>11.5</v>
      </c>
      <c r="H6141" s="18">
        <v>263.9325</v>
      </c>
      <c r="I6141" s="18">
        <v>22.950652173999998</v>
      </c>
      <c r="J6141" s="18">
        <v>23.43</v>
      </c>
      <c r="K6141" s="18">
        <v>22.5</v>
      </c>
      <c r="L6141" s="22">
        <v>9</v>
      </c>
    </row>
    <row r="6142" spans="1:12">
      <c r="A6142">
        <v>7</v>
      </c>
      <c r="B6142" s="16" t="s">
        <v>62</v>
      </c>
      <c r="C6142" s="9">
        <v>46054</v>
      </c>
      <c r="D6142">
        <v>11</v>
      </c>
      <c r="E6142" s="16" t="s">
        <v>96</v>
      </c>
      <c r="F6142" s="16" t="s">
        <v>87</v>
      </c>
      <c r="G6142" s="22">
        <v>10</v>
      </c>
      <c r="H6142" s="18">
        <v>234.0975</v>
      </c>
      <c r="I6142" s="18">
        <v>23.409749999999999</v>
      </c>
      <c r="J6142" s="18">
        <v>23.77</v>
      </c>
      <c r="K6142" s="18">
        <v>23.1</v>
      </c>
      <c r="L6142" s="22">
        <v>7</v>
      </c>
    </row>
    <row r="6143" spans="1:12">
      <c r="A6143">
        <v>7</v>
      </c>
      <c r="B6143" s="16" t="s">
        <v>62</v>
      </c>
      <c r="C6143" s="9">
        <v>46082</v>
      </c>
      <c r="D6143">
        <v>11</v>
      </c>
      <c r="E6143" s="16" t="s">
        <v>96</v>
      </c>
      <c r="F6143" s="16" t="s">
        <v>87</v>
      </c>
      <c r="G6143" s="22">
        <v>14</v>
      </c>
      <c r="H6143" s="18">
        <v>329.11250000000001</v>
      </c>
      <c r="I6143" s="18">
        <v>23.508035713999998</v>
      </c>
      <c r="J6143" s="18">
        <v>24.91</v>
      </c>
      <c r="K6143" s="18">
        <v>22.86</v>
      </c>
      <c r="L6143" s="22">
        <v>9</v>
      </c>
    </row>
    <row r="6144" spans="1:12">
      <c r="A6144">
        <v>7</v>
      </c>
      <c r="B6144" s="16" t="s">
        <v>62</v>
      </c>
      <c r="C6144" s="9">
        <v>46113</v>
      </c>
      <c r="D6144">
        <v>11</v>
      </c>
      <c r="E6144" s="16" t="s">
        <v>96</v>
      </c>
      <c r="F6144" s="16" t="s">
        <v>87</v>
      </c>
      <c r="G6144" s="22">
        <v>14.75</v>
      </c>
      <c r="H6144" s="18">
        <v>345.85</v>
      </c>
      <c r="I6144" s="18">
        <v>23.447457626999999</v>
      </c>
      <c r="J6144" s="18">
        <v>24.06</v>
      </c>
      <c r="K6144" s="18">
        <v>22.98</v>
      </c>
      <c r="L6144" s="22">
        <v>9</v>
      </c>
    </row>
    <row r="6145" spans="1:12">
      <c r="A6145">
        <v>7</v>
      </c>
      <c r="B6145" s="16" t="s">
        <v>62</v>
      </c>
      <c r="C6145" s="9">
        <v>46143</v>
      </c>
      <c r="D6145">
        <v>11</v>
      </c>
      <c r="E6145" s="16" t="s">
        <v>96</v>
      </c>
      <c r="F6145" s="16" t="s">
        <v>87</v>
      </c>
      <c r="G6145" s="22">
        <v>11.75</v>
      </c>
      <c r="H6145" s="18">
        <v>277.60250000000002</v>
      </c>
      <c r="I6145" s="18">
        <v>23.625744681</v>
      </c>
      <c r="J6145" s="18">
        <v>24.36</v>
      </c>
      <c r="K6145" s="18">
        <v>23.28</v>
      </c>
      <c r="L6145" s="22">
        <v>7</v>
      </c>
    </row>
    <row r="6146" spans="1:12">
      <c r="A6146">
        <v>7</v>
      </c>
      <c r="B6146" s="16" t="s">
        <v>62</v>
      </c>
      <c r="C6146" s="9">
        <v>46174</v>
      </c>
      <c r="D6146">
        <v>11</v>
      </c>
      <c r="E6146" s="16" t="s">
        <v>96</v>
      </c>
      <c r="F6146" s="16" t="s">
        <v>87</v>
      </c>
      <c r="G6146" s="22">
        <v>11.75</v>
      </c>
      <c r="H6146" s="18">
        <v>277.98</v>
      </c>
      <c r="I6146" s="18">
        <v>23.657872340000001</v>
      </c>
      <c r="J6146" s="18">
        <v>24.05</v>
      </c>
      <c r="K6146" s="18">
        <v>23.03</v>
      </c>
      <c r="L6146" s="22">
        <v>9</v>
      </c>
    </row>
    <row r="6147" spans="1:12">
      <c r="A6147">
        <v>7</v>
      </c>
      <c r="B6147" s="16" t="s">
        <v>62</v>
      </c>
      <c r="C6147" s="9">
        <v>46204</v>
      </c>
      <c r="D6147">
        <v>11</v>
      </c>
      <c r="E6147" s="16" t="s">
        <v>96</v>
      </c>
      <c r="F6147" s="16" t="s">
        <v>87</v>
      </c>
      <c r="G6147" s="22">
        <v>15.25</v>
      </c>
      <c r="H6147" s="18">
        <v>356.33</v>
      </c>
      <c r="I6147" s="18">
        <v>23.365901639000001</v>
      </c>
      <c r="J6147" s="18">
        <v>24.19</v>
      </c>
      <c r="K6147" s="18">
        <v>22.74</v>
      </c>
      <c r="L6147" s="22">
        <v>9</v>
      </c>
    </row>
    <row r="6148" spans="1:12">
      <c r="A6148">
        <v>7</v>
      </c>
      <c r="B6148" s="16" t="s">
        <v>62</v>
      </c>
      <c r="C6148" s="9">
        <v>46235</v>
      </c>
      <c r="D6148">
        <v>11</v>
      </c>
      <c r="E6148" s="16" t="s">
        <v>96</v>
      </c>
      <c r="F6148" s="16" t="s">
        <v>87</v>
      </c>
      <c r="G6148" s="22">
        <v>13.75</v>
      </c>
      <c r="H6148" s="18">
        <v>317.63249999999999</v>
      </c>
      <c r="I6148" s="18">
        <v>23.100545454999999</v>
      </c>
      <c r="J6148" s="18">
        <v>23.5</v>
      </c>
      <c r="K6148" s="18">
        <v>22.71</v>
      </c>
      <c r="L6148" s="22">
        <v>9</v>
      </c>
    </row>
    <row r="6149" spans="1:12">
      <c r="A6149">
        <v>7</v>
      </c>
      <c r="B6149" s="16" t="s">
        <v>62</v>
      </c>
      <c r="C6149" s="9">
        <v>46266</v>
      </c>
      <c r="D6149">
        <v>11</v>
      </c>
      <c r="E6149" s="16" t="s">
        <v>96</v>
      </c>
      <c r="F6149" s="16" t="s">
        <v>87</v>
      </c>
      <c r="G6149" s="22">
        <v>13.5</v>
      </c>
      <c r="H6149" s="18">
        <v>310.23</v>
      </c>
      <c r="I6149" s="18">
        <v>22.98</v>
      </c>
      <c r="J6149" s="18">
        <v>23.59</v>
      </c>
      <c r="K6149" s="18">
        <v>22.66</v>
      </c>
      <c r="L6149" s="22">
        <v>8</v>
      </c>
    </row>
    <row r="6150" spans="1:12">
      <c r="A6150">
        <v>7</v>
      </c>
      <c r="B6150" s="16" t="s">
        <v>62</v>
      </c>
      <c r="C6150" s="9">
        <v>45689</v>
      </c>
      <c r="D6150">
        <v>13</v>
      </c>
      <c r="E6150" s="16" t="s">
        <v>97</v>
      </c>
      <c r="F6150" s="16" t="s">
        <v>98</v>
      </c>
      <c r="G6150" s="22">
        <v>40</v>
      </c>
      <c r="H6150" s="18">
        <v>82.6</v>
      </c>
      <c r="I6150" s="18">
        <v>2.0649999999999999</v>
      </c>
      <c r="J6150" s="18">
        <v>2.0699999999999998</v>
      </c>
      <c r="K6150" s="18">
        <v>2.06</v>
      </c>
      <c r="L6150" s="22">
        <v>2</v>
      </c>
    </row>
    <row r="6151" spans="1:12">
      <c r="A6151">
        <v>7</v>
      </c>
      <c r="B6151" s="16" t="s">
        <v>62</v>
      </c>
      <c r="C6151" s="9">
        <v>45717</v>
      </c>
      <c r="D6151">
        <v>13</v>
      </c>
      <c r="E6151" s="16" t="s">
        <v>97</v>
      </c>
      <c r="F6151" s="16" t="s">
        <v>98</v>
      </c>
      <c r="G6151" s="22">
        <v>80</v>
      </c>
      <c r="H6151" s="18">
        <v>163.19999999999999</v>
      </c>
      <c r="I6151" s="18">
        <v>2.04</v>
      </c>
      <c r="J6151" s="18">
        <v>2.06</v>
      </c>
      <c r="K6151" s="18">
        <v>2.02</v>
      </c>
      <c r="L6151" s="22">
        <v>2</v>
      </c>
    </row>
    <row r="6152" spans="1:12">
      <c r="A6152">
        <v>7</v>
      </c>
      <c r="B6152" s="16" t="s">
        <v>62</v>
      </c>
      <c r="C6152" s="9">
        <v>45748</v>
      </c>
      <c r="D6152">
        <v>13</v>
      </c>
      <c r="E6152" s="16" t="s">
        <v>97</v>
      </c>
      <c r="F6152" s="16" t="s">
        <v>98</v>
      </c>
      <c r="G6152" s="22">
        <v>60</v>
      </c>
      <c r="H6152" s="18">
        <v>123.2</v>
      </c>
      <c r="I6152" s="18">
        <v>2.0533333329999999</v>
      </c>
      <c r="J6152" s="18">
        <v>2.1</v>
      </c>
      <c r="K6152" s="18">
        <v>2.0299999999999998</v>
      </c>
      <c r="L6152" s="22">
        <v>2</v>
      </c>
    </row>
    <row r="6153" spans="1:12">
      <c r="A6153">
        <v>7</v>
      </c>
      <c r="B6153" s="16" t="s">
        <v>62</v>
      </c>
      <c r="C6153" s="9">
        <v>45778</v>
      </c>
      <c r="D6153">
        <v>13</v>
      </c>
      <c r="E6153" s="16" t="s">
        <v>97</v>
      </c>
      <c r="F6153" s="16" t="s">
        <v>98</v>
      </c>
      <c r="G6153" s="22">
        <v>80</v>
      </c>
      <c r="H6153" s="18">
        <v>166</v>
      </c>
      <c r="I6153" s="18">
        <v>2.0750000000000002</v>
      </c>
      <c r="J6153" s="18">
        <v>2.08</v>
      </c>
      <c r="K6153" s="18">
        <v>2.0699999999999998</v>
      </c>
      <c r="L6153" s="22">
        <v>2</v>
      </c>
    </row>
    <row r="6154" spans="1:12">
      <c r="A6154">
        <v>7</v>
      </c>
      <c r="B6154" s="16" t="s">
        <v>62</v>
      </c>
      <c r="C6154" s="9">
        <v>45809</v>
      </c>
      <c r="D6154">
        <v>13</v>
      </c>
      <c r="E6154" s="16" t="s">
        <v>97</v>
      </c>
      <c r="F6154" s="16" t="s">
        <v>98</v>
      </c>
      <c r="G6154" s="22">
        <v>80</v>
      </c>
      <c r="H6154" s="18">
        <v>171.6</v>
      </c>
      <c r="I6154" s="18">
        <v>2.145</v>
      </c>
      <c r="J6154" s="18">
        <v>2.16</v>
      </c>
      <c r="K6154" s="18">
        <v>2.13</v>
      </c>
      <c r="L6154" s="22">
        <v>2</v>
      </c>
    </row>
    <row r="6155" spans="1:12">
      <c r="A6155">
        <v>7</v>
      </c>
      <c r="B6155" s="16" t="s">
        <v>62</v>
      </c>
      <c r="C6155" s="9">
        <v>45839</v>
      </c>
      <c r="D6155">
        <v>13</v>
      </c>
      <c r="E6155" s="16" t="s">
        <v>97</v>
      </c>
      <c r="F6155" s="16" t="s">
        <v>98</v>
      </c>
      <c r="G6155" s="22">
        <v>120</v>
      </c>
      <c r="H6155" s="18">
        <v>256.8</v>
      </c>
      <c r="I6155" s="18">
        <v>2.14</v>
      </c>
      <c r="J6155" s="18">
        <v>2.16</v>
      </c>
      <c r="K6155" s="18">
        <v>2.1</v>
      </c>
      <c r="L6155" s="22">
        <v>3</v>
      </c>
    </row>
    <row r="6156" spans="1:12">
      <c r="A6156">
        <v>7</v>
      </c>
      <c r="B6156" s="16" t="s">
        <v>62</v>
      </c>
      <c r="C6156" s="9">
        <v>45870</v>
      </c>
      <c r="D6156">
        <v>13</v>
      </c>
      <c r="E6156" s="16" t="s">
        <v>97</v>
      </c>
      <c r="F6156" s="16" t="s">
        <v>98</v>
      </c>
      <c r="G6156" s="22">
        <v>80</v>
      </c>
      <c r="H6156" s="18">
        <v>175.6</v>
      </c>
      <c r="I6156" s="18">
        <v>2.1949999999999998</v>
      </c>
      <c r="J6156" s="18">
        <v>2.2000000000000002</v>
      </c>
      <c r="K6156" s="18">
        <v>2.19</v>
      </c>
      <c r="L6156" s="22">
        <v>2</v>
      </c>
    </row>
    <row r="6157" spans="1:12">
      <c r="A6157">
        <v>7</v>
      </c>
      <c r="B6157" s="16" t="s">
        <v>62</v>
      </c>
      <c r="C6157" s="9">
        <v>45901</v>
      </c>
      <c r="D6157">
        <v>13</v>
      </c>
      <c r="E6157" s="16" t="s">
        <v>97</v>
      </c>
      <c r="F6157" s="16" t="s">
        <v>98</v>
      </c>
      <c r="G6157" s="22">
        <v>80</v>
      </c>
      <c r="H6157" s="18">
        <v>174.8</v>
      </c>
      <c r="I6157" s="18">
        <v>2.1850000000000001</v>
      </c>
      <c r="J6157" s="18">
        <v>2.2000000000000002</v>
      </c>
      <c r="K6157" s="18">
        <v>2.17</v>
      </c>
      <c r="L6157" s="22">
        <v>2</v>
      </c>
    </row>
    <row r="6158" spans="1:12">
      <c r="A6158">
        <v>7</v>
      </c>
      <c r="B6158" s="16" t="s">
        <v>62</v>
      </c>
      <c r="C6158" s="9">
        <v>45931</v>
      </c>
      <c r="D6158">
        <v>13</v>
      </c>
      <c r="E6158" s="16" t="s">
        <v>97</v>
      </c>
      <c r="F6158" s="16" t="s">
        <v>98</v>
      </c>
      <c r="G6158" s="22">
        <v>60</v>
      </c>
      <c r="H6158" s="18">
        <v>134.4</v>
      </c>
      <c r="I6158" s="18">
        <v>2.2400000000000002</v>
      </c>
      <c r="J6158" s="18">
        <v>2.2799999999999998</v>
      </c>
      <c r="K6158" s="18">
        <v>2.2200000000000002</v>
      </c>
      <c r="L6158" s="22">
        <v>2</v>
      </c>
    </row>
    <row r="6159" spans="1:12">
      <c r="A6159">
        <v>7</v>
      </c>
      <c r="B6159" s="16" t="s">
        <v>62</v>
      </c>
      <c r="C6159" s="9">
        <v>45962</v>
      </c>
      <c r="D6159">
        <v>13</v>
      </c>
      <c r="E6159" s="16" t="s">
        <v>97</v>
      </c>
      <c r="F6159" s="16" t="s">
        <v>98</v>
      </c>
      <c r="G6159" s="22">
        <v>80</v>
      </c>
      <c r="H6159" s="18">
        <v>182</v>
      </c>
      <c r="I6159" s="18">
        <v>2.2749999999999999</v>
      </c>
      <c r="J6159" s="18">
        <v>2.2799999999999998</v>
      </c>
      <c r="K6159" s="18">
        <v>2.27</v>
      </c>
      <c r="L6159" s="22">
        <v>2</v>
      </c>
    </row>
    <row r="6160" spans="1:12">
      <c r="A6160">
        <v>7</v>
      </c>
      <c r="B6160" s="16" t="s">
        <v>62</v>
      </c>
      <c r="C6160" s="9">
        <v>45992</v>
      </c>
      <c r="D6160">
        <v>13</v>
      </c>
      <c r="E6160" s="16" t="s">
        <v>97</v>
      </c>
      <c r="F6160" s="16" t="s">
        <v>98</v>
      </c>
      <c r="G6160" s="22">
        <v>100</v>
      </c>
      <c r="H6160" s="18">
        <v>228.4</v>
      </c>
      <c r="I6160" s="18">
        <v>2.2839999999999998</v>
      </c>
      <c r="J6160" s="18">
        <v>2.3199999999999998</v>
      </c>
      <c r="K6160" s="18">
        <v>2.27</v>
      </c>
      <c r="L6160" s="22">
        <v>3</v>
      </c>
    </row>
    <row r="6161" spans="1:12">
      <c r="A6161">
        <v>7</v>
      </c>
      <c r="B6161" s="16" t="s">
        <v>62</v>
      </c>
      <c r="C6161" s="9">
        <v>46023</v>
      </c>
      <c r="D6161">
        <v>13</v>
      </c>
      <c r="E6161" s="16" t="s">
        <v>97</v>
      </c>
      <c r="F6161" s="16" t="s">
        <v>98</v>
      </c>
      <c r="G6161" s="22">
        <v>60</v>
      </c>
      <c r="H6161" s="18">
        <v>135.4</v>
      </c>
      <c r="I6161" s="18">
        <v>2.2566666670000002</v>
      </c>
      <c r="J6161" s="18">
        <v>2.31</v>
      </c>
      <c r="K6161" s="18">
        <v>2.23</v>
      </c>
      <c r="L6161" s="22">
        <v>2</v>
      </c>
    </row>
    <row r="6162" spans="1:12">
      <c r="A6162">
        <v>7</v>
      </c>
      <c r="B6162" s="16" t="s">
        <v>62</v>
      </c>
      <c r="C6162" s="9">
        <v>46054</v>
      </c>
      <c r="D6162">
        <v>13</v>
      </c>
      <c r="E6162" s="16" t="s">
        <v>97</v>
      </c>
      <c r="F6162" s="16" t="s">
        <v>98</v>
      </c>
      <c r="G6162" s="22">
        <v>60</v>
      </c>
      <c r="H6162" s="18">
        <v>136.4</v>
      </c>
      <c r="I6162" s="18">
        <v>2.2733333330000001</v>
      </c>
      <c r="J6162" s="18">
        <v>2.2799999999999998</v>
      </c>
      <c r="K6162" s="18">
        <v>2.27</v>
      </c>
      <c r="L6162" s="22">
        <v>2</v>
      </c>
    </row>
    <row r="6163" spans="1:12">
      <c r="A6163">
        <v>7</v>
      </c>
      <c r="B6163" s="16" t="s">
        <v>62</v>
      </c>
      <c r="C6163" s="9">
        <v>46082</v>
      </c>
      <c r="D6163">
        <v>13</v>
      </c>
      <c r="E6163" s="16" t="s">
        <v>97</v>
      </c>
      <c r="F6163" s="16" t="s">
        <v>98</v>
      </c>
      <c r="G6163" s="22">
        <v>100</v>
      </c>
      <c r="H6163" s="18">
        <v>224</v>
      </c>
      <c r="I6163" s="18">
        <v>2.2400000000000002</v>
      </c>
      <c r="J6163" s="18">
        <v>2.2400000000000002</v>
      </c>
      <c r="K6163" s="18">
        <v>2.2400000000000002</v>
      </c>
      <c r="L6163" s="22">
        <v>2</v>
      </c>
    </row>
    <row r="6164" spans="1:12">
      <c r="A6164">
        <v>7</v>
      </c>
      <c r="B6164" s="16" t="s">
        <v>62</v>
      </c>
      <c r="C6164" s="9">
        <v>46113</v>
      </c>
      <c r="D6164">
        <v>13</v>
      </c>
      <c r="E6164" s="16" t="s">
        <v>97</v>
      </c>
      <c r="F6164" s="16" t="s">
        <v>98</v>
      </c>
      <c r="G6164" s="22">
        <v>80</v>
      </c>
      <c r="H6164" s="18">
        <v>179.6</v>
      </c>
      <c r="I6164" s="18">
        <v>2.2450000000000001</v>
      </c>
      <c r="J6164" s="18">
        <v>2.2799999999999998</v>
      </c>
      <c r="K6164" s="18">
        <v>2.21</v>
      </c>
      <c r="L6164" s="22">
        <v>2</v>
      </c>
    </row>
    <row r="6165" spans="1:12">
      <c r="A6165">
        <v>7</v>
      </c>
      <c r="B6165" s="16" t="s">
        <v>62</v>
      </c>
      <c r="C6165" s="9">
        <v>46143</v>
      </c>
      <c r="D6165">
        <v>13</v>
      </c>
      <c r="E6165" s="16" t="s">
        <v>97</v>
      </c>
      <c r="F6165" s="16" t="s">
        <v>98</v>
      </c>
      <c r="G6165" s="22">
        <v>100</v>
      </c>
      <c r="H6165" s="18">
        <v>227.4</v>
      </c>
      <c r="I6165" s="18">
        <v>2.274</v>
      </c>
      <c r="J6165" s="18">
        <v>2.31</v>
      </c>
      <c r="K6165" s="18">
        <v>2.25</v>
      </c>
      <c r="L6165" s="22">
        <v>2</v>
      </c>
    </row>
    <row r="6166" spans="1:12">
      <c r="A6166">
        <v>7</v>
      </c>
      <c r="B6166" s="16" t="s">
        <v>62</v>
      </c>
      <c r="C6166" s="9">
        <v>46174</v>
      </c>
      <c r="D6166">
        <v>13</v>
      </c>
      <c r="E6166" s="16" t="s">
        <v>97</v>
      </c>
      <c r="F6166" s="16" t="s">
        <v>98</v>
      </c>
      <c r="G6166" s="22">
        <v>120</v>
      </c>
      <c r="H6166" s="18">
        <v>274.39999999999998</v>
      </c>
      <c r="I6166" s="18">
        <v>2.286666667</v>
      </c>
      <c r="J6166" s="18">
        <v>2.31</v>
      </c>
      <c r="K6166" s="18">
        <v>2.2599999999999998</v>
      </c>
      <c r="L6166" s="22">
        <v>3</v>
      </c>
    </row>
    <row r="6167" spans="1:12">
      <c r="A6167">
        <v>7</v>
      </c>
      <c r="B6167" s="16" t="s">
        <v>62</v>
      </c>
      <c r="C6167" s="9">
        <v>46204</v>
      </c>
      <c r="D6167">
        <v>13</v>
      </c>
      <c r="E6167" s="16" t="s">
        <v>97</v>
      </c>
      <c r="F6167" s="16" t="s">
        <v>98</v>
      </c>
      <c r="G6167" s="22">
        <v>100</v>
      </c>
      <c r="H6167" s="18">
        <v>228.6</v>
      </c>
      <c r="I6167" s="18">
        <v>2.286</v>
      </c>
      <c r="J6167" s="18">
        <v>2.31</v>
      </c>
      <c r="K6167" s="18">
        <v>2.27</v>
      </c>
      <c r="L6167" s="22">
        <v>2</v>
      </c>
    </row>
    <row r="6168" spans="1:12">
      <c r="A6168">
        <v>7</v>
      </c>
      <c r="B6168" s="16" t="s">
        <v>62</v>
      </c>
      <c r="C6168" s="9">
        <v>46235</v>
      </c>
      <c r="D6168">
        <v>13</v>
      </c>
      <c r="E6168" s="16" t="s">
        <v>97</v>
      </c>
      <c r="F6168" s="16" t="s">
        <v>98</v>
      </c>
      <c r="G6168" s="22">
        <v>120</v>
      </c>
      <c r="H6168" s="18">
        <v>272.39999999999998</v>
      </c>
      <c r="I6168" s="18">
        <v>2.27</v>
      </c>
      <c r="J6168" s="18">
        <v>2.27</v>
      </c>
      <c r="K6168" s="18">
        <v>2.27</v>
      </c>
      <c r="L6168" s="22">
        <v>2</v>
      </c>
    </row>
    <row r="6169" spans="1:12">
      <c r="A6169">
        <v>7</v>
      </c>
      <c r="B6169" s="16" t="s">
        <v>62</v>
      </c>
      <c r="C6169" s="9">
        <v>46266</v>
      </c>
      <c r="D6169">
        <v>13</v>
      </c>
      <c r="E6169" s="16" t="s">
        <v>97</v>
      </c>
      <c r="F6169" s="16" t="s">
        <v>98</v>
      </c>
      <c r="G6169" s="22">
        <v>80</v>
      </c>
      <c r="H6169" s="18">
        <v>184</v>
      </c>
      <c r="I6169" s="18">
        <v>2.2999999999999998</v>
      </c>
      <c r="J6169" s="18">
        <v>2.3199999999999998</v>
      </c>
      <c r="K6169" s="18">
        <v>2.2799999999999998</v>
      </c>
      <c r="L6169" s="22">
        <v>2</v>
      </c>
    </row>
    <row r="6170" spans="1:12">
      <c r="A6170">
        <v>7</v>
      </c>
      <c r="B6170" s="16" t="s">
        <v>62</v>
      </c>
      <c r="C6170" s="9">
        <v>45689</v>
      </c>
      <c r="D6170">
        <v>14</v>
      </c>
      <c r="E6170" s="16" t="s">
        <v>99</v>
      </c>
      <c r="F6170" s="16" t="s">
        <v>90</v>
      </c>
      <c r="G6170" s="22">
        <v>0.75</v>
      </c>
      <c r="H6170" s="18">
        <v>14.28</v>
      </c>
      <c r="I6170" s="18">
        <v>19.04</v>
      </c>
      <c r="J6170" s="18">
        <v>19.04</v>
      </c>
      <c r="K6170" s="18">
        <v>19.04</v>
      </c>
      <c r="L6170" s="22">
        <v>1</v>
      </c>
    </row>
    <row r="6171" spans="1:12">
      <c r="A6171">
        <v>7</v>
      </c>
      <c r="B6171" s="16" t="s">
        <v>62</v>
      </c>
      <c r="C6171" s="9">
        <v>45717</v>
      </c>
      <c r="D6171">
        <v>14</v>
      </c>
      <c r="E6171" s="16" t="s">
        <v>99</v>
      </c>
      <c r="F6171" s="16" t="s">
        <v>90</v>
      </c>
      <c r="G6171" s="22">
        <v>0.75</v>
      </c>
      <c r="H6171" s="18">
        <v>14.324999999999999</v>
      </c>
      <c r="I6171" s="18">
        <v>19.100000000000001</v>
      </c>
      <c r="J6171" s="18">
        <v>19.100000000000001</v>
      </c>
      <c r="K6171" s="18">
        <v>19.100000000000001</v>
      </c>
      <c r="L6171" s="22">
        <v>1</v>
      </c>
    </row>
    <row r="6172" spans="1:12">
      <c r="A6172">
        <v>7</v>
      </c>
      <c r="B6172" s="16" t="s">
        <v>62</v>
      </c>
      <c r="C6172" s="9">
        <v>45748</v>
      </c>
      <c r="D6172">
        <v>14</v>
      </c>
      <c r="E6172" s="16" t="s">
        <v>99</v>
      </c>
      <c r="F6172" s="16" t="s">
        <v>90</v>
      </c>
      <c r="G6172" s="22">
        <v>0.75</v>
      </c>
      <c r="H6172" s="18">
        <v>14.3025</v>
      </c>
      <c r="I6172" s="18">
        <v>19.07</v>
      </c>
      <c r="J6172" s="18">
        <v>19.07</v>
      </c>
      <c r="K6172" s="18">
        <v>19.07</v>
      </c>
      <c r="L6172" s="22">
        <v>1</v>
      </c>
    </row>
    <row r="6173" spans="1:12">
      <c r="A6173">
        <v>7</v>
      </c>
      <c r="B6173" s="16" t="s">
        <v>62</v>
      </c>
      <c r="C6173" s="9">
        <v>45778</v>
      </c>
      <c r="D6173">
        <v>14</v>
      </c>
      <c r="E6173" s="16" t="s">
        <v>99</v>
      </c>
      <c r="F6173" s="16" t="s">
        <v>90</v>
      </c>
      <c r="G6173" s="22">
        <v>1.5</v>
      </c>
      <c r="H6173" s="18">
        <v>28.4175</v>
      </c>
      <c r="I6173" s="18">
        <v>18.945</v>
      </c>
      <c r="J6173" s="18">
        <v>19.100000000000001</v>
      </c>
      <c r="K6173" s="18">
        <v>18.79</v>
      </c>
      <c r="L6173" s="22">
        <v>2</v>
      </c>
    </row>
    <row r="6174" spans="1:12">
      <c r="A6174">
        <v>7</v>
      </c>
      <c r="B6174" s="16" t="s">
        <v>62</v>
      </c>
      <c r="C6174" s="9">
        <v>45809</v>
      </c>
      <c r="D6174">
        <v>14</v>
      </c>
      <c r="E6174" s="16" t="s">
        <v>99</v>
      </c>
      <c r="F6174" s="16" t="s">
        <v>90</v>
      </c>
      <c r="G6174" s="22">
        <v>0.75</v>
      </c>
      <c r="H6174" s="18">
        <v>14.175000000000001</v>
      </c>
      <c r="I6174" s="18">
        <v>18.899999999999999</v>
      </c>
      <c r="J6174" s="18">
        <v>18.899999999999999</v>
      </c>
      <c r="K6174" s="18">
        <v>18.899999999999999</v>
      </c>
      <c r="L6174" s="22">
        <v>1</v>
      </c>
    </row>
    <row r="6175" spans="1:12">
      <c r="A6175">
        <v>7</v>
      </c>
      <c r="B6175" s="16" t="s">
        <v>62</v>
      </c>
      <c r="C6175" s="9">
        <v>45839</v>
      </c>
      <c r="D6175">
        <v>14</v>
      </c>
      <c r="E6175" s="16" t="s">
        <v>99</v>
      </c>
      <c r="F6175" s="16" t="s">
        <v>90</v>
      </c>
      <c r="G6175" s="22">
        <v>0.75</v>
      </c>
      <c r="H6175" s="18">
        <v>14.422499999999999</v>
      </c>
      <c r="I6175" s="18">
        <v>19.23</v>
      </c>
      <c r="J6175" s="18">
        <v>19.23</v>
      </c>
      <c r="K6175" s="18">
        <v>19.23</v>
      </c>
      <c r="L6175" s="22">
        <v>1</v>
      </c>
    </row>
    <row r="6176" spans="1:12">
      <c r="A6176">
        <v>7</v>
      </c>
      <c r="B6176" s="16" t="s">
        <v>62</v>
      </c>
      <c r="C6176" s="9">
        <v>45870</v>
      </c>
      <c r="D6176">
        <v>14</v>
      </c>
      <c r="E6176" s="16" t="s">
        <v>99</v>
      </c>
      <c r="F6176" s="16" t="s">
        <v>90</v>
      </c>
      <c r="G6176" s="22">
        <v>0.75</v>
      </c>
      <c r="H6176" s="18">
        <v>14.145</v>
      </c>
      <c r="I6176" s="18">
        <v>18.86</v>
      </c>
      <c r="J6176" s="18">
        <v>18.86</v>
      </c>
      <c r="K6176" s="18">
        <v>18.86</v>
      </c>
      <c r="L6176" s="22">
        <v>1</v>
      </c>
    </row>
    <row r="6177" spans="1:12">
      <c r="A6177">
        <v>7</v>
      </c>
      <c r="B6177" s="16" t="s">
        <v>62</v>
      </c>
      <c r="C6177" s="9">
        <v>45901</v>
      </c>
      <c r="D6177">
        <v>14</v>
      </c>
      <c r="E6177" s="16" t="s">
        <v>99</v>
      </c>
      <c r="F6177" s="16" t="s">
        <v>90</v>
      </c>
      <c r="G6177" s="22">
        <v>0.75</v>
      </c>
      <c r="H6177" s="18">
        <v>14.842499999999999</v>
      </c>
      <c r="I6177" s="18">
        <v>19.79</v>
      </c>
      <c r="J6177" s="18">
        <v>19.79</v>
      </c>
      <c r="K6177" s="18">
        <v>19.79</v>
      </c>
      <c r="L6177" s="22">
        <v>1</v>
      </c>
    </row>
    <row r="6178" spans="1:12">
      <c r="A6178">
        <v>7</v>
      </c>
      <c r="B6178" s="16" t="s">
        <v>62</v>
      </c>
      <c r="C6178" s="9">
        <v>45931</v>
      </c>
      <c r="D6178">
        <v>14</v>
      </c>
      <c r="E6178" s="16" t="s">
        <v>99</v>
      </c>
      <c r="F6178" s="16" t="s">
        <v>90</v>
      </c>
      <c r="G6178" s="22">
        <v>1.5</v>
      </c>
      <c r="H6178" s="18">
        <v>28.664999999999999</v>
      </c>
      <c r="I6178" s="18">
        <v>19.11</v>
      </c>
      <c r="J6178" s="18">
        <v>19.239999999999998</v>
      </c>
      <c r="K6178" s="18">
        <v>18.98</v>
      </c>
      <c r="L6178" s="22">
        <v>2</v>
      </c>
    </row>
    <row r="6179" spans="1:12">
      <c r="A6179">
        <v>7</v>
      </c>
      <c r="B6179" s="16" t="s">
        <v>62</v>
      </c>
      <c r="C6179" s="9">
        <v>45962</v>
      </c>
      <c r="D6179">
        <v>14</v>
      </c>
      <c r="E6179" s="16" t="s">
        <v>99</v>
      </c>
      <c r="F6179" s="16" t="s">
        <v>90</v>
      </c>
      <c r="G6179" s="22">
        <v>0.75</v>
      </c>
      <c r="H6179" s="18">
        <v>14.61</v>
      </c>
      <c r="I6179" s="18">
        <v>19.48</v>
      </c>
      <c r="J6179" s="18">
        <v>19.48</v>
      </c>
      <c r="K6179" s="18">
        <v>19.48</v>
      </c>
      <c r="L6179" s="22">
        <v>1</v>
      </c>
    </row>
    <row r="6180" spans="1:12">
      <c r="A6180">
        <v>7</v>
      </c>
      <c r="B6180" s="16" t="s">
        <v>62</v>
      </c>
      <c r="C6180" s="9">
        <v>45992</v>
      </c>
      <c r="D6180">
        <v>14</v>
      </c>
      <c r="E6180" s="16" t="s">
        <v>99</v>
      </c>
      <c r="F6180" s="16" t="s">
        <v>90</v>
      </c>
      <c r="G6180" s="22">
        <v>0.75</v>
      </c>
      <c r="H6180" s="18">
        <v>14.4825</v>
      </c>
      <c r="I6180" s="18">
        <v>19.309999999999999</v>
      </c>
      <c r="J6180" s="18">
        <v>19.309999999999999</v>
      </c>
      <c r="K6180" s="18">
        <v>19.309999999999999</v>
      </c>
      <c r="L6180" s="22">
        <v>1</v>
      </c>
    </row>
    <row r="6181" spans="1:12">
      <c r="A6181">
        <v>7</v>
      </c>
      <c r="B6181" s="16" t="s">
        <v>62</v>
      </c>
      <c r="C6181" s="9">
        <v>46023</v>
      </c>
      <c r="D6181">
        <v>14</v>
      </c>
      <c r="E6181" s="16" t="s">
        <v>99</v>
      </c>
      <c r="F6181" s="16" t="s">
        <v>90</v>
      </c>
      <c r="G6181" s="22">
        <v>0.75</v>
      </c>
      <c r="H6181" s="18">
        <v>14.422499999999999</v>
      </c>
      <c r="I6181" s="18">
        <v>19.23</v>
      </c>
      <c r="J6181" s="18">
        <v>19.23</v>
      </c>
      <c r="K6181" s="18">
        <v>19.23</v>
      </c>
      <c r="L6181" s="22">
        <v>1</v>
      </c>
    </row>
    <row r="6182" spans="1:12">
      <c r="A6182">
        <v>7</v>
      </c>
      <c r="B6182" s="16" t="s">
        <v>62</v>
      </c>
      <c r="C6182" s="9">
        <v>46054</v>
      </c>
      <c r="D6182">
        <v>14</v>
      </c>
      <c r="E6182" s="16" t="s">
        <v>99</v>
      </c>
      <c r="F6182" s="16" t="s">
        <v>90</v>
      </c>
      <c r="G6182" s="22">
        <v>0.75</v>
      </c>
      <c r="H6182" s="18">
        <v>14.46</v>
      </c>
      <c r="I6182" s="18">
        <v>19.28</v>
      </c>
      <c r="J6182" s="18">
        <v>19.28</v>
      </c>
      <c r="K6182" s="18">
        <v>19.28</v>
      </c>
      <c r="L6182" s="22">
        <v>1</v>
      </c>
    </row>
    <row r="6183" spans="1:12">
      <c r="A6183">
        <v>7</v>
      </c>
      <c r="B6183" s="16" t="s">
        <v>62</v>
      </c>
      <c r="C6183" s="9">
        <v>46082</v>
      </c>
      <c r="D6183">
        <v>14</v>
      </c>
      <c r="E6183" s="16" t="s">
        <v>99</v>
      </c>
      <c r="F6183" s="16" t="s">
        <v>90</v>
      </c>
      <c r="G6183" s="22">
        <v>0.75</v>
      </c>
      <c r="H6183" s="18">
        <v>14.3775</v>
      </c>
      <c r="I6183" s="18">
        <v>19.170000000000002</v>
      </c>
      <c r="J6183" s="18">
        <v>19.170000000000002</v>
      </c>
      <c r="K6183" s="18">
        <v>19.170000000000002</v>
      </c>
      <c r="L6183" s="22">
        <v>1</v>
      </c>
    </row>
    <row r="6184" spans="1:12">
      <c r="A6184">
        <v>7</v>
      </c>
      <c r="B6184" s="16" t="s">
        <v>62</v>
      </c>
      <c r="C6184" s="9">
        <v>46113</v>
      </c>
      <c r="D6184">
        <v>14</v>
      </c>
      <c r="E6184" s="16" t="s">
        <v>99</v>
      </c>
      <c r="F6184" s="16" t="s">
        <v>90</v>
      </c>
      <c r="G6184" s="22">
        <v>1.5</v>
      </c>
      <c r="H6184" s="18">
        <v>29.407499999999999</v>
      </c>
      <c r="I6184" s="18">
        <v>19.605</v>
      </c>
      <c r="J6184" s="18">
        <v>19.84</v>
      </c>
      <c r="K6184" s="18">
        <v>19.37</v>
      </c>
      <c r="L6184" s="22">
        <v>2</v>
      </c>
    </row>
    <row r="6185" spans="1:12">
      <c r="A6185">
        <v>7</v>
      </c>
      <c r="B6185" s="16" t="s">
        <v>62</v>
      </c>
      <c r="C6185" s="9">
        <v>46143</v>
      </c>
      <c r="D6185">
        <v>14</v>
      </c>
      <c r="E6185" s="16" t="s">
        <v>99</v>
      </c>
      <c r="F6185" s="16" t="s">
        <v>90</v>
      </c>
      <c r="G6185" s="22">
        <v>1.5</v>
      </c>
      <c r="H6185" s="18">
        <v>28.754999999999999</v>
      </c>
      <c r="I6185" s="18">
        <v>19.170000000000002</v>
      </c>
      <c r="J6185" s="18">
        <v>19.3</v>
      </c>
      <c r="K6185" s="18">
        <v>19.04</v>
      </c>
      <c r="L6185" s="22">
        <v>2</v>
      </c>
    </row>
    <row r="6186" spans="1:12">
      <c r="A6186">
        <v>7</v>
      </c>
      <c r="B6186" s="16" t="s">
        <v>62</v>
      </c>
      <c r="C6186" s="9">
        <v>46174</v>
      </c>
      <c r="D6186">
        <v>14</v>
      </c>
      <c r="E6186" s="16" t="s">
        <v>99</v>
      </c>
      <c r="F6186" s="16" t="s">
        <v>90</v>
      </c>
      <c r="G6186" s="22">
        <v>0.75</v>
      </c>
      <c r="H6186" s="18">
        <v>14.452500000000001</v>
      </c>
      <c r="I6186" s="18">
        <v>19.27</v>
      </c>
      <c r="J6186" s="18">
        <v>19.27</v>
      </c>
      <c r="K6186" s="18">
        <v>19.27</v>
      </c>
      <c r="L6186" s="22">
        <v>1</v>
      </c>
    </row>
    <row r="6187" spans="1:12">
      <c r="A6187">
        <v>7</v>
      </c>
      <c r="B6187" s="16" t="s">
        <v>62</v>
      </c>
      <c r="C6187" s="9">
        <v>46204</v>
      </c>
      <c r="D6187">
        <v>14</v>
      </c>
      <c r="E6187" s="16" t="s">
        <v>99</v>
      </c>
      <c r="F6187" s="16" t="s">
        <v>90</v>
      </c>
      <c r="G6187" s="22">
        <v>0.75</v>
      </c>
      <c r="H6187" s="18">
        <v>14.49</v>
      </c>
      <c r="I6187" s="18">
        <v>19.32</v>
      </c>
      <c r="J6187" s="18">
        <v>19.32</v>
      </c>
      <c r="K6187" s="18">
        <v>19.32</v>
      </c>
      <c r="L6187" s="22">
        <v>1</v>
      </c>
    </row>
    <row r="6188" spans="1:12">
      <c r="A6188">
        <v>7</v>
      </c>
      <c r="B6188" s="16" t="s">
        <v>62</v>
      </c>
      <c r="C6188" s="9">
        <v>46235</v>
      </c>
      <c r="D6188">
        <v>14</v>
      </c>
      <c r="E6188" s="16" t="s">
        <v>99</v>
      </c>
      <c r="F6188" s="16" t="s">
        <v>90</v>
      </c>
      <c r="G6188" s="22">
        <v>1.5</v>
      </c>
      <c r="H6188" s="18">
        <v>28.672499999999999</v>
      </c>
      <c r="I6188" s="18">
        <v>19.114999999999998</v>
      </c>
      <c r="J6188" s="18">
        <v>19.239999999999998</v>
      </c>
      <c r="K6188" s="18">
        <v>18.989999999999998</v>
      </c>
      <c r="L6188" s="22">
        <v>2</v>
      </c>
    </row>
    <row r="6189" spans="1:12">
      <c r="A6189">
        <v>7</v>
      </c>
      <c r="B6189" s="16" t="s">
        <v>62</v>
      </c>
      <c r="C6189" s="9">
        <v>46266</v>
      </c>
      <c r="D6189">
        <v>14</v>
      </c>
      <c r="E6189" s="16" t="s">
        <v>99</v>
      </c>
      <c r="F6189" s="16" t="s">
        <v>90</v>
      </c>
      <c r="G6189" s="22">
        <v>0.75</v>
      </c>
      <c r="H6189" s="18">
        <v>14.467499999999999</v>
      </c>
      <c r="I6189" s="18">
        <v>19.29</v>
      </c>
      <c r="J6189" s="18">
        <v>19.29</v>
      </c>
      <c r="K6189" s="18">
        <v>19.29</v>
      </c>
      <c r="L6189" s="22">
        <v>1</v>
      </c>
    </row>
    <row r="6190" spans="1:12">
      <c r="A6190">
        <v>7</v>
      </c>
      <c r="B6190" s="16" t="s">
        <v>62</v>
      </c>
      <c r="C6190" s="9">
        <v>45689</v>
      </c>
      <c r="D6190">
        <v>15</v>
      </c>
      <c r="E6190" s="16" t="s">
        <v>100</v>
      </c>
      <c r="F6190" s="16" t="s">
        <v>92</v>
      </c>
      <c r="G6190" s="22">
        <v>246</v>
      </c>
      <c r="H6190" s="18">
        <v>59.79</v>
      </c>
      <c r="I6190" s="18">
        <v>0.24304877999999999</v>
      </c>
      <c r="J6190" s="18">
        <v>0.25</v>
      </c>
      <c r="K6190" s="18">
        <v>0.24</v>
      </c>
      <c r="L6190" s="22">
        <v>8</v>
      </c>
    </row>
    <row r="6191" spans="1:12">
      <c r="A6191">
        <v>7</v>
      </c>
      <c r="B6191" s="16" t="s">
        <v>62</v>
      </c>
      <c r="C6191" s="9">
        <v>45717</v>
      </c>
      <c r="D6191">
        <v>15</v>
      </c>
      <c r="E6191" s="16" t="s">
        <v>100</v>
      </c>
      <c r="F6191" s="16" t="s">
        <v>92</v>
      </c>
      <c r="G6191" s="22">
        <v>288</v>
      </c>
      <c r="H6191" s="18">
        <v>69.12</v>
      </c>
      <c r="I6191" s="18">
        <v>0.24</v>
      </c>
      <c r="J6191" s="18">
        <v>0.24</v>
      </c>
      <c r="K6191" s="18">
        <v>0.24</v>
      </c>
      <c r="L6191" s="22">
        <v>8</v>
      </c>
    </row>
    <row r="6192" spans="1:12">
      <c r="A6192">
        <v>7</v>
      </c>
      <c r="B6192" s="16" t="s">
        <v>62</v>
      </c>
      <c r="C6192" s="9">
        <v>45748</v>
      </c>
      <c r="D6192">
        <v>15</v>
      </c>
      <c r="E6192" s="16" t="s">
        <v>100</v>
      </c>
      <c r="F6192" s="16" t="s">
        <v>92</v>
      </c>
      <c r="G6192" s="22">
        <v>357</v>
      </c>
      <c r="H6192" s="18">
        <v>82.11</v>
      </c>
      <c r="I6192" s="18">
        <v>0.23</v>
      </c>
      <c r="J6192" s="18">
        <v>0.23</v>
      </c>
      <c r="K6192" s="18">
        <v>0.23</v>
      </c>
      <c r="L6192" s="22">
        <v>9</v>
      </c>
    </row>
    <row r="6193" spans="1:12">
      <c r="A6193">
        <v>7</v>
      </c>
      <c r="B6193" s="16" t="s">
        <v>62</v>
      </c>
      <c r="C6193" s="9">
        <v>45778</v>
      </c>
      <c r="D6193">
        <v>15</v>
      </c>
      <c r="E6193" s="16" t="s">
        <v>100</v>
      </c>
      <c r="F6193" s="16" t="s">
        <v>92</v>
      </c>
      <c r="G6193" s="22">
        <v>354</v>
      </c>
      <c r="H6193" s="18">
        <v>77.069999999999993</v>
      </c>
      <c r="I6193" s="18">
        <v>0.217711864</v>
      </c>
      <c r="J6193" s="18">
        <v>0.22</v>
      </c>
      <c r="K6193" s="18">
        <v>0.21</v>
      </c>
      <c r="L6193" s="22">
        <v>9</v>
      </c>
    </row>
    <row r="6194" spans="1:12">
      <c r="A6194">
        <v>7</v>
      </c>
      <c r="B6194" s="16" t="s">
        <v>62</v>
      </c>
      <c r="C6194" s="9">
        <v>45809</v>
      </c>
      <c r="D6194">
        <v>15</v>
      </c>
      <c r="E6194" s="16" t="s">
        <v>100</v>
      </c>
      <c r="F6194" s="16" t="s">
        <v>92</v>
      </c>
      <c r="G6194" s="22">
        <v>285</v>
      </c>
      <c r="H6194" s="18">
        <v>61.08</v>
      </c>
      <c r="I6194" s="18">
        <v>0.21431578900000001</v>
      </c>
      <c r="J6194" s="18">
        <v>0.22</v>
      </c>
      <c r="K6194" s="18">
        <v>0.21</v>
      </c>
      <c r="L6194" s="22">
        <v>8</v>
      </c>
    </row>
    <row r="6195" spans="1:12">
      <c r="A6195">
        <v>7</v>
      </c>
      <c r="B6195" s="16" t="s">
        <v>62</v>
      </c>
      <c r="C6195" s="9">
        <v>45839</v>
      </c>
      <c r="D6195">
        <v>15</v>
      </c>
      <c r="E6195" s="16" t="s">
        <v>100</v>
      </c>
      <c r="F6195" s="16" t="s">
        <v>92</v>
      </c>
      <c r="G6195" s="22">
        <v>315</v>
      </c>
      <c r="H6195" s="18">
        <v>66.599999999999994</v>
      </c>
      <c r="I6195" s="18">
        <v>0.21142857100000001</v>
      </c>
      <c r="J6195" s="18">
        <v>0.22</v>
      </c>
      <c r="K6195" s="18">
        <v>0.21</v>
      </c>
      <c r="L6195" s="22">
        <v>9</v>
      </c>
    </row>
    <row r="6196" spans="1:12">
      <c r="A6196">
        <v>7</v>
      </c>
      <c r="B6196" s="16" t="s">
        <v>62</v>
      </c>
      <c r="C6196" s="9">
        <v>45870</v>
      </c>
      <c r="D6196">
        <v>15</v>
      </c>
      <c r="E6196" s="16" t="s">
        <v>100</v>
      </c>
      <c r="F6196" s="16" t="s">
        <v>92</v>
      </c>
      <c r="G6196" s="22">
        <v>360</v>
      </c>
      <c r="H6196" s="18">
        <v>77.22</v>
      </c>
      <c r="I6196" s="18">
        <v>0.2145</v>
      </c>
      <c r="J6196" s="18">
        <v>0.22</v>
      </c>
      <c r="K6196" s="18">
        <v>0.21</v>
      </c>
      <c r="L6196" s="22">
        <v>9</v>
      </c>
    </row>
    <row r="6197" spans="1:12">
      <c r="A6197">
        <v>7</v>
      </c>
      <c r="B6197" s="16" t="s">
        <v>62</v>
      </c>
      <c r="C6197" s="9">
        <v>45901</v>
      </c>
      <c r="D6197">
        <v>15</v>
      </c>
      <c r="E6197" s="16" t="s">
        <v>100</v>
      </c>
      <c r="F6197" s="16" t="s">
        <v>92</v>
      </c>
      <c r="G6197" s="22">
        <v>324</v>
      </c>
      <c r="H6197" s="18">
        <v>71.28</v>
      </c>
      <c r="I6197" s="18">
        <v>0.22</v>
      </c>
      <c r="J6197" s="18">
        <v>0.22</v>
      </c>
      <c r="K6197" s="18">
        <v>0.22</v>
      </c>
      <c r="L6197" s="22">
        <v>9</v>
      </c>
    </row>
    <row r="6198" spans="1:12">
      <c r="A6198">
        <v>7</v>
      </c>
      <c r="B6198" s="16" t="s">
        <v>62</v>
      </c>
      <c r="C6198" s="9">
        <v>45931</v>
      </c>
      <c r="D6198">
        <v>15</v>
      </c>
      <c r="E6198" s="16" t="s">
        <v>100</v>
      </c>
      <c r="F6198" s="16" t="s">
        <v>92</v>
      </c>
      <c r="G6198" s="22">
        <v>387</v>
      </c>
      <c r="H6198" s="18">
        <v>86.85</v>
      </c>
      <c r="I6198" s="18">
        <v>0.22441860499999999</v>
      </c>
      <c r="J6198" s="18">
        <v>0.23</v>
      </c>
      <c r="K6198" s="18">
        <v>0.22</v>
      </c>
      <c r="L6198" s="22">
        <v>9</v>
      </c>
    </row>
    <row r="6199" spans="1:12">
      <c r="A6199">
        <v>7</v>
      </c>
      <c r="B6199" s="16" t="s">
        <v>62</v>
      </c>
      <c r="C6199" s="9">
        <v>45962</v>
      </c>
      <c r="D6199">
        <v>15</v>
      </c>
      <c r="E6199" s="16" t="s">
        <v>100</v>
      </c>
      <c r="F6199" s="16" t="s">
        <v>92</v>
      </c>
      <c r="G6199" s="22">
        <v>318</v>
      </c>
      <c r="H6199" s="18">
        <v>72.599999999999994</v>
      </c>
      <c r="I6199" s="18">
        <v>0.22830188700000001</v>
      </c>
      <c r="J6199" s="18">
        <v>0.23</v>
      </c>
      <c r="K6199" s="18">
        <v>0.22</v>
      </c>
      <c r="L6199" s="22">
        <v>8</v>
      </c>
    </row>
    <row r="6200" spans="1:12">
      <c r="A6200">
        <v>7</v>
      </c>
      <c r="B6200" s="16" t="s">
        <v>62</v>
      </c>
      <c r="C6200" s="9">
        <v>45992</v>
      </c>
      <c r="D6200">
        <v>15</v>
      </c>
      <c r="E6200" s="16" t="s">
        <v>100</v>
      </c>
      <c r="F6200" s="16" t="s">
        <v>92</v>
      </c>
      <c r="G6200" s="22">
        <v>342</v>
      </c>
      <c r="H6200" s="18">
        <v>80.52</v>
      </c>
      <c r="I6200" s="18">
        <v>0.235438596</v>
      </c>
      <c r="J6200" s="18">
        <v>0.24</v>
      </c>
      <c r="K6200" s="18">
        <v>0.23</v>
      </c>
      <c r="L6200" s="22">
        <v>9</v>
      </c>
    </row>
    <row r="6201" spans="1:12">
      <c r="A6201">
        <v>7</v>
      </c>
      <c r="B6201" s="16" t="s">
        <v>62</v>
      </c>
      <c r="C6201" s="9">
        <v>46023</v>
      </c>
      <c r="D6201">
        <v>15</v>
      </c>
      <c r="E6201" s="16" t="s">
        <v>100</v>
      </c>
      <c r="F6201" s="16" t="s">
        <v>92</v>
      </c>
      <c r="G6201" s="22">
        <v>321</v>
      </c>
      <c r="H6201" s="18">
        <v>77.040000000000006</v>
      </c>
      <c r="I6201" s="18">
        <v>0.24</v>
      </c>
      <c r="J6201" s="18">
        <v>0.24</v>
      </c>
      <c r="K6201" s="18">
        <v>0.24</v>
      </c>
      <c r="L6201" s="22">
        <v>9</v>
      </c>
    </row>
    <row r="6202" spans="1:12">
      <c r="A6202">
        <v>7</v>
      </c>
      <c r="B6202" s="16" t="s">
        <v>62</v>
      </c>
      <c r="C6202" s="9">
        <v>46054</v>
      </c>
      <c r="D6202">
        <v>15</v>
      </c>
      <c r="E6202" s="16" t="s">
        <v>100</v>
      </c>
      <c r="F6202" s="16" t="s">
        <v>92</v>
      </c>
      <c r="G6202" s="22">
        <v>315</v>
      </c>
      <c r="H6202" s="18">
        <v>74.760000000000005</v>
      </c>
      <c r="I6202" s="18">
        <v>0.23733333300000001</v>
      </c>
      <c r="J6202" s="18">
        <v>0.24</v>
      </c>
      <c r="K6202" s="18">
        <v>0.23</v>
      </c>
      <c r="L6202" s="22">
        <v>8</v>
      </c>
    </row>
    <row r="6203" spans="1:12">
      <c r="A6203">
        <v>7</v>
      </c>
      <c r="B6203" s="16" t="s">
        <v>62</v>
      </c>
      <c r="C6203" s="9">
        <v>46082</v>
      </c>
      <c r="D6203">
        <v>15</v>
      </c>
      <c r="E6203" s="16" t="s">
        <v>100</v>
      </c>
      <c r="F6203" s="16" t="s">
        <v>92</v>
      </c>
      <c r="G6203" s="22">
        <v>396</v>
      </c>
      <c r="H6203" s="18">
        <v>91.5</v>
      </c>
      <c r="I6203" s="18">
        <v>0.231060606</v>
      </c>
      <c r="J6203" s="18">
        <v>0.24</v>
      </c>
      <c r="K6203" s="18">
        <v>0.23</v>
      </c>
      <c r="L6203" s="22">
        <v>9</v>
      </c>
    </row>
    <row r="6204" spans="1:12">
      <c r="A6204">
        <v>7</v>
      </c>
      <c r="B6204" s="16" t="s">
        <v>62</v>
      </c>
      <c r="C6204" s="9">
        <v>46113</v>
      </c>
      <c r="D6204">
        <v>15</v>
      </c>
      <c r="E6204" s="16" t="s">
        <v>100</v>
      </c>
      <c r="F6204" s="16" t="s">
        <v>92</v>
      </c>
      <c r="G6204" s="22">
        <v>330</v>
      </c>
      <c r="H6204" s="18">
        <v>74.010000000000005</v>
      </c>
      <c r="I6204" s="18">
        <v>0.22427272700000001</v>
      </c>
      <c r="J6204" s="18">
        <v>0.23</v>
      </c>
      <c r="K6204" s="18">
        <v>0.22</v>
      </c>
      <c r="L6204" s="22">
        <v>8</v>
      </c>
    </row>
    <row r="6205" spans="1:12">
      <c r="A6205">
        <v>7</v>
      </c>
      <c r="B6205" s="16" t="s">
        <v>62</v>
      </c>
      <c r="C6205" s="9">
        <v>46143</v>
      </c>
      <c r="D6205">
        <v>15</v>
      </c>
      <c r="E6205" s="16" t="s">
        <v>100</v>
      </c>
      <c r="F6205" s="16" t="s">
        <v>92</v>
      </c>
      <c r="G6205" s="22">
        <v>417</v>
      </c>
      <c r="H6205" s="18">
        <v>90.93</v>
      </c>
      <c r="I6205" s="18">
        <v>0.21805755399999999</v>
      </c>
      <c r="J6205" s="18">
        <v>0.22</v>
      </c>
      <c r="K6205" s="18">
        <v>0.21</v>
      </c>
      <c r="L6205" s="22">
        <v>9</v>
      </c>
    </row>
    <row r="6206" spans="1:12">
      <c r="A6206">
        <v>7</v>
      </c>
      <c r="B6206" s="16" t="s">
        <v>62</v>
      </c>
      <c r="C6206" s="9">
        <v>46174</v>
      </c>
      <c r="D6206">
        <v>15</v>
      </c>
      <c r="E6206" s="16" t="s">
        <v>100</v>
      </c>
      <c r="F6206" s="16" t="s">
        <v>92</v>
      </c>
      <c r="G6206" s="22">
        <v>369</v>
      </c>
      <c r="H6206" s="18">
        <v>78.87</v>
      </c>
      <c r="I6206" s="18">
        <v>0.21373983699999999</v>
      </c>
      <c r="J6206" s="18">
        <v>0.23</v>
      </c>
      <c r="K6206" s="18">
        <v>0.21</v>
      </c>
      <c r="L6206" s="22">
        <v>9</v>
      </c>
    </row>
    <row r="6207" spans="1:12">
      <c r="A6207">
        <v>7</v>
      </c>
      <c r="B6207" s="16" t="s">
        <v>62</v>
      </c>
      <c r="C6207" s="9">
        <v>46204</v>
      </c>
      <c r="D6207">
        <v>15</v>
      </c>
      <c r="E6207" s="16" t="s">
        <v>100</v>
      </c>
      <c r="F6207" s="16" t="s">
        <v>92</v>
      </c>
      <c r="G6207" s="22">
        <v>372</v>
      </c>
      <c r="H6207" s="18">
        <v>78.63</v>
      </c>
      <c r="I6207" s="18">
        <v>0.21137096799999999</v>
      </c>
      <c r="J6207" s="18">
        <v>0.22</v>
      </c>
      <c r="K6207" s="18">
        <v>0.21</v>
      </c>
      <c r="L6207" s="22">
        <v>9</v>
      </c>
    </row>
    <row r="6208" spans="1:12">
      <c r="A6208">
        <v>7</v>
      </c>
      <c r="B6208" s="16" t="s">
        <v>62</v>
      </c>
      <c r="C6208" s="9">
        <v>46235</v>
      </c>
      <c r="D6208">
        <v>15</v>
      </c>
      <c r="E6208" s="16" t="s">
        <v>100</v>
      </c>
      <c r="F6208" s="16" t="s">
        <v>92</v>
      </c>
      <c r="G6208" s="22">
        <v>342</v>
      </c>
      <c r="H6208" s="18">
        <v>71.28</v>
      </c>
      <c r="I6208" s="18">
        <v>0.208421053</v>
      </c>
      <c r="J6208" s="18">
        <v>0.21</v>
      </c>
      <c r="K6208" s="18">
        <v>0.2</v>
      </c>
      <c r="L6208" s="22">
        <v>8</v>
      </c>
    </row>
    <row r="6209" spans="1:12">
      <c r="A6209">
        <v>7</v>
      </c>
      <c r="B6209" s="16" t="s">
        <v>62</v>
      </c>
      <c r="C6209" s="9">
        <v>46266</v>
      </c>
      <c r="D6209">
        <v>15</v>
      </c>
      <c r="E6209" s="16" t="s">
        <v>100</v>
      </c>
      <c r="F6209" s="16" t="s">
        <v>92</v>
      </c>
      <c r="G6209" s="22">
        <v>351</v>
      </c>
      <c r="H6209" s="18">
        <v>77.22</v>
      </c>
      <c r="I6209" s="18">
        <v>0.22</v>
      </c>
      <c r="J6209" s="18">
        <v>0.22</v>
      </c>
      <c r="K6209" s="18">
        <v>0.22</v>
      </c>
      <c r="L6209" s="22">
        <v>9</v>
      </c>
    </row>
    <row r="6210" spans="1:12">
      <c r="A6210">
        <v>7</v>
      </c>
      <c r="B6210" s="16" t="s">
        <v>62</v>
      </c>
      <c r="C6210" s="9">
        <v>45689</v>
      </c>
      <c r="D6210">
        <v>16</v>
      </c>
      <c r="E6210" s="16" t="s">
        <v>101</v>
      </c>
      <c r="F6210" s="16" t="s">
        <v>92</v>
      </c>
      <c r="G6210" s="22">
        <v>22.5</v>
      </c>
      <c r="H6210" s="18">
        <v>14.445</v>
      </c>
      <c r="I6210" s="18">
        <v>0.64200000000000002</v>
      </c>
      <c r="J6210" s="18">
        <v>0.66</v>
      </c>
      <c r="K6210" s="18">
        <v>0.63</v>
      </c>
      <c r="L6210" s="22">
        <v>8</v>
      </c>
    </row>
    <row r="6211" spans="1:12">
      <c r="A6211">
        <v>7</v>
      </c>
      <c r="B6211" s="16" t="s">
        <v>62</v>
      </c>
      <c r="C6211" s="9">
        <v>45717</v>
      </c>
      <c r="D6211">
        <v>16</v>
      </c>
      <c r="E6211" s="16" t="s">
        <v>101</v>
      </c>
      <c r="F6211" s="16" t="s">
        <v>92</v>
      </c>
      <c r="G6211" s="22">
        <v>25.5</v>
      </c>
      <c r="H6211" s="18">
        <v>15.84</v>
      </c>
      <c r="I6211" s="18">
        <v>0.62117647099999995</v>
      </c>
      <c r="J6211" s="18">
        <v>0.63</v>
      </c>
      <c r="K6211" s="18">
        <v>0.61</v>
      </c>
      <c r="L6211" s="22">
        <v>8</v>
      </c>
    </row>
    <row r="6212" spans="1:12">
      <c r="A6212">
        <v>7</v>
      </c>
      <c r="B6212" s="16" t="s">
        <v>62</v>
      </c>
      <c r="C6212" s="9">
        <v>45748</v>
      </c>
      <c r="D6212">
        <v>16</v>
      </c>
      <c r="E6212" s="16" t="s">
        <v>101</v>
      </c>
      <c r="F6212" s="16" t="s">
        <v>92</v>
      </c>
      <c r="G6212" s="22">
        <v>30</v>
      </c>
      <c r="H6212" s="18">
        <v>18.059999999999999</v>
      </c>
      <c r="I6212" s="18">
        <v>0.60199999999999998</v>
      </c>
      <c r="J6212" s="18">
        <v>0.61</v>
      </c>
      <c r="K6212" s="18">
        <v>0.59</v>
      </c>
      <c r="L6212" s="22">
        <v>9</v>
      </c>
    </row>
    <row r="6213" spans="1:12">
      <c r="A6213">
        <v>7</v>
      </c>
      <c r="B6213" s="16" t="s">
        <v>62</v>
      </c>
      <c r="C6213" s="9">
        <v>45778</v>
      </c>
      <c r="D6213">
        <v>16</v>
      </c>
      <c r="E6213" s="16" t="s">
        <v>101</v>
      </c>
      <c r="F6213" s="16" t="s">
        <v>92</v>
      </c>
      <c r="G6213" s="22">
        <v>30</v>
      </c>
      <c r="H6213" s="18">
        <v>17.265000000000001</v>
      </c>
      <c r="I6213" s="18">
        <v>0.57550000000000001</v>
      </c>
      <c r="J6213" s="18">
        <v>0.59</v>
      </c>
      <c r="K6213" s="18">
        <v>0.56000000000000005</v>
      </c>
      <c r="L6213" s="22">
        <v>9</v>
      </c>
    </row>
    <row r="6214" spans="1:12">
      <c r="A6214">
        <v>7</v>
      </c>
      <c r="B6214" s="16" t="s">
        <v>62</v>
      </c>
      <c r="C6214" s="9">
        <v>45809</v>
      </c>
      <c r="D6214">
        <v>16</v>
      </c>
      <c r="E6214" s="16" t="s">
        <v>101</v>
      </c>
      <c r="F6214" s="16" t="s">
        <v>92</v>
      </c>
      <c r="G6214" s="22">
        <v>21</v>
      </c>
      <c r="H6214" s="18">
        <v>11.805</v>
      </c>
      <c r="I6214" s="18">
        <v>0.562142857</v>
      </c>
      <c r="J6214" s="18">
        <v>0.59</v>
      </c>
      <c r="K6214" s="18">
        <v>0.55000000000000004</v>
      </c>
      <c r="L6214" s="22">
        <v>8</v>
      </c>
    </row>
    <row r="6215" spans="1:12">
      <c r="A6215">
        <v>7</v>
      </c>
      <c r="B6215" s="16" t="s">
        <v>62</v>
      </c>
      <c r="C6215" s="9">
        <v>45839</v>
      </c>
      <c r="D6215">
        <v>16</v>
      </c>
      <c r="E6215" s="16" t="s">
        <v>101</v>
      </c>
      <c r="F6215" s="16" t="s">
        <v>92</v>
      </c>
      <c r="G6215" s="22">
        <v>16.5</v>
      </c>
      <c r="H6215" s="18">
        <v>9.18</v>
      </c>
      <c r="I6215" s="18">
        <v>0.55636363600000005</v>
      </c>
      <c r="J6215" s="18">
        <v>0.56999999999999995</v>
      </c>
      <c r="K6215" s="18">
        <v>0.54</v>
      </c>
      <c r="L6215" s="22">
        <v>9</v>
      </c>
    </row>
    <row r="6216" spans="1:12">
      <c r="A6216">
        <v>7</v>
      </c>
      <c r="B6216" s="16" t="s">
        <v>62</v>
      </c>
      <c r="C6216" s="9">
        <v>45870</v>
      </c>
      <c r="D6216">
        <v>16</v>
      </c>
      <c r="E6216" s="16" t="s">
        <v>101</v>
      </c>
      <c r="F6216" s="16" t="s">
        <v>92</v>
      </c>
      <c r="G6216" s="22">
        <v>25.5</v>
      </c>
      <c r="H6216" s="18">
        <v>14.654999999999999</v>
      </c>
      <c r="I6216" s="18">
        <v>0.57470588199999995</v>
      </c>
      <c r="J6216" s="18">
        <v>0.57999999999999996</v>
      </c>
      <c r="K6216" s="18">
        <v>0.56999999999999995</v>
      </c>
      <c r="L6216" s="22">
        <v>9</v>
      </c>
    </row>
    <row r="6217" spans="1:12">
      <c r="A6217">
        <v>7</v>
      </c>
      <c r="B6217" s="16" t="s">
        <v>62</v>
      </c>
      <c r="C6217" s="9">
        <v>45901</v>
      </c>
      <c r="D6217">
        <v>16</v>
      </c>
      <c r="E6217" s="16" t="s">
        <v>101</v>
      </c>
      <c r="F6217" s="16" t="s">
        <v>92</v>
      </c>
      <c r="G6217" s="22">
        <v>24</v>
      </c>
      <c r="H6217" s="18">
        <v>14.13</v>
      </c>
      <c r="I6217" s="18">
        <v>0.58875</v>
      </c>
      <c r="J6217" s="18">
        <v>0.6</v>
      </c>
      <c r="K6217" s="18">
        <v>0.57999999999999996</v>
      </c>
      <c r="L6217" s="22">
        <v>9</v>
      </c>
    </row>
    <row r="6218" spans="1:12">
      <c r="A6218">
        <v>7</v>
      </c>
      <c r="B6218" s="16" t="s">
        <v>62</v>
      </c>
      <c r="C6218" s="9">
        <v>45931</v>
      </c>
      <c r="D6218">
        <v>16</v>
      </c>
      <c r="E6218" s="16" t="s">
        <v>101</v>
      </c>
      <c r="F6218" s="16" t="s">
        <v>92</v>
      </c>
      <c r="G6218" s="22">
        <v>34.5</v>
      </c>
      <c r="H6218" s="18">
        <v>21.465</v>
      </c>
      <c r="I6218" s="18">
        <v>0.62217391300000002</v>
      </c>
      <c r="J6218" s="18">
        <v>0.63</v>
      </c>
      <c r="K6218" s="18">
        <v>0.61</v>
      </c>
      <c r="L6218" s="22">
        <v>9</v>
      </c>
    </row>
    <row r="6219" spans="1:12">
      <c r="A6219">
        <v>7</v>
      </c>
      <c r="B6219" s="16" t="s">
        <v>62</v>
      </c>
      <c r="C6219" s="9">
        <v>45962</v>
      </c>
      <c r="D6219">
        <v>16</v>
      </c>
      <c r="E6219" s="16" t="s">
        <v>101</v>
      </c>
      <c r="F6219" s="16" t="s">
        <v>92</v>
      </c>
      <c r="G6219" s="22">
        <v>27</v>
      </c>
      <c r="H6219" s="18">
        <v>17.43</v>
      </c>
      <c r="I6219" s="18">
        <v>0.64555555600000003</v>
      </c>
      <c r="J6219" s="18">
        <v>0.65</v>
      </c>
      <c r="K6219" s="18">
        <v>0.64</v>
      </c>
      <c r="L6219" s="22">
        <v>8</v>
      </c>
    </row>
    <row r="6220" spans="1:12">
      <c r="A6220">
        <v>7</v>
      </c>
      <c r="B6220" s="16" t="s">
        <v>62</v>
      </c>
      <c r="C6220" s="9">
        <v>45992</v>
      </c>
      <c r="D6220">
        <v>16</v>
      </c>
      <c r="E6220" s="16" t="s">
        <v>101</v>
      </c>
      <c r="F6220" s="16" t="s">
        <v>92</v>
      </c>
      <c r="G6220" s="22">
        <v>28.5</v>
      </c>
      <c r="H6220" s="18">
        <v>19.065000000000001</v>
      </c>
      <c r="I6220" s="18">
        <v>0.66894736799999999</v>
      </c>
      <c r="J6220" s="18">
        <v>0.68</v>
      </c>
      <c r="K6220" s="18">
        <v>0.65</v>
      </c>
      <c r="L6220" s="22">
        <v>9</v>
      </c>
    </row>
    <row r="6221" spans="1:12">
      <c r="A6221">
        <v>7</v>
      </c>
      <c r="B6221" s="16" t="s">
        <v>62</v>
      </c>
      <c r="C6221" s="9">
        <v>46023</v>
      </c>
      <c r="D6221">
        <v>16</v>
      </c>
      <c r="E6221" s="16" t="s">
        <v>101</v>
      </c>
      <c r="F6221" s="16" t="s">
        <v>92</v>
      </c>
      <c r="G6221" s="22">
        <v>31.5</v>
      </c>
      <c r="H6221" s="18">
        <v>21.39</v>
      </c>
      <c r="I6221" s="18">
        <v>0.67904761899999999</v>
      </c>
      <c r="J6221" s="18">
        <v>0.72</v>
      </c>
      <c r="K6221" s="18">
        <v>0.66</v>
      </c>
      <c r="L6221" s="22">
        <v>9</v>
      </c>
    </row>
    <row r="6222" spans="1:12">
      <c r="A6222">
        <v>7</v>
      </c>
      <c r="B6222" s="16" t="s">
        <v>62</v>
      </c>
      <c r="C6222" s="9">
        <v>46054</v>
      </c>
      <c r="D6222">
        <v>16</v>
      </c>
      <c r="E6222" s="16" t="s">
        <v>101</v>
      </c>
      <c r="F6222" s="16" t="s">
        <v>92</v>
      </c>
      <c r="G6222" s="22">
        <v>27</v>
      </c>
      <c r="H6222" s="18">
        <v>18.12</v>
      </c>
      <c r="I6222" s="18">
        <v>0.67111111099999998</v>
      </c>
      <c r="J6222" s="18">
        <v>0.68</v>
      </c>
      <c r="K6222" s="18">
        <v>0.66</v>
      </c>
      <c r="L6222" s="22">
        <v>8</v>
      </c>
    </row>
    <row r="6223" spans="1:12">
      <c r="A6223">
        <v>7</v>
      </c>
      <c r="B6223" s="16" t="s">
        <v>62</v>
      </c>
      <c r="C6223" s="9">
        <v>46082</v>
      </c>
      <c r="D6223">
        <v>16</v>
      </c>
      <c r="E6223" s="16" t="s">
        <v>101</v>
      </c>
      <c r="F6223" s="16" t="s">
        <v>92</v>
      </c>
      <c r="G6223" s="22">
        <v>33</v>
      </c>
      <c r="H6223" s="18">
        <v>21.344999999999999</v>
      </c>
      <c r="I6223" s="18">
        <v>0.64681818199999996</v>
      </c>
      <c r="J6223" s="18">
        <v>0.66</v>
      </c>
      <c r="K6223" s="18">
        <v>0.64</v>
      </c>
      <c r="L6223" s="22">
        <v>9</v>
      </c>
    </row>
    <row r="6224" spans="1:12">
      <c r="A6224">
        <v>7</v>
      </c>
      <c r="B6224" s="16" t="s">
        <v>62</v>
      </c>
      <c r="C6224" s="9">
        <v>46113</v>
      </c>
      <c r="D6224">
        <v>16</v>
      </c>
      <c r="E6224" s="16" t="s">
        <v>101</v>
      </c>
      <c r="F6224" s="16" t="s">
        <v>92</v>
      </c>
      <c r="G6224" s="22">
        <v>27</v>
      </c>
      <c r="H6224" s="18">
        <v>17.13</v>
      </c>
      <c r="I6224" s="18">
        <v>0.634444444</v>
      </c>
      <c r="J6224" s="18">
        <v>0.66</v>
      </c>
      <c r="K6224" s="18">
        <v>0.61</v>
      </c>
      <c r="L6224" s="22">
        <v>8</v>
      </c>
    </row>
    <row r="6225" spans="1:12">
      <c r="A6225">
        <v>7</v>
      </c>
      <c r="B6225" s="16" t="s">
        <v>62</v>
      </c>
      <c r="C6225" s="9">
        <v>46143</v>
      </c>
      <c r="D6225">
        <v>16</v>
      </c>
      <c r="E6225" s="16" t="s">
        <v>101</v>
      </c>
      <c r="F6225" s="16" t="s">
        <v>92</v>
      </c>
      <c r="G6225" s="22">
        <v>36</v>
      </c>
      <c r="H6225" s="18">
        <v>22.125</v>
      </c>
      <c r="I6225" s="18">
        <v>0.61458333300000001</v>
      </c>
      <c r="J6225" s="18">
        <v>0.63</v>
      </c>
      <c r="K6225" s="18">
        <v>0.6</v>
      </c>
      <c r="L6225" s="22">
        <v>9</v>
      </c>
    </row>
    <row r="6226" spans="1:12">
      <c r="A6226">
        <v>7</v>
      </c>
      <c r="B6226" s="16" t="s">
        <v>62</v>
      </c>
      <c r="C6226" s="9">
        <v>46174</v>
      </c>
      <c r="D6226">
        <v>16</v>
      </c>
      <c r="E6226" s="16" t="s">
        <v>101</v>
      </c>
      <c r="F6226" s="16" t="s">
        <v>92</v>
      </c>
      <c r="G6226" s="22">
        <v>25.5</v>
      </c>
      <c r="H6226" s="18">
        <v>15.135</v>
      </c>
      <c r="I6226" s="18">
        <v>0.59352941199999998</v>
      </c>
      <c r="J6226" s="18">
        <v>0.6</v>
      </c>
      <c r="K6226" s="18">
        <v>0.59</v>
      </c>
      <c r="L6226" s="22">
        <v>9</v>
      </c>
    </row>
    <row r="6227" spans="1:12">
      <c r="A6227">
        <v>7</v>
      </c>
      <c r="B6227" s="16" t="s">
        <v>62</v>
      </c>
      <c r="C6227" s="9">
        <v>46204</v>
      </c>
      <c r="D6227">
        <v>16</v>
      </c>
      <c r="E6227" s="16" t="s">
        <v>101</v>
      </c>
      <c r="F6227" s="16" t="s">
        <v>92</v>
      </c>
      <c r="G6227" s="22">
        <v>27</v>
      </c>
      <c r="H6227" s="18">
        <v>15.945</v>
      </c>
      <c r="I6227" s="18">
        <v>0.59055555599999998</v>
      </c>
      <c r="J6227" s="18">
        <v>0.6</v>
      </c>
      <c r="K6227" s="18">
        <v>0.56999999999999995</v>
      </c>
      <c r="L6227" s="22">
        <v>9</v>
      </c>
    </row>
    <row r="6228" spans="1:12">
      <c r="A6228">
        <v>7</v>
      </c>
      <c r="B6228" s="16" t="s">
        <v>62</v>
      </c>
      <c r="C6228" s="9">
        <v>46235</v>
      </c>
      <c r="D6228">
        <v>16</v>
      </c>
      <c r="E6228" s="16" t="s">
        <v>101</v>
      </c>
      <c r="F6228" s="16" t="s">
        <v>92</v>
      </c>
      <c r="G6228" s="22">
        <v>24</v>
      </c>
      <c r="H6228" s="18">
        <v>14.445</v>
      </c>
      <c r="I6228" s="18">
        <v>0.60187500000000005</v>
      </c>
      <c r="J6228" s="18">
        <v>0.61</v>
      </c>
      <c r="K6228" s="18">
        <v>0.59</v>
      </c>
      <c r="L6228" s="22">
        <v>8</v>
      </c>
    </row>
    <row r="6229" spans="1:12">
      <c r="A6229">
        <v>7</v>
      </c>
      <c r="B6229" s="16" t="s">
        <v>62</v>
      </c>
      <c r="C6229" s="9">
        <v>46266</v>
      </c>
      <c r="D6229">
        <v>16</v>
      </c>
      <c r="E6229" s="16" t="s">
        <v>101</v>
      </c>
      <c r="F6229" s="16" t="s">
        <v>92</v>
      </c>
      <c r="G6229" s="22">
        <v>30</v>
      </c>
      <c r="H6229" s="18">
        <v>18.690000000000001</v>
      </c>
      <c r="I6229" s="18">
        <v>0.623</v>
      </c>
      <c r="J6229" s="18">
        <v>0.63</v>
      </c>
      <c r="K6229" s="18">
        <v>0.61</v>
      </c>
      <c r="L6229" s="22">
        <v>9</v>
      </c>
    </row>
    <row r="6230" spans="1:12">
      <c r="A6230">
        <v>7</v>
      </c>
      <c r="B6230" s="16" t="s">
        <v>62</v>
      </c>
      <c r="C6230" s="9">
        <v>45689</v>
      </c>
      <c r="D6230">
        <v>17</v>
      </c>
      <c r="E6230" s="16" t="s">
        <v>102</v>
      </c>
      <c r="F6230" s="16" t="s">
        <v>103</v>
      </c>
      <c r="G6230" s="22">
        <v>2</v>
      </c>
      <c r="H6230" s="18">
        <v>19.52</v>
      </c>
      <c r="I6230" s="18">
        <v>9.76</v>
      </c>
      <c r="J6230" s="18">
        <v>9.7899999999999991</v>
      </c>
      <c r="K6230" s="18">
        <v>9.73</v>
      </c>
      <c r="L6230" s="22">
        <v>2</v>
      </c>
    </row>
    <row r="6231" spans="1:12">
      <c r="A6231">
        <v>7</v>
      </c>
      <c r="B6231" s="16" t="s">
        <v>62</v>
      </c>
      <c r="C6231" s="9">
        <v>45717</v>
      </c>
      <c r="D6231">
        <v>17</v>
      </c>
      <c r="E6231" s="16" t="s">
        <v>102</v>
      </c>
      <c r="F6231" s="16" t="s">
        <v>103</v>
      </c>
      <c r="G6231" s="22">
        <v>2</v>
      </c>
      <c r="H6231" s="18">
        <v>19.54</v>
      </c>
      <c r="I6231" s="18">
        <v>9.77</v>
      </c>
      <c r="J6231" s="18">
        <v>9.89</v>
      </c>
      <c r="K6231" s="18">
        <v>9.65</v>
      </c>
      <c r="L6231" s="22">
        <v>2</v>
      </c>
    </row>
    <row r="6232" spans="1:12">
      <c r="A6232">
        <v>7</v>
      </c>
      <c r="B6232" s="16" t="s">
        <v>62</v>
      </c>
      <c r="C6232" s="9">
        <v>45748</v>
      </c>
      <c r="D6232">
        <v>17</v>
      </c>
      <c r="E6232" s="16" t="s">
        <v>102</v>
      </c>
      <c r="F6232" s="16" t="s">
        <v>103</v>
      </c>
      <c r="G6232" s="22">
        <v>2</v>
      </c>
      <c r="H6232" s="18">
        <v>19.940000000000001</v>
      </c>
      <c r="I6232" s="18">
        <v>9.9700000000000006</v>
      </c>
      <c r="J6232" s="18">
        <v>10.23</v>
      </c>
      <c r="K6232" s="18">
        <v>9.7100000000000009</v>
      </c>
      <c r="L6232" s="22">
        <v>2</v>
      </c>
    </row>
    <row r="6233" spans="1:12">
      <c r="A6233">
        <v>7</v>
      </c>
      <c r="B6233" s="16" t="s">
        <v>62</v>
      </c>
      <c r="C6233" s="9">
        <v>45778</v>
      </c>
      <c r="D6233">
        <v>17</v>
      </c>
      <c r="E6233" s="16" t="s">
        <v>102</v>
      </c>
      <c r="F6233" s="16" t="s">
        <v>103</v>
      </c>
      <c r="G6233" s="22">
        <v>3</v>
      </c>
      <c r="H6233" s="18">
        <v>30.35</v>
      </c>
      <c r="I6233" s="18">
        <v>10.116666667000001</v>
      </c>
      <c r="J6233" s="18">
        <v>10.16</v>
      </c>
      <c r="K6233" s="18">
        <v>10.07</v>
      </c>
      <c r="L6233" s="22">
        <v>3</v>
      </c>
    </row>
    <row r="6234" spans="1:12">
      <c r="A6234">
        <v>7</v>
      </c>
      <c r="B6234" s="16" t="s">
        <v>62</v>
      </c>
      <c r="C6234" s="9">
        <v>45809</v>
      </c>
      <c r="D6234">
        <v>17</v>
      </c>
      <c r="E6234" s="16" t="s">
        <v>102</v>
      </c>
      <c r="F6234" s="16" t="s">
        <v>103</v>
      </c>
      <c r="G6234" s="22">
        <v>1</v>
      </c>
      <c r="H6234" s="18">
        <v>9.85</v>
      </c>
      <c r="I6234" s="18">
        <v>9.85</v>
      </c>
      <c r="J6234" s="18">
        <v>9.85</v>
      </c>
      <c r="K6234" s="18">
        <v>9.85</v>
      </c>
      <c r="L6234" s="22">
        <v>1</v>
      </c>
    </row>
    <row r="6235" spans="1:12">
      <c r="A6235">
        <v>7</v>
      </c>
      <c r="B6235" s="16" t="s">
        <v>62</v>
      </c>
      <c r="C6235" s="9">
        <v>45839</v>
      </c>
      <c r="D6235">
        <v>17</v>
      </c>
      <c r="E6235" s="16" t="s">
        <v>102</v>
      </c>
      <c r="F6235" s="16" t="s">
        <v>103</v>
      </c>
      <c r="G6235" s="22">
        <v>1</v>
      </c>
      <c r="H6235" s="18">
        <v>10.17</v>
      </c>
      <c r="I6235" s="18">
        <v>10.17</v>
      </c>
      <c r="J6235" s="18">
        <v>10.17</v>
      </c>
      <c r="K6235" s="18">
        <v>10.17</v>
      </c>
      <c r="L6235" s="22">
        <v>1</v>
      </c>
    </row>
    <row r="6236" spans="1:12">
      <c r="A6236">
        <v>7</v>
      </c>
      <c r="B6236" s="16" t="s">
        <v>62</v>
      </c>
      <c r="C6236" s="9">
        <v>45870</v>
      </c>
      <c r="D6236">
        <v>17</v>
      </c>
      <c r="E6236" s="16" t="s">
        <v>102</v>
      </c>
      <c r="F6236" s="16" t="s">
        <v>103</v>
      </c>
      <c r="G6236" s="22">
        <v>2</v>
      </c>
      <c r="H6236" s="18">
        <v>20.18</v>
      </c>
      <c r="I6236" s="18">
        <v>10.09</v>
      </c>
      <c r="J6236" s="18">
        <v>10.19</v>
      </c>
      <c r="K6236" s="18">
        <v>9.99</v>
      </c>
      <c r="L6236" s="22">
        <v>2</v>
      </c>
    </row>
    <row r="6237" spans="1:12">
      <c r="A6237">
        <v>7</v>
      </c>
      <c r="B6237" s="16" t="s">
        <v>62</v>
      </c>
      <c r="C6237" s="9">
        <v>45901</v>
      </c>
      <c r="D6237">
        <v>17</v>
      </c>
      <c r="E6237" s="16" t="s">
        <v>102</v>
      </c>
      <c r="F6237" s="16" t="s">
        <v>103</v>
      </c>
      <c r="G6237" s="22">
        <v>2</v>
      </c>
      <c r="H6237" s="18">
        <v>20.39</v>
      </c>
      <c r="I6237" s="18">
        <v>10.195</v>
      </c>
      <c r="J6237" s="18">
        <v>10.23</v>
      </c>
      <c r="K6237" s="18">
        <v>10.16</v>
      </c>
      <c r="L6237" s="22">
        <v>2</v>
      </c>
    </row>
    <row r="6238" spans="1:12">
      <c r="A6238">
        <v>7</v>
      </c>
      <c r="B6238" s="16" t="s">
        <v>62</v>
      </c>
      <c r="C6238" s="9">
        <v>45931</v>
      </c>
      <c r="D6238">
        <v>17</v>
      </c>
      <c r="E6238" s="16" t="s">
        <v>102</v>
      </c>
      <c r="F6238" s="16" t="s">
        <v>103</v>
      </c>
      <c r="G6238" s="22">
        <v>4</v>
      </c>
      <c r="H6238" s="18">
        <v>40.840000000000003</v>
      </c>
      <c r="I6238" s="18">
        <v>10.210000000000001</v>
      </c>
      <c r="J6238" s="18">
        <v>10.3</v>
      </c>
      <c r="K6238" s="18">
        <v>10.130000000000001</v>
      </c>
      <c r="L6238" s="22">
        <v>3</v>
      </c>
    </row>
    <row r="6239" spans="1:12">
      <c r="A6239">
        <v>7</v>
      </c>
      <c r="B6239" s="16" t="s">
        <v>62</v>
      </c>
      <c r="C6239" s="9">
        <v>45962</v>
      </c>
      <c r="D6239">
        <v>17</v>
      </c>
      <c r="E6239" s="16" t="s">
        <v>102</v>
      </c>
      <c r="F6239" s="16" t="s">
        <v>103</v>
      </c>
      <c r="G6239" s="22">
        <v>3</v>
      </c>
      <c r="H6239" s="18">
        <v>30.83</v>
      </c>
      <c r="I6239" s="18">
        <v>10.276666667000001</v>
      </c>
      <c r="J6239" s="18">
        <v>10.31</v>
      </c>
      <c r="K6239" s="18">
        <v>10.26</v>
      </c>
      <c r="L6239" s="22">
        <v>2</v>
      </c>
    </row>
    <row r="6240" spans="1:12">
      <c r="A6240">
        <v>7</v>
      </c>
      <c r="B6240" s="16" t="s">
        <v>62</v>
      </c>
      <c r="C6240" s="9">
        <v>45992</v>
      </c>
      <c r="D6240">
        <v>17</v>
      </c>
      <c r="E6240" s="16" t="s">
        <v>102</v>
      </c>
      <c r="F6240" s="16" t="s">
        <v>103</v>
      </c>
      <c r="G6240" s="22">
        <v>2</v>
      </c>
      <c r="H6240" s="18">
        <v>20.43</v>
      </c>
      <c r="I6240" s="18">
        <v>10.215</v>
      </c>
      <c r="J6240" s="18">
        <v>10.36</v>
      </c>
      <c r="K6240" s="18">
        <v>10.07</v>
      </c>
      <c r="L6240" s="22">
        <v>2</v>
      </c>
    </row>
    <row r="6241" spans="1:12">
      <c r="A6241">
        <v>7</v>
      </c>
      <c r="B6241" s="16" t="s">
        <v>62</v>
      </c>
      <c r="C6241" s="9">
        <v>46023</v>
      </c>
      <c r="D6241">
        <v>17</v>
      </c>
      <c r="E6241" s="16" t="s">
        <v>102</v>
      </c>
      <c r="F6241" s="16" t="s">
        <v>103</v>
      </c>
      <c r="G6241" s="22">
        <v>3</v>
      </c>
      <c r="H6241" s="18">
        <v>30.98</v>
      </c>
      <c r="I6241" s="18">
        <v>10.326666667</v>
      </c>
      <c r="J6241" s="18">
        <v>10.38</v>
      </c>
      <c r="K6241" s="18">
        <v>10.220000000000001</v>
      </c>
      <c r="L6241" s="22">
        <v>2</v>
      </c>
    </row>
    <row r="6242" spans="1:12">
      <c r="A6242">
        <v>7</v>
      </c>
      <c r="B6242" s="16" t="s">
        <v>62</v>
      </c>
      <c r="C6242" s="9">
        <v>46054</v>
      </c>
      <c r="D6242">
        <v>17</v>
      </c>
      <c r="E6242" s="16" t="s">
        <v>102</v>
      </c>
      <c r="F6242" s="16" t="s">
        <v>103</v>
      </c>
      <c r="G6242" s="22">
        <v>2</v>
      </c>
      <c r="H6242" s="18">
        <v>21.03</v>
      </c>
      <c r="I6242" s="18">
        <v>10.515000000000001</v>
      </c>
      <c r="J6242" s="18">
        <v>10.87</v>
      </c>
      <c r="K6242" s="18">
        <v>10.16</v>
      </c>
      <c r="L6242" s="22">
        <v>2</v>
      </c>
    </row>
    <row r="6243" spans="1:12">
      <c r="A6243">
        <v>7</v>
      </c>
      <c r="B6243" s="16" t="s">
        <v>62</v>
      </c>
      <c r="C6243" s="9">
        <v>46082</v>
      </c>
      <c r="D6243">
        <v>17</v>
      </c>
      <c r="E6243" s="16" t="s">
        <v>102</v>
      </c>
      <c r="F6243" s="16" t="s">
        <v>103</v>
      </c>
      <c r="G6243" s="22">
        <v>3</v>
      </c>
      <c r="H6243" s="18">
        <v>31.03</v>
      </c>
      <c r="I6243" s="18">
        <v>10.343333333</v>
      </c>
      <c r="J6243" s="18">
        <v>10.35</v>
      </c>
      <c r="K6243" s="18">
        <v>10.33</v>
      </c>
      <c r="L6243" s="22">
        <v>2</v>
      </c>
    </row>
    <row r="6244" spans="1:12">
      <c r="A6244">
        <v>7</v>
      </c>
      <c r="B6244" s="16" t="s">
        <v>62</v>
      </c>
      <c r="C6244" s="9">
        <v>46113</v>
      </c>
      <c r="D6244">
        <v>17</v>
      </c>
      <c r="E6244" s="16" t="s">
        <v>102</v>
      </c>
      <c r="F6244" s="16" t="s">
        <v>103</v>
      </c>
      <c r="G6244" s="22">
        <v>3</v>
      </c>
      <c r="H6244" s="18">
        <v>31.06</v>
      </c>
      <c r="I6244" s="18">
        <v>10.353333333</v>
      </c>
      <c r="J6244" s="18">
        <v>10.53</v>
      </c>
      <c r="K6244" s="18">
        <v>10.19</v>
      </c>
      <c r="L6244" s="22">
        <v>3</v>
      </c>
    </row>
    <row r="6245" spans="1:12">
      <c r="A6245">
        <v>7</v>
      </c>
      <c r="B6245" s="16" t="s">
        <v>62</v>
      </c>
      <c r="C6245" s="9">
        <v>46143</v>
      </c>
      <c r="D6245">
        <v>17</v>
      </c>
      <c r="E6245" s="16" t="s">
        <v>102</v>
      </c>
      <c r="F6245" s="16" t="s">
        <v>103</v>
      </c>
      <c r="G6245" s="22">
        <v>2</v>
      </c>
      <c r="H6245" s="18">
        <v>20.85</v>
      </c>
      <c r="I6245" s="18">
        <v>10.425000000000001</v>
      </c>
      <c r="J6245" s="18">
        <v>10.52</v>
      </c>
      <c r="K6245" s="18">
        <v>10.33</v>
      </c>
      <c r="L6245" s="22">
        <v>2</v>
      </c>
    </row>
    <row r="6246" spans="1:12">
      <c r="A6246">
        <v>7</v>
      </c>
      <c r="B6246" s="16" t="s">
        <v>62</v>
      </c>
      <c r="C6246" s="9">
        <v>46174</v>
      </c>
      <c r="D6246">
        <v>17</v>
      </c>
      <c r="E6246" s="16" t="s">
        <v>102</v>
      </c>
      <c r="F6246" s="16" t="s">
        <v>103</v>
      </c>
      <c r="G6246" s="22">
        <v>2</v>
      </c>
      <c r="H6246" s="18">
        <v>21.11</v>
      </c>
      <c r="I6246" s="18">
        <v>10.555</v>
      </c>
      <c r="J6246" s="18">
        <v>10.65</v>
      </c>
      <c r="K6246" s="18">
        <v>10.46</v>
      </c>
      <c r="L6246" s="22">
        <v>2</v>
      </c>
    </row>
    <row r="6247" spans="1:12">
      <c r="A6247">
        <v>7</v>
      </c>
      <c r="B6247" s="16" t="s">
        <v>62</v>
      </c>
      <c r="C6247" s="9">
        <v>46204</v>
      </c>
      <c r="D6247">
        <v>17</v>
      </c>
      <c r="E6247" s="16" t="s">
        <v>102</v>
      </c>
      <c r="F6247" s="16" t="s">
        <v>103</v>
      </c>
      <c r="G6247" s="22">
        <v>2</v>
      </c>
      <c r="H6247" s="18">
        <v>20.68</v>
      </c>
      <c r="I6247" s="18">
        <v>10.34</v>
      </c>
      <c r="J6247" s="18">
        <v>10.36</v>
      </c>
      <c r="K6247" s="18">
        <v>10.32</v>
      </c>
      <c r="L6247" s="22">
        <v>2</v>
      </c>
    </row>
    <row r="6248" spans="1:12">
      <c r="A6248">
        <v>7</v>
      </c>
      <c r="B6248" s="16" t="s">
        <v>62</v>
      </c>
      <c r="C6248" s="9">
        <v>46235</v>
      </c>
      <c r="D6248">
        <v>17</v>
      </c>
      <c r="E6248" s="16" t="s">
        <v>102</v>
      </c>
      <c r="F6248" s="16" t="s">
        <v>103</v>
      </c>
      <c r="G6248" s="22">
        <v>1</v>
      </c>
      <c r="H6248" s="18">
        <v>10.43</v>
      </c>
      <c r="I6248" s="18">
        <v>10.43</v>
      </c>
      <c r="J6248" s="18">
        <v>10.43</v>
      </c>
      <c r="K6248" s="18">
        <v>10.43</v>
      </c>
      <c r="L6248" s="22">
        <v>1</v>
      </c>
    </row>
    <row r="6249" spans="1:12">
      <c r="A6249">
        <v>7</v>
      </c>
      <c r="B6249" s="16" t="s">
        <v>62</v>
      </c>
      <c r="C6249" s="9">
        <v>46266</v>
      </c>
      <c r="D6249">
        <v>17</v>
      </c>
      <c r="E6249" s="16" t="s">
        <v>102</v>
      </c>
      <c r="F6249" s="16" t="s">
        <v>103</v>
      </c>
      <c r="G6249" s="22">
        <v>2</v>
      </c>
      <c r="H6249" s="18">
        <v>20.76</v>
      </c>
      <c r="I6249" s="18">
        <v>10.38</v>
      </c>
      <c r="J6249" s="18">
        <v>10.4</v>
      </c>
      <c r="K6249" s="18">
        <v>10.36</v>
      </c>
      <c r="L6249" s="22">
        <v>2</v>
      </c>
    </row>
    <row r="6250" spans="1:12">
      <c r="A6250">
        <v>7</v>
      </c>
      <c r="B6250" s="16" t="s">
        <v>62</v>
      </c>
      <c r="C6250" s="9">
        <v>45689</v>
      </c>
      <c r="D6250">
        <v>18</v>
      </c>
      <c r="E6250" s="16" t="s">
        <v>104</v>
      </c>
      <c r="F6250" s="16" t="s">
        <v>103</v>
      </c>
      <c r="G6250" s="22">
        <v>3</v>
      </c>
      <c r="H6250" s="18">
        <v>25.98</v>
      </c>
      <c r="I6250" s="18">
        <v>8.66</v>
      </c>
      <c r="J6250" s="18">
        <v>8.66</v>
      </c>
      <c r="K6250" s="18">
        <v>8.66</v>
      </c>
      <c r="L6250" s="22">
        <v>1</v>
      </c>
    </row>
    <row r="6251" spans="1:12">
      <c r="A6251">
        <v>7</v>
      </c>
      <c r="B6251" s="16" t="s">
        <v>62</v>
      </c>
      <c r="C6251" s="9">
        <v>45717</v>
      </c>
      <c r="D6251">
        <v>18</v>
      </c>
      <c r="E6251" s="16" t="s">
        <v>104</v>
      </c>
      <c r="F6251" s="16" t="s">
        <v>103</v>
      </c>
      <c r="G6251" s="22">
        <v>3</v>
      </c>
      <c r="H6251" s="18">
        <v>26.55</v>
      </c>
      <c r="I6251" s="18">
        <v>8.85</v>
      </c>
      <c r="J6251" s="18">
        <v>8.85</v>
      </c>
      <c r="K6251" s="18">
        <v>8.85</v>
      </c>
      <c r="L6251" s="22">
        <v>1</v>
      </c>
    </row>
    <row r="6252" spans="1:12">
      <c r="A6252">
        <v>7</v>
      </c>
      <c r="B6252" s="16" t="s">
        <v>62</v>
      </c>
      <c r="C6252" s="9">
        <v>45748</v>
      </c>
      <c r="D6252">
        <v>18</v>
      </c>
      <c r="E6252" s="16" t="s">
        <v>104</v>
      </c>
      <c r="F6252" s="16" t="s">
        <v>103</v>
      </c>
      <c r="G6252" s="22">
        <v>9</v>
      </c>
      <c r="H6252" s="18">
        <v>79.02</v>
      </c>
      <c r="I6252" s="18">
        <v>8.7799999999999994</v>
      </c>
      <c r="J6252" s="18">
        <v>8.89</v>
      </c>
      <c r="K6252" s="18">
        <v>8.7100000000000009</v>
      </c>
      <c r="L6252" s="22">
        <v>3</v>
      </c>
    </row>
    <row r="6253" spans="1:12">
      <c r="A6253">
        <v>7</v>
      </c>
      <c r="B6253" s="16" t="s">
        <v>62</v>
      </c>
      <c r="C6253" s="9">
        <v>45778</v>
      </c>
      <c r="D6253">
        <v>18</v>
      </c>
      <c r="E6253" s="16" t="s">
        <v>104</v>
      </c>
      <c r="F6253" s="16" t="s">
        <v>103</v>
      </c>
      <c r="G6253" s="22">
        <v>3</v>
      </c>
      <c r="H6253" s="18">
        <v>26.61</v>
      </c>
      <c r="I6253" s="18">
        <v>8.8699999999999992</v>
      </c>
      <c r="J6253" s="18">
        <v>8.8699999999999992</v>
      </c>
      <c r="K6253" s="18">
        <v>8.8699999999999992</v>
      </c>
      <c r="L6253" s="22">
        <v>1</v>
      </c>
    </row>
    <row r="6254" spans="1:12">
      <c r="A6254">
        <v>7</v>
      </c>
      <c r="B6254" s="16" t="s">
        <v>62</v>
      </c>
      <c r="C6254" s="9">
        <v>45809</v>
      </c>
      <c r="D6254">
        <v>18</v>
      </c>
      <c r="E6254" s="16" t="s">
        <v>104</v>
      </c>
      <c r="F6254" s="16" t="s">
        <v>103</v>
      </c>
      <c r="G6254" s="22">
        <v>3</v>
      </c>
      <c r="H6254" s="18">
        <v>27.24</v>
      </c>
      <c r="I6254" s="18">
        <v>9.08</v>
      </c>
      <c r="J6254" s="18">
        <v>9.08</v>
      </c>
      <c r="K6254" s="18">
        <v>9.08</v>
      </c>
      <c r="L6254" s="22">
        <v>1</v>
      </c>
    </row>
    <row r="6255" spans="1:12">
      <c r="A6255">
        <v>7</v>
      </c>
      <c r="B6255" s="16" t="s">
        <v>62</v>
      </c>
      <c r="C6255" s="9">
        <v>45839</v>
      </c>
      <c r="D6255">
        <v>18</v>
      </c>
      <c r="E6255" s="16" t="s">
        <v>104</v>
      </c>
      <c r="F6255" s="16" t="s">
        <v>103</v>
      </c>
      <c r="G6255" s="22">
        <v>3</v>
      </c>
      <c r="H6255" s="18">
        <v>27.33</v>
      </c>
      <c r="I6255" s="18">
        <v>9.11</v>
      </c>
      <c r="J6255" s="18">
        <v>9.11</v>
      </c>
      <c r="K6255" s="18">
        <v>9.11</v>
      </c>
      <c r="L6255" s="22">
        <v>1</v>
      </c>
    </row>
    <row r="6256" spans="1:12">
      <c r="A6256">
        <v>7</v>
      </c>
      <c r="B6256" s="16" t="s">
        <v>62</v>
      </c>
      <c r="C6256" s="9">
        <v>45870</v>
      </c>
      <c r="D6256">
        <v>18</v>
      </c>
      <c r="E6256" s="16" t="s">
        <v>104</v>
      </c>
      <c r="F6256" s="16" t="s">
        <v>103</v>
      </c>
      <c r="G6256" s="22">
        <v>3</v>
      </c>
      <c r="H6256" s="18">
        <v>26.7</v>
      </c>
      <c r="I6256" s="18">
        <v>8.9</v>
      </c>
      <c r="J6256" s="18">
        <v>8.9</v>
      </c>
      <c r="K6256" s="18">
        <v>8.9</v>
      </c>
      <c r="L6256" s="22">
        <v>1</v>
      </c>
    </row>
    <row r="6257" spans="1:12">
      <c r="A6257">
        <v>7</v>
      </c>
      <c r="B6257" s="16" t="s">
        <v>62</v>
      </c>
      <c r="C6257" s="9">
        <v>45901</v>
      </c>
      <c r="D6257">
        <v>18</v>
      </c>
      <c r="E6257" s="16" t="s">
        <v>104</v>
      </c>
      <c r="F6257" s="16" t="s">
        <v>103</v>
      </c>
      <c r="G6257" s="22">
        <v>6</v>
      </c>
      <c r="H6257" s="18">
        <v>55.11</v>
      </c>
      <c r="I6257" s="18">
        <v>9.1850000000000005</v>
      </c>
      <c r="J6257" s="18">
        <v>9.2100000000000009</v>
      </c>
      <c r="K6257" s="18">
        <v>9.16</v>
      </c>
      <c r="L6257" s="22">
        <v>2</v>
      </c>
    </row>
    <row r="6258" spans="1:12">
      <c r="A6258">
        <v>7</v>
      </c>
      <c r="B6258" s="16" t="s">
        <v>62</v>
      </c>
      <c r="C6258" s="9">
        <v>45931</v>
      </c>
      <c r="D6258">
        <v>18</v>
      </c>
      <c r="E6258" s="16" t="s">
        <v>104</v>
      </c>
      <c r="F6258" s="16" t="s">
        <v>103</v>
      </c>
      <c r="G6258" s="22">
        <v>6</v>
      </c>
      <c r="H6258" s="18">
        <v>54.66</v>
      </c>
      <c r="I6258" s="18">
        <v>9.11</v>
      </c>
      <c r="J6258" s="18">
        <v>9.1300000000000008</v>
      </c>
      <c r="K6258" s="18">
        <v>9.09</v>
      </c>
      <c r="L6258" s="22">
        <v>2</v>
      </c>
    </row>
    <row r="6259" spans="1:12">
      <c r="A6259">
        <v>7</v>
      </c>
      <c r="B6259" s="16" t="s">
        <v>62</v>
      </c>
      <c r="C6259" s="9">
        <v>45962</v>
      </c>
      <c r="D6259">
        <v>18</v>
      </c>
      <c r="E6259" s="16" t="s">
        <v>104</v>
      </c>
      <c r="F6259" s="16" t="s">
        <v>103</v>
      </c>
      <c r="G6259" s="22">
        <v>3</v>
      </c>
      <c r="H6259" s="18">
        <v>27.96</v>
      </c>
      <c r="I6259" s="18">
        <v>9.32</v>
      </c>
      <c r="J6259" s="18">
        <v>9.32</v>
      </c>
      <c r="K6259" s="18">
        <v>9.32</v>
      </c>
      <c r="L6259" s="22">
        <v>1</v>
      </c>
    </row>
    <row r="6260" spans="1:12">
      <c r="A6260">
        <v>7</v>
      </c>
      <c r="B6260" s="16" t="s">
        <v>62</v>
      </c>
      <c r="C6260" s="9">
        <v>45992</v>
      </c>
      <c r="D6260">
        <v>18</v>
      </c>
      <c r="E6260" s="16" t="s">
        <v>104</v>
      </c>
      <c r="F6260" s="16" t="s">
        <v>103</v>
      </c>
      <c r="G6260" s="22">
        <v>6</v>
      </c>
      <c r="H6260" s="18">
        <v>56.1</v>
      </c>
      <c r="I6260" s="18">
        <v>9.35</v>
      </c>
      <c r="J6260" s="18">
        <v>9.43</v>
      </c>
      <c r="K6260" s="18">
        <v>9.27</v>
      </c>
      <c r="L6260" s="22">
        <v>2</v>
      </c>
    </row>
    <row r="6261" spans="1:12">
      <c r="A6261">
        <v>7</v>
      </c>
      <c r="B6261" s="16" t="s">
        <v>62</v>
      </c>
      <c r="C6261" s="9">
        <v>46023</v>
      </c>
      <c r="D6261">
        <v>18</v>
      </c>
      <c r="E6261" s="16" t="s">
        <v>104</v>
      </c>
      <c r="F6261" s="16" t="s">
        <v>103</v>
      </c>
      <c r="G6261" s="22">
        <v>6</v>
      </c>
      <c r="H6261" s="18">
        <v>56.4</v>
      </c>
      <c r="I6261" s="18">
        <v>9.4</v>
      </c>
      <c r="J6261" s="18">
        <v>9.74</v>
      </c>
      <c r="K6261" s="18">
        <v>9.06</v>
      </c>
      <c r="L6261" s="22">
        <v>2</v>
      </c>
    </row>
    <row r="6262" spans="1:12">
      <c r="A6262">
        <v>7</v>
      </c>
      <c r="B6262" s="16" t="s">
        <v>62</v>
      </c>
      <c r="C6262" s="9">
        <v>46054</v>
      </c>
      <c r="D6262">
        <v>18</v>
      </c>
      <c r="E6262" s="16" t="s">
        <v>104</v>
      </c>
      <c r="F6262" s="16" t="s">
        <v>103</v>
      </c>
      <c r="G6262" s="22">
        <v>3</v>
      </c>
      <c r="H6262" s="18">
        <v>27.54</v>
      </c>
      <c r="I6262" s="18">
        <v>9.18</v>
      </c>
      <c r="J6262" s="18">
        <v>9.18</v>
      </c>
      <c r="K6262" s="18">
        <v>9.18</v>
      </c>
      <c r="L6262" s="22">
        <v>1</v>
      </c>
    </row>
    <row r="6263" spans="1:12">
      <c r="A6263">
        <v>7</v>
      </c>
      <c r="B6263" s="16" t="s">
        <v>62</v>
      </c>
      <c r="C6263" s="9">
        <v>46082</v>
      </c>
      <c r="D6263">
        <v>18</v>
      </c>
      <c r="E6263" s="16" t="s">
        <v>104</v>
      </c>
      <c r="F6263" s="16" t="s">
        <v>103</v>
      </c>
      <c r="G6263" s="22">
        <v>6</v>
      </c>
      <c r="H6263" s="18">
        <v>55.5</v>
      </c>
      <c r="I6263" s="18">
        <v>9.25</v>
      </c>
      <c r="J6263" s="18">
        <v>9.27</v>
      </c>
      <c r="K6263" s="18">
        <v>9.23</v>
      </c>
      <c r="L6263" s="22">
        <v>2</v>
      </c>
    </row>
    <row r="6264" spans="1:12">
      <c r="A6264">
        <v>7</v>
      </c>
      <c r="B6264" s="16" t="s">
        <v>62</v>
      </c>
      <c r="C6264" s="9">
        <v>46113</v>
      </c>
      <c r="D6264">
        <v>18</v>
      </c>
      <c r="E6264" s="16" t="s">
        <v>104</v>
      </c>
      <c r="F6264" s="16" t="s">
        <v>103</v>
      </c>
      <c r="G6264" s="22">
        <v>3</v>
      </c>
      <c r="H6264" s="18">
        <v>27.75</v>
      </c>
      <c r="I6264" s="18">
        <v>9.25</v>
      </c>
      <c r="J6264" s="18">
        <v>9.25</v>
      </c>
      <c r="K6264" s="18">
        <v>9.25</v>
      </c>
      <c r="L6264" s="22">
        <v>1</v>
      </c>
    </row>
    <row r="6265" spans="1:12">
      <c r="A6265">
        <v>7</v>
      </c>
      <c r="B6265" s="16" t="s">
        <v>62</v>
      </c>
      <c r="C6265" s="9">
        <v>46143</v>
      </c>
      <c r="D6265">
        <v>18</v>
      </c>
      <c r="E6265" s="16" t="s">
        <v>104</v>
      </c>
      <c r="F6265" s="16" t="s">
        <v>103</v>
      </c>
      <c r="G6265" s="22">
        <v>6</v>
      </c>
      <c r="H6265" s="18">
        <v>54.9</v>
      </c>
      <c r="I6265" s="18">
        <v>9.15</v>
      </c>
      <c r="J6265" s="18">
        <v>9.18</v>
      </c>
      <c r="K6265" s="18">
        <v>9.1199999999999992</v>
      </c>
      <c r="L6265" s="22">
        <v>2</v>
      </c>
    </row>
    <row r="6266" spans="1:12">
      <c r="A6266">
        <v>7</v>
      </c>
      <c r="B6266" s="16" t="s">
        <v>62</v>
      </c>
      <c r="C6266" s="9">
        <v>46174</v>
      </c>
      <c r="D6266">
        <v>18</v>
      </c>
      <c r="E6266" s="16" t="s">
        <v>104</v>
      </c>
      <c r="F6266" s="16" t="s">
        <v>103</v>
      </c>
      <c r="G6266" s="22">
        <v>3</v>
      </c>
      <c r="H6266" s="18">
        <v>28.17</v>
      </c>
      <c r="I6266" s="18">
        <v>9.39</v>
      </c>
      <c r="J6266" s="18">
        <v>9.39</v>
      </c>
      <c r="K6266" s="18">
        <v>9.39</v>
      </c>
      <c r="L6266" s="22">
        <v>1</v>
      </c>
    </row>
    <row r="6267" spans="1:12">
      <c r="A6267">
        <v>7</v>
      </c>
      <c r="B6267" s="16" t="s">
        <v>62</v>
      </c>
      <c r="C6267" s="9">
        <v>46204</v>
      </c>
      <c r="D6267">
        <v>18</v>
      </c>
      <c r="E6267" s="16" t="s">
        <v>104</v>
      </c>
      <c r="F6267" s="16" t="s">
        <v>103</v>
      </c>
      <c r="G6267" s="22">
        <v>3</v>
      </c>
      <c r="H6267" s="18">
        <v>27.81</v>
      </c>
      <c r="I6267" s="18">
        <v>9.27</v>
      </c>
      <c r="J6267" s="18">
        <v>9.27</v>
      </c>
      <c r="K6267" s="18">
        <v>9.27</v>
      </c>
      <c r="L6267" s="22">
        <v>1</v>
      </c>
    </row>
    <row r="6268" spans="1:12">
      <c r="A6268">
        <v>7</v>
      </c>
      <c r="B6268" s="16" t="s">
        <v>62</v>
      </c>
      <c r="C6268" s="9">
        <v>46235</v>
      </c>
      <c r="D6268">
        <v>18</v>
      </c>
      <c r="E6268" s="16" t="s">
        <v>104</v>
      </c>
      <c r="F6268" s="16" t="s">
        <v>103</v>
      </c>
      <c r="G6268" s="22">
        <v>3</v>
      </c>
      <c r="H6268" s="18">
        <v>28.35</v>
      </c>
      <c r="I6268" s="18">
        <v>9.4499999999999993</v>
      </c>
      <c r="J6268" s="18">
        <v>9.4499999999999993</v>
      </c>
      <c r="K6268" s="18">
        <v>9.4499999999999993</v>
      </c>
      <c r="L6268" s="22">
        <v>1</v>
      </c>
    </row>
    <row r="6269" spans="1:12">
      <c r="A6269">
        <v>7</v>
      </c>
      <c r="B6269" s="16" t="s">
        <v>62</v>
      </c>
      <c r="C6269" s="9">
        <v>46266</v>
      </c>
      <c r="D6269">
        <v>18</v>
      </c>
      <c r="E6269" s="16" t="s">
        <v>104</v>
      </c>
      <c r="F6269" s="16" t="s">
        <v>103</v>
      </c>
      <c r="G6269" s="22">
        <v>6</v>
      </c>
      <c r="H6269" s="18">
        <v>58.86</v>
      </c>
      <c r="I6269" s="18">
        <v>9.81</v>
      </c>
      <c r="J6269" s="18">
        <v>10.18</v>
      </c>
      <c r="K6269" s="18">
        <v>9.44</v>
      </c>
      <c r="L6269" s="22">
        <v>2</v>
      </c>
    </row>
    <row r="6270" spans="1:12">
      <c r="A6270">
        <v>7</v>
      </c>
      <c r="B6270" s="16" t="s">
        <v>62</v>
      </c>
      <c r="C6270" s="9">
        <v>45689</v>
      </c>
      <c r="D6270">
        <v>19</v>
      </c>
      <c r="E6270" s="16" t="s">
        <v>105</v>
      </c>
      <c r="F6270" s="16" t="s">
        <v>106</v>
      </c>
      <c r="G6270" s="22">
        <v>32</v>
      </c>
      <c r="H6270" s="18">
        <v>26.4</v>
      </c>
      <c r="I6270" s="18">
        <v>0.82499999999999996</v>
      </c>
      <c r="J6270" s="18">
        <v>0.83</v>
      </c>
      <c r="K6270" s="18">
        <v>0.82</v>
      </c>
      <c r="L6270" s="22">
        <v>2</v>
      </c>
    </row>
    <row r="6271" spans="1:12">
      <c r="A6271">
        <v>7</v>
      </c>
      <c r="B6271" s="16" t="s">
        <v>62</v>
      </c>
      <c r="C6271" s="9">
        <v>45717</v>
      </c>
      <c r="D6271">
        <v>19</v>
      </c>
      <c r="E6271" s="16" t="s">
        <v>105</v>
      </c>
      <c r="F6271" s="16" t="s">
        <v>106</v>
      </c>
      <c r="G6271" s="22">
        <v>32</v>
      </c>
      <c r="H6271" s="18">
        <v>25.92</v>
      </c>
      <c r="I6271" s="18">
        <v>0.81</v>
      </c>
      <c r="J6271" s="18">
        <v>0.81</v>
      </c>
      <c r="K6271" s="18">
        <v>0.81</v>
      </c>
      <c r="L6271" s="22">
        <v>2</v>
      </c>
    </row>
    <row r="6272" spans="1:12">
      <c r="A6272">
        <v>7</v>
      </c>
      <c r="B6272" s="16" t="s">
        <v>62</v>
      </c>
      <c r="C6272" s="9">
        <v>45748</v>
      </c>
      <c r="D6272">
        <v>19</v>
      </c>
      <c r="E6272" s="16" t="s">
        <v>105</v>
      </c>
      <c r="F6272" s="16" t="s">
        <v>106</v>
      </c>
      <c r="G6272" s="22">
        <v>48</v>
      </c>
      <c r="H6272" s="18">
        <v>38.880000000000003</v>
      </c>
      <c r="I6272" s="18">
        <v>0.81</v>
      </c>
      <c r="J6272" s="18">
        <v>0.81</v>
      </c>
      <c r="K6272" s="18">
        <v>0.81</v>
      </c>
      <c r="L6272" s="22">
        <v>2</v>
      </c>
    </row>
    <row r="6273" spans="1:12">
      <c r="A6273">
        <v>7</v>
      </c>
      <c r="B6273" s="16" t="s">
        <v>62</v>
      </c>
      <c r="C6273" s="9">
        <v>45778</v>
      </c>
      <c r="D6273">
        <v>19</v>
      </c>
      <c r="E6273" s="16" t="s">
        <v>105</v>
      </c>
      <c r="F6273" s="16" t="s">
        <v>106</v>
      </c>
      <c r="G6273" s="22">
        <v>32</v>
      </c>
      <c r="H6273" s="18">
        <v>26.56</v>
      </c>
      <c r="I6273" s="18">
        <v>0.83</v>
      </c>
      <c r="J6273" s="18">
        <v>0.83</v>
      </c>
      <c r="K6273" s="18">
        <v>0.83</v>
      </c>
      <c r="L6273" s="22">
        <v>2</v>
      </c>
    </row>
    <row r="6274" spans="1:12">
      <c r="A6274">
        <v>7</v>
      </c>
      <c r="B6274" s="16" t="s">
        <v>62</v>
      </c>
      <c r="C6274" s="9">
        <v>45809</v>
      </c>
      <c r="D6274">
        <v>19</v>
      </c>
      <c r="E6274" s="16" t="s">
        <v>105</v>
      </c>
      <c r="F6274" s="16" t="s">
        <v>106</v>
      </c>
      <c r="G6274" s="22">
        <v>32</v>
      </c>
      <c r="H6274" s="18">
        <v>27.04</v>
      </c>
      <c r="I6274" s="18">
        <v>0.84499999999999997</v>
      </c>
      <c r="J6274" s="18">
        <v>0.85</v>
      </c>
      <c r="K6274" s="18">
        <v>0.84</v>
      </c>
      <c r="L6274" s="22">
        <v>2</v>
      </c>
    </row>
    <row r="6275" spans="1:12">
      <c r="A6275">
        <v>7</v>
      </c>
      <c r="B6275" s="16" t="s">
        <v>62</v>
      </c>
      <c r="C6275" s="9">
        <v>45839</v>
      </c>
      <c r="D6275">
        <v>19</v>
      </c>
      <c r="E6275" s="16" t="s">
        <v>105</v>
      </c>
      <c r="F6275" s="16" t="s">
        <v>106</v>
      </c>
      <c r="G6275" s="22">
        <v>32</v>
      </c>
      <c r="H6275" s="18">
        <v>26.88</v>
      </c>
      <c r="I6275" s="18">
        <v>0.84</v>
      </c>
      <c r="J6275" s="18">
        <v>0.85</v>
      </c>
      <c r="K6275" s="18">
        <v>0.83</v>
      </c>
      <c r="L6275" s="22">
        <v>2</v>
      </c>
    </row>
    <row r="6276" spans="1:12">
      <c r="A6276">
        <v>7</v>
      </c>
      <c r="B6276" s="16" t="s">
        <v>62</v>
      </c>
      <c r="C6276" s="9">
        <v>45870</v>
      </c>
      <c r="D6276">
        <v>19</v>
      </c>
      <c r="E6276" s="16" t="s">
        <v>105</v>
      </c>
      <c r="F6276" s="16" t="s">
        <v>106</v>
      </c>
      <c r="G6276" s="22">
        <v>32</v>
      </c>
      <c r="H6276" s="18">
        <v>26.4</v>
      </c>
      <c r="I6276" s="18">
        <v>0.82499999999999996</v>
      </c>
      <c r="J6276" s="18">
        <v>0.83</v>
      </c>
      <c r="K6276" s="18">
        <v>0.82</v>
      </c>
      <c r="L6276" s="22">
        <v>2</v>
      </c>
    </row>
    <row r="6277" spans="1:12">
      <c r="A6277">
        <v>7</v>
      </c>
      <c r="B6277" s="16" t="s">
        <v>62</v>
      </c>
      <c r="C6277" s="9">
        <v>45901</v>
      </c>
      <c r="D6277">
        <v>19</v>
      </c>
      <c r="E6277" s="16" t="s">
        <v>105</v>
      </c>
      <c r="F6277" s="16" t="s">
        <v>106</v>
      </c>
      <c r="G6277" s="22">
        <v>32</v>
      </c>
      <c r="H6277" s="18">
        <v>26.88</v>
      </c>
      <c r="I6277" s="18">
        <v>0.84</v>
      </c>
      <c r="J6277" s="18">
        <v>0.85</v>
      </c>
      <c r="K6277" s="18">
        <v>0.83</v>
      </c>
      <c r="L6277" s="22">
        <v>2</v>
      </c>
    </row>
    <row r="6278" spans="1:12">
      <c r="A6278">
        <v>7</v>
      </c>
      <c r="B6278" s="16" t="s">
        <v>62</v>
      </c>
      <c r="C6278" s="9">
        <v>45931</v>
      </c>
      <c r="D6278">
        <v>19</v>
      </c>
      <c r="E6278" s="16" t="s">
        <v>105</v>
      </c>
      <c r="F6278" s="16" t="s">
        <v>106</v>
      </c>
      <c r="G6278" s="22">
        <v>48</v>
      </c>
      <c r="H6278" s="18">
        <v>40.96</v>
      </c>
      <c r="I6278" s="18">
        <v>0.85333333300000003</v>
      </c>
      <c r="J6278" s="18">
        <v>0.86</v>
      </c>
      <c r="K6278" s="18">
        <v>0.84</v>
      </c>
      <c r="L6278" s="22">
        <v>2</v>
      </c>
    </row>
    <row r="6279" spans="1:12">
      <c r="A6279">
        <v>7</v>
      </c>
      <c r="B6279" s="16" t="s">
        <v>62</v>
      </c>
      <c r="C6279" s="9">
        <v>45962</v>
      </c>
      <c r="D6279">
        <v>19</v>
      </c>
      <c r="E6279" s="16" t="s">
        <v>105</v>
      </c>
      <c r="F6279" s="16" t="s">
        <v>106</v>
      </c>
      <c r="G6279" s="22">
        <v>32</v>
      </c>
      <c r="H6279" s="18">
        <v>26.56</v>
      </c>
      <c r="I6279" s="18">
        <v>0.83</v>
      </c>
      <c r="J6279" s="18">
        <v>0.84</v>
      </c>
      <c r="K6279" s="18">
        <v>0.82</v>
      </c>
      <c r="L6279" s="22">
        <v>2</v>
      </c>
    </row>
    <row r="6280" spans="1:12">
      <c r="A6280">
        <v>7</v>
      </c>
      <c r="B6280" s="16" t="s">
        <v>62</v>
      </c>
      <c r="C6280" s="9">
        <v>45992</v>
      </c>
      <c r="D6280">
        <v>19</v>
      </c>
      <c r="E6280" s="16" t="s">
        <v>105</v>
      </c>
      <c r="F6280" s="16" t="s">
        <v>106</v>
      </c>
      <c r="G6280" s="22">
        <v>48</v>
      </c>
      <c r="H6280" s="18">
        <v>40.159999999999997</v>
      </c>
      <c r="I6280" s="18">
        <v>0.83666666700000003</v>
      </c>
      <c r="J6280" s="18">
        <v>0.84</v>
      </c>
      <c r="K6280" s="18">
        <v>0.83</v>
      </c>
      <c r="L6280" s="22">
        <v>3</v>
      </c>
    </row>
    <row r="6281" spans="1:12">
      <c r="A6281">
        <v>7</v>
      </c>
      <c r="B6281" s="16" t="s">
        <v>62</v>
      </c>
      <c r="C6281" s="9">
        <v>46023</v>
      </c>
      <c r="D6281">
        <v>19</v>
      </c>
      <c r="E6281" s="16" t="s">
        <v>105</v>
      </c>
      <c r="F6281" s="16" t="s">
        <v>106</v>
      </c>
      <c r="G6281" s="22">
        <v>48</v>
      </c>
      <c r="H6281" s="18">
        <v>40.479999999999997</v>
      </c>
      <c r="I6281" s="18">
        <v>0.84333333300000002</v>
      </c>
      <c r="J6281" s="18">
        <v>0.87</v>
      </c>
      <c r="K6281" s="18">
        <v>0.83</v>
      </c>
      <c r="L6281" s="22">
        <v>2</v>
      </c>
    </row>
    <row r="6282" spans="1:12">
      <c r="A6282">
        <v>7</v>
      </c>
      <c r="B6282" s="16" t="s">
        <v>62</v>
      </c>
      <c r="C6282" s="9">
        <v>46054</v>
      </c>
      <c r="D6282">
        <v>19</v>
      </c>
      <c r="E6282" s="16" t="s">
        <v>105</v>
      </c>
      <c r="F6282" s="16" t="s">
        <v>106</v>
      </c>
      <c r="G6282" s="22">
        <v>32</v>
      </c>
      <c r="H6282" s="18">
        <v>26.4</v>
      </c>
      <c r="I6282" s="18">
        <v>0.82499999999999996</v>
      </c>
      <c r="J6282" s="18">
        <v>0.83</v>
      </c>
      <c r="K6282" s="18">
        <v>0.82</v>
      </c>
      <c r="L6282" s="22">
        <v>2</v>
      </c>
    </row>
    <row r="6283" spans="1:12">
      <c r="A6283">
        <v>7</v>
      </c>
      <c r="B6283" s="16" t="s">
        <v>62</v>
      </c>
      <c r="C6283" s="9">
        <v>46082</v>
      </c>
      <c r="D6283">
        <v>19</v>
      </c>
      <c r="E6283" s="16" t="s">
        <v>105</v>
      </c>
      <c r="F6283" s="16" t="s">
        <v>106</v>
      </c>
      <c r="G6283" s="22">
        <v>48</v>
      </c>
      <c r="H6283" s="18">
        <v>40.159999999999997</v>
      </c>
      <c r="I6283" s="18">
        <v>0.83666666700000003</v>
      </c>
      <c r="J6283" s="18">
        <v>0.85</v>
      </c>
      <c r="K6283" s="18">
        <v>0.83</v>
      </c>
      <c r="L6283" s="22">
        <v>2</v>
      </c>
    </row>
    <row r="6284" spans="1:12">
      <c r="A6284">
        <v>7</v>
      </c>
      <c r="B6284" s="16" t="s">
        <v>62</v>
      </c>
      <c r="C6284" s="9">
        <v>46113</v>
      </c>
      <c r="D6284">
        <v>19</v>
      </c>
      <c r="E6284" s="16" t="s">
        <v>105</v>
      </c>
      <c r="F6284" s="16" t="s">
        <v>106</v>
      </c>
      <c r="G6284" s="22">
        <v>32</v>
      </c>
      <c r="H6284" s="18">
        <v>26.72</v>
      </c>
      <c r="I6284" s="18">
        <v>0.83499999999999996</v>
      </c>
      <c r="J6284" s="18">
        <v>0.84</v>
      </c>
      <c r="K6284" s="18">
        <v>0.83</v>
      </c>
      <c r="L6284" s="22">
        <v>2</v>
      </c>
    </row>
    <row r="6285" spans="1:12">
      <c r="A6285">
        <v>7</v>
      </c>
      <c r="B6285" s="16" t="s">
        <v>62</v>
      </c>
      <c r="C6285" s="9">
        <v>46143</v>
      </c>
      <c r="D6285">
        <v>19</v>
      </c>
      <c r="E6285" s="16" t="s">
        <v>105</v>
      </c>
      <c r="F6285" s="16" t="s">
        <v>106</v>
      </c>
      <c r="G6285" s="22">
        <v>48</v>
      </c>
      <c r="H6285" s="18">
        <v>40</v>
      </c>
      <c r="I6285" s="18">
        <v>0.83333333300000001</v>
      </c>
      <c r="J6285" s="18">
        <v>0.84</v>
      </c>
      <c r="K6285" s="18">
        <v>0.82</v>
      </c>
      <c r="L6285" s="22">
        <v>2</v>
      </c>
    </row>
    <row r="6286" spans="1:12">
      <c r="A6286">
        <v>7</v>
      </c>
      <c r="B6286" s="16" t="s">
        <v>62</v>
      </c>
      <c r="C6286" s="9">
        <v>46174</v>
      </c>
      <c r="D6286">
        <v>19</v>
      </c>
      <c r="E6286" s="16" t="s">
        <v>105</v>
      </c>
      <c r="F6286" s="16" t="s">
        <v>106</v>
      </c>
      <c r="G6286" s="22">
        <v>48</v>
      </c>
      <c r="H6286" s="18">
        <v>39.520000000000003</v>
      </c>
      <c r="I6286" s="18">
        <v>0.823333333</v>
      </c>
      <c r="J6286" s="18">
        <v>0.83</v>
      </c>
      <c r="K6286" s="18">
        <v>0.82</v>
      </c>
      <c r="L6286" s="22">
        <v>3</v>
      </c>
    </row>
    <row r="6287" spans="1:12">
      <c r="A6287">
        <v>7</v>
      </c>
      <c r="B6287" s="16" t="s">
        <v>62</v>
      </c>
      <c r="C6287" s="9">
        <v>46204</v>
      </c>
      <c r="D6287">
        <v>19</v>
      </c>
      <c r="E6287" s="16" t="s">
        <v>105</v>
      </c>
      <c r="F6287" s="16" t="s">
        <v>106</v>
      </c>
      <c r="G6287" s="22">
        <v>32</v>
      </c>
      <c r="H6287" s="18">
        <v>26.24</v>
      </c>
      <c r="I6287" s="18">
        <v>0.82</v>
      </c>
      <c r="J6287" s="18">
        <v>0.82</v>
      </c>
      <c r="K6287" s="18">
        <v>0.82</v>
      </c>
      <c r="L6287" s="22">
        <v>2</v>
      </c>
    </row>
    <row r="6288" spans="1:12">
      <c r="A6288">
        <v>7</v>
      </c>
      <c r="B6288" s="16" t="s">
        <v>62</v>
      </c>
      <c r="C6288" s="9">
        <v>46235</v>
      </c>
      <c r="D6288">
        <v>19</v>
      </c>
      <c r="E6288" s="16" t="s">
        <v>105</v>
      </c>
      <c r="F6288" s="16" t="s">
        <v>106</v>
      </c>
      <c r="G6288" s="22">
        <v>32</v>
      </c>
      <c r="H6288" s="18">
        <v>27.2</v>
      </c>
      <c r="I6288" s="18">
        <v>0.85</v>
      </c>
      <c r="J6288" s="18">
        <v>0.87</v>
      </c>
      <c r="K6288" s="18">
        <v>0.83</v>
      </c>
      <c r="L6288" s="22">
        <v>2</v>
      </c>
    </row>
    <row r="6289" spans="1:12">
      <c r="A6289">
        <v>7</v>
      </c>
      <c r="B6289" s="16" t="s">
        <v>62</v>
      </c>
      <c r="C6289" s="9">
        <v>46266</v>
      </c>
      <c r="D6289">
        <v>19</v>
      </c>
      <c r="E6289" s="16" t="s">
        <v>105</v>
      </c>
      <c r="F6289" s="16" t="s">
        <v>106</v>
      </c>
      <c r="G6289" s="22">
        <v>48</v>
      </c>
      <c r="H6289" s="18">
        <v>40.32</v>
      </c>
      <c r="I6289" s="18">
        <v>0.84</v>
      </c>
      <c r="J6289" s="18">
        <v>0.84</v>
      </c>
      <c r="K6289" s="18">
        <v>0.84</v>
      </c>
      <c r="L6289" s="22">
        <v>2</v>
      </c>
    </row>
    <row r="6290" spans="1:12">
      <c r="A6290">
        <v>7</v>
      </c>
      <c r="B6290" s="16" t="s">
        <v>62</v>
      </c>
      <c r="C6290" s="9">
        <v>45748</v>
      </c>
      <c r="D6290">
        <v>20</v>
      </c>
      <c r="E6290" s="16" t="s">
        <v>107</v>
      </c>
      <c r="F6290" s="16" t="s">
        <v>108</v>
      </c>
      <c r="G6290" s="22">
        <v>6.25</v>
      </c>
      <c r="H6290" s="18">
        <v>63.9375</v>
      </c>
      <c r="I6290" s="18">
        <v>10.23</v>
      </c>
      <c r="J6290" s="18">
        <v>10.23</v>
      </c>
      <c r="K6290" s="18">
        <v>10.23</v>
      </c>
      <c r="L6290" s="22">
        <v>1</v>
      </c>
    </row>
    <row r="6291" spans="1:12">
      <c r="A6291">
        <v>7</v>
      </c>
      <c r="B6291" s="16" t="s">
        <v>62</v>
      </c>
      <c r="C6291" s="9">
        <v>45901</v>
      </c>
      <c r="D6291">
        <v>20</v>
      </c>
      <c r="E6291" s="16" t="s">
        <v>107</v>
      </c>
      <c r="F6291" s="16" t="s">
        <v>108</v>
      </c>
      <c r="G6291" s="22">
        <v>6.25</v>
      </c>
      <c r="H6291" s="18">
        <v>78.875</v>
      </c>
      <c r="I6291" s="18">
        <v>12.62</v>
      </c>
      <c r="J6291" s="18">
        <v>12.62</v>
      </c>
      <c r="K6291" s="18">
        <v>12.62</v>
      </c>
      <c r="L6291" s="22">
        <v>1</v>
      </c>
    </row>
    <row r="6292" spans="1:12">
      <c r="A6292">
        <v>7</v>
      </c>
      <c r="B6292" s="16" t="s">
        <v>62</v>
      </c>
      <c r="C6292" s="9">
        <v>46023</v>
      </c>
      <c r="D6292">
        <v>20</v>
      </c>
      <c r="E6292" s="16" t="s">
        <v>107</v>
      </c>
      <c r="F6292" s="16" t="s">
        <v>108</v>
      </c>
      <c r="G6292" s="22">
        <v>6.25</v>
      </c>
      <c r="H6292" s="18">
        <v>66.25</v>
      </c>
      <c r="I6292" s="18">
        <v>10.6</v>
      </c>
      <c r="J6292" s="18">
        <v>10.6</v>
      </c>
      <c r="K6292" s="18">
        <v>10.6</v>
      </c>
      <c r="L6292" s="22">
        <v>1</v>
      </c>
    </row>
    <row r="6293" spans="1:12">
      <c r="A6293">
        <v>7</v>
      </c>
      <c r="B6293" s="16" t="s">
        <v>62</v>
      </c>
      <c r="C6293" s="9">
        <v>46113</v>
      </c>
      <c r="D6293">
        <v>20</v>
      </c>
      <c r="E6293" s="16" t="s">
        <v>107</v>
      </c>
      <c r="F6293" s="16" t="s">
        <v>108</v>
      </c>
      <c r="G6293" s="22">
        <v>6.25</v>
      </c>
      <c r="H6293" s="18">
        <v>67.625</v>
      </c>
      <c r="I6293" s="18">
        <v>10.82</v>
      </c>
      <c r="J6293" s="18">
        <v>10.82</v>
      </c>
      <c r="K6293" s="18">
        <v>10.82</v>
      </c>
      <c r="L6293" s="22">
        <v>1</v>
      </c>
    </row>
    <row r="6294" spans="1:12">
      <c r="A6294">
        <v>7</v>
      </c>
      <c r="B6294" s="16" t="s">
        <v>62</v>
      </c>
      <c r="C6294" s="9">
        <v>45689</v>
      </c>
      <c r="D6294">
        <v>21</v>
      </c>
      <c r="E6294" s="16" t="s">
        <v>109</v>
      </c>
      <c r="F6294" s="16" t="s">
        <v>83</v>
      </c>
      <c r="G6294" s="22">
        <v>5</v>
      </c>
      <c r="H6294" s="18">
        <v>24.5</v>
      </c>
      <c r="I6294" s="18">
        <v>4.9000000000000004</v>
      </c>
      <c r="J6294" s="18">
        <v>4.9000000000000004</v>
      </c>
      <c r="K6294" s="18">
        <v>4.9000000000000004</v>
      </c>
      <c r="L6294" s="22">
        <v>1</v>
      </c>
    </row>
    <row r="6295" spans="1:12">
      <c r="A6295">
        <v>7</v>
      </c>
      <c r="B6295" s="16" t="s">
        <v>62</v>
      </c>
      <c r="C6295" s="9">
        <v>45717</v>
      </c>
      <c r="D6295">
        <v>21</v>
      </c>
      <c r="E6295" s="16" t="s">
        <v>109</v>
      </c>
      <c r="F6295" s="16" t="s">
        <v>83</v>
      </c>
      <c r="G6295" s="22">
        <v>10</v>
      </c>
      <c r="H6295" s="18">
        <v>46.45</v>
      </c>
      <c r="I6295" s="18">
        <v>4.6449999999999996</v>
      </c>
      <c r="J6295" s="18">
        <v>4.67</v>
      </c>
      <c r="K6295" s="18">
        <v>4.62</v>
      </c>
      <c r="L6295" s="22">
        <v>2</v>
      </c>
    </row>
    <row r="6296" spans="1:12">
      <c r="A6296">
        <v>7</v>
      </c>
      <c r="B6296" s="16" t="s">
        <v>62</v>
      </c>
      <c r="C6296" s="9">
        <v>45748</v>
      </c>
      <c r="D6296">
        <v>21</v>
      </c>
      <c r="E6296" s="16" t="s">
        <v>109</v>
      </c>
      <c r="F6296" s="16" t="s">
        <v>83</v>
      </c>
      <c r="G6296" s="22">
        <v>5</v>
      </c>
      <c r="H6296" s="18">
        <v>22.9</v>
      </c>
      <c r="I6296" s="18">
        <v>4.58</v>
      </c>
      <c r="J6296" s="18">
        <v>4.58</v>
      </c>
      <c r="K6296" s="18">
        <v>4.58</v>
      </c>
      <c r="L6296" s="22">
        <v>1</v>
      </c>
    </row>
    <row r="6297" spans="1:12">
      <c r="A6297">
        <v>7</v>
      </c>
      <c r="B6297" s="16" t="s">
        <v>62</v>
      </c>
      <c r="C6297" s="9">
        <v>45778</v>
      </c>
      <c r="D6297">
        <v>21</v>
      </c>
      <c r="E6297" s="16" t="s">
        <v>109</v>
      </c>
      <c r="F6297" s="16" t="s">
        <v>83</v>
      </c>
      <c r="G6297" s="22">
        <v>10</v>
      </c>
      <c r="H6297" s="18">
        <v>46.4</v>
      </c>
      <c r="I6297" s="18">
        <v>4.6399999999999997</v>
      </c>
      <c r="J6297" s="18">
        <v>4.67</v>
      </c>
      <c r="K6297" s="18">
        <v>4.6100000000000003</v>
      </c>
      <c r="L6297" s="22">
        <v>2</v>
      </c>
    </row>
    <row r="6298" spans="1:12">
      <c r="A6298">
        <v>7</v>
      </c>
      <c r="B6298" s="16" t="s">
        <v>62</v>
      </c>
      <c r="C6298" s="9">
        <v>45809</v>
      </c>
      <c r="D6298">
        <v>21</v>
      </c>
      <c r="E6298" s="16" t="s">
        <v>109</v>
      </c>
      <c r="F6298" s="16" t="s">
        <v>83</v>
      </c>
      <c r="G6298" s="22">
        <v>5</v>
      </c>
      <c r="H6298" s="18">
        <v>23.6</v>
      </c>
      <c r="I6298" s="18">
        <v>4.72</v>
      </c>
      <c r="J6298" s="18">
        <v>4.72</v>
      </c>
      <c r="K6298" s="18">
        <v>4.72</v>
      </c>
      <c r="L6298" s="22">
        <v>1</v>
      </c>
    </row>
    <row r="6299" spans="1:12">
      <c r="A6299">
        <v>7</v>
      </c>
      <c r="B6299" s="16" t="s">
        <v>62</v>
      </c>
      <c r="C6299" s="9">
        <v>45839</v>
      </c>
      <c r="D6299">
        <v>21</v>
      </c>
      <c r="E6299" s="16" t="s">
        <v>109</v>
      </c>
      <c r="F6299" s="16" t="s">
        <v>83</v>
      </c>
      <c r="G6299" s="22">
        <v>5</v>
      </c>
      <c r="H6299" s="18">
        <v>23.7</v>
      </c>
      <c r="I6299" s="18">
        <v>4.74</v>
      </c>
      <c r="J6299" s="18">
        <v>4.74</v>
      </c>
      <c r="K6299" s="18">
        <v>4.74</v>
      </c>
      <c r="L6299" s="22">
        <v>1</v>
      </c>
    </row>
    <row r="6300" spans="1:12">
      <c r="A6300">
        <v>7</v>
      </c>
      <c r="B6300" s="16" t="s">
        <v>62</v>
      </c>
      <c r="C6300" s="9">
        <v>45870</v>
      </c>
      <c r="D6300">
        <v>21</v>
      </c>
      <c r="E6300" s="16" t="s">
        <v>109</v>
      </c>
      <c r="F6300" s="16" t="s">
        <v>83</v>
      </c>
      <c r="G6300" s="22">
        <v>10</v>
      </c>
      <c r="H6300" s="18">
        <v>46.25</v>
      </c>
      <c r="I6300" s="18">
        <v>4.625</v>
      </c>
      <c r="J6300" s="18">
        <v>4.66</v>
      </c>
      <c r="K6300" s="18">
        <v>4.59</v>
      </c>
      <c r="L6300" s="22">
        <v>2</v>
      </c>
    </row>
    <row r="6301" spans="1:12">
      <c r="A6301">
        <v>7</v>
      </c>
      <c r="B6301" s="16" t="s">
        <v>62</v>
      </c>
      <c r="C6301" s="9">
        <v>45901</v>
      </c>
      <c r="D6301">
        <v>21</v>
      </c>
      <c r="E6301" s="16" t="s">
        <v>109</v>
      </c>
      <c r="F6301" s="16" t="s">
        <v>83</v>
      </c>
      <c r="G6301" s="22">
        <v>5</v>
      </c>
      <c r="H6301" s="18">
        <v>23.2</v>
      </c>
      <c r="I6301" s="18">
        <v>4.6399999999999997</v>
      </c>
      <c r="J6301" s="18">
        <v>4.6399999999999997</v>
      </c>
      <c r="K6301" s="18">
        <v>4.6399999999999997</v>
      </c>
      <c r="L6301" s="22">
        <v>1</v>
      </c>
    </row>
    <row r="6302" spans="1:12">
      <c r="A6302">
        <v>7</v>
      </c>
      <c r="B6302" s="16" t="s">
        <v>62</v>
      </c>
      <c r="C6302" s="9">
        <v>45931</v>
      </c>
      <c r="D6302">
        <v>21</v>
      </c>
      <c r="E6302" s="16" t="s">
        <v>109</v>
      </c>
      <c r="F6302" s="16" t="s">
        <v>83</v>
      </c>
      <c r="G6302" s="22">
        <v>10</v>
      </c>
      <c r="H6302" s="18">
        <v>51.5</v>
      </c>
      <c r="I6302" s="18">
        <v>5.15</v>
      </c>
      <c r="J6302" s="18">
        <v>5.19</v>
      </c>
      <c r="K6302" s="18">
        <v>5.1100000000000003</v>
      </c>
      <c r="L6302" s="22">
        <v>2</v>
      </c>
    </row>
    <row r="6303" spans="1:12">
      <c r="A6303">
        <v>7</v>
      </c>
      <c r="B6303" s="16" t="s">
        <v>62</v>
      </c>
      <c r="C6303" s="9">
        <v>45962</v>
      </c>
      <c r="D6303">
        <v>21</v>
      </c>
      <c r="E6303" s="16" t="s">
        <v>109</v>
      </c>
      <c r="F6303" s="16" t="s">
        <v>83</v>
      </c>
      <c r="G6303" s="22">
        <v>5</v>
      </c>
      <c r="H6303" s="18">
        <v>26.2</v>
      </c>
      <c r="I6303" s="18">
        <v>5.24</v>
      </c>
      <c r="J6303" s="18">
        <v>5.24</v>
      </c>
      <c r="K6303" s="18">
        <v>5.24</v>
      </c>
      <c r="L6303" s="22">
        <v>1</v>
      </c>
    </row>
    <row r="6304" spans="1:12">
      <c r="A6304">
        <v>7</v>
      </c>
      <c r="B6304" s="16" t="s">
        <v>62</v>
      </c>
      <c r="C6304" s="9">
        <v>45992</v>
      </c>
      <c r="D6304">
        <v>21</v>
      </c>
      <c r="E6304" s="16" t="s">
        <v>109</v>
      </c>
      <c r="F6304" s="16" t="s">
        <v>83</v>
      </c>
      <c r="G6304" s="22">
        <v>10</v>
      </c>
      <c r="H6304" s="18">
        <v>53.9</v>
      </c>
      <c r="I6304" s="18">
        <v>5.39</v>
      </c>
      <c r="J6304" s="18">
        <v>5.47</v>
      </c>
      <c r="K6304" s="18">
        <v>5.31</v>
      </c>
      <c r="L6304" s="22">
        <v>2</v>
      </c>
    </row>
    <row r="6305" spans="1:12">
      <c r="A6305">
        <v>7</v>
      </c>
      <c r="B6305" s="16" t="s">
        <v>62</v>
      </c>
      <c r="C6305" s="9">
        <v>46023</v>
      </c>
      <c r="D6305">
        <v>21</v>
      </c>
      <c r="E6305" s="16" t="s">
        <v>109</v>
      </c>
      <c r="F6305" s="16" t="s">
        <v>83</v>
      </c>
      <c r="G6305" s="22">
        <v>5</v>
      </c>
      <c r="H6305" s="18">
        <v>23.6</v>
      </c>
      <c r="I6305" s="18">
        <v>4.72</v>
      </c>
      <c r="J6305" s="18">
        <v>4.72</v>
      </c>
      <c r="K6305" s="18">
        <v>4.72</v>
      </c>
      <c r="L6305" s="22">
        <v>1</v>
      </c>
    </row>
    <row r="6306" spans="1:12">
      <c r="A6306">
        <v>7</v>
      </c>
      <c r="B6306" s="16" t="s">
        <v>62</v>
      </c>
      <c r="C6306" s="9">
        <v>46054</v>
      </c>
      <c r="D6306">
        <v>21</v>
      </c>
      <c r="E6306" s="16" t="s">
        <v>109</v>
      </c>
      <c r="F6306" s="16" t="s">
        <v>83</v>
      </c>
      <c r="G6306" s="22">
        <v>10</v>
      </c>
      <c r="H6306" s="18">
        <v>48.5</v>
      </c>
      <c r="I6306" s="18">
        <v>4.8499999999999996</v>
      </c>
      <c r="J6306" s="18">
        <v>4.9000000000000004</v>
      </c>
      <c r="K6306" s="18">
        <v>4.8</v>
      </c>
      <c r="L6306" s="22">
        <v>2</v>
      </c>
    </row>
    <row r="6307" spans="1:12">
      <c r="A6307">
        <v>7</v>
      </c>
      <c r="B6307" s="16" t="s">
        <v>62</v>
      </c>
      <c r="C6307" s="9">
        <v>46082</v>
      </c>
      <c r="D6307">
        <v>21</v>
      </c>
      <c r="E6307" s="16" t="s">
        <v>109</v>
      </c>
      <c r="F6307" s="16" t="s">
        <v>83</v>
      </c>
      <c r="G6307" s="22">
        <v>5</v>
      </c>
      <c r="H6307" s="18">
        <v>23.9</v>
      </c>
      <c r="I6307" s="18">
        <v>4.78</v>
      </c>
      <c r="J6307" s="18">
        <v>4.78</v>
      </c>
      <c r="K6307" s="18">
        <v>4.78</v>
      </c>
      <c r="L6307" s="22">
        <v>1</v>
      </c>
    </row>
    <row r="6308" spans="1:12">
      <c r="A6308">
        <v>7</v>
      </c>
      <c r="B6308" s="16" t="s">
        <v>62</v>
      </c>
      <c r="C6308" s="9">
        <v>46113</v>
      </c>
      <c r="D6308">
        <v>21</v>
      </c>
      <c r="E6308" s="16" t="s">
        <v>109</v>
      </c>
      <c r="F6308" s="16" t="s">
        <v>83</v>
      </c>
      <c r="G6308" s="22">
        <v>10</v>
      </c>
      <c r="H6308" s="18">
        <v>48.55</v>
      </c>
      <c r="I6308" s="18">
        <v>4.8550000000000004</v>
      </c>
      <c r="J6308" s="18">
        <v>4.9400000000000004</v>
      </c>
      <c r="K6308" s="18">
        <v>4.7699999999999996</v>
      </c>
      <c r="L6308" s="22">
        <v>2</v>
      </c>
    </row>
    <row r="6309" spans="1:12">
      <c r="A6309">
        <v>7</v>
      </c>
      <c r="B6309" s="16" t="s">
        <v>62</v>
      </c>
      <c r="C6309" s="9">
        <v>46143</v>
      </c>
      <c r="D6309">
        <v>21</v>
      </c>
      <c r="E6309" s="16" t="s">
        <v>109</v>
      </c>
      <c r="F6309" s="16" t="s">
        <v>83</v>
      </c>
      <c r="G6309" s="22">
        <v>10</v>
      </c>
      <c r="H6309" s="18">
        <v>49.2</v>
      </c>
      <c r="I6309" s="18">
        <v>4.92</v>
      </c>
      <c r="J6309" s="18">
        <v>4.95</v>
      </c>
      <c r="K6309" s="18">
        <v>4.8899999999999997</v>
      </c>
      <c r="L6309" s="22">
        <v>2</v>
      </c>
    </row>
    <row r="6310" spans="1:12">
      <c r="A6310">
        <v>7</v>
      </c>
      <c r="B6310" s="16" t="s">
        <v>62</v>
      </c>
      <c r="C6310" s="9">
        <v>46174</v>
      </c>
      <c r="D6310">
        <v>21</v>
      </c>
      <c r="E6310" s="16" t="s">
        <v>109</v>
      </c>
      <c r="F6310" s="16" t="s">
        <v>83</v>
      </c>
      <c r="G6310" s="22">
        <v>5</v>
      </c>
      <c r="H6310" s="18">
        <v>24.4</v>
      </c>
      <c r="I6310" s="18">
        <v>4.88</v>
      </c>
      <c r="J6310" s="18">
        <v>4.88</v>
      </c>
      <c r="K6310" s="18">
        <v>4.88</v>
      </c>
      <c r="L6310" s="22">
        <v>1</v>
      </c>
    </row>
    <row r="6311" spans="1:12">
      <c r="A6311">
        <v>7</v>
      </c>
      <c r="B6311" s="16" t="s">
        <v>62</v>
      </c>
      <c r="C6311" s="9">
        <v>46204</v>
      </c>
      <c r="D6311">
        <v>21</v>
      </c>
      <c r="E6311" s="16" t="s">
        <v>109</v>
      </c>
      <c r="F6311" s="16" t="s">
        <v>83</v>
      </c>
      <c r="G6311" s="22">
        <v>10</v>
      </c>
      <c r="H6311" s="18">
        <v>49.3</v>
      </c>
      <c r="I6311" s="18">
        <v>4.93</v>
      </c>
      <c r="J6311" s="18">
        <v>4.99</v>
      </c>
      <c r="K6311" s="18">
        <v>4.87</v>
      </c>
      <c r="L6311" s="22">
        <v>2</v>
      </c>
    </row>
    <row r="6312" spans="1:12">
      <c r="A6312">
        <v>7</v>
      </c>
      <c r="B6312" s="16" t="s">
        <v>62</v>
      </c>
      <c r="C6312" s="9">
        <v>46235</v>
      </c>
      <c r="D6312">
        <v>21</v>
      </c>
      <c r="E6312" s="16" t="s">
        <v>109</v>
      </c>
      <c r="F6312" s="16" t="s">
        <v>83</v>
      </c>
      <c r="G6312" s="22">
        <v>5</v>
      </c>
      <c r="H6312" s="18">
        <v>24.4</v>
      </c>
      <c r="I6312" s="18">
        <v>4.88</v>
      </c>
      <c r="J6312" s="18">
        <v>4.88</v>
      </c>
      <c r="K6312" s="18">
        <v>4.88</v>
      </c>
      <c r="L6312" s="22">
        <v>1</v>
      </c>
    </row>
    <row r="6313" spans="1:12">
      <c r="A6313">
        <v>7</v>
      </c>
      <c r="B6313" s="16" t="s">
        <v>62</v>
      </c>
      <c r="C6313" s="9">
        <v>46266</v>
      </c>
      <c r="D6313">
        <v>21</v>
      </c>
      <c r="E6313" s="16" t="s">
        <v>109</v>
      </c>
      <c r="F6313" s="16" t="s">
        <v>83</v>
      </c>
      <c r="G6313" s="22">
        <v>10</v>
      </c>
      <c r="H6313" s="18">
        <v>48.75</v>
      </c>
      <c r="I6313" s="18">
        <v>4.875</v>
      </c>
      <c r="J6313" s="18">
        <v>4.97</v>
      </c>
      <c r="K6313" s="18">
        <v>4.78</v>
      </c>
      <c r="L6313" s="22">
        <v>2</v>
      </c>
    </row>
    <row r="6314" spans="1:12">
      <c r="A6314">
        <v>7</v>
      </c>
      <c r="B6314" s="16" t="s">
        <v>62</v>
      </c>
      <c r="C6314" s="9">
        <v>45689</v>
      </c>
      <c r="D6314">
        <v>22</v>
      </c>
      <c r="E6314" s="16" t="s">
        <v>110</v>
      </c>
      <c r="F6314" s="16" t="s">
        <v>90</v>
      </c>
      <c r="G6314" s="22">
        <v>33.75</v>
      </c>
      <c r="H6314" s="18">
        <v>116.9</v>
      </c>
      <c r="I6314" s="18">
        <v>3.4637037039999998</v>
      </c>
      <c r="J6314" s="18">
        <v>3.48</v>
      </c>
      <c r="K6314" s="18">
        <v>3.44</v>
      </c>
      <c r="L6314" s="22">
        <v>2</v>
      </c>
    </row>
    <row r="6315" spans="1:12">
      <c r="A6315">
        <v>7</v>
      </c>
      <c r="B6315" s="16" t="s">
        <v>62</v>
      </c>
      <c r="C6315" s="9">
        <v>45717</v>
      </c>
      <c r="D6315">
        <v>22</v>
      </c>
      <c r="E6315" s="16" t="s">
        <v>110</v>
      </c>
      <c r="F6315" s="16" t="s">
        <v>90</v>
      </c>
      <c r="G6315" s="22">
        <v>36.25</v>
      </c>
      <c r="H6315" s="18">
        <v>125.1375</v>
      </c>
      <c r="I6315" s="18">
        <v>3.4520689660000001</v>
      </c>
      <c r="J6315" s="18">
        <v>3.49</v>
      </c>
      <c r="K6315" s="18">
        <v>3.39</v>
      </c>
      <c r="L6315" s="22">
        <v>2</v>
      </c>
    </row>
    <row r="6316" spans="1:12">
      <c r="A6316">
        <v>7</v>
      </c>
      <c r="B6316" s="16" t="s">
        <v>62</v>
      </c>
      <c r="C6316" s="9">
        <v>45748</v>
      </c>
      <c r="D6316">
        <v>22</v>
      </c>
      <c r="E6316" s="16" t="s">
        <v>110</v>
      </c>
      <c r="F6316" s="16" t="s">
        <v>90</v>
      </c>
      <c r="G6316" s="22">
        <v>37.5</v>
      </c>
      <c r="H6316" s="18">
        <v>130.125</v>
      </c>
      <c r="I6316" s="18">
        <v>3.47</v>
      </c>
      <c r="J6316" s="18">
        <v>3.53</v>
      </c>
      <c r="K6316" s="18">
        <v>3.41</v>
      </c>
      <c r="L6316" s="22">
        <v>2</v>
      </c>
    </row>
    <row r="6317" spans="1:12">
      <c r="A6317">
        <v>7</v>
      </c>
      <c r="B6317" s="16" t="s">
        <v>62</v>
      </c>
      <c r="C6317" s="9">
        <v>45778</v>
      </c>
      <c r="D6317">
        <v>22</v>
      </c>
      <c r="E6317" s="16" t="s">
        <v>110</v>
      </c>
      <c r="F6317" s="16" t="s">
        <v>90</v>
      </c>
      <c r="G6317" s="22">
        <v>46.25</v>
      </c>
      <c r="H6317" s="18">
        <v>163.95</v>
      </c>
      <c r="I6317" s="18">
        <v>3.5448648650000001</v>
      </c>
      <c r="J6317" s="18">
        <v>3.57</v>
      </c>
      <c r="K6317" s="18">
        <v>3.5</v>
      </c>
      <c r="L6317" s="22">
        <v>3</v>
      </c>
    </row>
    <row r="6318" spans="1:12">
      <c r="A6318">
        <v>7</v>
      </c>
      <c r="B6318" s="16" t="s">
        <v>62</v>
      </c>
      <c r="C6318" s="9">
        <v>45809</v>
      </c>
      <c r="D6318">
        <v>22</v>
      </c>
      <c r="E6318" s="16" t="s">
        <v>110</v>
      </c>
      <c r="F6318" s="16" t="s">
        <v>90</v>
      </c>
      <c r="G6318" s="22">
        <v>22.5</v>
      </c>
      <c r="H6318" s="18">
        <v>78.674999999999997</v>
      </c>
      <c r="I6318" s="18">
        <v>3.496666667</v>
      </c>
      <c r="J6318" s="18">
        <v>3.53</v>
      </c>
      <c r="K6318" s="18">
        <v>3.47</v>
      </c>
      <c r="L6318" s="22">
        <v>2</v>
      </c>
    </row>
    <row r="6319" spans="1:12">
      <c r="A6319">
        <v>7</v>
      </c>
      <c r="B6319" s="16" t="s">
        <v>62</v>
      </c>
      <c r="C6319" s="9">
        <v>45839</v>
      </c>
      <c r="D6319">
        <v>22</v>
      </c>
      <c r="E6319" s="16" t="s">
        <v>110</v>
      </c>
      <c r="F6319" s="16" t="s">
        <v>90</v>
      </c>
      <c r="G6319" s="22">
        <v>22.5</v>
      </c>
      <c r="H6319" s="18">
        <v>78.825000000000003</v>
      </c>
      <c r="I6319" s="18">
        <v>3.503333333</v>
      </c>
      <c r="J6319" s="18">
        <v>3.54</v>
      </c>
      <c r="K6319" s="18">
        <v>3.48</v>
      </c>
      <c r="L6319" s="22">
        <v>2</v>
      </c>
    </row>
    <row r="6320" spans="1:12">
      <c r="A6320">
        <v>7</v>
      </c>
      <c r="B6320" s="16" t="s">
        <v>62</v>
      </c>
      <c r="C6320" s="9">
        <v>45870</v>
      </c>
      <c r="D6320">
        <v>22</v>
      </c>
      <c r="E6320" s="16" t="s">
        <v>110</v>
      </c>
      <c r="F6320" s="16" t="s">
        <v>90</v>
      </c>
      <c r="G6320" s="22">
        <v>22.5</v>
      </c>
      <c r="H6320" s="18">
        <v>80.5</v>
      </c>
      <c r="I6320" s="18">
        <v>3.5777777780000002</v>
      </c>
      <c r="J6320" s="18">
        <v>3.6</v>
      </c>
      <c r="K6320" s="18">
        <v>3.56</v>
      </c>
      <c r="L6320" s="22">
        <v>2</v>
      </c>
    </row>
    <row r="6321" spans="1:12">
      <c r="A6321">
        <v>7</v>
      </c>
      <c r="B6321" s="16" t="s">
        <v>62</v>
      </c>
      <c r="C6321" s="9">
        <v>45901</v>
      </c>
      <c r="D6321">
        <v>22</v>
      </c>
      <c r="E6321" s="16" t="s">
        <v>110</v>
      </c>
      <c r="F6321" s="16" t="s">
        <v>90</v>
      </c>
      <c r="G6321" s="22">
        <v>27.5</v>
      </c>
      <c r="H6321" s="18">
        <v>98.525000000000006</v>
      </c>
      <c r="I6321" s="18">
        <v>3.5827272730000002</v>
      </c>
      <c r="J6321" s="18">
        <v>3.61</v>
      </c>
      <c r="K6321" s="18">
        <v>3.56</v>
      </c>
      <c r="L6321" s="22">
        <v>2</v>
      </c>
    </row>
    <row r="6322" spans="1:12">
      <c r="A6322">
        <v>7</v>
      </c>
      <c r="B6322" s="16" t="s">
        <v>62</v>
      </c>
      <c r="C6322" s="9">
        <v>45931</v>
      </c>
      <c r="D6322">
        <v>22</v>
      </c>
      <c r="E6322" s="16" t="s">
        <v>110</v>
      </c>
      <c r="F6322" s="16" t="s">
        <v>90</v>
      </c>
      <c r="G6322" s="22">
        <v>52.5</v>
      </c>
      <c r="H6322" s="18">
        <v>188.21250000000001</v>
      </c>
      <c r="I6322" s="18">
        <v>3.585</v>
      </c>
      <c r="J6322" s="18">
        <v>3.62</v>
      </c>
      <c r="K6322" s="18">
        <v>3.55</v>
      </c>
      <c r="L6322" s="22">
        <v>3</v>
      </c>
    </row>
    <row r="6323" spans="1:12">
      <c r="A6323">
        <v>7</v>
      </c>
      <c r="B6323" s="16" t="s">
        <v>62</v>
      </c>
      <c r="C6323" s="9">
        <v>45962</v>
      </c>
      <c r="D6323">
        <v>22</v>
      </c>
      <c r="E6323" s="16" t="s">
        <v>110</v>
      </c>
      <c r="F6323" s="16" t="s">
        <v>90</v>
      </c>
      <c r="G6323" s="22">
        <v>41.25</v>
      </c>
      <c r="H6323" s="18">
        <v>147.91249999999999</v>
      </c>
      <c r="I6323" s="18">
        <v>3.5857575759999998</v>
      </c>
      <c r="J6323" s="18">
        <v>3.61</v>
      </c>
      <c r="K6323" s="18">
        <v>3.56</v>
      </c>
      <c r="L6323" s="22">
        <v>2</v>
      </c>
    </row>
    <row r="6324" spans="1:12">
      <c r="A6324">
        <v>7</v>
      </c>
      <c r="B6324" s="16" t="s">
        <v>62</v>
      </c>
      <c r="C6324" s="9">
        <v>45992</v>
      </c>
      <c r="D6324">
        <v>22</v>
      </c>
      <c r="E6324" s="16" t="s">
        <v>110</v>
      </c>
      <c r="F6324" s="16" t="s">
        <v>90</v>
      </c>
      <c r="G6324" s="22">
        <v>36.25</v>
      </c>
      <c r="H6324" s="18">
        <v>131.76249999999999</v>
      </c>
      <c r="I6324" s="18">
        <v>3.6348275860000001</v>
      </c>
      <c r="J6324" s="18">
        <v>3.64</v>
      </c>
      <c r="K6324" s="18">
        <v>3.63</v>
      </c>
      <c r="L6324" s="22">
        <v>2</v>
      </c>
    </row>
    <row r="6325" spans="1:12">
      <c r="A6325">
        <v>7</v>
      </c>
      <c r="B6325" s="16" t="s">
        <v>62</v>
      </c>
      <c r="C6325" s="9">
        <v>46023</v>
      </c>
      <c r="D6325">
        <v>22</v>
      </c>
      <c r="E6325" s="16" t="s">
        <v>110</v>
      </c>
      <c r="F6325" s="16" t="s">
        <v>90</v>
      </c>
      <c r="G6325" s="22">
        <v>40</v>
      </c>
      <c r="H6325" s="18">
        <v>145.5</v>
      </c>
      <c r="I6325" s="18">
        <v>3.6375000000000002</v>
      </c>
      <c r="J6325" s="18">
        <v>3.67</v>
      </c>
      <c r="K6325" s="18">
        <v>3.59</v>
      </c>
      <c r="L6325" s="22">
        <v>2</v>
      </c>
    </row>
    <row r="6326" spans="1:12">
      <c r="A6326">
        <v>7</v>
      </c>
      <c r="B6326" s="16" t="s">
        <v>62</v>
      </c>
      <c r="C6326" s="9">
        <v>46054</v>
      </c>
      <c r="D6326">
        <v>22</v>
      </c>
      <c r="E6326" s="16" t="s">
        <v>110</v>
      </c>
      <c r="F6326" s="16" t="s">
        <v>90</v>
      </c>
      <c r="G6326" s="22">
        <v>38.75</v>
      </c>
      <c r="H6326" s="18">
        <v>139.1875</v>
      </c>
      <c r="I6326" s="18">
        <v>3.591935484</v>
      </c>
      <c r="J6326" s="18">
        <v>3.61</v>
      </c>
      <c r="K6326" s="18">
        <v>3.57</v>
      </c>
      <c r="L6326" s="22">
        <v>2</v>
      </c>
    </row>
    <row r="6327" spans="1:12">
      <c r="A6327">
        <v>7</v>
      </c>
      <c r="B6327" s="16" t="s">
        <v>62</v>
      </c>
      <c r="C6327" s="9">
        <v>46082</v>
      </c>
      <c r="D6327">
        <v>22</v>
      </c>
      <c r="E6327" s="16" t="s">
        <v>110</v>
      </c>
      <c r="F6327" s="16" t="s">
        <v>90</v>
      </c>
      <c r="G6327" s="22">
        <v>37.5</v>
      </c>
      <c r="H6327" s="18">
        <v>137.4375</v>
      </c>
      <c r="I6327" s="18">
        <v>3.665</v>
      </c>
      <c r="J6327" s="18">
        <v>3.67</v>
      </c>
      <c r="K6327" s="18">
        <v>3.66</v>
      </c>
      <c r="L6327" s="22">
        <v>2</v>
      </c>
    </row>
    <row r="6328" spans="1:12">
      <c r="A6328">
        <v>7</v>
      </c>
      <c r="B6328" s="16" t="s">
        <v>62</v>
      </c>
      <c r="C6328" s="9">
        <v>46113</v>
      </c>
      <c r="D6328">
        <v>22</v>
      </c>
      <c r="E6328" s="16" t="s">
        <v>110</v>
      </c>
      <c r="F6328" s="16" t="s">
        <v>90</v>
      </c>
      <c r="G6328" s="22">
        <v>53.75</v>
      </c>
      <c r="H6328" s="18">
        <v>193.02500000000001</v>
      </c>
      <c r="I6328" s="18">
        <v>3.5911627909999999</v>
      </c>
      <c r="J6328" s="18">
        <v>3.62</v>
      </c>
      <c r="K6328" s="18">
        <v>3.56</v>
      </c>
      <c r="L6328" s="22">
        <v>3</v>
      </c>
    </row>
    <row r="6329" spans="1:12">
      <c r="A6329">
        <v>7</v>
      </c>
      <c r="B6329" s="16" t="s">
        <v>62</v>
      </c>
      <c r="C6329" s="9">
        <v>46143</v>
      </c>
      <c r="D6329">
        <v>22</v>
      </c>
      <c r="E6329" s="16" t="s">
        <v>110</v>
      </c>
      <c r="F6329" s="16" t="s">
        <v>90</v>
      </c>
      <c r="G6329" s="22">
        <v>36.25</v>
      </c>
      <c r="H6329" s="18">
        <v>130.85</v>
      </c>
      <c r="I6329" s="18">
        <v>3.6096551720000001</v>
      </c>
      <c r="J6329" s="18">
        <v>3.68</v>
      </c>
      <c r="K6329" s="18">
        <v>3.56</v>
      </c>
      <c r="L6329" s="22">
        <v>2</v>
      </c>
    </row>
    <row r="6330" spans="1:12">
      <c r="A6330">
        <v>7</v>
      </c>
      <c r="B6330" s="16" t="s">
        <v>62</v>
      </c>
      <c r="C6330" s="9">
        <v>46174</v>
      </c>
      <c r="D6330">
        <v>22</v>
      </c>
      <c r="E6330" s="16" t="s">
        <v>110</v>
      </c>
      <c r="F6330" s="16" t="s">
        <v>90</v>
      </c>
      <c r="G6330" s="22">
        <v>23.75</v>
      </c>
      <c r="H6330" s="18">
        <v>87.224999999999994</v>
      </c>
      <c r="I6330" s="18">
        <v>3.6726315789999999</v>
      </c>
      <c r="J6330" s="18">
        <v>3.69</v>
      </c>
      <c r="K6330" s="18">
        <v>3.66</v>
      </c>
      <c r="L6330" s="22">
        <v>2</v>
      </c>
    </row>
    <row r="6331" spans="1:12">
      <c r="A6331">
        <v>7</v>
      </c>
      <c r="B6331" s="16" t="s">
        <v>62</v>
      </c>
      <c r="C6331" s="9">
        <v>46204</v>
      </c>
      <c r="D6331">
        <v>22</v>
      </c>
      <c r="E6331" s="16" t="s">
        <v>110</v>
      </c>
      <c r="F6331" s="16" t="s">
        <v>90</v>
      </c>
      <c r="G6331" s="22">
        <v>31.25</v>
      </c>
      <c r="H6331" s="18">
        <v>113.45</v>
      </c>
      <c r="I6331" s="18">
        <v>3.6303999999999998</v>
      </c>
      <c r="J6331" s="18">
        <v>3.64</v>
      </c>
      <c r="K6331" s="18">
        <v>3.62</v>
      </c>
      <c r="L6331" s="22">
        <v>2</v>
      </c>
    </row>
    <row r="6332" spans="1:12">
      <c r="A6332">
        <v>7</v>
      </c>
      <c r="B6332" s="16" t="s">
        <v>62</v>
      </c>
      <c r="C6332" s="9">
        <v>46235</v>
      </c>
      <c r="D6332">
        <v>22</v>
      </c>
      <c r="E6332" s="16" t="s">
        <v>110</v>
      </c>
      <c r="F6332" s="16" t="s">
        <v>90</v>
      </c>
      <c r="G6332" s="22">
        <v>28.75</v>
      </c>
      <c r="H6332" s="18">
        <v>102.0625</v>
      </c>
      <c r="I6332" s="18">
        <v>3.55</v>
      </c>
      <c r="J6332" s="18">
        <v>3.55</v>
      </c>
      <c r="K6332" s="18">
        <v>3.55</v>
      </c>
      <c r="L6332" s="22">
        <v>2</v>
      </c>
    </row>
    <row r="6333" spans="1:12">
      <c r="A6333">
        <v>7</v>
      </c>
      <c r="B6333" s="16" t="s">
        <v>62</v>
      </c>
      <c r="C6333" s="9">
        <v>46266</v>
      </c>
      <c r="D6333">
        <v>22</v>
      </c>
      <c r="E6333" s="16" t="s">
        <v>110</v>
      </c>
      <c r="F6333" s="16" t="s">
        <v>90</v>
      </c>
      <c r="G6333" s="22">
        <v>37.5</v>
      </c>
      <c r="H6333" s="18">
        <v>135.1875</v>
      </c>
      <c r="I6333" s="18">
        <v>3.605</v>
      </c>
      <c r="J6333" s="18">
        <v>3.63</v>
      </c>
      <c r="K6333" s="18">
        <v>3.58</v>
      </c>
      <c r="L6333" s="22">
        <v>2</v>
      </c>
    </row>
    <row r="6334" spans="1:12">
      <c r="A6334">
        <v>7</v>
      </c>
      <c r="B6334" s="16" t="s">
        <v>62</v>
      </c>
      <c r="C6334" s="9">
        <v>45689</v>
      </c>
      <c r="D6334">
        <v>23</v>
      </c>
      <c r="E6334" s="16" t="s">
        <v>111</v>
      </c>
      <c r="F6334" s="16" t="s">
        <v>92</v>
      </c>
      <c r="G6334" s="22">
        <v>34</v>
      </c>
      <c r="H6334" s="18">
        <v>166.88</v>
      </c>
      <c r="I6334" s="18">
        <v>4.9082352939999998</v>
      </c>
      <c r="J6334" s="18">
        <v>5.18</v>
      </c>
      <c r="K6334" s="18">
        <v>4.7300000000000004</v>
      </c>
      <c r="L6334" s="22">
        <v>8</v>
      </c>
    </row>
    <row r="6335" spans="1:12">
      <c r="A6335">
        <v>7</v>
      </c>
      <c r="B6335" s="16" t="s">
        <v>62</v>
      </c>
      <c r="C6335" s="9">
        <v>45717</v>
      </c>
      <c r="D6335">
        <v>23</v>
      </c>
      <c r="E6335" s="16" t="s">
        <v>111</v>
      </c>
      <c r="F6335" s="16" t="s">
        <v>92</v>
      </c>
      <c r="G6335" s="22">
        <v>48</v>
      </c>
      <c r="H6335" s="18">
        <v>217.56</v>
      </c>
      <c r="I6335" s="18">
        <v>4.5324999999999998</v>
      </c>
      <c r="J6335" s="18">
        <v>4.8099999999999996</v>
      </c>
      <c r="K6335" s="18">
        <v>4.41</v>
      </c>
      <c r="L6335" s="22">
        <v>8</v>
      </c>
    </row>
    <row r="6336" spans="1:12">
      <c r="A6336">
        <v>7</v>
      </c>
      <c r="B6336" s="16" t="s">
        <v>62</v>
      </c>
      <c r="C6336" s="9">
        <v>45748</v>
      </c>
      <c r="D6336">
        <v>23</v>
      </c>
      <c r="E6336" s="16" t="s">
        <v>111</v>
      </c>
      <c r="F6336" s="16" t="s">
        <v>92</v>
      </c>
      <c r="G6336" s="22">
        <v>56</v>
      </c>
      <c r="H6336" s="18">
        <v>224.24</v>
      </c>
      <c r="I6336" s="18">
        <v>4.0042857139999999</v>
      </c>
      <c r="J6336" s="18">
        <v>4.09</v>
      </c>
      <c r="K6336" s="18">
        <v>3.89</v>
      </c>
      <c r="L6336" s="22">
        <v>9</v>
      </c>
    </row>
    <row r="6337" spans="1:12">
      <c r="A6337">
        <v>7</v>
      </c>
      <c r="B6337" s="16" t="s">
        <v>62</v>
      </c>
      <c r="C6337" s="9">
        <v>45778</v>
      </c>
      <c r="D6337">
        <v>23</v>
      </c>
      <c r="E6337" s="16" t="s">
        <v>111</v>
      </c>
      <c r="F6337" s="16" t="s">
        <v>92</v>
      </c>
      <c r="G6337" s="22">
        <v>48</v>
      </c>
      <c r="H6337" s="18">
        <v>170.46</v>
      </c>
      <c r="I6337" s="18">
        <v>3.55125</v>
      </c>
      <c r="J6337" s="18">
        <v>3.72</v>
      </c>
      <c r="K6337" s="18">
        <v>3.43</v>
      </c>
      <c r="L6337" s="22">
        <v>9</v>
      </c>
    </row>
    <row r="6338" spans="1:12">
      <c r="A6338">
        <v>7</v>
      </c>
      <c r="B6338" s="16" t="s">
        <v>62</v>
      </c>
      <c r="C6338" s="9">
        <v>45809</v>
      </c>
      <c r="D6338">
        <v>23</v>
      </c>
      <c r="E6338" s="16" t="s">
        <v>111</v>
      </c>
      <c r="F6338" s="16" t="s">
        <v>92</v>
      </c>
      <c r="G6338" s="22">
        <v>40</v>
      </c>
      <c r="H6338" s="18">
        <v>126.36</v>
      </c>
      <c r="I6338" s="18">
        <v>3.1589999999999998</v>
      </c>
      <c r="J6338" s="18">
        <v>3.2</v>
      </c>
      <c r="K6338" s="18">
        <v>3.14</v>
      </c>
      <c r="L6338" s="22">
        <v>7</v>
      </c>
    </row>
    <row r="6339" spans="1:12">
      <c r="A6339">
        <v>7</v>
      </c>
      <c r="B6339" s="16" t="s">
        <v>62</v>
      </c>
      <c r="C6339" s="9">
        <v>45839</v>
      </c>
      <c r="D6339">
        <v>23</v>
      </c>
      <c r="E6339" s="16" t="s">
        <v>111</v>
      </c>
      <c r="F6339" s="16" t="s">
        <v>92</v>
      </c>
      <c r="G6339" s="22">
        <v>50</v>
      </c>
      <c r="H6339" s="18">
        <v>150.41999999999999</v>
      </c>
      <c r="I6339" s="18">
        <v>3.0084</v>
      </c>
      <c r="J6339" s="18">
        <v>3.07</v>
      </c>
      <c r="K6339" s="18">
        <v>2.96</v>
      </c>
      <c r="L6339" s="22">
        <v>9</v>
      </c>
    </row>
    <row r="6340" spans="1:12">
      <c r="A6340">
        <v>7</v>
      </c>
      <c r="B6340" s="16" t="s">
        <v>62</v>
      </c>
      <c r="C6340" s="9">
        <v>45870</v>
      </c>
      <c r="D6340">
        <v>23</v>
      </c>
      <c r="E6340" s="16" t="s">
        <v>111</v>
      </c>
      <c r="F6340" s="16" t="s">
        <v>92</v>
      </c>
      <c r="G6340" s="22">
        <v>48</v>
      </c>
      <c r="H6340" s="18">
        <v>151.58000000000001</v>
      </c>
      <c r="I6340" s="18">
        <v>3.1579166669999998</v>
      </c>
      <c r="J6340" s="18">
        <v>3.22</v>
      </c>
      <c r="K6340" s="18">
        <v>3.1</v>
      </c>
      <c r="L6340" s="22">
        <v>9</v>
      </c>
    </row>
    <row r="6341" spans="1:12">
      <c r="A6341">
        <v>7</v>
      </c>
      <c r="B6341" s="16" t="s">
        <v>62</v>
      </c>
      <c r="C6341" s="9">
        <v>45901</v>
      </c>
      <c r="D6341">
        <v>23</v>
      </c>
      <c r="E6341" s="16" t="s">
        <v>111</v>
      </c>
      <c r="F6341" s="16" t="s">
        <v>92</v>
      </c>
      <c r="G6341" s="22">
        <v>50</v>
      </c>
      <c r="H6341" s="18">
        <v>176.3</v>
      </c>
      <c r="I6341" s="18">
        <v>3.5259999999999998</v>
      </c>
      <c r="J6341" s="18">
        <v>3.61</v>
      </c>
      <c r="K6341" s="18">
        <v>3.48</v>
      </c>
      <c r="L6341" s="22">
        <v>9</v>
      </c>
    </row>
    <row r="6342" spans="1:12">
      <c r="A6342">
        <v>7</v>
      </c>
      <c r="B6342" s="16" t="s">
        <v>62</v>
      </c>
      <c r="C6342" s="9">
        <v>45931</v>
      </c>
      <c r="D6342">
        <v>23</v>
      </c>
      <c r="E6342" s="16" t="s">
        <v>111</v>
      </c>
      <c r="F6342" s="16" t="s">
        <v>92</v>
      </c>
      <c r="G6342" s="22">
        <v>48</v>
      </c>
      <c r="H6342" s="18">
        <v>196.4</v>
      </c>
      <c r="I6342" s="18">
        <v>4.0916666670000001</v>
      </c>
      <c r="J6342" s="18">
        <v>4.18</v>
      </c>
      <c r="K6342" s="18">
        <v>4</v>
      </c>
      <c r="L6342" s="22">
        <v>9</v>
      </c>
    </row>
    <row r="6343" spans="1:12">
      <c r="A6343">
        <v>7</v>
      </c>
      <c r="B6343" s="16" t="s">
        <v>62</v>
      </c>
      <c r="C6343" s="9">
        <v>45962</v>
      </c>
      <c r="D6343">
        <v>23</v>
      </c>
      <c r="E6343" s="16" t="s">
        <v>111</v>
      </c>
      <c r="F6343" s="16" t="s">
        <v>92</v>
      </c>
      <c r="G6343" s="22">
        <v>46</v>
      </c>
      <c r="H6343" s="18">
        <v>210.46</v>
      </c>
      <c r="I6343" s="18">
        <v>4.5752173909999998</v>
      </c>
      <c r="J6343" s="18">
        <v>4.67</v>
      </c>
      <c r="K6343" s="18">
        <v>4.4800000000000004</v>
      </c>
      <c r="L6343" s="22">
        <v>8</v>
      </c>
    </row>
    <row r="6344" spans="1:12">
      <c r="A6344">
        <v>7</v>
      </c>
      <c r="B6344" s="16" t="s">
        <v>62</v>
      </c>
      <c r="C6344" s="9">
        <v>45992</v>
      </c>
      <c r="D6344">
        <v>23</v>
      </c>
      <c r="E6344" s="16" t="s">
        <v>111</v>
      </c>
      <c r="F6344" s="16" t="s">
        <v>92</v>
      </c>
      <c r="G6344" s="22">
        <v>48</v>
      </c>
      <c r="H6344" s="18">
        <v>239.86</v>
      </c>
      <c r="I6344" s="18">
        <v>4.997083333</v>
      </c>
      <c r="J6344" s="18">
        <v>5.0599999999999996</v>
      </c>
      <c r="K6344" s="18">
        <v>4.92</v>
      </c>
      <c r="L6344" s="22">
        <v>9</v>
      </c>
    </row>
    <row r="6345" spans="1:12">
      <c r="A6345">
        <v>7</v>
      </c>
      <c r="B6345" s="16" t="s">
        <v>62</v>
      </c>
      <c r="C6345" s="9">
        <v>46023</v>
      </c>
      <c r="D6345">
        <v>23</v>
      </c>
      <c r="E6345" s="16" t="s">
        <v>111</v>
      </c>
      <c r="F6345" s="16" t="s">
        <v>92</v>
      </c>
      <c r="G6345" s="22">
        <v>46</v>
      </c>
      <c r="H6345" s="18">
        <v>238.62</v>
      </c>
      <c r="I6345" s="18">
        <v>5.1873913040000001</v>
      </c>
      <c r="J6345" s="18">
        <v>5.26</v>
      </c>
      <c r="K6345" s="18">
        <v>5.07</v>
      </c>
      <c r="L6345" s="22">
        <v>9</v>
      </c>
    </row>
    <row r="6346" spans="1:12">
      <c r="A6346">
        <v>7</v>
      </c>
      <c r="B6346" s="16" t="s">
        <v>62</v>
      </c>
      <c r="C6346" s="9">
        <v>46054</v>
      </c>
      <c r="D6346">
        <v>23</v>
      </c>
      <c r="E6346" s="16" t="s">
        <v>111</v>
      </c>
      <c r="F6346" s="16" t="s">
        <v>92</v>
      </c>
      <c r="G6346" s="22">
        <v>42</v>
      </c>
      <c r="H6346" s="18">
        <v>212.52</v>
      </c>
      <c r="I6346" s="18">
        <v>5.0599999999999996</v>
      </c>
      <c r="J6346" s="18">
        <v>5.13</v>
      </c>
      <c r="K6346" s="18">
        <v>4.97</v>
      </c>
      <c r="L6346" s="22">
        <v>8</v>
      </c>
    </row>
    <row r="6347" spans="1:12">
      <c r="A6347">
        <v>7</v>
      </c>
      <c r="B6347" s="16" t="s">
        <v>62</v>
      </c>
      <c r="C6347" s="9">
        <v>46082</v>
      </c>
      <c r="D6347">
        <v>23</v>
      </c>
      <c r="E6347" s="16" t="s">
        <v>111</v>
      </c>
      <c r="F6347" s="16" t="s">
        <v>92</v>
      </c>
      <c r="G6347" s="22">
        <v>56</v>
      </c>
      <c r="H6347" s="18">
        <v>259.76</v>
      </c>
      <c r="I6347" s="18">
        <v>4.6385714289999997</v>
      </c>
      <c r="J6347" s="18">
        <v>4.76</v>
      </c>
      <c r="K6347" s="18">
        <v>4.55</v>
      </c>
      <c r="L6347" s="22">
        <v>9</v>
      </c>
    </row>
    <row r="6348" spans="1:12">
      <c r="A6348">
        <v>7</v>
      </c>
      <c r="B6348" s="16" t="s">
        <v>62</v>
      </c>
      <c r="C6348" s="9">
        <v>46113</v>
      </c>
      <c r="D6348">
        <v>23</v>
      </c>
      <c r="E6348" s="16" t="s">
        <v>111</v>
      </c>
      <c r="F6348" s="16" t="s">
        <v>92</v>
      </c>
      <c r="G6348" s="22">
        <v>48</v>
      </c>
      <c r="H6348" s="18">
        <v>200.52</v>
      </c>
      <c r="I6348" s="18">
        <v>4.1775000000000002</v>
      </c>
      <c r="J6348" s="18">
        <v>4.21</v>
      </c>
      <c r="K6348" s="18">
        <v>4.1399999999999997</v>
      </c>
      <c r="L6348" s="22">
        <v>8</v>
      </c>
    </row>
    <row r="6349" spans="1:12">
      <c r="A6349">
        <v>7</v>
      </c>
      <c r="B6349" s="16" t="s">
        <v>62</v>
      </c>
      <c r="C6349" s="9">
        <v>46143</v>
      </c>
      <c r="D6349">
        <v>23</v>
      </c>
      <c r="E6349" s="16" t="s">
        <v>111</v>
      </c>
      <c r="F6349" s="16" t="s">
        <v>92</v>
      </c>
      <c r="G6349" s="22">
        <v>54</v>
      </c>
      <c r="H6349" s="18">
        <v>196.14</v>
      </c>
      <c r="I6349" s="18">
        <v>3.6322222219999998</v>
      </c>
      <c r="J6349" s="18">
        <v>3.67</v>
      </c>
      <c r="K6349" s="18">
        <v>3.58</v>
      </c>
      <c r="L6349" s="22">
        <v>8</v>
      </c>
    </row>
    <row r="6350" spans="1:12">
      <c r="A6350">
        <v>7</v>
      </c>
      <c r="B6350" s="16" t="s">
        <v>62</v>
      </c>
      <c r="C6350" s="9">
        <v>46174</v>
      </c>
      <c r="D6350">
        <v>23</v>
      </c>
      <c r="E6350" s="16" t="s">
        <v>111</v>
      </c>
      <c r="F6350" s="16" t="s">
        <v>92</v>
      </c>
      <c r="G6350" s="22">
        <v>48</v>
      </c>
      <c r="H6350" s="18">
        <v>157</v>
      </c>
      <c r="I6350" s="18">
        <v>3.2708333330000001</v>
      </c>
      <c r="J6350" s="18">
        <v>3.32</v>
      </c>
      <c r="K6350" s="18">
        <v>3.2</v>
      </c>
      <c r="L6350" s="22">
        <v>9</v>
      </c>
    </row>
    <row r="6351" spans="1:12">
      <c r="A6351">
        <v>7</v>
      </c>
      <c r="B6351" s="16" t="s">
        <v>62</v>
      </c>
      <c r="C6351" s="9">
        <v>46204</v>
      </c>
      <c r="D6351">
        <v>23</v>
      </c>
      <c r="E6351" s="16" t="s">
        <v>111</v>
      </c>
      <c r="F6351" s="16" t="s">
        <v>92</v>
      </c>
      <c r="G6351" s="22">
        <v>56</v>
      </c>
      <c r="H6351" s="18">
        <v>175.2</v>
      </c>
      <c r="I6351" s="18">
        <v>3.128571429</v>
      </c>
      <c r="J6351" s="18">
        <v>3.19</v>
      </c>
      <c r="K6351" s="18">
        <v>3.07</v>
      </c>
      <c r="L6351" s="22">
        <v>8</v>
      </c>
    </row>
    <row r="6352" spans="1:12">
      <c r="A6352">
        <v>7</v>
      </c>
      <c r="B6352" s="16" t="s">
        <v>62</v>
      </c>
      <c r="C6352" s="9">
        <v>46235</v>
      </c>
      <c r="D6352">
        <v>23</v>
      </c>
      <c r="E6352" s="16" t="s">
        <v>111</v>
      </c>
      <c r="F6352" s="16" t="s">
        <v>92</v>
      </c>
      <c r="G6352" s="22">
        <v>50</v>
      </c>
      <c r="H6352" s="18">
        <v>167.52</v>
      </c>
      <c r="I6352" s="18">
        <v>3.3504</v>
      </c>
      <c r="J6352" s="18">
        <v>3.54</v>
      </c>
      <c r="K6352" s="18">
        <v>3.29</v>
      </c>
      <c r="L6352" s="22">
        <v>8</v>
      </c>
    </row>
    <row r="6353" spans="1:12">
      <c r="A6353">
        <v>7</v>
      </c>
      <c r="B6353" s="16" t="s">
        <v>62</v>
      </c>
      <c r="C6353" s="9">
        <v>46266</v>
      </c>
      <c r="D6353">
        <v>23</v>
      </c>
      <c r="E6353" s="16" t="s">
        <v>111</v>
      </c>
      <c r="F6353" s="16" t="s">
        <v>92</v>
      </c>
      <c r="G6353" s="22">
        <v>56</v>
      </c>
      <c r="H6353" s="18">
        <v>209.46</v>
      </c>
      <c r="I6353" s="18">
        <v>3.7403571430000002</v>
      </c>
      <c r="J6353" s="18">
        <v>3.96</v>
      </c>
      <c r="K6353" s="18">
        <v>3.63</v>
      </c>
      <c r="L6353" s="22">
        <v>9</v>
      </c>
    </row>
    <row r="6354" spans="1:12">
      <c r="A6354">
        <v>7</v>
      </c>
      <c r="B6354" s="16" t="s">
        <v>62</v>
      </c>
      <c r="C6354" s="9">
        <v>45689</v>
      </c>
      <c r="D6354">
        <v>24</v>
      </c>
      <c r="E6354" s="16" t="s">
        <v>112</v>
      </c>
      <c r="F6354" s="16" t="s">
        <v>83</v>
      </c>
      <c r="G6354" s="22">
        <v>23.5</v>
      </c>
      <c r="H6354" s="18">
        <v>208.62</v>
      </c>
      <c r="I6354" s="18">
        <v>8.8774468090000003</v>
      </c>
      <c r="J6354" s="18">
        <v>9.09</v>
      </c>
      <c r="K6354" s="18">
        <v>8.75</v>
      </c>
      <c r="L6354" s="22">
        <v>8</v>
      </c>
    </row>
    <row r="6355" spans="1:12">
      <c r="A6355">
        <v>7</v>
      </c>
      <c r="B6355" s="16" t="s">
        <v>62</v>
      </c>
      <c r="C6355" s="9">
        <v>45717</v>
      </c>
      <c r="D6355">
        <v>24</v>
      </c>
      <c r="E6355" s="16" t="s">
        <v>112</v>
      </c>
      <c r="F6355" s="16" t="s">
        <v>83</v>
      </c>
      <c r="G6355" s="22">
        <v>24.5</v>
      </c>
      <c r="H6355" s="18">
        <v>218.29</v>
      </c>
      <c r="I6355" s="18">
        <v>8.9097959180000004</v>
      </c>
      <c r="J6355" s="18">
        <v>9.0500000000000007</v>
      </c>
      <c r="K6355" s="18">
        <v>8.7799999999999994</v>
      </c>
      <c r="L6355" s="22">
        <v>9</v>
      </c>
    </row>
    <row r="6356" spans="1:12">
      <c r="A6356">
        <v>7</v>
      </c>
      <c r="B6356" s="16" t="s">
        <v>62</v>
      </c>
      <c r="C6356" s="9">
        <v>45748</v>
      </c>
      <c r="D6356">
        <v>24</v>
      </c>
      <c r="E6356" s="16" t="s">
        <v>112</v>
      </c>
      <c r="F6356" s="16" t="s">
        <v>83</v>
      </c>
      <c r="G6356" s="22">
        <v>28</v>
      </c>
      <c r="H6356" s="18">
        <v>250.17</v>
      </c>
      <c r="I6356" s="18">
        <v>8.934642857</v>
      </c>
      <c r="J6356" s="18">
        <v>9.2100000000000009</v>
      </c>
      <c r="K6356" s="18">
        <v>8.7799999999999994</v>
      </c>
      <c r="L6356" s="22">
        <v>8</v>
      </c>
    </row>
    <row r="6357" spans="1:12">
      <c r="A6357">
        <v>7</v>
      </c>
      <c r="B6357" s="16" t="s">
        <v>62</v>
      </c>
      <c r="C6357" s="9">
        <v>45778</v>
      </c>
      <c r="D6357">
        <v>24</v>
      </c>
      <c r="E6357" s="16" t="s">
        <v>112</v>
      </c>
      <c r="F6357" s="16" t="s">
        <v>83</v>
      </c>
      <c r="G6357" s="22">
        <v>27</v>
      </c>
      <c r="H6357" s="18">
        <v>242.77</v>
      </c>
      <c r="I6357" s="18">
        <v>8.9914814809999992</v>
      </c>
      <c r="J6357" s="18">
        <v>9.1300000000000008</v>
      </c>
      <c r="K6357" s="18">
        <v>8.89</v>
      </c>
      <c r="L6357" s="22">
        <v>9</v>
      </c>
    </row>
    <row r="6358" spans="1:12">
      <c r="A6358">
        <v>7</v>
      </c>
      <c r="B6358" s="16" t="s">
        <v>62</v>
      </c>
      <c r="C6358" s="9">
        <v>45809</v>
      </c>
      <c r="D6358">
        <v>24</v>
      </c>
      <c r="E6358" s="16" t="s">
        <v>112</v>
      </c>
      <c r="F6358" s="16" t="s">
        <v>83</v>
      </c>
      <c r="G6358" s="22">
        <v>23</v>
      </c>
      <c r="H6358" s="18">
        <v>208.04</v>
      </c>
      <c r="I6358" s="18">
        <v>9.0452173909999996</v>
      </c>
      <c r="J6358" s="18">
        <v>9.16</v>
      </c>
      <c r="K6358" s="18">
        <v>8.8800000000000008</v>
      </c>
      <c r="L6358" s="22">
        <v>9</v>
      </c>
    </row>
    <row r="6359" spans="1:12">
      <c r="A6359">
        <v>7</v>
      </c>
      <c r="B6359" s="16" t="s">
        <v>62</v>
      </c>
      <c r="C6359" s="9">
        <v>45839</v>
      </c>
      <c r="D6359">
        <v>24</v>
      </c>
      <c r="E6359" s="16" t="s">
        <v>112</v>
      </c>
      <c r="F6359" s="16" t="s">
        <v>83</v>
      </c>
      <c r="G6359" s="22">
        <v>25</v>
      </c>
      <c r="H6359" s="18">
        <v>224.52</v>
      </c>
      <c r="I6359" s="18">
        <v>8.9808000000000003</v>
      </c>
      <c r="J6359" s="18">
        <v>9.14</v>
      </c>
      <c r="K6359" s="18">
        <v>8.83</v>
      </c>
      <c r="L6359" s="22">
        <v>9</v>
      </c>
    </row>
    <row r="6360" spans="1:12">
      <c r="A6360">
        <v>7</v>
      </c>
      <c r="B6360" s="16" t="s">
        <v>62</v>
      </c>
      <c r="C6360" s="9">
        <v>45870</v>
      </c>
      <c r="D6360">
        <v>24</v>
      </c>
      <c r="E6360" s="16" t="s">
        <v>112</v>
      </c>
      <c r="F6360" s="16" t="s">
        <v>83</v>
      </c>
      <c r="G6360" s="22">
        <v>22</v>
      </c>
      <c r="H6360" s="18">
        <v>198.155</v>
      </c>
      <c r="I6360" s="18">
        <v>9.0070454550000001</v>
      </c>
      <c r="J6360" s="18">
        <v>9.1199999999999992</v>
      </c>
      <c r="K6360" s="18">
        <v>8.75</v>
      </c>
      <c r="L6360" s="22">
        <v>8</v>
      </c>
    </row>
    <row r="6361" spans="1:12">
      <c r="A6361">
        <v>7</v>
      </c>
      <c r="B6361" s="16" t="s">
        <v>62</v>
      </c>
      <c r="C6361" s="9">
        <v>45901</v>
      </c>
      <c r="D6361">
        <v>24</v>
      </c>
      <c r="E6361" s="16" t="s">
        <v>112</v>
      </c>
      <c r="F6361" s="16" t="s">
        <v>83</v>
      </c>
      <c r="G6361" s="22">
        <v>27</v>
      </c>
      <c r="H6361" s="18">
        <v>245.745</v>
      </c>
      <c r="I6361" s="18">
        <v>9.1016666669999999</v>
      </c>
      <c r="J6361" s="18">
        <v>9.2899999999999991</v>
      </c>
      <c r="K6361" s="18">
        <v>8.93</v>
      </c>
      <c r="L6361" s="22">
        <v>9</v>
      </c>
    </row>
    <row r="6362" spans="1:12">
      <c r="A6362">
        <v>7</v>
      </c>
      <c r="B6362" s="16" t="s">
        <v>62</v>
      </c>
      <c r="C6362" s="9">
        <v>45931</v>
      </c>
      <c r="D6362">
        <v>24</v>
      </c>
      <c r="E6362" s="16" t="s">
        <v>112</v>
      </c>
      <c r="F6362" s="16" t="s">
        <v>83</v>
      </c>
      <c r="G6362" s="22">
        <v>31.5</v>
      </c>
      <c r="H6362" s="18">
        <v>285.52</v>
      </c>
      <c r="I6362" s="18">
        <v>9.0641269839999996</v>
      </c>
      <c r="J6362" s="18">
        <v>9.5500000000000007</v>
      </c>
      <c r="K6362" s="18">
        <v>8.84</v>
      </c>
      <c r="L6362" s="22">
        <v>9</v>
      </c>
    </row>
    <row r="6363" spans="1:12">
      <c r="A6363">
        <v>7</v>
      </c>
      <c r="B6363" s="16" t="s">
        <v>62</v>
      </c>
      <c r="C6363" s="9">
        <v>45962</v>
      </c>
      <c r="D6363">
        <v>24</v>
      </c>
      <c r="E6363" s="16" t="s">
        <v>112</v>
      </c>
      <c r="F6363" s="16" t="s">
        <v>83</v>
      </c>
      <c r="G6363" s="22">
        <v>23.5</v>
      </c>
      <c r="H6363" s="18">
        <v>210.5</v>
      </c>
      <c r="I6363" s="18">
        <v>8.9574468090000003</v>
      </c>
      <c r="J6363" s="18">
        <v>9.11</v>
      </c>
      <c r="K6363" s="18">
        <v>8.73</v>
      </c>
      <c r="L6363" s="22">
        <v>8</v>
      </c>
    </row>
    <row r="6364" spans="1:12">
      <c r="A6364">
        <v>7</v>
      </c>
      <c r="B6364" s="16" t="s">
        <v>62</v>
      </c>
      <c r="C6364" s="9">
        <v>45992</v>
      </c>
      <c r="D6364">
        <v>24</v>
      </c>
      <c r="E6364" s="16" t="s">
        <v>112</v>
      </c>
      <c r="F6364" s="16" t="s">
        <v>83</v>
      </c>
      <c r="G6364" s="22">
        <v>31</v>
      </c>
      <c r="H6364" s="18">
        <v>277.88</v>
      </c>
      <c r="I6364" s="18">
        <v>8.9638709680000002</v>
      </c>
      <c r="J6364" s="18">
        <v>9.06</v>
      </c>
      <c r="K6364" s="18">
        <v>8.8800000000000008</v>
      </c>
      <c r="L6364" s="22">
        <v>9</v>
      </c>
    </row>
    <row r="6365" spans="1:12">
      <c r="A6365">
        <v>7</v>
      </c>
      <c r="B6365" s="16" t="s">
        <v>62</v>
      </c>
      <c r="C6365" s="9">
        <v>46023</v>
      </c>
      <c r="D6365">
        <v>24</v>
      </c>
      <c r="E6365" s="16" t="s">
        <v>112</v>
      </c>
      <c r="F6365" s="16" t="s">
        <v>83</v>
      </c>
      <c r="G6365" s="22">
        <v>29</v>
      </c>
      <c r="H6365" s="18">
        <v>261.13499999999999</v>
      </c>
      <c r="I6365" s="18">
        <v>9.0046551719999997</v>
      </c>
      <c r="J6365" s="18">
        <v>9.1999999999999993</v>
      </c>
      <c r="K6365" s="18">
        <v>8.81</v>
      </c>
      <c r="L6365" s="22">
        <v>9</v>
      </c>
    </row>
    <row r="6366" spans="1:12">
      <c r="A6366">
        <v>7</v>
      </c>
      <c r="B6366" s="16" t="s">
        <v>62</v>
      </c>
      <c r="C6366" s="9">
        <v>46054</v>
      </c>
      <c r="D6366">
        <v>24</v>
      </c>
      <c r="E6366" s="16" t="s">
        <v>112</v>
      </c>
      <c r="F6366" s="16" t="s">
        <v>83</v>
      </c>
      <c r="G6366" s="22">
        <v>25.5</v>
      </c>
      <c r="H6366" s="18">
        <v>232.01</v>
      </c>
      <c r="I6366" s="18">
        <v>9.0984313730000004</v>
      </c>
      <c r="J6366" s="18">
        <v>9.2200000000000006</v>
      </c>
      <c r="K6366" s="18">
        <v>8.9700000000000006</v>
      </c>
      <c r="L6366" s="22">
        <v>8</v>
      </c>
    </row>
    <row r="6367" spans="1:12">
      <c r="A6367">
        <v>7</v>
      </c>
      <c r="B6367" s="16" t="s">
        <v>62</v>
      </c>
      <c r="C6367" s="9">
        <v>46082</v>
      </c>
      <c r="D6367">
        <v>24</v>
      </c>
      <c r="E6367" s="16" t="s">
        <v>112</v>
      </c>
      <c r="F6367" s="16" t="s">
        <v>83</v>
      </c>
      <c r="G6367" s="22">
        <v>28</v>
      </c>
      <c r="H6367" s="18">
        <v>251.77500000000001</v>
      </c>
      <c r="I6367" s="18">
        <v>8.991964286</v>
      </c>
      <c r="J6367" s="18">
        <v>9.07</v>
      </c>
      <c r="K6367" s="18">
        <v>8.92</v>
      </c>
      <c r="L6367" s="22">
        <v>9</v>
      </c>
    </row>
    <row r="6368" spans="1:12">
      <c r="A6368">
        <v>7</v>
      </c>
      <c r="B6368" s="16" t="s">
        <v>62</v>
      </c>
      <c r="C6368" s="9">
        <v>46113</v>
      </c>
      <c r="D6368">
        <v>24</v>
      </c>
      <c r="E6368" s="16" t="s">
        <v>112</v>
      </c>
      <c r="F6368" s="16" t="s">
        <v>83</v>
      </c>
      <c r="G6368" s="22">
        <v>28</v>
      </c>
      <c r="H6368" s="18">
        <v>253.505</v>
      </c>
      <c r="I6368" s="18">
        <v>9.0537500000000009</v>
      </c>
      <c r="J6368" s="18">
        <v>9.17</v>
      </c>
      <c r="K6368" s="18">
        <v>8.76</v>
      </c>
      <c r="L6368" s="22">
        <v>9</v>
      </c>
    </row>
    <row r="6369" spans="1:12">
      <c r="A6369">
        <v>7</v>
      </c>
      <c r="B6369" s="16" t="s">
        <v>62</v>
      </c>
      <c r="C6369" s="9">
        <v>46143</v>
      </c>
      <c r="D6369">
        <v>24</v>
      </c>
      <c r="E6369" s="16" t="s">
        <v>112</v>
      </c>
      <c r="F6369" s="16" t="s">
        <v>83</v>
      </c>
      <c r="G6369" s="22">
        <v>26</v>
      </c>
      <c r="H6369" s="18">
        <v>235.2</v>
      </c>
      <c r="I6369" s="18">
        <v>9.0461538459999993</v>
      </c>
      <c r="J6369" s="18">
        <v>9.1300000000000008</v>
      </c>
      <c r="K6369" s="18">
        <v>8.9499999999999993</v>
      </c>
      <c r="L6369" s="22">
        <v>8</v>
      </c>
    </row>
    <row r="6370" spans="1:12">
      <c r="A6370">
        <v>7</v>
      </c>
      <c r="B6370" s="16" t="s">
        <v>62</v>
      </c>
      <c r="C6370" s="9">
        <v>46174</v>
      </c>
      <c r="D6370">
        <v>24</v>
      </c>
      <c r="E6370" s="16" t="s">
        <v>112</v>
      </c>
      <c r="F6370" s="16" t="s">
        <v>83</v>
      </c>
      <c r="G6370" s="22">
        <v>22.5</v>
      </c>
      <c r="H6370" s="18">
        <v>203.435</v>
      </c>
      <c r="I6370" s="18">
        <v>9.0415555560000005</v>
      </c>
      <c r="J6370" s="18">
        <v>9.2100000000000009</v>
      </c>
      <c r="K6370" s="18">
        <v>8.9</v>
      </c>
      <c r="L6370" s="22">
        <v>9</v>
      </c>
    </row>
    <row r="6371" spans="1:12">
      <c r="A6371">
        <v>7</v>
      </c>
      <c r="B6371" s="16" t="s">
        <v>62</v>
      </c>
      <c r="C6371" s="9">
        <v>46204</v>
      </c>
      <c r="D6371">
        <v>24</v>
      </c>
      <c r="E6371" s="16" t="s">
        <v>112</v>
      </c>
      <c r="F6371" s="16" t="s">
        <v>83</v>
      </c>
      <c r="G6371" s="22">
        <v>22</v>
      </c>
      <c r="H6371" s="18">
        <v>198.845</v>
      </c>
      <c r="I6371" s="18">
        <v>9.0384090910000001</v>
      </c>
      <c r="J6371" s="18">
        <v>9.18</v>
      </c>
      <c r="K6371" s="18">
        <v>8.84</v>
      </c>
      <c r="L6371" s="22">
        <v>9</v>
      </c>
    </row>
    <row r="6372" spans="1:12">
      <c r="A6372">
        <v>7</v>
      </c>
      <c r="B6372" s="16" t="s">
        <v>62</v>
      </c>
      <c r="C6372" s="9">
        <v>46235</v>
      </c>
      <c r="D6372">
        <v>24</v>
      </c>
      <c r="E6372" s="16" t="s">
        <v>112</v>
      </c>
      <c r="F6372" s="16" t="s">
        <v>83</v>
      </c>
      <c r="G6372" s="22">
        <v>25</v>
      </c>
      <c r="H6372" s="18">
        <v>224.66</v>
      </c>
      <c r="I6372" s="18">
        <v>8.9863999999999997</v>
      </c>
      <c r="J6372" s="18">
        <v>9.07</v>
      </c>
      <c r="K6372" s="18">
        <v>8.9</v>
      </c>
      <c r="L6372" s="22">
        <v>9</v>
      </c>
    </row>
    <row r="6373" spans="1:12">
      <c r="A6373">
        <v>7</v>
      </c>
      <c r="B6373" s="16" t="s">
        <v>62</v>
      </c>
      <c r="C6373" s="9">
        <v>46266</v>
      </c>
      <c r="D6373">
        <v>24</v>
      </c>
      <c r="E6373" s="16" t="s">
        <v>112</v>
      </c>
      <c r="F6373" s="16" t="s">
        <v>83</v>
      </c>
      <c r="G6373" s="22">
        <v>29</v>
      </c>
      <c r="H6373" s="18">
        <v>264.3</v>
      </c>
      <c r="I6373" s="18">
        <v>9.1137931030000008</v>
      </c>
      <c r="J6373" s="18">
        <v>9.24</v>
      </c>
      <c r="K6373" s="18">
        <v>8.9600000000000009</v>
      </c>
      <c r="L6373" s="22">
        <v>8</v>
      </c>
    </row>
    <row r="6374" spans="1:12">
      <c r="A6374">
        <v>7</v>
      </c>
      <c r="B6374" s="16" t="s">
        <v>62</v>
      </c>
      <c r="C6374" s="9">
        <v>45689</v>
      </c>
      <c r="D6374">
        <v>25</v>
      </c>
      <c r="E6374" s="16" t="s">
        <v>113</v>
      </c>
      <c r="F6374" s="16" t="s">
        <v>114</v>
      </c>
      <c r="G6374" s="22">
        <v>400</v>
      </c>
      <c r="H6374" s="18">
        <v>105.5</v>
      </c>
      <c r="I6374" s="18">
        <v>0.26374999999999998</v>
      </c>
      <c r="J6374" s="18">
        <v>0.28000000000000003</v>
      </c>
      <c r="K6374" s="18">
        <v>0.26</v>
      </c>
      <c r="L6374" s="22">
        <v>8</v>
      </c>
    </row>
    <row r="6375" spans="1:12">
      <c r="A6375">
        <v>7</v>
      </c>
      <c r="B6375" s="16" t="s">
        <v>62</v>
      </c>
      <c r="C6375" s="9">
        <v>45717</v>
      </c>
      <c r="D6375">
        <v>25</v>
      </c>
      <c r="E6375" s="16" t="s">
        <v>113</v>
      </c>
      <c r="F6375" s="16" t="s">
        <v>114</v>
      </c>
      <c r="G6375" s="22">
        <v>400</v>
      </c>
      <c r="H6375" s="18">
        <v>104.5</v>
      </c>
      <c r="I6375" s="18">
        <v>0.26124999999999998</v>
      </c>
      <c r="J6375" s="18">
        <v>0.27</v>
      </c>
      <c r="K6375" s="18">
        <v>0.26</v>
      </c>
      <c r="L6375" s="22">
        <v>8</v>
      </c>
    </row>
    <row r="6376" spans="1:12">
      <c r="A6376">
        <v>7</v>
      </c>
      <c r="B6376" s="16" t="s">
        <v>62</v>
      </c>
      <c r="C6376" s="9">
        <v>45748</v>
      </c>
      <c r="D6376">
        <v>25</v>
      </c>
      <c r="E6376" s="16" t="s">
        <v>113</v>
      </c>
      <c r="F6376" s="16" t="s">
        <v>114</v>
      </c>
      <c r="G6376" s="22">
        <v>550</v>
      </c>
      <c r="H6376" s="18">
        <v>146</v>
      </c>
      <c r="I6376" s="18">
        <v>0.26545454499999999</v>
      </c>
      <c r="J6376" s="18">
        <v>0.27</v>
      </c>
      <c r="K6376" s="18">
        <v>0.26</v>
      </c>
      <c r="L6376" s="22">
        <v>8</v>
      </c>
    </row>
    <row r="6377" spans="1:12">
      <c r="A6377">
        <v>7</v>
      </c>
      <c r="B6377" s="16" t="s">
        <v>62</v>
      </c>
      <c r="C6377" s="9">
        <v>45778</v>
      </c>
      <c r="D6377">
        <v>25</v>
      </c>
      <c r="E6377" s="16" t="s">
        <v>113</v>
      </c>
      <c r="F6377" s="16" t="s">
        <v>114</v>
      </c>
      <c r="G6377" s="22">
        <v>500</v>
      </c>
      <c r="H6377" s="18">
        <v>132.5</v>
      </c>
      <c r="I6377" s="18">
        <v>0.26500000000000001</v>
      </c>
      <c r="J6377" s="18">
        <v>0.27</v>
      </c>
      <c r="K6377" s="18">
        <v>0.26</v>
      </c>
      <c r="L6377" s="22">
        <v>10</v>
      </c>
    </row>
    <row r="6378" spans="1:12">
      <c r="A6378">
        <v>7</v>
      </c>
      <c r="B6378" s="16" t="s">
        <v>62</v>
      </c>
      <c r="C6378" s="9">
        <v>45809</v>
      </c>
      <c r="D6378">
        <v>25</v>
      </c>
      <c r="E6378" s="16" t="s">
        <v>113</v>
      </c>
      <c r="F6378" s="16" t="s">
        <v>114</v>
      </c>
      <c r="G6378" s="22">
        <v>350</v>
      </c>
      <c r="H6378" s="18">
        <v>93</v>
      </c>
      <c r="I6378" s="18">
        <v>0.26571428600000002</v>
      </c>
      <c r="J6378" s="18">
        <v>0.27</v>
      </c>
      <c r="K6378" s="18">
        <v>0.26</v>
      </c>
      <c r="L6378" s="22">
        <v>7</v>
      </c>
    </row>
    <row r="6379" spans="1:12">
      <c r="A6379">
        <v>7</v>
      </c>
      <c r="B6379" s="16" t="s">
        <v>62</v>
      </c>
      <c r="C6379" s="9">
        <v>45839</v>
      </c>
      <c r="D6379">
        <v>25</v>
      </c>
      <c r="E6379" s="16" t="s">
        <v>113</v>
      </c>
      <c r="F6379" s="16" t="s">
        <v>114</v>
      </c>
      <c r="G6379" s="22">
        <v>350</v>
      </c>
      <c r="H6379" s="18">
        <v>93</v>
      </c>
      <c r="I6379" s="18">
        <v>0.26571428600000002</v>
      </c>
      <c r="J6379" s="18">
        <v>0.27</v>
      </c>
      <c r="K6379" s="18">
        <v>0.26</v>
      </c>
      <c r="L6379" s="22">
        <v>6</v>
      </c>
    </row>
    <row r="6380" spans="1:12">
      <c r="A6380">
        <v>7</v>
      </c>
      <c r="B6380" s="16" t="s">
        <v>62</v>
      </c>
      <c r="C6380" s="9">
        <v>45870</v>
      </c>
      <c r="D6380">
        <v>25</v>
      </c>
      <c r="E6380" s="16" t="s">
        <v>113</v>
      </c>
      <c r="F6380" s="16" t="s">
        <v>114</v>
      </c>
      <c r="G6380" s="22">
        <v>450</v>
      </c>
      <c r="H6380" s="18">
        <v>120</v>
      </c>
      <c r="I6380" s="18">
        <v>0.26666666700000002</v>
      </c>
      <c r="J6380" s="18">
        <v>0.27</v>
      </c>
      <c r="K6380" s="18">
        <v>0.26</v>
      </c>
      <c r="L6380" s="22">
        <v>7</v>
      </c>
    </row>
    <row r="6381" spans="1:12">
      <c r="A6381">
        <v>7</v>
      </c>
      <c r="B6381" s="16" t="s">
        <v>62</v>
      </c>
      <c r="C6381" s="9">
        <v>45901</v>
      </c>
      <c r="D6381">
        <v>25</v>
      </c>
      <c r="E6381" s="16" t="s">
        <v>113</v>
      </c>
      <c r="F6381" s="16" t="s">
        <v>114</v>
      </c>
      <c r="G6381" s="22">
        <v>450</v>
      </c>
      <c r="H6381" s="18">
        <v>120</v>
      </c>
      <c r="I6381" s="18">
        <v>0.26666666700000002</v>
      </c>
      <c r="J6381" s="18">
        <v>0.27</v>
      </c>
      <c r="K6381" s="18">
        <v>0.26</v>
      </c>
      <c r="L6381" s="22">
        <v>9</v>
      </c>
    </row>
    <row r="6382" spans="1:12">
      <c r="A6382">
        <v>7</v>
      </c>
      <c r="B6382" s="16" t="s">
        <v>62</v>
      </c>
      <c r="C6382" s="9">
        <v>45931</v>
      </c>
      <c r="D6382">
        <v>25</v>
      </c>
      <c r="E6382" s="16" t="s">
        <v>113</v>
      </c>
      <c r="F6382" s="16" t="s">
        <v>114</v>
      </c>
      <c r="G6382" s="22">
        <v>650</v>
      </c>
      <c r="H6382" s="18">
        <v>174</v>
      </c>
      <c r="I6382" s="18">
        <v>0.26769230799999999</v>
      </c>
      <c r="J6382" s="18">
        <v>0.28000000000000003</v>
      </c>
      <c r="K6382" s="18">
        <v>0.26</v>
      </c>
      <c r="L6382" s="22">
        <v>11</v>
      </c>
    </row>
    <row r="6383" spans="1:12">
      <c r="A6383">
        <v>7</v>
      </c>
      <c r="B6383" s="16" t="s">
        <v>62</v>
      </c>
      <c r="C6383" s="9">
        <v>45962</v>
      </c>
      <c r="D6383">
        <v>25</v>
      </c>
      <c r="E6383" s="16" t="s">
        <v>113</v>
      </c>
      <c r="F6383" s="16" t="s">
        <v>114</v>
      </c>
      <c r="G6383" s="22">
        <v>400</v>
      </c>
      <c r="H6383" s="18">
        <v>107.5</v>
      </c>
      <c r="I6383" s="18">
        <v>0.26874999999999999</v>
      </c>
      <c r="J6383" s="18">
        <v>0.27</v>
      </c>
      <c r="K6383" s="18">
        <v>0.26</v>
      </c>
      <c r="L6383" s="22">
        <v>5</v>
      </c>
    </row>
    <row r="6384" spans="1:12">
      <c r="A6384">
        <v>7</v>
      </c>
      <c r="B6384" s="16" t="s">
        <v>62</v>
      </c>
      <c r="C6384" s="9">
        <v>45992</v>
      </c>
      <c r="D6384">
        <v>25</v>
      </c>
      <c r="E6384" s="16" t="s">
        <v>113</v>
      </c>
      <c r="F6384" s="16" t="s">
        <v>114</v>
      </c>
      <c r="G6384" s="22">
        <v>550</v>
      </c>
      <c r="H6384" s="18">
        <v>147.5</v>
      </c>
      <c r="I6384" s="18">
        <v>0.26818181800000002</v>
      </c>
      <c r="J6384" s="18">
        <v>0.28000000000000003</v>
      </c>
      <c r="K6384" s="18">
        <v>0.26</v>
      </c>
      <c r="L6384" s="22">
        <v>9</v>
      </c>
    </row>
    <row r="6385" spans="1:12">
      <c r="A6385">
        <v>7</v>
      </c>
      <c r="B6385" s="16" t="s">
        <v>62</v>
      </c>
      <c r="C6385" s="9">
        <v>46023</v>
      </c>
      <c r="D6385">
        <v>25</v>
      </c>
      <c r="E6385" s="16" t="s">
        <v>113</v>
      </c>
      <c r="F6385" s="16" t="s">
        <v>114</v>
      </c>
      <c r="G6385" s="22">
        <v>500</v>
      </c>
      <c r="H6385" s="18">
        <v>134</v>
      </c>
      <c r="I6385" s="18">
        <v>0.26800000000000002</v>
      </c>
      <c r="J6385" s="18">
        <v>0.27</v>
      </c>
      <c r="K6385" s="18">
        <v>0.26</v>
      </c>
      <c r="L6385" s="22">
        <v>9</v>
      </c>
    </row>
    <row r="6386" spans="1:12">
      <c r="A6386">
        <v>7</v>
      </c>
      <c r="B6386" s="16" t="s">
        <v>62</v>
      </c>
      <c r="C6386" s="9">
        <v>46054</v>
      </c>
      <c r="D6386">
        <v>25</v>
      </c>
      <c r="E6386" s="16" t="s">
        <v>113</v>
      </c>
      <c r="F6386" s="16" t="s">
        <v>114</v>
      </c>
      <c r="G6386" s="22">
        <v>450</v>
      </c>
      <c r="H6386" s="18">
        <v>122.5</v>
      </c>
      <c r="I6386" s="18">
        <v>0.27222222200000001</v>
      </c>
      <c r="J6386" s="18">
        <v>0.28000000000000003</v>
      </c>
      <c r="K6386" s="18">
        <v>0.27</v>
      </c>
      <c r="L6386" s="22">
        <v>9</v>
      </c>
    </row>
    <row r="6387" spans="1:12">
      <c r="A6387">
        <v>7</v>
      </c>
      <c r="B6387" s="16" t="s">
        <v>62</v>
      </c>
      <c r="C6387" s="9">
        <v>46082</v>
      </c>
      <c r="D6387">
        <v>25</v>
      </c>
      <c r="E6387" s="16" t="s">
        <v>113</v>
      </c>
      <c r="F6387" s="16" t="s">
        <v>114</v>
      </c>
      <c r="G6387" s="22">
        <v>500</v>
      </c>
      <c r="H6387" s="18">
        <v>135</v>
      </c>
      <c r="I6387" s="18">
        <v>0.27</v>
      </c>
      <c r="J6387" s="18">
        <v>0.27</v>
      </c>
      <c r="K6387" s="18">
        <v>0.27</v>
      </c>
      <c r="L6387" s="22">
        <v>10</v>
      </c>
    </row>
    <row r="6388" spans="1:12">
      <c r="A6388">
        <v>7</v>
      </c>
      <c r="B6388" s="16" t="s">
        <v>62</v>
      </c>
      <c r="C6388" s="9">
        <v>46113</v>
      </c>
      <c r="D6388">
        <v>25</v>
      </c>
      <c r="E6388" s="16" t="s">
        <v>113</v>
      </c>
      <c r="F6388" s="16" t="s">
        <v>114</v>
      </c>
      <c r="G6388" s="22">
        <v>500</v>
      </c>
      <c r="H6388" s="18">
        <v>136.5</v>
      </c>
      <c r="I6388" s="18">
        <v>0.27300000000000002</v>
      </c>
      <c r="J6388" s="18">
        <v>0.28999999999999998</v>
      </c>
      <c r="K6388" s="18">
        <v>0.27</v>
      </c>
      <c r="L6388" s="22">
        <v>8</v>
      </c>
    </row>
    <row r="6389" spans="1:12">
      <c r="A6389">
        <v>7</v>
      </c>
      <c r="B6389" s="16" t="s">
        <v>62</v>
      </c>
      <c r="C6389" s="9">
        <v>46143</v>
      </c>
      <c r="D6389">
        <v>25</v>
      </c>
      <c r="E6389" s="16" t="s">
        <v>113</v>
      </c>
      <c r="F6389" s="16" t="s">
        <v>114</v>
      </c>
      <c r="G6389" s="22">
        <v>500</v>
      </c>
      <c r="H6389" s="18">
        <v>136.5</v>
      </c>
      <c r="I6389" s="18">
        <v>0.27300000000000002</v>
      </c>
      <c r="J6389" s="18">
        <v>0.28000000000000003</v>
      </c>
      <c r="K6389" s="18">
        <v>0.27</v>
      </c>
      <c r="L6389" s="22">
        <v>8</v>
      </c>
    </row>
    <row r="6390" spans="1:12">
      <c r="A6390">
        <v>7</v>
      </c>
      <c r="B6390" s="16" t="s">
        <v>62</v>
      </c>
      <c r="C6390" s="9">
        <v>46174</v>
      </c>
      <c r="D6390">
        <v>25</v>
      </c>
      <c r="E6390" s="16" t="s">
        <v>113</v>
      </c>
      <c r="F6390" s="16" t="s">
        <v>114</v>
      </c>
      <c r="G6390" s="22">
        <v>400</v>
      </c>
      <c r="H6390" s="18">
        <v>109.5</v>
      </c>
      <c r="I6390" s="18">
        <v>0.27374999999999999</v>
      </c>
      <c r="J6390" s="18">
        <v>0.28000000000000003</v>
      </c>
      <c r="K6390" s="18">
        <v>0.27</v>
      </c>
      <c r="L6390" s="22">
        <v>8</v>
      </c>
    </row>
    <row r="6391" spans="1:12">
      <c r="A6391">
        <v>7</v>
      </c>
      <c r="B6391" s="16" t="s">
        <v>62</v>
      </c>
      <c r="C6391" s="9">
        <v>46204</v>
      </c>
      <c r="D6391">
        <v>25</v>
      </c>
      <c r="E6391" s="16" t="s">
        <v>113</v>
      </c>
      <c r="F6391" s="16" t="s">
        <v>114</v>
      </c>
      <c r="G6391" s="22">
        <v>350</v>
      </c>
      <c r="H6391" s="18">
        <v>99</v>
      </c>
      <c r="I6391" s="18">
        <v>0.28285714299999998</v>
      </c>
      <c r="J6391" s="18">
        <v>0.28999999999999998</v>
      </c>
      <c r="K6391" s="18">
        <v>0.27</v>
      </c>
      <c r="L6391" s="22">
        <v>7</v>
      </c>
    </row>
    <row r="6392" spans="1:12">
      <c r="A6392">
        <v>7</v>
      </c>
      <c r="B6392" s="16" t="s">
        <v>62</v>
      </c>
      <c r="C6392" s="9">
        <v>46235</v>
      </c>
      <c r="D6392">
        <v>25</v>
      </c>
      <c r="E6392" s="16" t="s">
        <v>113</v>
      </c>
      <c r="F6392" s="16" t="s">
        <v>114</v>
      </c>
      <c r="G6392" s="22">
        <v>400</v>
      </c>
      <c r="H6392" s="18">
        <v>113.5</v>
      </c>
      <c r="I6392" s="18">
        <v>0.28375</v>
      </c>
      <c r="J6392" s="18">
        <v>0.28999999999999998</v>
      </c>
      <c r="K6392" s="18">
        <v>0.28000000000000003</v>
      </c>
      <c r="L6392" s="22">
        <v>7</v>
      </c>
    </row>
    <row r="6393" spans="1:12">
      <c r="A6393">
        <v>7</v>
      </c>
      <c r="B6393" s="16" t="s">
        <v>62</v>
      </c>
      <c r="C6393" s="9">
        <v>46266</v>
      </c>
      <c r="D6393">
        <v>25</v>
      </c>
      <c r="E6393" s="16" t="s">
        <v>113</v>
      </c>
      <c r="F6393" s="16" t="s">
        <v>114</v>
      </c>
      <c r="G6393" s="22">
        <v>600</v>
      </c>
      <c r="H6393" s="18">
        <v>173.5</v>
      </c>
      <c r="I6393" s="18">
        <v>0.28916666699999999</v>
      </c>
      <c r="J6393" s="18">
        <v>0.28999999999999998</v>
      </c>
      <c r="K6393" s="18">
        <v>0.28000000000000003</v>
      </c>
      <c r="L6393" s="22">
        <v>12</v>
      </c>
    </row>
    <row r="6394" spans="1:12">
      <c r="A6394">
        <v>7</v>
      </c>
      <c r="B6394" s="16" t="s">
        <v>62</v>
      </c>
      <c r="C6394" s="9">
        <v>45689</v>
      </c>
      <c r="D6394">
        <v>26</v>
      </c>
      <c r="E6394" s="16" t="s">
        <v>115</v>
      </c>
      <c r="F6394" s="16" t="s">
        <v>90</v>
      </c>
      <c r="G6394" s="22">
        <v>2.5</v>
      </c>
      <c r="H6394" s="18">
        <v>15.675000000000001</v>
      </c>
      <c r="I6394" s="18">
        <v>6.27</v>
      </c>
      <c r="J6394" s="18">
        <v>6.32</v>
      </c>
      <c r="K6394" s="18">
        <v>6.22</v>
      </c>
      <c r="L6394" s="22">
        <v>2</v>
      </c>
    </row>
    <row r="6395" spans="1:12">
      <c r="A6395">
        <v>7</v>
      </c>
      <c r="B6395" s="16" t="s">
        <v>62</v>
      </c>
      <c r="C6395" s="9">
        <v>45717</v>
      </c>
      <c r="D6395">
        <v>26</v>
      </c>
      <c r="E6395" s="16" t="s">
        <v>115</v>
      </c>
      <c r="F6395" s="16" t="s">
        <v>90</v>
      </c>
      <c r="G6395" s="22">
        <v>1.25</v>
      </c>
      <c r="H6395" s="18">
        <v>7.8875000000000002</v>
      </c>
      <c r="I6395" s="18">
        <v>6.31</v>
      </c>
      <c r="J6395" s="18">
        <v>6.31</v>
      </c>
      <c r="K6395" s="18">
        <v>6.31</v>
      </c>
      <c r="L6395" s="22">
        <v>1</v>
      </c>
    </row>
    <row r="6396" spans="1:12">
      <c r="A6396">
        <v>7</v>
      </c>
      <c r="B6396" s="16" t="s">
        <v>62</v>
      </c>
      <c r="C6396" s="9">
        <v>45748</v>
      </c>
      <c r="D6396">
        <v>26</v>
      </c>
      <c r="E6396" s="16" t="s">
        <v>115</v>
      </c>
      <c r="F6396" s="16" t="s">
        <v>90</v>
      </c>
      <c r="G6396" s="22">
        <v>3.75</v>
      </c>
      <c r="H6396" s="18">
        <v>23.6</v>
      </c>
      <c r="I6396" s="18">
        <v>6.2933333329999996</v>
      </c>
      <c r="J6396" s="18">
        <v>6.39</v>
      </c>
      <c r="K6396" s="18">
        <v>6.1</v>
      </c>
      <c r="L6396" s="22">
        <v>2</v>
      </c>
    </row>
    <row r="6397" spans="1:12">
      <c r="A6397">
        <v>7</v>
      </c>
      <c r="B6397" s="16" t="s">
        <v>62</v>
      </c>
      <c r="C6397" s="9">
        <v>45778</v>
      </c>
      <c r="D6397">
        <v>26</v>
      </c>
      <c r="E6397" s="16" t="s">
        <v>115</v>
      </c>
      <c r="F6397" s="16" t="s">
        <v>90</v>
      </c>
      <c r="G6397" s="22">
        <v>2.5</v>
      </c>
      <c r="H6397" s="18">
        <v>15.6875</v>
      </c>
      <c r="I6397" s="18">
        <v>6.2750000000000004</v>
      </c>
      <c r="J6397" s="18">
        <v>6.36</v>
      </c>
      <c r="K6397" s="18">
        <v>6.19</v>
      </c>
      <c r="L6397" s="22">
        <v>2</v>
      </c>
    </row>
    <row r="6398" spans="1:12">
      <c r="A6398">
        <v>7</v>
      </c>
      <c r="B6398" s="16" t="s">
        <v>62</v>
      </c>
      <c r="C6398" s="9">
        <v>45809</v>
      </c>
      <c r="D6398">
        <v>26</v>
      </c>
      <c r="E6398" s="16" t="s">
        <v>115</v>
      </c>
      <c r="F6398" s="16" t="s">
        <v>90</v>
      </c>
      <c r="G6398" s="22">
        <v>1.25</v>
      </c>
      <c r="H6398" s="18">
        <v>7.6749999999999998</v>
      </c>
      <c r="I6398" s="18">
        <v>6.14</v>
      </c>
      <c r="J6398" s="18">
        <v>6.14</v>
      </c>
      <c r="K6398" s="18">
        <v>6.14</v>
      </c>
      <c r="L6398" s="22">
        <v>1</v>
      </c>
    </row>
    <row r="6399" spans="1:12">
      <c r="A6399">
        <v>7</v>
      </c>
      <c r="B6399" s="16" t="s">
        <v>62</v>
      </c>
      <c r="C6399" s="9">
        <v>45839</v>
      </c>
      <c r="D6399">
        <v>26</v>
      </c>
      <c r="E6399" s="16" t="s">
        <v>115</v>
      </c>
      <c r="F6399" s="16" t="s">
        <v>90</v>
      </c>
      <c r="G6399" s="22">
        <v>3.75</v>
      </c>
      <c r="H6399" s="18">
        <v>23.5625</v>
      </c>
      <c r="I6399" s="18">
        <v>6.2833333329999999</v>
      </c>
      <c r="J6399" s="18">
        <v>6.36</v>
      </c>
      <c r="K6399" s="18">
        <v>6.13</v>
      </c>
      <c r="L6399" s="22">
        <v>3</v>
      </c>
    </row>
    <row r="6400" spans="1:12">
      <c r="A6400">
        <v>7</v>
      </c>
      <c r="B6400" s="16" t="s">
        <v>62</v>
      </c>
      <c r="C6400" s="9">
        <v>45870</v>
      </c>
      <c r="D6400">
        <v>26</v>
      </c>
      <c r="E6400" s="16" t="s">
        <v>115</v>
      </c>
      <c r="F6400" s="16" t="s">
        <v>90</v>
      </c>
      <c r="G6400" s="22">
        <v>2.5</v>
      </c>
      <c r="H6400" s="18">
        <v>15.637499999999999</v>
      </c>
      <c r="I6400" s="18">
        <v>6.2549999999999999</v>
      </c>
      <c r="J6400" s="18">
        <v>6.29</v>
      </c>
      <c r="K6400" s="18">
        <v>6.22</v>
      </c>
      <c r="L6400" s="22">
        <v>2</v>
      </c>
    </row>
    <row r="6401" spans="1:12">
      <c r="A6401">
        <v>7</v>
      </c>
      <c r="B6401" s="16" t="s">
        <v>62</v>
      </c>
      <c r="C6401" s="9">
        <v>45901</v>
      </c>
      <c r="D6401">
        <v>26</v>
      </c>
      <c r="E6401" s="16" t="s">
        <v>115</v>
      </c>
      <c r="F6401" s="16" t="s">
        <v>90</v>
      </c>
      <c r="G6401" s="22">
        <v>2.5</v>
      </c>
      <c r="H6401" s="18">
        <v>15.85</v>
      </c>
      <c r="I6401" s="18">
        <v>6.34</v>
      </c>
      <c r="J6401" s="18">
        <v>6.42</v>
      </c>
      <c r="K6401" s="18">
        <v>6.26</v>
      </c>
      <c r="L6401" s="22">
        <v>2</v>
      </c>
    </row>
    <row r="6402" spans="1:12">
      <c r="A6402">
        <v>7</v>
      </c>
      <c r="B6402" s="16" t="s">
        <v>62</v>
      </c>
      <c r="C6402" s="9">
        <v>45931</v>
      </c>
      <c r="D6402">
        <v>26</v>
      </c>
      <c r="E6402" s="16" t="s">
        <v>115</v>
      </c>
      <c r="F6402" s="16" t="s">
        <v>90</v>
      </c>
      <c r="G6402" s="22">
        <v>2.5</v>
      </c>
      <c r="H6402" s="18">
        <v>15.4625</v>
      </c>
      <c r="I6402" s="18">
        <v>6.1849999999999996</v>
      </c>
      <c r="J6402" s="18">
        <v>6.27</v>
      </c>
      <c r="K6402" s="18">
        <v>6.1</v>
      </c>
      <c r="L6402" s="22">
        <v>2</v>
      </c>
    </row>
    <row r="6403" spans="1:12">
      <c r="A6403">
        <v>7</v>
      </c>
      <c r="B6403" s="16" t="s">
        <v>62</v>
      </c>
      <c r="C6403" s="9">
        <v>45962</v>
      </c>
      <c r="D6403">
        <v>26</v>
      </c>
      <c r="E6403" s="16" t="s">
        <v>115</v>
      </c>
      <c r="F6403" s="16" t="s">
        <v>90</v>
      </c>
      <c r="G6403" s="22">
        <v>2.5</v>
      </c>
      <c r="H6403" s="18">
        <v>15.6</v>
      </c>
      <c r="I6403" s="18">
        <v>6.24</v>
      </c>
      <c r="J6403" s="18">
        <v>6.26</v>
      </c>
      <c r="K6403" s="18">
        <v>6.22</v>
      </c>
      <c r="L6403" s="22">
        <v>2</v>
      </c>
    </row>
    <row r="6404" spans="1:12">
      <c r="A6404">
        <v>7</v>
      </c>
      <c r="B6404" s="16" t="s">
        <v>62</v>
      </c>
      <c r="C6404" s="9">
        <v>45992</v>
      </c>
      <c r="D6404">
        <v>26</v>
      </c>
      <c r="E6404" s="16" t="s">
        <v>115</v>
      </c>
      <c r="F6404" s="16" t="s">
        <v>90</v>
      </c>
      <c r="G6404" s="22">
        <v>3.75</v>
      </c>
      <c r="H6404" s="18">
        <v>23.524999999999999</v>
      </c>
      <c r="I6404" s="18">
        <v>6.2733333330000001</v>
      </c>
      <c r="J6404" s="18">
        <v>6.31</v>
      </c>
      <c r="K6404" s="18">
        <v>6.25</v>
      </c>
      <c r="L6404" s="22">
        <v>3</v>
      </c>
    </row>
    <row r="6405" spans="1:12">
      <c r="A6405">
        <v>7</v>
      </c>
      <c r="B6405" s="16" t="s">
        <v>62</v>
      </c>
      <c r="C6405" s="9">
        <v>46023</v>
      </c>
      <c r="D6405">
        <v>26</v>
      </c>
      <c r="E6405" s="16" t="s">
        <v>115</v>
      </c>
      <c r="F6405" s="16" t="s">
        <v>90</v>
      </c>
      <c r="G6405" s="22">
        <v>3.75</v>
      </c>
      <c r="H6405" s="18">
        <v>23.037500000000001</v>
      </c>
      <c r="I6405" s="18">
        <v>6.1433333330000002</v>
      </c>
      <c r="J6405" s="18">
        <v>6.15</v>
      </c>
      <c r="K6405" s="18">
        <v>6.14</v>
      </c>
      <c r="L6405" s="22">
        <v>2</v>
      </c>
    </row>
    <row r="6406" spans="1:12">
      <c r="A6406">
        <v>7</v>
      </c>
      <c r="B6406" s="16" t="s">
        <v>62</v>
      </c>
      <c r="C6406" s="9">
        <v>46054</v>
      </c>
      <c r="D6406">
        <v>26</v>
      </c>
      <c r="E6406" s="16" t="s">
        <v>115</v>
      </c>
      <c r="F6406" s="16" t="s">
        <v>90</v>
      </c>
      <c r="G6406" s="22">
        <v>2.5</v>
      </c>
      <c r="H6406" s="18">
        <v>15.512499999999999</v>
      </c>
      <c r="I6406" s="18">
        <v>6.2050000000000001</v>
      </c>
      <c r="J6406" s="18">
        <v>6.26</v>
      </c>
      <c r="K6406" s="18">
        <v>6.15</v>
      </c>
      <c r="L6406" s="22">
        <v>2</v>
      </c>
    </row>
    <row r="6407" spans="1:12">
      <c r="A6407">
        <v>7</v>
      </c>
      <c r="B6407" s="16" t="s">
        <v>62</v>
      </c>
      <c r="C6407" s="9">
        <v>46082</v>
      </c>
      <c r="D6407">
        <v>26</v>
      </c>
      <c r="E6407" s="16" t="s">
        <v>115</v>
      </c>
      <c r="F6407" s="16" t="s">
        <v>90</v>
      </c>
      <c r="G6407" s="22">
        <v>2.5</v>
      </c>
      <c r="H6407" s="18">
        <v>16</v>
      </c>
      <c r="I6407" s="18">
        <v>6.4</v>
      </c>
      <c r="J6407" s="18">
        <v>6.48</v>
      </c>
      <c r="K6407" s="18">
        <v>6.32</v>
      </c>
      <c r="L6407" s="22">
        <v>2</v>
      </c>
    </row>
    <row r="6408" spans="1:12">
      <c r="A6408">
        <v>7</v>
      </c>
      <c r="B6408" s="16" t="s">
        <v>62</v>
      </c>
      <c r="C6408" s="9">
        <v>46113</v>
      </c>
      <c r="D6408">
        <v>26</v>
      </c>
      <c r="E6408" s="16" t="s">
        <v>115</v>
      </c>
      <c r="F6408" s="16" t="s">
        <v>90</v>
      </c>
      <c r="G6408" s="22">
        <v>2.5</v>
      </c>
      <c r="H6408" s="18">
        <v>15.5875</v>
      </c>
      <c r="I6408" s="18">
        <v>6.2350000000000003</v>
      </c>
      <c r="J6408" s="18">
        <v>6.33</v>
      </c>
      <c r="K6408" s="18">
        <v>6.14</v>
      </c>
      <c r="L6408" s="22">
        <v>2</v>
      </c>
    </row>
    <row r="6409" spans="1:12">
      <c r="A6409">
        <v>7</v>
      </c>
      <c r="B6409" s="16" t="s">
        <v>62</v>
      </c>
      <c r="C6409" s="9">
        <v>46143</v>
      </c>
      <c r="D6409">
        <v>26</v>
      </c>
      <c r="E6409" s="16" t="s">
        <v>115</v>
      </c>
      <c r="F6409" s="16" t="s">
        <v>90</v>
      </c>
      <c r="G6409" s="22">
        <v>2.5</v>
      </c>
      <c r="H6409" s="18">
        <v>15.475</v>
      </c>
      <c r="I6409" s="18">
        <v>6.19</v>
      </c>
      <c r="J6409" s="18">
        <v>6.19</v>
      </c>
      <c r="K6409" s="18">
        <v>6.19</v>
      </c>
      <c r="L6409" s="22">
        <v>2</v>
      </c>
    </row>
    <row r="6410" spans="1:12">
      <c r="A6410">
        <v>7</v>
      </c>
      <c r="B6410" s="16" t="s">
        <v>62</v>
      </c>
      <c r="C6410" s="9">
        <v>46174</v>
      </c>
      <c r="D6410">
        <v>26</v>
      </c>
      <c r="E6410" s="16" t="s">
        <v>115</v>
      </c>
      <c r="F6410" s="16" t="s">
        <v>90</v>
      </c>
      <c r="G6410" s="22">
        <v>3.75</v>
      </c>
      <c r="H6410" s="18">
        <v>23.862500000000001</v>
      </c>
      <c r="I6410" s="18">
        <v>6.3633333329999999</v>
      </c>
      <c r="J6410" s="18">
        <v>6.4</v>
      </c>
      <c r="K6410" s="18">
        <v>6.31</v>
      </c>
      <c r="L6410" s="22">
        <v>3</v>
      </c>
    </row>
    <row r="6411" spans="1:12">
      <c r="A6411">
        <v>7</v>
      </c>
      <c r="B6411" s="16" t="s">
        <v>62</v>
      </c>
      <c r="C6411" s="9">
        <v>46204</v>
      </c>
      <c r="D6411">
        <v>26</v>
      </c>
      <c r="E6411" s="16" t="s">
        <v>115</v>
      </c>
      <c r="F6411" s="16" t="s">
        <v>90</v>
      </c>
      <c r="G6411" s="22">
        <v>1.25</v>
      </c>
      <c r="H6411" s="18">
        <v>7.7874999999999996</v>
      </c>
      <c r="I6411" s="18">
        <v>6.23</v>
      </c>
      <c r="J6411" s="18">
        <v>6.23</v>
      </c>
      <c r="K6411" s="18">
        <v>6.23</v>
      </c>
      <c r="L6411" s="22">
        <v>1</v>
      </c>
    </row>
    <row r="6412" spans="1:12">
      <c r="A6412">
        <v>7</v>
      </c>
      <c r="B6412" s="16" t="s">
        <v>62</v>
      </c>
      <c r="C6412" s="9">
        <v>46235</v>
      </c>
      <c r="D6412">
        <v>26</v>
      </c>
      <c r="E6412" s="16" t="s">
        <v>115</v>
      </c>
      <c r="F6412" s="16" t="s">
        <v>90</v>
      </c>
      <c r="G6412" s="22">
        <v>2.5</v>
      </c>
      <c r="H6412" s="18">
        <v>15.737500000000001</v>
      </c>
      <c r="I6412" s="18">
        <v>6.2949999999999999</v>
      </c>
      <c r="J6412" s="18">
        <v>6.34</v>
      </c>
      <c r="K6412" s="18">
        <v>6.25</v>
      </c>
      <c r="L6412" s="22">
        <v>2</v>
      </c>
    </row>
    <row r="6413" spans="1:12">
      <c r="A6413">
        <v>7</v>
      </c>
      <c r="B6413" s="16" t="s">
        <v>62</v>
      </c>
      <c r="C6413" s="9">
        <v>46266</v>
      </c>
      <c r="D6413">
        <v>26</v>
      </c>
      <c r="E6413" s="16" t="s">
        <v>115</v>
      </c>
      <c r="F6413" s="16" t="s">
        <v>90</v>
      </c>
      <c r="G6413" s="22">
        <v>2.5</v>
      </c>
      <c r="H6413" s="18">
        <v>15.824999999999999</v>
      </c>
      <c r="I6413" s="18">
        <v>6.33</v>
      </c>
      <c r="J6413" s="18">
        <v>6.35</v>
      </c>
      <c r="K6413" s="18">
        <v>6.31</v>
      </c>
      <c r="L6413" s="22">
        <v>2</v>
      </c>
    </row>
    <row r="6414" spans="1:12">
      <c r="A6414">
        <v>7</v>
      </c>
      <c r="B6414" s="16" t="s">
        <v>62</v>
      </c>
      <c r="C6414" s="9">
        <v>45689</v>
      </c>
      <c r="D6414">
        <v>27</v>
      </c>
      <c r="E6414" s="16" t="s">
        <v>116</v>
      </c>
      <c r="F6414" s="16" t="s">
        <v>90</v>
      </c>
      <c r="G6414" s="22">
        <v>12.5</v>
      </c>
      <c r="H6414" s="18">
        <v>9.4375</v>
      </c>
      <c r="I6414" s="18">
        <v>0.755</v>
      </c>
      <c r="J6414" s="18">
        <v>0.76</v>
      </c>
      <c r="K6414" s="18">
        <v>0.75</v>
      </c>
      <c r="L6414" s="22">
        <v>2</v>
      </c>
    </row>
    <row r="6415" spans="1:12">
      <c r="A6415">
        <v>7</v>
      </c>
      <c r="B6415" s="16" t="s">
        <v>62</v>
      </c>
      <c r="C6415" s="9">
        <v>45717</v>
      </c>
      <c r="D6415">
        <v>27</v>
      </c>
      <c r="E6415" s="16" t="s">
        <v>116</v>
      </c>
      <c r="F6415" s="16" t="s">
        <v>90</v>
      </c>
      <c r="G6415" s="22">
        <v>6.25</v>
      </c>
      <c r="H6415" s="18">
        <v>4.8125</v>
      </c>
      <c r="I6415" s="18">
        <v>0.77</v>
      </c>
      <c r="J6415" s="18">
        <v>0.77</v>
      </c>
      <c r="K6415" s="18">
        <v>0.77</v>
      </c>
      <c r="L6415" s="22">
        <v>1</v>
      </c>
    </row>
    <row r="6416" spans="1:12">
      <c r="A6416">
        <v>7</v>
      </c>
      <c r="B6416" s="16" t="s">
        <v>62</v>
      </c>
      <c r="C6416" s="9">
        <v>45748</v>
      </c>
      <c r="D6416">
        <v>27</v>
      </c>
      <c r="E6416" s="16" t="s">
        <v>116</v>
      </c>
      <c r="F6416" s="16" t="s">
        <v>90</v>
      </c>
      <c r="G6416" s="22">
        <v>18.75</v>
      </c>
      <c r="H6416" s="18">
        <v>14.25</v>
      </c>
      <c r="I6416" s="18">
        <v>0.76</v>
      </c>
      <c r="J6416" s="18">
        <v>0.77</v>
      </c>
      <c r="K6416" s="18">
        <v>0.75</v>
      </c>
      <c r="L6416" s="22">
        <v>3</v>
      </c>
    </row>
    <row r="6417" spans="1:12">
      <c r="A6417">
        <v>7</v>
      </c>
      <c r="B6417" s="16" t="s">
        <v>62</v>
      </c>
      <c r="C6417" s="9">
        <v>45778</v>
      </c>
      <c r="D6417">
        <v>27</v>
      </c>
      <c r="E6417" s="16" t="s">
        <v>116</v>
      </c>
      <c r="F6417" s="16" t="s">
        <v>90</v>
      </c>
      <c r="G6417" s="22">
        <v>12.5</v>
      </c>
      <c r="H6417" s="18">
        <v>9.625</v>
      </c>
      <c r="I6417" s="18">
        <v>0.77</v>
      </c>
      <c r="J6417" s="18">
        <v>0.79</v>
      </c>
      <c r="K6417" s="18">
        <v>0.75</v>
      </c>
      <c r="L6417" s="22">
        <v>2</v>
      </c>
    </row>
    <row r="6418" spans="1:12">
      <c r="A6418">
        <v>7</v>
      </c>
      <c r="B6418" s="16" t="s">
        <v>62</v>
      </c>
      <c r="C6418" s="9">
        <v>45809</v>
      </c>
      <c r="D6418">
        <v>27</v>
      </c>
      <c r="E6418" s="16" t="s">
        <v>116</v>
      </c>
      <c r="F6418" s="16" t="s">
        <v>90</v>
      </c>
      <c r="G6418" s="22">
        <v>12.5</v>
      </c>
      <c r="H6418" s="18">
        <v>9.5625</v>
      </c>
      <c r="I6418" s="18">
        <v>0.76500000000000001</v>
      </c>
      <c r="J6418" s="18">
        <v>0.77</v>
      </c>
      <c r="K6418" s="18">
        <v>0.76</v>
      </c>
      <c r="L6418" s="22">
        <v>2</v>
      </c>
    </row>
    <row r="6419" spans="1:12">
      <c r="A6419">
        <v>7</v>
      </c>
      <c r="B6419" s="16" t="s">
        <v>62</v>
      </c>
      <c r="C6419" s="9">
        <v>45839</v>
      </c>
      <c r="D6419">
        <v>27</v>
      </c>
      <c r="E6419" s="16" t="s">
        <v>116</v>
      </c>
      <c r="F6419" s="16" t="s">
        <v>90</v>
      </c>
      <c r="G6419" s="22">
        <v>6.25</v>
      </c>
      <c r="H6419" s="18">
        <v>4.5625</v>
      </c>
      <c r="I6419" s="18">
        <v>0.73</v>
      </c>
      <c r="J6419" s="18">
        <v>0.73</v>
      </c>
      <c r="K6419" s="18">
        <v>0.73</v>
      </c>
      <c r="L6419" s="22">
        <v>1</v>
      </c>
    </row>
    <row r="6420" spans="1:12">
      <c r="A6420">
        <v>7</v>
      </c>
      <c r="B6420" s="16" t="s">
        <v>62</v>
      </c>
      <c r="C6420" s="9">
        <v>45870</v>
      </c>
      <c r="D6420">
        <v>27</v>
      </c>
      <c r="E6420" s="16" t="s">
        <v>116</v>
      </c>
      <c r="F6420" s="16" t="s">
        <v>90</v>
      </c>
      <c r="G6420" s="22">
        <v>12.5</v>
      </c>
      <c r="H6420" s="18">
        <v>9.5</v>
      </c>
      <c r="I6420" s="18">
        <v>0.76</v>
      </c>
      <c r="J6420" s="18">
        <v>0.76</v>
      </c>
      <c r="K6420" s="18">
        <v>0.76</v>
      </c>
      <c r="L6420" s="22">
        <v>2</v>
      </c>
    </row>
    <row r="6421" spans="1:12">
      <c r="A6421">
        <v>7</v>
      </c>
      <c r="B6421" s="16" t="s">
        <v>62</v>
      </c>
      <c r="C6421" s="9">
        <v>45901</v>
      </c>
      <c r="D6421">
        <v>27</v>
      </c>
      <c r="E6421" s="16" t="s">
        <v>116</v>
      </c>
      <c r="F6421" s="16" t="s">
        <v>90</v>
      </c>
      <c r="G6421" s="22">
        <v>18.75</v>
      </c>
      <c r="H6421" s="18">
        <v>14.375</v>
      </c>
      <c r="I6421" s="18">
        <v>0.76666666699999997</v>
      </c>
      <c r="J6421" s="18">
        <v>0.78</v>
      </c>
      <c r="K6421" s="18">
        <v>0.75</v>
      </c>
      <c r="L6421" s="22">
        <v>3</v>
      </c>
    </row>
    <row r="6422" spans="1:12">
      <c r="A6422">
        <v>7</v>
      </c>
      <c r="B6422" s="16" t="s">
        <v>62</v>
      </c>
      <c r="C6422" s="9">
        <v>45931</v>
      </c>
      <c r="D6422">
        <v>27</v>
      </c>
      <c r="E6422" s="16" t="s">
        <v>116</v>
      </c>
      <c r="F6422" s="16" t="s">
        <v>90</v>
      </c>
      <c r="G6422" s="22">
        <v>12.5</v>
      </c>
      <c r="H6422" s="18">
        <v>9.5</v>
      </c>
      <c r="I6422" s="18">
        <v>0.76</v>
      </c>
      <c r="J6422" s="18">
        <v>0.77</v>
      </c>
      <c r="K6422" s="18">
        <v>0.75</v>
      </c>
      <c r="L6422" s="22">
        <v>2</v>
      </c>
    </row>
    <row r="6423" spans="1:12">
      <c r="A6423">
        <v>7</v>
      </c>
      <c r="B6423" s="16" t="s">
        <v>62</v>
      </c>
      <c r="C6423" s="9">
        <v>45962</v>
      </c>
      <c r="D6423">
        <v>27</v>
      </c>
      <c r="E6423" s="16" t="s">
        <v>116</v>
      </c>
      <c r="F6423" s="16" t="s">
        <v>90</v>
      </c>
      <c r="G6423" s="22">
        <v>12.5</v>
      </c>
      <c r="H6423" s="18">
        <v>9.75</v>
      </c>
      <c r="I6423" s="18">
        <v>0.78</v>
      </c>
      <c r="J6423" s="18">
        <v>0.78</v>
      </c>
      <c r="K6423" s="18">
        <v>0.78</v>
      </c>
      <c r="L6423" s="22">
        <v>2</v>
      </c>
    </row>
    <row r="6424" spans="1:12">
      <c r="A6424">
        <v>7</v>
      </c>
      <c r="B6424" s="16" t="s">
        <v>62</v>
      </c>
      <c r="C6424" s="9">
        <v>45992</v>
      </c>
      <c r="D6424">
        <v>27</v>
      </c>
      <c r="E6424" s="16" t="s">
        <v>116</v>
      </c>
      <c r="F6424" s="16" t="s">
        <v>90</v>
      </c>
      <c r="G6424" s="22">
        <v>12.5</v>
      </c>
      <c r="H6424" s="18">
        <v>9.625</v>
      </c>
      <c r="I6424" s="18">
        <v>0.77</v>
      </c>
      <c r="J6424" s="18">
        <v>0.78</v>
      </c>
      <c r="K6424" s="18">
        <v>0.76</v>
      </c>
      <c r="L6424" s="22">
        <v>2</v>
      </c>
    </row>
    <row r="6425" spans="1:12">
      <c r="A6425">
        <v>7</v>
      </c>
      <c r="B6425" s="16" t="s">
        <v>62</v>
      </c>
      <c r="C6425" s="9">
        <v>46023</v>
      </c>
      <c r="D6425">
        <v>27</v>
      </c>
      <c r="E6425" s="16" t="s">
        <v>116</v>
      </c>
      <c r="F6425" s="16" t="s">
        <v>90</v>
      </c>
      <c r="G6425" s="22">
        <v>6.25</v>
      </c>
      <c r="H6425" s="18">
        <v>4.875</v>
      </c>
      <c r="I6425" s="18">
        <v>0.78</v>
      </c>
      <c r="J6425" s="18">
        <v>0.78</v>
      </c>
      <c r="K6425" s="18">
        <v>0.78</v>
      </c>
      <c r="L6425" s="22">
        <v>1</v>
      </c>
    </row>
    <row r="6426" spans="1:12">
      <c r="A6426">
        <v>7</v>
      </c>
      <c r="B6426" s="16" t="s">
        <v>62</v>
      </c>
      <c r="C6426" s="9">
        <v>46054</v>
      </c>
      <c r="D6426">
        <v>27</v>
      </c>
      <c r="E6426" s="16" t="s">
        <v>116</v>
      </c>
      <c r="F6426" s="16" t="s">
        <v>90</v>
      </c>
      <c r="G6426" s="22">
        <v>12.5</v>
      </c>
      <c r="H6426" s="18">
        <v>9.5625</v>
      </c>
      <c r="I6426" s="18">
        <v>0.76500000000000001</v>
      </c>
      <c r="J6426" s="18">
        <v>0.77</v>
      </c>
      <c r="K6426" s="18">
        <v>0.76</v>
      </c>
      <c r="L6426" s="22">
        <v>2</v>
      </c>
    </row>
    <row r="6427" spans="1:12">
      <c r="A6427">
        <v>7</v>
      </c>
      <c r="B6427" s="16" t="s">
        <v>62</v>
      </c>
      <c r="C6427" s="9">
        <v>46082</v>
      </c>
      <c r="D6427">
        <v>27</v>
      </c>
      <c r="E6427" s="16" t="s">
        <v>116</v>
      </c>
      <c r="F6427" s="16" t="s">
        <v>90</v>
      </c>
      <c r="G6427" s="22">
        <v>18.75</v>
      </c>
      <c r="H6427" s="18">
        <v>14.6875</v>
      </c>
      <c r="I6427" s="18">
        <v>0.78333333299999997</v>
      </c>
      <c r="J6427" s="18">
        <v>0.79</v>
      </c>
      <c r="K6427" s="18">
        <v>0.78</v>
      </c>
      <c r="L6427" s="22">
        <v>3</v>
      </c>
    </row>
    <row r="6428" spans="1:12">
      <c r="A6428">
        <v>7</v>
      </c>
      <c r="B6428" s="16" t="s">
        <v>62</v>
      </c>
      <c r="C6428" s="9">
        <v>46113</v>
      </c>
      <c r="D6428">
        <v>27</v>
      </c>
      <c r="E6428" s="16" t="s">
        <v>116</v>
      </c>
      <c r="F6428" s="16" t="s">
        <v>90</v>
      </c>
      <c r="G6428" s="22">
        <v>12.5</v>
      </c>
      <c r="H6428" s="18">
        <v>9.75</v>
      </c>
      <c r="I6428" s="18">
        <v>0.78</v>
      </c>
      <c r="J6428" s="18">
        <v>0.78</v>
      </c>
      <c r="K6428" s="18">
        <v>0.78</v>
      </c>
      <c r="L6428" s="22">
        <v>2</v>
      </c>
    </row>
    <row r="6429" spans="1:12">
      <c r="A6429">
        <v>7</v>
      </c>
      <c r="B6429" s="16" t="s">
        <v>62</v>
      </c>
      <c r="C6429" s="9">
        <v>46143</v>
      </c>
      <c r="D6429">
        <v>27</v>
      </c>
      <c r="E6429" s="16" t="s">
        <v>116</v>
      </c>
      <c r="F6429" s="16" t="s">
        <v>90</v>
      </c>
      <c r="G6429" s="22">
        <v>12.5</v>
      </c>
      <c r="H6429" s="18">
        <v>9.6875</v>
      </c>
      <c r="I6429" s="18">
        <v>0.77500000000000002</v>
      </c>
      <c r="J6429" s="18">
        <v>0.78</v>
      </c>
      <c r="K6429" s="18">
        <v>0.77</v>
      </c>
      <c r="L6429" s="22">
        <v>2</v>
      </c>
    </row>
    <row r="6430" spans="1:12">
      <c r="A6430">
        <v>7</v>
      </c>
      <c r="B6430" s="16" t="s">
        <v>62</v>
      </c>
      <c r="C6430" s="9">
        <v>46174</v>
      </c>
      <c r="D6430">
        <v>27</v>
      </c>
      <c r="E6430" s="16" t="s">
        <v>116</v>
      </c>
      <c r="F6430" s="16" t="s">
        <v>90</v>
      </c>
      <c r="G6430" s="22">
        <v>18.75</v>
      </c>
      <c r="H6430" s="18">
        <v>14.5</v>
      </c>
      <c r="I6430" s="18">
        <v>0.77333333299999996</v>
      </c>
      <c r="J6430" s="18">
        <v>0.78</v>
      </c>
      <c r="K6430" s="18">
        <v>0.77</v>
      </c>
      <c r="L6430" s="22">
        <v>2</v>
      </c>
    </row>
    <row r="6431" spans="1:12">
      <c r="A6431">
        <v>7</v>
      </c>
      <c r="B6431" s="16" t="s">
        <v>62</v>
      </c>
      <c r="C6431" s="9">
        <v>46204</v>
      </c>
      <c r="D6431">
        <v>27</v>
      </c>
      <c r="E6431" s="16" t="s">
        <v>116</v>
      </c>
      <c r="F6431" s="16" t="s">
        <v>90</v>
      </c>
      <c r="G6431" s="22">
        <v>12.5</v>
      </c>
      <c r="H6431" s="18">
        <v>9.875</v>
      </c>
      <c r="I6431" s="18">
        <v>0.79</v>
      </c>
      <c r="J6431" s="18">
        <v>0.79</v>
      </c>
      <c r="K6431" s="18">
        <v>0.79</v>
      </c>
      <c r="L6431" s="22">
        <v>2</v>
      </c>
    </row>
    <row r="6432" spans="1:12">
      <c r="A6432">
        <v>7</v>
      </c>
      <c r="B6432" s="16" t="s">
        <v>62</v>
      </c>
      <c r="C6432" s="9">
        <v>46235</v>
      </c>
      <c r="D6432">
        <v>27</v>
      </c>
      <c r="E6432" s="16" t="s">
        <v>116</v>
      </c>
      <c r="F6432" s="16" t="s">
        <v>90</v>
      </c>
      <c r="G6432" s="22">
        <v>18.75</v>
      </c>
      <c r="H6432" s="18">
        <v>14.9375</v>
      </c>
      <c r="I6432" s="18">
        <v>0.796666667</v>
      </c>
      <c r="J6432" s="18">
        <v>0.8</v>
      </c>
      <c r="K6432" s="18">
        <v>0.79</v>
      </c>
      <c r="L6432" s="22">
        <v>2</v>
      </c>
    </row>
    <row r="6433" spans="1:12">
      <c r="A6433">
        <v>7</v>
      </c>
      <c r="B6433" s="16" t="s">
        <v>62</v>
      </c>
      <c r="C6433" s="9">
        <v>46266</v>
      </c>
      <c r="D6433">
        <v>27</v>
      </c>
      <c r="E6433" s="16" t="s">
        <v>116</v>
      </c>
      <c r="F6433" s="16" t="s">
        <v>90</v>
      </c>
      <c r="G6433" s="22">
        <v>18.75</v>
      </c>
      <c r="H6433" s="18">
        <v>14.625</v>
      </c>
      <c r="I6433" s="18">
        <v>0.78</v>
      </c>
      <c r="J6433" s="18">
        <v>0.79</v>
      </c>
      <c r="K6433" s="18">
        <v>0.77</v>
      </c>
      <c r="L6433" s="22">
        <v>3</v>
      </c>
    </row>
    <row r="6434" spans="1:12">
      <c r="A6434">
        <v>7</v>
      </c>
      <c r="B6434" s="16" t="s">
        <v>62</v>
      </c>
      <c r="C6434" s="9">
        <v>45689</v>
      </c>
      <c r="D6434">
        <v>28</v>
      </c>
      <c r="E6434" s="16" t="s">
        <v>117</v>
      </c>
      <c r="F6434" s="16" t="s">
        <v>92</v>
      </c>
      <c r="G6434" s="22">
        <v>28.5</v>
      </c>
      <c r="H6434" s="18">
        <v>37.954999999999998</v>
      </c>
      <c r="I6434" s="18">
        <v>1.3317543860000001</v>
      </c>
      <c r="J6434" s="18">
        <v>1.35</v>
      </c>
      <c r="K6434" s="18">
        <v>1.32</v>
      </c>
      <c r="L6434" s="22">
        <v>8</v>
      </c>
    </row>
    <row r="6435" spans="1:12">
      <c r="A6435">
        <v>7</v>
      </c>
      <c r="B6435" s="16" t="s">
        <v>62</v>
      </c>
      <c r="C6435" s="9">
        <v>45717</v>
      </c>
      <c r="D6435">
        <v>28</v>
      </c>
      <c r="E6435" s="16" t="s">
        <v>117</v>
      </c>
      <c r="F6435" s="16" t="s">
        <v>92</v>
      </c>
      <c r="G6435" s="22">
        <v>33</v>
      </c>
      <c r="H6435" s="18">
        <v>43.164999999999999</v>
      </c>
      <c r="I6435" s="18">
        <v>1.308030303</v>
      </c>
      <c r="J6435" s="18">
        <v>1.32</v>
      </c>
      <c r="K6435" s="18">
        <v>1.29</v>
      </c>
      <c r="L6435" s="22">
        <v>8</v>
      </c>
    </row>
    <row r="6436" spans="1:12">
      <c r="A6436">
        <v>7</v>
      </c>
      <c r="B6436" s="16" t="s">
        <v>62</v>
      </c>
      <c r="C6436" s="9">
        <v>45748</v>
      </c>
      <c r="D6436">
        <v>28</v>
      </c>
      <c r="E6436" s="16" t="s">
        <v>117</v>
      </c>
      <c r="F6436" s="16" t="s">
        <v>92</v>
      </c>
      <c r="G6436" s="22">
        <v>38.5</v>
      </c>
      <c r="H6436" s="18">
        <v>48.4</v>
      </c>
      <c r="I6436" s="18">
        <v>1.2571428570000001</v>
      </c>
      <c r="J6436" s="18">
        <v>1.28</v>
      </c>
      <c r="K6436" s="18">
        <v>1.24</v>
      </c>
      <c r="L6436" s="22">
        <v>9</v>
      </c>
    </row>
    <row r="6437" spans="1:12">
      <c r="A6437">
        <v>7</v>
      </c>
      <c r="B6437" s="16" t="s">
        <v>62</v>
      </c>
      <c r="C6437" s="9">
        <v>45778</v>
      </c>
      <c r="D6437">
        <v>28</v>
      </c>
      <c r="E6437" s="16" t="s">
        <v>117</v>
      </c>
      <c r="F6437" s="16" t="s">
        <v>92</v>
      </c>
      <c r="G6437" s="22">
        <v>36</v>
      </c>
      <c r="H6437" s="18">
        <v>43.024999999999999</v>
      </c>
      <c r="I6437" s="18">
        <v>1.1951388890000001</v>
      </c>
      <c r="J6437" s="18">
        <v>1.22</v>
      </c>
      <c r="K6437" s="18">
        <v>1.18</v>
      </c>
      <c r="L6437" s="22">
        <v>9</v>
      </c>
    </row>
    <row r="6438" spans="1:12">
      <c r="A6438">
        <v>7</v>
      </c>
      <c r="B6438" s="16" t="s">
        <v>62</v>
      </c>
      <c r="C6438" s="9">
        <v>45809</v>
      </c>
      <c r="D6438">
        <v>28</v>
      </c>
      <c r="E6438" s="16" t="s">
        <v>117</v>
      </c>
      <c r="F6438" s="16" t="s">
        <v>92</v>
      </c>
      <c r="G6438" s="22">
        <v>29.5</v>
      </c>
      <c r="H6438" s="18">
        <v>34.18</v>
      </c>
      <c r="I6438" s="18">
        <v>1.1586440680000001</v>
      </c>
      <c r="J6438" s="18">
        <v>1.19</v>
      </c>
      <c r="K6438" s="18">
        <v>1.1399999999999999</v>
      </c>
      <c r="L6438" s="22">
        <v>8</v>
      </c>
    </row>
    <row r="6439" spans="1:12">
      <c r="A6439">
        <v>7</v>
      </c>
      <c r="B6439" s="16" t="s">
        <v>62</v>
      </c>
      <c r="C6439" s="9">
        <v>45839</v>
      </c>
      <c r="D6439">
        <v>28</v>
      </c>
      <c r="E6439" s="16" t="s">
        <v>117</v>
      </c>
      <c r="F6439" s="16" t="s">
        <v>92</v>
      </c>
      <c r="G6439" s="22">
        <v>31</v>
      </c>
      <c r="H6439" s="18">
        <v>35.625</v>
      </c>
      <c r="I6439" s="18">
        <v>1.149193548</v>
      </c>
      <c r="J6439" s="18">
        <v>1.17</v>
      </c>
      <c r="K6439" s="18">
        <v>1.1299999999999999</v>
      </c>
      <c r="L6439" s="22">
        <v>9</v>
      </c>
    </row>
    <row r="6440" spans="1:12">
      <c r="A6440">
        <v>7</v>
      </c>
      <c r="B6440" s="16" t="s">
        <v>62</v>
      </c>
      <c r="C6440" s="9">
        <v>45870</v>
      </c>
      <c r="D6440">
        <v>28</v>
      </c>
      <c r="E6440" s="16" t="s">
        <v>117</v>
      </c>
      <c r="F6440" s="16" t="s">
        <v>92</v>
      </c>
      <c r="G6440" s="22">
        <v>36.5</v>
      </c>
      <c r="H6440" s="18">
        <v>42.615000000000002</v>
      </c>
      <c r="I6440" s="18">
        <v>1.1675342470000001</v>
      </c>
      <c r="J6440" s="18">
        <v>1.19</v>
      </c>
      <c r="K6440" s="18">
        <v>1.1299999999999999</v>
      </c>
      <c r="L6440" s="22">
        <v>9</v>
      </c>
    </row>
    <row r="6441" spans="1:12">
      <c r="A6441">
        <v>7</v>
      </c>
      <c r="B6441" s="16" t="s">
        <v>62</v>
      </c>
      <c r="C6441" s="9">
        <v>45901</v>
      </c>
      <c r="D6441">
        <v>28</v>
      </c>
      <c r="E6441" s="16" t="s">
        <v>117</v>
      </c>
      <c r="F6441" s="16" t="s">
        <v>92</v>
      </c>
      <c r="G6441" s="22">
        <v>33</v>
      </c>
      <c r="H6441" s="18">
        <v>40.21</v>
      </c>
      <c r="I6441" s="18">
        <v>1.2184848479999999</v>
      </c>
      <c r="J6441" s="18">
        <v>1.28</v>
      </c>
      <c r="K6441" s="18">
        <v>1.19</v>
      </c>
      <c r="L6441" s="22">
        <v>9</v>
      </c>
    </row>
    <row r="6442" spans="1:12">
      <c r="A6442">
        <v>7</v>
      </c>
      <c r="B6442" s="16" t="s">
        <v>62</v>
      </c>
      <c r="C6442" s="9">
        <v>45931</v>
      </c>
      <c r="D6442">
        <v>28</v>
      </c>
      <c r="E6442" s="16" t="s">
        <v>117</v>
      </c>
      <c r="F6442" s="16" t="s">
        <v>92</v>
      </c>
      <c r="G6442" s="22">
        <v>40</v>
      </c>
      <c r="H6442" s="18">
        <v>50.884999999999998</v>
      </c>
      <c r="I6442" s="18">
        <v>1.272125</v>
      </c>
      <c r="J6442" s="18">
        <v>1.29</v>
      </c>
      <c r="K6442" s="18">
        <v>1.25</v>
      </c>
      <c r="L6442" s="22">
        <v>9</v>
      </c>
    </row>
    <row r="6443" spans="1:12">
      <c r="A6443">
        <v>7</v>
      </c>
      <c r="B6443" s="16" t="s">
        <v>62</v>
      </c>
      <c r="C6443" s="9">
        <v>45962</v>
      </c>
      <c r="D6443">
        <v>28</v>
      </c>
      <c r="E6443" s="16" t="s">
        <v>117</v>
      </c>
      <c r="F6443" s="16" t="s">
        <v>92</v>
      </c>
      <c r="G6443" s="22">
        <v>34</v>
      </c>
      <c r="H6443" s="18">
        <v>44.85</v>
      </c>
      <c r="I6443" s="18">
        <v>1.3191176469999999</v>
      </c>
      <c r="J6443" s="18">
        <v>1.35</v>
      </c>
      <c r="K6443" s="18">
        <v>1.31</v>
      </c>
      <c r="L6443" s="22">
        <v>8</v>
      </c>
    </row>
    <row r="6444" spans="1:12">
      <c r="A6444">
        <v>7</v>
      </c>
      <c r="B6444" s="16" t="s">
        <v>62</v>
      </c>
      <c r="C6444" s="9">
        <v>45992</v>
      </c>
      <c r="D6444">
        <v>28</v>
      </c>
      <c r="E6444" s="16" t="s">
        <v>117</v>
      </c>
      <c r="F6444" s="16" t="s">
        <v>92</v>
      </c>
      <c r="G6444" s="22">
        <v>37.5</v>
      </c>
      <c r="H6444" s="18">
        <v>51.99</v>
      </c>
      <c r="I6444" s="18">
        <v>1.3864000000000001</v>
      </c>
      <c r="J6444" s="18">
        <v>1.45</v>
      </c>
      <c r="K6444" s="18">
        <v>1.36</v>
      </c>
      <c r="L6444" s="22">
        <v>9</v>
      </c>
    </row>
    <row r="6445" spans="1:12">
      <c r="A6445">
        <v>7</v>
      </c>
      <c r="B6445" s="16" t="s">
        <v>62</v>
      </c>
      <c r="C6445" s="9">
        <v>46023</v>
      </c>
      <c r="D6445">
        <v>28</v>
      </c>
      <c r="E6445" s="16" t="s">
        <v>117</v>
      </c>
      <c r="F6445" s="16" t="s">
        <v>92</v>
      </c>
      <c r="G6445" s="22">
        <v>35.5</v>
      </c>
      <c r="H6445" s="18">
        <v>49.104999999999997</v>
      </c>
      <c r="I6445" s="18">
        <v>1.3832394370000001</v>
      </c>
      <c r="J6445" s="18">
        <v>1.45</v>
      </c>
      <c r="K6445" s="18">
        <v>1.35</v>
      </c>
      <c r="L6445" s="22">
        <v>9</v>
      </c>
    </row>
    <row r="6446" spans="1:12">
      <c r="A6446">
        <v>7</v>
      </c>
      <c r="B6446" s="16" t="s">
        <v>62</v>
      </c>
      <c r="C6446" s="9">
        <v>46054</v>
      </c>
      <c r="D6446">
        <v>28</v>
      </c>
      <c r="E6446" s="16" t="s">
        <v>117</v>
      </c>
      <c r="F6446" s="16" t="s">
        <v>92</v>
      </c>
      <c r="G6446" s="22">
        <v>35.5</v>
      </c>
      <c r="H6446" s="18">
        <v>48.244999999999997</v>
      </c>
      <c r="I6446" s="18">
        <v>1.3590140850000001</v>
      </c>
      <c r="J6446" s="18">
        <v>1.46</v>
      </c>
      <c r="K6446" s="18">
        <v>1.33</v>
      </c>
      <c r="L6446" s="22">
        <v>8</v>
      </c>
    </row>
    <row r="6447" spans="1:12">
      <c r="A6447">
        <v>7</v>
      </c>
      <c r="B6447" s="16" t="s">
        <v>62</v>
      </c>
      <c r="C6447" s="9">
        <v>46082</v>
      </c>
      <c r="D6447">
        <v>28</v>
      </c>
      <c r="E6447" s="16" t="s">
        <v>117</v>
      </c>
      <c r="F6447" s="16" t="s">
        <v>92</v>
      </c>
      <c r="G6447" s="22">
        <v>41.5</v>
      </c>
      <c r="H6447" s="18">
        <v>54.994999999999997</v>
      </c>
      <c r="I6447" s="18">
        <v>1.3251807229999999</v>
      </c>
      <c r="J6447" s="18">
        <v>1.34</v>
      </c>
      <c r="K6447" s="18">
        <v>1.28</v>
      </c>
      <c r="L6447" s="22">
        <v>9</v>
      </c>
    </row>
    <row r="6448" spans="1:12">
      <c r="A6448">
        <v>7</v>
      </c>
      <c r="B6448" s="16" t="s">
        <v>62</v>
      </c>
      <c r="C6448" s="9">
        <v>46113</v>
      </c>
      <c r="D6448">
        <v>28</v>
      </c>
      <c r="E6448" s="16" t="s">
        <v>117</v>
      </c>
      <c r="F6448" s="16" t="s">
        <v>92</v>
      </c>
      <c r="G6448" s="22">
        <v>34.5</v>
      </c>
      <c r="H6448" s="18">
        <v>43.545000000000002</v>
      </c>
      <c r="I6448" s="18">
        <v>1.262173913</v>
      </c>
      <c r="J6448" s="18">
        <v>1.28</v>
      </c>
      <c r="K6448" s="18">
        <v>1.23</v>
      </c>
      <c r="L6448" s="22">
        <v>8</v>
      </c>
    </row>
    <row r="6449" spans="1:12">
      <c r="A6449">
        <v>7</v>
      </c>
      <c r="B6449" s="16" t="s">
        <v>62</v>
      </c>
      <c r="C6449" s="9">
        <v>46143</v>
      </c>
      <c r="D6449">
        <v>28</v>
      </c>
      <c r="E6449" s="16" t="s">
        <v>117</v>
      </c>
      <c r="F6449" s="16" t="s">
        <v>92</v>
      </c>
      <c r="G6449" s="22">
        <v>41.5</v>
      </c>
      <c r="H6449" s="18">
        <v>50.085000000000001</v>
      </c>
      <c r="I6449" s="18">
        <v>1.2068674699999999</v>
      </c>
      <c r="J6449" s="18">
        <v>1.23</v>
      </c>
      <c r="K6449" s="18">
        <v>1.17</v>
      </c>
      <c r="L6449" s="22">
        <v>9</v>
      </c>
    </row>
    <row r="6450" spans="1:12">
      <c r="A6450">
        <v>7</v>
      </c>
      <c r="B6450" s="16" t="s">
        <v>62</v>
      </c>
      <c r="C6450" s="9">
        <v>46174</v>
      </c>
      <c r="D6450">
        <v>28</v>
      </c>
      <c r="E6450" s="16" t="s">
        <v>117</v>
      </c>
      <c r="F6450" s="16" t="s">
        <v>92</v>
      </c>
      <c r="G6450" s="22">
        <v>34.5</v>
      </c>
      <c r="H6450" s="18">
        <v>40.744999999999997</v>
      </c>
      <c r="I6450" s="18">
        <v>1.1810144929999999</v>
      </c>
      <c r="J6450" s="18">
        <v>1.23</v>
      </c>
      <c r="K6450" s="18">
        <v>1.1599999999999999</v>
      </c>
      <c r="L6450" s="22">
        <v>9</v>
      </c>
    </row>
    <row r="6451" spans="1:12">
      <c r="A6451">
        <v>7</v>
      </c>
      <c r="B6451" s="16" t="s">
        <v>62</v>
      </c>
      <c r="C6451" s="9">
        <v>46204</v>
      </c>
      <c r="D6451">
        <v>28</v>
      </c>
      <c r="E6451" s="16" t="s">
        <v>117</v>
      </c>
      <c r="F6451" s="16" t="s">
        <v>92</v>
      </c>
      <c r="G6451" s="22">
        <v>35.5</v>
      </c>
      <c r="H6451" s="18">
        <v>41.65</v>
      </c>
      <c r="I6451" s="18">
        <v>1.1732394370000001</v>
      </c>
      <c r="J6451" s="18">
        <v>1.19</v>
      </c>
      <c r="K6451" s="18">
        <v>1.1599999999999999</v>
      </c>
      <c r="L6451" s="22">
        <v>9</v>
      </c>
    </row>
    <row r="6452" spans="1:12">
      <c r="A6452">
        <v>7</v>
      </c>
      <c r="B6452" s="16" t="s">
        <v>62</v>
      </c>
      <c r="C6452" s="9">
        <v>46235</v>
      </c>
      <c r="D6452">
        <v>28</v>
      </c>
      <c r="E6452" s="16" t="s">
        <v>117</v>
      </c>
      <c r="F6452" s="16" t="s">
        <v>92</v>
      </c>
      <c r="G6452" s="22">
        <v>33</v>
      </c>
      <c r="H6452" s="18">
        <v>38.81</v>
      </c>
      <c r="I6452" s="18">
        <v>1.1760606060000001</v>
      </c>
      <c r="J6452" s="18">
        <v>1.19</v>
      </c>
      <c r="K6452" s="18">
        <v>1.17</v>
      </c>
      <c r="L6452" s="22">
        <v>8</v>
      </c>
    </row>
    <row r="6453" spans="1:12">
      <c r="A6453">
        <v>7</v>
      </c>
      <c r="B6453" s="16" t="s">
        <v>62</v>
      </c>
      <c r="C6453" s="9">
        <v>46266</v>
      </c>
      <c r="D6453">
        <v>28</v>
      </c>
      <c r="E6453" s="16" t="s">
        <v>117</v>
      </c>
      <c r="F6453" s="16" t="s">
        <v>92</v>
      </c>
      <c r="G6453" s="22">
        <v>34.5</v>
      </c>
      <c r="H6453" s="18">
        <v>42.43</v>
      </c>
      <c r="I6453" s="18">
        <v>1.2298550720000001</v>
      </c>
      <c r="J6453" s="18">
        <v>1.25</v>
      </c>
      <c r="K6453" s="18">
        <v>1.2</v>
      </c>
      <c r="L6453" s="22">
        <v>9</v>
      </c>
    </row>
    <row r="6454" spans="1:12">
      <c r="A6454">
        <v>7</v>
      </c>
      <c r="B6454" s="16" t="s">
        <v>62</v>
      </c>
      <c r="C6454" s="9">
        <v>45689</v>
      </c>
      <c r="D6454">
        <v>29</v>
      </c>
      <c r="E6454" s="16" t="s">
        <v>118</v>
      </c>
      <c r="F6454" s="16" t="s">
        <v>87</v>
      </c>
      <c r="G6454" s="22">
        <v>36.5</v>
      </c>
      <c r="H6454" s="18">
        <v>438.0025</v>
      </c>
      <c r="I6454" s="18">
        <v>12.000068493000001</v>
      </c>
      <c r="J6454" s="18">
        <v>12.48</v>
      </c>
      <c r="K6454" s="18">
        <v>11.67</v>
      </c>
      <c r="L6454" s="22">
        <v>5</v>
      </c>
    </row>
    <row r="6455" spans="1:12">
      <c r="A6455">
        <v>7</v>
      </c>
      <c r="B6455" s="16" t="s">
        <v>62</v>
      </c>
      <c r="C6455" s="9">
        <v>45717</v>
      </c>
      <c r="D6455">
        <v>29</v>
      </c>
      <c r="E6455" s="16" t="s">
        <v>118</v>
      </c>
      <c r="F6455" s="16" t="s">
        <v>87</v>
      </c>
      <c r="G6455" s="22">
        <v>44.5</v>
      </c>
      <c r="H6455" s="18">
        <v>538.23500000000001</v>
      </c>
      <c r="I6455" s="18">
        <v>12.095168538999999</v>
      </c>
      <c r="J6455" s="18">
        <v>12.24</v>
      </c>
      <c r="K6455" s="18">
        <v>11.94</v>
      </c>
      <c r="L6455" s="22">
        <v>7</v>
      </c>
    </row>
    <row r="6456" spans="1:12">
      <c r="A6456">
        <v>7</v>
      </c>
      <c r="B6456" s="16" t="s">
        <v>62</v>
      </c>
      <c r="C6456" s="9">
        <v>45748</v>
      </c>
      <c r="D6456">
        <v>29</v>
      </c>
      <c r="E6456" s="16" t="s">
        <v>118</v>
      </c>
      <c r="F6456" s="16" t="s">
        <v>87</v>
      </c>
      <c r="G6456" s="22">
        <v>43</v>
      </c>
      <c r="H6456" s="18">
        <v>519.125</v>
      </c>
      <c r="I6456" s="18">
        <v>12.072674419</v>
      </c>
      <c r="J6456" s="18">
        <v>12.3</v>
      </c>
      <c r="K6456" s="18">
        <v>11.86</v>
      </c>
      <c r="L6456" s="22">
        <v>6</v>
      </c>
    </row>
    <row r="6457" spans="1:12">
      <c r="A6457">
        <v>7</v>
      </c>
      <c r="B6457" s="16" t="s">
        <v>62</v>
      </c>
      <c r="C6457" s="9">
        <v>45778</v>
      </c>
      <c r="D6457">
        <v>29</v>
      </c>
      <c r="E6457" s="16" t="s">
        <v>118</v>
      </c>
      <c r="F6457" s="16" t="s">
        <v>87</v>
      </c>
      <c r="G6457" s="22">
        <v>51.25</v>
      </c>
      <c r="H6457" s="18">
        <v>624.255</v>
      </c>
      <c r="I6457" s="18">
        <v>12.180585366000001</v>
      </c>
      <c r="J6457" s="18">
        <v>12.33</v>
      </c>
      <c r="K6457" s="18">
        <v>12.03</v>
      </c>
      <c r="L6457" s="22">
        <v>7</v>
      </c>
    </row>
    <row r="6458" spans="1:12">
      <c r="A6458">
        <v>7</v>
      </c>
      <c r="B6458" s="16" t="s">
        <v>62</v>
      </c>
      <c r="C6458" s="9">
        <v>45809</v>
      </c>
      <c r="D6458">
        <v>29</v>
      </c>
      <c r="E6458" s="16" t="s">
        <v>118</v>
      </c>
      <c r="F6458" s="16" t="s">
        <v>87</v>
      </c>
      <c r="G6458" s="22">
        <v>35.75</v>
      </c>
      <c r="H6458" s="18">
        <v>438.1225</v>
      </c>
      <c r="I6458" s="18">
        <v>12.255174824999999</v>
      </c>
      <c r="J6458" s="18">
        <v>12.4</v>
      </c>
      <c r="K6458" s="18">
        <v>11.98</v>
      </c>
      <c r="L6458" s="22">
        <v>6</v>
      </c>
    </row>
    <row r="6459" spans="1:12">
      <c r="A6459">
        <v>7</v>
      </c>
      <c r="B6459" s="16" t="s">
        <v>62</v>
      </c>
      <c r="C6459" s="9">
        <v>45839</v>
      </c>
      <c r="D6459">
        <v>29</v>
      </c>
      <c r="E6459" s="16" t="s">
        <v>118</v>
      </c>
      <c r="F6459" s="16" t="s">
        <v>87</v>
      </c>
      <c r="G6459" s="22">
        <v>29.5</v>
      </c>
      <c r="H6459" s="18">
        <v>359.69</v>
      </c>
      <c r="I6459" s="18">
        <v>12.192881355999999</v>
      </c>
      <c r="J6459" s="18">
        <v>12.51</v>
      </c>
      <c r="K6459" s="18">
        <v>11.94</v>
      </c>
      <c r="L6459" s="22">
        <v>6</v>
      </c>
    </row>
    <row r="6460" spans="1:12">
      <c r="A6460">
        <v>7</v>
      </c>
      <c r="B6460" s="16" t="s">
        <v>62</v>
      </c>
      <c r="C6460" s="9">
        <v>45870</v>
      </c>
      <c r="D6460">
        <v>29</v>
      </c>
      <c r="E6460" s="16" t="s">
        <v>118</v>
      </c>
      <c r="F6460" s="16" t="s">
        <v>87</v>
      </c>
      <c r="G6460" s="22">
        <v>35.25</v>
      </c>
      <c r="H6460" s="18">
        <v>426.21</v>
      </c>
      <c r="I6460" s="18">
        <v>12.09106383</v>
      </c>
      <c r="J6460" s="18">
        <v>12.28</v>
      </c>
      <c r="K6460" s="18">
        <v>11.9</v>
      </c>
      <c r="L6460" s="22">
        <v>7</v>
      </c>
    </row>
    <row r="6461" spans="1:12">
      <c r="A6461">
        <v>7</v>
      </c>
      <c r="B6461" s="16" t="s">
        <v>62</v>
      </c>
      <c r="C6461" s="9">
        <v>45901</v>
      </c>
      <c r="D6461">
        <v>29</v>
      </c>
      <c r="E6461" s="16" t="s">
        <v>118</v>
      </c>
      <c r="F6461" s="16" t="s">
        <v>87</v>
      </c>
      <c r="G6461" s="22">
        <v>45.25</v>
      </c>
      <c r="H6461" s="18">
        <v>545.40499999999997</v>
      </c>
      <c r="I6461" s="18">
        <v>12.053149170999999</v>
      </c>
      <c r="J6461" s="18">
        <v>12.2</v>
      </c>
      <c r="K6461" s="18">
        <v>11.88</v>
      </c>
      <c r="L6461" s="22">
        <v>9</v>
      </c>
    </row>
    <row r="6462" spans="1:12">
      <c r="A6462">
        <v>7</v>
      </c>
      <c r="B6462" s="16" t="s">
        <v>62</v>
      </c>
      <c r="C6462" s="9">
        <v>45931</v>
      </c>
      <c r="D6462">
        <v>29</v>
      </c>
      <c r="E6462" s="16" t="s">
        <v>118</v>
      </c>
      <c r="F6462" s="16" t="s">
        <v>87</v>
      </c>
      <c r="G6462" s="22">
        <v>77.25</v>
      </c>
      <c r="H6462" s="18">
        <v>942.24749999999995</v>
      </c>
      <c r="I6462" s="18">
        <v>12.197378641</v>
      </c>
      <c r="J6462" s="18">
        <v>12.43</v>
      </c>
      <c r="K6462" s="18">
        <v>12.01</v>
      </c>
      <c r="L6462" s="22">
        <v>9</v>
      </c>
    </row>
    <row r="6463" spans="1:12">
      <c r="A6463">
        <v>7</v>
      </c>
      <c r="B6463" s="16" t="s">
        <v>62</v>
      </c>
      <c r="C6463" s="9">
        <v>45962</v>
      </c>
      <c r="D6463">
        <v>29</v>
      </c>
      <c r="E6463" s="16" t="s">
        <v>118</v>
      </c>
      <c r="F6463" s="16" t="s">
        <v>87</v>
      </c>
      <c r="G6463" s="22">
        <v>54.5</v>
      </c>
      <c r="H6463" s="18">
        <v>668.8</v>
      </c>
      <c r="I6463" s="18">
        <v>12.271559633000001</v>
      </c>
      <c r="J6463" s="18">
        <v>12.46</v>
      </c>
      <c r="K6463" s="18">
        <v>12.08</v>
      </c>
      <c r="L6463" s="22">
        <v>8</v>
      </c>
    </row>
    <row r="6464" spans="1:12">
      <c r="A6464">
        <v>7</v>
      </c>
      <c r="B6464" s="16" t="s">
        <v>62</v>
      </c>
      <c r="C6464" s="9">
        <v>45992</v>
      </c>
      <c r="D6464">
        <v>29</v>
      </c>
      <c r="E6464" s="16" t="s">
        <v>118</v>
      </c>
      <c r="F6464" s="16" t="s">
        <v>87</v>
      </c>
      <c r="G6464" s="22">
        <v>53.5</v>
      </c>
      <c r="H6464" s="18">
        <v>659.72</v>
      </c>
      <c r="I6464" s="18">
        <v>12.331214953</v>
      </c>
      <c r="J6464" s="18">
        <v>12.57</v>
      </c>
      <c r="K6464" s="18">
        <v>12.13</v>
      </c>
      <c r="L6464" s="22">
        <v>9</v>
      </c>
    </row>
    <row r="6465" spans="1:12">
      <c r="A6465">
        <v>7</v>
      </c>
      <c r="B6465" s="16" t="s">
        <v>62</v>
      </c>
      <c r="C6465" s="9">
        <v>46023</v>
      </c>
      <c r="D6465">
        <v>29</v>
      </c>
      <c r="E6465" s="16" t="s">
        <v>118</v>
      </c>
      <c r="F6465" s="16" t="s">
        <v>87</v>
      </c>
      <c r="G6465" s="22">
        <v>57.75</v>
      </c>
      <c r="H6465" s="18">
        <v>713.9</v>
      </c>
      <c r="I6465" s="18">
        <v>12.361904762</v>
      </c>
      <c r="J6465" s="18">
        <v>12.48</v>
      </c>
      <c r="K6465" s="18">
        <v>12.26</v>
      </c>
      <c r="L6465" s="22">
        <v>9</v>
      </c>
    </row>
    <row r="6466" spans="1:12">
      <c r="A6466">
        <v>7</v>
      </c>
      <c r="B6466" s="16" t="s">
        <v>62</v>
      </c>
      <c r="C6466" s="9">
        <v>46054</v>
      </c>
      <c r="D6466">
        <v>29</v>
      </c>
      <c r="E6466" s="16" t="s">
        <v>118</v>
      </c>
      <c r="F6466" s="16" t="s">
        <v>87</v>
      </c>
      <c r="G6466" s="22">
        <v>46.75</v>
      </c>
      <c r="H6466" s="18">
        <v>582.15499999999997</v>
      </c>
      <c r="I6466" s="18">
        <v>12.452513369</v>
      </c>
      <c r="J6466" s="18">
        <v>12.66</v>
      </c>
      <c r="K6466" s="18">
        <v>12.34</v>
      </c>
      <c r="L6466" s="22">
        <v>7</v>
      </c>
    </row>
    <row r="6467" spans="1:12">
      <c r="A6467">
        <v>7</v>
      </c>
      <c r="B6467" s="16" t="s">
        <v>62</v>
      </c>
      <c r="C6467" s="9">
        <v>46082</v>
      </c>
      <c r="D6467">
        <v>29</v>
      </c>
      <c r="E6467" s="16" t="s">
        <v>118</v>
      </c>
      <c r="F6467" s="16" t="s">
        <v>87</v>
      </c>
      <c r="G6467" s="22">
        <v>58.5</v>
      </c>
      <c r="H6467" s="18">
        <v>734.93499999999995</v>
      </c>
      <c r="I6467" s="18">
        <v>12.562991453</v>
      </c>
      <c r="J6467" s="18">
        <v>12.79</v>
      </c>
      <c r="K6467" s="18">
        <v>12.08</v>
      </c>
      <c r="L6467" s="22">
        <v>8</v>
      </c>
    </row>
    <row r="6468" spans="1:12">
      <c r="A6468">
        <v>7</v>
      </c>
      <c r="B6468" s="16" t="s">
        <v>62</v>
      </c>
      <c r="C6468" s="9">
        <v>46113</v>
      </c>
      <c r="D6468">
        <v>29</v>
      </c>
      <c r="E6468" s="16" t="s">
        <v>118</v>
      </c>
      <c r="F6468" s="16" t="s">
        <v>87</v>
      </c>
      <c r="G6468" s="22">
        <v>53.75</v>
      </c>
      <c r="H6468" s="18">
        <v>673.3</v>
      </c>
      <c r="I6468" s="18">
        <v>12.526511628</v>
      </c>
      <c r="J6468" s="18">
        <v>12.83</v>
      </c>
      <c r="K6468" s="18">
        <v>12.29</v>
      </c>
      <c r="L6468" s="22">
        <v>9</v>
      </c>
    </row>
    <row r="6469" spans="1:12">
      <c r="A6469">
        <v>7</v>
      </c>
      <c r="B6469" s="16" t="s">
        <v>62</v>
      </c>
      <c r="C6469" s="9">
        <v>46143</v>
      </c>
      <c r="D6469">
        <v>29</v>
      </c>
      <c r="E6469" s="16" t="s">
        <v>118</v>
      </c>
      <c r="F6469" s="16" t="s">
        <v>87</v>
      </c>
      <c r="G6469" s="22">
        <v>58.75</v>
      </c>
      <c r="H6469" s="18">
        <v>740.25250000000005</v>
      </c>
      <c r="I6469" s="18">
        <v>12.600042553</v>
      </c>
      <c r="J6469" s="18">
        <v>13.35</v>
      </c>
      <c r="K6469" s="18">
        <v>12.34</v>
      </c>
      <c r="L6469" s="22">
        <v>8</v>
      </c>
    </row>
    <row r="6470" spans="1:12">
      <c r="A6470">
        <v>7</v>
      </c>
      <c r="B6470" s="16" t="s">
        <v>62</v>
      </c>
      <c r="C6470" s="9">
        <v>46174</v>
      </c>
      <c r="D6470">
        <v>29</v>
      </c>
      <c r="E6470" s="16" t="s">
        <v>118</v>
      </c>
      <c r="F6470" s="16" t="s">
        <v>87</v>
      </c>
      <c r="G6470" s="22">
        <v>44</v>
      </c>
      <c r="H6470" s="18">
        <v>548.53750000000002</v>
      </c>
      <c r="I6470" s="18">
        <v>12.466761364</v>
      </c>
      <c r="J6470" s="18">
        <v>12.82</v>
      </c>
      <c r="K6470" s="18">
        <v>12.12</v>
      </c>
      <c r="L6470" s="22">
        <v>9</v>
      </c>
    </row>
    <row r="6471" spans="1:12">
      <c r="A6471">
        <v>7</v>
      </c>
      <c r="B6471" s="16" t="s">
        <v>62</v>
      </c>
      <c r="C6471" s="9">
        <v>46204</v>
      </c>
      <c r="D6471">
        <v>29</v>
      </c>
      <c r="E6471" s="16" t="s">
        <v>118</v>
      </c>
      <c r="F6471" s="16" t="s">
        <v>87</v>
      </c>
      <c r="G6471" s="22">
        <v>43.75</v>
      </c>
      <c r="H6471" s="18">
        <v>557.65</v>
      </c>
      <c r="I6471" s="18">
        <v>12.746285714000001</v>
      </c>
      <c r="J6471" s="18">
        <v>12.95</v>
      </c>
      <c r="K6471" s="18">
        <v>12.43</v>
      </c>
      <c r="L6471" s="22">
        <v>9</v>
      </c>
    </row>
    <row r="6472" spans="1:12">
      <c r="A6472">
        <v>7</v>
      </c>
      <c r="B6472" s="16" t="s">
        <v>62</v>
      </c>
      <c r="C6472" s="9">
        <v>46235</v>
      </c>
      <c r="D6472">
        <v>29</v>
      </c>
      <c r="E6472" s="16" t="s">
        <v>118</v>
      </c>
      <c r="F6472" s="16" t="s">
        <v>87</v>
      </c>
      <c r="G6472" s="22">
        <v>36</v>
      </c>
      <c r="H6472" s="18">
        <v>458.14</v>
      </c>
      <c r="I6472" s="18">
        <v>12.726111111</v>
      </c>
      <c r="J6472" s="18">
        <v>12.99</v>
      </c>
      <c r="K6472" s="18">
        <v>12.49</v>
      </c>
      <c r="L6472" s="22">
        <v>7</v>
      </c>
    </row>
    <row r="6473" spans="1:12">
      <c r="A6473">
        <v>7</v>
      </c>
      <c r="B6473" s="16" t="s">
        <v>62</v>
      </c>
      <c r="C6473" s="9">
        <v>46266</v>
      </c>
      <c r="D6473">
        <v>29</v>
      </c>
      <c r="E6473" s="16" t="s">
        <v>118</v>
      </c>
      <c r="F6473" s="16" t="s">
        <v>87</v>
      </c>
      <c r="G6473" s="22">
        <v>49.5</v>
      </c>
      <c r="H6473" s="18">
        <v>637.64499999999998</v>
      </c>
      <c r="I6473" s="18">
        <v>12.881717172</v>
      </c>
      <c r="J6473" s="18">
        <v>12.95</v>
      </c>
      <c r="K6473" s="18">
        <v>12.64</v>
      </c>
      <c r="L6473" s="22">
        <v>7</v>
      </c>
    </row>
    <row r="6474" spans="1:12">
      <c r="A6474">
        <v>7</v>
      </c>
      <c r="B6474" s="16" t="s">
        <v>62</v>
      </c>
      <c r="C6474" s="9">
        <v>45689</v>
      </c>
      <c r="D6474">
        <v>30</v>
      </c>
      <c r="E6474" s="16" t="s">
        <v>119</v>
      </c>
      <c r="F6474" s="16" t="s">
        <v>92</v>
      </c>
      <c r="G6474" s="22">
        <v>6.25</v>
      </c>
      <c r="H6474" s="18">
        <v>4.375</v>
      </c>
      <c r="I6474" s="18">
        <v>0.7</v>
      </c>
      <c r="J6474" s="18">
        <v>0.71</v>
      </c>
      <c r="K6474" s="18">
        <v>0.68</v>
      </c>
      <c r="L6474" s="22">
        <v>5</v>
      </c>
    </row>
    <row r="6475" spans="1:12">
      <c r="A6475">
        <v>7</v>
      </c>
      <c r="B6475" s="16" t="s">
        <v>62</v>
      </c>
      <c r="C6475" s="9">
        <v>45717</v>
      </c>
      <c r="D6475">
        <v>30</v>
      </c>
      <c r="E6475" s="16" t="s">
        <v>119</v>
      </c>
      <c r="F6475" s="16" t="s">
        <v>92</v>
      </c>
      <c r="G6475" s="22">
        <v>6.25</v>
      </c>
      <c r="H6475" s="18">
        <v>4.2750000000000004</v>
      </c>
      <c r="I6475" s="18">
        <v>0.68400000000000005</v>
      </c>
      <c r="J6475" s="18">
        <v>0.69</v>
      </c>
      <c r="K6475" s="18">
        <v>0.68</v>
      </c>
      <c r="L6475" s="22">
        <v>5</v>
      </c>
    </row>
    <row r="6476" spans="1:12">
      <c r="A6476">
        <v>7</v>
      </c>
      <c r="B6476" s="16" t="s">
        <v>62</v>
      </c>
      <c r="C6476" s="9">
        <v>45748</v>
      </c>
      <c r="D6476">
        <v>30</v>
      </c>
      <c r="E6476" s="16" t="s">
        <v>119</v>
      </c>
      <c r="F6476" s="16" t="s">
        <v>92</v>
      </c>
      <c r="G6476" s="22">
        <v>6.25</v>
      </c>
      <c r="H6476" s="18">
        <v>4.1124999999999998</v>
      </c>
      <c r="I6476" s="18">
        <v>0.65800000000000003</v>
      </c>
      <c r="J6476" s="18">
        <v>0.68</v>
      </c>
      <c r="K6476" s="18">
        <v>0.65</v>
      </c>
      <c r="L6476" s="22">
        <v>5</v>
      </c>
    </row>
    <row r="6477" spans="1:12">
      <c r="A6477">
        <v>7</v>
      </c>
      <c r="B6477" s="16" t="s">
        <v>62</v>
      </c>
      <c r="C6477" s="9">
        <v>45778</v>
      </c>
      <c r="D6477">
        <v>30</v>
      </c>
      <c r="E6477" s="16" t="s">
        <v>119</v>
      </c>
      <c r="F6477" s="16" t="s">
        <v>92</v>
      </c>
      <c r="G6477" s="22">
        <v>8.75</v>
      </c>
      <c r="H6477" s="18">
        <v>5.5875000000000004</v>
      </c>
      <c r="I6477" s="18">
        <v>0.63857142899999997</v>
      </c>
      <c r="J6477" s="18">
        <v>0.65</v>
      </c>
      <c r="K6477" s="18">
        <v>0.63</v>
      </c>
      <c r="L6477" s="22">
        <v>7</v>
      </c>
    </row>
    <row r="6478" spans="1:12">
      <c r="A6478">
        <v>7</v>
      </c>
      <c r="B6478" s="16" t="s">
        <v>62</v>
      </c>
      <c r="C6478" s="9">
        <v>45809</v>
      </c>
      <c r="D6478">
        <v>30</v>
      </c>
      <c r="E6478" s="16" t="s">
        <v>119</v>
      </c>
      <c r="F6478" s="16" t="s">
        <v>92</v>
      </c>
      <c r="G6478" s="22">
        <v>5</v>
      </c>
      <c r="H6478" s="18">
        <v>3.125</v>
      </c>
      <c r="I6478" s="18">
        <v>0.625</v>
      </c>
      <c r="J6478" s="18">
        <v>0.63</v>
      </c>
      <c r="K6478" s="18">
        <v>0.62</v>
      </c>
      <c r="L6478" s="22">
        <v>4</v>
      </c>
    </row>
    <row r="6479" spans="1:12">
      <c r="A6479">
        <v>7</v>
      </c>
      <c r="B6479" s="16" t="s">
        <v>62</v>
      </c>
      <c r="C6479" s="9">
        <v>45839</v>
      </c>
      <c r="D6479">
        <v>30</v>
      </c>
      <c r="E6479" s="16" t="s">
        <v>119</v>
      </c>
      <c r="F6479" s="16" t="s">
        <v>92</v>
      </c>
      <c r="G6479" s="22">
        <v>5</v>
      </c>
      <c r="H6479" s="18">
        <v>3.0625</v>
      </c>
      <c r="I6479" s="18">
        <v>0.61250000000000004</v>
      </c>
      <c r="J6479" s="18">
        <v>0.63</v>
      </c>
      <c r="K6479" s="18">
        <v>0.6</v>
      </c>
      <c r="L6479" s="22">
        <v>4</v>
      </c>
    </row>
    <row r="6480" spans="1:12">
      <c r="A6480">
        <v>7</v>
      </c>
      <c r="B6480" s="16" t="s">
        <v>62</v>
      </c>
      <c r="C6480" s="9">
        <v>45870</v>
      </c>
      <c r="D6480">
        <v>30</v>
      </c>
      <c r="E6480" s="16" t="s">
        <v>119</v>
      </c>
      <c r="F6480" s="16" t="s">
        <v>92</v>
      </c>
      <c r="G6480" s="22">
        <v>6.25</v>
      </c>
      <c r="H6480" s="18">
        <v>3.9125000000000001</v>
      </c>
      <c r="I6480" s="18">
        <v>0.626</v>
      </c>
      <c r="J6480" s="18">
        <v>0.64</v>
      </c>
      <c r="K6480" s="18">
        <v>0.61</v>
      </c>
      <c r="L6480" s="22">
        <v>5</v>
      </c>
    </row>
    <row r="6481" spans="1:12">
      <c r="A6481">
        <v>7</v>
      </c>
      <c r="B6481" s="16" t="s">
        <v>62</v>
      </c>
      <c r="C6481" s="9">
        <v>45901</v>
      </c>
      <c r="D6481">
        <v>30</v>
      </c>
      <c r="E6481" s="16" t="s">
        <v>119</v>
      </c>
      <c r="F6481" s="16" t="s">
        <v>92</v>
      </c>
      <c r="G6481" s="22">
        <v>7.5</v>
      </c>
      <c r="H6481" s="18">
        <v>4.8624999999999998</v>
      </c>
      <c r="I6481" s="18">
        <v>0.64833333299999996</v>
      </c>
      <c r="J6481" s="18">
        <v>0.66</v>
      </c>
      <c r="K6481" s="18">
        <v>0.64</v>
      </c>
      <c r="L6481" s="22">
        <v>6</v>
      </c>
    </row>
    <row r="6482" spans="1:12">
      <c r="A6482">
        <v>7</v>
      </c>
      <c r="B6482" s="16" t="s">
        <v>62</v>
      </c>
      <c r="C6482" s="9">
        <v>45931</v>
      </c>
      <c r="D6482">
        <v>30</v>
      </c>
      <c r="E6482" s="16" t="s">
        <v>119</v>
      </c>
      <c r="F6482" s="16" t="s">
        <v>92</v>
      </c>
      <c r="G6482" s="22">
        <v>10</v>
      </c>
      <c r="H6482" s="18">
        <v>6.75</v>
      </c>
      <c r="I6482" s="18">
        <v>0.67500000000000004</v>
      </c>
      <c r="J6482" s="18">
        <v>0.68</v>
      </c>
      <c r="K6482" s="18">
        <v>0.67</v>
      </c>
      <c r="L6482" s="22">
        <v>8</v>
      </c>
    </row>
    <row r="6483" spans="1:12">
      <c r="A6483">
        <v>7</v>
      </c>
      <c r="B6483" s="16" t="s">
        <v>62</v>
      </c>
      <c r="C6483" s="9">
        <v>45962</v>
      </c>
      <c r="D6483">
        <v>30</v>
      </c>
      <c r="E6483" s="16" t="s">
        <v>119</v>
      </c>
      <c r="F6483" s="16" t="s">
        <v>92</v>
      </c>
      <c r="G6483" s="22">
        <v>7.5</v>
      </c>
      <c r="H6483" s="18">
        <v>5.2750000000000004</v>
      </c>
      <c r="I6483" s="18">
        <v>0.703333333</v>
      </c>
      <c r="J6483" s="18">
        <v>0.71</v>
      </c>
      <c r="K6483" s="18">
        <v>0.69</v>
      </c>
      <c r="L6483" s="22">
        <v>6</v>
      </c>
    </row>
    <row r="6484" spans="1:12">
      <c r="A6484">
        <v>7</v>
      </c>
      <c r="B6484" s="16" t="s">
        <v>62</v>
      </c>
      <c r="C6484" s="9">
        <v>45992</v>
      </c>
      <c r="D6484">
        <v>30</v>
      </c>
      <c r="E6484" s="16" t="s">
        <v>119</v>
      </c>
      <c r="F6484" s="16" t="s">
        <v>92</v>
      </c>
      <c r="G6484" s="22">
        <v>7.5</v>
      </c>
      <c r="H6484" s="18">
        <v>5.4124999999999996</v>
      </c>
      <c r="I6484" s="18">
        <v>0.72166666700000004</v>
      </c>
      <c r="J6484" s="18">
        <v>0.73</v>
      </c>
      <c r="K6484" s="18">
        <v>0.72</v>
      </c>
      <c r="L6484" s="22">
        <v>6</v>
      </c>
    </row>
    <row r="6485" spans="1:12">
      <c r="A6485">
        <v>7</v>
      </c>
      <c r="B6485" s="16" t="s">
        <v>62</v>
      </c>
      <c r="C6485" s="9">
        <v>46023</v>
      </c>
      <c r="D6485">
        <v>30</v>
      </c>
      <c r="E6485" s="16" t="s">
        <v>119</v>
      </c>
      <c r="F6485" s="16" t="s">
        <v>92</v>
      </c>
      <c r="G6485" s="22">
        <v>7.5</v>
      </c>
      <c r="H6485" s="18">
        <v>5.5875000000000004</v>
      </c>
      <c r="I6485" s="18">
        <v>0.745</v>
      </c>
      <c r="J6485" s="18">
        <v>0.76</v>
      </c>
      <c r="K6485" s="18">
        <v>0.72</v>
      </c>
      <c r="L6485" s="22">
        <v>6</v>
      </c>
    </row>
    <row r="6486" spans="1:12">
      <c r="A6486">
        <v>7</v>
      </c>
      <c r="B6486" s="16" t="s">
        <v>62</v>
      </c>
      <c r="C6486" s="9">
        <v>46054</v>
      </c>
      <c r="D6486">
        <v>30</v>
      </c>
      <c r="E6486" s="16" t="s">
        <v>119</v>
      </c>
      <c r="F6486" s="16" t="s">
        <v>92</v>
      </c>
      <c r="G6486" s="22">
        <v>7.5</v>
      </c>
      <c r="H6486" s="18">
        <v>5.5374999999999996</v>
      </c>
      <c r="I6486" s="18">
        <v>0.73833333300000004</v>
      </c>
      <c r="J6486" s="18">
        <v>0.75</v>
      </c>
      <c r="K6486" s="18">
        <v>0.73</v>
      </c>
      <c r="L6486" s="22">
        <v>6</v>
      </c>
    </row>
    <row r="6487" spans="1:12">
      <c r="A6487">
        <v>7</v>
      </c>
      <c r="B6487" s="16" t="s">
        <v>62</v>
      </c>
      <c r="C6487" s="9">
        <v>46082</v>
      </c>
      <c r="D6487">
        <v>30</v>
      </c>
      <c r="E6487" s="16" t="s">
        <v>119</v>
      </c>
      <c r="F6487" s="16" t="s">
        <v>92</v>
      </c>
      <c r="G6487" s="22">
        <v>8.75</v>
      </c>
      <c r="H6487" s="18">
        <v>6.3250000000000002</v>
      </c>
      <c r="I6487" s="18">
        <v>0.72285714300000004</v>
      </c>
      <c r="J6487" s="18">
        <v>0.74</v>
      </c>
      <c r="K6487" s="18">
        <v>0.71</v>
      </c>
      <c r="L6487" s="22">
        <v>7</v>
      </c>
    </row>
    <row r="6488" spans="1:12">
      <c r="A6488">
        <v>7</v>
      </c>
      <c r="B6488" s="16" t="s">
        <v>62</v>
      </c>
      <c r="C6488" s="9">
        <v>46113</v>
      </c>
      <c r="D6488">
        <v>30</v>
      </c>
      <c r="E6488" s="16" t="s">
        <v>119</v>
      </c>
      <c r="F6488" s="16" t="s">
        <v>92</v>
      </c>
      <c r="G6488" s="22">
        <v>6.25</v>
      </c>
      <c r="H6488" s="18">
        <v>4.3</v>
      </c>
      <c r="I6488" s="18">
        <v>0.68799999999999994</v>
      </c>
      <c r="J6488" s="18">
        <v>0.7</v>
      </c>
      <c r="K6488" s="18">
        <v>0.68</v>
      </c>
      <c r="L6488" s="22">
        <v>5</v>
      </c>
    </row>
    <row r="6489" spans="1:12">
      <c r="A6489">
        <v>7</v>
      </c>
      <c r="B6489" s="16" t="s">
        <v>62</v>
      </c>
      <c r="C6489" s="9">
        <v>46143</v>
      </c>
      <c r="D6489">
        <v>30</v>
      </c>
      <c r="E6489" s="16" t="s">
        <v>119</v>
      </c>
      <c r="F6489" s="16" t="s">
        <v>92</v>
      </c>
      <c r="G6489" s="22">
        <v>8.75</v>
      </c>
      <c r="H6489" s="18">
        <v>5.7625000000000002</v>
      </c>
      <c r="I6489" s="18">
        <v>0.65857142899999999</v>
      </c>
      <c r="J6489" s="18">
        <v>0.67</v>
      </c>
      <c r="K6489" s="18">
        <v>0.65</v>
      </c>
      <c r="L6489" s="22">
        <v>7</v>
      </c>
    </row>
    <row r="6490" spans="1:12">
      <c r="A6490">
        <v>7</v>
      </c>
      <c r="B6490" s="16" t="s">
        <v>62</v>
      </c>
      <c r="C6490" s="9">
        <v>46174</v>
      </c>
      <c r="D6490">
        <v>30</v>
      </c>
      <c r="E6490" s="16" t="s">
        <v>119</v>
      </c>
      <c r="F6490" s="16" t="s">
        <v>92</v>
      </c>
      <c r="G6490" s="22">
        <v>7.5</v>
      </c>
      <c r="H6490" s="18">
        <v>4.7874999999999996</v>
      </c>
      <c r="I6490" s="18">
        <v>0.63833333299999995</v>
      </c>
      <c r="J6490" s="18">
        <v>0.65</v>
      </c>
      <c r="K6490" s="18">
        <v>0.62</v>
      </c>
      <c r="L6490" s="22">
        <v>6</v>
      </c>
    </row>
    <row r="6491" spans="1:12">
      <c r="A6491">
        <v>7</v>
      </c>
      <c r="B6491" s="16" t="s">
        <v>62</v>
      </c>
      <c r="C6491" s="9">
        <v>46204</v>
      </c>
      <c r="D6491">
        <v>30</v>
      </c>
      <c r="E6491" s="16" t="s">
        <v>119</v>
      </c>
      <c r="F6491" s="16" t="s">
        <v>92</v>
      </c>
      <c r="G6491" s="22">
        <v>6.25</v>
      </c>
      <c r="H6491" s="18">
        <v>3.95</v>
      </c>
      <c r="I6491" s="18">
        <v>0.63200000000000001</v>
      </c>
      <c r="J6491" s="18">
        <v>0.65</v>
      </c>
      <c r="K6491" s="18">
        <v>0.62</v>
      </c>
      <c r="L6491" s="22">
        <v>5</v>
      </c>
    </row>
    <row r="6492" spans="1:12">
      <c r="A6492">
        <v>7</v>
      </c>
      <c r="B6492" s="16" t="s">
        <v>62</v>
      </c>
      <c r="C6492" s="9">
        <v>46235</v>
      </c>
      <c r="D6492">
        <v>30</v>
      </c>
      <c r="E6492" s="16" t="s">
        <v>119</v>
      </c>
      <c r="F6492" s="16" t="s">
        <v>92</v>
      </c>
      <c r="G6492" s="22">
        <v>6.25</v>
      </c>
      <c r="H6492" s="18">
        <v>3.9750000000000001</v>
      </c>
      <c r="I6492" s="18">
        <v>0.63600000000000001</v>
      </c>
      <c r="J6492" s="18">
        <v>0.65</v>
      </c>
      <c r="K6492" s="18">
        <v>0.63</v>
      </c>
      <c r="L6492" s="22">
        <v>5</v>
      </c>
    </row>
    <row r="6493" spans="1:12">
      <c r="A6493">
        <v>7</v>
      </c>
      <c r="B6493" s="16" t="s">
        <v>62</v>
      </c>
      <c r="C6493" s="9">
        <v>46266</v>
      </c>
      <c r="D6493">
        <v>30</v>
      </c>
      <c r="E6493" s="16" t="s">
        <v>119</v>
      </c>
      <c r="F6493" s="16" t="s">
        <v>92</v>
      </c>
      <c r="G6493" s="22">
        <v>7.5</v>
      </c>
      <c r="H6493" s="18">
        <v>4.8875000000000002</v>
      </c>
      <c r="I6493" s="18">
        <v>0.65166666699999998</v>
      </c>
      <c r="J6493" s="18">
        <v>0.66</v>
      </c>
      <c r="K6493" s="18">
        <v>0.64</v>
      </c>
      <c r="L6493" s="22">
        <v>6</v>
      </c>
    </row>
    <row r="6494" spans="1:12">
      <c r="A6494">
        <v>7</v>
      </c>
      <c r="B6494" s="16" t="s">
        <v>62</v>
      </c>
      <c r="C6494" s="9">
        <v>45689</v>
      </c>
      <c r="D6494">
        <v>31</v>
      </c>
      <c r="E6494" s="16" t="s">
        <v>120</v>
      </c>
      <c r="F6494" s="16" t="s">
        <v>92</v>
      </c>
      <c r="G6494" s="22">
        <v>9</v>
      </c>
      <c r="H6494" s="18">
        <v>9.4499999999999993</v>
      </c>
      <c r="I6494" s="18">
        <v>1.05</v>
      </c>
      <c r="J6494" s="18">
        <v>1.07</v>
      </c>
      <c r="K6494" s="18">
        <v>1.03</v>
      </c>
      <c r="L6494" s="22">
        <v>8</v>
      </c>
    </row>
    <row r="6495" spans="1:12">
      <c r="A6495">
        <v>7</v>
      </c>
      <c r="B6495" s="16" t="s">
        <v>62</v>
      </c>
      <c r="C6495" s="9">
        <v>45717</v>
      </c>
      <c r="D6495">
        <v>31</v>
      </c>
      <c r="E6495" s="16" t="s">
        <v>120</v>
      </c>
      <c r="F6495" s="16" t="s">
        <v>92</v>
      </c>
      <c r="G6495" s="22">
        <v>9</v>
      </c>
      <c r="H6495" s="18">
        <v>9.24</v>
      </c>
      <c r="I6495" s="18">
        <v>1.026666667</v>
      </c>
      <c r="J6495" s="18">
        <v>1.06</v>
      </c>
      <c r="K6495" s="18">
        <v>1.01</v>
      </c>
      <c r="L6495" s="22">
        <v>8</v>
      </c>
    </row>
    <row r="6496" spans="1:12">
      <c r="A6496">
        <v>7</v>
      </c>
      <c r="B6496" s="16" t="s">
        <v>62</v>
      </c>
      <c r="C6496" s="9">
        <v>45748</v>
      </c>
      <c r="D6496">
        <v>31</v>
      </c>
      <c r="E6496" s="16" t="s">
        <v>120</v>
      </c>
      <c r="F6496" s="16" t="s">
        <v>92</v>
      </c>
      <c r="G6496" s="22">
        <v>10.5</v>
      </c>
      <c r="H6496" s="18">
        <v>10.5075</v>
      </c>
      <c r="I6496" s="18">
        <v>1.000714286</v>
      </c>
      <c r="J6496" s="18">
        <v>1.02</v>
      </c>
      <c r="K6496" s="18">
        <v>0.95</v>
      </c>
      <c r="L6496" s="22">
        <v>9</v>
      </c>
    </row>
    <row r="6497" spans="1:12">
      <c r="A6497">
        <v>7</v>
      </c>
      <c r="B6497" s="16" t="s">
        <v>62</v>
      </c>
      <c r="C6497" s="9">
        <v>45778</v>
      </c>
      <c r="D6497">
        <v>31</v>
      </c>
      <c r="E6497" s="16" t="s">
        <v>120</v>
      </c>
      <c r="F6497" s="16" t="s">
        <v>92</v>
      </c>
      <c r="G6497" s="22">
        <v>11.25</v>
      </c>
      <c r="H6497" s="18">
        <v>10.92</v>
      </c>
      <c r="I6497" s="18">
        <v>0.97066666700000004</v>
      </c>
      <c r="J6497" s="18">
        <v>1.02</v>
      </c>
      <c r="K6497" s="18">
        <v>0.95</v>
      </c>
      <c r="L6497" s="22">
        <v>9</v>
      </c>
    </row>
    <row r="6498" spans="1:12">
      <c r="A6498">
        <v>7</v>
      </c>
      <c r="B6498" s="16" t="s">
        <v>62</v>
      </c>
      <c r="C6498" s="9">
        <v>45809</v>
      </c>
      <c r="D6498">
        <v>31</v>
      </c>
      <c r="E6498" s="16" t="s">
        <v>120</v>
      </c>
      <c r="F6498" s="16" t="s">
        <v>92</v>
      </c>
      <c r="G6498" s="22">
        <v>9.75</v>
      </c>
      <c r="H6498" s="18">
        <v>9.1199999999999992</v>
      </c>
      <c r="I6498" s="18">
        <v>0.93538461500000003</v>
      </c>
      <c r="J6498" s="18">
        <v>0.95</v>
      </c>
      <c r="K6498" s="18">
        <v>0.91</v>
      </c>
      <c r="L6498" s="22">
        <v>8</v>
      </c>
    </row>
    <row r="6499" spans="1:12">
      <c r="A6499">
        <v>7</v>
      </c>
      <c r="B6499" s="16" t="s">
        <v>62</v>
      </c>
      <c r="C6499" s="9">
        <v>45839</v>
      </c>
      <c r="D6499">
        <v>31</v>
      </c>
      <c r="E6499" s="16" t="s">
        <v>120</v>
      </c>
      <c r="F6499" s="16" t="s">
        <v>92</v>
      </c>
      <c r="G6499" s="22">
        <v>9.75</v>
      </c>
      <c r="H6499" s="18">
        <v>9.1050000000000004</v>
      </c>
      <c r="I6499" s="18">
        <v>0.93384615400000004</v>
      </c>
      <c r="J6499" s="18">
        <v>0.98</v>
      </c>
      <c r="K6499" s="18">
        <v>0.91</v>
      </c>
      <c r="L6499" s="22">
        <v>9</v>
      </c>
    </row>
    <row r="6500" spans="1:12">
      <c r="A6500">
        <v>7</v>
      </c>
      <c r="B6500" s="16" t="s">
        <v>62</v>
      </c>
      <c r="C6500" s="9">
        <v>45870</v>
      </c>
      <c r="D6500">
        <v>31</v>
      </c>
      <c r="E6500" s="16" t="s">
        <v>120</v>
      </c>
      <c r="F6500" s="16" t="s">
        <v>92</v>
      </c>
      <c r="G6500" s="22">
        <v>10.5</v>
      </c>
      <c r="H6500" s="18">
        <v>9.93</v>
      </c>
      <c r="I6500" s="18">
        <v>0.94571428599999996</v>
      </c>
      <c r="J6500" s="18">
        <v>0.97</v>
      </c>
      <c r="K6500" s="18">
        <v>0.93</v>
      </c>
      <c r="L6500" s="22">
        <v>9</v>
      </c>
    </row>
    <row r="6501" spans="1:12">
      <c r="A6501">
        <v>7</v>
      </c>
      <c r="B6501" s="16" t="s">
        <v>62</v>
      </c>
      <c r="C6501" s="9">
        <v>45901</v>
      </c>
      <c r="D6501">
        <v>31</v>
      </c>
      <c r="E6501" s="16" t="s">
        <v>120</v>
      </c>
      <c r="F6501" s="16" t="s">
        <v>92</v>
      </c>
      <c r="G6501" s="22">
        <v>10.5</v>
      </c>
      <c r="H6501" s="18">
        <v>10.26</v>
      </c>
      <c r="I6501" s="18">
        <v>0.97714285700000003</v>
      </c>
      <c r="J6501" s="18">
        <v>0.99</v>
      </c>
      <c r="K6501" s="18">
        <v>0.97</v>
      </c>
      <c r="L6501" s="22">
        <v>9</v>
      </c>
    </row>
    <row r="6502" spans="1:12">
      <c r="A6502">
        <v>7</v>
      </c>
      <c r="B6502" s="16" t="s">
        <v>62</v>
      </c>
      <c r="C6502" s="9">
        <v>45931</v>
      </c>
      <c r="D6502">
        <v>31</v>
      </c>
      <c r="E6502" s="16" t="s">
        <v>120</v>
      </c>
      <c r="F6502" s="16" t="s">
        <v>92</v>
      </c>
      <c r="G6502" s="22">
        <v>12.75</v>
      </c>
      <c r="H6502" s="18">
        <v>12.975</v>
      </c>
      <c r="I6502" s="18">
        <v>1.017647059</v>
      </c>
      <c r="J6502" s="18">
        <v>1.04</v>
      </c>
      <c r="K6502" s="18">
        <v>1</v>
      </c>
      <c r="L6502" s="22">
        <v>9</v>
      </c>
    </row>
    <row r="6503" spans="1:12">
      <c r="A6503">
        <v>7</v>
      </c>
      <c r="B6503" s="16" t="s">
        <v>62</v>
      </c>
      <c r="C6503" s="9">
        <v>45962</v>
      </c>
      <c r="D6503">
        <v>31</v>
      </c>
      <c r="E6503" s="16" t="s">
        <v>120</v>
      </c>
      <c r="F6503" s="16" t="s">
        <v>92</v>
      </c>
      <c r="G6503" s="22">
        <v>10.5</v>
      </c>
      <c r="H6503" s="18">
        <v>11.085000000000001</v>
      </c>
      <c r="I6503" s="18">
        <v>1.0557142859999999</v>
      </c>
      <c r="J6503" s="18">
        <v>1.08</v>
      </c>
      <c r="K6503" s="18">
        <v>1.03</v>
      </c>
      <c r="L6503" s="22">
        <v>8</v>
      </c>
    </row>
    <row r="6504" spans="1:12">
      <c r="A6504">
        <v>7</v>
      </c>
      <c r="B6504" s="16" t="s">
        <v>62</v>
      </c>
      <c r="C6504" s="9">
        <v>45992</v>
      </c>
      <c r="D6504">
        <v>31</v>
      </c>
      <c r="E6504" s="16" t="s">
        <v>120</v>
      </c>
      <c r="F6504" s="16" t="s">
        <v>92</v>
      </c>
      <c r="G6504" s="22">
        <v>10.5</v>
      </c>
      <c r="H6504" s="18">
        <v>11.3325</v>
      </c>
      <c r="I6504" s="18">
        <v>1.0792857140000001</v>
      </c>
      <c r="J6504" s="18">
        <v>1.1100000000000001</v>
      </c>
      <c r="K6504" s="18">
        <v>1.06</v>
      </c>
      <c r="L6504" s="22">
        <v>9</v>
      </c>
    </row>
    <row r="6505" spans="1:12">
      <c r="A6505">
        <v>7</v>
      </c>
      <c r="B6505" s="16" t="s">
        <v>62</v>
      </c>
      <c r="C6505" s="9">
        <v>46023</v>
      </c>
      <c r="D6505">
        <v>31</v>
      </c>
      <c r="E6505" s="16" t="s">
        <v>120</v>
      </c>
      <c r="F6505" s="16" t="s">
        <v>92</v>
      </c>
      <c r="G6505" s="22">
        <v>10.5</v>
      </c>
      <c r="H6505" s="18">
        <v>11.505000000000001</v>
      </c>
      <c r="I6505" s="18">
        <v>1.095714286</v>
      </c>
      <c r="J6505" s="18">
        <v>1.1200000000000001</v>
      </c>
      <c r="K6505" s="18">
        <v>1.07</v>
      </c>
      <c r="L6505" s="22">
        <v>9</v>
      </c>
    </row>
    <row r="6506" spans="1:12">
      <c r="A6506">
        <v>7</v>
      </c>
      <c r="B6506" s="16" t="s">
        <v>62</v>
      </c>
      <c r="C6506" s="9">
        <v>46054</v>
      </c>
      <c r="D6506">
        <v>31</v>
      </c>
      <c r="E6506" s="16" t="s">
        <v>120</v>
      </c>
      <c r="F6506" s="16" t="s">
        <v>92</v>
      </c>
      <c r="G6506" s="22">
        <v>9</v>
      </c>
      <c r="H6506" s="18">
        <v>9.7725000000000009</v>
      </c>
      <c r="I6506" s="18">
        <v>1.0858333330000001</v>
      </c>
      <c r="J6506" s="18">
        <v>1.1000000000000001</v>
      </c>
      <c r="K6506" s="18">
        <v>1.07</v>
      </c>
      <c r="L6506" s="22">
        <v>8</v>
      </c>
    </row>
    <row r="6507" spans="1:12">
      <c r="A6507">
        <v>7</v>
      </c>
      <c r="B6507" s="16" t="s">
        <v>62</v>
      </c>
      <c r="C6507" s="9">
        <v>46082</v>
      </c>
      <c r="D6507">
        <v>31</v>
      </c>
      <c r="E6507" s="16" t="s">
        <v>120</v>
      </c>
      <c r="F6507" s="16" t="s">
        <v>92</v>
      </c>
      <c r="G6507" s="22">
        <v>12</v>
      </c>
      <c r="H6507" s="18">
        <v>12.8925</v>
      </c>
      <c r="I6507" s="18">
        <v>1.0743750000000001</v>
      </c>
      <c r="J6507" s="18">
        <v>1.1299999999999999</v>
      </c>
      <c r="K6507" s="18">
        <v>1.04</v>
      </c>
      <c r="L6507" s="22">
        <v>9</v>
      </c>
    </row>
    <row r="6508" spans="1:12">
      <c r="A6508">
        <v>7</v>
      </c>
      <c r="B6508" s="16" t="s">
        <v>62</v>
      </c>
      <c r="C6508" s="9">
        <v>46113</v>
      </c>
      <c r="D6508">
        <v>31</v>
      </c>
      <c r="E6508" s="16" t="s">
        <v>120</v>
      </c>
      <c r="F6508" s="16" t="s">
        <v>92</v>
      </c>
      <c r="G6508" s="22">
        <v>9</v>
      </c>
      <c r="H6508" s="18">
        <v>9.1274999999999995</v>
      </c>
      <c r="I6508" s="18">
        <v>1.014166667</v>
      </c>
      <c r="J6508" s="18">
        <v>1.04</v>
      </c>
      <c r="K6508" s="18">
        <v>0.99</v>
      </c>
      <c r="L6508" s="22">
        <v>8</v>
      </c>
    </row>
    <row r="6509" spans="1:12">
      <c r="A6509">
        <v>7</v>
      </c>
      <c r="B6509" s="16" t="s">
        <v>62</v>
      </c>
      <c r="C6509" s="9">
        <v>46143</v>
      </c>
      <c r="D6509">
        <v>31</v>
      </c>
      <c r="E6509" s="16" t="s">
        <v>120</v>
      </c>
      <c r="F6509" s="16" t="s">
        <v>92</v>
      </c>
      <c r="G6509" s="22">
        <v>13.5</v>
      </c>
      <c r="H6509" s="18">
        <v>12.9375</v>
      </c>
      <c r="I6509" s="18">
        <v>0.95833333300000001</v>
      </c>
      <c r="J6509" s="18">
        <v>0.97</v>
      </c>
      <c r="K6509" s="18">
        <v>0.94</v>
      </c>
      <c r="L6509" s="22">
        <v>9</v>
      </c>
    </row>
    <row r="6510" spans="1:12">
      <c r="A6510">
        <v>7</v>
      </c>
      <c r="B6510" s="16" t="s">
        <v>62</v>
      </c>
      <c r="C6510" s="9">
        <v>46174</v>
      </c>
      <c r="D6510">
        <v>31</v>
      </c>
      <c r="E6510" s="16" t="s">
        <v>120</v>
      </c>
      <c r="F6510" s="16" t="s">
        <v>92</v>
      </c>
      <c r="G6510" s="22">
        <v>11.25</v>
      </c>
      <c r="H6510" s="18">
        <v>10.522500000000001</v>
      </c>
      <c r="I6510" s="18">
        <v>0.93533333299999999</v>
      </c>
      <c r="J6510" s="18">
        <v>0.96</v>
      </c>
      <c r="K6510" s="18">
        <v>0.91</v>
      </c>
      <c r="L6510" s="22">
        <v>9</v>
      </c>
    </row>
    <row r="6511" spans="1:12">
      <c r="A6511">
        <v>7</v>
      </c>
      <c r="B6511" s="16" t="s">
        <v>62</v>
      </c>
      <c r="C6511" s="9">
        <v>46204</v>
      </c>
      <c r="D6511">
        <v>31</v>
      </c>
      <c r="E6511" s="16" t="s">
        <v>120</v>
      </c>
      <c r="F6511" s="16" t="s">
        <v>92</v>
      </c>
      <c r="G6511" s="22">
        <v>12</v>
      </c>
      <c r="H6511" s="18">
        <v>11.16</v>
      </c>
      <c r="I6511" s="18">
        <v>0.93</v>
      </c>
      <c r="J6511" s="18">
        <v>0.94</v>
      </c>
      <c r="K6511" s="18">
        <v>0.91</v>
      </c>
      <c r="L6511" s="22">
        <v>9</v>
      </c>
    </row>
    <row r="6512" spans="1:12">
      <c r="A6512">
        <v>7</v>
      </c>
      <c r="B6512" s="16" t="s">
        <v>62</v>
      </c>
      <c r="C6512" s="9">
        <v>46235</v>
      </c>
      <c r="D6512">
        <v>31</v>
      </c>
      <c r="E6512" s="16" t="s">
        <v>120</v>
      </c>
      <c r="F6512" s="16" t="s">
        <v>92</v>
      </c>
      <c r="G6512" s="22">
        <v>9</v>
      </c>
      <c r="H6512" s="18">
        <v>8.49</v>
      </c>
      <c r="I6512" s="18">
        <v>0.943333333</v>
      </c>
      <c r="J6512" s="18">
        <v>0.97</v>
      </c>
      <c r="K6512" s="18">
        <v>0.93</v>
      </c>
      <c r="L6512" s="22">
        <v>8</v>
      </c>
    </row>
    <row r="6513" spans="1:12">
      <c r="A6513">
        <v>7</v>
      </c>
      <c r="B6513" s="16" t="s">
        <v>62</v>
      </c>
      <c r="C6513" s="9">
        <v>46266</v>
      </c>
      <c r="D6513">
        <v>31</v>
      </c>
      <c r="E6513" s="16" t="s">
        <v>120</v>
      </c>
      <c r="F6513" s="16" t="s">
        <v>92</v>
      </c>
      <c r="G6513" s="22">
        <v>11.25</v>
      </c>
      <c r="H6513" s="18">
        <v>10.95</v>
      </c>
      <c r="I6513" s="18">
        <v>0.97333333300000002</v>
      </c>
      <c r="J6513" s="18">
        <v>0.99</v>
      </c>
      <c r="K6513" s="18">
        <v>0.97</v>
      </c>
      <c r="L6513" s="22">
        <v>9</v>
      </c>
    </row>
    <row r="6514" spans="1:12">
      <c r="A6514">
        <v>7</v>
      </c>
      <c r="B6514" s="16" t="s">
        <v>62</v>
      </c>
      <c r="C6514" s="9">
        <v>45689</v>
      </c>
      <c r="D6514">
        <v>32</v>
      </c>
      <c r="E6514" s="16" t="s">
        <v>121</v>
      </c>
      <c r="F6514" s="16" t="s">
        <v>92</v>
      </c>
      <c r="G6514" s="22">
        <v>12.5</v>
      </c>
      <c r="H6514" s="18">
        <v>6.8049999999999997</v>
      </c>
      <c r="I6514" s="18">
        <v>0.5444</v>
      </c>
      <c r="J6514" s="18">
        <v>0.56999999999999995</v>
      </c>
      <c r="K6514" s="18">
        <v>0.53</v>
      </c>
      <c r="L6514" s="22">
        <v>8</v>
      </c>
    </row>
    <row r="6515" spans="1:12">
      <c r="A6515">
        <v>7</v>
      </c>
      <c r="B6515" s="16" t="s">
        <v>62</v>
      </c>
      <c r="C6515" s="9">
        <v>45717</v>
      </c>
      <c r="D6515">
        <v>32</v>
      </c>
      <c r="E6515" s="16" t="s">
        <v>121</v>
      </c>
      <c r="F6515" s="16" t="s">
        <v>92</v>
      </c>
      <c r="G6515" s="22">
        <v>13.5</v>
      </c>
      <c r="H6515" s="18">
        <v>7.13</v>
      </c>
      <c r="I6515" s="18">
        <v>0.52814814799999998</v>
      </c>
      <c r="J6515" s="18">
        <v>0.53</v>
      </c>
      <c r="K6515" s="18">
        <v>0.52</v>
      </c>
      <c r="L6515" s="22">
        <v>8</v>
      </c>
    </row>
    <row r="6516" spans="1:12">
      <c r="A6516">
        <v>7</v>
      </c>
      <c r="B6516" s="16" t="s">
        <v>62</v>
      </c>
      <c r="C6516" s="9">
        <v>45748</v>
      </c>
      <c r="D6516">
        <v>32</v>
      </c>
      <c r="E6516" s="16" t="s">
        <v>121</v>
      </c>
      <c r="F6516" s="16" t="s">
        <v>92</v>
      </c>
      <c r="G6516" s="22">
        <v>19.5</v>
      </c>
      <c r="H6516" s="18">
        <v>9.77</v>
      </c>
      <c r="I6516" s="18">
        <v>0.50102564100000002</v>
      </c>
      <c r="J6516" s="18">
        <v>0.52</v>
      </c>
      <c r="K6516" s="18">
        <v>0.49</v>
      </c>
      <c r="L6516" s="22">
        <v>9</v>
      </c>
    </row>
    <row r="6517" spans="1:12">
      <c r="A6517">
        <v>7</v>
      </c>
      <c r="B6517" s="16" t="s">
        <v>62</v>
      </c>
      <c r="C6517" s="9">
        <v>45778</v>
      </c>
      <c r="D6517">
        <v>32</v>
      </c>
      <c r="E6517" s="16" t="s">
        <v>121</v>
      </c>
      <c r="F6517" s="16" t="s">
        <v>92</v>
      </c>
      <c r="G6517" s="22">
        <v>21.5</v>
      </c>
      <c r="H6517" s="18">
        <v>10.215</v>
      </c>
      <c r="I6517" s="18">
        <v>0.47511627899999997</v>
      </c>
      <c r="J6517" s="18">
        <v>0.48</v>
      </c>
      <c r="K6517" s="18">
        <v>0.47</v>
      </c>
      <c r="L6517" s="22">
        <v>9</v>
      </c>
    </row>
    <row r="6518" spans="1:12">
      <c r="A6518">
        <v>7</v>
      </c>
      <c r="B6518" s="16" t="s">
        <v>62</v>
      </c>
      <c r="C6518" s="9">
        <v>45809</v>
      </c>
      <c r="D6518">
        <v>32</v>
      </c>
      <c r="E6518" s="16" t="s">
        <v>121</v>
      </c>
      <c r="F6518" s="16" t="s">
        <v>92</v>
      </c>
      <c r="G6518" s="22">
        <v>16.5</v>
      </c>
      <c r="H6518" s="18">
        <v>7.65</v>
      </c>
      <c r="I6518" s="18">
        <v>0.46363636400000002</v>
      </c>
      <c r="J6518" s="18">
        <v>0.47</v>
      </c>
      <c r="K6518" s="18">
        <v>0.46</v>
      </c>
      <c r="L6518" s="22">
        <v>8</v>
      </c>
    </row>
    <row r="6519" spans="1:12">
      <c r="A6519">
        <v>7</v>
      </c>
      <c r="B6519" s="16" t="s">
        <v>62</v>
      </c>
      <c r="C6519" s="9">
        <v>45839</v>
      </c>
      <c r="D6519">
        <v>32</v>
      </c>
      <c r="E6519" s="16" t="s">
        <v>121</v>
      </c>
      <c r="F6519" s="16" t="s">
        <v>92</v>
      </c>
      <c r="G6519" s="22">
        <v>17</v>
      </c>
      <c r="H6519" s="18">
        <v>7.7850000000000001</v>
      </c>
      <c r="I6519" s="18">
        <v>0.45794117600000001</v>
      </c>
      <c r="J6519" s="18">
        <v>0.48</v>
      </c>
      <c r="K6519" s="18">
        <v>0.44</v>
      </c>
      <c r="L6519" s="22">
        <v>9</v>
      </c>
    </row>
    <row r="6520" spans="1:12">
      <c r="A6520">
        <v>7</v>
      </c>
      <c r="B6520" s="16" t="s">
        <v>62</v>
      </c>
      <c r="C6520" s="9">
        <v>45870</v>
      </c>
      <c r="D6520">
        <v>32</v>
      </c>
      <c r="E6520" s="16" t="s">
        <v>121</v>
      </c>
      <c r="F6520" s="16" t="s">
        <v>92</v>
      </c>
      <c r="G6520" s="22">
        <v>19</v>
      </c>
      <c r="H6520" s="18">
        <v>8.7949999999999999</v>
      </c>
      <c r="I6520" s="18">
        <v>0.462894737</v>
      </c>
      <c r="J6520" s="18">
        <v>0.47</v>
      </c>
      <c r="K6520" s="18">
        <v>0.46</v>
      </c>
      <c r="L6520" s="22">
        <v>9</v>
      </c>
    </row>
    <row r="6521" spans="1:12">
      <c r="A6521">
        <v>7</v>
      </c>
      <c r="B6521" s="16" t="s">
        <v>62</v>
      </c>
      <c r="C6521" s="9">
        <v>45901</v>
      </c>
      <c r="D6521">
        <v>32</v>
      </c>
      <c r="E6521" s="16" t="s">
        <v>121</v>
      </c>
      <c r="F6521" s="16" t="s">
        <v>92</v>
      </c>
      <c r="G6521" s="22">
        <v>19</v>
      </c>
      <c r="H6521" s="18">
        <v>9.0850000000000009</v>
      </c>
      <c r="I6521" s="18">
        <v>0.478157895</v>
      </c>
      <c r="J6521" s="18">
        <v>0.49</v>
      </c>
      <c r="K6521" s="18">
        <v>0.47</v>
      </c>
      <c r="L6521" s="22">
        <v>9</v>
      </c>
    </row>
    <row r="6522" spans="1:12">
      <c r="A6522">
        <v>7</v>
      </c>
      <c r="B6522" s="16" t="s">
        <v>62</v>
      </c>
      <c r="C6522" s="9">
        <v>45931</v>
      </c>
      <c r="D6522">
        <v>32</v>
      </c>
      <c r="E6522" s="16" t="s">
        <v>121</v>
      </c>
      <c r="F6522" s="16" t="s">
        <v>92</v>
      </c>
      <c r="G6522" s="22">
        <v>22</v>
      </c>
      <c r="H6522" s="18">
        <v>11.06</v>
      </c>
      <c r="I6522" s="18">
        <v>0.50272727299999997</v>
      </c>
      <c r="J6522" s="18">
        <v>0.51</v>
      </c>
      <c r="K6522" s="18">
        <v>0.49</v>
      </c>
      <c r="L6522" s="22">
        <v>9</v>
      </c>
    </row>
    <row r="6523" spans="1:12">
      <c r="A6523">
        <v>7</v>
      </c>
      <c r="B6523" s="16" t="s">
        <v>62</v>
      </c>
      <c r="C6523" s="9">
        <v>45962</v>
      </c>
      <c r="D6523">
        <v>32</v>
      </c>
      <c r="E6523" s="16" t="s">
        <v>121</v>
      </c>
      <c r="F6523" s="16" t="s">
        <v>92</v>
      </c>
      <c r="G6523" s="22">
        <v>16.5</v>
      </c>
      <c r="H6523" s="18">
        <v>8.5950000000000006</v>
      </c>
      <c r="I6523" s="18">
        <v>0.52090909100000005</v>
      </c>
      <c r="J6523" s="18">
        <v>0.53</v>
      </c>
      <c r="K6523" s="18">
        <v>0.51</v>
      </c>
      <c r="L6523" s="22">
        <v>8</v>
      </c>
    </row>
    <row r="6524" spans="1:12">
      <c r="A6524">
        <v>7</v>
      </c>
      <c r="B6524" s="16" t="s">
        <v>62</v>
      </c>
      <c r="C6524" s="9">
        <v>45992</v>
      </c>
      <c r="D6524">
        <v>32</v>
      </c>
      <c r="E6524" s="16" t="s">
        <v>121</v>
      </c>
      <c r="F6524" s="16" t="s">
        <v>92</v>
      </c>
      <c r="G6524" s="22">
        <v>15.5</v>
      </c>
      <c r="H6524" s="18">
        <v>8.39</v>
      </c>
      <c r="I6524" s="18">
        <v>0.54129032300000002</v>
      </c>
      <c r="J6524" s="18">
        <v>0.55000000000000004</v>
      </c>
      <c r="K6524" s="18">
        <v>0.53</v>
      </c>
      <c r="L6524" s="22">
        <v>9</v>
      </c>
    </row>
    <row r="6525" spans="1:12">
      <c r="A6525">
        <v>7</v>
      </c>
      <c r="B6525" s="16" t="s">
        <v>62</v>
      </c>
      <c r="C6525" s="9">
        <v>46023</v>
      </c>
      <c r="D6525">
        <v>32</v>
      </c>
      <c r="E6525" s="16" t="s">
        <v>121</v>
      </c>
      <c r="F6525" s="16" t="s">
        <v>92</v>
      </c>
      <c r="G6525" s="22">
        <v>15.5</v>
      </c>
      <c r="H6525" s="18">
        <v>8.4949999999999992</v>
      </c>
      <c r="I6525" s="18">
        <v>0.54806451599999995</v>
      </c>
      <c r="J6525" s="18">
        <v>0.56999999999999995</v>
      </c>
      <c r="K6525" s="18">
        <v>0.54</v>
      </c>
      <c r="L6525" s="22">
        <v>9</v>
      </c>
    </row>
    <row r="6526" spans="1:12">
      <c r="A6526">
        <v>7</v>
      </c>
      <c r="B6526" s="16" t="s">
        <v>62</v>
      </c>
      <c r="C6526" s="9">
        <v>46054</v>
      </c>
      <c r="D6526">
        <v>32</v>
      </c>
      <c r="E6526" s="16" t="s">
        <v>121</v>
      </c>
      <c r="F6526" s="16" t="s">
        <v>92</v>
      </c>
      <c r="G6526" s="22">
        <v>15</v>
      </c>
      <c r="H6526" s="18">
        <v>8.0649999999999995</v>
      </c>
      <c r="I6526" s="18">
        <v>0.53766666699999999</v>
      </c>
      <c r="J6526" s="18">
        <v>0.55000000000000004</v>
      </c>
      <c r="K6526" s="18">
        <v>0.53</v>
      </c>
      <c r="L6526" s="22">
        <v>8</v>
      </c>
    </row>
    <row r="6527" spans="1:12">
      <c r="A6527">
        <v>7</v>
      </c>
      <c r="B6527" s="16" t="s">
        <v>62</v>
      </c>
      <c r="C6527" s="9">
        <v>46082</v>
      </c>
      <c r="D6527">
        <v>32</v>
      </c>
      <c r="E6527" s="16" t="s">
        <v>121</v>
      </c>
      <c r="F6527" s="16" t="s">
        <v>92</v>
      </c>
      <c r="G6527" s="22">
        <v>18.5</v>
      </c>
      <c r="H6527" s="18">
        <v>9.5350000000000001</v>
      </c>
      <c r="I6527" s="18">
        <v>0.51540540499999998</v>
      </c>
      <c r="J6527" s="18">
        <v>0.52</v>
      </c>
      <c r="K6527" s="18">
        <v>0.5</v>
      </c>
      <c r="L6527" s="22">
        <v>9</v>
      </c>
    </row>
    <row r="6528" spans="1:12">
      <c r="A6528">
        <v>7</v>
      </c>
      <c r="B6528" s="16" t="s">
        <v>62</v>
      </c>
      <c r="C6528" s="9">
        <v>46113</v>
      </c>
      <c r="D6528">
        <v>32</v>
      </c>
      <c r="E6528" s="16" t="s">
        <v>121</v>
      </c>
      <c r="F6528" s="16" t="s">
        <v>92</v>
      </c>
      <c r="G6528" s="22">
        <v>16</v>
      </c>
      <c r="H6528" s="18">
        <v>7.9</v>
      </c>
      <c r="I6528" s="18">
        <v>0.49375000000000002</v>
      </c>
      <c r="J6528" s="18">
        <v>0.5</v>
      </c>
      <c r="K6528" s="18">
        <v>0.49</v>
      </c>
      <c r="L6528" s="22">
        <v>8</v>
      </c>
    </row>
    <row r="6529" spans="1:12">
      <c r="A6529">
        <v>7</v>
      </c>
      <c r="B6529" s="16" t="s">
        <v>62</v>
      </c>
      <c r="C6529" s="9">
        <v>46143</v>
      </c>
      <c r="D6529">
        <v>32</v>
      </c>
      <c r="E6529" s="16" t="s">
        <v>121</v>
      </c>
      <c r="F6529" s="16" t="s">
        <v>92</v>
      </c>
      <c r="G6529" s="22">
        <v>21.5</v>
      </c>
      <c r="H6529" s="18">
        <v>10.065</v>
      </c>
      <c r="I6529" s="18">
        <v>0.468139535</v>
      </c>
      <c r="J6529" s="18">
        <v>0.47</v>
      </c>
      <c r="K6529" s="18">
        <v>0.46</v>
      </c>
      <c r="L6529" s="22">
        <v>9</v>
      </c>
    </row>
    <row r="6530" spans="1:12">
      <c r="A6530">
        <v>7</v>
      </c>
      <c r="B6530" s="16" t="s">
        <v>62</v>
      </c>
      <c r="C6530" s="9">
        <v>46174</v>
      </c>
      <c r="D6530">
        <v>32</v>
      </c>
      <c r="E6530" s="16" t="s">
        <v>121</v>
      </c>
      <c r="F6530" s="16" t="s">
        <v>92</v>
      </c>
      <c r="G6530" s="22">
        <v>22.5</v>
      </c>
      <c r="H6530" s="18">
        <v>10.16</v>
      </c>
      <c r="I6530" s="18">
        <v>0.45155555600000002</v>
      </c>
      <c r="J6530" s="18">
        <v>0.46</v>
      </c>
      <c r="K6530" s="18">
        <v>0.45</v>
      </c>
      <c r="L6530" s="22">
        <v>9</v>
      </c>
    </row>
    <row r="6531" spans="1:12">
      <c r="A6531">
        <v>7</v>
      </c>
      <c r="B6531" s="16" t="s">
        <v>62</v>
      </c>
      <c r="C6531" s="9">
        <v>46204</v>
      </c>
      <c r="D6531">
        <v>32</v>
      </c>
      <c r="E6531" s="16" t="s">
        <v>121</v>
      </c>
      <c r="F6531" s="16" t="s">
        <v>92</v>
      </c>
      <c r="G6531" s="22">
        <v>23</v>
      </c>
      <c r="H6531" s="18">
        <v>10.285</v>
      </c>
      <c r="I6531" s="18">
        <v>0.44717391299999998</v>
      </c>
      <c r="J6531" s="18">
        <v>0.46</v>
      </c>
      <c r="K6531" s="18">
        <v>0.44</v>
      </c>
      <c r="L6531" s="22">
        <v>9</v>
      </c>
    </row>
    <row r="6532" spans="1:12">
      <c r="A6532">
        <v>7</v>
      </c>
      <c r="B6532" s="16" t="s">
        <v>62</v>
      </c>
      <c r="C6532" s="9">
        <v>46235</v>
      </c>
      <c r="D6532">
        <v>32</v>
      </c>
      <c r="E6532" s="16" t="s">
        <v>121</v>
      </c>
      <c r="F6532" s="16" t="s">
        <v>92</v>
      </c>
      <c r="G6532" s="22">
        <v>16.5</v>
      </c>
      <c r="H6532" s="18">
        <v>7.51</v>
      </c>
      <c r="I6532" s="18">
        <v>0.45515151500000001</v>
      </c>
      <c r="J6532" s="18">
        <v>0.47</v>
      </c>
      <c r="K6532" s="18">
        <v>0.45</v>
      </c>
      <c r="L6532" s="22">
        <v>8</v>
      </c>
    </row>
    <row r="6533" spans="1:12">
      <c r="A6533">
        <v>7</v>
      </c>
      <c r="B6533" s="16" t="s">
        <v>62</v>
      </c>
      <c r="C6533" s="9">
        <v>46266</v>
      </c>
      <c r="D6533">
        <v>32</v>
      </c>
      <c r="E6533" s="16" t="s">
        <v>121</v>
      </c>
      <c r="F6533" s="16" t="s">
        <v>92</v>
      </c>
      <c r="G6533" s="22">
        <v>20</v>
      </c>
      <c r="H6533" s="18">
        <v>9.4949999999999992</v>
      </c>
      <c r="I6533" s="18">
        <v>0.47475000000000001</v>
      </c>
      <c r="J6533" s="18">
        <v>0.49</v>
      </c>
      <c r="K6533" s="18">
        <v>0.47</v>
      </c>
      <c r="L6533" s="22">
        <v>9</v>
      </c>
    </row>
    <row r="6534" spans="1:12">
      <c r="A6534">
        <v>7</v>
      </c>
      <c r="B6534" s="16" t="s">
        <v>62</v>
      </c>
      <c r="C6534" s="9">
        <v>45689</v>
      </c>
      <c r="D6534">
        <v>33</v>
      </c>
      <c r="E6534" s="16" t="s">
        <v>122</v>
      </c>
      <c r="F6534" s="16" t="s">
        <v>92</v>
      </c>
      <c r="G6534" s="22">
        <v>70</v>
      </c>
      <c r="H6534" s="18">
        <v>54.12</v>
      </c>
      <c r="I6534" s="18">
        <v>0.77314285699999996</v>
      </c>
      <c r="J6534" s="18">
        <v>0.78</v>
      </c>
      <c r="K6534" s="18">
        <v>0.76</v>
      </c>
      <c r="L6534" s="22">
        <v>8</v>
      </c>
    </row>
    <row r="6535" spans="1:12">
      <c r="A6535">
        <v>7</v>
      </c>
      <c r="B6535" s="16" t="s">
        <v>62</v>
      </c>
      <c r="C6535" s="9">
        <v>45717</v>
      </c>
      <c r="D6535">
        <v>33</v>
      </c>
      <c r="E6535" s="16" t="s">
        <v>122</v>
      </c>
      <c r="F6535" s="16" t="s">
        <v>92</v>
      </c>
      <c r="G6535" s="22">
        <v>90</v>
      </c>
      <c r="H6535" s="18">
        <v>68.739999999999995</v>
      </c>
      <c r="I6535" s="18">
        <v>0.76377777800000002</v>
      </c>
      <c r="J6535" s="18">
        <v>0.77</v>
      </c>
      <c r="K6535" s="18">
        <v>0.75</v>
      </c>
      <c r="L6535" s="22">
        <v>8</v>
      </c>
    </row>
    <row r="6536" spans="1:12">
      <c r="A6536">
        <v>7</v>
      </c>
      <c r="B6536" s="16" t="s">
        <v>62</v>
      </c>
      <c r="C6536" s="9">
        <v>45748</v>
      </c>
      <c r="D6536">
        <v>33</v>
      </c>
      <c r="E6536" s="16" t="s">
        <v>122</v>
      </c>
      <c r="F6536" s="16" t="s">
        <v>92</v>
      </c>
      <c r="G6536" s="22">
        <v>118</v>
      </c>
      <c r="H6536" s="18">
        <v>86.18</v>
      </c>
      <c r="I6536" s="18">
        <v>0.730338983</v>
      </c>
      <c r="J6536" s="18">
        <v>0.75</v>
      </c>
      <c r="K6536" s="18">
        <v>0.71</v>
      </c>
      <c r="L6536" s="22">
        <v>9</v>
      </c>
    </row>
    <row r="6537" spans="1:12">
      <c r="A6537">
        <v>7</v>
      </c>
      <c r="B6537" s="16" t="s">
        <v>62</v>
      </c>
      <c r="C6537" s="9">
        <v>45778</v>
      </c>
      <c r="D6537">
        <v>33</v>
      </c>
      <c r="E6537" s="16" t="s">
        <v>122</v>
      </c>
      <c r="F6537" s="16" t="s">
        <v>92</v>
      </c>
      <c r="G6537" s="22">
        <v>118</v>
      </c>
      <c r="H6537" s="18">
        <v>82.82</v>
      </c>
      <c r="I6537" s="18">
        <v>0.70186440699999997</v>
      </c>
      <c r="J6537" s="18">
        <v>0.71</v>
      </c>
      <c r="K6537" s="18">
        <v>0.69</v>
      </c>
      <c r="L6537" s="22">
        <v>9</v>
      </c>
    </row>
    <row r="6538" spans="1:12">
      <c r="A6538">
        <v>7</v>
      </c>
      <c r="B6538" s="16" t="s">
        <v>62</v>
      </c>
      <c r="C6538" s="9">
        <v>45809</v>
      </c>
      <c r="D6538">
        <v>33</v>
      </c>
      <c r="E6538" s="16" t="s">
        <v>122</v>
      </c>
      <c r="F6538" s="16" t="s">
        <v>92</v>
      </c>
      <c r="G6538" s="22">
        <v>96</v>
      </c>
      <c r="H6538" s="18">
        <v>65.36</v>
      </c>
      <c r="I6538" s="18">
        <v>0.68083333300000004</v>
      </c>
      <c r="J6538" s="18">
        <v>0.7</v>
      </c>
      <c r="K6538" s="18">
        <v>0.66</v>
      </c>
      <c r="L6538" s="22">
        <v>8</v>
      </c>
    </row>
    <row r="6539" spans="1:12">
      <c r="A6539">
        <v>7</v>
      </c>
      <c r="B6539" s="16" t="s">
        <v>62</v>
      </c>
      <c r="C6539" s="9">
        <v>45839</v>
      </c>
      <c r="D6539">
        <v>33</v>
      </c>
      <c r="E6539" s="16" t="s">
        <v>122</v>
      </c>
      <c r="F6539" s="16" t="s">
        <v>92</v>
      </c>
      <c r="G6539" s="22">
        <v>106</v>
      </c>
      <c r="H6539" s="18">
        <v>71.459999999999994</v>
      </c>
      <c r="I6539" s="18">
        <v>0.674150943</v>
      </c>
      <c r="J6539" s="18">
        <v>0.69</v>
      </c>
      <c r="K6539" s="18">
        <v>0.67</v>
      </c>
      <c r="L6539" s="22">
        <v>9</v>
      </c>
    </row>
    <row r="6540" spans="1:12">
      <c r="A6540">
        <v>7</v>
      </c>
      <c r="B6540" s="16" t="s">
        <v>62</v>
      </c>
      <c r="C6540" s="9">
        <v>45870</v>
      </c>
      <c r="D6540">
        <v>33</v>
      </c>
      <c r="E6540" s="16" t="s">
        <v>122</v>
      </c>
      <c r="F6540" s="16" t="s">
        <v>92</v>
      </c>
      <c r="G6540" s="22">
        <v>122</v>
      </c>
      <c r="H6540" s="18">
        <v>83.54</v>
      </c>
      <c r="I6540" s="18">
        <v>0.68475409799999998</v>
      </c>
      <c r="J6540" s="18">
        <v>0.7</v>
      </c>
      <c r="K6540" s="18">
        <v>0.67</v>
      </c>
      <c r="L6540" s="22">
        <v>9</v>
      </c>
    </row>
    <row r="6541" spans="1:12">
      <c r="A6541">
        <v>7</v>
      </c>
      <c r="B6541" s="16" t="s">
        <v>62</v>
      </c>
      <c r="C6541" s="9">
        <v>45901</v>
      </c>
      <c r="D6541">
        <v>33</v>
      </c>
      <c r="E6541" s="16" t="s">
        <v>122</v>
      </c>
      <c r="F6541" s="16" t="s">
        <v>92</v>
      </c>
      <c r="G6541" s="22">
        <v>110</v>
      </c>
      <c r="H6541" s="18">
        <v>77.86</v>
      </c>
      <c r="I6541" s="18">
        <v>0.70781818200000002</v>
      </c>
      <c r="J6541" s="18">
        <v>0.72</v>
      </c>
      <c r="K6541" s="18">
        <v>0.69</v>
      </c>
      <c r="L6541" s="22">
        <v>9</v>
      </c>
    </row>
    <row r="6542" spans="1:12">
      <c r="A6542">
        <v>7</v>
      </c>
      <c r="B6542" s="16" t="s">
        <v>62</v>
      </c>
      <c r="C6542" s="9">
        <v>45931</v>
      </c>
      <c r="D6542">
        <v>33</v>
      </c>
      <c r="E6542" s="16" t="s">
        <v>122</v>
      </c>
      <c r="F6542" s="16" t="s">
        <v>92</v>
      </c>
      <c r="G6542" s="22">
        <v>126</v>
      </c>
      <c r="H6542" s="18">
        <v>93.18</v>
      </c>
      <c r="I6542" s="18">
        <v>0.73952381</v>
      </c>
      <c r="J6542" s="18">
        <v>0.75</v>
      </c>
      <c r="K6542" s="18">
        <v>0.73</v>
      </c>
      <c r="L6542" s="22">
        <v>9</v>
      </c>
    </row>
    <row r="6543" spans="1:12">
      <c r="A6543">
        <v>7</v>
      </c>
      <c r="B6543" s="16" t="s">
        <v>62</v>
      </c>
      <c r="C6543" s="9">
        <v>45962</v>
      </c>
      <c r="D6543">
        <v>33</v>
      </c>
      <c r="E6543" s="16" t="s">
        <v>122</v>
      </c>
      <c r="F6543" s="16" t="s">
        <v>92</v>
      </c>
      <c r="G6543" s="22">
        <v>98</v>
      </c>
      <c r="H6543" s="18">
        <v>77.260000000000005</v>
      </c>
      <c r="I6543" s="18">
        <v>0.788367347</v>
      </c>
      <c r="J6543" s="18">
        <v>0.8</v>
      </c>
      <c r="K6543" s="18">
        <v>0.77</v>
      </c>
      <c r="L6543" s="22">
        <v>8</v>
      </c>
    </row>
    <row r="6544" spans="1:12">
      <c r="A6544">
        <v>7</v>
      </c>
      <c r="B6544" s="16" t="s">
        <v>62</v>
      </c>
      <c r="C6544" s="9">
        <v>45992</v>
      </c>
      <c r="D6544">
        <v>33</v>
      </c>
      <c r="E6544" s="16" t="s">
        <v>122</v>
      </c>
      <c r="F6544" s="16" t="s">
        <v>92</v>
      </c>
      <c r="G6544" s="22">
        <v>100</v>
      </c>
      <c r="H6544" s="18">
        <v>81.02</v>
      </c>
      <c r="I6544" s="18">
        <v>0.81020000000000003</v>
      </c>
      <c r="J6544" s="18">
        <v>0.83</v>
      </c>
      <c r="K6544" s="18">
        <v>0.79</v>
      </c>
      <c r="L6544" s="22">
        <v>9</v>
      </c>
    </row>
    <row r="6545" spans="1:12">
      <c r="A6545">
        <v>7</v>
      </c>
      <c r="B6545" s="16" t="s">
        <v>62</v>
      </c>
      <c r="C6545" s="9">
        <v>46023</v>
      </c>
      <c r="D6545">
        <v>33</v>
      </c>
      <c r="E6545" s="16" t="s">
        <v>122</v>
      </c>
      <c r="F6545" s="16" t="s">
        <v>92</v>
      </c>
      <c r="G6545" s="22">
        <v>92</v>
      </c>
      <c r="H6545" s="18">
        <v>73.94</v>
      </c>
      <c r="I6545" s="18">
        <v>0.80369565200000004</v>
      </c>
      <c r="J6545" s="18">
        <v>0.83</v>
      </c>
      <c r="K6545" s="18">
        <v>0.78</v>
      </c>
      <c r="L6545" s="22">
        <v>9</v>
      </c>
    </row>
    <row r="6546" spans="1:12">
      <c r="A6546">
        <v>7</v>
      </c>
      <c r="B6546" s="16" t="s">
        <v>62</v>
      </c>
      <c r="C6546" s="9">
        <v>46054</v>
      </c>
      <c r="D6546">
        <v>33</v>
      </c>
      <c r="E6546" s="16" t="s">
        <v>122</v>
      </c>
      <c r="F6546" s="16" t="s">
        <v>92</v>
      </c>
      <c r="G6546" s="22">
        <v>94</v>
      </c>
      <c r="H6546" s="18">
        <v>75.84</v>
      </c>
      <c r="I6546" s="18">
        <v>0.80680851099999995</v>
      </c>
      <c r="J6546" s="18">
        <v>0.82</v>
      </c>
      <c r="K6546" s="18">
        <v>0.79</v>
      </c>
      <c r="L6546" s="22">
        <v>8</v>
      </c>
    </row>
    <row r="6547" spans="1:12">
      <c r="A6547">
        <v>7</v>
      </c>
      <c r="B6547" s="16" t="s">
        <v>62</v>
      </c>
      <c r="C6547" s="9">
        <v>46082</v>
      </c>
      <c r="D6547">
        <v>33</v>
      </c>
      <c r="E6547" s="16" t="s">
        <v>122</v>
      </c>
      <c r="F6547" s="16" t="s">
        <v>92</v>
      </c>
      <c r="G6547" s="22">
        <v>122</v>
      </c>
      <c r="H6547" s="18">
        <v>95.2</v>
      </c>
      <c r="I6547" s="18">
        <v>0.78032786899999995</v>
      </c>
      <c r="J6547" s="18">
        <v>0.8</v>
      </c>
      <c r="K6547" s="18">
        <v>0.76</v>
      </c>
      <c r="L6547" s="22">
        <v>9</v>
      </c>
    </row>
    <row r="6548" spans="1:12">
      <c r="A6548">
        <v>7</v>
      </c>
      <c r="B6548" s="16" t="s">
        <v>62</v>
      </c>
      <c r="C6548" s="9">
        <v>46113</v>
      </c>
      <c r="D6548">
        <v>33</v>
      </c>
      <c r="E6548" s="16" t="s">
        <v>122</v>
      </c>
      <c r="F6548" s="16" t="s">
        <v>92</v>
      </c>
      <c r="G6548" s="22">
        <v>98</v>
      </c>
      <c r="H6548" s="18">
        <v>73.8</v>
      </c>
      <c r="I6548" s="18">
        <v>0.75306122399999997</v>
      </c>
      <c r="J6548" s="18">
        <v>0.77</v>
      </c>
      <c r="K6548" s="18">
        <v>0.74</v>
      </c>
      <c r="L6548" s="22">
        <v>8</v>
      </c>
    </row>
    <row r="6549" spans="1:12">
      <c r="A6549">
        <v>7</v>
      </c>
      <c r="B6549" s="16" t="s">
        <v>62</v>
      </c>
      <c r="C6549" s="9">
        <v>46143</v>
      </c>
      <c r="D6549">
        <v>33</v>
      </c>
      <c r="E6549" s="16" t="s">
        <v>122</v>
      </c>
      <c r="F6549" s="16" t="s">
        <v>92</v>
      </c>
      <c r="G6549" s="22">
        <v>144</v>
      </c>
      <c r="H6549" s="18">
        <v>104.42</v>
      </c>
      <c r="I6549" s="18">
        <v>0.72513888900000001</v>
      </c>
      <c r="J6549" s="18">
        <v>0.74</v>
      </c>
      <c r="K6549" s="18">
        <v>0.71</v>
      </c>
      <c r="L6549" s="22">
        <v>9</v>
      </c>
    </row>
    <row r="6550" spans="1:12">
      <c r="A6550">
        <v>7</v>
      </c>
      <c r="B6550" s="16" t="s">
        <v>62</v>
      </c>
      <c r="C6550" s="9">
        <v>46174</v>
      </c>
      <c r="D6550">
        <v>33</v>
      </c>
      <c r="E6550" s="16" t="s">
        <v>122</v>
      </c>
      <c r="F6550" s="16" t="s">
        <v>92</v>
      </c>
      <c r="G6550" s="22">
        <v>128</v>
      </c>
      <c r="H6550" s="18">
        <v>91.6</v>
      </c>
      <c r="I6550" s="18">
        <v>0.71562499999999996</v>
      </c>
      <c r="J6550" s="18">
        <v>0.73</v>
      </c>
      <c r="K6550" s="18">
        <v>0.7</v>
      </c>
      <c r="L6550" s="22">
        <v>9</v>
      </c>
    </row>
    <row r="6551" spans="1:12">
      <c r="A6551">
        <v>7</v>
      </c>
      <c r="B6551" s="16" t="s">
        <v>62</v>
      </c>
      <c r="C6551" s="9">
        <v>46204</v>
      </c>
      <c r="D6551">
        <v>33</v>
      </c>
      <c r="E6551" s="16" t="s">
        <v>122</v>
      </c>
      <c r="F6551" s="16" t="s">
        <v>92</v>
      </c>
      <c r="G6551" s="22">
        <v>134</v>
      </c>
      <c r="H6551" s="18">
        <v>94.56</v>
      </c>
      <c r="I6551" s="18">
        <v>0.70567164199999999</v>
      </c>
      <c r="J6551" s="18">
        <v>0.71</v>
      </c>
      <c r="K6551" s="18">
        <v>0.7</v>
      </c>
      <c r="L6551" s="22">
        <v>9</v>
      </c>
    </row>
    <row r="6552" spans="1:12">
      <c r="A6552">
        <v>7</v>
      </c>
      <c r="B6552" s="16" t="s">
        <v>62</v>
      </c>
      <c r="C6552" s="9">
        <v>46235</v>
      </c>
      <c r="D6552">
        <v>33</v>
      </c>
      <c r="E6552" s="16" t="s">
        <v>122</v>
      </c>
      <c r="F6552" s="16" t="s">
        <v>92</v>
      </c>
      <c r="G6552" s="22">
        <v>106</v>
      </c>
      <c r="H6552" s="18">
        <v>76.42</v>
      </c>
      <c r="I6552" s="18">
        <v>0.72094339600000001</v>
      </c>
      <c r="J6552" s="18">
        <v>0.73</v>
      </c>
      <c r="K6552" s="18">
        <v>0.7</v>
      </c>
      <c r="L6552" s="22">
        <v>8</v>
      </c>
    </row>
    <row r="6553" spans="1:12">
      <c r="A6553">
        <v>7</v>
      </c>
      <c r="B6553" s="16" t="s">
        <v>62</v>
      </c>
      <c r="C6553" s="9">
        <v>46266</v>
      </c>
      <c r="D6553">
        <v>33</v>
      </c>
      <c r="E6553" s="16" t="s">
        <v>122</v>
      </c>
      <c r="F6553" s="16" t="s">
        <v>92</v>
      </c>
      <c r="G6553" s="22">
        <v>112</v>
      </c>
      <c r="H6553" s="18">
        <v>83.28</v>
      </c>
      <c r="I6553" s="18">
        <v>0.74357142899999995</v>
      </c>
      <c r="J6553" s="18">
        <v>0.75</v>
      </c>
      <c r="K6553" s="18">
        <v>0.73</v>
      </c>
      <c r="L6553" s="22">
        <v>9</v>
      </c>
    </row>
    <row r="6554" spans="1:12">
      <c r="A6554">
        <v>7</v>
      </c>
      <c r="B6554" s="16" t="s">
        <v>62</v>
      </c>
      <c r="C6554" s="9">
        <v>45689</v>
      </c>
      <c r="D6554">
        <v>34</v>
      </c>
      <c r="E6554" s="16" t="s">
        <v>123</v>
      </c>
      <c r="F6554" s="16" t="s">
        <v>114</v>
      </c>
      <c r="G6554" s="22">
        <v>13.5</v>
      </c>
      <c r="H6554" s="18">
        <v>42.914999999999999</v>
      </c>
      <c r="I6554" s="18">
        <v>3.178888889</v>
      </c>
      <c r="J6554" s="18">
        <v>3.22</v>
      </c>
      <c r="K6554" s="18">
        <v>3.14</v>
      </c>
      <c r="L6554" s="22">
        <v>11</v>
      </c>
    </row>
    <row r="6555" spans="1:12">
      <c r="A6555">
        <v>7</v>
      </c>
      <c r="B6555" s="16" t="s">
        <v>62</v>
      </c>
      <c r="C6555" s="9">
        <v>45717</v>
      </c>
      <c r="D6555">
        <v>34</v>
      </c>
      <c r="E6555" s="16" t="s">
        <v>123</v>
      </c>
      <c r="F6555" s="16" t="s">
        <v>114</v>
      </c>
      <c r="G6555" s="22">
        <v>15.75</v>
      </c>
      <c r="H6555" s="18">
        <v>50.182499999999997</v>
      </c>
      <c r="I6555" s="18">
        <v>3.1861904760000002</v>
      </c>
      <c r="J6555" s="18">
        <v>3.25</v>
      </c>
      <c r="K6555" s="18">
        <v>3.11</v>
      </c>
      <c r="L6555" s="22">
        <v>12</v>
      </c>
    </row>
    <row r="6556" spans="1:12">
      <c r="A6556">
        <v>7</v>
      </c>
      <c r="B6556" s="16" t="s">
        <v>62</v>
      </c>
      <c r="C6556" s="9">
        <v>45748</v>
      </c>
      <c r="D6556">
        <v>34</v>
      </c>
      <c r="E6556" s="16" t="s">
        <v>123</v>
      </c>
      <c r="F6556" s="16" t="s">
        <v>114</v>
      </c>
      <c r="G6556" s="22">
        <v>17.25</v>
      </c>
      <c r="H6556" s="18">
        <v>55.327500000000001</v>
      </c>
      <c r="I6556" s="18">
        <v>3.2073913040000002</v>
      </c>
      <c r="J6556" s="18">
        <v>3.27</v>
      </c>
      <c r="K6556" s="18">
        <v>3.15</v>
      </c>
      <c r="L6556" s="22">
        <v>12</v>
      </c>
    </row>
    <row r="6557" spans="1:12">
      <c r="A6557">
        <v>7</v>
      </c>
      <c r="B6557" s="16" t="s">
        <v>62</v>
      </c>
      <c r="C6557" s="9">
        <v>45778</v>
      </c>
      <c r="D6557">
        <v>34</v>
      </c>
      <c r="E6557" s="16" t="s">
        <v>123</v>
      </c>
      <c r="F6557" s="16" t="s">
        <v>114</v>
      </c>
      <c r="G6557" s="22">
        <v>18</v>
      </c>
      <c r="H6557" s="18">
        <v>58.71</v>
      </c>
      <c r="I6557" s="18">
        <v>3.2616666670000001</v>
      </c>
      <c r="J6557" s="18">
        <v>3.34</v>
      </c>
      <c r="K6557" s="18">
        <v>3.2</v>
      </c>
      <c r="L6557" s="22">
        <v>13</v>
      </c>
    </row>
    <row r="6558" spans="1:12">
      <c r="A6558">
        <v>7</v>
      </c>
      <c r="B6558" s="16" t="s">
        <v>62</v>
      </c>
      <c r="C6558" s="9">
        <v>45809</v>
      </c>
      <c r="D6558">
        <v>34</v>
      </c>
      <c r="E6558" s="16" t="s">
        <v>123</v>
      </c>
      <c r="F6558" s="16" t="s">
        <v>114</v>
      </c>
      <c r="G6558" s="22">
        <v>15.75</v>
      </c>
      <c r="H6558" s="18">
        <v>51.172499999999999</v>
      </c>
      <c r="I6558" s="18">
        <v>3.2490476190000002</v>
      </c>
      <c r="J6558" s="18">
        <v>3.32</v>
      </c>
      <c r="K6558" s="18">
        <v>3.16</v>
      </c>
      <c r="L6558" s="22">
        <v>11</v>
      </c>
    </row>
    <row r="6559" spans="1:12">
      <c r="A6559">
        <v>7</v>
      </c>
      <c r="B6559" s="16" t="s">
        <v>62</v>
      </c>
      <c r="C6559" s="9">
        <v>45839</v>
      </c>
      <c r="D6559">
        <v>34</v>
      </c>
      <c r="E6559" s="16" t="s">
        <v>123</v>
      </c>
      <c r="F6559" s="16" t="s">
        <v>114</v>
      </c>
      <c r="G6559" s="22">
        <v>15</v>
      </c>
      <c r="H6559" s="18">
        <v>48.787500000000001</v>
      </c>
      <c r="I6559" s="18">
        <v>3.2524999999999999</v>
      </c>
      <c r="J6559" s="18">
        <v>3.34</v>
      </c>
      <c r="K6559" s="18">
        <v>3.2</v>
      </c>
      <c r="L6559" s="22">
        <v>12</v>
      </c>
    </row>
    <row r="6560" spans="1:12">
      <c r="A6560">
        <v>7</v>
      </c>
      <c r="B6560" s="16" t="s">
        <v>62</v>
      </c>
      <c r="C6560" s="9">
        <v>45870</v>
      </c>
      <c r="D6560">
        <v>34</v>
      </c>
      <c r="E6560" s="16" t="s">
        <v>123</v>
      </c>
      <c r="F6560" s="16" t="s">
        <v>114</v>
      </c>
      <c r="G6560" s="22">
        <v>14.25</v>
      </c>
      <c r="H6560" s="18">
        <v>46.74</v>
      </c>
      <c r="I6560" s="18">
        <v>3.28</v>
      </c>
      <c r="J6560" s="18">
        <v>3.48</v>
      </c>
      <c r="K6560" s="18">
        <v>3.19</v>
      </c>
      <c r="L6560" s="22">
        <v>11</v>
      </c>
    </row>
    <row r="6561" spans="1:12">
      <c r="A6561">
        <v>7</v>
      </c>
      <c r="B6561" s="16" t="s">
        <v>62</v>
      </c>
      <c r="C6561" s="9">
        <v>45901</v>
      </c>
      <c r="D6561">
        <v>34</v>
      </c>
      <c r="E6561" s="16" t="s">
        <v>123</v>
      </c>
      <c r="F6561" s="16" t="s">
        <v>114</v>
      </c>
      <c r="G6561" s="22">
        <v>17.25</v>
      </c>
      <c r="H6561" s="18">
        <v>56.302500000000002</v>
      </c>
      <c r="I6561" s="18">
        <v>3.2639130430000001</v>
      </c>
      <c r="J6561" s="18">
        <v>3.33</v>
      </c>
      <c r="K6561" s="18">
        <v>3.22</v>
      </c>
      <c r="L6561" s="22">
        <v>12</v>
      </c>
    </row>
    <row r="6562" spans="1:12">
      <c r="A6562">
        <v>7</v>
      </c>
      <c r="B6562" s="16" t="s">
        <v>62</v>
      </c>
      <c r="C6562" s="9">
        <v>45931</v>
      </c>
      <c r="D6562">
        <v>34</v>
      </c>
      <c r="E6562" s="16" t="s">
        <v>123</v>
      </c>
      <c r="F6562" s="16" t="s">
        <v>114</v>
      </c>
      <c r="G6562" s="22">
        <v>18.75</v>
      </c>
      <c r="H6562" s="18">
        <v>61.957500000000003</v>
      </c>
      <c r="I6562" s="18">
        <v>3.3043999999999998</v>
      </c>
      <c r="J6562" s="18">
        <v>3.51</v>
      </c>
      <c r="K6562" s="18">
        <v>3.24</v>
      </c>
      <c r="L6562" s="22">
        <v>13</v>
      </c>
    </row>
    <row r="6563" spans="1:12">
      <c r="A6563">
        <v>7</v>
      </c>
      <c r="B6563" s="16" t="s">
        <v>62</v>
      </c>
      <c r="C6563" s="9">
        <v>45962</v>
      </c>
      <c r="D6563">
        <v>34</v>
      </c>
      <c r="E6563" s="16" t="s">
        <v>123</v>
      </c>
      <c r="F6563" s="16" t="s">
        <v>114</v>
      </c>
      <c r="G6563" s="22">
        <v>15</v>
      </c>
      <c r="H6563" s="18">
        <v>49.005000000000003</v>
      </c>
      <c r="I6563" s="18">
        <v>3.2669999999999999</v>
      </c>
      <c r="J6563" s="18">
        <v>3.31</v>
      </c>
      <c r="K6563" s="18">
        <v>3.21</v>
      </c>
      <c r="L6563" s="22">
        <v>12</v>
      </c>
    </row>
    <row r="6564" spans="1:12">
      <c r="A6564">
        <v>7</v>
      </c>
      <c r="B6564" s="16" t="s">
        <v>62</v>
      </c>
      <c r="C6564" s="9">
        <v>45992</v>
      </c>
      <c r="D6564">
        <v>34</v>
      </c>
      <c r="E6564" s="16" t="s">
        <v>123</v>
      </c>
      <c r="F6564" s="16" t="s">
        <v>114</v>
      </c>
      <c r="G6564" s="22">
        <v>17.25</v>
      </c>
      <c r="H6564" s="18">
        <v>56.744999999999997</v>
      </c>
      <c r="I6564" s="18">
        <v>3.2895652169999998</v>
      </c>
      <c r="J6564" s="18">
        <v>3.46</v>
      </c>
      <c r="K6564" s="18">
        <v>3.21</v>
      </c>
      <c r="L6564" s="22">
        <v>14</v>
      </c>
    </row>
    <row r="6565" spans="1:12">
      <c r="A6565">
        <v>7</v>
      </c>
      <c r="B6565" s="16" t="s">
        <v>62</v>
      </c>
      <c r="C6565" s="9">
        <v>46023</v>
      </c>
      <c r="D6565">
        <v>34</v>
      </c>
      <c r="E6565" s="16" t="s">
        <v>123</v>
      </c>
      <c r="F6565" s="16" t="s">
        <v>114</v>
      </c>
      <c r="G6565" s="22">
        <v>15.75</v>
      </c>
      <c r="H6565" s="18">
        <v>52.274999999999999</v>
      </c>
      <c r="I6565" s="18">
        <v>3.319047619</v>
      </c>
      <c r="J6565" s="18">
        <v>3.4</v>
      </c>
      <c r="K6565" s="18">
        <v>3.22</v>
      </c>
      <c r="L6565" s="22">
        <v>11</v>
      </c>
    </row>
    <row r="6566" spans="1:12">
      <c r="A6566">
        <v>7</v>
      </c>
      <c r="B6566" s="16" t="s">
        <v>62</v>
      </c>
      <c r="C6566" s="9">
        <v>46054</v>
      </c>
      <c r="D6566">
        <v>34</v>
      </c>
      <c r="E6566" s="16" t="s">
        <v>123</v>
      </c>
      <c r="F6566" s="16" t="s">
        <v>114</v>
      </c>
      <c r="G6566" s="22">
        <v>14.25</v>
      </c>
      <c r="H6566" s="18">
        <v>48.15</v>
      </c>
      <c r="I6566" s="18">
        <v>3.378947368</v>
      </c>
      <c r="J6566" s="18">
        <v>3.52</v>
      </c>
      <c r="K6566" s="18">
        <v>3.26</v>
      </c>
      <c r="L6566" s="22">
        <v>12</v>
      </c>
    </row>
    <row r="6567" spans="1:12">
      <c r="A6567">
        <v>7</v>
      </c>
      <c r="B6567" s="16" t="s">
        <v>62</v>
      </c>
      <c r="C6567" s="9">
        <v>46082</v>
      </c>
      <c r="D6567">
        <v>34</v>
      </c>
      <c r="E6567" s="16" t="s">
        <v>123</v>
      </c>
      <c r="F6567" s="16" t="s">
        <v>114</v>
      </c>
      <c r="G6567" s="22">
        <v>20.25</v>
      </c>
      <c r="H6567" s="18">
        <v>68.602500000000006</v>
      </c>
      <c r="I6567" s="18">
        <v>3.3877777779999998</v>
      </c>
      <c r="J6567" s="18">
        <v>3.44</v>
      </c>
      <c r="K6567" s="18">
        <v>3.32</v>
      </c>
      <c r="L6567" s="22">
        <v>13</v>
      </c>
    </row>
    <row r="6568" spans="1:12">
      <c r="A6568">
        <v>7</v>
      </c>
      <c r="B6568" s="16" t="s">
        <v>62</v>
      </c>
      <c r="C6568" s="9">
        <v>46113</v>
      </c>
      <c r="D6568">
        <v>34</v>
      </c>
      <c r="E6568" s="16" t="s">
        <v>123</v>
      </c>
      <c r="F6568" s="16" t="s">
        <v>114</v>
      </c>
      <c r="G6568" s="22">
        <v>19.5</v>
      </c>
      <c r="H6568" s="18">
        <v>65.947500000000005</v>
      </c>
      <c r="I6568" s="18">
        <v>3.3819230770000002</v>
      </c>
      <c r="J6568" s="18">
        <v>3.54</v>
      </c>
      <c r="K6568" s="18">
        <v>3.3</v>
      </c>
      <c r="L6568" s="22">
        <v>12</v>
      </c>
    </row>
    <row r="6569" spans="1:12">
      <c r="A6569">
        <v>7</v>
      </c>
      <c r="B6569" s="16" t="s">
        <v>62</v>
      </c>
      <c r="C6569" s="9">
        <v>46143</v>
      </c>
      <c r="D6569">
        <v>34</v>
      </c>
      <c r="E6569" s="16" t="s">
        <v>123</v>
      </c>
      <c r="F6569" s="16" t="s">
        <v>114</v>
      </c>
      <c r="G6569" s="22">
        <v>18.75</v>
      </c>
      <c r="H6569" s="18">
        <v>63.907499999999999</v>
      </c>
      <c r="I6569" s="18">
        <v>3.4083999999999999</v>
      </c>
      <c r="J6569" s="18">
        <v>3.49</v>
      </c>
      <c r="K6569" s="18">
        <v>3.36</v>
      </c>
      <c r="L6569" s="22">
        <v>13</v>
      </c>
    </row>
    <row r="6570" spans="1:12">
      <c r="A6570">
        <v>7</v>
      </c>
      <c r="B6570" s="16" t="s">
        <v>62</v>
      </c>
      <c r="C6570" s="9">
        <v>46174</v>
      </c>
      <c r="D6570">
        <v>34</v>
      </c>
      <c r="E6570" s="16" t="s">
        <v>123</v>
      </c>
      <c r="F6570" s="16" t="s">
        <v>114</v>
      </c>
      <c r="G6570" s="22">
        <v>18</v>
      </c>
      <c r="H6570" s="18">
        <v>61.3125</v>
      </c>
      <c r="I6570" s="18">
        <v>3.40625</v>
      </c>
      <c r="J6570" s="18">
        <v>3.45</v>
      </c>
      <c r="K6570" s="18">
        <v>3.33</v>
      </c>
      <c r="L6570" s="22">
        <v>12</v>
      </c>
    </row>
    <row r="6571" spans="1:12">
      <c r="A6571">
        <v>7</v>
      </c>
      <c r="B6571" s="16" t="s">
        <v>62</v>
      </c>
      <c r="C6571" s="9">
        <v>46204</v>
      </c>
      <c r="D6571">
        <v>34</v>
      </c>
      <c r="E6571" s="16" t="s">
        <v>123</v>
      </c>
      <c r="F6571" s="16" t="s">
        <v>114</v>
      </c>
      <c r="G6571" s="22">
        <v>18</v>
      </c>
      <c r="H6571" s="18">
        <v>60.81</v>
      </c>
      <c r="I6571" s="18">
        <v>3.378333333</v>
      </c>
      <c r="J6571" s="18">
        <v>3.44</v>
      </c>
      <c r="K6571" s="18">
        <v>3.3</v>
      </c>
      <c r="L6571" s="22">
        <v>13</v>
      </c>
    </row>
    <row r="6572" spans="1:12">
      <c r="A6572">
        <v>7</v>
      </c>
      <c r="B6572" s="16" t="s">
        <v>62</v>
      </c>
      <c r="C6572" s="9">
        <v>46235</v>
      </c>
      <c r="D6572">
        <v>34</v>
      </c>
      <c r="E6572" s="16" t="s">
        <v>123</v>
      </c>
      <c r="F6572" s="16" t="s">
        <v>114</v>
      </c>
      <c r="G6572" s="22">
        <v>18.75</v>
      </c>
      <c r="H6572" s="18">
        <v>62.9925</v>
      </c>
      <c r="I6572" s="18">
        <v>3.3595999999999999</v>
      </c>
      <c r="J6572" s="18">
        <v>3.58</v>
      </c>
      <c r="K6572" s="18">
        <v>3.22</v>
      </c>
      <c r="L6572" s="22">
        <v>12</v>
      </c>
    </row>
    <row r="6573" spans="1:12">
      <c r="A6573">
        <v>7</v>
      </c>
      <c r="B6573" s="16" t="s">
        <v>62</v>
      </c>
      <c r="C6573" s="9">
        <v>46266</v>
      </c>
      <c r="D6573">
        <v>34</v>
      </c>
      <c r="E6573" s="16" t="s">
        <v>123</v>
      </c>
      <c r="F6573" s="16" t="s">
        <v>114</v>
      </c>
      <c r="G6573" s="22">
        <v>17.25</v>
      </c>
      <c r="H6573" s="18">
        <v>57.734999999999999</v>
      </c>
      <c r="I6573" s="18">
        <v>3.3469565220000002</v>
      </c>
      <c r="J6573" s="18">
        <v>3.42</v>
      </c>
      <c r="K6573" s="18">
        <v>3.29</v>
      </c>
      <c r="L6573" s="22">
        <v>13</v>
      </c>
    </row>
    <row r="6574" spans="1:12">
      <c r="A6574">
        <v>7</v>
      </c>
      <c r="B6574" s="16" t="s">
        <v>62</v>
      </c>
      <c r="C6574" s="9">
        <v>45689</v>
      </c>
      <c r="D6574">
        <v>35</v>
      </c>
      <c r="E6574" s="16" t="s">
        <v>124</v>
      </c>
      <c r="F6574" s="16" t="s">
        <v>90</v>
      </c>
      <c r="G6574" s="22">
        <v>1</v>
      </c>
      <c r="H6574" s="18">
        <v>6.92</v>
      </c>
      <c r="I6574" s="18">
        <v>6.92</v>
      </c>
      <c r="J6574" s="18">
        <v>6.92</v>
      </c>
      <c r="K6574" s="18">
        <v>6.92</v>
      </c>
      <c r="L6574" s="22">
        <v>1</v>
      </c>
    </row>
    <row r="6575" spans="1:12">
      <c r="A6575">
        <v>7</v>
      </c>
      <c r="B6575" s="16" t="s">
        <v>62</v>
      </c>
      <c r="C6575" s="9">
        <v>45748</v>
      </c>
      <c r="D6575">
        <v>35</v>
      </c>
      <c r="E6575" s="16" t="s">
        <v>124</v>
      </c>
      <c r="F6575" s="16" t="s">
        <v>90</v>
      </c>
      <c r="G6575" s="22">
        <v>1</v>
      </c>
      <c r="H6575" s="18">
        <v>6.9</v>
      </c>
      <c r="I6575" s="18">
        <v>6.9</v>
      </c>
      <c r="J6575" s="18">
        <v>6.9</v>
      </c>
      <c r="K6575" s="18">
        <v>6.9</v>
      </c>
      <c r="L6575" s="22">
        <v>1</v>
      </c>
    </row>
    <row r="6576" spans="1:12">
      <c r="A6576">
        <v>7</v>
      </c>
      <c r="B6576" s="16" t="s">
        <v>62</v>
      </c>
      <c r="C6576" s="9">
        <v>45809</v>
      </c>
      <c r="D6576">
        <v>35</v>
      </c>
      <c r="E6576" s="16" t="s">
        <v>124</v>
      </c>
      <c r="F6576" s="16" t="s">
        <v>90</v>
      </c>
      <c r="G6576" s="22">
        <v>1</v>
      </c>
      <c r="H6576" s="18">
        <v>6.64</v>
      </c>
      <c r="I6576" s="18">
        <v>6.64</v>
      </c>
      <c r="J6576" s="18">
        <v>6.64</v>
      </c>
      <c r="K6576" s="18">
        <v>6.64</v>
      </c>
      <c r="L6576" s="22">
        <v>1</v>
      </c>
    </row>
    <row r="6577" spans="1:12">
      <c r="A6577">
        <v>7</v>
      </c>
      <c r="B6577" s="16" t="s">
        <v>62</v>
      </c>
      <c r="C6577" s="9">
        <v>45870</v>
      </c>
      <c r="D6577">
        <v>35</v>
      </c>
      <c r="E6577" s="16" t="s">
        <v>124</v>
      </c>
      <c r="F6577" s="16" t="s">
        <v>90</v>
      </c>
      <c r="G6577" s="22">
        <v>1</v>
      </c>
      <c r="H6577" s="18">
        <v>7.32</v>
      </c>
      <c r="I6577" s="18">
        <v>7.32</v>
      </c>
      <c r="J6577" s="18">
        <v>7.32</v>
      </c>
      <c r="K6577" s="18">
        <v>7.32</v>
      </c>
      <c r="L6577" s="22">
        <v>1</v>
      </c>
    </row>
    <row r="6578" spans="1:12">
      <c r="A6578">
        <v>7</v>
      </c>
      <c r="B6578" s="16" t="s">
        <v>62</v>
      </c>
      <c r="C6578" s="9">
        <v>45901</v>
      </c>
      <c r="D6578">
        <v>35</v>
      </c>
      <c r="E6578" s="16" t="s">
        <v>124</v>
      </c>
      <c r="F6578" s="16" t="s">
        <v>90</v>
      </c>
      <c r="G6578" s="22">
        <v>1</v>
      </c>
      <c r="H6578" s="18">
        <v>7.15</v>
      </c>
      <c r="I6578" s="18">
        <v>7.15</v>
      </c>
      <c r="J6578" s="18">
        <v>7.15</v>
      </c>
      <c r="K6578" s="18">
        <v>7.15</v>
      </c>
      <c r="L6578" s="22">
        <v>1</v>
      </c>
    </row>
    <row r="6579" spans="1:12">
      <c r="A6579">
        <v>7</v>
      </c>
      <c r="B6579" s="16" t="s">
        <v>62</v>
      </c>
      <c r="C6579" s="9">
        <v>45962</v>
      </c>
      <c r="D6579">
        <v>35</v>
      </c>
      <c r="E6579" s="16" t="s">
        <v>124</v>
      </c>
      <c r="F6579" s="16" t="s">
        <v>90</v>
      </c>
      <c r="G6579" s="22">
        <v>1</v>
      </c>
      <c r="H6579" s="18">
        <v>7.09</v>
      </c>
      <c r="I6579" s="18">
        <v>7.09</v>
      </c>
      <c r="J6579" s="18">
        <v>7.09</v>
      </c>
      <c r="K6579" s="18">
        <v>7.09</v>
      </c>
      <c r="L6579" s="22">
        <v>1</v>
      </c>
    </row>
    <row r="6580" spans="1:12">
      <c r="A6580">
        <v>7</v>
      </c>
      <c r="B6580" s="16" t="s">
        <v>62</v>
      </c>
      <c r="C6580" s="9">
        <v>46023</v>
      </c>
      <c r="D6580">
        <v>35</v>
      </c>
      <c r="E6580" s="16" t="s">
        <v>124</v>
      </c>
      <c r="F6580" s="16" t="s">
        <v>90</v>
      </c>
      <c r="G6580" s="22">
        <v>1</v>
      </c>
      <c r="H6580" s="18">
        <v>7.04</v>
      </c>
      <c r="I6580" s="18">
        <v>7.04</v>
      </c>
      <c r="J6580" s="18">
        <v>7.04</v>
      </c>
      <c r="K6580" s="18">
        <v>7.04</v>
      </c>
      <c r="L6580" s="22">
        <v>1</v>
      </c>
    </row>
    <row r="6581" spans="1:12">
      <c r="A6581">
        <v>7</v>
      </c>
      <c r="B6581" s="16" t="s">
        <v>62</v>
      </c>
      <c r="C6581" s="9">
        <v>46054</v>
      </c>
      <c r="D6581">
        <v>35</v>
      </c>
      <c r="E6581" s="16" t="s">
        <v>124</v>
      </c>
      <c r="F6581" s="16" t="s">
        <v>90</v>
      </c>
      <c r="G6581" s="22">
        <v>1</v>
      </c>
      <c r="H6581" s="18">
        <v>7.32</v>
      </c>
      <c r="I6581" s="18">
        <v>7.32</v>
      </c>
      <c r="J6581" s="18">
        <v>7.32</v>
      </c>
      <c r="K6581" s="18">
        <v>7.32</v>
      </c>
      <c r="L6581" s="22">
        <v>1</v>
      </c>
    </row>
    <row r="6582" spans="1:12">
      <c r="A6582">
        <v>7</v>
      </c>
      <c r="B6582" s="16" t="s">
        <v>62</v>
      </c>
      <c r="C6582" s="9">
        <v>46113</v>
      </c>
      <c r="D6582">
        <v>35</v>
      </c>
      <c r="E6582" s="16" t="s">
        <v>124</v>
      </c>
      <c r="F6582" s="16" t="s">
        <v>90</v>
      </c>
      <c r="G6582" s="22">
        <v>1</v>
      </c>
      <c r="H6582" s="18">
        <v>7.18</v>
      </c>
      <c r="I6582" s="18">
        <v>7.18</v>
      </c>
      <c r="J6582" s="18">
        <v>7.18</v>
      </c>
      <c r="K6582" s="18">
        <v>7.18</v>
      </c>
      <c r="L6582" s="22">
        <v>1</v>
      </c>
    </row>
    <row r="6583" spans="1:12">
      <c r="A6583">
        <v>7</v>
      </c>
      <c r="B6583" s="16" t="s">
        <v>62</v>
      </c>
      <c r="C6583" s="9">
        <v>46143</v>
      </c>
      <c r="D6583">
        <v>35</v>
      </c>
      <c r="E6583" s="16" t="s">
        <v>124</v>
      </c>
      <c r="F6583" s="16" t="s">
        <v>90</v>
      </c>
      <c r="G6583" s="22">
        <v>1</v>
      </c>
      <c r="H6583" s="18">
        <v>7.29</v>
      </c>
      <c r="I6583" s="18">
        <v>7.29</v>
      </c>
      <c r="J6583" s="18">
        <v>7.29</v>
      </c>
      <c r="K6583" s="18">
        <v>7.29</v>
      </c>
      <c r="L6583" s="22">
        <v>1</v>
      </c>
    </row>
    <row r="6584" spans="1:12">
      <c r="A6584">
        <v>7</v>
      </c>
      <c r="B6584" s="16" t="s">
        <v>62</v>
      </c>
      <c r="C6584" s="9">
        <v>46204</v>
      </c>
      <c r="D6584">
        <v>35</v>
      </c>
      <c r="E6584" s="16" t="s">
        <v>124</v>
      </c>
      <c r="F6584" s="16" t="s">
        <v>90</v>
      </c>
      <c r="G6584" s="22">
        <v>1</v>
      </c>
      <c r="H6584" s="18">
        <v>7.35</v>
      </c>
      <c r="I6584" s="18">
        <v>7.35</v>
      </c>
      <c r="J6584" s="18">
        <v>7.35</v>
      </c>
      <c r="K6584" s="18">
        <v>7.35</v>
      </c>
      <c r="L6584" s="22">
        <v>1</v>
      </c>
    </row>
    <row r="6585" spans="1:12">
      <c r="A6585">
        <v>7</v>
      </c>
      <c r="B6585" s="16" t="s">
        <v>62</v>
      </c>
      <c r="C6585" s="9">
        <v>46235</v>
      </c>
      <c r="D6585">
        <v>35</v>
      </c>
      <c r="E6585" s="16" t="s">
        <v>124</v>
      </c>
      <c r="F6585" s="16" t="s">
        <v>90</v>
      </c>
      <c r="G6585" s="22">
        <v>1</v>
      </c>
      <c r="H6585" s="18">
        <v>7.4</v>
      </c>
      <c r="I6585" s="18">
        <v>7.4</v>
      </c>
      <c r="J6585" s="18">
        <v>7.4</v>
      </c>
      <c r="K6585" s="18">
        <v>7.4</v>
      </c>
      <c r="L6585" s="22">
        <v>1</v>
      </c>
    </row>
    <row r="6586" spans="1:12">
      <c r="A6586">
        <v>7</v>
      </c>
      <c r="B6586" s="16" t="s">
        <v>62</v>
      </c>
      <c r="C6586" s="9">
        <v>45689</v>
      </c>
      <c r="D6586">
        <v>36</v>
      </c>
      <c r="E6586" s="16" t="s">
        <v>125</v>
      </c>
      <c r="F6586" s="16" t="s">
        <v>98</v>
      </c>
      <c r="G6586" s="22">
        <v>20</v>
      </c>
      <c r="H6586" s="18">
        <v>43.4</v>
      </c>
      <c r="I6586" s="18">
        <v>2.17</v>
      </c>
      <c r="J6586" s="18">
        <v>2.17</v>
      </c>
      <c r="K6586" s="18">
        <v>2.17</v>
      </c>
      <c r="L6586" s="22">
        <v>1</v>
      </c>
    </row>
    <row r="6587" spans="1:12">
      <c r="A6587">
        <v>7</v>
      </c>
      <c r="B6587" s="16" t="s">
        <v>62</v>
      </c>
      <c r="C6587" s="9">
        <v>45717</v>
      </c>
      <c r="D6587">
        <v>36</v>
      </c>
      <c r="E6587" s="16" t="s">
        <v>125</v>
      </c>
      <c r="F6587" s="16" t="s">
        <v>98</v>
      </c>
      <c r="G6587" s="22">
        <v>40</v>
      </c>
      <c r="H6587" s="18">
        <v>90.8</v>
      </c>
      <c r="I6587" s="18">
        <v>2.27</v>
      </c>
      <c r="J6587" s="18">
        <v>2.2799999999999998</v>
      </c>
      <c r="K6587" s="18">
        <v>2.2599999999999998</v>
      </c>
      <c r="L6587" s="22">
        <v>2</v>
      </c>
    </row>
    <row r="6588" spans="1:12">
      <c r="A6588">
        <v>7</v>
      </c>
      <c r="B6588" s="16" t="s">
        <v>62</v>
      </c>
      <c r="C6588" s="9">
        <v>45748</v>
      </c>
      <c r="D6588">
        <v>36</v>
      </c>
      <c r="E6588" s="16" t="s">
        <v>125</v>
      </c>
      <c r="F6588" s="16" t="s">
        <v>98</v>
      </c>
      <c r="G6588" s="22">
        <v>40</v>
      </c>
      <c r="H6588" s="18">
        <v>90.4</v>
      </c>
      <c r="I6588" s="18">
        <v>2.2599999999999998</v>
      </c>
      <c r="J6588" s="18">
        <v>2.27</v>
      </c>
      <c r="K6588" s="18">
        <v>2.25</v>
      </c>
      <c r="L6588" s="22">
        <v>2</v>
      </c>
    </row>
    <row r="6589" spans="1:12">
      <c r="A6589">
        <v>7</v>
      </c>
      <c r="B6589" s="16" t="s">
        <v>62</v>
      </c>
      <c r="C6589" s="9">
        <v>45778</v>
      </c>
      <c r="D6589">
        <v>36</v>
      </c>
      <c r="E6589" s="16" t="s">
        <v>125</v>
      </c>
      <c r="F6589" s="16" t="s">
        <v>98</v>
      </c>
      <c r="G6589" s="22">
        <v>20</v>
      </c>
      <c r="H6589" s="18">
        <v>44</v>
      </c>
      <c r="I6589" s="18">
        <v>2.2000000000000002</v>
      </c>
      <c r="J6589" s="18">
        <v>2.2000000000000002</v>
      </c>
      <c r="K6589" s="18">
        <v>2.2000000000000002</v>
      </c>
      <c r="L6589" s="22">
        <v>1</v>
      </c>
    </row>
    <row r="6590" spans="1:12">
      <c r="A6590">
        <v>7</v>
      </c>
      <c r="B6590" s="16" t="s">
        <v>62</v>
      </c>
      <c r="C6590" s="9">
        <v>45839</v>
      </c>
      <c r="D6590">
        <v>36</v>
      </c>
      <c r="E6590" s="16" t="s">
        <v>125</v>
      </c>
      <c r="F6590" s="16" t="s">
        <v>98</v>
      </c>
      <c r="G6590" s="22">
        <v>20</v>
      </c>
      <c r="H6590" s="18">
        <v>45.4</v>
      </c>
      <c r="I6590" s="18">
        <v>2.27</v>
      </c>
      <c r="J6590" s="18">
        <v>2.27</v>
      </c>
      <c r="K6590" s="18">
        <v>2.27</v>
      </c>
      <c r="L6590" s="22">
        <v>1</v>
      </c>
    </row>
    <row r="6591" spans="1:12">
      <c r="A6591">
        <v>7</v>
      </c>
      <c r="B6591" s="16" t="s">
        <v>62</v>
      </c>
      <c r="C6591" s="9">
        <v>45870</v>
      </c>
      <c r="D6591">
        <v>36</v>
      </c>
      <c r="E6591" s="16" t="s">
        <v>125</v>
      </c>
      <c r="F6591" s="16" t="s">
        <v>98</v>
      </c>
      <c r="G6591" s="22">
        <v>20</v>
      </c>
      <c r="H6591" s="18">
        <v>44.4</v>
      </c>
      <c r="I6591" s="18">
        <v>2.2200000000000002</v>
      </c>
      <c r="J6591" s="18">
        <v>2.2200000000000002</v>
      </c>
      <c r="K6591" s="18">
        <v>2.2200000000000002</v>
      </c>
      <c r="L6591" s="22">
        <v>1</v>
      </c>
    </row>
    <row r="6592" spans="1:12">
      <c r="A6592">
        <v>7</v>
      </c>
      <c r="B6592" s="16" t="s">
        <v>62</v>
      </c>
      <c r="C6592" s="9">
        <v>45901</v>
      </c>
      <c r="D6592">
        <v>36</v>
      </c>
      <c r="E6592" s="16" t="s">
        <v>125</v>
      </c>
      <c r="F6592" s="16" t="s">
        <v>98</v>
      </c>
      <c r="G6592" s="22">
        <v>40</v>
      </c>
      <c r="H6592" s="18">
        <v>89.4</v>
      </c>
      <c r="I6592" s="18">
        <v>2.2349999999999999</v>
      </c>
      <c r="J6592" s="18">
        <v>2.2599999999999998</v>
      </c>
      <c r="K6592" s="18">
        <v>2.21</v>
      </c>
      <c r="L6592" s="22">
        <v>2</v>
      </c>
    </row>
    <row r="6593" spans="1:12">
      <c r="A6593">
        <v>7</v>
      </c>
      <c r="B6593" s="16" t="s">
        <v>62</v>
      </c>
      <c r="C6593" s="9">
        <v>45931</v>
      </c>
      <c r="D6593">
        <v>36</v>
      </c>
      <c r="E6593" s="16" t="s">
        <v>125</v>
      </c>
      <c r="F6593" s="16" t="s">
        <v>98</v>
      </c>
      <c r="G6593" s="22">
        <v>20</v>
      </c>
      <c r="H6593" s="18">
        <v>45.4</v>
      </c>
      <c r="I6593" s="18">
        <v>2.27</v>
      </c>
      <c r="J6593" s="18">
        <v>2.27</v>
      </c>
      <c r="K6593" s="18">
        <v>2.27</v>
      </c>
      <c r="L6593" s="22">
        <v>1</v>
      </c>
    </row>
    <row r="6594" spans="1:12">
      <c r="A6594">
        <v>7</v>
      </c>
      <c r="B6594" s="16" t="s">
        <v>62</v>
      </c>
      <c r="C6594" s="9">
        <v>45962</v>
      </c>
      <c r="D6594">
        <v>36</v>
      </c>
      <c r="E6594" s="16" t="s">
        <v>125</v>
      </c>
      <c r="F6594" s="16" t="s">
        <v>98</v>
      </c>
      <c r="G6594" s="22">
        <v>20</v>
      </c>
      <c r="H6594" s="18">
        <v>46.6</v>
      </c>
      <c r="I6594" s="18">
        <v>2.33</v>
      </c>
      <c r="J6594" s="18">
        <v>2.33</v>
      </c>
      <c r="K6594" s="18">
        <v>2.33</v>
      </c>
      <c r="L6594" s="22">
        <v>1</v>
      </c>
    </row>
    <row r="6595" spans="1:12">
      <c r="A6595">
        <v>7</v>
      </c>
      <c r="B6595" s="16" t="s">
        <v>62</v>
      </c>
      <c r="C6595" s="9">
        <v>45992</v>
      </c>
      <c r="D6595">
        <v>36</v>
      </c>
      <c r="E6595" s="16" t="s">
        <v>125</v>
      </c>
      <c r="F6595" s="16" t="s">
        <v>98</v>
      </c>
      <c r="G6595" s="22">
        <v>40</v>
      </c>
      <c r="H6595" s="18">
        <v>92</v>
      </c>
      <c r="I6595" s="18">
        <v>2.2999999999999998</v>
      </c>
      <c r="J6595" s="18">
        <v>2.2999999999999998</v>
      </c>
      <c r="K6595" s="18">
        <v>2.2999999999999998</v>
      </c>
      <c r="L6595" s="22">
        <v>2</v>
      </c>
    </row>
    <row r="6596" spans="1:12">
      <c r="A6596">
        <v>7</v>
      </c>
      <c r="B6596" s="16" t="s">
        <v>62</v>
      </c>
      <c r="C6596" s="9">
        <v>46023</v>
      </c>
      <c r="D6596">
        <v>36</v>
      </c>
      <c r="E6596" s="16" t="s">
        <v>125</v>
      </c>
      <c r="F6596" s="16" t="s">
        <v>98</v>
      </c>
      <c r="G6596" s="22">
        <v>20</v>
      </c>
      <c r="H6596" s="18">
        <v>45.4</v>
      </c>
      <c r="I6596" s="18">
        <v>2.27</v>
      </c>
      <c r="J6596" s="18">
        <v>2.27</v>
      </c>
      <c r="K6596" s="18">
        <v>2.27</v>
      </c>
      <c r="L6596" s="22">
        <v>1</v>
      </c>
    </row>
    <row r="6597" spans="1:12">
      <c r="A6597">
        <v>7</v>
      </c>
      <c r="B6597" s="16" t="s">
        <v>62</v>
      </c>
      <c r="C6597" s="9">
        <v>46054</v>
      </c>
      <c r="D6597">
        <v>36</v>
      </c>
      <c r="E6597" s="16" t="s">
        <v>125</v>
      </c>
      <c r="F6597" s="16" t="s">
        <v>98</v>
      </c>
      <c r="G6597" s="22">
        <v>40</v>
      </c>
      <c r="H6597" s="18">
        <v>94</v>
      </c>
      <c r="I6597" s="18">
        <v>2.35</v>
      </c>
      <c r="J6597" s="18">
        <v>2.41</v>
      </c>
      <c r="K6597" s="18">
        <v>2.29</v>
      </c>
      <c r="L6597" s="22">
        <v>2</v>
      </c>
    </row>
    <row r="6598" spans="1:12">
      <c r="A6598">
        <v>7</v>
      </c>
      <c r="B6598" s="16" t="s">
        <v>62</v>
      </c>
      <c r="C6598" s="9">
        <v>46082</v>
      </c>
      <c r="D6598">
        <v>36</v>
      </c>
      <c r="E6598" s="16" t="s">
        <v>125</v>
      </c>
      <c r="F6598" s="16" t="s">
        <v>98</v>
      </c>
      <c r="G6598" s="22">
        <v>40</v>
      </c>
      <c r="H6598" s="18">
        <v>91.4</v>
      </c>
      <c r="I6598" s="18">
        <v>2.2850000000000001</v>
      </c>
      <c r="J6598" s="18">
        <v>2.29</v>
      </c>
      <c r="K6598" s="18">
        <v>2.2799999999999998</v>
      </c>
      <c r="L6598" s="22">
        <v>2</v>
      </c>
    </row>
    <row r="6599" spans="1:12">
      <c r="A6599">
        <v>7</v>
      </c>
      <c r="B6599" s="16" t="s">
        <v>62</v>
      </c>
      <c r="C6599" s="9">
        <v>46113</v>
      </c>
      <c r="D6599">
        <v>36</v>
      </c>
      <c r="E6599" s="16" t="s">
        <v>125</v>
      </c>
      <c r="F6599" s="16" t="s">
        <v>98</v>
      </c>
      <c r="G6599" s="22">
        <v>20</v>
      </c>
      <c r="H6599" s="18">
        <v>46.2</v>
      </c>
      <c r="I6599" s="18">
        <v>2.31</v>
      </c>
      <c r="J6599" s="18">
        <v>2.31</v>
      </c>
      <c r="K6599" s="18">
        <v>2.31</v>
      </c>
      <c r="L6599" s="22">
        <v>1</v>
      </c>
    </row>
    <row r="6600" spans="1:12">
      <c r="A6600">
        <v>7</v>
      </c>
      <c r="B6600" s="16" t="s">
        <v>62</v>
      </c>
      <c r="C6600" s="9">
        <v>46143</v>
      </c>
      <c r="D6600">
        <v>36</v>
      </c>
      <c r="E6600" s="16" t="s">
        <v>125</v>
      </c>
      <c r="F6600" s="16" t="s">
        <v>98</v>
      </c>
      <c r="G6600" s="22">
        <v>20</v>
      </c>
      <c r="H6600" s="18">
        <v>46.6</v>
      </c>
      <c r="I6600" s="18">
        <v>2.33</v>
      </c>
      <c r="J6600" s="18">
        <v>2.33</v>
      </c>
      <c r="K6600" s="18">
        <v>2.33</v>
      </c>
      <c r="L6600" s="22">
        <v>1</v>
      </c>
    </row>
    <row r="6601" spans="1:12">
      <c r="A6601">
        <v>7</v>
      </c>
      <c r="B6601" s="16" t="s">
        <v>62</v>
      </c>
      <c r="C6601" s="9">
        <v>46174</v>
      </c>
      <c r="D6601">
        <v>36</v>
      </c>
      <c r="E6601" s="16" t="s">
        <v>125</v>
      </c>
      <c r="F6601" s="16" t="s">
        <v>98</v>
      </c>
      <c r="G6601" s="22">
        <v>20</v>
      </c>
      <c r="H6601" s="18">
        <v>47.4</v>
      </c>
      <c r="I6601" s="18">
        <v>2.37</v>
      </c>
      <c r="J6601" s="18">
        <v>2.37</v>
      </c>
      <c r="K6601" s="18">
        <v>2.37</v>
      </c>
      <c r="L6601" s="22">
        <v>1</v>
      </c>
    </row>
    <row r="6602" spans="1:12">
      <c r="A6602">
        <v>7</v>
      </c>
      <c r="B6602" s="16" t="s">
        <v>62</v>
      </c>
      <c r="C6602" s="9">
        <v>46204</v>
      </c>
      <c r="D6602">
        <v>36</v>
      </c>
      <c r="E6602" s="16" t="s">
        <v>125</v>
      </c>
      <c r="F6602" s="16" t="s">
        <v>98</v>
      </c>
      <c r="G6602" s="22">
        <v>20</v>
      </c>
      <c r="H6602" s="18">
        <v>46.2</v>
      </c>
      <c r="I6602" s="18">
        <v>2.31</v>
      </c>
      <c r="J6602" s="18">
        <v>2.31</v>
      </c>
      <c r="K6602" s="18">
        <v>2.31</v>
      </c>
      <c r="L6602" s="22">
        <v>1</v>
      </c>
    </row>
    <row r="6603" spans="1:12">
      <c r="A6603">
        <v>7</v>
      </c>
      <c r="B6603" s="16" t="s">
        <v>62</v>
      </c>
      <c r="C6603" s="9">
        <v>46235</v>
      </c>
      <c r="D6603">
        <v>36</v>
      </c>
      <c r="E6603" s="16" t="s">
        <v>125</v>
      </c>
      <c r="F6603" s="16" t="s">
        <v>98</v>
      </c>
      <c r="G6603" s="22">
        <v>20</v>
      </c>
      <c r="H6603" s="18">
        <v>46.8</v>
      </c>
      <c r="I6603" s="18">
        <v>2.34</v>
      </c>
      <c r="J6603" s="18">
        <v>2.34</v>
      </c>
      <c r="K6603" s="18">
        <v>2.34</v>
      </c>
      <c r="L6603" s="22">
        <v>1</v>
      </c>
    </row>
    <row r="6604" spans="1:12">
      <c r="A6604">
        <v>7</v>
      </c>
      <c r="B6604" s="16" t="s">
        <v>62</v>
      </c>
      <c r="C6604" s="9">
        <v>46266</v>
      </c>
      <c r="D6604">
        <v>36</v>
      </c>
      <c r="E6604" s="16" t="s">
        <v>125</v>
      </c>
      <c r="F6604" s="16" t="s">
        <v>98</v>
      </c>
      <c r="G6604" s="22">
        <v>20</v>
      </c>
      <c r="H6604" s="18">
        <v>46.6</v>
      </c>
      <c r="I6604" s="18">
        <v>2.33</v>
      </c>
      <c r="J6604" s="18">
        <v>2.33</v>
      </c>
      <c r="K6604" s="18">
        <v>2.33</v>
      </c>
      <c r="L6604" s="22">
        <v>1</v>
      </c>
    </row>
    <row r="6605" spans="1:12">
      <c r="A6605">
        <v>7</v>
      </c>
      <c r="B6605" s="16" t="s">
        <v>62</v>
      </c>
      <c r="C6605" s="9">
        <v>45689</v>
      </c>
      <c r="D6605">
        <v>37</v>
      </c>
      <c r="E6605" s="16" t="s">
        <v>126</v>
      </c>
      <c r="F6605" s="16" t="s">
        <v>90</v>
      </c>
      <c r="G6605" s="22">
        <v>16</v>
      </c>
      <c r="H6605" s="18">
        <v>19.68</v>
      </c>
      <c r="I6605" s="18">
        <v>1.23</v>
      </c>
      <c r="J6605" s="18">
        <v>1.23</v>
      </c>
      <c r="K6605" s="18">
        <v>1.23</v>
      </c>
      <c r="L6605" s="22">
        <v>1</v>
      </c>
    </row>
    <row r="6606" spans="1:12">
      <c r="A6606">
        <v>7</v>
      </c>
      <c r="B6606" s="16" t="s">
        <v>62</v>
      </c>
      <c r="C6606" s="9">
        <v>45717</v>
      </c>
      <c r="D6606">
        <v>37</v>
      </c>
      <c r="E6606" s="16" t="s">
        <v>126</v>
      </c>
      <c r="F6606" s="16" t="s">
        <v>90</v>
      </c>
      <c r="G6606" s="22">
        <v>32</v>
      </c>
      <c r="H6606" s="18">
        <v>38.880000000000003</v>
      </c>
      <c r="I6606" s="18">
        <v>1.2150000000000001</v>
      </c>
      <c r="J6606" s="18">
        <v>1.22</v>
      </c>
      <c r="K6606" s="18">
        <v>1.21</v>
      </c>
      <c r="L6606" s="22">
        <v>2</v>
      </c>
    </row>
    <row r="6607" spans="1:12">
      <c r="A6607">
        <v>7</v>
      </c>
      <c r="B6607" s="16" t="s">
        <v>62</v>
      </c>
      <c r="C6607" s="9">
        <v>45748</v>
      </c>
      <c r="D6607">
        <v>37</v>
      </c>
      <c r="E6607" s="16" t="s">
        <v>126</v>
      </c>
      <c r="F6607" s="16" t="s">
        <v>90</v>
      </c>
      <c r="G6607" s="22">
        <v>32</v>
      </c>
      <c r="H6607" s="18">
        <v>39.520000000000003</v>
      </c>
      <c r="I6607" s="18">
        <v>1.2350000000000001</v>
      </c>
      <c r="J6607" s="18">
        <v>1.24</v>
      </c>
      <c r="K6607" s="18">
        <v>1.23</v>
      </c>
      <c r="L6607" s="22">
        <v>2</v>
      </c>
    </row>
    <row r="6608" spans="1:12">
      <c r="A6608">
        <v>7</v>
      </c>
      <c r="B6608" s="16" t="s">
        <v>62</v>
      </c>
      <c r="C6608" s="9">
        <v>45778</v>
      </c>
      <c r="D6608">
        <v>37</v>
      </c>
      <c r="E6608" s="16" t="s">
        <v>126</v>
      </c>
      <c r="F6608" s="16" t="s">
        <v>90</v>
      </c>
      <c r="G6608" s="22">
        <v>32</v>
      </c>
      <c r="H6608" s="18">
        <v>39.04</v>
      </c>
      <c r="I6608" s="18">
        <v>1.22</v>
      </c>
      <c r="J6608" s="18">
        <v>1.22</v>
      </c>
      <c r="K6608" s="18">
        <v>1.22</v>
      </c>
      <c r="L6608" s="22">
        <v>2</v>
      </c>
    </row>
    <row r="6609" spans="1:12">
      <c r="A6609">
        <v>7</v>
      </c>
      <c r="B6609" s="16" t="s">
        <v>62</v>
      </c>
      <c r="C6609" s="9">
        <v>45809</v>
      </c>
      <c r="D6609">
        <v>37</v>
      </c>
      <c r="E6609" s="16" t="s">
        <v>126</v>
      </c>
      <c r="F6609" s="16" t="s">
        <v>90</v>
      </c>
      <c r="G6609" s="22">
        <v>48</v>
      </c>
      <c r="H6609" s="18">
        <v>59.36</v>
      </c>
      <c r="I6609" s="18">
        <v>1.2366666669999999</v>
      </c>
      <c r="J6609" s="18">
        <v>1.25</v>
      </c>
      <c r="K6609" s="18">
        <v>1.23</v>
      </c>
      <c r="L6609" s="22">
        <v>2</v>
      </c>
    </row>
    <row r="6610" spans="1:12">
      <c r="A6610">
        <v>7</v>
      </c>
      <c r="B6610" s="16" t="s">
        <v>62</v>
      </c>
      <c r="C6610" s="9">
        <v>45839</v>
      </c>
      <c r="D6610">
        <v>37</v>
      </c>
      <c r="E6610" s="16" t="s">
        <v>126</v>
      </c>
      <c r="F6610" s="16" t="s">
        <v>90</v>
      </c>
      <c r="G6610" s="22">
        <v>32</v>
      </c>
      <c r="H6610" s="18">
        <v>39.840000000000003</v>
      </c>
      <c r="I6610" s="18">
        <v>1.2450000000000001</v>
      </c>
      <c r="J6610" s="18">
        <v>1.25</v>
      </c>
      <c r="K6610" s="18">
        <v>1.24</v>
      </c>
      <c r="L6610" s="22">
        <v>2</v>
      </c>
    </row>
    <row r="6611" spans="1:12">
      <c r="A6611">
        <v>7</v>
      </c>
      <c r="B6611" s="16" t="s">
        <v>62</v>
      </c>
      <c r="C6611" s="9">
        <v>45870</v>
      </c>
      <c r="D6611">
        <v>37</v>
      </c>
      <c r="E6611" s="16" t="s">
        <v>126</v>
      </c>
      <c r="F6611" s="16" t="s">
        <v>90</v>
      </c>
      <c r="G6611" s="22">
        <v>16</v>
      </c>
      <c r="H6611" s="18">
        <v>20.16</v>
      </c>
      <c r="I6611" s="18">
        <v>1.26</v>
      </c>
      <c r="J6611" s="18">
        <v>1.26</v>
      </c>
      <c r="K6611" s="18">
        <v>1.26</v>
      </c>
      <c r="L6611" s="22">
        <v>1</v>
      </c>
    </row>
    <row r="6612" spans="1:12">
      <c r="A6612">
        <v>7</v>
      </c>
      <c r="B6612" s="16" t="s">
        <v>62</v>
      </c>
      <c r="C6612" s="9">
        <v>45901</v>
      </c>
      <c r="D6612">
        <v>37</v>
      </c>
      <c r="E6612" s="16" t="s">
        <v>126</v>
      </c>
      <c r="F6612" s="16" t="s">
        <v>90</v>
      </c>
      <c r="G6612" s="22">
        <v>48</v>
      </c>
      <c r="H6612" s="18">
        <v>60.32</v>
      </c>
      <c r="I6612" s="18">
        <v>1.256666667</v>
      </c>
      <c r="J6612" s="18">
        <v>1.27</v>
      </c>
      <c r="K6612" s="18">
        <v>1.25</v>
      </c>
      <c r="L6612" s="22">
        <v>2</v>
      </c>
    </row>
    <row r="6613" spans="1:12">
      <c r="A6613">
        <v>7</v>
      </c>
      <c r="B6613" s="16" t="s">
        <v>62</v>
      </c>
      <c r="C6613" s="9">
        <v>45931</v>
      </c>
      <c r="D6613">
        <v>37</v>
      </c>
      <c r="E6613" s="16" t="s">
        <v>126</v>
      </c>
      <c r="F6613" s="16" t="s">
        <v>90</v>
      </c>
      <c r="G6613" s="22">
        <v>32</v>
      </c>
      <c r="H6613" s="18">
        <v>40.479999999999997</v>
      </c>
      <c r="I6613" s="18">
        <v>1.2649999999999999</v>
      </c>
      <c r="J6613" s="18">
        <v>1.28</v>
      </c>
      <c r="K6613" s="18">
        <v>1.25</v>
      </c>
      <c r="L6613" s="22">
        <v>2</v>
      </c>
    </row>
    <row r="6614" spans="1:12">
      <c r="A6614">
        <v>7</v>
      </c>
      <c r="B6614" s="16" t="s">
        <v>62</v>
      </c>
      <c r="C6614" s="9">
        <v>45962</v>
      </c>
      <c r="D6614">
        <v>37</v>
      </c>
      <c r="E6614" s="16" t="s">
        <v>126</v>
      </c>
      <c r="F6614" s="16" t="s">
        <v>90</v>
      </c>
      <c r="G6614" s="22">
        <v>32</v>
      </c>
      <c r="H6614" s="18">
        <v>40.479999999999997</v>
      </c>
      <c r="I6614" s="18">
        <v>1.2649999999999999</v>
      </c>
      <c r="J6614" s="18">
        <v>1.27</v>
      </c>
      <c r="K6614" s="18">
        <v>1.26</v>
      </c>
      <c r="L6614" s="22">
        <v>2</v>
      </c>
    </row>
    <row r="6615" spans="1:12">
      <c r="A6615">
        <v>7</v>
      </c>
      <c r="B6615" s="16" t="s">
        <v>62</v>
      </c>
      <c r="C6615" s="9">
        <v>45992</v>
      </c>
      <c r="D6615">
        <v>37</v>
      </c>
      <c r="E6615" s="16" t="s">
        <v>126</v>
      </c>
      <c r="F6615" s="16" t="s">
        <v>90</v>
      </c>
      <c r="G6615" s="22">
        <v>32</v>
      </c>
      <c r="H6615" s="18">
        <v>41.92</v>
      </c>
      <c r="I6615" s="18">
        <v>1.31</v>
      </c>
      <c r="J6615" s="18">
        <v>1.35</v>
      </c>
      <c r="K6615" s="18">
        <v>1.27</v>
      </c>
      <c r="L6615" s="22">
        <v>2</v>
      </c>
    </row>
    <row r="6616" spans="1:12">
      <c r="A6616">
        <v>7</v>
      </c>
      <c r="B6616" s="16" t="s">
        <v>62</v>
      </c>
      <c r="C6616" s="9">
        <v>46023</v>
      </c>
      <c r="D6616">
        <v>37</v>
      </c>
      <c r="E6616" s="16" t="s">
        <v>126</v>
      </c>
      <c r="F6616" s="16" t="s">
        <v>90</v>
      </c>
      <c r="G6616" s="22">
        <v>32</v>
      </c>
      <c r="H6616" s="18">
        <v>40.799999999999997</v>
      </c>
      <c r="I6616" s="18">
        <v>1.2749999999999999</v>
      </c>
      <c r="J6616" s="18">
        <v>1.28</v>
      </c>
      <c r="K6616" s="18">
        <v>1.27</v>
      </c>
      <c r="L6616" s="22">
        <v>2</v>
      </c>
    </row>
    <row r="6617" spans="1:12">
      <c r="A6617">
        <v>7</v>
      </c>
      <c r="B6617" s="16" t="s">
        <v>62</v>
      </c>
      <c r="C6617" s="9">
        <v>46054</v>
      </c>
      <c r="D6617">
        <v>37</v>
      </c>
      <c r="E6617" s="16" t="s">
        <v>126</v>
      </c>
      <c r="F6617" s="16" t="s">
        <v>90</v>
      </c>
      <c r="G6617" s="22">
        <v>16</v>
      </c>
      <c r="H6617" s="18">
        <v>19.84</v>
      </c>
      <c r="I6617" s="18">
        <v>1.24</v>
      </c>
      <c r="J6617" s="18">
        <v>1.24</v>
      </c>
      <c r="K6617" s="18">
        <v>1.24</v>
      </c>
      <c r="L6617" s="22">
        <v>1</v>
      </c>
    </row>
    <row r="6618" spans="1:12">
      <c r="A6618">
        <v>7</v>
      </c>
      <c r="B6618" s="16" t="s">
        <v>62</v>
      </c>
      <c r="C6618" s="9">
        <v>46082</v>
      </c>
      <c r="D6618">
        <v>37</v>
      </c>
      <c r="E6618" s="16" t="s">
        <v>126</v>
      </c>
      <c r="F6618" s="16" t="s">
        <v>90</v>
      </c>
      <c r="G6618" s="22">
        <v>32</v>
      </c>
      <c r="H6618" s="18">
        <v>40.479999999999997</v>
      </c>
      <c r="I6618" s="18">
        <v>1.2649999999999999</v>
      </c>
      <c r="J6618" s="18">
        <v>1.27</v>
      </c>
      <c r="K6618" s="18">
        <v>1.26</v>
      </c>
      <c r="L6618" s="22">
        <v>2</v>
      </c>
    </row>
    <row r="6619" spans="1:12">
      <c r="A6619">
        <v>7</v>
      </c>
      <c r="B6619" s="16" t="s">
        <v>62</v>
      </c>
      <c r="C6619" s="9">
        <v>46113</v>
      </c>
      <c r="D6619">
        <v>37</v>
      </c>
      <c r="E6619" s="16" t="s">
        <v>126</v>
      </c>
      <c r="F6619" s="16" t="s">
        <v>90</v>
      </c>
      <c r="G6619" s="22">
        <v>48</v>
      </c>
      <c r="H6619" s="18">
        <v>61.28</v>
      </c>
      <c r="I6619" s="18">
        <v>1.276666667</v>
      </c>
      <c r="J6619" s="18">
        <v>1.3</v>
      </c>
      <c r="K6619" s="18">
        <v>1.26</v>
      </c>
      <c r="L6619" s="22">
        <v>3</v>
      </c>
    </row>
    <row r="6620" spans="1:12">
      <c r="A6620">
        <v>7</v>
      </c>
      <c r="B6620" s="16" t="s">
        <v>62</v>
      </c>
      <c r="C6620" s="9">
        <v>46143</v>
      </c>
      <c r="D6620">
        <v>37</v>
      </c>
      <c r="E6620" s="16" t="s">
        <v>126</v>
      </c>
      <c r="F6620" s="16" t="s">
        <v>90</v>
      </c>
      <c r="G6620" s="22">
        <v>32</v>
      </c>
      <c r="H6620" s="18">
        <v>41.12</v>
      </c>
      <c r="I6620" s="18">
        <v>1.2849999999999999</v>
      </c>
      <c r="J6620" s="18">
        <v>1.29</v>
      </c>
      <c r="K6620" s="18">
        <v>1.28</v>
      </c>
      <c r="L6620" s="22">
        <v>2</v>
      </c>
    </row>
    <row r="6621" spans="1:12">
      <c r="A6621">
        <v>7</v>
      </c>
      <c r="B6621" s="16" t="s">
        <v>62</v>
      </c>
      <c r="C6621" s="9">
        <v>46174</v>
      </c>
      <c r="D6621">
        <v>37</v>
      </c>
      <c r="E6621" s="16" t="s">
        <v>126</v>
      </c>
      <c r="F6621" s="16" t="s">
        <v>90</v>
      </c>
      <c r="G6621" s="22">
        <v>48</v>
      </c>
      <c r="H6621" s="18">
        <v>60.96</v>
      </c>
      <c r="I6621" s="18">
        <v>1.27</v>
      </c>
      <c r="J6621" s="18">
        <v>1.29</v>
      </c>
      <c r="K6621" s="18">
        <v>1.26</v>
      </c>
      <c r="L6621" s="22">
        <v>2</v>
      </c>
    </row>
    <row r="6622" spans="1:12">
      <c r="A6622">
        <v>7</v>
      </c>
      <c r="B6622" s="16" t="s">
        <v>62</v>
      </c>
      <c r="C6622" s="9">
        <v>46204</v>
      </c>
      <c r="D6622">
        <v>37</v>
      </c>
      <c r="E6622" s="16" t="s">
        <v>126</v>
      </c>
      <c r="F6622" s="16" t="s">
        <v>90</v>
      </c>
      <c r="G6622" s="22">
        <v>32</v>
      </c>
      <c r="H6622" s="18">
        <v>41.28</v>
      </c>
      <c r="I6622" s="18">
        <v>1.29</v>
      </c>
      <c r="J6622" s="18">
        <v>1.31</v>
      </c>
      <c r="K6622" s="18">
        <v>1.27</v>
      </c>
      <c r="L6622" s="22">
        <v>2</v>
      </c>
    </row>
    <row r="6623" spans="1:12">
      <c r="A6623">
        <v>7</v>
      </c>
      <c r="B6623" s="16" t="s">
        <v>62</v>
      </c>
      <c r="C6623" s="9">
        <v>46235</v>
      </c>
      <c r="D6623">
        <v>37</v>
      </c>
      <c r="E6623" s="16" t="s">
        <v>126</v>
      </c>
      <c r="F6623" s="16" t="s">
        <v>90</v>
      </c>
      <c r="G6623" s="22">
        <v>48</v>
      </c>
      <c r="H6623" s="18">
        <v>62.56</v>
      </c>
      <c r="I6623" s="18">
        <v>1.3033333330000001</v>
      </c>
      <c r="J6623" s="18">
        <v>1.31</v>
      </c>
      <c r="K6623" s="18">
        <v>1.3</v>
      </c>
      <c r="L6623" s="22">
        <v>2</v>
      </c>
    </row>
    <row r="6624" spans="1:12">
      <c r="A6624">
        <v>7</v>
      </c>
      <c r="B6624" s="16" t="s">
        <v>62</v>
      </c>
      <c r="C6624" s="9">
        <v>46266</v>
      </c>
      <c r="D6624">
        <v>37</v>
      </c>
      <c r="E6624" s="16" t="s">
        <v>126</v>
      </c>
      <c r="F6624" s="16" t="s">
        <v>90</v>
      </c>
      <c r="G6624" s="22">
        <v>48</v>
      </c>
      <c r="H6624" s="18">
        <v>62.72</v>
      </c>
      <c r="I6624" s="18">
        <v>1.306666667</v>
      </c>
      <c r="J6624" s="18">
        <v>1.32</v>
      </c>
      <c r="K6624" s="18">
        <v>1.28</v>
      </c>
      <c r="L6624" s="22">
        <v>2</v>
      </c>
    </row>
    <row r="6625" spans="1:12">
      <c r="A6625">
        <v>7</v>
      </c>
      <c r="B6625" s="16" t="s">
        <v>62</v>
      </c>
      <c r="C6625" s="9">
        <v>45689</v>
      </c>
      <c r="D6625">
        <v>38</v>
      </c>
      <c r="E6625" s="16" t="s">
        <v>127</v>
      </c>
      <c r="F6625" s="16" t="s">
        <v>83</v>
      </c>
      <c r="G6625" s="22">
        <v>16.5</v>
      </c>
      <c r="H6625" s="18">
        <v>218.08</v>
      </c>
      <c r="I6625" s="18">
        <v>13.216969697</v>
      </c>
      <c r="J6625" s="18">
        <v>13.95</v>
      </c>
      <c r="K6625" s="18">
        <v>12.88</v>
      </c>
      <c r="L6625" s="22">
        <v>11</v>
      </c>
    </row>
    <row r="6626" spans="1:12">
      <c r="A6626">
        <v>7</v>
      </c>
      <c r="B6626" s="16" t="s">
        <v>62</v>
      </c>
      <c r="C6626" s="9">
        <v>45717</v>
      </c>
      <c r="D6626">
        <v>38</v>
      </c>
      <c r="E6626" s="16" t="s">
        <v>127</v>
      </c>
      <c r="F6626" s="16" t="s">
        <v>83</v>
      </c>
      <c r="G6626" s="22">
        <v>22.5</v>
      </c>
      <c r="H6626" s="18">
        <v>296.59500000000003</v>
      </c>
      <c r="I6626" s="18">
        <v>13.182</v>
      </c>
      <c r="J6626" s="18">
        <v>13.45</v>
      </c>
      <c r="K6626" s="18">
        <v>13</v>
      </c>
      <c r="L6626" s="22">
        <v>13</v>
      </c>
    </row>
    <row r="6627" spans="1:12">
      <c r="A6627">
        <v>7</v>
      </c>
      <c r="B6627" s="16" t="s">
        <v>62</v>
      </c>
      <c r="C6627" s="9">
        <v>45748</v>
      </c>
      <c r="D6627">
        <v>38</v>
      </c>
      <c r="E6627" s="16" t="s">
        <v>127</v>
      </c>
      <c r="F6627" s="16" t="s">
        <v>83</v>
      </c>
      <c r="G6627" s="22">
        <v>21</v>
      </c>
      <c r="H6627" s="18">
        <v>279.95999999999998</v>
      </c>
      <c r="I6627" s="18">
        <v>13.331428571</v>
      </c>
      <c r="J6627" s="18">
        <v>13.59</v>
      </c>
      <c r="K6627" s="18">
        <v>13.11</v>
      </c>
      <c r="L6627" s="22">
        <v>13</v>
      </c>
    </row>
    <row r="6628" spans="1:12">
      <c r="A6628">
        <v>7</v>
      </c>
      <c r="B6628" s="16" t="s">
        <v>62</v>
      </c>
      <c r="C6628" s="9">
        <v>45778</v>
      </c>
      <c r="D6628">
        <v>38</v>
      </c>
      <c r="E6628" s="16" t="s">
        <v>127</v>
      </c>
      <c r="F6628" s="16" t="s">
        <v>83</v>
      </c>
      <c r="G6628" s="22">
        <v>18</v>
      </c>
      <c r="H6628" s="18">
        <v>240.95</v>
      </c>
      <c r="I6628" s="18">
        <v>13.386111111</v>
      </c>
      <c r="J6628" s="18">
        <v>13.61</v>
      </c>
      <c r="K6628" s="18">
        <v>13.18</v>
      </c>
      <c r="L6628" s="22">
        <v>13</v>
      </c>
    </row>
    <row r="6629" spans="1:12">
      <c r="A6629">
        <v>7</v>
      </c>
      <c r="B6629" s="16" t="s">
        <v>62</v>
      </c>
      <c r="C6629" s="9">
        <v>45809</v>
      </c>
      <c r="D6629">
        <v>38</v>
      </c>
      <c r="E6629" s="16" t="s">
        <v>127</v>
      </c>
      <c r="F6629" s="16" t="s">
        <v>83</v>
      </c>
      <c r="G6629" s="22">
        <v>13.5</v>
      </c>
      <c r="H6629" s="18">
        <v>180.19499999999999</v>
      </c>
      <c r="I6629" s="18">
        <v>13.347777777999999</v>
      </c>
      <c r="J6629" s="18">
        <v>13.61</v>
      </c>
      <c r="K6629" s="18">
        <v>13.06</v>
      </c>
      <c r="L6629" s="22">
        <v>12</v>
      </c>
    </row>
    <row r="6630" spans="1:12">
      <c r="A6630">
        <v>7</v>
      </c>
      <c r="B6630" s="16" t="s">
        <v>62</v>
      </c>
      <c r="C6630" s="9">
        <v>45839</v>
      </c>
      <c r="D6630">
        <v>38</v>
      </c>
      <c r="E6630" s="16" t="s">
        <v>127</v>
      </c>
      <c r="F6630" s="16" t="s">
        <v>83</v>
      </c>
      <c r="G6630" s="22">
        <v>12.5</v>
      </c>
      <c r="H6630" s="18">
        <v>170.17500000000001</v>
      </c>
      <c r="I6630" s="18">
        <v>13.614000000000001</v>
      </c>
      <c r="J6630" s="18">
        <v>14.44</v>
      </c>
      <c r="K6630" s="18">
        <v>13.43</v>
      </c>
      <c r="L6630" s="22">
        <v>12</v>
      </c>
    </row>
    <row r="6631" spans="1:12">
      <c r="A6631">
        <v>7</v>
      </c>
      <c r="B6631" s="16" t="s">
        <v>62</v>
      </c>
      <c r="C6631" s="9">
        <v>45870</v>
      </c>
      <c r="D6631">
        <v>38</v>
      </c>
      <c r="E6631" s="16" t="s">
        <v>127</v>
      </c>
      <c r="F6631" s="16" t="s">
        <v>83</v>
      </c>
      <c r="G6631" s="22">
        <v>15</v>
      </c>
      <c r="H6631" s="18">
        <v>204.63</v>
      </c>
      <c r="I6631" s="18">
        <v>13.641999999999999</v>
      </c>
      <c r="J6631" s="18">
        <v>13.8</v>
      </c>
      <c r="K6631" s="18">
        <v>13.41</v>
      </c>
      <c r="L6631" s="22">
        <v>12</v>
      </c>
    </row>
    <row r="6632" spans="1:12">
      <c r="A6632">
        <v>7</v>
      </c>
      <c r="B6632" s="16" t="s">
        <v>62</v>
      </c>
      <c r="C6632" s="9">
        <v>45901</v>
      </c>
      <c r="D6632">
        <v>38</v>
      </c>
      <c r="E6632" s="16" t="s">
        <v>127</v>
      </c>
      <c r="F6632" s="16" t="s">
        <v>83</v>
      </c>
      <c r="G6632" s="22">
        <v>18</v>
      </c>
      <c r="H6632" s="18">
        <v>247.47499999999999</v>
      </c>
      <c r="I6632" s="18">
        <v>13.748611111000001</v>
      </c>
      <c r="J6632" s="18">
        <v>14.55</v>
      </c>
      <c r="K6632" s="18">
        <v>13.42</v>
      </c>
      <c r="L6632" s="22">
        <v>13</v>
      </c>
    </row>
    <row r="6633" spans="1:12">
      <c r="A6633">
        <v>7</v>
      </c>
      <c r="B6633" s="16" t="s">
        <v>62</v>
      </c>
      <c r="C6633" s="9">
        <v>45931</v>
      </c>
      <c r="D6633">
        <v>38</v>
      </c>
      <c r="E6633" s="16" t="s">
        <v>127</v>
      </c>
      <c r="F6633" s="16" t="s">
        <v>83</v>
      </c>
      <c r="G6633" s="22">
        <v>22</v>
      </c>
      <c r="H6633" s="18">
        <v>302.495</v>
      </c>
      <c r="I6633" s="18">
        <v>13.749772727</v>
      </c>
      <c r="J6633" s="18">
        <v>14.84</v>
      </c>
      <c r="K6633" s="18">
        <v>13.44</v>
      </c>
      <c r="L6633" s="22">
        <v>14</v>
      </c>
    </row>
    <row r="6634" spans="1:12">
      <c r="A6634">
        <v>7</v>
      </c>
      <c r="B6634" s="16" t="s">
        <v>62</v>
      </c>
      <c r="C6634" s="9">
        <v>45962</v>
      </c>
      <c r="D6634">
        <v>38</v>
      </c>
      <c r="E6634" s="16" t="s">
        <v>127</v>
      </c>
      <c r="F6634" s="16" t="s">
        <v>83</v>
      </c>
      <c r="G6634" s="22">
        <v>21.5</v>
      </c>
      <c r="H6634" s="18">
        <v>294.875</v>
      </c>
      <c r="I6634" s="18">
        <v>13.715116279</v>
      </c>
      <c r="J6634" s="18">
        <v>14.92</v>
      </c>
      <c r="K6634" s="18">
        <v>13.43</v>
      </c>
      <c r="L6634" s="22">
        <v>12</v>
      </c>
    </row>
    <row r="6635" spans="1:12">
      <c r="A6635">
        <v>7</v>
      </c>
      <c r="B6635" s="16" t="s">
        <v>62</v>
      </c>
      <c r="C6635" s="9">
        <v>45992</v>
      </c>
      <c r="D6635">
        <v>38</v>
      </c>
      <c r="E6635" s="16" t="s">
        <v>127</v>
      </c>
      <c r="F6635" s="16" t="s">
        <v>83</v>
      </c>
      <c r="G6635" s="22">
        <v>24</v>
      </c>
      <c r="H6635" s="18">
        <v>330.14499999999998</v>
      </c>
      <c r="I6635" s="18">
        <v>13.756041667</v>
      </c>
      <c r="J6635" s="18">
        <v>14.22</v>
      </c>
      <c r="K6635" s="18">
        <v>13.41</v>
      </c>
      <c r="L6635" s="22">
        <v>14</v>
      </c>
    </row>
    <row r="6636" spans="1:12">
      <c r="A6636">
        <v>7</v>
      </c>
      <c r="B6636" s="16" t="s">
        <v>62</v>
      </c>
      <c r="C6636" s="9">
        <v>46023</v>
      </c>
      <c r="D6636">
        <v>38</v>
      </c>
      <c r="E6636" s="16" t="s">
        <v>127</v>
      </c>
      <c r="F6636" s="16" t="s">
        <v>83</v>
      </c>
      <c r="G6636" s="22">
        <v>20.5</v>
      </c>
      <c r="H6636" s="18">
        <v>289.85500000000002</v>
      </c>
      <c r="I6636" s="18">
        <v>14.139268293000001</v>
      </c>
      <c r="J6636" s="18">
        <v>14.96</v>
      </c>
      <c r="K6636" s="18">
        <v>13.76</v>
      </c>
      <c r="L6636" s="22">
        <v>13</v>
      </c>
    </row>
    <row r="6637" spans="1:12">
      <c r="A6637">
        <v>7</v>
      </c>
      <c r="B6637" s="16" t="s">
        <v>62</v>
      </c>
      <c r="C6637" s="9">
        <v>46054</v>
      </c>
      <c r="D6637">
        <v>38</v>
      </c>
      <c r="E6637" s="16" t="s">
        <v>127</v>
      </c>
      <c r="F6637" s="16" t="s">
        <v>83</v>
      </c>
      <c r="G6637" s="22">
        <v>22</v>
      </c>
      <c r="H6637" s="18">
        <v>312.005</v>
      </c>
      <c r="I6637" s="18">
        <v>14.182045455000001</v>
      </c>
      <c r="J6637" s="18">
        <v>14.4</v>
      </c>
      <c r="K6637" s="18">
        <v>13.9</v>
      </c>
      <c r="L6637" s="22">
        <v>12</v>
      </c>
    </row>
    <row r="6638" spans="1:12">
      <c r="A6638">
        <v>7</v>
      </c>
      <c r="B6638" s="16" t="s">
        <v>62</v>
      </c>
      <c r="C6638" s="9">
        <v>46082</v>
      </c>
      <c r="D6638">
        <v>38</v>
      </c>
      <c r="E6638" s="16" t="s">
        <v>127</v>
      </c>
      <c r="F6638" s="16" t="s">
        <v>83</v>
      </c>
      <c r="G6638" s="22">
        <v>21.5</v>
      </c>
      <c r="H6638" s="18">
        <v>303.09500000000003</v>
      </c>
      <c r="I6638" s="18">
        <v>14.09744186</v>
      </c>
      <c r="J6638" s="18">
        <v>14.45</v>
      </c>
      <c r="K6638" s="18">
        <v>13.84</v>
      </c>
      <c r="L6638" s="22">
        <v>13</v>
      </c>
    </row>
    <row r="6639" spans="1:12">
      <c r="A6639">
        <v>7</v>
      </c>
      <c r="B6639" s="16" t="s">
        <v>62</v>
      </c>
      <c r="C6639" s="9">
        <v>46113</v>
      </c>
      <c r="D6639">
        <v>38</v>
      </c>
      <c r="E6639" s="16" t="s">
        <v>127</v>
      </c>
      <c r="F6639" s="16" t="s">
        <v>83</v>
      </c>
      <c r="G6639" s="22">
        <v>21.5</v>
      </c>
      <c r="H6639" s="18">
        <v>308.08999999999997</v>
      </c>
      <c r="I6639" s="18">
        <v>14.329767442</v>
      </c>
      <c r="J6639" s="18">
        <v>14.67</v>
      </c>
      <c r="K6639" s="18">
        <v>14.04</v>
      </c>
      <c r="L6639" s="22">
        <v>13</v>
      </c>
    </row>
    <row r="6640" spans="1:12">
      <c r="A6640">
        <v>7</v>
      </c>
      <c r="B6640" s="16" t="s">
        <v>62</v>
      </c>
      <c r="C6640" s="9">
        <v>46143</v>
      </c>
      <c r="D6640">
        <v>38</v>
      </c>
      <c r="E6640" s="16" t="s">
        <v>127</v>
      </c>
      <c r="F6640" s="16" t="s">
        <v>83</v>
      </c>
      <c r="G6640" s="22">
        <v>22</v>
      </c>
      <c r="H6640" s="18">
        <v>317.87</v>
      </c>
      <c r="I6640" s="18">
        <v>14.448636364</v>
      </c>
      <c r="J6640" s="18">
        <v>14.74</v>
      </c>
      <c r="K6640" s="18">
        <v>14.17</v>
      </c>
      <c r="L6640" s="22">
        <v>13</v>
      </c>
    </row>
    <row r="6641" spans="1:12">
      <c r="A6641">
        <v>7</v>
      </c>
      <c r="B6641" s="16" t="s">
        <v>62</v>
      </c>
      <c r="C6641" s="9">
        <v>46174</v>
      </c>
      <c r="D6641">
        <v>38</v>
      </c>
      <c r="E6641" s="16" t="s">
        <v>127</v>
      </c>
      <c r="F6641" s="16" t="s">
        <v>83</v>
      </c>
      <c r="G6641" s="22">
        <v>16</v>
      </c>
      <c r="H6641" s="18">
        <v>231.20500000000001</v>
      </c>
      <c r="I6641" s="18">
        <v>14.450312500000001</v>
      </c>
      <c r="J6641" s="18">
        <v>14.62</v>
      </c>
      <c r="K6641" s="18">
        <v>14.19</v>
      </c>
      <c r="L6641" s="22">
        <v>13</v>
      </c>
    </row>
    <row r="6642" spans="1:12">
      <c r="A6642">
        <v>7</v>
      </c>
      <c r="B6642" s="16" t="s">
        <v>62</v>
      </c>
      <c r="C6642" s="9">
        <v>46204</v>
      </c>
      <c r="D6642">
        <v>38</v>
      </c>
      <c r="E6642" s="16" t="s">
        <v>127</v>
      </c>
      <c r="F6642" s="16" t="s">
        <v>83</v>
      </c>
      <c r="G6642" s="22">
        <v>15</v>
      </c>
      <c r="H6642" s="18">
        <v>219.41499999999999</v>
      </c>
      <c r="I6642" s="18">
        <v>14.627666667</v>
      </c>
      <c r="J6642" s="18">
        <v>14.95</v>
      </c>
      <c r="K6642" s="18">
        <v>14.34</v>
      </c>
      <c r="L6642" s="22">
        <v>14</v>
      </c>
    </row>
    <row r="6643" spans="1:12">
      <c r="A6643">
        <v>7</v>
      </c>
      <c r="B6643" s="16" t="s">
        <v>62</v>
      </c>
      <c r="C6643" s="9">
        <v>46235</v>
      </c>
      <c r="D6643">
        <v>38</v>
      </c>
      <c r="E6643" s="16" t="s">
        <v>127</v>
      </c>
      <c r="F6643" s="16" t="s">
        <v>83</v>
      </c>
      <c r="G6643" s="22">
        <v>17</v>
      </c>
      <c r="H6643" s="18">
        <v>252.46</v>
      </c>
      <c r="I6643" s="18">
        <v>14.850588235</v>
      </c>
      <c r="J6643" s="18">
        <v>15.04</v>
      </c>
      <c r="K6643" s="18">
        <v>14.64</v>
      </c>
      <c r="L6643" s="22">
        <v>13</v>
      </c>
    </row>
    <row r="6644" spans="1:12">
      <c r="A6644">
        <v>7</v>
      </c>
      <c r="B6644" s="16" t="s">
        <v>62</v>
      </c>
      <c r="C6644" s="9">
        <v>46266</v>
      </c>
      <c r="D6644">
        <v>38</v>
      </c>
      <c r="E6644" s="16" t="s">
        <v>127</v>
      </c>
      <c r="F6644" s="16" t="s">
        <v>83</v>
      </c>
      <c r="G6644" s="22">
        <v>17.5</v>
      </c>
      <c r="H6644" s="18">
        <v>259.81</v>
      </c>
      <c r="I6644" s="18">
        <v>14.846285714</v>
      </c>
      <c r="J6644" s="18">
        <v>15.16</v>
      </c>
      <c r="K6644" s="18">
        <v>14.4</v>
      </c>
      <c r="L6644" s="22">
        <v>13</v>
      </c>
    </row>
    <row r="6645" spans="1:12">
      <c r="A6645">
        <v>7</v>
      </c>
      <c r="B6645" s="16" t="s">
        <v>62</v>
      </c>
      <c r="C6645" s="9">
        <v>45689</v>
      </c>
      <c r="D6645">
        <v>39</v>
      </c>
      <c r="E6645" s="16" t="s">
        <v>128</v>
      </c>
      <c r="F6645" s="16" t="s">
        <v>87</v>
      </c>
      <c r="G6645" s="22">
        <v>61.5</v>
      </c>
      <c r="H6645" s="18">
        <v>344.57749999999999</v>
      </c>
      <c r="I6645" s="18">
        <v>5.6028861790000004</v>
      </c>
      <c r="J6645" s="18">
        <v>5.69</v>
      </c>
      <c r="K6645" s="18">
        <v>5.53</v>
      </c>
      <c r="L6645" s="22">
        <v>8</v>
      </c>
    </row>
    <row r="6646" spans="1:12">
      <c r="A6646">
        <v>7</v>
      </c>
      <c r="B6646" s="16" t="s">
        <v>62</v>
      </c>
      <c r="C6646" s="9">
        <v>45717</v>
      </c>
      <c r="D6646">
        <v>39</v>
      </c>
      <c r="E6646" s="16" t="s">
        <v>128</v>
      </c>
      <c r="F6646" s="16" t="s">
        <v>87</v>
      </c>
      <c r="G6646" s="22">
        <v>64</v>
      </c>
      <c r="H6646" s="18">
        <v>363.92500000000001</v>
      </c>
      <c r="I6646" s="18">
        <v>5.6863281250000002</v>
      </c>
      <c r="J6646" s="18">
        <v>5.95</v>
      </c>
      <c r="K6646" s="18">
        <v>5.5</v>
      </c>
      <c r="L6646" s="22">
        <v>8</v>
      </c>
    </row>
    <row r="6647" spans="1:12">
      <c r="A6647">
        <v>7</v>
      </c>
      <c r="B6647" s="16" t="s">
        <v>62</v>
      </c>
      <c r="C6647" s="9">
        <v>45748</v>
      </c>
      <c r="D6647">
        <v>39</v>
      </c>
      <c r="E6647" s="16" t="s">
        <v>128</v>
      </c>
      <c r="F6647" s="16" t="s">
        <v>87</v>
      </c>
      <c r="G6647" s="22">
        <v>68.25</v>
      </c>
      <c r="H6647" s="18">
        <v>385.84249999999997</v>
      </c>
      <c r="I6647" s="18">
        <v>5.6533699630000003</v>
      </c>
      <c r="J6647" s="18">
        <v>5.72</v>
      </c>
      <c r="K6647" s="18">
        <v>5.57</v>
      </c>
      <c r="L6647" s="22">
        <v>9</v>
      </c>
    </row>
    <row r="6648" spans="1:12">
      <c r="A6648">
        <v>7</v>
      </c>
      <c r="B6648" s="16" t="s">
        <v>62</v>
      </c>
      <c r="C6648" s="9">
        <v>45778</v>
      </c>
      <c r="D6648">
        <v>39</v>
      </c>
      <c r="E6648" s="16" t="s">
        <v>128</v>
      </c>
      <c r="F6648" s="16" t="s">
        <v>87</v>
      </c>
      <c r="G6648" s="22">
        <v>62.75</v>
      </c>
      <c r="H6648" s="18">
        <v>354.07499999999999</v>
      </c>
      <c r="I6648" s="18">
        <v>5.6426294820000003</v>
      </c>
      <c r="J6648" s="18">
        <v>5.74</v>
      </c>
      <c r="K6648" s="18">
        <v>5.56</v>
      </c>
      <c r="L6648" s="22">
        <v>9</v>
      </c>
    </row>
    <row r="6649" spans="1:12">
      <c r="A6649">
        <v>7</v>
      </c>
      <c r="B6649" s="16" t="s">
        <v>62</v>
      </c>
      <c r="C6649" s="9">
        <v>45809</v>
      </c>
      <c r="D6649">
        <v>39</v>
      </c>
      <c r="E6649" s="16" t="s">
        <v>128</v>
      </c>
      <c r="F6649" s="16" t="s">
        <v>87</v>
      </c>
      <c r="G6649" s="22">
        <v>47</v>
      </c>
      <c r="H6649" s="18">
        <v>267.46749999999997</v>
      </c>
      <c r="I6649" s="18">
        <v>5.6907978720000001</v>
      </c>
      <c r="J6649" s="18">
        <v>5.78</v>
      </c>
      <c r="K6649" s="18">
        <v>5.62</v>
      </c>
      <c r="L6649" s="22">
        <v>8</v>
      </c>
    </row>
    <row r="6650" spans="1:12">
      <c r="A6650">
        <v>7</v>
      </c>
      <c r="B6650" s="16" t="s">
        <v>62</v>
      </c>
      <c r="C6650" s="9">
        <v>45839</v>
      </c>
      <c r="D6650">
        <v>39</v>
      </c>
      <c r="E6650" s="16" t="s">
        <v>128</v>
      </c>
      <c r="F6650" s="16" t="s">
        <v>87</v>
      </c>
      <c r="G6650" s="22">
        <v>55.75</v>
      </c>
      <c r="H6650" s="18">
        <v>314.97000000000003</v>
      </c>
      <c r="I6650" s="18">
        <v>5.6496860990000002</v>
      </c>
      <c r="J6650" s="18">
        <v>5.76</v>
      </c>
      <c r="K6650" s="18">
        <v>5.56</v>
      </c>
      <c r="L6650" s="22">
        <v>10</v>
      </c>
    </row>
    <row r="6651" spans="1:12">
      <c r="A6651">
        <v>7</v>
      </c>
      <c r="B6651" s="16" t="s">
        <v>62</v>
      </c>
      <c r="C6651" s="9">
        <v>45870</v>
      </c>
      <c r="D6651">
        <v>39</v>
      </c>
      <c r="E6651" s="16" t="s">
        <v>128</v>
      </c>
      <c r="F6651" s="16" t="s">
        <v>87</v>
      </c>
      <c r="G6651" s="22">
        <v>42</v>
      </c>
      <c r="H6651" s="18">
        <v>237.50749999999999</v>
      </c>
      <c r="I6651" s="18">
        <v>5.6549404760000002</v>
      </c>
      <c r="J6651" s="18">
        <v>5.76</v>
      </c>
      <c r="K6651" s="18">
        <v>5.56</v>
      </c>
      <c r="L6651" s="22">
        <v>8</v>
      </c>
    </row>
    <row r="6652" spans="1:12">
      <c r="A6652">
        <v>7</v>
      </c>
      <c r="B6652" s="16" t="s">
        <v>62</v>
      </c>
      <c r="C6652" s="9">
        <v>45901</v>
      </c>
      <c r="D6652">
        <v>39</v>
      </c>
      <c r="E6652" s="16" t="s">
        <v>128</v>
      </c>
      <c r="F6652" s="16" t="s">
        <v>87</v>
      </c>
      <c r="G6652" s="22">
        <v>54</v>
      </c>
      <c r="H6652" s="18">
        <v>311.3175</v>
      </c>
      <c r="I6652" s="18">
        <v>5.7651388890000002</v>
      </c>
      <c r="J6652" s="18">
        <v>6.04</v>
      </c>
      <c r="K6652" s="18">
        <v>5.59</v>
      </c>
      <c r="L6652" s="22">
        <v>9</v>
      </c>
    </row>
    <row r="6653" spans="1:12">
      <c r="A6653">
        <v>7</v>
      </c>
      <c r="B6653" s="16" t="s">
        <v>62</v>
      </c>
      <c r="C6653" s="9">
        <v>45931</v>
      </c>
      <c r="D6653">
        <v>39</v>
      </c>
      <c r="E6653" s="16" t="s">
        <v>128</v>
      </c>
      <c r="F6653" s="16" t="s">
        <v>87</v>
      </c>
      <c r="G6653" s="22">
        <v>70</v>
      </c>
      <c r="H6653" s="18">
        <v>391.36750000000001</v>
      </c>
      <c r="I6653" s="18">
        <v>5.5909642860000002</v>
      </c>
      <c r="J6653" s="18">
        <v>5.74</v>
      </c>
      <c r="K6653" s="18">
        <v>5.42</v>
      </c>
      <c r="L6653" s="22">
        <v>9</v>
      </c>
    </row>
    <row r="6654" spans="1:12">
      <c r="A6654">
        <v>7</v>
      </c>
      <c r="B6654" s="16" t="s">
        <v>62</v>
      </c>
      <c r="C6654" s="9">
        <v>45962</v>
      </c>
      <c r="D6654">
        <v>39</v>
      </c>
      <c r="E6654" s="16" t="s">
        <v>128</v>
      </c>
      <c r="F6654" s="16" t="s">
        <v>87</v>
      </c>
      <c r="G6654" s="22">
        <v>66.25</v>
      </c>
      <c r="H6654" s="18">
        <v>375.7525</v>
      </c>
      <c r="I6654" s="18">
        <v>5.6717358490000001</v>
      </c>
      <c r="J6654" s="18">
        <v>5.75</v>
      </c>
      <c r="K6654" s="18">
        <v>5.6</v>
      </c>
      <c r="L6654" s="22">
        <v>8</v>
      </c>
    </row>
    <row r="6655" spans="1:12">
      <c r="A6655">
        <v>7</v>
      </c>
      <c r="B6655" s="16" t="s">
        <v>62</v>
      </c>
      <c r="C6655" s="9">
        <v>45992</v>
      </c>
      <c r="D6655">
        <v>39</v>
      </c>
      <c r="E6655" s="16" t="s">
        <v>128</v>
      </c>
      <c r="F6655" s="16" t="s">
        <v>87</v>
      </c>
      <c r="G6655" s="22">
        <v>73.75</v>
      </c>
      <c r="H6655" s="18">
        <v>414.71</v>
      </c>
      <c r="I6655" s="18">
        <v>5.6231864409999996</v>
      </c>
      <c r="J6655" s="18">
        <v>5.75</v>
      </c>
      <c r="K6655" s="18">
        <v>5.5</v>
      </c>
      <c r="L6655" s="22">
        <v>9</v>
      </c>
    </row>
    <row r="6656" spans="1:12">
      <c r="A6656">
        <v>7</v>
      </c>
      <c r="B6656" s="16" t="s">
        <v>62</v>
      </c>
      <c r="C6656" s="9">
        <v>46023</v>
      </c>
      <c r="D6656">
        <v>39</v>
      </c>
      <c r="E6656" s="16" t="s">
        <v>128</v>
      </c>
      <c r="F6656" s="16" t="s">
        <v>87</v>
      </c>
      <c r="G6656" s="22">
        <v>70</v>
      </c>
      <c r="H6656" s="18">
        <v>398.57749999999999</v>
      </c>
      <c r="I6656" s="18">
        <v>5.6939642859999999</v>
      </c>
      <c r="J6656" s="18">
        <v>5.81</v>
      </c>
      <c r="K6656" s="18">
        <v>5.61</v>
      </c>
      <c r="L6656" s="22">
        <v>9</v>
      </c>
    </row>
    <row r="6657" spans="1:12">
      <c r="A6657">
        <v>7</v>
      </c>
      <c r="B6657" s="16" t="s">
        <v>62</v>
      </c>
      <c r="C6657" s="9">
        <v>46054</v>
      </c>
      <c r="D6657">
        <v>39</v>
      </c>
      <c r="E6657" s="16" t="s">
        <v>128</v>
      </c>
      <c r="F6657" s="16" t="s">
        <v>87</v>
      </c>
      <c r="G6657" s="22">
        <v>67</v>
      </c>
      <c r="H6657" s="18">
        <v>383.59750000000003</v>
      </c>
      <c r="I6657" s="18">
        <v>5.7253358209999998</v>
      </c>
      <c r="J6657" s="18">
        <v>5.82</v>
      </c>
      <c r="K6657" s="18">
        <v>5.62</v>
      </c>
      <c r="L6657" s="22">
        <v>8</v>
      </c>
    </row>
    <row r="6658" spans="1:12">
      <c r="A6658">
        <v>7</v>
      </c>
      <c r="B6658" s="16" t="s">
        <v>62</v>
      </c>
      <c r="C6658" s="9">
        <v>46082</v>
      </c>
      <c r="D6658">
        <v>39</v>
      </c>
      <c r="E6658" s="16" t="s">
        <v>128</v>
      </c>
      <c r="F6658" s="16" t="s">
        <v>87</v>
      </c>
      <c r="G6658" s="22">
        <v>81.25</v>
      </c>
      <c r="H6658" s="18">
        <v>466.03500000000003</v>
      </c>
      <c r="I6658" s="18">
        <v>5.7358153850000004</v>
      </c>
      <c r="J6658" s="18">
        <v>5.83</v>
      </c>
      <c r="K6658" s="18">
        <v>5.66</v>
      </c>
      <c r="L6658" s="22">
        <v>9</v>
      </c>
    </row>
    <row r="6659" spans="1:12">
      <c r="A6659">
        <v>7</v>
      </c>
      <c r="B6659" s="16" t="s">
        <v>62</v>
      </c>
      <c r="C6659" s="9">
        <v>46113</v>
      </c>
      <c r="D6659">
        <v>39</v>
      </c>
      <c r="E6659" s="16" t="s">
        <v>128</v>
      </c>
      <c r="F6659" s="16" t="s">
        <v>87</v>
      </c>
      <c r="G6659" s="22">
        <v>66.25</v>
      </c>
      <c r="H6659" s="18">
        <v>382.05250000000001</v>
      </c>
      <c r="I6659" s="18">
        <v>5.7668301890000002</v>
      </c>
      <c r="J6659" s="18">
        <v>5.99</v>
      </c>
      <c r="K6659" s="18">
        <v>5.53</v>
      </c>
      <c r="L6659" s="22">
        <v>9</v>
      </c>
    </row>
    <row r="6660" spans="1:12">
      <c r="A6660">
        <v>7</v>
      </c>
      <c r="B6660" s="16" t="s">
        <v>62</v>
      </c>
      <c r="C6660" s="9">
        <v>46143</v>
      </c>
      <c r="D6660">
        <v>39</v>
      </c>
      <c r="E6660" s="16" t="s">
        <v>128</v>
      </c>
      <c r="F6660" s="16" t="s">
        <v>87</v>
      </c>
      <c r="G6660" s="22">
        <v>53</v>
      </c>
      <c r="H6660" s="18">
        <v>305.74250000000001</v>
      </c>
      <c r="I6660" s="18">
        <v>5.7687264149999997</v>
      </c>
      <c r="J6660" s="18">
        <v>5.88</v>
      </c>
      <c r="K6660" s="18">
        <v>5.71</v>
      </c>
      <c r="L6660" s="22">
        <v>8</v>
      </c>
    </row>
    <row r="6661" spans="1:12">
      <c r="A6661">
        <v>7</v>
      </c>
      <c r="B6661" s="16" t="s">
        <v>62</v>
      </c>
      <c r="C6661" s="9">
        <v>46174</v>
      </c>
      <c r="D6661">
        <v>39</v>
      </c>
      <c r="E6661" s="16" t="s">
        <v>128</v>
      </c>
      <c r="F6661" s="16" t="s">
        <v>87</v>
      </c>
      <c r="G6661" s="22">
        <v>55.25</v>
      </c>
      <c r="H6661" s="18">
        <v>320.85750000000002</v>
      </c>
      <c r="I6661" s="18">
        <v>5.8073755660000002</v>
      </c>
      <c r="J6661" s="18">
        <v>5.89</v>
      </c>
      <c r="K6661" s="18">
        <v>5.75</v>
      </c>
      <c r="L6661" s="22">
        <v>9</v>
      </c>
    </row>
    <row r="6662" spans="1:12">
      <c r="A6662">
        <v>7</v>
      </c>
      <c r="B6662" s="16" t="s">
        <v>62</v>
      </c>
      <c r="C6662" s="9">
        <v>46204</v>
      </c>
      <c r="D6662">
        <v>39</v>
      </c>
      <c r="E6662" s="16" t="s">
        <v>128</v>
      </c>
      <c r="F6662" s="16" t="s">
        <v>87</v>
      </c>
      <c r="G6662" s="22">
        <v>55.5</v>
      </c>
      <c r="H6662" s="18">
        <v>326.47750000000002</v>
      </c>
      <c r="I6662" s="18">
        <v>5.8824774770000001</v>
      </c>
      <c r="J6662" s="18">
        <v>6</v>
      </c>
      <c r="K6662" s="18">
        <v>5.68</v>
      </c>
      <c r="L6662" s="22">
        <v>9</v>
      </c>
    </row>
    <row r="6663" spans="1:12">
      <c r="A6663">
        <v>7</v>
      </c>
      <c r="B6663" s="16" t="s">
        <v>62</v>
      </c>
      <c r="C6663" s="9">
        <v>46235</v>
      </c>
      <c r="D6663">
        <v>39</v>
      </c>
      <c r="E6663" s="16" t="s">
        <v>128</v>
      </c>
      <c r="F6663" s="16" t="s">
        <v>87</v>
      </c>
      <c r="G6663" s="22">
        <v>49.5</v>
      </c>
      <c r="H6663" s="18">
        <v>293.35750000000002</v>
      </c>
      <c r="I6663" s="18">
        <v>5.9264141410000004</v>
      </c>
      <c r="J6663" s="18">
        <v>5.98</v>
      </c>
      <c r="K6663" s="18">
        <v>5.85</v>
      </c>
      <c r="L6663" s="22">
        <v>8</v>
      </c>
    </row>
    <row r="6664" spans="1:12">
      <c r="A6664">
        <v>7</v>
      </c>
      <c r="B6664" s="16" t="s">
        <v>62</v>
      </c>
      <c r="C6664" s="9">
        <v>46266</v>
      </c>
      <c r="D6664">
        <v>39</v>
      </c>
      <c r="E6664" s="16" t="s">
        <v>128</v>
      </c>
      <c r="F6664" s="16" t="s">
        <v>87</v>
      </c>
      <c r="G6664" s="22">
        <v>55.25</v>
      </c>
      <c r="H6664" s="18">
        <v>326.89999999999998</v>
      </c>
      <c r="I6664" s="18">
        <v>5.9167420809999998</v>
      </c>
      <c r="J6664" s="18">
        <v>6</v>
      </c>
      <c r="K6664" s="18">
        <v>5.84</v>
      </c>
      <c r="L6664" s="22">
        <v>9</v>
      </c>
    </row>
    <row r="6665" spans="1:12">
      <c r="A6665">
        <v>7</v>
      </c>
      <c r="B6665" s="16" t="s">
        <v>62</v>
      </c>
      <c r="C6665" s="9">
        <v>45689</v>
      </c>
      <c r="D6665">
        <v>40</v>
      </c>
      <c r="E6665" s="16" t="s">
        <v>129</v>
      </c>
      <c r="F6665" s="16" t="s">
        <v>108</v>
      </c>
      <c r="G6665" s="22">
        <v>4</v>
      </c>
      <c r="H6665" s="18">
        <v>2.3199999999999998</v>
      </c>
      <c r="I6665" s="18">
        <v>0.57999999999999996</v>
      </c>
      <c r="J6665" s="18">
        <v>0.57999999999999996</v>
      </c>
      <c r="K6665" s="18">
        <v>0.57999999999999996</v>
      </c>
      <c r="L6665" s="22">
        <v>1</v>
      </c>
    </row>
    <row r="6666" spans="1:12">
      <c r="A6666">
        <v>7</v>
      </c>
      <c r="B6666" s="16" t="s">
        <v>62</v>
      </c>
      <c r="C6666" s="9">
        <v>45717</v>
      </c>
      <c r="D6666">
        <v>40</v>
      </c>
      <c r="E6666" s="16" t="s">
        <v>129</v>
      </c>
      <c r="F6666" s="16" t="s">
        <v>108</v>
      </c>
      <c r="G6666" s="22">
        <v>4</v>
      </c>
      <c r="H6666" s="18">
        <v>2.3199999999999998</v>
      </c>
      <c r="I6666" s="18">
        <v>0.57999999999999996</v>
      </c>
      <c r="J6666" s="18">
        <v>0.57999999999999996</v>
      </c>
      <c r="K6666" s="18">
        <v>0.57999999999999996</v>
      </c>
      <c r="L6666" s="22">
        <v>1</v>
      </c>
    </row>
    <row r="6667" spans="1:12">
      <c r="A6667">
        <v>7</v>
      </c>
      <c r="B6667" s="16" t="s">
        <v>62</v>
      </c>
      <c r="C6667" s="9">
        <v>45748</v>
      </c>
      <c r="D6667">
        <v>40</v>
      </c>
      <c r="E6667" s="16" t="s">
        <v>129</v>
      </c>
      <c r="F6667" s="16" t="s">
        <v>108</v>
      </c>
      <c r="G6667" s="22">
        <v>4</v>
      </c>
      <c r="H6667" s="18">
        <v>2.3199999999999998</v>
      </c>
      <c r="I6667" s="18">
        <v>0.57999999999999996</v>
      </c>
      <c r="J6667" s="18">
        <v>0.57999999999999996</v>
      </c>
      <c r="K6667" s="18">
        <v>0.57999999999999996</v>
      </c>
      <c r="L6667" s="22">
        <v>1</v>
      </c>
    </row>
    <row r="6668" spans="1:12">
      <c r="A6668">
        <v>7</v>
      </c>
      <c r="B6668" s="16" t="s">
        <v>62</v>
      </c>
      <c r="C6668" s="9">
        <v>45809</v>
      </c>
      <c r="D6668">
        <v>40</v>
      </c>
      <c r="E6668" s="16" t="s">
        <v>129</v>
      </c>
      <c r="F6668" s="16" t="s">
        <v>108</v>
      </c>
      <c r="G6668" s="22">
        <v>4</v>
      </c>
      <c r="H6668" s="18">
        <v>2.3199999999999998</v>
      </c>
      <c r="I6668" s="18">
        <v>0.57999999999999996</v>
      </c>
      <c r="J6668" s="18">
        <v>0.57999999999999996</v>
      </c>
      <c r="K6668" s="18">
        <v>0.57999999999999996</v>
      </c>
      <c r="L6668" s="22">
        <v>1</v>
      </c>
    </row>
    <row r="6669" spans="1:12">
      <c r="A6669">
        <v>7</v>
      </c>
      <c r="B6669" s="16" t="s">
        <v>62</v>
      </c>
      <c r="C6669" s="9">
        <v>45870</v>
      </c>
      <c r="D6669">
        <v>40</v>
      </c>
      <c r="E6669" s="16" t="s">
        <v>129</v>
      </c>
      <c r="F6669" s="16" t="s">
        <v>108</v>
      </c>
      <c r="G6669" s="22">
        <v>4</v>
      </c>
      <c r="H6669" s="18">
        <v>2.2799999999999998</v>
      </c>
      <c r="I6669" s="18">
        <v>0.56999999999999995</v>
      </c>
      <c r="J6669" s="18">
        <v>0.56999999999999995</v>
      </c>
      <c r="K6669" s="18">
        <v>0.56999999999999995</v>
      </c>
      <c r="L6669" s="22">
        <v>1</v>
      </c>
    </row>
    <row r="6670" spans="1:12">
      <c r="A6670">
        <v>7</v>
      </c>
      <c r="B6670" s="16" t="s">
        <v>62</v>
      </c>
      <c r="C6670" s="9">
        <v>45931</v>
      </c>
      <c r="D6670">
        <v>40</v>
      </c>
      <c r="E6670" s="16" t="s">
        <v>129</v>
      </c>
      <c r="F6670" s="16" t="s">
        <v>108</v>
      </c>
      <c r="G6670" s="22">
        <v>8</v>
      </c>
      <c r="H6670" s="18">
        <v>4.68</v>
      </c>
      <c r="I6670" s="18">
        <v>0.58499999999999996</v>
      </c>
      <c r="J6670" s="18">
        <v>0.59</v>
      </c>
      <c r="K6670" s="18">
        <v>0.57999999999999996</v>
      </c>
      <c r="L6670" s="22">
        <v>2</v>
      </c>
    </row>
    <row r="6671" spans="1:12">
      <c r="A6671">
        <v>7</v>
      </c>
      <c r="B6671" s="16" t="s">
        <v>62</v>
      </c>
      <c r="C6671" s="9">
        <v>45962</v>
      </c>
      <c r="D6671">
        <v>40</v>
      </c>
      <c r="E6671" s="16" t="s">
        <v>129</v>
      </c>
      <c r="F6671" s="16" t="s">
        <v>108</v>
      </c>
      <c r="G6671" s="22">
        <v>4</v>
      </c>
      <c r="H6671" s="18">
        <v>2.3199999999999998</v>
      </c>
      <c r="I6671" s="18">
        <v>0.57999999999999996</v>
      </c>
      <c r="J6671" s="18">
        <v>0.57999999999999996</v>
      </c>
      <c r="K6671" s="18">
        <v>0.57999999999999996</v>
      </c>
      <c r="L6671" s="22">
        <v>1</v>
      </c>
    </row>
    <row r="6672" spans="1:12">
      <c r="A6672">
        <v>7</v>
      </c>
      <c r="B6672" s="16" t="s">
        <v>62</v>
      </c>
      <c r="C6672" s="9">
        <v>45992</v>
      </c>
      <c r="D6672">
        <v>40</v>
      </c>
      <c r="E6672" s="16" t="s">
        <v>129</v>
      </c>
      <c r="F6672" s="16" t="s">
        <v>108</v>
      </c>
      <c r="G6672" s="22">
        <v>4</v>
      </c>
      <c r="H6672" s="18">
        <v>2.2799999999999998</v>
      </c>
      <c r="I6672" s="18">
        <v>0.56999999999999995</v>
      </c>
      <c r="J6672" s="18">
        <v>0.56999999999999995</v>
      </c>
      <c r="K6672" s="18">
        <v>0.56999999999999995</v>
      </c>
      <c r="L6672" s="22">
        <v>1</v>
      </c>
    </row>
    <row r="6673" spans="1:12">
      <c r="A6673">
        <v>7</v>
      </c>
      <c r="B6673" s="16" t="s">
        <v>62</v>
      </c>
      <c r="C6673" s="9">
        <v>46054</v>
      </c>
      <c r="D6673">
        <v>40</v>
      </c>
      <c r="E6673" s="16" t="s">
        <v>129</v>
      </c>
      <c r="F6673" s="16" t="s">
        <v>108</v>
      </c>
      <c r="G6673" s="22">
        <v>4</v>
      </c>
      <c r="H6673" s="18">
        <v>2.36</v>
      </c>
      <c r="I6673" s="18">
        <v>0.59</v>
      </c>
      <c r="J6673" s="18">
        <v>0.59</v>
      </c>
      <c r="K6673" s="18">
        <v>0.59</v>
      </c>
      <c r="L6673" s="22">
        <v>1</v>
      </c>
    </row>
    <row r="6674" spans="1:12">
      <c r="A6674">
        <v>7</v>
      </c>
      <c r="B6674" s="16" t="s">
        <v>62</v>
      </c>
      <c r="C6674" s="9">
        <v>46082</v>
      </c>
      <c r="D6674">
        <v>40</v>
      </c>
      <c r="E6674" s="16" t="s">
        <v>129</v>
      </c>
      <c r="F6674" s="16" t="s">
        <v>108</v>
      </c>
      <c r="G6674" s="22">
        <v>4</v>
      </c>
      <c r="H6674" s="18">
        <v>2.36</v>
      </c>
      <c r="I6674" s="18">
        <v>0.59</v>
      </c>
      <c r="J6674" s="18">
        <v>0.59</v>
      </c>
      <c r="K6674" s="18">
        <v>0.59</v>
      </c>
      <c r="L6674" s="22">
        <v>1</v>
      </c>
    </row>
    <row r="6675" spans="1:12">
      <c r="A6675">
        <v>7</v>
      </c>
      <c r="B6675" s="16" t="s">
        <v>62</v>
      </c>
      <c r="C6675" s="9">
        <v>46113</v>
      </c>
      <c r="D6675">
        <v>40</v>
      </c>
      <c r="E6675" s="16" t="s">
        <v>129</v>
      </c>
      <c r="F6675" s="16" t="s">
        <v>108</v>
      </c>
      <c r="G6675" s="22">
        <v>4</v>
      </c>
      <c r="H6675" s="18">
        <v>2.2799999999999998</v>
      </c>
      <c r="I6675" s="18">
        <v>0.56999999999999995</v>
      </c>
      <c r="J6675" s="18">
        <v>0.56999999999999995</v>
      </c>
      <c r="K6675" s="18">
        <v>0.56999999999999995</v>
      </c>
      <c r="L6675" s="22">
        <v>1</v>
      </c>
    </row>
    <row r="6676" spans="1:12">
      <c r="A6676">
        <v>7</v>
      </c>
      <c r="B6676" s="16" t="s">
        <v>62</v>
      </c>
      <c r="C6676" s="9">
        <v>46174</v>
      </c>
      <c r="D6676">
        <v>40</v>
      </c>
      <c r="E6676" s="16" t="s">
        <v>129</v>
      </c>
      <c r="F6676" s="16" t="s">
        <v>108</v>
      </c>
      <c r="G6676" s="22">
        <v>4</v>
      </c>
      <c r="H6676" s="18">
        <v>2.3199999999999998</v>
      </c>
      <c r="I6676" s="18">
        <v>0.57999999999999996</v>
      </c>
      <c r="J6676" s="18">
        <v>0.57999999999999996</v>
      </c>
      <c r="K6676" s="18">
        <v>0.57999999999999996</v>
      </c>
      <c r="L6676" s="22">
        <v>1</v>
      </c>
    </row>
    <row r="6677" spans="1:12">
      <c r="A6677">
        <v>7</v>
      </c>
      <c r="B6677" s="16" t="s">
        <v>62</v>
      </c>
      <c r="C6677" s="9">
        <v>46204</v>
      </c>
      <c r="D6677">
        <v>40</v>
      </c>
      <c r="E6677" s="16" t="s">
        <v>129</v>
      </c>
      <c r="F6677" s="16" t="s">
        <v>108</v>
      </c>
      <c r="G6677" s="22">
        <v>4</v>
      </c>
      <c r="H6677" s="18">
        <v>2.3199999999999998</v>
      </c>
      <c r="I6677" s="18">
        <v>0.57999999999999996</v>
      </c>
      <c r="J6677" s="18">
        <v>0.57999999999999996</v>
      </c>
      <c r="K6677" s="18">
        <v>0.57999999999999996</v>
      </c>
      <c r="L6677" s="22">
        <v>1</v>
      </c>
    </row>
    <row r="6678" spans="1:12">
      <c r="A6678">
        <v>7</v>
      </c>
      <c r="B6678" s="16" t="s">
        <v>62</v>
      </c>
      <c r="C6678" s="9">
        <v>46266</v>
      </c>
      <c r="D6678">
        <v>40</v>
      </c>
      <c r="E6678" s="16" t="s">
        <v>129</v>
      </c>
      <c r="F6678" s="16" t="s">
        <v>108</v>
      </c>
      <c r="G6678" s="22">
        <v>4</v>
      </c>
      <c r="H6678" s="18">
        <v>2.3199999999999998</v>
      </c>
      <c r="I6678" s="18">
        <v>0.57999999999999996</v>
      </c>
      <c r="J6678" s="18">
        <v>0.57999999999999996</v>
      </c>
      <c r="K6678" s="18">
        <v>0.57999999999999996</v>
      </c>
      <c r="L6678" s="22">
        <v>1</v>
      </c>
    </row>
    <row r="6679" spans="1:12">
      <c r="A6679">
        <v>7</v>
      </c>
      <c r="B6679" s="16" t="s">
        <v>62</v>
      </c>
      <c r="C6679" s="9">
        <v>45689</v>
      </c>
      <c r="D6679">
        <v>41</v>
      </c>
      <c r="E6679" s="16" t="s">
        <v>130</v>
      </c>
      <c r="F6679" s="16" t="s">
        <v>87</v>
      </c>
      <c r="G6679" s="22">
        <v>65.5</v>
      </c>
      <c r="H6679" s="18">
        <v>212.7225</v>
      </c>
      <c r="I6679" s="18">
        <v>3.2476717559999999</v>
      </c>
      <c r="J6679" s="18">
        <v>3.31</v>
      </c>
      <c r="K6679" s="18">
        <v>3.11</v>
      </c>
      <c r="L6679" s="22">
        <v>8</v>
      </c>
    </row>
    <row r="6680" spans="1:12">
      <c r="A6680">
        <v>7</v>
      </c>
      <c r="B6680" s="16" t="s">
        <v>62</v>
      </c>
      <c r="C6680" s="9">
        <v>45717</v>
      </c>
      <c r="D6680">
        <v>41</v>
      </c>
      <c r="E6680" s="16" t="s">
        <v>130</v>
      </c>
      <c r="F6680" s="16" t="s">
        <v>87</v>
      </c>
      <c r="G6680" s="22">
        <v>86.5</v>
      </c>
      <c r="H6680" s="18">
        <v>279.02</v>
      </c>
      <c r="I6680" s="18">
        <v>3.22566474</v>
      </c>
      <c r="J6680" s="18">
        <v>3.28</v>
      </c>
      <c r="K6680" s="18">
        <v>3.18</v>
      </c>
      <c r="L6680" s="22">
        <v>8</v>
      </c>
    </row>
    <row r="6681" spans="1:12">
      <c r="A6681">
        <v>7</v>
      </c>
      <c r="B6681" s="16" t="s">
        <v>62</v>
      </c>
      <c r="C6681" s="9">
        <v>45748</v>
      </c>
      <c r="D6681">
        <v>41</v>
      </c>
      <c r="E6681" s="16" t="s">
        <v>130</v>
      </c>
      <c r="F6681" s="16" t="s">
        <v>87</v>
      </c>
      <c r="G6681" s="22">
        <v>106.75</v>
      </c>
      <c r="H6681" s="18">
        <v>346.48250000000002</v>
      </c>
      <c r="I6681" s="18">
        <v>3.2457377049999998</v>
      </c>
      <c r="J6681" s="18">
        <v>3.31</v>
      </c>
      <c r="K6681" s="18">
        <v>3.17</v>
      </c>
      <c r="L6681" s="22">
        <v>9</v>
      </c>
    </row>
    <row r="6682" spans="1:12">
      <c r="A6682">
        <v>7</v>
      </c>
      <c r="B6682" s="16" t="s">
        <v>62</v>
      </c>
      <c r="C6682" s="9">
        <v>45778</v>
      </c>
      <c r="D6682">
        <v>41</v>
      </c>
      <c r="E6682" s="16" t="s">
        <v>130</v>
      </c>
      <c r="F6682" s="16" t="s">
        <v>87</v>
      </c>
      <c r="G6682" s="22">
        <v>103.75</v>
      </c>
      <c r="H6682" s="18">
        <v>335.62</v>
      </c>
      <c r="I6682" s="18">
        <v>3.2348915659999999</v>
      </c>
      <c r="J6682" s="18">
        <v>3.3</v>
      </c>
      <c r="K6682" s="18">
        <v>3.2</v>
      </c>
      <c r="L6682" s="22">
        <v>8</v>
      </c>
    </row>
    <row r="6683" spans="1:12">
      <c r="A6683">
        <v>7</v>
      </c>
      <c r="B6683" s="16" t="s">
        <v>62</v>
      </c>
      <c r="C6683" s="9">
        <v>45809</v>
      </c>
      <c r="D6683">
        <v>41</v>
      </c>
      <c r="E6683" s="16" t="s">
        <v>130</v>
      </c>
      <c r="F6683" s="16" t="s">
        <v>87</v>
      </c>
      <c r="G6683" s="22">
        <v>85.25</v>
      </c>
      <c r="H6683" s="18">
        <v>277.34750000000003</v>
      </c>
      <c r="I6683" s="18">
        <v>3.2533431089999998</v>
      </c>
      <c r="J6683" s="18">
        <v>3.36</v>
      </c>
      <c r="K6683" s="18">
        <v>3.19</v>
      </c>
      <c r="L6683" s="22">
        <v>7</v>
      </c>
    </row>
    <row r="6684" spans="1:12">
      <c r="A6684">
        <v>7</v>
      </c>
      <c r="B6684" s="16" t="s">
        <v>62</v>
      </c>
      <c r="C6684" s="9">
        <v>45839</v>
      </c>
      <c r="D6684">
        <v>41</v>
      </c>
      <c r="E6684" s="16" t="s">
        <v>130</v>
      </c>
      <c r="F6684" s="16" t="s">
        <v>87</v>
      </c>
      <c r="G6684" s="22">
        <v>130</v>
      </c>
      <c r="H6684" s="18">
        <v>428.0025</v>
      </c>
      <c r="I6684" s="18">
        <v>3.2923269230000001</v>
      </c>
      <c r="J6684" s="18">
        <v>3.36</v>
      </c>
      <c r="K6684" s="18">
        <v>3.22</v>
      </c>
      <c r="L6684" s="22">
        <v>10</v>
      </c>
    </row>
    <row r="6685" spans="1:12">
      <c r="A6685">
        <v>7</v>
      </c>
      <c r="B6685" s="16" t="s">
        <v>62</v>
      </c>
      <c r="C6685" s="9">
        <v>45870</v>
      </c>
      <c r="D6685">
        <v>41</v>
      </c>
      <c r="E6685" s="16" t="s">
        <v>130</v>
      </c>
      <c r="F6685" s="16" t="s">
        <v>87</v>
      </c>
      <c r="G6685" s="22">
        <v>107.5</v>
      </c>
      <c r="H6685" s="18">
        <v>354.685</v>
      </c>
      <c r="I6685" s="18">
        <v>3.2993953490000001</v>
      </c>
      <c r="J6685" s="18">
        <v>3.35</v>
      </c>
      <c r="K6685" s="18">
        <v>3.25</v>
      </c>
      <c r="L6685" s="22">
        <v>8</v>
      </c>
    </row>
    <row r="6686" spans="1:12">
      <c r="A6686">
        <v>7</v>
      </c>
      <c r="B6686" s="16" t="s">
        <v>62</v>
      </c>
      <c r="C6686" s="9">
        <v>45901</v>
      </c>
      <c r="D6686">
        <v>41</v>
      </c>
      <c r="E6686" s="16" t="s">
        <v>130</v>
      </c>
      <c r="F6686" s="16" t="s">
        <v>87</v>
      </c>
      <c r="G6686" s="22">
        <v>102.75</v>
      </c>
      <c r="H6686" s="18">
        <v>339.70749999999998</v>
      </c>
      <c r="I6686" s="18">
        <v>3.3061557179999999</v>
      </c>
      <c r="J6686" s="18">
        <v>3.35</v>
      </c>
      <c r="K6686" s="18">
        <v>3.21</v>
      </c>
      <c r="L6686" s="22">
        <v>9</v>
      </c>
    </row>
    <row r="6687" spans="1:12">
      <c r="A6687">
        <v>7</v>
      </c>
      <c r="B6687" s="16" t="s">
        <v>62</v>
      </c>
      <c r="C6687" s="9">
        <v>45931</v>
      </c>
      <c r="D6687">
        <v>41</v>
      </c>
      <c r="E6687" s="16" t="s">
        <v>130</v>
      </c>
      <c r="F6687" s="16" t="s">
        <v>87</v>
      </c>
      <c r="G6687" s="22">
        <v>120.75</v>
      </c>
      <c r="H6687" s="18">
        <v>404.6</v>
      </c>
      <c r="I6687" s="18">
        <v>3.350724638</v>
      </c>
      <c r="J6687" s="18">
        <v>3.49</v>
      </c>
      <c r="K6687" s="18">
        <v>3.26</v>
      </c>
      <c r="L6687" s="22">
        <v>9</v>
      </c>
    </row>
    <row r="6688" spans="1:12">
      <c r="A6688">
        <v>7</v>
      </c>
      <c r="B6688" s="16" t="s">
        <v>62</v>
      </c>
      <c r="C6688" s="9">
        <v>45962</v>
      </c>
      <c r="D6688">
        <v>41</v>
      </c>
      <c r="E6688" s="16" t="s">
        <v>130</v>
      </c>
      <c r="F6688" s="16" t="s">
        <v>87</v>
      </c>
      <c r="G6688" s="22">
        <v>91</v>
      </c>
      <c r="H6688" s="18">
        <v>301.96249999999998</v>
      </c>
      <c r="I6688" s="18">
        <v>3.3182692309999999</v>
      </c>
      <c r="J6688" s="18">
        <v>3.5</v>
      </c>
      <c r="K6688" s="18">
        <v>3.24</v>
      </c>
      <c r="L6688" s="22">
        <v>8</v>
      </c>
    </row>
    <row r="6689" spans="1:12">
      <c r="A6689">
        <v>7</v>
      </c>
      <c r="B6689" s="16" t="s">
        <v>62</v>
      </c>
      <c r="C6689" s="9">
        <v>45992</v>
      </c>
      <c r="D6689">
        <v>41</v>
      </c>
      <c r="E6689" s="16" t="s">
        <v>130</v>
      </c>
      <c r="F6689" s="16" t="s">
        <v>87</v>
      </c>
      <c r="G6689" s="22">
        <v>92.25</v>
      </c>
      <c r="H6689" s="18">
        <v>303.88</v>
      </c>
      <c r="I6689" s="18">
        <v>3.2940921410000001</v>
      </c>
      <c r="J6689" s="18">
        <v>3.34</v>
      </c>
      <c r="K6689" s="18">
        <v>3.2</v>
      </c>
      <c r="L6689" s="22">
        <v>9</v>
      </c>
    </row>
    <row r="6690" spans="1:12">
      <c r="A6690">
        <v>7</v>
      </c>
      <c r="B6690" s="16" t="s">
        <v>62</v>
      </c>
      <c r="C6690" s="9">
        <v>46023</v>
      </c>
      <c r="D6690">
        <v>41</v>
      </c>
      <c r="E6690" s="16" t="s">
        <v>130</v>
      </c>
      <c r="F6690" s="16" t="s">
        <v>87</v>
      </c>
      <c r="G6690" s="22">
        <v>89</v>
      </c>
      <c r="H6690" s="18">
        <v>293.86250000000001</v>
      </c>
      <c r="I6690" s="18">
        <v>3.301825843</v>
      </c>
      <c r="J6690" s="18">
        <v>3.36</v>
      </c>
      <c r="K6690" s="18">
        <v>3.21</v>
      </c>
      <c r="L6690" s="22">
        <v>9</v>
      </c>
    </row>
    <row r="6691" spans="1:12">
      <c r="A6691">
        <v>7</v>
      </c>
      <c r="B6691" s="16" t="s">
        <v>62</v>
      </c>
      <c r="C6691" s="9">
        <v>46054</v>
      </c>
      <c r="D6691">
        <v>41</v>
      </c>
      <c r="E6691" s="16" t="s">
        <v>130</v>
      </c>
      <c r="F6691" s="16" t="s">
        <v>87</v>
      </c>
      <c r="G6691" s="22">
        <v>94</v>
      </c>
      <c r="H6691" s="18">
        <v>309.55500000000001</v>
      </c>
      <c r="I6691" s="18">
        <v>3.2931382980000001</v>
      </c>
      <c r="J6691" s="18">
        <v>3.34</v>
      </c>
      <c r="K6691" s="18">
        <v>3.23</v>
      </c>
      <c r="L6691" s="22">
        <v>8</v>
      </c>
    </row>
    <row r="6692" spans="1:12">
      <c r="A6692">
        <v>7</v>
      </c>
      <c r="B6692" s="16" t="s">
        <v>62</v>
      </c>
      <c r="C6692" s="9">
        <v>46082</v>
      </c>
      <c r="D6692">
        <v>41</v>
      </c>
      <c r="E6692" s="16" t="s">
        <v>130</v>
      </c>
      <c r="F6692" s="16" t="s">
        <v>87</v>
      </c>
      <c r="G6692" s="22">
        <v>118.5</v>
      </c>
      <c r="H6692" s="18">
        <v>396.42</v>
      </c>
      <c r="I6692" s="18">
        <v>3.3453164559999999</v>
      </c>
      <c r="J6692" s="18">
        <v>3.41</v>
      </c>
      <c r="K6692" s="18">
        <v>3.3</v>
      </c>
      <c r="L6692" s="22">
        <v>9</v>
      </c>
    </row>
    <row r="6693" spans="1:12">
      <c r="A6693">
        <v>7</v>
      </c>
      <c r="B6693" s="16" t="s">
        <v>62</v>
      </c>
      <c r="C6693" s="9">
        <v>46113</v>
      </c>
      <c r="D6693">
        <v>41</v>
      </c>
      <c r="E6693" s="16" t="s">
        <v>130</v>
      </c>
      <c r="F6693" s="16" t="s">
        <v>87</v>
      </c>
      <c r="G6693" s="22">
        <v>113.5</v>
      </c>
      <c r="H6693" s="18">
        <v>380.44499999999999</v>
      </c>
      <c r="I6693" s="18">
        <v>3.351938326</v>
      </c>
      <c r="J6693" s="18">
        <v>3.45</v>
      </c>
      <c r="K6693" s="18">
        <v>3.27</v>
      </c>
      <c r="L6693" s="22">
        <v>9</v>
      </c>
    </row>
    <row r="6694" spans="1:12">
      <c r="A6694">
        <v>7</v>
      </c>
      <c r="B6694" s="16" t="s">
        <v>62</v>
      </c>
      <c r="C6694" s="9">
        <v>46143</v>
      </c>
      <c r="D6694">
        <v>41</v>
      </c>
      <c r="E6694" s="16" t="s">
        <v>130</v>
      </c>
      <c r="F6694" s="16" t="s">
        <v>87</v>
      </c>
      <c r="G6694" s="22">
        <v>128.25</v>
      </c>
      <c r="H6694" s="18">
        <v>428.08</v>
      </c>
      <c r="I6694" s="18">
        <v>3.3378557500000001</v>
      </c>
      <c r="J6694" s="18">
        <v>3.44</v>
      </c>
      <c r="K6694" s="18">
        <v>3.29</v>
      </c>
      <c r="L6694" s="22">
        <v>8</v>
      </c>
    </row>
    <row r="6695" spans="1:12">
      <c r="A6695">
        <v>7</v>
      </c>
      <c r="B6695" s="16" t="s">
        <v>62</v>
      </c>
      <c r="C6695" s="9">
        <v>46174</v>
      </c>
      <c r="D6695">
        <v>41</v>
      </c>
      <c r="E6695" s="16" t="s">
        <v>130</v>
      </c>
      <c r="F6695" s="16" t="s">
        <v>87</v>
      </c>
      <c r="G6695" s="22">
        <v>108</v>
      </c>
      <c r="H6695" s="18">
        <v>361.02749999999997</v>
      </c>
      <c r="I6695" s="18">
        <v>3.3428472220000001</v>
      </c>
      <c r="J6695" s="18">
        <v>3.39</v>
      </c>
      <c r="K6695" s="18">
        <v>3.3</v>
      </c>
      <c r="L6695" s="22">
        <v>9</v>
      </c>
    </row>
    <row r="6696" spans="1:12">
      <c r="A6696">
        <v>7</v>
      </c>
      <c r="B6696" s="16" t="s">
        <v>62</v>
      </c>
      <c r="C6696" s="9">
        <v>46204</v>
      </c>
      <c r="D6696">
        <v>41</v>
      </c>
      <c r="E6696" s="16" t="s">
        <v>130</v>
      </c>
      <c r="F6696" s="16" t="s">
        <v>87</v>
      </c>
      <c r="G6696" s="22">
        <v>115.5</v>
      </c>
      <c r="H6696" s="18">
        <v>390.1275</v>
      </c>
      <c r="I6696" s="18">
        <v>3.3777272730000001</v>
      </c>
      <c r="J6696" s="18">
        <v>3.44</v>
      </c>
      <c r="K6696" s="18">
        <v>3.3</v>
      </c>
      <c r="L6696" s="22">
        <v>9</v>
      </c>
    </row>
    <row r="6697" spans="1:12">
      <c r="A6697">
        <v>7</v>
      </c>
      <c r="B6697" s="16" t="s">
        <v>62</v>
      </c>
      <c r="C6697" s="9">
        <v>46235</v>
      </c>
      <c r="D6697">
        <v>41</v>
      </c>
      <c r="E6697" s="16" t="s">
        <v>130</v>
      </c>
      <c r="F6697" s="16" t="s">
        <v>87</v>
      </c>
      <c r="G6697" s="22">
        <v>107.75</v>
      </c>
      <c r="H6697" s="18">
        <v>370.52499999999998</v>
      </c>
      <c r="I6697" s="18">
        <v>3.4387471000000001</v>
      </c>
      <c r="J6697" s="18">
        <v>3.48</v>
      </c>
      <c r="K6697" s="18">
        <v>3.38</v>
      </c>
      <c r="L6697" s="22">
        <v>8</v>
      </c>
    </row>
    <row r="6698" spans="1:12">
      <c r="A6698">
        <v>7</v>
      </c>
      <c r="B6698" s="16" t="s">
        <v>62</v>
      </c>
      <c r="C6698" s="9">
        <v>46266</v>
      </c>
      <c r="D6698">
        <v>41</v>
      </c>
      <c r="E6698" s="16" t="s">
        <v>130</v>
      </c>
      <c r="F6698" s="16" t="s">
        <v>87</v>
      </c>
      <c r="G6698" s="22">
        <v>104.75</v>
      </c>
      <c r="H6698" s="18">
        <v>358.51249999999999</v>
      </c>
      <c r="I6698" s="18">
        <v>3.4225536989999998</v>
      </c>
      <c r="J6698" s="18">
        <v>3.5</v>
      </c>
      <c r="K6698" s="18">
        <v>3.37</v>
      </c>
      <c r="L6698" s="22">
        <v>9</v>
      </c>
    </row>
    <row r="6699" spans="1:12">
      <c r="A6699">
        <v>7</v>
      </c>
      <c r="B6699" s="16" t="s">
        <v>62</v>
      </c>
      <c r="C6699" s="9">
        <v>45689</v>
      </c>
      <c r="D6699">
        <v>42</v>
      </c>
      <c r="E6699" s="16" t="s">
        <v>131</v>
      </c>
      <c r="F6699" s="16" t="s">
        <v>83</v>
      </c>
      <c r="G6699" s="22">
        <v>17</v>
      </c>
      <c r="H6699" s="18">
        <v>95.15</v>
      </c>
      <c r="I6699" s="18">
        <v>5.5970588240000003</v>
      </c>
      <c r="J6699" s="18">
        <v>5.72</v>
      </c>
      <c r="K6699" s="18">
        <v>5.46</v>
      </c>
      <c r="L6699" s="22">
        <v>7</v>
      </c>
    </row>
    <row r="6700" spans="1:12">
      <c r="A6700">
        <v>7</v>
      </c>
      <c r="B6700" s="16" t="s">
        <v>62</v>
      </c>
      <c r="C6700" s="9">
        <v>45717</v>
      </c>
      <c r="D6700">
        <v>42</v>
      </c>
      <c r="E6700" s="16" t="s">
        <v>131</v>
      </c>
      <c r="F6700" s="16" t="s">
        <v>83</v>
      </c>
      <c r="G6700" s="22">
        <v>20</v>
      </c>
      <c r="H6700" s="18">
        <v>113.14</v>
      </c>
      <c r="I6700" s="18">
        <v>5.657</v>
      </c>
      <c r="J6700" s="18">
        <v>5.74</v>
      </c>
      <c r="K6700" s="18">
        <v>5.57</v>
      </c>
      <c r="L6700" s="22">
        <v>9</v>
      </c>
    </row>
    <row r="6701" spans="1:12">
      <c r="A6701">
        <v>7</v>
      </c>
      <c r="B6701" s="16" t="s">
        <v>62</v>
      </c>
      <c r="C6701" s="9">
        <v>45748</v>
      </c>
      <c r="D6701">
        <v>42</v>
      </c>
      <c r="E6701" s="16" t="s">
        <v>131</v>
      </c>
      <c r="F6701" s="16" t="s">
        <v>83</v>
      </c>
      <c r="G6701" s="22">
        <v>22</v>
      </c>
      <c r="H6701" s="18">
        <v>123.235</v>
      </c>
      <c r="I6701" s="18">
        <v>5.6015909089999996</v>
      </c>
      <c r="J6701" s="18">
        <v>5.78</v>
      </c>
      <c r="K6701" s="18">
        <v>5.51</v>
      </c>
      <c r="L6701" s="22">
        <v>8</v>
      </c>
    </row>
    <row r="6702" spans="1:12">
      <c r="A6702">
        <v>7</v>
      </c>
      <c r="B6702" s="16" t="s">
        <v>62</v>
      </c>
      <c r="C6702" s="9">
        <v>45778</v>
      </c>
      <c r="D6702">
        <v>42</v>
      </c>
      <c r="E6702" s="16" t="s">
        <v>131</v>
      </c>
      <c r="F6702" s="16" t="s">
        <v>83</v>
      </c>
      <c r="G6702" s="22">
        <v>21</v>
      </c>
      <c r="H6702" s="18">
        <v>117.38500000000001</v>
      </c>
      <c r="I6702" s="18">
        <v>5.5897619049999996</v>
      </c>
      <c r="J6702" s="18">
        <v>5.69</v>
      </c>
      <c r="K6702" s="18">
        <v>5.48</v>
      </c>
      <c r="L6702" s="22">
        <v>9</v>
      </c>
    </row>
    <row r="6703" spans="1:12">
      <c r="A6703">
        <v>7</v>
      </c>
      <c r="B6703" s="16" t="s">
        <v>62</v>
      </c>
      <c r="C6703" s="9">
        <v>45809</v>
      </c>
      <c r="D6703">
        <v>42</v>
      </c>
      <c r="E6703" s="16" t="s">
        <v>131</v>
      </c>
      <c r="F6703" s="16" t="s">
        <v>83</v>
      </c>
      <c r="G6703" s="22">
        <v>22</v>
      </c>
      <c r="H6703" s="18">
        <v>123.2</v>
      </c>
      <c r="I6703" s="18">
        <v>5.6</v>
      </c>
      <c r="J6703" s="18">
        <v>5.65</v>
      </c>
      <c r="K6703" s="18">
        <v>5.55</v>
      </c>
      <c r="L6703" s="22">
        <v>9</v>
      </c>
    </row>
    <row r="6704" spans="1:12">
      <c r="A6704">
        <v>7</v>
      </c>
      <c r="B6704" s="16" t="s">
        <v>62</v>
      </c>
      <c r="C6704" s="9">
        <v>45839</v>
      </c>
      <c r="D6704">
        <v>42</v>
      </c>
      <c r="E6704" s="16" t="s">
        <v>131</v>
      </c>
      <c r="F6704" s="16" t="s">
        <v>83</v>
      </c>
      <c r="G6704" s="22">
        <v>20</v>
      </c>
      <c r="H6704" s="18">
        <v>111.62</v>
      </c>
      <c r="I6704" s="18">
        <v>5.5810000000000004</v>
      </c>
      <c r="J6704" s="18">
        <v>5.74</v>
      </c>
      <c r="K6704" s="18">
        <v>5.46</v>
      </c>
      <c r="L6704" s="22">
        <v>9</v>
      </c>
    </row>
    <row r="6705" spans="1:12">
      <c r="A6705">
        <v>7</v>
      </c>
      <c r="B6705" s="16" t="s">
        <v>62</v>
      </c>
      <c r="C6705" s="9">
        <v>45870</v>
      </c>
      <c r="D6705">
        <v>42</v>
      </c>
      <c r="E6705" s="16" t="s">
        <v>131</v>
      </c>
      <c r="F6705" s="16" t="s">
        <v>83</v>
      </c>
      <c r="G6705" s="22">
        <v>19.5</v>
      </c>
      <c r="H6705" s="18">
        <v>109.075</v>
      </c>
      <c r="I6705" s="18">
        <v>5.593589744</v>
      </c>
      <c r="J6705" s="18">
        <v>5.67</v>
      </c>
      <c r="K6705" s="18">
        <v>5.5</v>
      </c>
      <c r="L6705" s="22">
        <v>8</v>
      </c>
    </row>
    <row r="6706" spans="1:12">
      <c r="A6706">
        <v>7</v>
      </c>
      <c r="B6706" s="16" t="s">
        <v>62</v>
      </c>
      <c r="C6706" s="9">
        <v>45901</v>
      </c>
      <c r="D6706">
        <v>42</v>
      </c>
      <c r="E6706" s="16" t="s">
        <v>131</v>
      </c>
      <c r="F6706" s="16" t="s">
        <v>83</v>
      </c>
      <c r="G6706" s="22">
        <v>20.5</v>
      </c>
      <c r="H6706" s="18">
        <v>114.655</v>
      </c>
      <c r="I6706" s="18">
        <v>5.5929268289999996</v>
      </c>
      <c r="J6706" s="18">
        <v>5.67</v>
      </c>
      <c r="K6706" s="18">
        <v>5.45</v>
      </c>
      <c r="L6706" s="22">
        <v>9</v>
      </c>
    </row>
    <row r="6707" spans="1:12">
      <c r="A6707">
        <v>7</v>
      </c>
      <c r="B6707" s="16" t="s">
        <v>62</v>
      </c>
      <c r="C6707" s="9">
        <v>45931</v>
      </c>
      <c r="D6707">
        <v>42</v>
      </c>
      <c r="E6707" s="16" t="s">
        <v>131</v>
      </c>
      <c r="F6707" s="16" t="s">
        <v>83</v>
      </c>
      <c r="G6707" s="22">
        <v>22.5</v>
      </c>
      <c r="H6707" s="18">
        <v>126.825</v>
      </c>
      <c r="I6707" s="18">
        <v>5.6366666670000001</v>
      </c>
      <c r="J6707" s="18">
        <v>5.72</v>
      </c>
      <c r="K6707" s="18">
        <v>5.54</v>
      </c>
      <c r="L6707" s="22">
        <v>9</v>
      </c>
    </row>
    <row r="6708" spans="1:12">
      <c r="A6708">
        <v>7</v>
      </c>
      <c r="B6708" s="16" t="s">
        <v>62</v>
      </c>
      <c r="C6708" s="9">
        <v>45962</v>
      </c>
      <c r="D6708">
        <v>42</v>
      </c>
      <c r="E6708" s="16" t="s">
        <v>131</v>
      </c>
      <c r="F6708" s="16" t="s">
        <v>83</v>
      </c>
      <c r="G6708" s="22">
        <v>22.5</v>
      </c>
      <c r="H6708" s="18">
        <v>130.035</v>
      </c>
      <c r="I6708" s="18">
        <v>5.7793333330000003</v>
      </c>
      <c r="J6708" s="18">
        <v>5.89</v>
      </c>
      <c r="K6708" s="18">
        <v>5.7</v>
      </c>
      <c r="L6708" s="22">
        <v>8</v>
      </c>
    </row>
    <row r="6709" spans="1:12">
      <c r="A6709">
        <v>7</v>
      </c>
      <c r="B6709" s="16" t="s">
        <v>62</v>
      </c>
      <c r="C6709" s="9">
        <v>45992</v>
      </c>
      <c r="D6709">
        <v>42</v>
      </c>
      <c r="E6709" s="16" t="s">
        <v>131</v>
      </c>
      <c r="F6709" s="16" t="s">
        <v>83</v>
      </c>
      <c r="G6709" s="22">
        <v>24.5</v>
      </c>
      <c r="H6709" s="18">
        <v>140.87</v>
      </c>
      <c r="I6709" s="18">
        <v>5.7497959180000002</v>
      </c>
      <c r="J6709" s="18">
        <v>5.83</v>
      </c>
      <c r="K6709" s="18">
        <v>5.67</v>
      </c>
      <c r="L6709" s="22">
        <v>9</v>
      </c>
    </row>
    <row r="6710" spans="1:12">
      <c r="A6710">
        <v>7</v>
      </c>
      <c r="B6710" s="16" t="s">
        <v>62</v>
      </c>
      <c r="C6710" s="9">
        <v>46023</v>
      </c>
      <c r="D6710">
        <v>42</v>
      </c>
      <c r="E6710" s="16" t="s">
        <v>131</v>
      </c>
      <c r="F6710" s="16" t="s">
        <v>83</v>
      </c>
      <c r="G6710" s="22">
        <v>22.5</v>
      </c>
      <c r="H6710" s="18">
        <v>127.32</v>
      </c>
      <c r="I6710" s="18">
        <v>5.6586666670000003</v>
      </c>
      <c r="J6710" s="18">
        <v>5.84</v>
      </c>
      <c r="K6710" s="18">
        <v>5.57</v>
      </c>
      <c r="L6710" s="22">
        <v>9</v>
      </c>
    </row>
    <row r="6711" spans="1:12">
      <c r="A6711">
        <v>7</v>
      </c>
      <c r="B6711" s="16" t="s">
        <v>62</v>
      </c>
      <c r="C6711" s="9">
        <v>46054</v>
      </c>
      <c r="D6711">
        <v>42</v>
      </c>
      <c r="E6711" s="16" t="s">
        <v>131</v>
      </c>
      <c r="F6711" s="16" t="s">
        <v>83</v>
      </c>
      <c r="G6711" s="22">
        <v>25</v>
      </c>
      <c r="H6711" s="18">
        <v>140.935</v>
      </c>
      <c r="I6711" s="18">
        <v>5.6374000000000004</v>
      </c>
      <c r="J6711" s="18">
        <v>5.72</v>
      </c>
      <c r="K6711" s="18">
        <v>5.58</v>
      </c>
      <c r="L6711" s="22">
        <v>8</v>
      </c>
    </row>
    <row r="6712" spans="1:12">
      <c r="A6712">
        <v>7</v>
      </c>
      <c r="B6712" s="16" t="s">
        <v>62</v>
      </c>
      <c r="C6712" s="9">
        <v>46082</v>
      </c>
      <c r="D6712">
        <v>42</v>
      </c>
      <c r="E6712" s="16" t="s">
        <v>131</v>
      </c>
      <c r="F6712" s="16" t="s">
        <v>83</v>
      </c>
      <c r="G6712" s="22">
        <v>24.5</v>
      </c>
      <c r="H6712" s="18">
        <v>137.16499999999999</v>
      </c>
      <c r="I6712" s="18">
        <v>5.5985714289999997</v>
      </c>
      <c r="J6712" s="18">
        <v>5.74</v>
      </c>
      <c r="K6712" s="18">
        <v>5.52</v>
      </c>
      <c r="L6712" s="22">
        <v>9</v>
      </c>
    </row>
    <row r="6713" spans="1:12">
      <c r="A6713">
        <v>7</v>
      </c>
      <c r="B6713" s="16" t="s">
        <v>62</v>
      </c>
      <c r="C6713" s="9">
        <v>46113</v>
      </c>
      <c r="D6713">
        <v>42</v>
      </c>
      <c r="E6713" s="16" t="s">
        <v>131</v>
      </c>
      <c r="F6713" s="16" t="s">
        <v>83</v>
      </c>
      <c r="G6713" s="22">
        <v>27</v>
      </c>
      <c r="H6713" s="18">
        <v>153.31</v>
      </c>
      <c r="I6713" s="18">
        <v>5.678148148</v>
      </c>
      <c r="J6713" s="18">
        <v>5.74</v>
      </c>
      <c r="K6713" s="18">
        <v>5.63</v>
      </c>
      <c r="L6713" s="22">
        <v>9</v>
      </c>
    </row>
    <row r="6714" spans="1:12">
      <c r="A6714">
        <v>7</v>
      </c>
      <c r="B6714" s="16" t="s">
        <v>62</v>
      </c>
      <c r="C6714" s="9">
        <v>46143</v>
      </c>
      <c r="D6714">
        <v>42</v>
      </c>
      <c r="E6714" s="16" t="s">
        <v>131</v>
      </c>
      <c r="F6714" s="16" t="s">
        <v>83</v>
      </c>
      <c r="G6714" s="22">
        <v>18.5</v>
      </c>
      <c r="H6714" s="18">
        <v>106.33</v>
      </c>
      <c r="I6714" s="18">
        <v>5.747567568</v>
      </c>
      <c r="J6714" s="18">
        <v>5.84</v>
      </c>
      <c r="K6714" s="18">
        <v>5.68</v>
      </c>
      <c r="L6714" s="22">
        <v>8</v>
      </c>
    </row>
    <row r="6715" spans="1:12">
      <c r="A6715">
        <v>7</v>
      </c>
      <c r="B6715" s="16" t="s">
        <v>62</v>
      </c>
      <c r="C6715" s="9">
        <v>46174</v>
      </c>
      <c r="D6715">
        <v>42</v>
      </c>
      <c r="E6715" s="16" t="s">
        <v>131</v>
      </c>
      <c r="F6715" s="16" t="s">
        <v>83</v>
      </c>
      <c r="G6715" s="22">
        <v>24</v>
      </c>
      <c r="H6715" s="18">
        <v>136.6</v>
      </c>
      <c r="I6715" s="18">
        <v>5.6916666669999998</v>
      </c>
      <c r="J6715" s="18">
        <v>5.79</v>
      </c>
      <c r="K6715" s="18">
        <v>5.57</v>
      </c>
      <c r="L6715" s="22">
        <v>9</v>
      </c>
    </row>
    <row r="6716" spans="1:12">
      <c r="A6716">
        <v>7</v>
      </c>
      <c r="B6716" s="16" t="s">
        <v>62</v>
      </c>
      <c r="C6716" s="9">
        <v>46204</v>
      </c>
      <c r="D6716">
        <v>42</v>
      </c>
      <c r="E6716" s="16" t="s">
        <v>131</v>
      </c>
      <c r="F6716" s="16" t="s">
        <v>83</v>
      </c>
      <c r="G6716" s="22">
        <v>18.5</v>
      </c>
      <c r="H6716" s="18">
        <v>107.02500000000001</v>
      </c>
      <c r="I6716" s="18">
        <v>5.785135135</v>
      </c>
      <c r="J6716" s="18">
        <v>6.03</v>
      </c>
      <c r="K6716" s="18">
        <v>5.62</v>
      </c>
      <c r="L6716" s="22">
        <v>8</v>
      </c>
    </row>
    <row r="6717" spans="1:12">
      <c r="A6717">
        <v>7</v>
      </c>
      <c r="B6717" s="16" t="s">
        <v>62</v>
      </c>
      <c r="C6717" s="9">
        <v>46235</v>
      </c>
      <c r="D6717">
        <v>42</v>
      </c>
      <c r="E6717" s="16" t="s">
        <v>131</v>
      </c>
      <c r="F6717" s="16" t="s">
        <v>83</v>
      </c>
      <c r="G6717" s="22">
        <v>19</v>
      </c>
      <c r="H6717" s="18">
        <v>108.87</v>
      </c>
      <c r="I6717" s="18">
        <v>5.73</v>
      </c>
      <c r="J6717" s="18">
        <v>5.83</v>
      </c>
      <c r="K6717" s="18">
        <v>5.67</v>
      </c>
      <c r="L6717" s="22">
        <v>8</v>
      </c>
    </row>
    <row r="6718" spans="1:12">
      <c r="A6718">
        <v>7</v>
      </c>
      <c r="B6718" s="16" t="s">
        <v>62</v>
      </c>
      <c r="C6718" s="9">
        <v>46266</v>
      </c>
      <c r="D6718">
        <v>42</v>
      </c>
      <c r="E6718" s="16" t="s">
        <v>131</v>
      </c>
      <c r="F6718" s="16" t="s">
        <v>83</v>
      </c>
      <c r="G6718" s="22">
        <v>22</v>
      </c>
      <c r="H6718" s="18">
        <v>125.61499999999999</v>
      </c>
      <c r="I6718" s="18">
        <v>5.7097727269999998</v>
      </c>
      <c r="J6718" s="18">
        <v>5.84</v>
      </c>
      <c r="K6718" s="18">
        <v>5.62</v>
      </c>
      <c r="L6718" s="22">
        <v>8</v>
      </c>
    </row>
    <row r="6719" spans="1:12">
      <c r="A6719">
        <v>7</v>
      </c>
      <c r="B6719" s="16" t="s">
        <v>62</v>
      </c>
      <c r="C6719" s="9">
        <v>45717</v>
      </c>
      <c r="D6719">
        <v>43</v>
      </c>
      <c r="E6719" s="16" t="s">
        <v>132</v>
      </c>
      <c r="F6719" s="16" t="s">
        <v>90</v>
      </c>
      <c r="G6719" s="22">
        <v>3</v>
      </c>
      <c r="H6719" s="18">
        <v>3.48</v>
      </c>
      <c r="I6719" s="18">
        <v>1.1599999999999999</v>
      </c>
      <c r="J6719" s="18">
        <v>1.1599999999999999</v>
      </c>
      <c r="K6719" s="18">
        <v>1.1599999999999999</v>
      </c>
      <c r="L6719" s="22">
        <v>1</v>
      </c>
    </row>
    <row r="6720" spans="1:12">
      <c r="A6720">
        <v>7</v>
      </c>
      <c r="B6720" s="16" t="s">
        <v>62</v>
      </c>
      <c r="C6720" s="9">
        <v>45748</v>
      </c>
      <c r="D6720">
        <v>43</v>
      </c>
      <c r="E6720" s="16" t="s">
        <v>132</v>
      </c>
      <c r="F6720" s="16" t="s">
        <v>90</v>
      </c>
      <c r="G6720" s="22">
        <v>3</v>
      </c>
      <c r="H6720" s="18">
        <v>3.33</v>
      </c>
      <c r="I6720" s="18">
        <v>1.1100000000000001</v>
      </c>
      <c r="J6720" s="18">
        <v>1.1100000000000001</v>
      </c>
      <c r="K6720" s="18">
        <v>1.1100000000000001</v>
      </c>
      <c r="L6720" s="22">
        <v>1</v>
      </c>
    </row>
    <row r="6721" spans="1:12">
      <c r="A6721">
        <v>7</v>
      </c>
      <c r="B6721" s="16" t="s">
        <v>62</v>
      </c>
      <c r="C6721" s="9">
        <v>45809</v>
      </c>
      <c r="D6721">
        <v>43</v>
      </c>
      <c r="E6721" s="16" t="s">
        <v>132</v>
      </c>
      <c r="F6721" s="16" t="s">
        <v>90</v>
      </c>
      <c r="G6721" s="22">
        <v>3</v>
      </c>
      <c r="H6721" s="18">
        <v>3.57</v>
      </c>
      <c r="I6721" s="18">
        <v>1.19</v>
      </c>
      <c r="J6721" s="18">
        <v>1.19</v>
      </c>
      <c r="K6721" s="18">
        <v>1.19</v>
      </c>
      <c r="L6721" s="22">
        <v>1</v>
      </c>
    </row>
    <row r="6722" spans="1:12">
      <c r="A6722">
        <v>7</v>
      </c>
      <c r="B6722" s="16" t="s">
        <v>62</v>
      </c>
      <c r="C6722" s="9">
        <v>45839</v>
      </c>
      <c r="D6722">
        <v>43</v>
      </c>
      <c r="E6722" s="16" t="s">
        <v>132</v>
      </c>
      <c r="F6722" s="16" t="s">
        <v>90</v>
      </c>
      <c r="G6722" s="22">
        <v>3</v>
      </c>
      <c r="H6722" s="18">
        <v>3.48</v>
      </c>
      <c r="I6722" s="18">
        <v>1.1599999999999999</v>
      </c>
      <c r="J6722" s="18">
        <v>1.1599999999999999</v>
      </c>
      <c r="K6722" s="18">
        <v>1.1599999999999999</v>
      </c>
      <c r="L6722" s="22">
        <v>1</v>
      </c>
    </row>
    <row r="6723" spans="1:12">
      <c r="A6723">
        <v>7</v>
      </c>
      <c r="B6723" s="16" t="s">
        <v>62</v>
      </c>
      <c r="C6723" s="9">
        <v>45901</v>
      </c>
      <c r="D6723">
        <v>43</v>
      </c>
      <c r="E6723" s="16" t="s">
        <v>132</v>
      </c>
      <c r="F6723" s="16" t="s">
        <v>90</v>
      </c>
      <c r="G6723" s="22">
        <v>3</v>
      </c>
      <c r="H6723" s="18">
        <v>3.45</v>
      </c>
      <c r="I6723" s="18">
        <v>1.1499999999999999</v>
      </c>
      <c r="J6723" s="18">
        <v>1.1499999999999999</v>
      </c>
      <c r="K6723" s="18">
        <v>1.1499999999999999</v>
      </c>
      <c r="L6723" s="22">
        <v>1</v>
      </c>
    </row>
    <row r="6724" spans="1:12">
      <c r="A6724">
        <v>7</v>
      </c>
      <c r="B6724" s="16" t="s">
        <v>62</v>
      </c>
      <c r="C6724" s="9">
        <v>45962</v>
      </c>
      <c r="D6724">
        <v>43</v>
      </c>
      <c r="E6724" s="16" t="s">
        <v>132</v>
      </c>
      <c r="F6724" s="16" t="s">
        <v>90</v>
      </c>
      <c r="G6724" s="22">
        <v>3</v>
      </c>
      <c r="H6724" s="18">
        <v>3.54</v>
      </c>
      <c r="I6724" s="18">
        <v>1.18</v>
      </c>
      <c r="J6724" s="18">
        <v>1.18</v>
      </c>
      <c r="K6724" s="18">
        <v>1.18</v>
      </c>
      <c r="L6724" s="22">
        <v>1</v>
      </c>
    </row>
    <row r="6725" spans="1:12">
      <c r="A6725">
        <v>7</v>
      </c>
      <c r="B6725" s="16" t="s">
        <v>62</v>
      </c>
      <c r="C6725" s="9">
        <v>45992</v>
      </c>
      <c r="D6725">
        <v>43</v>
      </c>
      <c r="E6725" s="16" t="s">
        <v>132</v>
      </c>
      <c r="F6725" s="16" t="s">
        <v>90</v>
      </c>
      <c r="G6725" s="22">
        <v>3</v>
      </c>
      <c r="H6725" s="18">
        <v>3.48</v>
      </c>
      <c r="I6725" s="18">
        <v>1.1599999999999999</v>
      </c>
      <c r="J6725" s="18">
        <v>1.1599999999999999</v>
      </c>
      <c r="K6725" s="18">
        <v>1.1599999999999999</v>
      </c>
      <c r="L6725" s="22">
        <v>1</v>
      </c>
    </row>
    <row r="6726" spans="1:12">
      <c r="A6726">
        <v>7</v>
      </c>
      <c r="B6726" s="16" t="s">
        <v>62</v>
      </c>
      <c r="C6726" s="9">
        <v>46023</v>
      </c>
      <c r="D6726">
        <v>43</v>
      </c>
      <c r="E6726" s="16" t="s">
        <v>132</v>
      </c>
      <c r="F6726" s="16" t="s">
        <v>90</v>
      </c>
      <c r="G6726" s="22">
        <v>3</v>
      </c>
      <c r="H6726" s="18">
        <v>3.45</v>
      </c>
      <c r="I6726" s="18">
        <v>1.1499999999999999</v>
      </c>
      <c r="J6726" s="18">
        <v>1.1499999999999999</v>
      </c>
      <c r="K6726" s="18">
        <v>1.1499999999999999</v>
      </c>
      <c r="L6726" s="22">
        <v>1</v>
      </c>
    </row>
    <row r="6727" spans="1:12">
      <c r="A6727">
        <v>7</v>
      </c>
      <c r="B6727" s="16" t="s">
        <v>62</v>
      </c>
      <c r="C6727" s="9">
        <v>46054</v>
      </c>
      <c r="D6727">
        <v>43</v>
      </c>
      <c r="E6727" s="16" t="s">
        <v>132</v>
      </c>
      <c r="F6727" s="16" t="s">
        <v>90</v>
      </c>
      <c r="G6727" s="22">
        <v>3</v>
      </c>
      <c r="H6727" s="18">
        <v>3.48</v>
      </c>
      <c r="I6727" s="18">
        <v>1.1599999999999999</v>
      </c>
      <c r="J6727" s="18">
        <v>1.1599999999999999</v>
      </c>
      <c r="K6727" s="18">
        <v>1.1599999999999999</v>
      </c>
      <c r="L6727" s="22">
        <v>1</v>
      </c>
    </row>
    <row r="6728" spans="1:12">
      <c r="A6728">
        <v>7</v>
      </c>
      <c r="B6728" s="16" t="s">
        <v>62</v>
      </c>
      <c r="C6728" s="9">
        <v>46113</v>
      </c>
      <c r="D6728">
        <v>43</v>
      </c>
      <c r="E6728" s="16" t="s">
        <v>132</v>
      </c>
      <c r="F6728" s="16" t="s">
        <v>90</v>
      </c>
      <c r="G6728" s="22">
        <v>3</v>
      </c>
      <c r="H6728" s="18">
        <v>3.48</v>
      </c>
      <c r="I6728" s="18">
        <v>1.1599999999999999</v>
      </c>
      <c r="J6728" s="18">
        <v>1.1599999999999999</v>
      </c>
      <c r="K6728" s="18">
        <v>1.1599999999999999</v>
      </c>
      <c r="L6728" s="22">
        <v>1</v>
      </c>
    </row>
    <row r="6729" spans="1:12">
      <c r="A6729">
        <v>7</v>
      </c>
      <c r="B6729" s="16" t="s">
        <v>62</v>
      </c>
      <c r="C6729" s="9">
        <v>46143</v>
      </c>
      <c r="D6729">
        <v>43</v>
      </c>
      <c r="E6729" s="16" t="s">
        <v>132</v>
      </c>
      <c r="F6729" s="16" t="s">
        <v>90</v>
      </c>
      <c r="G6729" s="22">
        <v>3</v>
      </c>
      <c r="H6729" s="18">
        <v>3.51</v>
      </c>
      <c r="I6729" s="18">
        <v>1.17</v>
      </c>
      <c r="J6729" s="18">
        <v>1.17</v>
      </c>
      <c r="K6729" s="18">
        <v>1.17</v>
      </c>
      <c r="L6729" s="22">
        <v>1</v>
      </c>
    </row>
    <row r="6730" spans="1:12">
      <c r="A6730">
        <v>7</v>
      </c>
      <c r="B6730" s="16" t="s">
        <v>62</v>
      </c>
      <c r="C6730" s="9">
        <v>46174</v>
      </c>
      <c r="D6730">
        <v>43</v>
      </c>
      <c r="E6730" s="16" t="s">
        <v>132</v>
      </c>
      <c r="F6730" s="16" t="s">
        <v>90</v>
      </c>
      <c r="G6730" s="22">
        <v>3</v>
      </c>
      <c r="H6730" s="18">
        <v>3.63</v>
      </c>
      <c r="I6730" s="18">
        <v>1.21</v>
      </c>
      <c r="J6730" s="18">
        <v>1.21</v>
      </c>
      <c r="K6730" s="18">
        <v>1.21</v>
      </c>
      <c r="L6730" s="22">
        <v>1</v>
      </c>
    </row>
    <row r="6731" spans="1:12">
      <c r="A6731">
        <v>7</v>
      </c>
      <c r="B6731" s="16" t="s">
        <v>62</v>
      </c>
      <c r="C6731" s="9">
        <v>46235</v>
      </c>
      <c r="D6731">
        <v>43</v>
      </c>
      <c r="E6731" s="16" t="s">
        <v>132</v>
      </c>
      <c r="F6731" s="16" t="s">
        <v>90</v>
      </c>
      <c r="G6731" s="22">
        <v>3</v>
      </c>
      <c r="H6731" s="18">
        <v>3.57</v>
      </c>
      <c r="I6731" s="18">
        <v>1.19</v>
      </c>
      <c r="J6731" s="18">
        <v>1.19</v>
      </c>
      <c r="K6731" s="18">
        <v>1.19</v>
      </c>
      <c r="L6731" s="22">
        <v>1</v>
      </c>
    </row>
    <row r="6732" spans="1:12">
      <c r="A6732">
        <v>7</v>
      </c>
      <c r="B6732" s="16" t="s">
        <v>62</v>
      </c>
      <c r="C6732" s="9">
        <v>46266</v>
      </c>
      <c r="D6732">
        <v>43</v>
      </c>
      <c r="E6732" s="16" t="s">
        <v>132</v>
      </c>
      <c r="F6732" s="16" t="s">
        <v>90</v>
      </c>
      <c r="G6732" s="22">
        <v>3</v>
      </c>
      <c r="H6732" s="18">
        <v>3.63</v>
      </c>
      <c r="I6732" s="18">
        <v>1.21</v>
      </c>
      <c r="J6732" s="18">
        <v>1.21</v>
      </c>
      <c r="K6732" s="18">
        <v>1.21</v>
      </c>
      <c r="L6732" s="22">
        <v>1</v>
      </c>
    </row>
    <row r="6733" spans="1:12">
      <c r="A6733">
        <v>7</v>
      </c>
      <c r="B6733" s="16" t="s">
        <v>62</v>
      </c>
      <c r="C6733" s="9">
        <v>45689</v>
      </c>
      <c r="D6733">
        <v>44</v>
      </c>
      <c r="E6733" s="16" t="s">
        <v>133</v>
      </c>
      <c r="F6733" s="16" t="s">
        <v>90</v>
      </c>
      <c r="G6733" s="22">
        <v>3.75</v>
      </c>
      <c r="H6733" s="18">
        <v>63.412500000000001</v>
      </c>
      <c r="I6733" s="18">
        <v>16.91</v>
      </c>
      <c r="J6733" s="18">
        <v>16.91</v>
      </c>
      <c r="K6733" s="18">
        <v>16.91</v>
      </c>
      <c r="L6733" s="22">
        <v>1</v>
      </c>
    </row>
    <row r="6734" spans="1:12">
      <c r="A6734">
        <v>7</v>
      </c>
      <c r="B6734" s="16" t="s">
        <v>62</v>
      </c>
      <c r="C6734" s="9">
        <v>45748</v>
      </c>
      <c r="D6734">
        <v>44</v>
      </c>
      <c r="E6734" s="16" t="s">
        <v>133</v>
      </c>
      <c r="F6734" s="16" t="s">
        <v>90</v>
      </c>
      <c r="G6734" s="22">
        <v>7.5</v>
      </c>
      <c r="H6734" s="18">
        <v>127.3875</v>
      </c>
      <c r="I6734" s="18">
        <v>16.984999999999999</v>
      </c>
      <c r="J6734" s="18">
        <v>17.09</v>
      </c>
      <c r="K6734" s="18">
        <v>16.88</v>
      </c>
      <c r="L6734" s="22">
        <v>2</v>
      </c>
    </row>
    <row r="6735" spans="1:12">
      <c r="A6735">
        <v>7</v>
      </c>
      <c r="B6735" s="16" t="s">
        <v>62</v>
      </c>
      <c r="C6735" s="9">
        <v>45778</v>
      </c>
      <c r="D6735">
        <v>44</v>
      </c>
      <c r="E6735" s="16" t="s">
        <v>133</v>
      </c>
      <c r="F6735" s="16" t="s">
        <v>90</v>
      </c>
      <c r="G6735" s="22">
        <v>3.75</v>
      </c>
      <c r="H6735" s="18">
        <v>66</v>
      </c>
      <c r="I6735" s="18">
        <v>17.600000000000001</v>
      </c>
      <c r="J6735" s="18">
        <v>17.600000000000001</v>
      </c>
      <c r="K6735" s="18">
        <v>17.600000000000001</v>
      </c>
      <c r="L6735" s="22">
        <v>1</v>
      </c>
    </row>
    <row r="6736" spans="1:12">
      <c r="A6736">
        <v>7</v>
      </c>
      <c r="B6736" s="16" t="s">
        <v>62</v>
      </c>
      <c r="C6736" s="9">
        <v>45809</v>
      </c>
      <c r="D6736">
        <v>44</v>
      </c>
      <c r="E6736" s="16" t="s">
        <v>133</v>
      </c>
      <c r="F6736" s="16" t="s">
        <v>90</v>
      </c>
      <c r="G6736" s="22">
        <v>3.75</v>
      </c>
      <c r="H6736" s="18">
        <v>65.55</v>
      </c>
      <c r="I6736" s="18">
        <v>17.48</v>
      </c>
      <c r="J6736" s="18">
        <v>17.48</v>
      </c>
      <c r="K6736" s="18">
        <v>17.48</v>
      </c>
      <c r="L6736" s="22">
        <v>1</v>
      </c>
    </row>
    <row r="6737" spans="1:12">
      <c r="A6737">
        <v>7</v>
      </c>
      <c r="B6737" s="16" t="s">
        <v>62</v>
      </c>
      <c r="C6737" s="9">
        <v>45839</v>
      </c>
      <c r="D6737">
        <v>44</v>
      </c>
      <c r="E6737" s="16" t="s">
        <v>133</v>
      </c>
      <c r="F6737" s="16" t="s">
        <v>90</v>
      </c>
      <c r="G6737" s="22">
        <v>3.75</v>
      </c>
      <c r="H6737" s="18">
        <v>64.087500000000006</v>
      </c>
      <c r="I6737" s="18">
        <v>17.09</v>
      </c>
      <c r="J6737" s="18">
        <v>17.09</v>
      </c>
      <c r="K6737" s="18">
        <v>17.09</v>
      </c>
      <c r="L6737" s="22">
        <v>1</v>
      </c>
    </row>
    <row r="6738" spans="1:12">
      <c r="A6738">
        <v>7</v>
      </c>
      <c r="B6738" s="16" t="s">
        <v>62</v>
      </c>
      <c r="C6738" s="9">
        <v>45870</v>
      </c>
      <c r="D6738">
        <v>44</v>
      </c>
      <c r="E6738" s="16" t="s">
        <v>133</v>
      </c>
      <c r="F6738" s="16" t="s">
        <v>90</v>
      </c>
      <c r="G6738" s="22">
        <v>3.75</v>
      </c>
      <c r="H6738" s="18">
        <v>66.224999999999994</v>
      </c>
      <c r="I6738" s="18">
        <v>17.66</v>
      </c>
      <c r="J6738" s="18">
        <v>17.66</v>
      </c>
      <c r="K6738" s="18">
        <v>17.66</v>
      </c>
      <c r="L6738" s="22">
        <v>1</v>
      </c>
    </row>
    <row r="6739" spans="1:12">
      <c r="A6739">
        <v>7</v>
      </c>
      <c r="B6739" s="16" t="s">
        <v>62</v>
      </c>
      <c r="C6739" s="9">
        <v>45901</v>
      </c>
      <c r="D6739">
        <v>44</v>
      </c>
      <c r="E6739" s="16" t="s">
        <v>133</v>
      </c>
      <c r="F6739" s="16" t="s">
        <v>90</v>
      </c>
      <c r="G6739" s="22">
        <v>3.75</v>
      </c>
      <c r="H6739" s="18">
        <v>64.424999999999997</v>
      </c>
      <c r="I6739" s="18">
        <v>17.18</v>
      </c>
      <c r="J6739" s="18">
        <v>17.18</v>
      </c>
      <c r="K6739" s="18">
        <v>17.18</v>
      </c>
      <c r="L6739" s="22">
        <v>1</v>
      </c>
    </row>
    <row r="6740" spans="1:12">
      <c r="A6740">
        <v>7</v>
      </c>
      <c r="B6740" s="16" t="s">
        <v>62</v>
      </c>
      <c r="C6740" s="9">
        <v>45931</v>
      </c>
      <c r="D6740">
        <v>44</v>
      </c>
      <c r="E6740" s="16" t="s">
        <v>133</v>
      </c>
      <c r="F6740" s="16" t="s">
        <v>90</v>
      </c>
      <c r="G6740" s="22">
        <v>7.5</v>
      </c>
      <c r="H6740" s="18">
        <v>130.23750000000001</v>
      </c>
      <c r="I6740" s="18">
        <v>17.364999999999998</v>
      </c>
      <c r="J6740" s="18">
        <v>17.48</v>
      </c>
      <c r="K6740" s="18">
        <v>17.25</v>
      </c>
      <c r="L6740" s="22">
        <v>2</v>
      </c>
    </row>
    <row r="6741" spans="1:12">
      <c r="A6741">
        <v>7</v>
      </c>
      <c r="B6741" s="16" t="s">
        <v>62</v>
      </c>
      <c r="C6741" s="9">
        <v>45962</v>
      </c>
      <c r="D6741">
        <v>44</v>
      </c>
      <c r="E6741" s="16" t="s">
        <v>133</v>
      </c>
      <c r="F6741" s="16" t="s">
        <v>90</v>
      </c>
      <c r="G6741" s="22">
        <v>3.75</v>
      </c>
      <c r="H6741" s="18">
        <v>65.099999999999994</v>
      </c>
      <c r="I6741" s="18">
        <v>17.36</v>
      </c>
      <c r="J6741" s="18">
        <v>17.36</v>
      </c>
      <c r="K6741" s="18">
        <v>17.36</v>
      </c>
      <c r="L6741" s="22">
        <v>1</v>
      </c>
    </row>
    <row r="6742" spans="1:12">
      <c r="A6742">
        <v>7</v>
      </c>
      <c r="B6742" s="16" t="s">
        <v>62</v>
      </c>
      <c r="C6742" s="9">
        <v>46023</v>
      </c>
      <c r="D6742">
        <v>44</v>
      </c>
      <c r="E6742" s="16" t="s">
        <v>133</v>
      </c>
      <c r="F6742" s="16" t="s">
        <v>90</v>
      </c>
      <c r="G6742" s="22">
        <v>3.75</v>
      </c>
      <c r="H6742" s="18">
        <v>64.987499999999997</v>
      </c>
      <c r="I6742" s="18">
        <v>17.329999999999998</v>
      </c>
      <c r="J6742" s="18">
        <v>17.329999999999998</v>
      </c>
      <c r="K6742" s="18">
        <v>17.329999999999998</v>
      </c>
      <c r="L6742" s="22">
        <v>1</v>
      </c>
    </row>
    <row r="6743" spans="1:12">
      <c r="A6743">
        <v>7</v>
      </c>
      <c r="B6743" s="16" t="s">
        <v>62</v>
      </c>
      <c r="C6743" s="9">
        <v>46054</v>
      </c>
      <c r="D6743">
        <v>44</v>
      </c>
      <c r="E6743" s="16" t="s">
        <v>133</v>
      </c>
      <c r="F6743" s="16" t="s">
        <v>90</v>
      </c>
      <c r="G6743" s="22">
        <v>3.75</v>
      </c>
      <c r="H6743" s="18">
        <v>64.3125</v>
      </c>
      <c r="I6743" s="18">
        <v>17.149999999999999</v>
      </c>
      <c r="J6743" s="18">
        <v>17.149999999999999</v>
      </c>
      <c r="K6743" s="18">
        <v>17.149999999999999</v>
      </c>
      <c r="L6743" s="22">
        <v>1</v>
      </c>
    </row>
    <row r="6744" spans="1:12">
      <c r="A6744">
        <v>7</v>
      </c>
      <c r="B6744" s="16" t="s">
        <v>62</v>
      </c>
      <c r="C6744" s="9">
        <v>46082</v>
      </c>
      <c r="D6744">
        <v>44</v>
      </c>
      <c r="E6744" s="16" t="s">
        <v>133</v>
      </c>
      <c r="F6744" s="16" t="s">
        <v>90</v>
      </c>
      <c r="G6744" s="22">
        <v>3.75</v>
      </c>
      <c r="H6744" s="18">
        <v>63.637500000000003</v>
      </c>
      <c r="I6744" s="18">
        <v>16.97</v>
      </c>
      <c r="J6744" s="18">
        <v>16.97</v>
      </c>
      <c r="K6744" s="18">
        <v>16.97</v>
      </c>
      <c r="L6744" s="22">
        <v>1</v>
      </c>
    </row>
    <row r="6745" spans="1:12">
      <c r="A6745">
        <v>7</v>
      </c>
      <c r="B6745" s="16" t="s">
        <v>62</v>
      </c>
      <c r="C6745" s="9">
        <v>46113</v>
      </c>
      <c r="D6745">
        <v>44</v>
      </c>
      <c r="E6745" s="16" t="s">
        <v>133</v>
      </c>
      <c r="F6745" s="16" t="s">
        <v>90</v>
      </c>
      <c r="G6745" s="22">
        <v>7.5</v>
      </c>
      <c r="H6745" s="18">
        <v>130.6875</v>
      </c>
      <c r="I6745" s="18">
        <v>17.425000000000001</v>
      </c>
      <c r="J6745" s="18">
        <v>17.649999999999999</v>
      </c>
      <c r="K6745" s="18">
        <v>17.2</v>
      </c>
      <c r="L6745" s="22">
        <v>2</v>
      </c>
    </row>
    <row r="6746" spans="1:12">
      <c r="A6746">
        <v>7</v>
      </c>
      <c r="B6746" s="16" t="s">
        <v>62</v>
      </c>
      <c r="C6746" s="9">
        <v>46143</v>
      </c>
      <c r="D6746">
        <v>44</v>
      </c>
      <c r="E6746" s="16" t="s">
        <v>133</v>
      </c>
      <c r="F6746" s="16" t="s">
        <v>90</v>
      </c>
      <c r="G6746" s="22">
        <v>7.5</v>
      </c>
      <c r="H6746" s="18">
        <v>128.66249999999999</v>
      </c>
      <c r="I6746" s="18">
        <v>17.155000000000001</v>
      </c>
      <c r="J6746" s="18">
        <v>17.190000000000001</v>
      </c>
      <c r="K6746" s="18">
        <v>17.12</v>
      </c>
      <c r="L6746" s="22">
        <v>2</v>
      </c>
    </row>
    <row r="6747" spans="1:12">
      <c r="A6747">
        <v>7</v>
      </c>
      <c r="B6747" s="16" t="s">
        <v>62</v>
      </c>
      <c r="C6747" s="9">
        <v>46174</v>
      </c>
      <c r="D6747">
        <v>44</v>
      </c>
      <c r="E6747" s="16" t="s">
        <v>133</v>
      </c>
      <c r="F6747" s="16" t="s">
        <v>90</v>
      </c>
      <c r="G6747" s="22">
        <v>7.5</v>
      </c>
      <c r="H6747" s="18">
        <v>131.69999999999999</v>
      </c>
      <c r="I6747" s="18">
        <v>17.559999999999999</v>
      </c>
      <c r="J6747" s="18">
        <v>17.62</v>
      </c>
      <c r="K6747" s="18">
        <v>17.5</v>
      </c>
      <c r="L6747" s="22">
        <v>2</v>
      </c>
    </row>
    <row r="6748" spans="1:12">
      <c r="A6748">
        <v>7</v>
      </c>
      <c r="B6748" s="16" t="s">
        <v>62</v>
      </c>
      <c r="C6748" s="9">
        <v>46204</v>
      </c>
      <c r="D6748">
        <v>44</v>
      </c>
      <c r="E6748" s="16" t="s">
        <v>133</v>
      </c>
      <c r="F6748" s="16" t="s">
        <v>90</v>
      </c>
      <c r="G6748" s="22">
        <v>3.75</v>
      </c>
      <c r="H6748" s="18">
        <v>66.075000000000003</v>
      </c>
      <c r="I6748" s="18">
        <v>17.62</v>
      </c>
      <c r="J6748" s="18">
        <v>17.62</v>
      </c>
      <c r="K6748" s="18">
        <v>17.62</v>
      </c>
      <c r="L6748" s="22">
        <v>1</v>
      </c>
    </row>
    <row r="6749" spans="1:12">
      <c r="A6749">
        <v>7</v>
      </c>
      <c r="B6749" s="16" t="s">
        <v>62</v>
      </c>
      <c r="C6749" s="9">
        <v>46235</v>
      </c>
      <c r="D6749">
        <v>44</v>
      </c>
      <c r="E6749" s="16" t="s">
        <v>133</v>
      </c>
      <c r="F6749" s="16" t="s">
        <v>90</v>
      </c>
      <c r="G6749" s="22">
        <v>7.5</v>
      </c>
      <c r="H6749" s="18">
        <v>129.71250000000001</v>
      </c>
      <c r="I6749" s="18">
        <v>17.295000000000002</v>
      </c>
      <c r="J6749" s="18">
        <v>17.3</v>
      </c>
      <c r="K6749" s="18">
        <v>17.29</v>
      </c>
      <c r="L6749" s="22">
        <v>2</v>
      </c>
    </row>
    <row r="6750" spans="1:12">
      <c r="A6750">
        <v>7</v>
      </c>
      <c r="B6750" s="16" t="s">
        <v>62</v>
      </c>
      <c r="C6750" s="9">
        <v>46266</v>
      </c>
      <c r="D6750">
        <v>44</v>
      </c>
      <c r="E6750" s="16" t="s">
        <v>133</v>
      </c>
      <c r="F6750" s="16" t="s">
        <v>90</v>
      </c>
      <c r="G6750" s="22">
        <v>7.5</v>
      </c>
      <c r="H6750" s="18">
        <v>130.94999999999999</v>
      </c>
      <c r="I6750" s="18">
        <v>17.46</v>
      </c>
      <c r="J6750" s="18">
        <v>17.55</v>
      </c>
      <c r="K6750" s="18">
        <v>17.37</v>
      </c>
      <c r="L6750" s="22">
        <v>2</v>
      </c>
    </row>
    <row r="6751" spans="1:12">
      <c r="A6751">
        <v>7</v>
      </c>
      <c r="B6751" s="16" t="s">
        <v>62</v>
      </c>
      <c r="C6751" s="9">
        <v>45689</v>
      </c>
      <c r="D6751">
        <v>45</v>
      </c>
      <c r="E6751" s="16" t="s">
        <v>134</v>
      </c>
      <c r="F6751" s="16" t="s">
        <v>83</v>
      </c>
      <c r="G6751" s="22">
        <v>10</v>
      </c>
      <c r="H6751" s="18">
        <v>11.875</v>
      </c>
      <c r="I6751" s="18">
        <v>1.1875</v>
      </c>
      <c r="J6751" s="18">
        <v>1.21</v>
      </c>
      <c r="K6751" s="18">
        <v>1.1599999999999999</v>
      </c>
      <c r="L6751" s="22">
        <v>7</v>
      </c>
    </row>
    <row r="6752" spans="1:12">
      <c r="A6752">
        <v>7</v>
      </c>
      <c r="B6752" s="16" t="s">
        <v>62</v>
      </c>
      <c r="C6752" s="9">
        <v>45717</v>
      </c>
      <c r="D6752">
        <v>45</v>
      </c>
      <c r="E6752" s="16" t="s">
        <v>134</v>
      </c>
      <c r="F6752" s="16" t="s">
        <v>83</v>
      </c>
      <c r="G6752" s="22">
        <v>13.75</v>
      </c>
      <c r="H6752" s="18">
        <v>16.2</v>
      </c>
      <c r="I6752" s="18">
        <v>1.1781818180000001</v>
      </c>
      <c r="J6752" s="18">
        <v>1.21</v>
      </c>
      <c r="K6752" s="18">
        <v>1.1599999999999999</v>
      </c>
      <c r="L6752" s="22">
        <v>9</v>
      </c>
    </row>
    <row r="6753" spans="1:12">
      <c r="A6753">
        <v>7</v>
      </c>
      <c r="B6753" s="16" t="s">
        <v>62</v>
      </c>
      <c r="C6753" s="9">
        <v>45748</v>
      </c>
      <c r="D6753">
        <v>45</v>
      </c>
      <c r="E6753" s="16" t="s">
        <v>134</v>
      </c>
      <c r="F6753" s="16" t="s">
        <v>83</v>
      </c>
      <c r="G6753" s="22">
        <v>16.25</v>
      </c>
      <c r="H6753" s="18">
        <v>19.475000000000001</v>
      </c>
      <c r="I6753" s="18">
        <v>1.1984615380000001</v>
      </c>
      <c r="J6753" s="18">
        <v>1.22</v>
      </c>
      <c r="K6753" s="18">
        <v>1.18</v>
      </c>
      <c r="L6753" s="22">
        <v>8</v>
      </c>
    </row>
    <row r="6754" spans="1:12">
      <c r="A6754">
        <v>7</v>
      </c>
      <c r="B6754" s="16" t="s">
        <v>62</v>
      </c>
      <c r="C6754" s="9">
        <v>45778</v>
      </c>
      <c r="D6754">
        <v>45</v>
      </c>
      <c r="E6754" s="16" t="s">
        <v>134</v>
      </c>
      <c r="F6754" s="16" t="s">
        <v>83</v>
      </c>
      <c r="G6754" s="22">
        <v>18.75</v>
      </c>
      <c r="H6754" s="18">
        <v>22.337499999999999</v>
      </c>
      <c r="I6754" s="18">
        <v>1.191333333</v>
      </c>
      <c r="J6754" s="18">
        <v>1.22</v>
      </c>
      <c r="K6754" s="18">
        <v>1.1599999999999999</v>
      </c>
      <c r="L6754" s="22">
        <v>9</v>
      </c>
    </row>
    <row r="6755" spans="1:12">
      <c r="A6755">
        <v>7</v>
      </c>
      <c r="B6755" s="16" t="s">
        <v>62</v>
      </c>
      <c r="C6755" s="9">
        <v>45809</v>
      </c>
      <c r="D6755">
        <v>45</v>
      </c>
      <c r="E6755" s="16" t="s">
        <v>134</v>
      </c>
      <c r="F6755" s="16" t="s">
        <v>83</v>
      </c>
      <c r="G6755" s="22">
        <v>18.75</v>
      </c>
      <c r="H6755" s="18">
        <v>22.487500000000001</v>
      </c>
      <c r="I6755" s="18">
        <v>1.199333333</v>
      </c>
      <c r="J6755" s="18">
        <v>1.22</v>
      </c>
      <c r="K6755" s="18">
        <v>1.18</v>
      </c>
      <c r="L6755" s="22">
        <v>9</v>
      </c>
    </row>
    <row r="6756" spans="1:12">
      <c r="A6756">
        <v>7</v>
      </c>
      <c r="B6756" s="16" t="s">
        <v>62</v>
      </c>
      <c r="C6756" s="9">
        <v>45839</v>
      </c>
      <c r="D6756">
        <v>45</v>
      </c>
      <c r="E6756" s="16" t="s">
        <v>134</v>
      </c>
      <c r="F6756" s="16" t="s">
        <v>83</v>
      </c>
      <c r="G6756" s="22">
        <v>17.5</v>
      </c>
      <c r="H6756" s="18">
        <v>21.012499999999999</v>
      </c>
      <c r="I6756" s="18">
        <v>1.200714286</v>
      </c>
      <c r="J6756" s="18">
        <v>1.23</v>
      </c>
      <c r="K6756" s="18">
        <v>1.18</v>
      </c>
      <c r="L6756" s="22">
        <v>8</v>
      </c>
    </row>
    <row r="6757" spans="1:12">
      <c r="A6757">
        <v>7</v>
      </c>
      <c r="B6757" s="16" t="s">
        <v>62</v>
      </c>
      <c r="C6757" s="9">
        <v>45870</v>
      </c>
      <c r="D6757">
        <v>45</v>
      </c>
      <c r="E6757" s="16" t="s">
        <v>134</v>
      </c>
      <c r="F6757" s="16" t="s">
        <v>83</v>
      </c>
      <c r="G6757" s="22">
        <v>15</v>
      </c>
      <c r="H6757" s="18">
        <v>18.149999999999999</v>
      </c>
      <c r="I6757" s="18">
        <v>1.21</v>
      </c>
      <c r="J6757" s="18">
        <v>1.23</v>
      </c>
      <c r="K6757" s="18">
        <v>1.19</v>
      </c>
      <c r="L6757" s="22">
        <v>8</v>
      </c>
    </row>
    <row r="6758" spans="1:12">
      <c r="A6758">
        <v>7</v>
      </c>
      <c r="B6758" s="16" t="s">
        <v>62</v>
      </c>
      <c r="C6758" s="9">
        <v>45901</v>
      </c>
      <c r="D6758">
        <v>45</v>
      </c>
      <c r="E6758" s="16" t="s">
        <v>134</v>
      </c>
      <c r="F6758" s="16" t="s">
        <v>83</v>
      </c>
      <c r="G6758" s="22">
        <v>16.25</v>
      </c>
      <c r="H6758" s="18">
        <v>19.787500000000001</v>
      </c>
      <c r="I6758" s="18">
        <v>1.2176923079999999</v>
      </c>
      <c r="J6758" s="18">
        <v>1.24</v>
      </c>
      <c r="K6758" s="18">
        <v>1.2</v>
      </c>
      <c r="L6758" s="22">
        <v>9</v>
      </c>
    </row>
    <row r="6759" spans="1:12">
      <c r="A6759">
        <v>7</v>
      </c>
      <c r="B6759" s="16" t="s">
        <v>62</v>
      </c>
      <c r="C6759" s="9">
        <v>45931</v>
      </c>
      <c r="D6759">
        <v>45</v>
      </c>
      <c r="E6759" s="16" t="s">
        <v>134</v>
      </c>
      <c r="F6759" s="16" t="s">
        <v>83</v>
      </c>
      <c r="G6759" s="22">
        <v>17.5</v>
      </c>
      <c r="H6759" s="18">
        <v>21.1875</v>
      </c>
      <c r="I6759" s="18">
        <v>1.210714286</v>
      </c>
      <c r="J6759" s="18">
        <v>1.23</v>
      </c>
      <c r="K6759" s="18">
        <v>1.18</v>
      </c>
      <c r="L6759" s="22">
        <v>9</v>
      </c>
    </row>
    <row r="6760" spans="1:12">
      <c r="A6760">
        <v>7</v>
      </c>
      <c r="B6760" s="16" t="s">
        <v>62</v>
      </c>
      <c r="C6760" s="9">
        <v>45962</v>
      </c>
      <c r="D6760">
        <v>45</v>
      </c>
      <c r="E6760" s="16" t="s">
        <v>134</v>
      </c>
      <c r="F6760" s="16" t="s">
        <v>83</v>
      </c>
      <c r="G6760" s="22">
        <v>13.75</v>
      </c>
      <c r="H6760" s="18">
        <v>16.637499999999999</v>
      </c>
      <c r="I6760" s="18">
        <v>1.21</v>
      </c>
      <c r="J6760" s="18">
        <v>1.24</v>
      </c>
      <c r="K6760" s="18">
        <v>1.19</v>
      </c>
      <c r="L6760" s="22">
        <v>8</v>
      </c>
    </row>
    <row r="6761" spans="1:12">
      <c r="A6761">
        <v>7</v>
      </c>
      <c r="B6761" s="16" t="s">
        <v>62</v>
      </c>
      <c r="C6761" s="9">
        <v>45992</v>
      </c>
      <c r="D6761">
        <v>45</v>
      </c>
      <c r="E6761" s="16" t="s">
        <v>134</v>
      </c>
      <c r="F6761" s="16" t="s">
        <v>83</v>
      </c>
      <c r="G6761" s="22">
        <v>15</v>
      </c>
      <c r="H6761" s="18">
        <v>18.3125</v>
      </c>
      <c r="I6761" s="18">
        <v>1.2208333330000001</v>
      </c>
      <c r="J6761" s="18">
        <v>1.26</v>
      </c>
      <c r="K6761" s="18">
        <v>1.19</v>
      </c>
      <c r="L6761" s="22">
        <v>9</v>
      </c>
    </row>
    <row r="6762" spans="1:12">
      <c r="A6762">
        <v>7</v>
      </c>
      <c r="B6762" s="16" t="s">
        <v>62</v>
      </c>
      <c r="C6762" s="9">
        <v>46023</v>
      </c>
      <c r="D6762">
        <v>45</v>
      </c>
      <c r="E6762" s="16" t="s">
        <v>134</v>
      </c>
      <c r="F6762" s="16" t="s">
        <v>83</v>
      </c>
      <c r="G6762" s="22">
        <v>15</v>
      </c>
      <c r="H6762" s="18">
        <v>18.112500000000001</v>
      </c>
      <c r="I6762" s="18">
        <v>1.2075</v>
      </c>
      <c r="J6762" s="18">
        <v>1.23</v>
      </c>
      <c r="K6762" s="18">
        <v>1.17</v>
      </c>
      <c r="L6762" s="22">
        <v>9</v>
      </c>
    </row>
    <row r="6763" spans="1:12">
      <c r="A6763">
        <v>7</v>
      </c>
      <c r="B6763" s="16" t="s">
        <v>62</v>
      </c>
      <c r="C6763" s="9">
        <v>46054</v>
      </c>
      <c r="D6763">
        <v>45</v>
      </c>
      <c r="E6763" s="16" t="s">
        <v>134</v>
      </c>
      <c r="F6763" s="16" t="s">
        <v>83</v>
      </c>
      <c r="G6763" s="22">
        <v>16.25</v>
      </c>
      <c r="H6763" s="18">
        <v>19.899999999999999</v>
      </c>
      <c r="I6763" s="18">
        <v>1.2246153849999999</v>
      </c>
      <c r="J6763" s="18">
        <v>1.24</v>
      </c>
      <c r="K6763" s="18">
        <v>1.2</v>
      </c>
      <c r="L6763" s="22">
        <v>8</v>
      </c>
    </row>
    <row r="6764" spans="1:12">
      <c r="A6764">
        <v>7</v>
      </c>
      <c r="B6764" s="16" t="s">
        <v>62</v>
      </c>
      <c r="C6764" s="9">
        <v>46082</v>
      </c>
      <c r="D6764">
        <v>45</v>
      </c>
      <c r="E6764" s="16" t="s">
        <v>134</v>
      </c>
      <c r="F6764" s="16" t="s">
        <v>83</v>
      </c>
      <c r="G6764" s="22">
        <v>18.75</v>
      </c>
      <c r="H6764" s="18">
        <v>22.8125</v>
      </c>
      <c r="I6764" s="18">
        <v>1.2166666669999999</v>
      </c>
      <c r="J6764" s="18">
        <v>1.25</v>
      </c>
      <c r="K6764" s="18">
        <v>1.2</v>
      </c>
      <c r="L6764" s="22">
        <v>9</v>
      </c>
    </row>
    <row r="6765" spans="1:12">
      <c r="A6765">
        <v>7</v>
      </c>
      <c r="B6765" s="16" t="s">
        <v>62</v>
      </c>
      <c r="C6765" s="9">
        <v>46113</v>
      </c>
      <c r="D6765">
        <v>45</v>
      </c>
      <c r="E6765" s="16" t="s">
        <v>134</v>
      </c>
      <c r="F6765" s="16" t="s">
        <v>83</v>
      </c>
      <c r="G6765" s="22">
        <v>17.5</v>
      </c>
      <c r="H6765" s="18">
        <v>21.15</v>
      </c>
      <c r="I6765" s="18">
        <v>1.208571429</v>
      </c>
      <c r="J6765" s="18">
        <v>1.22</v>
      </c>
      <c r="K6765" s="18">
        <v>1.19</v>
      </c>
      <c r="L6765" s="22">
        <v>9</v>
      </c>
    </row>
    <row r="6766" spans="1:12">
      <c r="A6766">
        <v>7</v>
      </c>
      <c r="B6766" s="16" t="s">
        <v>62</v>
      </c>
      <c r="C6766" s="9">
        <v>46143</v>
      </c>
      <c r="D6766">
        <v>45</v>
      </c>
      <c r="E6766" s="16" t="s">
        <v>134</v>
      </c>
      <c r="F6766" s="16" t="s">
        <v>83</v>
      </c>
      <c r="G6766" s="22">
        <v>20</v>
      </c>
      <c r="H6766" s="18">
        <v>24.3125</v>
      </c>
      <c r="I6766" s="18">
        <v>1.215625</v>
      </c>
      <c r="J6766" s="18">
        <v>1.24</v>
      </c>
      <c r="K6766" s="18">
        <v>1.2</v>
      </c>
      <c r="L6766" s="22">
        <v>8</v>
      </c>
    </row>
    <row r="6767" spans="1:12">
      <c r="A6767">
        <v>7</v>
      </c>
      <c r="B6767" s="16" t="s">
        <v>62</v>
      </c>
      <c r="C6767" s="9">
        <v>46174</v>
      </c>
      <c r="D6767">
        <v>45</v>
      </c>
      <c r="E6767" s="16" t="s">
        <v>134</v>
      </c>
      <c r="F6767" s="16" t="s">
        <v>83</v>
      </c>
      <c r="G6767" s="22">
        <v>26.25</v>
      </c>
      <c r="H6767" s="18">
        <v>31.925000000000001</v>
      </c>
      <c r="I6767" s="18">
        <v>1.216190476</v>
      </c>
      <c r="J6767" s="18">
        <v>1.24</v>
      </c>
      <c r="K6767" s="18">
        <v>1.19</v>
      </c>
      <c r="L6767" s="22">
        <v>9</v>
      </c>
    </row>
    <row r="6768" spans="1:12">
      <c r="A6768">
        <v>7</v>
      </c>
      <c r="B6768" s="16" t="s">
        <v>62</v>
      </c>
      <c r="C6768" s="9">
        <v>46204</v>
      </c>
      <c r="D6768">
        <v>45</v>
      </c>
      <c r="E6768" s="16" t="s">
        <v>134</v>
      </c>
      <c r="F6768" s="16" t="s">
        <v>83</v>
      </c>
      <c r="G6768" s="22">
        <v>27.5</v>
      </c>
      <c r="H6768" s="18">
        <v>33.875</v>
      </c>
      <c r="I6768" s="18">
        <v>1.231818182</v>
      </c>
      <c r="J6768" s="18">
        <v>1.26</v>
      </c>
      <c r="K6768" s="18">
        <v>1.21</v>
      </c>
      <c r="L6768" s="22">
        <v>9</v>
      </c>
    </row>
    <row r="6769" spans="1:12">
      <c r="A6769">
        <v>7</v>
      </c>
      <c r="B6769" s="16" t="s">
        <v>62</v>
      </c>
      <c r="C6769" s="9">
        <v>46235</v>
      </c>
      <c r="D6769">
        <v>45</v>
      </c>
      <c r="E6769" s="16" t="s">
        <v>134</v>
      </c>
      <c r="F6769" s="16" t="s">
        <v>83</v>
      </c>
      <c r="G6769" s="22">
        <v>27.5</v>
      </c>
      <c r="H6769" s="18">
        <v>33.75</v>
      </c>
      <c r="I6769" s="18">
        <v>1.2272727269999999</v>
      </c>
      <c r="J6769" s="18">
        <v>1.24</v>
      </c>
      <c r="K6769" s="18">
        <v>1.2</v>
      </c>
      <c r="L6769" s="22">
        <v>9</v>
      </c>
    </row>
    <row r="6770" spans="1:12">
      <c r="A6770">
        <v>7</v>
      </c>
      <c r="B6770" s="16" t="s">
        <v>62</v>
      </c>
      <c r="C6770" s="9">
        <v>46266</v>
      </c>
      <c r="D6770">
        <v>45</v>
      </c>
      <c r="E6770" s="16" t="s">
        <v>134</v>
      </c>
      <c r="F6770" s="16" t="s">
        <v>83</v>
      </c>
      <c r="G6770" s="22">
        <v>21.25</v>
      </c>
      <c r="H6770" s="18">
        <v>26.3</v>
      </c>
      <c r="I6770" s="18">
        <v>1.2376470589999999</v>
      </c>
      <c r="J6770" s="18">
        <v>1.26</v>
      </c>
      <c r="K6770" s="18">
        <v>1.22</v>
      </c>
      <c r="L6770" s="22">
        <v>8</v>
      </c>
    </row>
    <row r="6771" spans="1:12">
      <c r="A6771">
        <v>7</v>
      </c>
      <c r="B6771" s="16" t="s">
        <v>62</v>
      </c>
      <c r="C6771" s="9">
        <v>45689</v>
      </c>
      <c r="D6771">
        <v>46</v>
      </c>
      <c r="E6771" s="16" t="s">
        <v>135</v>
      </c>
      <c r="F6771" s="16" t="s">
        <v>108</v>
      </c>
      <c r="G6771" s="22">
        <v>16</v>
      </c>
      <c r="H6771" s="18">
        <v>33.6</v>
      </c>
      <c r="I6771" s="18">
        <v>2.1</v>
      </c>
      <c r="J6771" s="18">
        <v>2.1</v>
      </c>
      <c r="K6771" s="18">
        <v>2.1</v>
      </c>
      <c r="L6771" s="22">
        <v>1</v>
      </c>
    </row>
    <row r="6772" spans="1:12">
      <c r="A6772">
        <v>7</v>
      </c>
      <c r="B6772" s="16" t="s">
        <v>62</v>
      </c>
      <c r="C6772" s="9">
        <v>45717</v>
      </c>
      <c r="D6772">
        <v>46</v>
      </c>
      <c r="E6772" s="16" t="s">
        <v>135</v>
      </c>
      <c r="F6772" s="16" t="s">
        <v>108</v>
      </c>
      <c r="G6772" s="22">
        <v>32</v>
      </c>
      <c r="H6772" s="18">
        <v>66.88</v>
      </c>
      <c r="I6772" s="18">
        <v>2.09</v>
      </c>
      <c r="J6772" s="18">
        <v>2.09</v>
      </c>
      <c r="K6772" s="18">
        <v>2.09</v>
      </c>
      <c r="L6772" s="22">
        <v>1</v>
      </c>
    </row>
    <row r="6773" spans="1:12">
      <c r="A6773">
        <v>7</v>
      </c>
      <c r="B6773" s="16" t="s">
        <v>62</v>
      </c>
      <c r="C6773" s="9">
        <v>45748</v>
      </c>
      <c r="D6773">
        <v>46</v>
      </c>
      <c r="E6773" s="16" t="s">
        <v>135</v>
      </c>
      <c r="F6773" s="16" t="s">
        <v>108</v>
      </c>
      <c r="G6773" s="22">
        <v>16</v>
      </c>
      <c r="H6773" s="18">
        <v>34.4</v>
      </c>
      <c r="I6773" s="18">
        <v>2.15</v>
      </c>
      <c r="J6773" s="18">
        <v>2.15</v>
      </c>
      <c r="K6773" s="18">
        <v>2.15</v>
      </c>
      <c r="L6773" s="22">
        <v>1</v>
      </c>
    </row>
    <row r="6774" spans="1:12">
      <c r="A6774">
        <v>7</v>
      </c>
      <c r="B6774" s="16" t="s">
        <v>62</v>
      </c>
      <c r="C6774" s="9">
        <v>45778</v>
      </c>
      <c r="D6774">
        <v>46</v>
      </c>
      <c r="E6774" s="16" t="s">
        <v>135</v>
      </c>
      <c r="F6774" s="16" t="s">
        <v>108</v>
      </c>
      <c r="G6774" s="22">
        <v>32</v>
      </c>
      <c r="H6774" s="18">
        <v>69.44</v>
      </c>
      <c r="I6774" s="18">
        <v>2.17</v>
      </c>
      <c r="J6774" s="18">
        <v>2.17</v>
      </c>
      <c r="K6774" s="18">
        <v>2.17</v>
      </c>
      <c r="L6774" s="22">
        <v>1</v>
      </c>
    </row>
    <row r="6775" spans="1:12">
      <c r="A6775">
        <v>7</v>
      </c>
      <c r="B6775" s="16" t="s">
        <v>62</v>
      </c>
      <c r="C6775" s="9">
        <v>45809</v>
      </c>
      <c r="D6775">
        <v>46</v>
      </c>
      <c r="E6775" s="16" t="s">
        <v>135</v>
      </c>
      <c r="F6775" s="16" t="s">
        <v>108</v>
      </c>
      <c r="G6775" s="22">
        <v>16</v>
      </c>
      <c r="H6775" s="18">
        <v>34.4</v>
      </c>
      <c r="I6775" s="18">
        <v>2.15</v>
      </c>
      <c r="J6775" s="18">
        <v>2.15</v>
      </c>
      <c r="K6775" s="18">
        <v>2.15</v>
      </c>
      <c r="L6775" s="22">
        <v>1</v>
      </c>
    </row>
    <row r="6776" spans="1:12">
      <c r="A6776">
        <v>7</v>
      </c>
      <c r="B6776" s="16" t="s">
        <v>62</v>
      </c>
      <c r="C6776" s="9">
        <v>45839</v>
      </c>
      <c r="D6776">
        <v>46</v>
      </c>
      <c r="E6776" s="16" t="s">
        <v>135</v>
      </c>
      <c r="F6776" s="16" t="s">
        <v>108</v>
      </c>
      <c r="G6776" s="22">
        <v>32</v>
      </c>
      <c r="H6776" s="18">
        <v>68.8</v>
      </c>
      <c r="I6776" s="18">
        <v>2.15</v>
      </c>
      <c r="J6776" s="18">
        <v>2.15</v>
      </c>
      <c r="K6776" s="18">
        <v>2.15</v>
      </c>
      <c r="L6776" s="22">
        <v>1</v>
      </c>
    </row>
    <row r="6777" spans="1:12">
      <c r="A6777">
        <v>7</v>
      </c>
      <c r="B6777" s="16" t="s">
        <v>62</v>
      </c>
      <c r="C6777" s="9">
        <v>45870</v>
      </c>
      <c r="D6777">
        <v>46</v>
      </c>
      <c r="E6777" s="16" t="s">
        <v>135</v>
      </c>
      <c r="F6777" s="16" t="s">
        <v>108</v>
      </c>
      <c r="G6777" s="22">
        <v>32</v>
      </c>
      <c r="H6777" s="18">
        <v>68.16</v>
      </c>
      <c r="I6777" s="18">
        <v>2.13</v>
      </c>
      <c r="J6777" s="18">
        <v>2.13</v>
      </c>
      <c r="K6777" s="18">
        <v>2.13</v>
      </c>
      <c r="L6777" s="22">
        <v>1</v>
      </c>
    </row>
    <row r="6778" spans="1:12">
      <c r="A6778">
        <v>7</v>
      </c>
      <c r="B6778" s="16" t="s">
        <v>62</v>
      </c>
      <c r="C6778" s="9">
        <v>45901</v>
      </c>
      <c r="D6778">
        <v>46</v>
      </c>
      <c r="E6778" s="16" t="s">
        <v>135</v>
      </c>
      <c r="F6778" s="16" t="s">
        <v>108</v>
      </c>
      <c r="G6778" s="22">
        <v>16</v>
      </c>
      <c r="H6778" s="18">
        <v>34.880000000000003</v>
      </c>
      <c r="I6778" s="18">
        <v>2.1800000000000002</v>
      </c>
      <c r="J6778" s="18">
        <v>2.1800000000000002</v>
      </c>
      <c r="K6778" s="18">
        <v>2.1800000000000002</v>
      </c>
      <c r="L6778" s="22">
        <v>1</v>
      </c>
    </row>
    <row r="6779" spans="1:12">
      <c r="A6779">
        <v>7</v>
      </c>
      <c r="B6779" s="16" t="s">
        <v>62</v>
      </c>
      <c r="C6779" s="9">
        <v>45931</v>
      </c>
      <c r="D6779">
        <v>46</v>
      </c>
      <c r="E6779" s="16" t="s">
        <v>135</v>
      </c>
      <c r="F6779" s="16" t="s">
        <v>108</v>
      </c>
      <c r="G6779" s="22">
        <v>48</v>
      </c>
      <c r="H6779" s="18">
        <v>105.44</v>
      </c>
      <c r="I6779" s="18">
        <v>2.1966666670000001</v>
      </c>
      <c r="J6779" s="18">
        <v>2.21</v>
      </c>
      <c r="K6779" s="18">
        <v>2.17</v>
      </c>
      <c r="L6779" s="22">
        <v>2</v>
      </c>
    </row>
    <row r="6780" spans="1:12">
      <c r="A6780">
        <v>7</v>
      </c>
      <c r="B6780" s="16" t="s">
        <v>62</v>
      </c>
      <c r="C6780" s="9">
        <v>45962</v>
      </c>
      <c r="D6780">
        <v>46</v>
      </c>
      <c r="E6780" s="16" t="s">
        <v>135</v>
      </c>
      <c r="F6780" s="16" t="s">
        <v>108</v>
      </c>
      <c r="G6780" s="22">
        <v>32</v>
      </c>
      <c r="H6780" s="18">
        <v>68.8</v>
      </c>
      <c r="I6780" s="18">
        <v>2.15</v>
      </c>
      <c r="J6780" s="18">
        <v>2.15</v>
      </c>
      <c r="K6780" s="18">
        <v>2.15</v>
      </c>
      <c r="L6780" s="22">
        <v>1</v>
      </c>
    </row>
    <row r="6781" spans="1:12">
      <c r="A6781">
        <v>7</v>
      </c>
      <c r="B6781" s="16" t="s">
        <v>62</v>
      </c>
      <c r="C6781" s="9">
        <v>45992</v>
      </c>
      <c r="D6781">
        <v>46</v>
      </c>
      <c r="E6781" s="16" t="s">
        <v>135</v>
      </c>
      <c r="F6781" s="16" t="s">
        <v>108</v>
      </c>
      <c r="G6781" s="22">
        <v>16</v>
      </c>
      <c r="H6781" s="18">
        <v>35.520000000000003</v>
      </c>
      <c r="I6781" s="18">
        <v>2.2200000000000002</v>
      </c>
      <c r="J6781" s="18">
        <v>2.2200000000000002</v>
      </c>
      <c r="K6781" s="18">
        <v>2.2200000000000002</v>
      </c>
      <c r="L6781" s="22">
        <v>1</v>
      </c>
    </row>
    <row r="6782" spans="1:12">
      <c r="A6782">
        <v>7</v>
      </c>
      <c r="B6782" s="16" t="s">
        <v>62</v>
      </c>
      <c r="C6782" s="9">
        <v>46023</v>
      </c>
      <c r="D6782">
        <v>46</v>
      </c>
      <c r="E6782" s="16" t="s">
        <v>135</v>
      </c>
      <c r="F6782" s="16" t="s">
        <v>108</v>
      </c>
      <c r="G6782" s="22">
        <v>16</v>
      </c>
      <c r="H6782" s="18">
        <v>35.68</v>
      </c>
      <c r="I6782" s="18">
        <v>2.23</v>
      </c>
      <c r="J6782" s="18">
        <v>2.23</v>
      </c>
      <c r="K6782" s="18">
        <v>2.23</v>
      </c>
      <c r="L6782" s="22">
        <v>1</v>
      </c>
    </row>
    <row r="6783" spans="1:12">
      <c r="A6783">
        <v>7</v>
      </c>
      <c r="B6783" s="16" t="s">
        <v>62</v>
      </c>
      <c r="C6783" s="9">
        <v>46054</v>
      </c>
      <c r="D6783">
        <v>46</v>
      </c>
      <c r="E6783" s="16" t="s">
        <v>135</v>
      </c>
      <c r="F6783" s="16" t="s">
        <v>108</v>
      </c>
      <c r="G6783" s="22">
        <v>32</v>
      </c>
      <c r="H6783" s="18">
        <v>73.599999999999994</v>
      </c>
      <c r="I6783" s="18">
        <v>2.2999999999999998</v>
      </c>
      <c r="J6783" s="18">
        <v>2.2999999999999998</v>
      </c>
      <c r="K6783" s="18">
        <v>2.2999999999999998</v>
      </c>
      <c r="L6783" s="22">
        <v>1</v>
      </c>
    </row>
    <row r="6784" spans="1:12">
      <c r="A6784">
        <v>7</v>
      </c>
      <c r="B6784" s="16" t="s">
        <v>62</v>
      </c>
      <c r="C6784" s="9">
        <v>46082</v>
      </c>
      <c r="D6784">
        <v>46</v>
      </c>
      <c r="E6784" s="16" t="s">
        <v>135</v>
      </c>
      <c r="F6784" s="16" t="s">
        <v>108</v>
      </c>
      <c r="G6784" s="22">
        <v>32</v>
      </c>
      <c r="H6784" s="18">
        <v>72.64</v>
      </c>
      <c r="I6784" s="18">
        <v>2.27</v>
      </c>
      <c r="J6784" s="18">
        <v>2.27</v>
      </c>
      <c r="K6784" s="18">
        <v>2.27</v>
      </c>
      <c r="L6784" s="22">
        <v>1</v>
      </c>
    </row>
    <row r="6785" spans="1:12">
      <c r="A6785">
        <v>7</v>
      </c>
      <c r="B6785" s="16" t="s">
        <v>62</v>
      </c>
      <c r="C6785" s="9">
        <v>46113</v>
      </c>
      <c r="D6785">
        <v>46</v>
      </c>
      <c r="E6785" s="16" t="s">
        <v>135</v>
      </c>
      <c r="F6785" s="16" t="s">
        <v>108</v>
      </c>
      <c r="G6785" s="22">
        <v>32</v>
      </c>
      <c r="H6785" s="18">
        <v>72.959999999999994</v>
      </c>
      <c r="I6785" s="18">
        <v>2.2799999999999998</v>
      </c>
      <c r="J6785" s="18">
        <v>2.2799999999999998</v>
      </c>
      <c r="K6785" s="18">
        <v>2.2799999999999998</v>
      </c>
      <c r="L6785" s="22">
        <v>1</v>
      </c>
    </row>
    <row r="6786" spans="1:12">
      <c r="A6786">
        <v>7</v>
      </c>
      <c r="B6786" s="16" t="s">
        <v>62</v>
      </c>
      <c r="C6786" s="9">
        <v>46143</v>
      </c>
      <c r="D6786">
        <v>46</v>
      </c>
      <c r="E6786" s="16" t="s">
        <v>135</v>
      </c>
      <c r="F6786" s="16" t="s">
        <v>108</v>
      </c>
      <c r="G6786" s="22">
        <v>32</v>
      </c>
      <c r="H6786" s="18">
        <v>72.64</v>
      </c>
      <c r="I6786" s="18">
        <v>2.27</v>
      </c>
      <c r="J6786" s="18">
        <v>2.27</v>
      </c>
      <c r="K6786" s="18">
        <v>2.27</v>
      </c>
      <c r="L6786" s="22">
        <v>1</v>
      </c>
    </row>
    <row r="6787" spans="1:12">
      <c r="A6787">
        <v>7</v>
      </c>
      <c r="B6787" s="16" t="s">
        <v>62</v>
      </c>
      <c r="C6787" s="9">
        <v>46174</v>
      </c>
      <c r="D6787">
        <v>46</v>
      </c>
      <c r="E6787" s="16" t="s">
        <v>135</v>
      </c>
      <c r="F6787" s="16" t="s">
        <v>108</v>
      </c>
      <c r="G6787" s="22">
        <v>16</v>
      </c>
      <c r="H6787" s="18">
        <v>37.28</v>
      </c>
      <c r="I6787" s="18">
        <v>2.33</v>
      </c>
      <c r="J6787" s="18">
        <v>2.33</v>
      </c>
      <c r="K6787" s="18">
        <v>2.33</v>
      </c>
      <c r="L6787" s="22">
        <v>1</v>
      </c>
    </row>
    <row r="6788" spans="1:12">
      <c r="A6788">
        <v>7</v>
      </c>
      <c r="B6788" s="16" t="s">
        <v>62</v>
      </c>
      <c r="C6788" s="9">
        <v>46204</v>
      </c>
      <c r="D6788">
        <v>46</v>
      </c>
      <c r="E6788" s="16" t="s">
        <v>135</v>
      </c>
      <c r="F6788" s="16" t="s">
        <v>108</v>
      </c>
      <c r="G6788" s="22">
        <v>32</v>
      </c>
      <c r="H6788" s="18">
        <v>73.599999999999994</v>
      </c>
      <c r="I6788" s="18">
        <v>2.2999999999999998</v>
      </c>
      <c r="J6788" s="18">
        <v>2.2999999999999998</v>
      </c>
      <c r="K6788" s="18">
        <v>2.2999999999999998</v>
      </c>
      <c r="L6788" s="22">
        <v>1</v>
      </c>
    </row>
    <row r="6789" spans="1:12">
      <c r="A6789">
        <v>7</v>
      </c>
      <c r="B6789" s="16" t="s">
        <v>62</v>
      </c>
      <c r="C6789" s="9">
        <v>46235</v>
      </c>
      <c r="D6789">
        <v>46</v>
      </c>
      <c r="E6789" s="16" t="s">
        <v>135</v>
      </c>
      <c r="F6789" s="16" t="s">
        <v>108</v>
      </c>
      <c r="G6789" s="22">
        <v>32</v>
      </c>
      <c r="H6789" s="18">
        <v>72.64</v>
      </c>
      <c r="I6789" s="18">
        <v>2.27</v>
      </c>
      <c r="J6789" s="18">
        <v>2.27</v>
      </c>
      <c r="K6789" s="18">
        <v>2.27</v>
      </c>
      <c r="L6789" s="22">
        <v>1</v>
      </c>
    </row>
    <row r="6790" spans="1:12">
      <c r="A6790">
        <v>7</v>
      </c>
      <c r="B6790" s="16" t="s">
        <v>62</v>
      </c>
      <c r="C6790" s="9">
        <v>46266</v>
      </c>
      <c r="D6790">
        <v>46</v>
      </c>
      <c r="E6790" s="16" t="s">
        <v>135</v>
      </c>
      <c r="F6790" s="16" t="s">
        <v>108</v>
      </c>
      <c r="G6790" s="22">
        <v>32</v>
      </c>
      <c r="H6790" s="18">
        <v>73.28</v>
      </c>
      <c r="I6790" s="18">
        <v>2.29</v>
      </c>
      <c r="J6790" s="18">
        <v>2.29</v>
      </c>
      <c r="K6790" s="18">
        <v>2.29</v>
      </c>
      <c r="L6790" s="22">
        <v>1</v>
      </c>
    </row>
    <row r="6791" spans="1:12">
      <c r="A6791">
        <v>7</v>
      </c>
      <c r="B6791" s="16" t="s">
        <v>62</v>
      </c>
      <c r="C6791" s="9">
        <v>45689</v>
      </c>
      <c r="D6791">
        <v>47</v>
      </c>
      <c r="E6791" s="16" t="s">
        <v>136</v>
      </c>
      <c r="F6791" s="16" t="s">
        <v>92</v>
      </c>
      <c r="G6791" s="22">
        <v>63</v>
      </c>
      <c r="H6791" s="18">
        <v>283.71749999999997</v>
      </c>
      <c r="I6791" s="18">
        <v>4.5034523809999998</v>
      </c>
      <c r="J6791" s="18">
        <v>4.57</v>
      </c>
      <c r="K6791" s="18">
        <v>4.42</v>
      </c>
      <c r="L6791" s="22">
        <v>8</v>
      </c>
    </row>
    <row r="6792" spans="1:12">
      <c r="A6792">
        <v>7</v>
      </c>
      <c r="B6792" s="16" t="s">
        <v>62</v>
      </c>
      <c r="C6792" s="9">
        <v>45717</v>
      </c>
      <c r="D6792">
        <v>47</v>
      </c>
      <c r="E6792" s="16" t="s">
        <v>136</v>
      </c>
      <c r="F6792" s="16" t="s">
        <v>92</v>
      </c>
      <c r="G6792" s="22">
        <v>78.75</v>
      </c>
      <c r="H6792" s="18">
        <v>336.71249999999998</v>
      </c>
      <c r="I6792" s="18">
        <v>4.2757142860000004</v>
      </c>
      <c r="J6792" s="18">
        <v>4.32</v>
      </c>
      <c r="K6792" s="18">
        <v>4.22</v>
      </c>
      <c r="L6792" s="22">
        <v>8</v>
      </c>
    </row>
    <row r="6793" spans="1:12">
      <c r="A6793">
        <v>7</v>
      </c>
      <c r="B6793" s="16" t="s">
        <v>62</v>
      </c>
      <c r="C6793" s="9">
        <v>45748</v>
      </c>
      <c r="D6793">
        <v>47</v>
      </c>
      <c r="E6793" s="16" t="s">
        <v>136</v>
      </c>
      <c r="F6793" s="16" t="s">
        <v>92</v>
      </c>
      <c r="G6793" s="22">
        <v>91.5</v>
      </c>
      <c r="H6793" s="18">
        <v>360.06</v>
      </c>
      <c r="I6793" s="18">
        <v>3.9350819669999999</v>
      </c>
      <c r="J6793" s="18">
        <v>4.04</v>
      </c>
      <c r="K6793" s="18">
        <v>3.83</v>
      </c>
      <c r="L6793" s="22">
        <v>9</v>
      </c>
    </row>
    <row r="6794" spans="1:12">
      <c r="A6794">
        <v>7</v>
      </c>
      <c r="B6794" s="16" t="s">
        <v>62</v>
      </c>
      <c r="C6794" s="9">
        <v>45778</v>
      </c>
      <c r="D6794">
        <v>47</v>
      </c>
      <c r="E6794" s="16" t="s">
        <v>136</v>
      </c>
      <c r="F6794" s="16" t="s">
        <v>92</v>
      </c>
      <c r="G6794" s="22">
        <v>99</v>
      </c>
      <c r="H6794" s="18">
        <v>360.79500000000002</v>
      </c>
      <c r="I6794" s="18">
        <v>3.644393939</v>
      </c>
      <c r="J6794" s="18">
        <v>3.72</v>
      </c>
      <c r="K6794" s="18">
        <v>3.54</v>
      </c>
      <c r="L6794" s="22">
        <v>9</v>
      </c>
    </row>
    <row r="6795" spans="1:12">
      <c r="A6795">
        <v>7</v>
      </c>
      <c r="B6795" s="16" t="s">
        <v>62</v>
      </c>
      <c r="C6795" s="9">
        <v>45809</v>
      </c>
      <c r="D6795">
        <v>47</v>
      </c>
      <c r="E6795" s="16" t="s">
        <v>136</v>
      </c>
      <c r="F6795" s="16" t="s">
        <v>92</v>
      </c>
      <c r="G6795" s="22">
        <v>82.5</v>
      </c>
      <c r="H6795" s="18">
        <v>277.95</v>
      </c>
      <c r="I6795" s="18">
        <v>3.3690909090000001</v>
      </c>
      <c r="J6795" s="18">
        <v>3.45</v>
      </c>
      <c r="K6795" s="18">
        <v>3.31</v>
      </c>
      <c r="L6795" s="22">
        <v>8</v>
      </c>
    </row>
    <row r="6796" spans="1:12">
      <c r="A6796">
        <v>7</v>
      </c>
      <c r="B6796" s="16" t="s">
        <v>62</v>
      </c>
      <c r="C6796" s="9">
        <v>45839</v>
      </c>
      <c r="D6796">
        <v>47</v>
      </c>
      <c r="E6796" s="16" t="s">
        <v>136</v>
      </c>
      <c r="F6796" s="16" t="s">
        <v>92</v>
      </c>
      <c r="G6796" s="22">
        <v>78.75</v>
      </c>
      <c r="H6796" s="18">
        <v>261.55500000000001</v>
      </c>
      <c r="I6796" s="18">
        <v>3.3213333330000001</v>
      </c>
      <c r="J6796" s="18">
        <v>3.36</v>
      </c>
      <c r="K6796" s="18">
        <v>3.24</v>
      </c>
      <c r="L6796" s="22">
        <v>9</v>
      </c>
    </row>
    <row r="6797" spans="1:12">
      <c r="A6797">
        <v>7</v>
      </c>
      <c r="B6797" s="16" t="s">
        <v>62</v>
      </c>
      <c r="C6797" s="9">
        <v>45870</v>
      </c>
      <c r="D6797">
        <v>47</v>
      </c>
      <c r="E6797" s="16" t="s">
        <v>136</v>
      </c>
      <c r="F6797" s="16" t="s">
        <v>92</v>
      </c>
      <c r="G6797" s="22">
        <v>104.25</v>
      </c>
      <c r="H6797" s="18">
        <v>356.53500000000003</v>
      </c>
      <c r="I6797" s="18">
        <v>3.42</v>
      </c>
      <c r="J6797" s="18">
        <v>3.53</v>
      </c>
      <c r="K6797" s="18">
        <v>3.36</v>
      </c>
      <c r="L6797" s="22">
        <v>9</v>
      </c>
    </row>
    <row r="6798" spans="1:12">
      <c r="A6798">
        <v>7</v>
      </c>
      <c r="B6798" s="16" t="s">
        <v>62</v>
      </c>
      <c r="C6798" s="9">
        <v>45901</v>
      </c>
      <c r="D6798">
        <v>47</v>
      </c>
      <c r="E6798" s="16" t="s">
        <v>136</v>
      </c>
      <c r="F6798" s="16" t="s">
        <v>92</v>
      </c>
      <c r="G6798" s="22">
        <v>96.75</v>
      </c>
      <c r="H6798" s="18">
        <v>358.40249999999997</v>
      </c>
      <c r="I6798" s="18">
        <v>3.7044186049999999</v>
      </c>
      <c r="J6798" s="18">
        <v>3.78</v>
      </c>
      <c r="K6798" s="18">
        <v>3.64</v>
      </c>
      <c r="L6798" s="22">
        <v>9</v>
      </c>
    </row>
    <row r="6799" spans="1:12">
      <c r="A6799">
        <v>7</v>
      </c>
      <c r="B6799" s="16" t="s">
        <v>62</v>
      </c>
      <c r="C6799" s="9">
        <v>45931</v>
      </c>
      <c r="D6799">
        <v>47</v>
      </c>
      <c r="E6799" s="16" t="s">
        <v>136</v>
      </c>
      <c r="F6799" s="16" t="s">
        <v>92</v>
      </c>
      <c r="G6799" s="22">
        <v>96</v>
      </c>
      <c r="H6799" s="18">
        <v>389.13749999999999</v>
      </c>
      <c r="I6799" s="18">
        <v>4.0535156250000002</v>
      </c>
      <c r="J6799" s="18">
        <v>4.29</v>
      </c>
      <c r="K6799" s="18">
        <v>3.89</v>
      </c>
      <c r="L6799" s="22">
        <v>9</v>
      </c>
    </row>
    <row r="6800" spans="1:12">
      <c r="A6800">
        <v>7</v>
      </c>
      <c r="B6800" s="16" t="s">
        <v>62</v>
      </c>
      <c r="C6800" s="9">
        <v>45962</v>
      </c>
      <c r="D6800">
        <v>47</v>
      </c>
      <c r="E6800" s="16" t="s">
        <v>136</v>
      </c>
      <c r="F6800" s="16" t="s">
        <v>92</v>
      </c>
      <c r="G6800" s="22">
        <v>84.75</v>
      </c>
      <c r="H6800" s="18">
        <v>373.08</v>
      </c>
      <c r="I6800" s="18">
        <v>4.4021238939999998</v>
      </c>
      <c r="J6800" s="18">
        <v>4.51</v>
      </c>
      <c r="K6800" s="18">
        <v>4.32</v>
      </c>
      <c r="L6800" s="22">
        <v>8</v>
      </c>
    </row>
    <row r="6801" spans="1:12">
      <c r="A6801">
        <v>7</v>
      </c>
      <c r="B6801" s="16" t="s">
        <v>62</v>
      </c>
      <c r="C6801" s="9">
        <v>45992</v>
      </c>
      <c r="D6801">
        <v>47</v>
      </c>
      <c r="E6801" s="16" t="s">
        <v>136</v>
      </c>
      <c r="F6801" s="16" t="s">
        <v>92</v>
      </c>
      <c r="G6801" s="22">
        <v>84.75</v>
      </c>
      <c r="H6801" s="18">
        <v>401.25749999999999</v>
      </c>
      <c r="I6801" s="18">
        <v>4.7346017700000003</v>
      </c>
      <c r="J6801" s="18">
        <v>5.0599999999999996</v>
      </c>
      <c r="K6801" s="18">
        <v>4.5999999999999996</v>
      </c>
      <c r="L6801" s="22">
        <v>9</v>
      </c>
    </row>
    <row r="6802" spans="1:12">
      <c r="A6802">
        <v>7</v>
      </c>
      <c r="B6802" s="16" t="s">
        <v>62</v>
      </c>
      <c r="C6802" s="9">
        <v>46023</v>
      </c>
      <c r="D6802">
        <v>47</v>
      </c>
      <c r="E6802" s="16" t="s">
        <v>136</v>
      </c>
      <c r="F6802" s="16" t="s">
        <v>92</v>
      </c>
      <c r="G6802" s="22">
        <v>85.5</v>
      </c>
      <c r="H6802" s="18">
        <v>413.23500000000001</v>
      </c>
      <c r="I6802" s="18">
        <v>4.8331578950000003</v>
      </c>
      <c r="J6802" s="18">
        <v>5.08</v>
      </c>
      <c r="K6802" s="18">
        <v>4.7300000000000004</v>
      </c>
      <c r="L6802" s="22">
        <v>9</v>
      </c>
    </row>
    <row r="6803" spans="1:12">
      <c r="A6803">
        <v>7</v>
      </c>
      <c r="B6803" s="16" t="s">
        <v>62</v>
      </c>
      <c r="C6803" s="9">
        <v>46054</v>
      </c>
      <c r="D6803">
        <v>47</v>
      </c>
      <c r="E6803" s="16" t="s">
        <v>136</v>
      </c>
      <c r="F6803" s="16" t="s">
        <v>92</v>
      </c>
      <c r="G6803" s="22">
        <v>84.75</v>
      </c>
      <c r="H6803" s="18">
        <v>401.79</v>
      </c>
      <c r="I6803" s="18">
        <v>4.7408849560000004</v>
      </c>
      <c r="J6803" s="18">
        <v>4.8099999999999996</v>
      </c>
      <c r="K6803" s="18">
        <v>4.67</v>
      </c>
      <c r="L6803" s="22">
        <v>8</v>
      </c>
    </row>
    <row r="6804" spans="1:12">
      <c r="A6804">
        <v>7</v>
      </c>
      <c r="B6804" s="16" t="s">
        <v>62</v>
      </c>
      <c r="C6804" s="9">
        <v>46082</v>
      </c>
      <c r="D6804">
        <v>47</v>
      </c>
      <c r="E6804" s="16" t="s">
        <v>136</v>
      </c>
      <c r="F6804" s="16" t="s">
        <v>92</v>
      </c>
      <c r="G6804" s="22">
        <v>108.75</v>
      </c>
      <c r="H6804" s="18">
        <v>487.27499999999998</v>
      </c>
      <c r="I6804" s="18">
        <v>4.4806896549999999</v>
      </c>
      <c r="J6804" s="18">
        <v>4.53</v>
      </c>
      <c r="K6804" s="18">
        <v>4.41</v>
      </c>
      <c r="L6804" s="22">
        <v>9</v>
      </c>
    </row>
    <row r="6805" spans="1:12">
      <c r="A6805">
        <v>7</v>
      </c>
      <c r="B6805" s="16" t="s">
        <v>62</v>
      </c>
      <c r="C6805" s="9">
        <v>46113</v>
      </c>
      <c r="D6805">
        <v>47</v>
      </c>
      <c r="E6805" s="16" t="s">
        <v>136</v>
      </c>
      <c r="F6805" s="16" t="s">
        <v>92</v>
      </c>
      <c r="G6805" s="22">
        <v>98.25</v>
      </c>
      <c r="H6805" s="18">
        <v>402.29250000000002</v>
      </c>
      <c r="I6805" s="18">
        <v>4.0945801529999999</v>
      </c>
      <c r="J6805" s="18">
        <v>4.17</v>
      </c>
      <c r="K6805" s="18">
        <v>4.03</v>
      </c>
      <c r="L6805" s="22">
        <v>8</v>
      </c>
    </row>
    <row r="6806" spans="1:12">
      <c r="A6806">
        <v>7</v>
      </c>
      <c r="B6806" s="16" t="s">
        <v>62</v>
      </c>
      <c r="C6806" s="9">
        <v>46143</v>
      </c>
      <c r="D6806">
        <v>47</v>
      </c>
      <c r="E6806" s="16" t="s">
        <v>136</v>
      </c>
      <c r="F6806" s="16" t="s">
        <v>92</v>
      </c>
      <c r="G6806" s="22">
        <v>130.5</v>
      </c>
      <c r="H6806" s="18">
        <v>487.65</v>
      </c>
      <c r="I6806" s="18">
        <v>3.7367816089999999</v>
      </c>
      <c r="J6806" s="18">
        <v>3.82</v>
      </c>
      <c r="K6806" s="18">
        <v>3.67</v>
      </c>
      <c r="L6806" s="22">
        <v>9</v>
      </c>
    </row>
    <row r="6807" spans="1:12">
      <c r="A6807">
        <v>7</v>
      </c>
      <c r="B6807" s="16" t="s">
        <v>62</v>
      </c>
      <c r="C6807" s="9">
        <v>46174</v>
      </c>
      <c r="D6807">
        <v>47</v>
      </c>
      <c r="E6807" s="16" t="s">
        <v>136</v>
      </c>
      <c r="F6807" s="16" t="s">
        <v>92</v>
      </c>
      <c r="G6807" s="22">
        <v>107.25</v>
      </c>
      <c r="H6807" s="18">
        <v>371.6925</v>
      </c>
      <c r="I6807" s="18">
        <v>3.4656643360000001</v>
      </c>
      <c r="J6807" s="18">
        <v>3.54</v>
      </c>
      <c r="K6807" s="18">
        <v>3.42</v>
      </c>
      <c r="L6807" s="22">
        <v>9</v>
      </c>
    </row>
    <row r="6808" spans="1:12">
      <c r="A6808">
        <v>7</v>
      </c>
      <c r="B6808" s="16" t="s">
        <v>62</v>
      </c>
      <c r="C6808" s="9">
        <v>46204</v>
      </c>
      <c r="D6808">
        <v>47</v>
      </c>
      <c r="E6808" s="16" t="s">
        <v>136</v>
      </c>
      <c r="F6808" s="16" t="s">
        <v>92</v>
      </c>
      <c r="G6808" s="22">
        <v>105</v>
      </c>
      <c r="H6808" s="18">
        <v>353.85</v>
      </c>
      <c r="I6808" s="18">
        <v>3.37</v>
      </c>
      <c r="J6808" s="18">
        <v>3.4</v>
      </c>
      <c r="K6808" s="18">
        <v>3.33</v>
      </c>
      <c r="L6808" s="22">
        <v>9</v>
      </c>
    </row>
    <row r="6809" spans="1:12">
      <c r="A6809">
        <v>7</v>
      </c>
      <c r="B6809" s="16" t="s">
        <v>62</v>
      </c>
      <c r="C6809" s="9">
        <v>46235</v>
      </c>
      <c r="D6809">
        <v>47</v>
      </c>
      <c r="E6809" s="16" t="s">
        <v>136</v>
      </c>
      <c r="F6809" s="16" t="s">
        <v>92</v>
      </c>
      <c r="G6809" s="22">
        <v>93</v>
      </c>
      <c r="H6809" s="18">
        <v>323.22750000000002</v>
      </c>
      <c r="I6809" s="18">
        <v>3.4755645159999999</v>
      </c>
      <c r="J6809" s="18">
        <v>3.64</v>
      </c>
      <c r="K6809" s="18">
        <v>3.39</v>
      </c>
      <c r="L6809" s="22">
        <v>8</v>
      </c>
    </row>
    <row r="6810" spans="1:12">
      <c r="A6810">
        <v>7</v>
      </c>
      <c r="B6810" s="16" t="s">
        <v>62</v>
      </c>
      <c r="C6810" s="9">
        <v>46266</v>
      </c>
      <c r="D6810">
        <v>47</v>
      </c>
      <c r="E6810" s="16" t="s">
        <v>136</v>
      </c>
      <c r="F6810" s="16" t="s">
        <v>92</v>
      </c>
      <c r="G6810" s="22">
        <v>96.75</v>
      </c>
      <c r="H6810" s="18">
        <v>360.23250000000002</v>
      </c>
      <c r="I6810" s="18">
        <v>3.7233333329999998</v>
      </c>
      <c r="J6810" s="18">
        <v>3.8</v>
      </c>
      <c r="K6810" s="18">
        <v>3.7</v>
      </c>
      <c r="L6810" s="22">
        <v>9</v>
      </c>
    </row>
    <row r="6811" spans="1:12">
      <c r="A6811">
        <v>7</v>
      </c>
      <c r="B6811" s="16" t="s">
        <v>62</v>
      </c>
      <c r="C6811" s="9">
        <v>45689</v>
      </c>
      <c r="D6811">
        <v>48</v>
      </c>
      <c r="E6811" s="16" t="s">
        <v>137</v>
      </c>
      <c r="F6811" s="16" t="s">
        <v>138</v>
      </c>
      <c r="G6811" s="22">
        <v>4.75</v>
      </c>
      <c r="H6811" s="18">
        <v>54.31</v>
      </c>
      <c r="I6811" s="18">
        <v>11.433684210999999</v>
      </c>
      <c r="J6811" s="18">
        <v>11.62</v>
      </c>
      <c r="K6811" s="18">
        <v>11.3</v>
      </c>
      <c r="L6811" s="22">
        <v>6</v>
      </c>
    </row>
    <row r="6812" spans="1:12">
      <c r="A6812">
        <v>7</v>
      </c>
      <c r="B6812" s="16" t="s">
        <v>62</v>
      </c>
      <c r="C6812" s="9">
        <v>45717</v>
      </c>
      <c r="D6812">
        <v>48</v>
      </c>
      <c r="E6812" s="16" t="s">
        <v>137</v>
      </c>
      <c r="F6812" s="16" t="s">
        <v>138</v>
      </c>
      <c r="G6812" s="22">
        <v>7</v>
      </c>
      <c r="H6812" s="18">
        <v>81.337500000000006</v>
      </c>
      <c r="I6812" s="18">
        <v>11.619642857000001</v>
      </c>
      <c r="J6812" s="18">
        <v>12.42</v>
      </c>
      <c r="K6812" s="18">
        <v>11.31</v>
      </c>
      <c r="L6812" s="22">
        <v>8</v>
      </c>
    </row>
    <row r="6813" spans="1:12">
      <c r="A6813">
        <v>7</v>
      </c>
      <c r="B6813" s="16" t="s">
        <v>62</v>
      </c>
      <c r="C6813" s="9">
        <v>45748</v>
      </c>
      <c r="D6813">
        <v>48</v>
      </c>
      <c r="E6813" s="16" t="s">
        <v>137</v>
      </c>
      <c r="F6813" s="16" t="s">
        <v>138</v>
      </c>
      <c r="G6813" s="22">
        <v>11.25</v>
      </c>
      <c r="H6813" s="18">
        <v>132.16999999999999</v>
      </c>
      <c r="I6813" s="18">
        <v>11.748444444</v>
      </c>
      <c r="J6813" s="18">
        <v>11.99</v>
      </c>
      <c r="K6813" s="18">
        <v>11.49</v>
      </c>
      <c r="L6813" s="22">
        <v>9</v>
      </c>
    </row>
    <row r="6814" spans="1:12">
      <c r="A6814">
        <v>7</v>
      </c>
      <c r="B6814" s="16" t="s">
        <v>62</v>
      </c>
      <c r="C6814" s="9">
        <v>45778</v>
      </c>
      <c r="D6814">
        <v>48</v>
      </c>
      <c r="E6814" s="16" t="s">
        <v>137</v>
      </c>
      <c r="F6814" s="16" t="s">
        <v>138</v>
      </c>
      <c r="G6814" s="22">
        <v>12.5</v>
      </c>
      <c r="H6814" s="18">
        <v>146.94</v>
      </c>
      <c r="I6814" s="18">
        <v>11.7552</v>
      </c>
      <c r="J6814" s="18">
        <v>11.97</v>
      </c>
      <c r="K6814" s="18">
        <v>11.63</v>
      </c>
      <c r="L6814" s="22">
        <v>9</v>
      </c>
    </row>
    <row r="6815" spans="1:12">
      <c r="A6815">
        <v>7</v>
      </c>
      <c r="B6815" s="16" t="s">
        <v>62</v>
      </c>
      <c r="C6815" s="9">
        <v>45809</v>
      </c>
      <c r="D6815">
        <v>48</v>
      </c>
      <c r="E6815" s="16" t="s">
        <v>137</v>
      </c>
      <c r="F6815" s="16" t="s">
        <v>138</v>
      </c>
      <c r="G6815" s="22">
        <v>9.75</v>
      </c>
      <c r="H6815" s="18">
        <v>116.69750000000001</v>
      </c>
      <c r="I6815" s="18">
        <v>11.968974359000001</v>
      </c>
      <c r="J6815" s="18">
        <v>12.65</v>
      </c>
      <c r="K6815" s="18">
        <v>11.66</v>
      </c>
      <c r="L6815" s="22">
        <v>8</v>
      </c>
    </row>
    <row r="6816" spans="1:12">
      <c r="A6816">
        <v>7</v>
      </c>
      <c r="B6816" s="16" t="s">
        <v>62</v>
      </c>
      <c r="C6816" s="9">
        <v>45839</v>
      </c>
      <c r="D6816">
        <v>48</v>
      </c>
      <c r="E6816" s="16" t="s">
        <v>137</v>
      </c>
      <c r="F6816" s="16" t="s">
        <v>138</v>
      </c>
      <c r="G6816" s="22">
        <v>12.25</v>
      </c>
      <c r="H6816" s="18">
        <v>145.66249999999999</v>
      </c>
      <c r="I6816" s="18">
        <v>11.890816327</v>
      </c>
      <c r="J6816" s="18">
        <v>12.13</v>
      </c>
      <c r="K6816" s="18">
        <v>11.7</v>
      </c>
      <c r="L6816" s="22">
        <v>9</v>
      </c>
    </row>
    <row r="6817" spans="1:12">
      <c r="A6817">
        <v>7</v>
      </c>
      <c r="B6817" s="16" t="s">
        <v>62</v>
      </c>
      <c r="C6817" s="9">
        <v>45870</v>
      </c>
      <c r="D6817">
        <v>48</v>
      </c>
      <c r="E6817" s="16" t="s">
        <v>137</v>
      </c>
      <c r="F6817" s="16" t="s">
        <v>138</v>
      </c>
      <c r="G6817" s="22">
        <v>12.5</v>
      </c>
      <c r="H6817" s="18">
        <v>149.82499999999999</v>
      </c>
      <c r="I6817" s="18">
        <v>11.986000000000001</v>
      </c>
      <c r="J6817" s="18">
        <v>12.78</v>
      </c>
      <c r="K6817" s="18">
        <v>11.74</v>
      </c>
      <c r="L6817" s="22">
        <v>9</v>
      </c>
    </row>
    <row r="6818" spans="1:12">
      <c r="A6818">
        <v>7</v>
      </c>
      <c r="B6818" s="16" t="s">
        <v>62</v>
      </c>
      <c r="C6818" s="9">
        <v>45901</v>
      </c>
      <c r="D6818">
        <v>48</v>
      </c>
      <c r="E6818" s="16" t="s">
        <v>137</v>
      </c>
      <c r="F6818" s="16" t="s">
        <v>138</v>
      </c>
      <c r="G6818" s="22">
        <v>12.25</v>
      </c>
      <c r="H6818" s="18">
        <v>146.29</v>
      </c>
      <c r="I6818" s="18">
        <v>11.942040816</v>
      </c>
      <c r="J6818" s="18">
        <v>12.13</v>
      </c>
      <c r="K6818" s="18">
        <v>11.79</v>
      </c>
      <c r="L6818" s="22">
        <v>9</v>
      </c>
    </row>
    <row r="6819" spans="1:12">
      <c r="A6819">
        <v>7</v>
      </c>
      <c r="B6819" s="16" t="s">
        <v>62</v>
      </c>
      <c r="C6819" s="9">
        <v>45931</v>
      </c>
      <c r="D6819">
        <v>48</v>
      </c>
      <c r="E6819" s="16" t="s">
        <v>137</v>
      </c>
      <c r="F6819" s="16" t="s">
        <v>138</v>
      </c>
      <c r="G6819" s="22">
        <v>10</v>
      </c>
      <c r="H6819" s="18">
        <v>120.595</v>
      </c>
      <c r="I6819" s="18">
        <v>12.0595</v>
      </c>
      <c r="J6819" s="18">
        <v>12.27</v>
      </c>
      <c r="K6819" s="18">
        <v>11.58</v>
      </c>
      <c r="L6819" s="22">
        <v>9</v>
      </c>
    </row>
    <row r="6820" spans="1:12">
      <c r="A6820">
        <v>7</v>
      </c>
      <c r="B6820" s="16" t="s">
        <v>62</v>
      </c>
      <c r="C6820" s="9">
        <v>45962</v>
      </c>
      <c r="D6820">
        <v>48</v>
      </c>
      <c r="E6820" s="16" t="s">
        <v>137</v>
      </c>
      <c r="F6820" s="16" t="s">
        <v>138</v>
      </c>
      <c r="G6820" s="22">
        <v>8.5</v>
      </c>
      <c r="H6820" s="18">
        <v>108.8575</v>
      </c>
      <c r="I6820" s="18">
        <v>12.806764705999999</v>
      </c>
      <c r="J6820" s="18">
        <v>13.62</v>
      </c>
      <c r="K6820" s="18">
        <v>12.06</v>
      </c>
      <c r="L6820" s="22">
        <v>8</v>
      </c>
    </row>
    <row r="6821" spans="1:12">
      <c r="A6821">
        <v>7</v>
      </c>
      <c r="B6821" s="16" t="s">
        <v>62</v>
      </c>
      <c r="C6821" s="9">
        <v>45992</v>
      </c>
      <c r="D6821">
        <v>48</v>
      </c>
      <c r="E6821" s="16" t="s">
        <v>137</v>
      </c>
      <c r="F6821" s="16" t="s">
        <v>138</v>
      </c>
      <c r="G6821" s="22">
        <v>6.75</v>
      </c>
      <c r="H6821" s="18">
        <v>91.452500000000001</v>
      </c>
      <c r="I6821" s="18">
        <v>13.548518519</v>
      </c>
      <c r="J6821" s="18">
        <v>13.74</v>
      </c>
      <c r="K6821" s="18">
        <v>13.45</v>
      </c>
      <c r="L6821" s="22">
        <v>7</v>
      </c>
    </row>
    <row r="6822" spans="1:12">
      <c r="A6822">
        <v>7</v>
      </c>
      <c r="B6822" s="16" t="s">
        <v>62</v>
      </c>
      <c r="C6822" s="9">
        <v>46023</v>
      </c>
      <c r="D6822">
        <v>48</v>
      </c>
      <c r="E6822" s="16" t="s">
        <v>137</v>
      </c>
      <c r="F6822" s="16" t="s">
        <v>138</v>
      </c>
      <c r="G6822" s="22">
        <v>6</v>
      </c>
      <c r="H6822" s="18">
        <v>72.402500000000003</v>
      </c>
      <c r="I6822" s="18">
        <v>12.067083332999999</v>
      </c>
      <c r="J6822" s="18">
        <v>12.38</v>
      </c>
      <c r="K6822" s="18">
        <v>11.87</v>
      </c>
      <c r="L6822" s="22">
        <v>7</v>
      </c>
    </row>
    <row r="6823" spans="1:12">
      <c r="A6823">
        <v>7</v>
      </c>
      <c r="B6823" s="16" t="s">
        <v>62</v>
      </c>
      <c r="C6823" s="9">
        <v>46054</v>
      </c>
      <c r="D6823">
        <v>48</v>
      </c>
      <c r="E6823" s="16" t="s">
        <v>137</v>
      </c>
      <c r="F6823" s="16" t="s">
        <v>138</v>
      </c>
      <c r="G6823" s="22">
        <v>7.5</v>
      </c>
      <c r="H6823" s="18">
        <v>91.027500000000003</v>
      </c>
      <c r="I6823" s="18">
        <v>12.137</v>
      </c>
      <c r="J6823" s="18">
        <v>12.26</v>
      </c>
      <c r="K6823" s="18">
        <v>11.87</v>
      </c>
      <c r="L6823" s="22">
        <v>8</v>
      </c>
    </row>
    <row r="6824" spans="1:12">
      <c r="A6824">
        <v>7</v>
      </c>
      <c r="B6824" s="16" t="s">
        <v>62</v>
      </c>
      <c r="C6824" s="9">
        <v>46082</v>
      </c>
      <c r="D6824">
        <v>48</v>
      </c>
      <c r="E6824" s="16" t="s">
        <v>137</v>
      </c>
      <c r="F6824" s="16" t="s">
        <v>138</v>
      </c>
      <c r="G6824" s="22">
        <v>9.5</v>
      </c>
      <c r="H6824" s="18">
        <v>114.52249999999999</v>
      </c>
      <c r="I6824" s="18">
        <v>12.055</v>
      </c>
      <c r="J6824" s="18">
        <v>12.44</v>
      </c>
      <c r="K6824" s="18">
        <v>11.71</v>
      </c>
      <c r="L6824" s="22">
        <v>9</v>
      </c>
    </row>
    <row r="6825" spans="1:12">
      <c r="A6825">
        <v>7</v>
      </c>
      <c r="B6825" s="16" t="s">
        <v>62</v>
      </c>
      <c r="C6825" s="9">
        <v>46113</v>
      </c>
      <c r="D6825">
        <v>48</v>
      </c>
      <c r="E6825" s="16" t="s">
        <v>137</v>
      </c>
      <c r="F6825" s="16" t="s">
        <v>138</v>
      </c>
      <c r="G6825" s="22">
        <v>9</v>
      </c>
      <c r="H6825" s="18">
        <v>109.125</v>
      </c>
      <c r="I6825" s="18">
        <v>12.125</v>
      </c>
      <c r="J6825" s="18">
        <v>12.34</v>
      </c>
      <c r="K6825" s="18">
        <v>12</v>
      </c>
      <c r="L6825" s="22">
        <v>8</v>
      </c>
    </row>
    <row r="6826" spans="1:12">
      <c r="A6826">
        <v>7</v>
      </c>
      <c r="B6826" s="16" t="s">
        <v>62</v>
      </c>
      <c r="C6826" s="9">
        <v>46143</v>
      </c>
      <c r="D6826">
        <v>48</v>
      </c>
      <c r="E6826" s="16" t="s">
        <v>137</v>
      </c>
      <c r="F6826" s="16" t="s">
        <v>138</v>
      </c>
      <c r="G6826" s="22">
        <v>13</v>
      </c>
      <c r="H6826" s="18">
        <v>154.97999999999999</v>
      </c>
      <c r="I6826" s="18">
        <v>11.921538461999999</v>
      </c>
      <c r="J6826" s="18">
        <v>12.06</v>
      </c>
      <c r="K6826" s="18">
        <v>11.78</v>
      </c>
      <c r="L6826" s="22">
        <v>9</v>
      </c>
    </row>
    <row r="6827" spans="1:12">
      <c r="A6827">
        <v>7</v>
      </c>
      <c r="B6827" s="16" t="s">
        <v>62</v>
      </c>
      <c r="C6827" s="9">
        <v>46174</v>
      </c>
      <c r="D6827">
        <v>48</v>
      </c>
      <c r="E6827" s="16" t="s">
        <v>137</v>
      </c>
      <c r="F6827" s="16" t="s">
        <v>138</v>
      </c>
      <c r="G6827" s="22">
        <v>16</v>
      </c>
      <c r="H6827" s="18">
        <v>191.95500000000001</v>
      </c>
      <c r="I6827" s="18">
        <v>11.997187500000001</v>
      </c>
      <c r="J6827" s="18">
        <v>12.13</v>
      </c>
      <c r="K6827" s="18">
        <v>11.88</v>
      </c>
      <c r="L6827" s="22">
        <v>9</v>
      </c>
    </row>
    <row r="6828" spans="1:12">
      <c r="A6828">
        <v>7</v>
      </c>
      <c r="B6828" s="16" t="s">
        <v>62</v>
      </c>
      <c r="C6828" s="9">
        <v>46204</v>
      </c>
      <c r="D6828">
        <v>48</v>
      </c>
      <c r="E6828" s="16" t="s">
        <v>137</v>
      </c>
      <c r="F6828" s="16" t="s">
        <v>138</v>
      </c>
      <c r="G6828" s="22">
        <v>16.25</v>
      </c>
      <c r="H6828" s="18">
        <v>195.03749999999999</v>
      </c>
      <c r="I6828" s="18">
        <v>12.002307692</v>
      </c>
      <c r="J6828" s="18">
        <v>12.35</v>
      </c>
      <c r="K6828" s="18">
        <v>11.77</v>
      </c>
      <c r="L6828" s="22">
        <v>9</v>
      </c>
    </row>
    <row r="6829" spans="1:12">
      <c r="A6829">
        <v>7</v>
      </c>
      <c r="B6829" s="16" t="s">
        <v>62</v>
      </c>
      <c r="C6829" s="9">
        <v>46235</v>
      </c>
      <c r="D6829">
        <v>48</v>
      </c>
      <c r="E6829" s="16" t="s">
        <v>137</v>
      </c>
      <c r="F6829" s="16" t="s">
        <v>138</v>
      </c>
      <c r="G6829" s="22">
        <v>11.25</v>
      </c>
      <c r="H6829" s="18">
        <v>134.78749999999999</v>
      </c>
      <c r="I6829" s="18">
        <v>11.981111111000001</v>
      </c>
      <c r="J6829" s="18">
        <v>12.22</v>
      </c>
      <c r="K6829" s="18">
        <v>11.77</v>
      </c>
      <c r="L6829" s="22">
        <v>8</v>
      </c>
    </row>
    <row r="6830" spans="1:12">
      <c r="A6830">
        <v>7</v>
      </c>
      <c r="B6830" s="16" t="s">
        <v>62</v>
      </c>
      <c r="C6830" s="9">
        <v>46266</v>
      </c>
      <c r="D6830">
        <v>48</v>
      </c>
      <c r="E6830" s="16" t="s">
        <v>137</v>
      </c>
      <c r="F6830" s="16" t="s">
        <v>138</v>
      </c>
      <c r="G6830" s="22">
        <v>11.75</v>
      </c>
      <c r="H6830" s="18">
        <v>140.13249999999999</v>
      </c>
      <c r="I6830" s="18">
        <v>11.926170213000001</v>
      </c>
      <c r="J6830" s="18">
        <v>12.26</v>
      </c>
      <c r="K6830" s="18">
        <v>11.62</v>
      </c>
      <c r="L6830" s="22">
        <v>9</v>
      </c>
    </row>
    <row r="6831" spans="1:12">
      <c r="A6831">
        <v>7</v>
      </c>
      <c r="B6831" s="16" t="s">
        <v>62</v>
      </c>
      <c r="C6831" s="9">
        <v>45689</v>
      </c>
      <c r="D6831">
        <v>49</v>
      </c>
      <c r="E6831" s="16" t="s">
        <v>139</v>
      </c>
      <c r="F6831" s="16" t="s">
        <v>138</v>
      </c>
      <c r="G6831" s="22">
        <v>5.75</v>
      </c>
      <c r="H6831" s="18">
        <v>37.612499999999997</v>
      </c>
      <c r="I6831" s="18">
        <v>6.5413043479999997</v>
      </c>
      <c r="J6831" s="18">
        <v>6.62</v>
      </c>
      <c r="K6831" s="18">
        <v>6.43</v>
      </c>
      <c r="L6831" s="22">
        <v>6</v>
      </c>
    </row>
    <row r="6832" spans="1:12">
      <c r="A6832">
        <v>7</v>
      </c>
      <c r="B6832" s="16" t="s">
        <v>62</v>
      </c>
      <c r="C6832" s="9">
        <v>45717</v>
      </c>
      <c r="D6832">
        <v>49</v>
      </c>
      <c r="E6832" s="16" t="s">
        <v>139</v>
      </c>
      <c r="F6832" s="16" t="s">
        <v>138</v>
      </c>
      <c r="G6832" s="22">
        <v>9.25</v>
      </c>
      <c r="H6832" s="18">
        <v>60.962499999999999</v>
      </c>
      <c r="I6832" s="18">
        <v>6.5905405410000002</v>
      </c>
      <c r="J6832" s="18">
        <v>6.68</v>
      </c>
      <c r="K6832" s="18">
        <v>6.47</v>
      </c>
      <c r="L6832" s="22">
        <v>8</v>
      </c>
    </row>
    <row r="6833" spans="1:12">
      <c r="A6833">
        <v>7</v>
      </c>
      <c r="B6833" s="16" t="s">
        <v>62</v>
      </c>
      <c r="C6833" s="9">
        <v>45748</v>
      </c>
      <c r="D6833">
        <v>49</v>
      </c>
      <c r="E6833" s="16" t="s">
        <v>139</v>
      </c>
      <c r="F6833" s="16" t="s">
        <v>138</v>
      </c>
      <c r="G6833" s="22">
        <v>16.25</v>
      </c>
      <c r="H6833" s="18">
        <v>108.0175</v>
      </c>
      <c r="I6833" s="18">
        <v>6.6472307690000001</v>
      </c>
      <c r="J6833" s="18">
        <v>6.89</v>
      </c>
      <c r="K6833" s="18">
        <v>6.49</v>
      </c>
      <c r="L6833" s="22">
        <v>9</v>
      </c>
    </row>
    <row r="6834" spans="1:12">
      <c r="A6834">
        <v>7</v>
      </c>
      <c r="B6834" s="16" t="s">
        <v>62</v>
      </c>
      <c r="C6834" s="9">
        <v>45778</v>
      </c>
      <c r="D6834">
        <v>49</v>
      </c>
      <c r="E6834" s="16" t="s">
        <v>139</v>
      </c>
      <c r="F6834" s="16" t="s">
        <v>138</v>
      </c>
      <c r="G6834" s="22">
        <v>17.25</v>
      </c>
      <c r="H6834" s="18">
        <v>114.7475</v>
      </c>
      <c r="I6834" s="18">
        <v>6.6520289860000004</v>
      </c>
      <c r="J6834" s="18">
        <v>7.07</v>
      </c>
      <c r="K6834" s="18">
        <v>6.47</v>
      </c>
      <c r="L6834" s="22">
        <v>9</v>
      </c>
    </row>
    <row r="6835" spans="1:12">
      <c r="A6835">
        <v>7</v>
      </c>
      <c r="B6835" s="16" t="s">
        <v>62</v>
      </c>
      <c r="C6835" s="9">
        <v>45809</v>
      </c>
      <c r="D6835">
        <v>49</v>
      </c>
      <c r="E6835" s="16" t="s">
        <v>139</v>
      </c>
      <c r="F6835" s="16" t="s">
        <v>138</v>
      </c>
      <c r="G6835" s="22">
        <v>13.5</v>
      </c>
      <c r="H6835" s="18">
        <v>89.092500000000001</v>
      </c>
      <c r="I6835" s="18">
        <v>6.5994444440000004</v>
      </c>
      <c r="J6835" s="18">
        <v>6.66</v>
      </c>
      <c r="K6835" s="18">
        <v>6.53</v>
      </c>
      <c r="L6835" s="22">
        <v>8</v>
      </c>
    </row>
    <row r="6836" spans="1:12">
      <c r="A6836">
        <v>7</v>
      </c>
      <c r="B6836" s="16" t="s">
        <v>62</v>
      </c>
      <c r="C6836" s="9">
        <v>45839</v>
      </c>
      <c r="D6836">
        <v>49</v>
      </c>
      <c r="E6836" s="16" t="s">
        <v>139</v>
      </c>
      <c r="F6836" s="16" t="s">
        <v>138</v>
      </c>
      <c r="G6836" s="22">
        <v>16</v>
      </c>
      <c r="H6836" s="18">
        <v>108.955</v>
      </c>
      <c r="I6836" s="18">
        <v>6.8096874999999999</v>
      </c>
      <c r="J6836" s="18">
        <v>7.1</v>
      </c>
      <c r="K6836" s="18">
        <v>6.64</v>
      </c>
      <c r="L6836" s="22">
        <v>9</v>
      </c>
    </row>
    <row r="6837" spans="1:12">
      <c r="A6837">
        <v>7</v>
      </c>
      <c r="B6837" s="16" t="s">
        <v>62</v>
      </c>
      <c r="C6837" s="9">
        <v>45870</v>
      </c>
      <c r="D6837">
        <v>49</v>
      </c>
      <c r="E6837" s="16" t="s">
        <v>139</v>
      </c>
      <c r="F6837" s="16" t="s">
        <v>138</v>
      </c>
      <c r="G6837" s="22">
        <v>16.25</v>
      </c>
      <c r="H6837" s="18">
        <v>112.89</v>
      </c>
      <c r="I6837" s="18">
        <v>6.947076923</v>
      </c>
      <c r="J6837" s="18">
        <v>7.25</v>
      </c>
      <c r="K6837" s="18">
        <v>6.82</v>
      </c>
      <c r="L6837" s="22">
        <v>9</v>
      </c>
    </row>
    <row r="6838" spans="1:12">
      <c r="A6838">
        <v>7</v>
      </c>
      <c r="B6838" s="16" t="s">
        <v>62</v>
      </c>
      <c r="C6838" s="9">
        <v>45901</v>
      </c>
      <c r="D6838">
        <v>49</v>
      </c>
      <c r="E6838" s="16" t="s">
        <v>139</v>
      </c>
      <c r="F6838" s="16" t="s">
        <v>138</v>
      </c>
      <c r="G6838" s="22">
        <v>16</v>
      </c>
      <c r="H6838" s="18">
        <v>111.465</v>
      </c>
      <c r="I6838" s="18">
        <v>6.9665625000000002</v>
      </c>
      <c r="J6838" s="18">
        <v>7.3</v>
      </c>
      <c r="K6838" s="18">
        <v>6.82</v>
      </c>
      <c r="L6838" s="22">
        <v>9</v>
      </c>
    </row>
    <row r="6839" spans="1:12">
      <c r="A6839">
        <v>7</v>
      </c>
      <c r="B6839" s="16" t="s">
        <v>62</v>
      </c>
      <c r="C6839" s="9">
        <v>45931</v>
      </c>
      <c r="D6839">
        <v>49</v>
      </c>
      <c r="E6839" s="16" t="s">
        <v>139</v>
      </c>
      <c r="F6839" s="16" t="s">
        <v>138</v>
      </c>
      <c r="G6839" s="22">
        <v>13.25</v>
      </c>
      <c r="H6839" s="18">
        <v>91.082499999999996</v>
      </c>
      <c r="I6839" s="18">
        <v>6.8741509430000001</v>
      </c>
      <c r="J6839" s="18">
        <v>6.95</v>
      </c>
      <c r="K6839" s="18">
        <v>6.75</v>
      </c>
      <c r="L6839" s="22">
        <v>9</v>
      </c>
    </row>
    <row r="6840" spans="1:12">
      <c r="A6840">
        <v>7</v>
      </c>
      <c r="B6840" s="16" t="s">
        <v>62</v>
      </c>
      <c r="C6840" s="9">
        <v>45962</v>
      </c>
      <c r="D6840">
        <v>49</v>
      </c>
      <c r="E6840" s="16" t="s">
        <v>139</v>
      </c>
      <c r="F6840" s="16" t="s">
        <v>138</v>
      </c>
      <c r="G6840" s="22">
        <v>11.25</v>
      </c>
      <c r="H6840" s="18">
        <v>82.147499999999994</v>
      </c>
      <c r="I6840" s="18">
        <v>7.3019999999999996</v>
      </c>
      <c r="J6840" s="18">
        <v>7.8</v>
      </c>
      <c r="K6840" s="18">
        <v>6.81</v>
      </c>
      <c r="L6840" s="22">
        <v>8</v>
      </c>
    </row>
    <row r="6841" spans="1:12">
      <c r="A6841">
        <v>7</v>
      </c>
      <c r="B6841" s="16" t="s">
        <v>62</v>
      </c>
      <c r="C6841" s="9">
        <v>45992</v>
      </c>
      <c r="D6841">
        <v>49</v>
      </c>
      <c r="E6841" s="16" t="s">
        <v>139</v>
      </c>
      <c r="F6841" s="16" t="s">
        <v>138</v>
      </c>
      <c r="G6841" s="22">
        <v>9</v>
      </c>
      <c r="H6841" s="18">
        <v>69.650000000000006</v>
      </c>
      <c r="I6841" s="18">
        <v>7.738888889</v>
      </c>
      <c r="J6841" s="18">
        <v>7.97</v>
      </c>
      <c r="K6841" s="18">
        <v>7.56</v>
      </c>
      <c r="L6841" s="22">
        <v>7</v>
      </c>
    </row>
    <row r="6842" spans="1:12">
      <c r="A6842">
        <v>7</v>
      </c>
      <c r="B6842" s="16" t="s">
        <v>62</v>
      </c>
      <c r="C6842" s="9">
        <v>46023</v>
      </c>
      <c r="D6842">
        <v>49</v>
      </c>
      <c r="E6842" s="16" t="s">
        <v>139</v>
      </c>
      <c r="F6842" s="16" t="s">
        <v>138</v>
      </c>
      <c r="G6842" s="22">
        <v>7.75</v>
      </c>
      <c r="H6842" s="18">
        <v>53.767499999999998</v>
      </c>
      <c r="I6842" s="18">
        <v>6.937741935</v>
      </c>
      <c r="J6842" s="18">
        <v>7.11</v>
      </c>
      <c r="K6842" s="18">
        <v>6.81</v>
      </c>
      <c r="L6842" s="22">
        <v>7</v>
      </c>
    </row>
    <row r="6843" spans="1:12">
      <c r="A6843">
        <v>7</v>
      </c>
      <c r="B6843" s="16" t="s">
        <v>62</v>
      </c>
      <c r="C6843" s="9">
        <v>46054</v>
      </c>
      <c r="D6843">
        <v>49</v>
      </c>
      <c r="E6843" s="16" t="s">
        <v>139</v>
      </c>
      <c r="F6843" s="16" t="s">
        <v>138</v>
      </c>
      <c r="G6843" s="22">
        <v>9.5</v>
      </c>
      <c r="H6843" s="18">
        <v>66.84</v>
      </c>
      <c r="I6843" s="18">
        <v>7.0357894740000004</v>
      </c>
      <c r="J6843" s="18">
        <v>7.17</v>
      </c>
      <c r="K6843" s="18">
        <v>6.88</v>
      </c>
      <c r="L6843" s="22">
        <v>8</v>
      </c>
    </row>
    <row r="6844" spans="1:12">
      <c r="A6844">
        <v>7</v>
      </c>
      <c r="B6844" s="16" t="s">
        <v>62</v>
      </c>
      <c r="C6844" s="9">
        <v>46082</v>
      </c>
      <c r="D6844">
        <v>49</v>
      </c>
      <c r="E6844" s="16" t="s">
        <v>139</v>
      </c>
      <c r="F6844" s="16" t="s">
        <v>138</v>
      </c>
      <c r="G6844" s="22">
        <v>12</v>
      </c>
      <c r="H6844" s="18">
        <v>83.982500000000002</v>
      </c>
      <c r="I6844" s="18">
        <v>6.9985416669999996</v>
      </c>
      <c r="J6844" s="18">
        <v>7.15</v>
      </c>
      <c r="K6844" s="18">
        <v>6.93</v>
      </c>
      <c r="L6844" s="22">
        <v>9</v>
      </c>
    </row>
    <row r="6845" spans="1:12">
      <c r="A6845">
        <v>7</v>
      </c>
      <c r="B6845" s="16" t="s">
        <v>62</v>
      </c>
      <c r="C6845" s="9">
        <v>46113</v>
      </c>
      <c r="D6845">
        <v>49</v>
      </c>
      <c r="E6845" s="16" t="s">
        <v>139</v>
      </c>
      <c r="F6845" s="16" t="s">
        <v>138</v>
      </c>
      <c r="G6845" s="22">
        <v>12.25</v>
      </c>
      <c r="H6845" s="18">
        <v>86.715000000000003</v>
      </c>
      <c r="I6845" s="18">
        <v>7.0787755099999998</v>
      </c>
      <c r="J6845" s="18">
        <v>7.17</v>
      </c>
      <c r="K6845" s="18">
        <v>6.94</v>
      </c>
      <c r="L6845" s="22">
        <v>8</v>
      </c>
    </row>
    <row r="6846" spans="1:12">
      <c r="A6846">
        <v>7</v>
      </c>
      <c r="B6846" s="16" t="s">
        <v>62</v>
      </c>
      <c r="C6846" s="9">
        <v>46143</v>
      </c>
      <c r="D6846">
        <v>49</v>
      </c>
      <c r="E6846" s="16" t="s">
        <v>139</v>
      </c>
      <c r="F6846" s="16" t="s">
        <v>138</v>
      </c>
      <c r="G6846" s="22">
        <v>18</v>
      </c>
      <c r="H6846" s="18">
        <v>127.53</v>
      </c>
      <c r="I6846" s="18">
        <v>7.085</v>
      </c>
      <c r="J6846" s="18">
        <v>7.15</v>
      </c>
      <c r="K6846" s="18">
        <v>6.95</v>
      </c>
      <c r="L6846" s="22">
        <v>9</v>
      </c>
    </row>
    <row r="6847" spans="1:12">
      <c r="A6847">
        <v>7</v>
      </c>
      <c r="B6847" s="16" t="s">
        <v>62</v>
      </c>
      <c r="C6847" s="9">
        <v>46174</v>
      </c>
      <c r="D6847">
        <v>49</v>
      </c>
      <c r="E6847" s="16" t="s">
        <v>139</v>
      </c>
      <c r="F6847" s="16" t="s">
        <v>138</v>
      </c>
      <c r="G6847" s="22">
        <v>22.25</v>
      </c>
      <c r="H6847" s="18">
        <v>160.70249999999999</v>
      </c>
      <c r="I6847" s="18">
        <v>7.2225842699999996</v>
      </c>
      <c r="J6847" s="18">
        <v>7.52</v>
      </c>
      <c r="K6847" s="18">
        <v>7</v>
      </c>
      <c r="L6847" s="22">
        <v>9</v>
      </c>
    </row>
    <row r="6848" spans="1:12">
      <c r="A6848">
        <v>7</v>
      </c>
      <c r="B6848" s="16" t="s">
        <v>62</v>
      </c>
      <c r="C6848" s="9">
        <v>46204</v>
      </c>
      <c r="D6848">
        <v>49</v>
      </c>
      <c r="E6848" s="16" t="s">
        <v>139</v>
      </c>
      <c r="F6848" s="16" t="s">
        <v>138</v>
      </c>
      <c r="G6848" s="22">
        <v>22</v>
      </c>
      <c r="H6848" s="18">
        <v>154.9</v>
      </c>
      <c r="I6848" s="18">
        <v>7.0409090909999996</v>
      </c>
      <c r="J6848" s="18">
        <v>7.17</v>
      </c>
      <c r="K6848" s="18">
        <v>6.87</v>
      </c>
      <c r="L6848" s="22">
        <v>9</v>
      </c>
    </row>
    <row r="6849" spans="1:12">
      <c r="A6849">
        <v>7</v>
      </c>
      <c r="B6849" s="16" t="s">
        <v>62</v>
      </c>
      <c r="C6849" s="9">
        <v>46235</v>
      </c>
      <c r="D6849">
        <v>49</v>
      </c>
      <c r="E6849" s="16" t="s">
        <v>139</v>
      </c>
      <c r="F6849" s="16" t="s">
        <v>138</v>
      </c>
      <c r="G6849" s="22">
        <v>14.75</v>
      </c>
      <c r="H6849" s="18">
        <v>105.6825</v>
      </c>
      <c r="I6849" s="18">
        <v>7.1649152540000003</v>
      </c>
      <c r="J6849" s="18">
        <v>7.45</v>
      </c>
      <c r="K6849" s="18">
        <v>6.95</v>
      </c>
      <c r="L6849" s="22">
        <v>8</v>
      </c>
    </row>
    <row r="6850" spans="1:12">
      <c r="A6850">
        <v>7</v>
      </c>
      <c r="B6850" s="16" t="s">
        <v>62</v>
      </c>
      <c r="C6850" s="9">
        <v>46266</v>
      </c>
      <c r="D6850">
        <v>49</v>
      </c>
      <c r="E6850" s="16" t="s">
        <v>139</v>
      </c>
      <c r="F6850" s="16" t="s">
        <v>138</v>
      </c>
      <c r="G6850" s="22">
        <v>15.75</v>
      </c>
      <c r="H6850" s="18">
        <v>111.7075</v>
      </c>
      <c r="I6850" s="18">
        <v>7.092539683</v>
      </c>
      <c r="J6850" s="18">
        <v>7.24</v>
      </c>
      <c r="K6850" s="18">
        <v>6.98</v>
      </c>
      <c r="L6850" s="22">
        <v>9</v>
      </c>
    </row>
    <row r="6851" spans="1:12">
      <c r="A6851">
        <v>7</v>
      </c>
      <c r="B6851" s="16" t="s">
        <v>62</v>
      </c>
      <c r="C6851" s="9">
        <v>45689</v>
      </c>
      <c r="D6851">
        <v>50</v>
      </c>
      <c r="E6851" s="16" t="s">
        <v>140</v>
      </c>
      <c r="F6851" s="16" t="s">
        <v>138</v>
      </c>
      <c r="G6851" s="22">
        <v>6</v>
      </c>
      <c r="H6851" s="18">
        <v>21.6875</v>
      </c>
      <c r="I6851" s="18">
        <v>3.6145833330000001</v>
      </c>
      <c r="J6851" s="18">
        <v>3.66</v>
      </c>
      <c r="K6851" s="18">
        <v>3.53</v>
      </c>
      <c r="L6851" s="22">
        <v>6</v>
      </c>
    </row>
    <row r="6852" spans="1:12">
      <c r="A6852">
        <v>7</v>
      </c>
      <c r="B6852" s="16" t="s">
        <v>62</v>
      </c>
      <c r="C6852" s="9">
        <v>45717</v>
      </c>
      <c r="D6852">
        <v>50</v>
      </c>
      <c r="E6852" s="16" t="s">
        <v>140</v>
      </c>
      <c r="F6852" s="16" t="s">
        <v>138</v>
      </c>
      <c r="G6852" s="22">
        <v>10</v>
      </c>
      <c r="H6852" s="18">
        <v>36.284999999999997</v>
      </c>
      <c r="I6852" s="18">
        <v>3.6284999999999998</v>
      </c>
      <c r="J6852" s="18">
        <v>3.67</v>
      </c>
      <c r="K6852" s="18">
        <v>3.54</v>
      </c>
      <c r="L6852" s="22">
        <v>8</v>
      </c>
    </row>
    <row r="6853" spans="1:12">
      <c r="A6853">
        <v>7</v>
      </c>
      <c r="B6853" s="16" t="s">
        <v>62</v>
      </c>
      <c r="C6853" s="9">
        <v>45748</v>
      </c>
      <c r="D6853">
        <v>50</v>
      </c>
      <c r="E6853" s="16" t="s">
        <v>140</v>
      </c>
      <c r="F6853" s="16" t="s">
        <v>138</v>
      </c>
      <c r="G6853" s="22">
        <v>16</v>
      </c>
      <c r="H6853" s="18">
        <v>58.3675</v>
      </c>
      <c r="I6853" s="18">
        <v>3.64796875</v>
      </c>
      <c r="J6853" s="18">
        <v>3.84</v>
      </c>
      <c r="K6853" s="18">
        <v>3.57</v>
      </c>
      <c r="L6853" s="22">
        <v>9</v>
      </c>
    </row>
    <row r="6854" spans="1:12">
      <c r="A6854">
        <v>7</v>
      </c>
      <c r="B6854" s="16" t="s">
        <v>62</v>
      </c>
      <c r="C6854" s="9">
        <v>45778</v>
      </c>
      <c r="D6854">
        <v>50</v>
      </c>
      <c r="E6854" s="16" t="s">
        <v>140</v>
      </c>
      <c r="F6854" s="16" t="s">
        <v>138</v>
      </c>
      <c r="G6854" s="22">
        <v>17.25</v>
      </c>
      <c r="H6854" s="18">
        <v>62.954999999999998</v>
      </c>
      <c r="I6854" s="18">
        <v>3.6495652170000001</v>
      </c>
      <c r="J6854" s="18">
        <v>3.77</v>
      </c>
      <c r="K6854" s="18">
        <v>3.54</v>
      </c>
      <c r="L6854" s="22">
        <v>9</v>
      </c>
    </row>
    <row r="6855" spans="1:12">
      <c r="A6855">
        <v>7</v>
      </c>
      <c r="B6855" s="16" t="s">
        <v>62</v>
      </c>
      <c r="C6855" s="9">
        <v>45809</v>
      </c>
      <c r="D6855">
        <v>50</v>
      </c>
      <c r="E6855" s="16" t="s">
        <v>140</v>
      </c>
      <c r="F6855" s="16" t="s">
        <v>138</v>
      </c>
      <c r="G6855" s="22">
        <v>14</v>
      </c>
      <c r="H6855" s="18">
        <v>51.332500000000003</v>
      </c>
      <c r="I6855" s="18">
        <v>3.6666071429999998</v>
      </c>
      <c r="J6855" s="18">
        <v>3.74</v>
      </c>
      <c r="K6855" s="18">
        <v>3.6</v>
      </c>
      <c r="L6855" s="22">
        <v>8</v>
      </c>
    </row>
    <row r="6856" spans="1:12">
      <c r="A6856">
        <v>7</v>
      </c>
      <c r="B6856" s="16" t="s">
        <v>62</v>
      </c>
      <c r="C6856" s="9">
        <v>45839</v>
      </c>
      <c r="D6856">
        <v>50</v>
      </c>
      <c r="E6856" s="16" t="s">
        <v>140</v>
      </c>
      <c r="F6856" s="16" t="s">
        <v>138</v>
      </c>
      <c r="G6856" s="22">
        <v>15.75</v>
      </c>
      <c r="H6856" s="18">
        <v>57.377499999999998</v>
      </c>
      <c r="I6856" s="18">
        <v>3.643015873</v>
      </c>
      <c r="J6856" s="18">
        <v>3.77</v>
      </c>
      <c r="K6856" s="18">
        <v>3.55</v>
      </c>
      <c r="L6856" s="22">
        <v>9</v>
      </c>
    </row>
    <row r="6857" spans="1:12">
      <c r="A6857">
        <v>7</v>
      </c>
      <c r="B6857" s="16" t="s">
        <v>62</v>
      </c>
      <c r="C6857" s="9">
        <v>45870</v>
      </c>
      <c r="D6857">
        <v>50</v>
      </c>
      <c r="E6857" s="16" t="s">
        <v>140</v>
      </c>
      <c r="F6857" s="16" t="s">
        <v>138</v>
      </c>
      <c r="G6857" s="22">
        <v>16.5</v>
      </c>
      <c r="H6857" s="18">
        <v>59.197499999999998</v>
      </c>
      <c r="I6857" s="18">
        <v>3.5877272730000001</v>
      </c>
      <c r="J6857" s="18">
        <v>3.73</v>
      </c>
      <c r="K6857" s="18">
        <v>3.54</v>
      </c>
      <c r="L6857" s="22">
        <v>9</v>
      </c>
    </row>
    <row r="6858" spans="1:12">
      <c r="A6858">
        <v>7</v>
      </c>
      <c r="B6858" s="16" t="s">
        <v>62</v>
      </c>
      <c r="C6858" s="9">
        <v>45901</v>
      </c>
      <c r="D6858">
        <v>50</v>
      </c>
      <c r="E6858" s="16" t="s">
        <v>140</v>
      </c>
      <c r="F6858" s="16" t="s">
        <v>138</v>
      </c>
      <c r="G6858" s="22">
        <v>15.75</v>
      </c>
      <c r="H6858" s="18">
        <v>57.15</v>
      </c>
      <c r="I6858" s="18">
        <v>3.628571429</v>
      </c>
      <c r="J6858" s="18">
        <v>3.68</v>
      </c>
      <c r="K6858" s="18">
        <v>3.58</v>
      </c>
      <c r="L6858" s="22">
        <v>9</v>
      </c>
    </row>
    <row r="6859" spans="1:12">
      <c r="A6859">
        <v>7</v>
      </c>
      <c r="B6859" s="16" t="s">
        <v>62</v>
      </c>
      <c r="C6859" s="9">
        <v>45931</v>
      </c>
      <c r="D6859">
        <v>50</v>
      </c>
      <c r="E6859" s="16" t="s">
        <v>140</v>
      </c>
      <c r="F6859" s="16" t="s">
        <v>138</v>
      </c>
      <c r="G6859" s="22">
        <v>13.25</v>
      </c>
      <c r="H6859" s="18">
        <v>48.965000000000003</v>
      </c>
      <c r="I6859" s="18">
        <v>3.695471698</v>
      </c>
      <c r="J6859" s="18">
        <v>3.84</v>
      </c>
      <c r="K6859" s="18">
        <v>3.63</v>
      </c>
      <c r="L6859" s="22">
        <v>9</v>
      </c>
    </row>
    <row r="6860" spans="1:12">
      <c r="A6860">
        <v>7</v>
      </c>
      <c r="B6860" s="16" t="s">
        <v>62</v>
      </c>
      <c r="C6860" s="9">
        <v>45962</v>
      </c>
      <c r="D6860">
        <v>50</v>
      </c>
      <c r="E6860" s="16" t="s">
        <v>140</v>
      </c>
      <c r="F6860" s="16" t="s">
        <v>138</v>
      </c>
      <c r="G6860" s="22">
        <v>10.75</v>
      </c>
      <c r="H6860" s="18">
        <v>41.817500000000003</v>
      </c>
      <c r="I6860" s="18">
        <v>3.89</v>
      </c>
      <c r="J6860" s="18">
        <v>4.1399999999999997</v>
      </c>
      <c r="K6860" s="18">
        <v>3.69</v>
      </c>
      <c r="L6860" s="22">
        <v>8</v>
      </c>
    </row>
    <row r="6861" spans="1:12">
      <c r="A6861">
        <v>7</v>
      </c>
      <c r="B6861" s="16" t="s">
        <v>62</v>
      </c>
      <c r="C6861" s="9">
        <v>45992</v>
      </c>
      <c r="D6861">
        <v>50</v>
      </c>
      <c r="E6861" s="16" t="s">
        <v>140</v>
      </c>
      <c r="F6861" s="16" t="s">
        <v>138</v>
      </c>
      <c r="G6861" s="22">
        <v>9</v>
      </c>
      <c r="H6861" s="18">
        <v>37.302500000000002</v>
      </c>
      <c r="I6861" s="18">
        <v>4.1447222220000004</v>
      </c>
      <c r="J6861" s="18">
        <v>4.18</v>
      </c>
      <c r="K6861" s="18">
        <v>4.09</v>
      </c>
      <c r="L6861" s="22">
        <v>7</v>
      </c>
    </row>
    <row r="6862" spans="1:12">
      <c r="A6862">
        <v>7</v>
      </c>
      <c r="B6862" s="16" t="s">
        <v>62</v>
      </c>
      <c r="C6862" s="9">
        <v>46023</v>
      </c>
      <c r="D6862">
        <v>50</v>
      </c>
      <c r="E6862" s="16" t="s">
        <v>140</v>
      </c>
      <c r="F6862" s="16" t="s">
        <v>138</v>
      </c>
      <c r="G6862" s="22">
        <v>8.25</v>
      </c>
      <c r="H6862" s="18">
        <v>30.69</v>
      </c>
      <c r="I6862" s="18">
        <v>3.72</v>
      </c>
      <c r="J6862" s="18">
        <v>3.77</v>
      </c>
      <c r="K6862" s="18">
        <v>3.67</v>
      </c>
      <c r="L6862" s="22">
        <v>7</v>
      </c>
    </row>
    <row r="6863" spans="1:12">
      <c r="A6863">
        <v>7</v>
      </c>
      <c r="B6863" s="16" t="s">
        <v>62</v>
      </c>
      <c r="C6863" s="9">
        <v>46054</v>
      </c>
      <c r="D6863">
        <v>50</v>
      </c>
      <c r="E6863" s="16" t="s">
        <v>140</v>
      </c>
      <c r="F6863" s="16" t="s">
        <v>138</v>
      </c>
      <c r="G6863" s="22">
        <v>9.75</v>
      </c>
      <c r="H6863" s="18">
        <v>36.182499999999997</v>
      </c>
      <c r="I6863" s="18">
        <v>3.711025641</v>
      </c>
      <c r="J6863" s="18">
        <v>3.76</v>
      </c>
      <c r="K6863" s="18">
        <v>3.6</v>
      </c>
      <c r="L6863" s="22">
        <v>8</v>
      </c>
    </row>
    <row r="6864" spans="1:12">
      <c r="A6864">
        <v>7</v>
      </c>
      <c r="B6864" s="16" t="s">
        <v>62</v>
      </c>
      <c r="C6864" s="9">
        <v>46082</v>
      </c>
      <c r="D6864">
        <v>50</v>
      </c>
      <c r="E6864" s="16" t="s">
        <v>140</v>
      </c>
      <c r="F6864" s="16" t="s">
        <v>138</v>
      </c>
      <c r="G6864" s="22">
        <v>12</v>
      </c>
      <c r="H6864" s="18">
        <v>44.645000000000003</v>
      </c>
      <c r="I6864" s="18">
        <v>3.7204166669999998</v>
      </c>
      <c r="J6864" s="18">
        <v>3.79</v>
      </c>
      <c r="K6864" s="18">
        <v>3.62</v>
      </c>
      <c r="L6864" s="22">
        <v>9</v>
      </c>
    </row>
    <row r="6865" spans="1:12">
      <c r="A6865">
        <v>7</v>
      </c>
      <c r="B6865" s="16" t="s">
        <v>62</v>
      </c>
      <c r="C6865" s="9">
        <v>46113</v>
      </c>
      <c r="D6865">
        <v>50</v>
      </c>
      <c r="E6865" s="16" t="s">
        <v>140</v>
      </c>
      <c r="F6865" s="16" t="s">
        <v>138</v>
      </c>
      <c r="G6865" s="22">
        <v>12</v>
      </c>
      <c r="H6865" s="18">
        <v>45.244999999999997</v>
      </c>
      <c r="I6865" s="18">
        <v>3.7704166670000001</v>
      </c>
      <c r="J6865" s="18">
        <v>4.04</v>
      </c>
      <c r="K6865" s="18">
        <v>3.68</v>
      </c>
      <c r="L6865" s="22">
        <v>8</v>
      </c>
    </row>
    <row r="6866" spans="1:12">
      <c r="A6866">
        <v>7</v>
      </c>
      <c r="B6866" s="16" t="s">
        <v>62</v>
      </c>
      <c r="C6866" s="9">
        <v>46143</v>
      </c>
      <c r="D6866">
        <v>50</v>
      </c>
      <c r="E6866" s="16" t="s">
        <v>140</v>
      </c>
      <c r="F6866" s="16" t="s">
        <v>138</v>
      </c>
      <c r="G6866" s="22">
        <v>17.5</v>
      </c>
      <c r="H6866" s="18">
        <v>65.605000000000004</v>
      </c>
      <c r="I6866" s="18">
        <v>3.7488571429999999</v>
      </c>
      <c r="J6866" s="18">
        <v>4.0599999999999996</v>
      </c>
      <c r="K6866" s="18">
        <v>3.61</v>
      </c>
      <c r="L6866" s="22">
        <v>9</v>
      </c>
    </row>
    <row r="6867" spans="1:12">
      <c r="A6867">
        <v>7</v>
      </c>
      <c r="B6867" s="16" t="s">
        <v>62</v>
      </c>
      <c r="C6867" s="9">
        <v>46174</v>
      </c>
      <c r="D6867">
        <v>50</v>
      </c>
      <c r="E6867" s="16" t="s">
        <v>140</v>
      </c>
      <c r="F6867" s="16" t="s">
        <v>138</v>
      </c>
      <c r="G6867" s="22">
        <v>22</v>
      </c>
      <c r="H6867" s="18">
        <v>83.207499999999996</v>
      </c>
      <c r="I6867" s="18">
        <v>3.782159091</v>
      </c>
      <c r="J6867" s="18">
        <v>3.98</v>
      </c>
      <c r="K6867" s="18">
        <v>3.7</v>
      </c>
      <c r="L6867" s="22">
        <v>9</v>
      </c>
    </row>
    <row r="6868" spans="1:12">
      <c r="A6868">
        <v>7</v>
      </c>
      <c r="B6868" s="16" t="s">
        <v>62</v>
      </c>
      <c r="C6868" s="9">
        <v>46204</v>
      </c>
      <c r="D6868">
        <v>50</v>
      </c>
      <c r="E6868" s="16" t="s">
        <v>140</v>
      </c>
      <c r="F6868" s="16" t="s">
        <v>138</v>
      </c>
      <c r="G6868" s="22">
        <v>21.75</v>
      </c>
      <c r="H6868" s="18">
        <v>82.265000000000001</v>
      </c>
      <c r="I6868" s="18">
        <v>3.7822988510000002</v>
      </c>
      <c r="J6868" s="18">
        <v>3.85</v>
      </c>
      <c r="K6868" s="18">
        <v>3.71</v>
      </c>
      <c r="L6868" s="22">
        <v>9</v>
      </c>
    </row>
    <row r="6869" spans="1:12">
      <c r="A6869">
        <v>7</v>
      </c>
      <c r="B6869" s="16" t="s">
        <v>62</v>
      </c>
      <c r="C6869" s="9">
        <v>46235</v>
      </c>
      <c r="D6869">
        <v>50</v>
      </c>
      <c r="E6869" s="16" t="s">
        <v>140</v>
      </c>
      <c r="F6869" s="16" t="s">
        <v>138</v>
      </c>
      <c r="G6869" s="22">
        <v>15</v>
      </c>
      <c r="H6869" s="18">
        <v>56.657499999999999</v>
      </c>
      <c r="I6869" s="18">
        <v>3.7771666669999999</v>
      </c>
      <c r="J6869" s="18">
        <v>3.83</v>
      </c>
      <c r="K6869" s="18">
        <v>3.72</v>
      </c>
      <c r="L6869" s="22">
        <v>8</v>
      </c>
    </row>
    <row r="6870" spans="1:12">
      <c r="A6870">
        <v>7</v>
      </c>
      <c r="B6870" s="16" t="s">
        <v>62</v>
      </c>
      <c r="C6870" s="9">
        <v>46266</v>
      </c>
      <c r="D6870">
        <v>50</v>
      </c>
      <c r="E6870" s="16" t="s">
        <v>140</v>
      </c>
      <c r="F6870" s="16" t="s">
        <v>138</v>
      </c>
      <c r="G6870" s="22">
        <v>15.75</v>
      </c>
      <c r="H6870" s="18">
        <v>59.645000000000003</v>
      </c>
      <c r="I6870" s="18">
        <v>3.7869841270000002</v>
      </c>
      <c r="J6870" s="18">
        <v>3.89</v>
      </c>
      <c r="K6870" s="18">
        <v>3.74</v>
      </c>
      <c r="L6870" s="22">
        <v>9</v>
      </c>
    </row>
    <row r="6871" spans="1:12">
      <c r="A6871">
        <v>7</v>
      </c>
      <c r="B6871" s="16" t="s">
        <v>62</v>
      </c>
      <c r="C6871" s="9">
        <v>45689</v>
      </c>
      <c r="D6871">
        <v>51</v>
      </c>
      <c r="E6871" s="16" t="s">
        <v>141</v>
      </c>
      <c r="F6871" s="16" t="s">
        <v>81</v>
      </c>
      <c r="G6871" s="22">
        <v>2</v>
      </c>
      <c r="H6871" s="18">
        <v>5.74</v>
      </c>
      <c r="I6871" s="18">
        <v>2.87</v>
      </c>
      <c r="J6871" s="18">
        <v>2.87</v>
      </c>
      <c r="K6871" s="18">
        <v>2.87</v>
      </c>
      <c r="L6871" s="22">
        <v>1</v>
      </c>
    </row>
    <row r="6872" spans="1:12">
      <c r="A6872">
        <v>7</v>
      </c>
      <c r="B6872" s="16" t="s">
        <v>62</v>
      </c>
      <c r="C6872" s="9">
        <v>45717</v>
      </c>
      <c r="D6872">
        <v>51</v>
      </c>
      <c r="E6872" s="16" t="s">
        <v>141</v>
      </c>
      <c r="F6872" s="16" t="s">
        <v>81</v>
      </c>
      <c r="G6872" s="22">
        <v>4</v>
      </c>
      <c r="H6872" s="18">
        <v>11.52</v>
      </c>
      <c r="I6872" s="18">
        <v>2.88</v>
      </c>
      <c r="J6872" s="18">
        <v>2.88</v>
      </c>
      <c r="K6872" s="18">
        <v>2.88</v>
      </c>
      <c r="L6872" s="22">
        <v>2</v>
      </c>
    </row>
    <row r="6873" spans="1:12">
      <c r="A6873">
        <v>7</v>
      </c>
      <c r="B6873" s="16" t="s">
        <v>62</v>
      </c>
      <c r="C6873" s="9">
        <v>45748</v>
      </c>
      <c r="D6873">
        <v>51</v>
      </c>
      <c r="E6873" s="16" t="s">
        <v>141</v>
      </c>
      <c r="F6873" s="16" t="s">
        <v>81</v>
      </c>
      <c r="G6873" s="22">
        <v>4</v>
      </c>
      <c r="H6873" s="18">
        <v>11.56</v>
      </c>
      <c r="I6873" s="18">
        <v>2.89</v>
      </c>
      <c r="J6873" s="18">
        <v>2.92</v>
      </c>
      <c r="K6873" s="18">
        <v>2.86</v>
      </c>
      <c r="L6873" s="22">
        <v>2</v>
      </c>
    </row>
    <row r="6874" spans="1:12">
      <c r="A6874">
        <v>7</v>
      </c>
      <c r="B6874" s="16" t="s">
        <v>62</v>
      </c>
      <c r="C6874" s="9">
        <v>45778</v>
      </c>
      <c r="D6874">
        <v>51</v>
      </c>
      <c r="E6874" s="16" t="s">
        <v>141</v>
      </c>
      <c r="F6874" s="16" t="s">
        <v>81</v>
      </c>
      <c r="G6874" s="22">
        <v>4</v>
      </c>
      <c r="H6874" s="18">
        <v>11.52</v>
      </c>
      <c r="I6874" s="18">
        <v>2.88</v>
      </c>
      <c r="J6874" s="18">
        <v>2.89</v>
      </c>
      <c r="K6874" s="18">
        <v>2.87</v>
      </c>
      <c r="L6874" s="22">
        <v>2</v>
      </c>
    </row>
    <row r="6875" spans="1:12">
      <c r="A6875">
        <v>7</v>
      </c>
      <c r="B6875" s="16" t="s">
        <v>62</v>
      </c>
      <c r="C6875" s="9">
        <v>45809</v>
      </c>
      <c r="D6875">
        <v>51</v>
      </c>
      <c r="E6875" s="16" t="s">
        <v>141</v>
      </c>
      <c r="F6875" s="16" t="s">
        <v>81</v>
      </c>
      <c r="G6875" s="22">
        <v>2</v>
      </c>
      <c r="H6875" s="18">
        <v>5.76</v>
      </c>
      <c r="I6875" s="18">
        <v>2.88</v>
      </c>
      <c r="J6875" s="18">
        <v>2.88</v>
      </c>
      <c r="K6875" s="18">
        <v>2.88</v>
      </c>
      <c r="L6875" s="22">
        <v>1</v>
      </c>
    </row>
    <row r="6876" spans="1:12">
      <c r="A6876">
        <v>7</v>
      </c>
      <c r="B6876" s="16" t="s">
        <v>62</v>
      </c>
      <c r="C6876" s="9">
        <v>45839</v>
      </c>
      <c r="D6876">
        <v>51</v>
      </c>
      <c r="E6876" s="16" t="s">
        <v>141</v>
      </c>
      <c r="F6876" s="16" t="s">
        <v>81</v>
      </c>
      <c r="G6876" s="22">
        <v>2</v>
      </c>
      <c r="H6876" s="18">
        <v>5.82</v>
      </c>
      <c r="I6876" s="18">
        <v>2.91</v>
      </c>
      <c r="J6876" s="18">
        <v>2.91</v>
      </c>
      <c r="K6876" s="18">
        <v>2.91</v>
      </c>
      <c r="L6876" s="22">
        <v>1</v>
      </c>
    </row>
    <row r="6877" spans="1:12">
      <c r="A6877">
        <v>7</v>
      </c>
      <c r="B6877" s="16" t="s">
        <v>62</v>
      </c>
      <c r="C6877" s="9">
        <v>45870</v>
      </c>
      <c r="D6877">
        <v>51</v>
      </c>
      <c r="E6877" s="16" t="s">
        <v>141</v>
      </c>
      <c r="F6877" s="16" t="s">
        <v>81</v>
      </c>
      <c r="G6877" s="22">
        <v>4</v>
      </c>
      <c r="H6877" s="18">
        <v>11.76</v>
      </c>
      <c r="I6877" s="18">
        <v>2.94</v>
      </c>
      <c r="J6877" s="18">
        <v>2.96</v>
      </c>
      <c r="K6877" s="18">
        <v>2.92</v>
      </c>
      <c r="L6877" s="22">
        <v>2</v>
      </c>
    </row>
    <row r="6878" spans="1:12">
      <c r="A6878">
        <v>7</v>
      </c>
      <c r="B6878" s="16" t="s">
        <v>62</v>
      </c>
      <c r="C6878" s="9">
        <v>45901</v>
      </c>
      <c r="D6878">
        <v>51</v>
      </c>
      <c r="E6878" s="16" t="s">
        <v>141</v>
      </c>
      <c r="F6878" s="16" t="s">
        <v>81</v>
      </c>
      <c r="G6878" s="22">
        <v>4</v>
      </c>
      <c r="H6878" s="18">
        <v>11.9</v>
      </c>
      <c r="I6878" s="18">
        <v>2.9750000000000001</v>
      </c>
      <c r="J6878" s="18">
        <v>3.01</v>
      </c>
      <c r="K6878" s="18">
        <v>2.94</v>
      </c>
      <c r="L6878" s="22">
        <v>2</v>
      </c>
    </row>
    <row r="6879" spans="1:12">
      <c r="A6879">
        <v>7</v>
      </c>
      <c r="B6879" s="16" t="s">
        <v>62</v>
      </c>
      <c r="C6879" s="9">
        <v>45931</v>
      </c>
      <c r="D6879">
        <v>51</v>
      </c>
      <c r="E6879" s="16" t="s">
        <v>141</v>
      </c>
      <c r="F6879" s="16" t="s">
        <v>81</v>
      </c>
      <c r="G6879" s="22">
        <v>4</v>
      </c>
      <c r="H6879" s="18">
        <v>11.88</v>
      </c>
      <c r="I6879" s="18">
        <v>2.97</v>
      </c>
      <c r="J6879" s="18">
        <v>3.02</v>
      </c>
      <c r="K6879" s="18">
        <v>2.92</v>
      </c>
      <c r="L6879" s="22">
        <v>2</v>
      </c>
    </row>
    <row r="6880" spans="1:12">
      <c r="A6880">
        <v>7</v>
      </c>
      <c r="B6880" s="16" t="s">
        <v>62</v>
      </c>
      <c r="C6880" s="9">
        <v>45962</v>
      </c>
      <c r="D6880">
        <v>51</v>
      </c>
      <c r="E6880" s="16" t="s">
        <v>141</v>
      </c>
      <c r="F6880" s="16" t="s">
        <v>81</v>
      </c>
      <c r="G6880" s="22">
        <v>4</v>
      </c>
      <c r="H6880" s="18">
        <v>11.78</v>
      </c>
      <c r="I6880" s="18">
        <v>2.9449999999999998</v>
      </c>
      <c r="J6880" s="18">
        <v>2.95</v>
      </c>
      <c r="K6880" s="18">
        <v>2.94</v>
      </c>
      <c r="L6880" s="22">
        <v>2</v>
      </c>
    </row>
    <row r="6881" spans="1:12">
      <c r="A6881">
        <v>7</v>
      </c>
      <c r="B6881" s="16" t="s">
        <v>62</v>
      </c>
      <c r="C6881" s="9">
        <v>45992</v>
      </c>
      <c r="D6881">
        <v>51</v>
      </c>
      <c r="E6881" s="16" t="s">
        <v>141</v>
      </c>
      <c r="F6881" s="16" t="s">
        <v>81</v>
      </c>
      <c r="G6881" s="22">
        <v>2</v>
      </c>
      <c r="H6881" s="18">
        <v>5.86</v>
      </c>
      <c r="I6881" s="18">
        <v>2.93</v>
      </c>
      <c r="J6881" s="18">
        <v>2.93</v>
      </c>
      <c r="K6881" s="18">
        <v>2.93</v>
      </c>
      <c r="L6881" s="22">
        <v>1</v>
      </c>
    </row>
    <row r="6882" spans="1:12">
      <c r="A6882">
        <v>7</v>
      </c>
      <c r="B6882" s="16" t="s">
        <v>62</v>
      </c>
      <c r="C6882" s="9">
        <v>46023</v>
      </c>
      <c r="D6882">
        <v>51</v>
      </c>
      <c r="E6882" s="16" t="s">
        <v>141</v>
      </c>
      <c r="F6882" s="16" t="s">
        <v>81</v>
      </c>
      <c r="G6882" s="22">
        <v>4</v>
      </c>
      <c r="H6882" s="18">
        <v>12.06</v>
      </c>
      <c r="I6882" s="18">
        <v>3.0150000000000001</v>
      </c>
      <c r="J6882" s="18">
        <v>3.08</v>
      </c>
      <c r="K6882" s="18">
        <v>2.95</v>
      </c>
      <c r="L6882" s="22">
        <v>2</v>
      </c>
    </row>
    <row r="6883" spans="1:12">
      <c r="A6883">
        <v>7</v>
      </c>
      <c r="B6883" s="16" t="s">
        <v>62</v>
      </c>
      <c r="C6883" s="9">
        <v>46054</v>
      </c>
      <c r="D6883">
        <v>51</v>
      </c>
      <c r="E6883" s="16" t="s">
        <v>141</v>
      </c>
      <c r="F6883" s="16" t="s">
        <v>81</v>
      </c>
      <c r="G6883" s="22">
        <v>4</v>
      </c>
      <c r="H6883" s="18">
        <v>12.12</v>
      </c>
      <c r="I6883" s="18">
        <v>3.03</v>
      </c>
      <c r="J6883" s="18">
        <v>3.04</v>
      </c>
      <c r="K6883" s="18">
        <v>3.02</v>
      </c>
      <c r="L6883" s="22">
        <v>2</v>
      </c>
    </row>
    <row r="6884" spans="1:12">
      <c r="A6884">
        <v>7</v>
      </c>
      <c r="B6884" s="16" t="s">
        <v>62</v>
      </c>
      <c r="C6884" s="9">
        <v>46082</v>
      </c>
      <c r="D6884">
        <v>51</v>
      </c>
      <c r="E6884" s="16" t="s">
        <v>141</v>
      </c>
      <c r="F6884" s="16" t="s">
        <v>81</v>
      </c>
      <c r="G6884" s="22">
        <v>6</v>
      </c>
      <c r="H6884" s="18">
        <v>18.04</v>
      </c>
      <c r="I6884" s="18">
        <v>3.0066666670000002</v>
      </c>
      <c r="J6884" s="18">
        <v>3.02</v>
      </c>
      <c r="K6884" s="18">
        <v>2.98</v>
      </c>
      <c r="L6884" s="22">
        <v>3</v>
      </c>
    </row>
    <row r="6885" spans="1:12">
      <c r="A6885">
        <v>7</v>
      </c>
      <c r="B6885" s="16" t="s">
        <v>62</v>
      </c>
      <c r="C6885" s="9">
        <v>46113</v>
      </c>
      <c r="D6885">
        <v>51</v>
      </c>
      <c r="E6885" s="16" t="s">
        <v>141</v>
      </c>
      <c r="F6885" s="16" t="s">
        <v>81</v>
      </c>
      <c r="G6885" s="22">
        <v>2</v>
      </c>
      <c r="H6885" s="18">
        <v>6.08</v>
      </c>
      <c r="I6885" s="18">
        <v>3.04</v>
      </c>
      <c r="J6885" s="18">
        <v>3.04</v>
      </c>
      <c r="K6885" s="18">
        <v>3.04</v>
      </c>
      <c r="L6885" s="22">
        <v>1</v>
      </c>
    </row>
    <row r="6886" spans="1:12">
      <c r="A6886">
        <v>7</v>
      </c>
      <c r="B6886" s="16" t="s">
        <v>62</v>
      </c>
      <c r="C6886" s="9">
        <v>46143</v>
      </c>
      <c r="D6886">
        <v>51</v>
      </c>
      <c r="E6886" s="16" t="s">
        <v>141</v>
      </c>
      <c r="F6886" s="16" t="s">
        <v>81</v>
      </c>
      <c r="G6886" s="22">
        <v>4</v>
      </c>
      <c r="H6886" s="18">
        <v>12.24</v>
      </c>
      <c r="I6886" s="18">
        <v>3.06</v>
      </c>
      <c r="J6886" s="18">
        <v>3.08</v>
      </c>
      <c r="K6886" s="18">
        <v>3.04</v>
      </c>
      <c r="L6886" s="22">
        <v>2</v>
      </c>
    </row>
    <row r="6887" spans="1:12">
      <c r="A6887">
        <v>7</v>
      </c>
      <c r="B6887" s="16" t="s">
        <v>62</v>
      </c>
      <c r="C6887" s="9">
        <v>46174</v>
      </c>
      <c r="D6887">
        <v>51</v>
      </c>
      <c r="E6887" s="16" t="s">
        <v>141</v>
      </c>
      <c r="F6887" s="16" t="s">
        <v>81</v>
      </c>
      <c r="G6887" s="22">
        <v>4</v>
      </c>
      <c r="H6887" s="18">
        <v>12.24</v>
      </c>
      <c r="I6887" s="18">
        <v>3.06</v>
      </c>
      <c r="J6887" s="18">
        <v>3.08</v>
      </c>
      <c r="K6887" s="18">
        <v>3.04</v>
      </c>
      <c r="L6887" s="22">
        <v>2</v>
      </c>
    </row>
    <row r="6888" spans="1:12">
      <c r="A6888">
        <v>7</v>
      </c>
      <c r="B6888" s="16" t="s">
        <v>62</v>
      </c>
      <c r="C6888" s="9">
        <v>46204</v>
      </c>
      <c r="D6888">
        <v>51</v>
      </c>
      <c r="E6888" s="16" t="s">
        <v>141</v>
      </c>
      <c r="F6888" s="16" t="s">
        <v>81</v>
      </c>
      <c r="G6888" s="22">
        <v>2</v>
      </c>
      <c r="H6888" s="18">
        <v>6.18</v>
      </c>
      <c r="I6888" s="18">
        <v>3.09</v>
      </c>
      <c r="J6888" s="18">
        <v>3.09</v>
      </c>
      <c r="K6888" s="18">
        <v>3.09</v>
      </c>
      <c r="L6888" s="22">
        <v>1</v>
      </c>
    </row>
    <row r="6889" spans="1:12">
      <c r="A6889">
        <v>7</v>
      </c>
      <c r="B6889" s="16" t="s">
        <v>62</v>
      </c>
      <c r="C6889" s="9">
        <v>46235</v>
      </c>
      <c r="D6889">
        <v>51</v>
      </c>
      <c r="E6889" s="16" t="s">
        <v>141</v>
      </c>
      <c r="F6889" s="16" t="s">
        <v>81</v>
      </c>
      <c r="G6889" s="22">
        <v>2</v>
      </c>
      <c r="H6889" s="18">
        <v>6.16</v>
      </c>
      <c r="I6889" s="18">
        <v>3.08</v>
      </c>
      <c r="J6889" s="18">
        <v>3.08</v>
      </c>
      <c r="K6889" s="18">
        <v>3.08</v>
      </c>
      <c r="L6889" s="22">
        <v>1</v>
      </c>
    </row>
    <row r="6890" spans="1:12">
      <c r="A6890">
        <v>7</v>
      </c>
      <c r="B6890" s="16" t="s">
        <v>62</v>
      </c>
      <c r="C6890" s="9">
        <v>46266</v>
      </c>
      <c r="D6890">
        <v>51</v>
      </c>
      <c r="E6890" s="16" t="s">
        <v>141</v>
      </c>
      <c r="F6890" s="16" t="s">
        <v>81</v>
      </c>
      <c r="G6890" s="22">
        <v>6</v>
      </c>
      <c r="H6890" s="18">
        <v>18.739999999999998</v>
      </c>
      <c r="I6890" s="18">
        <v>3.1233333330000002</v>
      </c>
      <c r="J6890" s="18">
        <v>3.15</v>
      </c>
      <c r="K6890" s="18">
        <v>3.1</v>
      </c>
      <c r="L6890" s="22">
        <v>3</v>
      </c>
    </row>
    <row r="6891" spans="1:12">
      <c r="A6891">
        <v>7</v>
      </c>
      <c r="B6891" s="16" t="s">
        <v>62</v>
      </c>
      <c r="C6891" s="9">
        <v>45689</v>
      </c>
      <c r="D6891">
        <v>52</v>
      </c>
      <c r="E6891" s="16" t="s">
        <v>142</v>
      </c>
      <c r="F6891" s="16" t="s">
        <v>108</v>
      </c>
      <c r="G6891" s="22">
        <v>6</v>
      </c>
      <c r="H6891" s="18">
        <v>6.3</v>
      </c>
      <c r="I6891" s="18">
        <v>1.05</v>
      </c>
      <c r="J6891" s="18">
        <v>1.05</v>
      </c>
      <c r="K6891" s="18">
        <v>1.05</v>
      </c>
      <c r="L6891" s="22">
        <v>1</v>
      </c>
    </row>
    <row r="6892" spans="1:12">
      <c r="A6892">
        <v>7</v>
      </c>
      <c r="B6892" s="16" t="s">
        <v>62</v>
      </c>
      <c r="C6892" s="9">
        <v>45748</v>
      </c>
      <c r="D6892">
        <v>52</v>
      </c>
      <c r="E6892" s="16" t="s">
        <v>142</v>
      </c>
      <c r="F6892" s="16" t="s">
        <v>108</v>
      </c>
      <c r="G6892" s="22">
        <v>12</v>
      </c>
      <c r="H6892" s="18">
        <v>12.9</v>
      </c>
      <c r="I6892" s="18">
        <v>1.075</v>
      </c>
      <c r="J6892" s="18">
        <v>1.08</v>
      </c>
      <c r="K6892" s="18">
        <v>1.07</v>
      </c>
      <c r="L6892" s="22">
        <v>2</v>
      </c>
    </row>
    <row r="6893" spans="1:12">
      <c r="A6893">
        <v>7</v>
      </c>
      <c r="B6893" s="16" t="s">
        <v>62</v>
      </c>
      <c r="C6893" s="9">
        <v>45778</v>
      </c>
      <c r="D6893">
        <v>52</v>
      </c>
      <c r="E6893" s="16" t="s">
        <v>142</v>
      </c>
      <c r="F6893" s="16" t="s">
        <v>108</v>
      </c>
      <c r="G6893" s="22">
        <v>6</v>
      </c>
      <c r="H6893" s="18">
        <v>6.6</v>
      </c>
      <c r="I6893" s="18">
        <v>1.1000000000000001</v>
      </c>
      <c r="J6893" s="18">
        <v>1.1000000000000001</v>
      </c>
      <c r="K6893" s="18">
        <v>1.1000000000000001</v>
      </c>
      <c r="L6893" s="22">
        <v>1</v>
      </c>
    </row>
    <row r="6894" spans="1:12">
      <c r="A6894">
        <v>7</v>
      </c>
      <c r="B6894" s="16" t="s">
        <v>62</v>
      </c>
      <c r="C6894" s="9">
        <v>45839</v>
      </c>
      <c r="D6894">
        <v>52</v>
      </c>
      <c r="E6894" s="16" t="s">
        <v>142</v>
      </c>
      <c r="F6894" s="16" t="s">
        <v>108</v>
      </c>
      <c r="G6894" s="22">
        <v>6</v>
      </c>
      <c r="H6894" s="18">
        <v>6.36</v>
      </c>
      <c r="I6894" s="18">
        <v>1.06</v>
      </c>
      <c r="J6894" s="18">
        <v>1.06</v>
      </c>
      <c r="K6894" s="18">
        <v>1.06</v>
      </c>
      <c r="L6894" s="22">
        <v>1</v>
      </c>
    </row>
    <row r="6895" spans="1:12">
      <c r="A6895">
        <v>7</v>
      </c>
      <c r="B6895" s="16" t="s">
        <v>62</v>
      </c>
      <c r="C6895" s="9">
        <v>45870</v>
      </c>
      <c r="D6895">
        <v>52</v>
      </c>
      <c r="E6895" s="16" t="s">
        <v>142</v>
      </c>
      <c r="F6895" s="16" t="s">
        <v>108</v>
      </c>
      <c r="G6895" s="22">
        <v>6</v>
      </c>
      <c r="H6895" s="18">
        <v>6.48</v>
      </c>
      <c r="I6895" s="18">
        <v>1.08</v>
      </c>
      <c r="J6895" s="18">
        <v>1.08</v>
      </c>
      <c r="K6895" s="18">
        <v>1.08</v>
      </c>
      <c r="L6895" s="22">
        <v>1</v>
      </c>
    </row>
    <row r="6896" spans="1:12">
      <c r="A6896">
        <v>7</v>
      </c>
      <c r="B6896" s="16" t="s">
        <v>62</v>
      </c>
      <c r="C6896" s="9">
        <v>45901</v>
      </c>
      <c r="D6896">
        <v>52</v>
      </c>
      <c r="E6896" s="16" t="s">
        <v>142</v>
      </c>
      <c r="F6896" s="16" t="s">
        <v>108</v>
      </c>
      <c r="G6896" s="22">
        <v>6</v>
      </c>
      <c r="H6896" s="18">
        <v>6.78</v>
      </c>
      <c r="I6896" s="18">
        <v>1.1299999999999999</v>
      </c>
      <c r="J6896" s="18">
        <v>1.1299999999999999</v>
      </c>
      <c r="K6896" s="18">
        <v>1.1299999999999999</v>
      </c>
      <c r="L6896" s="22">
        <v>1</v>
      </c>
    </row>
    <row r="6897" spans="1:12">
      <c r="A6897">
        <v>7</v>
      </c>
      <c r="B6897" s="16" t="s">
        <v>62</v>
      </c>
      <c r="C6897" s="9">
        <v>45962</v>
      </c>
      <c r="D6897">
        <v>52</v>
      </c>
      <c r="E6897" s="16" t="s">
        <v>142</v>
      </c>
      <c r="F6897" s="16" t="s">
        <v>108</v>
      </c>
      <c r="G6897" s="22">
        <v>6</v>
      </c>
      <c r="H6897" s="18">
        <v>6.42</v>
      </c>
      <c r="I6897" s="18">
        <v>1.07</v>
      </c>
      <c r="J6897" s="18">
        <v>1.07</v>
      </c>
      <c r="K6897" s="18">
        <v>1.07</v>
      </c>
      <c r="L6897" s="22">
        <v>1</v>
      </c>
    </row>
    <row r="6898" spans="1:12">
      <c r="A6898">
        <v>7</v>
      </c>
      <c r="B6898" s="16" t="s">
        <v>62</v>
      </c>
      <c r="C6898" s="9">
        <v>45992</v>
      </c>
      <c r="D6898">
        <v>52</v>
      </c>
      <c r="E6898" s="16" t="s">
        <v>142</v>
      </c>
      <c r="F6898" s="16" t="s">
        <v>108</v>
      </c>
      <c r="G6898" s="22">
        <v>6</v>
      </c>
      <c r="H6898" s="18">
        <v>6.42</v>
      </c>
      <c r="I6898" s="18">
        <v>1.07</v>
      </c>
      <c r="J6898" s="18">
        <v>1.07</v>
      </c>
      <c r="K6898" s="18">
        <v>1.07</v>
      </c>
      <c r="L6898" s="22">
        <v>1</v>
      </c>
    </row>
    <row r="6899" spans="1:12">
      <c r="A6899">
        <v>7</v>
      </c>
      <c r="B6899" s="16" t="s">
        <v>62</v>
      </c>
      <c r="C6899" s="9">
        <v>46023</v>
      </c>
      <c r="D6899">
        <v>52</v>
      </c>
      <c r="E6899" s="16" t="s">
        <v>142</v>
      </c>
      <c r="F6899" s="16" t="s">
        <v>108</v>
      </c>
      <c r="G6899" s="22">
        <v>6</v>
      </c>
      <c r="H6899" s="18">
        <v>6.54</v>
      </c>
      <c r="I6899" s="18">
        <v>1.0900000000000001</v>
      </c>
      <c r="J6899" s="18">
        <v>1.0900000000000001</v>
      </c>
      <c r="K6899" s="18">
        <v>1.0900000000000001</v>
      </c>
      <c r="L6899" s="22">
        <v>1</v>
      </c>
    </row>
    <row r="6900" spans="1:12">
      <c r="A6900">
        <v>7</v>
      </c>
      <c r="B6900" s="16" t="s">
        <v>62</v>
      </c>
      <c r="C6900" s="9">
        <v>46082</v>
      </c>
      <c r="D6900">
        <v>52</v>
      </c>
      <c r="E6900" s="16" t="s">
        <v>142</v>
      </c>
      <c r="F6900" s="16" t="s">
        <v>108</v>
      </c>
      <c r="G6900" s="22">
        <v>12</v>
      </c>
      <c r="H6900" s="18">
        <v>13.2</v>
      </c>
      <c r="I6900" s="18">
        <v>1.1000000000000001</v>
      </c>
      <c r="J6900" s="18">
        <v>1.1000000000000001</v>
      </c>
      <c r="K6900" s="18">
        <v>1.1000000000000001</v>
      </c>
      <c r="L6900" s="22">
        <v>2</v>
      </c>
    </row>
    <row r="6901" spans="1:12">
      <c r="A6901">
        <v>7</v>
      </c>
      <c r="B6901" s="16" t="s">
        <v>62</v>
      </c>
      <c r="C6901" s="9">
        <v>46113</v>
      </c>
      <c r="D6901">
        <v>52</v>
      </c>
      <c r="E6901" s="16" t="s">
        <v>142</v>
      </c>
      <c r="F6901" s="16" t="s">
        <v>108</v>
      </c>
      <c r="G6901" s="22">
        <v>6</v>
      </c>
      <c r="H6901" s="18">
        <v>6.6</v>
      </c>
      <c r="I6901" s="18">
        <v>1.1000000000000001</v>
      </c>
      <c r="J6901" s="18">
        <v>1.1000000000000001</v>
      </c>
      <c r="K6901" s="18">
        <v>1.1000000000000001</v>
      </c>
      <c r="L6901" s="22">
        <v>1</v>
      </c>
    </row>
    <row r="6902" spans="1:12">
      <c r="A6902">
        <v>7</v>
      </c>
      <c r="B6902" s="16" t="s">
        <v>62</v>
      </c>
      <c r="C6902" s="9">
        <v>46143</v>
      </c>
      <c r="D6902">
        <v>52</v>
      </c>
      <c r="E6902" s="16" t="s">
        <v>142</v>
      </c>
      <c r="F6902" s="16" t="s">
        <v>108</v>
      </c>
      <c r="G6902" s="22">
        <v>6</v>
      </c>
      <c r="H6902" s="18">
        <v>6.42</v>
      </c>
      <c r="I6902" s="18">
        <v>1.07</v>
      </c>
      <c r="J6902" s="18">
        <v>1.07</v>
      </c>
      <c r="K6902" s="18">
        <v>1.07</v>
      </c>
      <c r="L6902" s="22">
        <v>1</v>
      </c>
    </row>
    <row r="6903" spans="1:12">
      <c r="A6903">
        <v>7</v>
      </c>
      <c r="B6903" s="16" t="s">
        <v>62</v>
      </c>
      <c r="C6903" s="9">
        <v>46174</v>
      </c>
      <c r="D6903">
        <v>52</v>
      </c>
      <c r="E6903" s="16" t="s">
        <v>142</v>
      </c>
      <c r="F6903" s="16" t="s">
        <v>108</v>
      </c>
      <c r="G6903" s="22">
        <v>6</v>
      </c>
      <c r="H6903" s="18">
        <v>6.6</v>
      </c>
      <c r="I6903" s="18">
        <v>1.1000000000000001</v>
      </c>
      <c r="J6903" s="18">
        <v>1.1000000000000001</v>
      </c>
      <c r="K6903" s="18">
        <v>1.1000000000000001</v>
      </c>
      <c r="L6903" s="22">
        <v>1</v>
      </c>
    </row>
    <row r="6904" spans="1:12">
      <c r="A6904">
        <v>7</v>
      </c>
      <c r="B6904" s="16" t="s">
        <v>62</v>
      </c>
      <c r="C6904" s="9">
        <v>46235</v>
      </c>
      <c r="D6904">
        <v>52</v>
      </c>
      <c r="E6904" s="16" t="s">
        <v>142</v>
      </c>
      <c r="F6904" s="16" t="s">
        <v>108</v>
      </c>
      <c r="G6904" s="22">
        <v>6</v>
      </c>
      <c r="H6904" s="18">
        <v>6.54</v>
      </c>
      <c r="I6904" s="18">
        <v>1.0900000000000001</v>
      </c>
      <c r="J6904" s="18">
        <v>1.0900000000000001</v>
      </c>
      <c r="K6904" s="18">
        <v>1.0900000000000001</v>
      </c>
      <c r="L6904" s="22">
        <v>1</v>
      </c>
    </row>
    <row r="6905" spans="1:12">
      <c r="A6905">
        <v>7</v>
      </c>
      <c r="B6905" s="16" t="s">
        <v>62</v>
      </c>
      <c r="C6905" s="9">
        <v>46266</v>
      </c>
      <c r="D6905">
        <v>52</v>
      </c>
      <c r="E6905" s="16" t="s">
        <v>142</v>
      </c>
      <c r="F6905" s="16" t="s">
        <v>108</v>
      </c>
      <c r="G6905" s="22">
        <v>6</v>
      </c>
      <c r="H6905" s="18">
        <v>6.54</v>
      </c>
      <c r="I6905" s="18">
        <v>1.0900000000000001</v>
      </c>
      <c r="J6905" s="18">
        <v>1.0900000000000001</v>
      </c>
      <c r="K6905" s="18">
        <v>1.0900000000000001</v>
      </c>
      <c r="L6905" s="22">
        <v>1</v>
      </c>
    </row>
    <row r="6906" spans="1:12">
      <c r="A6906">
        <v>7</v>
      </c>
      <c r="B6906" s="16" t="s">
        <v>62</v>
      </c>
      <c r="C6906" s="9">
        <v>45689</v>
      </c>
      <c r="D6906">
        <v>53</v>
      </c>
      <c r="E6906" s="16" t="s">
        <v>143</v>
      </c>
      <c r="F6906" s="16" t="s">
        <v>103</v>
      </c>
      <c r="G6906" s="22">
        <v>4.5</v>
      </c>
      <c r="H6906" s="18">
        <v>35.392499999999998</v>
      </c>
      <c r="I6906" s="18">
        <v>7.8650000000000002</v>
      </c>
      <c r="J6906" s="18">
        <v>7.96</v>
      </c>
      <c r="K6906" s="18">
        <v>7.77</v>
      </c>
      <c r="L6906" s="22">
        <v>2</v>
      </c>
    </row>
    <row r="6907" spans="1:12">
      <c r="A6907">
        <v>7</v>
      </c>
      <c r="B6907" s="16" t="s">
        <v>62</v>
      </c>
      <c r="C6907" s="9">
        <v>45717</v>
      </c>
      <c r="D6907">
        <v>53</v>
      </c>
      <c r="E6907" s="16" t="s">
        <v>143</v>
      </c>
      <c r="F6907" s="16" t="s">
        <v>103</v>
      </c>
      <c r="G6907" s="22">
        <v>4.5</v>
      </c>
      <c r="H6907" s="18">
        <v>34.74</v>
      </c>
      <c r="I6907" s="18">
        <v>7.72</v>
      </c>
      <c r="J6907" s="18">
        <v>7.76</v>
      </c>
      <c r="K6907" s="18">
        <v>7.68</v>
      </c>
      <c r="L6907" s="22">
        <v>2</v>
      </c>
    </row>
    <row r="6908" spans="1:12">
      <c r="A6908">
        <v>7</v>
      </c>
      <c r="B6908" s="16" t="s">
        <v>62</v>
      </c>
      <c r="C6908" s="9">
        <v>45748</v>
      </c>
      <c r="D6908">
        <v>53</v>
      </c>
      <c r="E6908" s="16" t="s">
        <v>143</v>
      </c>
      <c r="F6908" s="16" t="s">
        <v>103</v>
      </c>
      <c r="G6908" s="22">
        <v>4.5</v>
      </c>
      <c r="H6908" s="18">
        <v>34.717500000000001</v>
      </c>
      <c r="I6908" s="18">
        <v>7.7149999999999999</v>
      </c>
      <c r="J6908" s="18">
        <v>7.74</v>
      </c>
      <c r="K6908" s="18">
        <v>7.69</v>
      </c>
      <c r="L6908" s="22">
        <v>2</v>
      </c>
    </row>
    <row r="6909" spans="1:12">
      <c r="A6909">
        <v>7</v>
      </c>
      <c r="B6909" s="16" t="s">
        <v>62</v>
      </c>
      <c r="C6909" s="9">
        <v>45778</v>
      </c>
      <c r="D6909">
        <v>53</v>
      </c>
      <c r="E6909" s="16" t="s">
        <v>143</v>
      </c>
      <c r="F6909" s="16" t="s">
        <v>103</v>
      </c>
      <c r="G6909" s="22">
        <v>4.5</v>
      </c>
      <c r="H6909" s="18">
        <v>34.515000000000001</v>
      </c>
      <c r="I6909" s="18">
        <v>7.67</v>
      </c>
      <c r="J6909" s="18">
        <v>7.71</v>
      </c>
      <c r="K6909" s="18">
        <v>7.63</v>
      </c>
      <c r="L6909" s="22">
        <v>2</v>
      </c>
    </row>
    <row r="6910" spans="1:12">
      <c r="A6910">
        <v>7</v>
      </c>
      <c r="B6910" s="16" t="s">
        <v>62</v>
      </c>
      <c r="C6910" s="9">
        <v>45809</v>
      </c>
      <c r="D6910">
        <v>53</v>
      </c>
      <c r="E6910" s="16" t="s">
        <v>143</v>
      </c>
      <c r="F6910" s="16" t="s">
        <v>103</v>
      </c>
      <c r="G6910" s="22">
        <v>2.25</v>
      </c>
      <c r="H6910" s="18">
        <v>17.212499999999999</v>
      </c>
      <c r="I6910" s="18">
        <v>7.65</v>
      </c>
      <c r="J6910" s="18">
        <v>7.65</v>
      </c>
      <c r="K6910" s="18">
        <v>7.65</v>
      </c>
      <c r="L6910" s="22">
        <v>1</v>
      </c>
    </row>
    <row r="6911" spans="1:12">
      <c r="A6911">
        <v>7</v>
      </c>
      <c r="B6911" s="16" t="s">
        <v>62</v>
      </c>
      <c r="C6911" s="9">
        <v>45839</v>
      </c>
      <c r="D6911">
        <v>53</v>
      </c>
      <c r="E6911" s="16" t="s">
        <v>143</v>
      </c>
      <c r="F6911" s="16" t="s">
        <v>103</v>
      </c>
      <c r="G6911" s="22">
        <v>4.5</v>
      </c>
      <c r="H6911" s="18">
        <v>34.11</v>
      </c>
      <c r="I6911" s="18">
        <v>7.58</v>
      </c>
      <c r="J6911" s="18">
        <v>7.65</v>
      </c>
      <c r="K6911" s="18">
        <v>7.51</v>
      </c>
      <c r="L6911" s="22">
        <v>2</v>
      </c>
    </row>
    <row r="6912" spans="1:12">
      <c r="A6912">
        <v>7</v>
      </c>
      <c r="B6912" s="16" t="s">
        <v>62</v>
      </c>
      <c r="C6912" s="9">
        <v>45870</v>
      </c>
      <c r="D6912">
        <v>53</v>
      </c>
      <c r="E6912" s="16" t="s">
        <v>143</v>
      </c>
      <c r="F6912" s="16" t="s">
        <v>103</v>
      </c>
      <c r="G6912" s="22">
        <v>4.5</v>
      </c>
      <c r="H6912" s="18">
        <v>34.11</v>
      </c>
      <c r="I6912" s="18">
        <v>7.58</v>
      </c>
      <c r="J6912" s="18">
        <v>7.59</v>
      </c>
      <c r="K6912" s="18">
        <v>7.57</v>
      </c>
      <c r="L6912" s="22">
        <v>2</v>
      </c>
    </row>
    <row r="6913" spans="1:12">
      <c r="A6913">
        <v>7</v>
      </c>
      <c r="B6913" s="16" t="s">
        <v>62</v>
      </c>
      <c r="C6913" s="9">
        <v>45901</v>
      </c>
      <c r="D6913">
        <v>53</v>
      </c>
      <c r="E6913" s="16" t="s">
        <v>143</v>
      </c>
      <c r="F6913" s="16" t="s">
        <v>103</v>
      </c>
      <c r="G6913" s="22">
        <v>2.25</v>
      </c>
      <c r="H6913" s="18">
        <v>16.897500000000001</v>
      </c>
      <c r="I6913" s="18">
        <v>7.51</v>
      </c>
      <c r="J6913" s="18">
        <v>7.51</v>
      </c>
      <c r="K6913" s="18">
        <v>7.51</v>
      </c>
      <c r="L6913" s="22">
        <v>1</v>
      </c>
    </row>
    <row r="6914" spans="1:12">
      <c r="A6914">
        <v>7</v>
      </c>
      <c r="B6914" s="16" t="s">
        <v>62</v>
      </c>
      <c r="C6914" s="9">
        <v>45931</v>
      </c>
      <c r="D6914">
        <v>53</v>
      </c>
      <c r="E6914" s="16" t="s">
        <v>143</v>
      </c>
      <c r="F6914" s="16" t="s">
        <v>103</v>
      </c>
      <c r="G6914" s="22">
        <v>4.5</v>
      </c>
      <c r="H6914" s="18">
        <v>34.11</v>
      </c>
      <c r="I6914" s="18">
        <v>7.58</v>
      </c>
      <c r="J6914" s="18">
        <v>7.77</v>
      </c>
      <c r="K6914" s="18">
        <v>7.39</v>
      </c>
      <c r="L6914" s="22">
        <v>2</v>
      </c>
    </row>
    <row r="6915" spans="1:12">
      <c r="A6915">
        <v>7</v>
      </c>
      <c r="B6915" s="16" t="s">
        <v>62</v>
      </c>
      <c r="C6915" s="9">
        <v>45962</v>
      </c>
      <c r="D6915">
        <v>53</v>
      </c>
      <c r="E6915" s="16" t="s">
        <v>143</v>
      </c>
      <c r="F6915" s="16" t="s">
        <v>103</v>
      </c>
      <c r="G6915" s="22">
        <v>4.5</v>
      </c>
      <c r="H6915" s="18">
        <v>33.952500000000001</v>
      </c>
      <c r="I6915" s="18">
        <v>7.5449999999999999</v>
      </c>
      <c r="J6915" s="18">
        <v>7.61</v>
      </c>
      <c r="K6915" s="18">
        <v>7.48</v>
      </c>
      <c r="L6915" s="22">
        <v>2</v>
      </c>
    </row>
    <row r="6916" spans="1:12">
      <c r="A6916">
        <v>7</v>
      </c>
      <c r="B6916" s="16" t="s">
        <v>62</v>
      </c>
      <c r="C6916" s="9">
        <v>45992</v>
      </c>
      <c r="D6916">
        <v>53</v>
      </c>
      <c r="E6916" s="16" t="s">
        <v>143</v>
      </c>
      <c r="F6916" s="16" t="s">
        <v>103</v>
      </c>
      <c r="G6916" s="22">
        <v>6.75</v>
      </c>
      <c r="H6916" s="18">
        <v>50.827500000000001</v>
      </c>
      <c r="I6916" s="18">
        <v>7.53</v>
      </c>
      <c r="J6916" s="18">
        <v>7.66</v>
      </c>
      <c r="K6916" s="18">
        <v>7.44</v>
      </c>
      <c r="L6916" s="22">
        <v>3</v>
      </c>
    </row>
    <row r="6917" spans="1:12">
      <c r="A6917">
        <v>7</v>
      </c>
      <c r="B6917" s="16" t="s">
        <v>62</v>
      </c>
      <c r="C6917" s="9">
        <v>46023</v>
      </c>
      <c r="D6917">
        <v>53</v>
      </c>
      <c r="E6917" s="16" t="s">
        <v>143</v>
      </c>
      <c r="F6917" s="16" t="s">
        <v>103</v>
      </c>
      <c r="G6917" s="22">
        <v>6.75</v>
      </c>
      <c r="H6917" s="18">
        <v>51.142499999999998</v>
      </c>
      <c r="I6917" s="18">
        <v>7.5766666669999996</v>
      </c>
      <c r="J6917" s="18">
        <v>7.64</v>
      </c>
      <c r="K6917" s="18">
        <v>7.45</v>
      </c>
      <c r="L6917" s="22">
        <v>2</v>
      </c>
    </row>
    <row r="6918" spans="1:12">
      <c r="A6918">
        <v>7</v>
      </c>
      <c r="B6918" s="16" t="s">
        <v>62</v>
      </c>
      <c r="C6918" s="9">
        <v>46054</v>
      </c>
      <c r="D6918">
        <v>53</v>
      </c>
      <c r="E6918" s="16" t="s">
        <v>143</v>
      </c>
      <c r="F6918" s="16" t="s">
        <v>103</v>
      </c>
      <c r="G6918" s="22">
        <v>4.5</v>
      </c>
      <c r="H6918" s="18">
        <v>33.997500000000002</v>
      </c>
      <c r="I6918" s="18">
        <v>7.5549999999999997</v>
      </c>
      <c r="J6918" s="18">
        <v>7.63</v>
      </c>
      <c r="K6918" s="18">
        <v>7.48</v>
      </c>
      <c r="L6918" s="22">
        <v>2</v>
      </c>
    </row>
    <row r="6919" spans="1:12">
      <c r="A6919">
        <v>7</v>
      </c>
      <c r="B6919" s="16" t="s">
        <v>62</v>
      </c>
      <c r="C6919" s="9">
        <v>46082</v>
      </c>
      <c r="D6919">
        <v>53</v>
      </c>
      <c r="E6919" s="16" t="s">
        <v>143</v>
      </c>
      <c r="F6919" s="16" t="s">
        <v>103</v>
      </c>
      <c r="G6919" s="22">
        <v>4.5</v>
      </c>
      <c r="H6919" s="18">
        <v>33.997500000000002</v>
      </c>
      <c r="I6919" s="18">
        <v>7.5549999999999997</v>
      </c>
      <c r="J6919" s="18">
        <v>7.56</v>
      </c>
      <c r="K6919" s="18">
        <v>7.55</v>
      </c>
      <c r="L6919" s="22">
        <v>2</v>
      </c>
    </row>
    <row r="6920" spans="1:12">
      <c r="A6920">
        <v>7</v>
      </c>
      <c r="B6920" s="16" t="s">
        <v>62</v>
      </c>
      <c r="C6920" s="9">
        <v>46113</v>
      </c>
      <c r="D6920">
        <v>53</v>
      </c>
      <c r="E6920" s="16" t="s">
        <v>143</v>
      </c>
      <c r="F6920" s="16" t="s">
        <v>103</v>
      </c>
      <c r="G6920" s="22">
        <v>4.5</v>
      </c>
      <c r="H6920" s="18">
        <v>34.335000000000001</v>
      </c>
      <c r="I6920" s="18">
        <v>7.63</v>
      </c>
      <c r="J6920" s="18">
        <v>7.65</v>
      </c>
      <c r="K6920" s="18">
        <v>7.61</v>
      </c>
      <c r="L6920" s="22">
        <v>2</v>
      </c>
    </row>
    <row r="6921" spans="1:12">
      <c r="A6921">
        <v>7</v>
      </c>
      <c r="B6921" s="16" t="s">
        <v>62</v>
      </c>
      <c r="C6921" s="9">
        <v>46143</v>
      </c>
      <c r="D6921">
        <v>53</v>
      </c>
      <c r="E6921" s="16" t="s">
        <v>143</v>
      </c>
      <c r="F6921" s="16" t="s">
        <v>103</v>
      </c>
      <c r="G6921" s="22">
        <v>4.5</v>
      </c>
      <c r="H6921" s="18">
        <v>33.502499999999998</v>
      </c>
      <c r="I6921" s="18">
        <v>7.4450000000000003</v>
      </c>
      <c r="J6921" s="18">
        <v>7.49</v>
      </c>
      <c r="K6921" s="18">
        <v>7.4</v>
      </c>
      <c r="L6921" s="22">
        <v>2</v>
      </c>
    </row>
    <row r="6922" spans="1:12">
      <c r="A6922">
        <v>7</v>
      </c>
      <c r="B6922" s="16" t="s">
        <v>62</v>
      </c>
      <c r="C6922" s="9">
        <v>46174</v>
      </c>
      <c r="D6922">
        <v>53</v>
      </c>
      <c r="E6922" s="16" t="s">
        <v>143</v>
      </c>
      <c r="F6922" s="16" t="s">
        <v>103</v>
      </c>
      <c r="G6922" s="22">
        <v>6.75</v>
      </c>
      <c r="H6922" s="18">
        <v>50.2425</v>
      </c>
      <c r="I6922" s="18">
        <v>7.443333333</v>
      </c>
      <c r="J6922" s="18">
        <v>7.45</v>
      </c>
      <c r="K6922" s="18">
        <v>7.44</v>
      </c>
      <c r="L6922" s="22">
        <v>3</v>
      </c>
    </row>
    <row r="6923" spans="1:12">
      <c r="A6923">
        <v>7</v>
      </c>
      <c r="B6923" s="16" t="s">
        <v>62</v>
      </c>
      <c r="C6923" s="9">
        <v>46204</v>
      </c>
      <c r="D6923">
        <v>53</v>
      </c>
      <c r="E6923" s="16" t="s">
        <v>143</v>
      </c>
      <c r="F6923" s="16" t="s">
        <v>103</v>
      </c>
      <c r="G6923" s="22">
        <v>4.5</v>
      </c>
      <c r="H6923" s="18">
        <v>33.435000000000002</v>
      </c>
      <c r="I6923" s="18">
        <v>7.43</v>
      </c>
      <c r="J6923" s="18">
        <v>7.54</v>
      </c>
      <c r="K6923" s="18">
        <v>7.32</v>
      </c>
      <c r="L6923" s="22">
        <v>2</v>
      </c>
    </row>
    <row r="6924" spans="1:12">
      <c r="A6924">
        <v>7</v>
      </c>
      <c r="B6924" s="16" t="s">
        <v>62</v>
      </c>
      <c r="C6924" s="9">
        <v>46235</v>
      </c>
      <c r="D6924">
        <v>53</v>
      </c>
      <c r="E6924" s="16" t="s">
        <v>143</v>
      </c>
      <c r="F6924" s="16" t="s">
        <v>103</v>
      </c>
      <c r="G6924" s="22">
        <v>4.5</v>
      </c>
      <c r="H6924" s="18">
        <v>33.097499999999997</v>
      </c>
      <c r="I6924" s="18">
        <v>7.3550000000000004</v>
      </c>
      <c r="J6924" s="18">
        <v>7.38</v>
      </c>
      <c r="K6924" s="18">
        <v>7.33</v>
      </c>
      <c r="L6924" s="22">
        <v>2</v>
      </c>
    </row>
    <row r="6925" spans="1:12">
      <c r="A6925">
        <v>7</v>
      </c>
      <c r="B6925" s="16" t="s">
        <v>62</v>
      </c>
      <c r="C6925" s="9">
        <v>46266</v>
      </c>
      <c r="D6925">
        <v>53</v>
      </c>
      <c r="E6925" s="16" t="s">
        <v>143</v>
      </c>
      <c r="F6925" s="16" t="s">
        <v>103</v>
      </c>
      <c r="G6925" s="22">
        <v>4.5</v>
      </c>
      <c r="H6925" s="18">
        <v>33.637500000000003</v>
      </c>
      <c r="I6925" s="18">
        <v>7.4749999999999996</v>
      </c>
      <c r="J6925" s="18">
        <v>7.49</v>
      </c>
      <c r="K6925" s="18">
        <v>7.46</v>
      </c>
      <c r="L6925" s="22">
        <v>2</v>
      </c>
    </row>
    <row r="6926" spans="1:12">
      <c r="A6926">
        <v>7</v>
      </c>
      <c r="B6926" s="16" t="s">
        <v>62</v>
      </c>
      <c r="C6926" s="9">
        <v>45689</v>
      </c>
      <c r="D6926">
        <v>54</v>
      </c>
      <c r="E6926" s="16" t="s">
        <v>144</v>
      </c>
      <c r="F6926" s="16" t="s">
        <v>103</v>
      </c>
      <c r="G6926" s="22">
        <v>3</v>
      </c>
      <c r="H6926" s="18">
        <v>31.99</v>
      </c>
      <c r="I6926" s="18">
        <v>10.663333333000001</v>
      </c>
      <c r="J6926" s="18">
        <v>10.77</v>
      </c>
      <c r="K6926" s="18">
        <v>10.45</v>
      </c>
      <c r="L6926" s="22">
        <v>2</v>
      </c>
    </row>
    <row r="6927" spans="1:12">
      <c r="A6927">
        <v>7</v>
      </c>
      <c r="B6927" s="16" t="s">
        <v>62</v>
      </c>
      <c r="C6927" s="9">
        <v>45717</v>
      </c>
      <c r="D6927">
        <v>54</v>
      </c>
      <c r="E6927" s="16" t="s">
        <v>144</v>
      </c>
      <c r="F6927" s="16" t="s">
        <v>103</v>
      </c>
      <c r="G6927" s="22">
        <v>2</v>
      </c>
      <c r="H6927" s="18">
        <v>21.94</v>
      </c>
      <c r="I6927" s="18">
        <v>10.97</v>
      </c>
      <c r="J6927" s="18">
        <v>11.31</v>
      </c>
      <c r="K6927" s="18">
        <v>10.63</v>
      </c>
      <c r="L6927" s="22">
        <v>2</v>
      </c>
    </row>
    <row r="6928" spans="1:12">
      <c r="A6928">
        <v>7</v>
      </c>
      <c r="B6928" s="16" t="s">
        <v>62</v>
      </c>
      <c r="C6928" s="9">
        <v>45748</v>
      </c>
      <c r="D6928">
        <v>54</v>
      </c>
      <c r="E6928" s="16" t="s">
        <v>144</v>
      </c>
      <c r="F6928" s="16" t="s">
        <v>103</v>
      </c>
      <c r="G6928" s="22">
        <v>2</v>
      </c>
      <c r="H6928" s="18">
        <v>21.15</v>
      </c>
      <c r="I6928" s="18">
        <v>10.574999999999999</v>
      </c>
      <c r="J6928" s="18">
        <v>10.68</v>
      </c>
      <c r="K6928" s="18">
        <v>10.47</v>
      </c>
      <c r="L6928" s="22">
        <v>2</v>
      </c>
    </row>
    <row r="6929" spans="1:12">
      <c r="A6929">
        <v>7</v>
      </c>
      <c r="B6929" s="16" t="s">
        <v>62</v>
      </c>
      <c r="C6929" s="9">
        <v>45778</v>
      </c>
      <c r="D6929">
        <v>54</v>
      </c>
      <c r="E6929" s="16" t="s">
        <v>144</v>
      </c>
      <c r="F6929" s="16" t="s">
        <v>103</v>
      </c>
      <c r="G6929" s="22">
        <v>3</v>
      </c>
      <c r="H6929" s="18">
        <v>32.08</v>
      </c>
      <c r="I6929" s="18">
        <v>10.693333333</v>
      </c>
      <c r="J6929" s="18">
        <v>10.86</v>
      </c>
      <c r="K6929" s="18">
        <v>10.36</v>
      </c>
      <c r="L6929" s="22">
        <v>2</v>
      </c>
    </row>
    <row r="6930" spans="1:12">
      <c r="A6930">
        <v>7</v>
      </c>
      <c r="B6930" s="16" t="s">
        <v>62</v>
      </c>
      <c r="C6930" s="9">
        <v>45809</v>
      </c>
      <c r="D6930">
        <v>54</v>
      </c>
      <c r="E6930" s="16" t="s">
        <v>144</v>
      </c>
      <c r="F6930" s="16" t="s">
        <v>103</v>
      </c>
      <c r="G6930" s="22">
        <v>2</v>
      </c>
      <c r="H6930" s="18">
        <v>20.63</v>
      </c>
      <c r="I6930" s="18">
        <v>10.315</v>
      </c>
      <c r="J6930" s="18">
        <v>10.32</v>
      </c>
      <c r="K6930" s="18">
        <v>10.31</v>
      </c>
      <c r="L6930" s="22">
        <v>2</v>
      </c>
    </row>
    <row r="6931" spans="1:12">
      <c r="A6931">
        <v>7</v>
      </c>
      <c r="B6931" s="16" t="s">
        <v>62</v>
      </c>
      <c r="C6931" s="9">
        <v>45839</v>
      </c>
      <c r="D6931">
        <v>54</v>
      </c>
      <c r="E6931" s="16" t="s">
        <v>144</v>
      </c>
      <c r="F6931" s="16" t="s">
        <v>103</v>
      </c>
      <c r="G6931" s="22">
        <v>3</v>
      </c>
      <c r="H6931" s="18">
        <v>31.04</v>
      </c>
      <c r="I6931" s="18">
        <v>10.346666666999999</v>
      </c>
      <c r="J6931" s="18">
        <v>10.75</v>
      </c>
      <c r="K6931" s="18">
        <v>10.14</v>
      </c>
      <c r="L6931" s="22">
        <v>3</v>
      </c>
    </row>
    <row r="6932" spans="1:12">
      <c r="A6932">
        <v>7</v>
      </c>
      <c r="B6932" s="16" t="s">
        <v>62</v>
      </c>
      <c r="C6932" s="9">
        <v>45870</v>
      </c>
      <c r="D6932">
        <v>54</v>
      </c>
      <c r="E6932" s="16" t="s">
        <v>144</v>
      </c>
      <c r="F6932" s="16" t="s">
        <v>103</v>
      </c>
      <c r="G6932" s="22">
        <v>2</v>
      </c>
      <c r="H6932" s="18">
        <v>20.84</v>
      </c>
      <c r="I6932" s="18">
        <v>10.42</v>
      </c>
      <c r="J6932" s="18">
        <v>10.43</v>
      </c>
      <c r="K6932" s="18">
        <v>10.41</v>
      </c>
      <c r="L6932" s="22">
        <v>2</v>
      </c>
    </row>
    <row r="6933" spans="1:12">
      <c r="A6933">
        <v>7</v>
      </c>
      <c r="B6933" s="16" t="s">
        <v>62</v>
      </c>
      <c r="C6933" s="9">
        <v>45901</v>
      </c>
      <c r="D6933">
        <v>54</v>
      </c>
      <c r="E6933" s="16" t="s">
        <v>144</v>
      </c>
      <c r="F6933" s="16" t="s">
        <v>103</v>
      </c>
      <c r="G6933" s="22">
        <v>2</v>
      </c>
      <c r="H6933" s="18">
        <v>20.74</v>
      </c>
      <c r="I6933" s="18">
        <v>10.37</v>
      </c>
      <c r="J6933" s="18">
        <v>10.38</v>
      </c>
      <c r="K6933" s="18">
        <v>10.36</v>
      </c>
      <c r="L6933" s="22">
        <v>2</v>
      </c>
    </row>
    <row r="6934" spans="1:12">
      <c r="A6934">
        <v>7</v>
      </c>
      <c r="B6934" s="16" t="s">
        <v>62</v>
      </c>
      <c r="C6934" s="9">
        <v>45931</v>
      </c>
      <c r="D6934">
        <v>54</v>
      </c>
      <c r="E6934" s="16" t="s">
        <v>144</v>
      </c>
      <c r="F6934" s="16" t="s">
        <v>103</v>
      </c>
      <c r="G6934" s="22">
        <v>3</v>
      </c>
      <c r="H6934" s="18">
        <v>31.4</v>
      </c>
      <c r="I6934" s="18">
        <v>10.466666667</v>
      </c>
      <c r="J6934" s="18">
        <v>10.52</v>
      </c>
      <c r="K6934" s="18">
        <v>10.36</v>
      </c>
      <c r="L6934" s="22">
        <v>2</v>
      </c>
    </row>
    <row r="6935" spans="1:12">
      <c r="A6935">
        <v>7</v>
      </c>
      <c r="B6935" s="16" t="s">
        <v>62</v>
      </c>
      <c r="C6935" s="9">
        <v>45962</v>
      </c>
      <c r="D6935">
        <v>54</v>
      </c>
      <c r="E6935" s="16" t="s">
        <v>144</v>
      </c>
      <c r="F6935" s="16" t="s">
        <v>103</v>
      </c>
      <c r="G6935" s="22">
        <v>2</v>
      </c>
      <c r="H6935" s="18">
        <v>20.260000000000002</v>
      </c>
      <c r="I6935" s="18">
        <v>10.130000000000001</v>
      </c>
      <c r="J6935" s="18">
        <v>10.14</v>
      </c>
      <c r="K6935" s="18">
        <v>10.119999999999999</v>
      </c>
      <c r="L6935" s="22">
        <v>2</v>
      </c>
    </row>
    <row r="6936" spans="1:12">
      <c r="A6936">
        <v>7</v>
      </c>
      <c r="B6936" s="16" t="s">
        <v>62</v>
      </c>
      <c r="C6936" s="9">
        <v>45992</v>
      </c>
      <c r="D6936">
        <v>54</v>
      </c>
      <c r="E6936" s="16" t="s">
        <v>144</v>
      </c>
      <c r="F6936" s="16" t="s">
        <v>103</v>
      </c>
      <c r="G6936" s="22">
        <v>4</v>
      </c>
      <c r="H6936" s="18">
        <v>40.61</v>
      </c>
      <c r="I6936" s="18">
        <v>10.1525</v>
      </c>
      <c r="J6936" s="18">
        <v>10.24</v>
      </c>
      <c r="K6936" s="18">
        <v>10.07</v>
      </c>
      <c r="L6936" s="22">
        <v>3</v>
      </c>
    </row>
    <row r="6937" spans="1:12">
      <c r="A6937">
        <v>7</v>
      </c>
      <c r="B6937" s="16" t="s">
        <v>62</v>
      </c>
      <c r="C6937" s="9">
        <v>46023</v>
      </c>
      <c r="D6937">
        <v>54</v>
      </c>
      <c r="E6937" s="16" t="s">
        <v>144</v>
      </c>
      <c r="F6937" s="16" t="s">
        <v>103</v>
      </c>
      <c r="G6937" s="22">
        <v>3</v>
      </c>
      <c r="H6937" s="18">
        <v>30.73</v>
      </c>
      <c r="I6937" s="18">
        <v>10.243333333000001</v>
      </c>
      <c r="J6937" s="18">
        <v>10.3</v>
      </c>
      <c r="K6937" s="18">
        <v>10.130000000000001</v>
      </c>
      <c r="L6937" s="22">
        <v>2</v>
      </c>
    </row>
    <row r="6938" spans="1:12">
      <c r="A6938">
        <v>7</v>
      </c>
      <c r="B6938" s="16" t="s">
        <v>62</v>
      </c>
      <c r="C6938" s="9">
        <v>46054</v>
      </c>
      <c r="D6938">
        <v>54</v>
      </c>
      <c r="E6938" s="16" t="s">
        <v>144</v>
      </c>
      <c r="F6938" s="16" t="s">
        <v>103</v>
      </c>
      <c r="G6938" s="22">
        <v>3</v>
      </c>
      <c r="H6938" s="18">
        <v>30.5</v>
      </c>
      <c r="I6938" s="18">
        <v>10.166666666999999</v>
      </c>
      <c r="J6938" s="18">
        <v>10.23</v>
      </c>
      <c r="K6938" s="18">
        <v>10.039999999999999</v>
      </c>
      <c r="L6938" s="22">
        <v>2</v>
      </c>
    </row>
    <row r="6939" spans="1:12">
      <c r="A6939">
        <v>7</v>
      </c>
      <c r="B6939" s="16" t="s">
        <v>62</v>
      </c>
      <c r="C6939" s="9">
        <v>46082</v>
      </c>
      <c r="D6939">
        <v>54</v>
      </c>
      <c r="E6939" s="16" t="s">
        <v>144</v>
      </c>
      <c r="F6939" s="16" t="s">
        <v>103</v>
      </c>
      <c r="G6939" s="22">
        <v>2</v>
      </c>
      <c r="H6939" s="18">
        <v>20.36</v>
      </c>
      <c r="I6939" s="18">
        <v>10.18</v>
      </c>
      <c r="J6939" s="18">
        <v>10.210000000000001</v>
      </c>
      <c r="K6939" s="18">
        <v>10.15</v>
      </c>
      <c r="L6939" s="22">
        <v>2</v>
      </c>
    </row>
    <row r="6940" spans="1:12">
      <c r="A6940">
        <v>7</v>
      </c>
      <c r="B6940" s="16" t="s">
        <v>62</v>
      </c>
      <c r="C6940" s="9">
        <v>46113</v>
      </c>
      <c r="D6940">
        <v>54</v>
      </c>
      <c r="E6940" s="16" t="s">
        <v>144</v>
      </c>
      <c r="F6940" s="16" t="s">
        <v>103</v>
      </c>
      <c r="G6940" s="22">
        <v>3</v>
      </c>
      <c r="H6940" s="18">
        <v>31.3</v>
      </c>
      <c r="I6940" s="18">
        <v>10.433333333</v>
      </c>
      <c r="J6940" s="18">
        <v>10.84</v>
      </c>
      <c r="K6940" s="18">
        <v>10.23</v>
      </c>
      <c r="L6940" s="22">
        <v>2</v>
      </c>
    </row>
    <row r="6941" spans="1:12">
      <c r="A6941">
        <v>7</v>
      </c>
      <c r="B6941" s="16" t="s">
        <v>62</v>
      </c>
      <c r="C6941" s="9">
        <v>46143</v>
      </c>
      <c r="D6941">
        <v>54</v>
      </c>
      <c r="E6941" s="16" t="s">
        <v>144</v>
      </c>
      <c r="F6941" s="16" t="s">
        <v>103</v>
      </c>
      <c r="G6941" s="22">
        <v>2</v>
      </c>
      <c r="H6941" s="18">
        <v>20.32</v>
      </c>
      <c r="I6941" s="18">
        <v>10.16</v>
      </c>
      <c r="J6941" s="18">
        <v>10.19</v>
      </c>
      <c r="K6941" s="18">
        <v>10.130000000000001</v>
      </c>
      <c r="L6941" s="22">
        <v>2</v>
      </c>
    </row>
    <row r="6942" spans="1:12">
      <c r="A6942">
        <v>7</v>
      </c>
      <c r="B6942" s="16" t="s">
        <v>62</v>
      </c>
      <c r="C6942" s="9">
        <v>46174</v>
      </c>
      <c r="D6942">
        <v>54</v>
      </c>
      <c r="E6942" s="16" t="s">
        <v>144</v>
      </c>
      <c r="F6942" s="16" t="s">
        <v>103</v>
      </c>
      <c r="G6942" s="22">
        <v>3</v>
      </c>
      <c r="H6942" s="18">
        <v>30.56</v>
      </c>
      <c r="I6942" s="18">
        <v>10.186666667000001</v>
      </c>
      <c r="J6942" s="18">
        <v>10.39</v>
      </c>
      <c r="K6942" s="18">
        <v>10.06</v>
      </c>
      <c r="L6942" s="22">
        <v>3</v>
      </c>
    </row>
    <row r="6943" spans="1:12">
      <c r="A6943">
        <v>7</v>
      </c>
      <c r="B6943" s="16" t="s">
        <v>62</v>
      </c>
      <c r="C6943" s="9">
        <v>46204</v>
      </c>
      <c r="D6943">
        <v>54</v>
      </c>
      <c r="E6943" s="16" t="s">
        <v>144</v>
      </c>
      <c r="F6943" s="16" t="s">
        <v>103</v>
      </c>
      <c r="G6943" s="22">
        <v>2</v>
      </c>
      <c r="H6943" s="18">
        <v>20.09</v>
      </c>
      <c r="I6943" s="18">
        <v>10.045</v>
      </c>
      <c r="J6943" s="18">
        <v>10.07</v>
      </c>
      <c r="K6943" s="18">
        <v>10.02</v>
      </c>
      <c r="L6943" s="22">
        <v>2</v>
      </c>
    </row>
    <row r="6944" spans="1:12">
      <c r="A6944">
        <v>7</v>
      </c>
      <c r="B6944" s="16" t="s">
        <v>62</v>
      </c>
      <c r="C6944" s="9">
        <v>46235</v>
      </c>
      <c r="D6944">
        <v>54</v>
      </c>
      <c r="E6944" s="16" t="s">
        <v>144</v>
      </c>
      <c r="F6944" s="16" t="s">
        <v>103</v>
      </c>
      <c r="G6944" s="22">
        <v>2</v>
      </c>
      <c r="H6944" s="18">
        <v>19.829999999999998</v>
      </c>
      <c r="I6944" s="18">
        <v>9.9149999999999991</v>
      </c>
      <c r="J6944" s="18">
        <v>9.93</v>
      </c>
      <c r="K6944" s="18">
        <v>9.9</v>
      </c>
      <c r="L6944" s="22">
        <v>2</v>
      </c>
    </row>
    <row r="6945" spans="1:12">
      <c r="A6945">
        <v>7</v>
      </c>
      <c r="B6945" s="16" t="s">
        <v>62</v>
      </c>
      <c r="C6945" s="9">
        <v>46266</v>
      </c>
      <c r="D6945">
        <v>54</v>
      </c>
      <c r="E6945" s="16" t="s">
        <v>144</v>
      </c>
      <c r="F6945" s="16" t="s">
        <v>103</v>
      </c>
      <c r="G6945" s="22">
        <v>3</v>
      </c>
      <c r="H6945" s="18">
        <v>30.04</v>
      </c>
      <c r="I6945" s="18">
        <v>10.013333333</v>
      </c>
      <c r="J6945" s="18">
        <v>10.02</v>
      </c>
      <c r="K6945" s="18">
        <v>10.01</v>
      </c>
      <c r="L6945" s="22">
        <v>2</v>
      </c>
    </row>
    <row r="6946" spans="1:12">
      <c r="A6946">
        <v>7</v>
      </c>
      <c r="B6946" s="16" t="s">
        <v>62</v>
      </c>
      <c r="C6946" s="9">
        <v>45689</v>
      </c>
      <c r="D6946">
        <v>55</v>
      </c>
      <c r="E6946" s="16" t="s">
        <v>145</v>
      </c>
      <c r="F6946" s="16" t="s">
        <v>83</v>
      </c>
      <c r="G6946" s="22">
        <v>6.5</v>
      </c>
      <c r="H6946" s="18">
        <v>37.17</v>
      </c>
      <c r="I6946" s="18">
        <v>5.7184615379999997</v>
      </c>
      <c r="J6946" s="18">
        <v>5.79</v>
      </c>
      <c r="K6946" s="18">
        <v>5.63</v>
      </c>
      <c r="L6946" s="22">
        <v>7</v>
      </c>
    </row>
    <row r="6947" spans="1:12">
      <c r="A6947">
        <v>7</v>
      </c>
      <c r="B6947" s="16" t="s">
        <v>62</v>
      </c>
      <c r="C6947" s="9">
        <v>45717</v>
      </c>
      <c r="D6947">
        <v>55</v>
      </c>
      <c r="E6947" s="16" t="s">
        <v>145</v>
      </c>
      <c r="F6947" s="16" t="s">
        <v>83</v>
      </c>
      <c r="G6947" s="22">
        <v>8.5</v>
      </c>
      <c r="H6947" s="18">
        <v>48.82</v>
      </c>
      <c r="I6947" s="18">
        <v>5.743529412</v>
      </c>
      <c r="J6947" s="18">
        <v>5.9</v>
      </c>
      <c r="K6947" s="18">
        <v>5.62</v>
      </c>
      <c r="L6947" s="22">
        <v>9</v>
      </c>
    </row>
    <row r="6948" spans="1:12">
      <c r="A6948">
        <v>7</v>
      </c>
      <c r="B6948" s="16" t="s">
        <v>62</v>
      </c>
      <c r="C6948" s="9">
        <v>45748</v>
      </c>
      <c r="D6948">
        <v>55</v>
      </c>
      <c r="E6948" s="16" t="s">
        <v>145</v>
      </c>
      <c r="F6948" s="16" t="s">
        <v>83</v>
      </c>
      <c r="G6948" s="22">
        <v>9</v>
      </c>
      <c r="H6948" s="18">
        <v>51.664999999999999</v>
      </c>
      <c r="I6948" s="18">
        <v>5.7405555560000003</v>
      </c>
      <c r="J6948" s="18">
        <v>5.79</v>
      </c>
      <c r="K6948" s="18">
        <v>5.66</v>
      </c>
      <c r="L6948" s="22">
        <v>8</v>
      </c>
    </row>
    <row r="6949" spans="1:12">
      <c r="A6949">
        <v>7</v>
      </c>
      <c r="B6949" s="16" t="s">
        <v>62</v>
      </c>
      <c r="C6949" s="9">
        <v>45778</v>
      </c>
      <c r="D6949">
        <v>55</v>
      </c>
      <c r="E6949" s="16" t="s">
        <v>145</v>
      </c>
      <c r="F6949" s="16" t="s">
        <v>83</v>
      </c>
      <c r="G6949" s="22">
        <v>10</v>
      </c>
      <c r="H6949" s="18">
        <v>58.15</v>
      </c>
      <c r="I6949" s="18">
        <v>5.8150000000000004</v>
      </c>
      <c r="J6949" s="18">
        <v>5.98</v>
      </c>
      <c r="K6949" s="18">
        <v>5.69</v>
      </c>
      <c r="L6949" s="22">
        <v>9</v>
      </c>
    </row>
    <row r="6950" spans="1:12">
      <c r="A6950">
        <v>7</v>
      </c>
      <c r="B6950" s="16" t="s">
        <v>62</v>
      </c>
      <c r="C6950" s="9">
        <v>45809</v>
      </c>
      <c r="D6950">
        <v>55</v>
      </c>
      <c r="E6950" s="16" t="s">
        <v>145</v>
      </c>
      <c r="F6950" s="16" t="s">
        <v>83</v>
      </c>
      <c r="G6950" s="22">
        <v>9.5</v>
      </c>
      <c r="H6950" s="18">
        <v>55.22</v>
      </c>
      <c r="I6950" s="18">
        <v>5.8126315789999996</v>
      </c>
      <c r="J6950" s="18">
        <v>5.96</v>
      </c>
      <c r="K6950" s="18">
        <v>5.73</v>
      </c>
      <c r="L6950" s="22">
        <v>9</v>
      </c>
    </row>
    <row r="6951" spans="1:12">
      <c r="A6951">
        <v>7</v>
      </c>
      <c r="B6951" s="16" t="s">
        <v>62</v>
      </c>
      <c r="C6951" s="9">
        <v>45839</v>
      </c>
      <c r="D6951">
        <v>55</v>
      </c>
      <c r="E6951" s="16" t="s">
        <v>145</v>
      </c>
      <c r="F6951" s="16" t="s">
        <v>83</v>
      </c>
      <c r="G6951" s="22">
        <v>11</v>
      </c>
      <c r="H6951" s="18">
        <v>64.02</v>
      </c>
      <c r="I6951" s="18">
        <v>5.82</v>
      </c>
      <c r="J6951" s="18">
        <v>5.92</v>
      </c>
      <c r="K6951" s="18">
        <v>5.71</v>
      </c>
      <c r="L6951" s="22">
        <v>8</v>
      </c>
    </row>
    <row r="6952" spans="1:12">
      <c r="A6952">
        <v>7</v>
      </c>
      <c r="B6952" s="16" t="s">
        <v>62</v>
      </c>
      <c r="C6952" s="9">
        <v>45870</v>
      </c>
      <c r="D6952">
        <v>55</v>
      </c>
      <c r="E6952" s="16" t="s">
        <v>145</v>
      </c>
      <c r="F6952" s="16" t="s">
        <v>83</v>
      </c>
      <c r="G6952" s="22">
        <v>9.5</v>
      </c>
      <c r="H6952" s="18">
        <v>55.56</v>
      </c>
      <c r="I6952" s="18">
        <v>5.848421053</v>
      </c>
      <c r="J6952" s="18">
        <v>5.92</v>
      </c>
      <c r="K6952" s="18">
        <v>5.71</v>
      </c>
      <c r="L6952" s="22">
        <v>8</v>
      </c>
    </row>
    <row r="6953" spans="1:12">
      <c r="A6953">
        <v>7</v>
      </c>
      <c r="B6953" s="16" t="s">
        <v>62</v>
      </c>
      <c r="C6953" s="9">
        <v>45901</v>
      </c>
      <c r="D6953">
        <v>55</v>
      </c>
      <c r="E6953" s="16" t="s">
        <v>145</v>
      </c>
      <c r="F6953" s="16" t="s">
        <v>83</v>
      </c>
      <c r="G6953" s="22">
        <v>10</v>
      </c>
      <c r="H6953" s="18">
        <v>59.21</v>
      </c>
      <c r="I6953" s="18">
        <v>5.9210000000000003</v>
      </c>
      <c r="J6953" s="18">
        <v>6.33</v>
      </c>
      <c r="K6953" s="18">
        <v>5.74</v>
      </c>
      <c r="L6953" s="22">
        <v>9</v>
      </c>
    </row>
    <row r="6954" spans="1:12">
      <c r="A6954">
        <v>7</v>
      </c>
      <c r="B6954" s="16" t="s">
        <v>62</v>
      </c>
      <c r="C6954" s="9">
        <v>45931</v>
      </c>
      <c r="D6954">
        <v>55</v>
      </c>
      <c r="E6954" s="16" t="s">
        <v>145</v>
      </c>
      <c r="F6954" s="16" t="s">
        <v>83</v>
      </c>
      <c r="G6954" s="22">
        <v>10</v>
      </c>
      <c r="H6954" s="18">
        <v>58.305</v>
      </c>
      <c r="I6954" s="18">
        <v>5.8304999999999998</v>
      </c>
      <c r="J6954" s="18">
        <v>6</v>
      </c>
      <c r="K6954" s="18">
        <v>5.73</v>
      </c>
      <c r="L6954" s="22">
        <v>9</v>
      </c>
    </row>
    <row r="6955" spans="1:12">
      <c r="A6955">
        <v>7</v>
      </c>
      <c r="B6955" s="16" t="s">
        <v>62</v>
      </c>
      <c r="C6955" s="9">
        <v>45962</v>
      </c>
      <c r="D6955">
        <v>55</v>
      </c>
      <c r="E6955" s="16" t="s">
        <v>145</v>
      </c>
      <c r="F6955" s="16" t="s">
        <v>83</v>
      </c>
      <c r="G6955" s="22">
        <v>8.5</v>
      </c>
      <c r="H6955" s="18">
        <v>50.01</v>
      </c>
      <c r="I6955" s="18">
        <v>5.8835294119999997</v>
      </c>
      <c r="J6955" s="18">
        <v>5.91</v>
      </c>
      <c r="K6955" s="18">
        <v>5.83</v>
      </c>
      <c r="L6955" s="22">
        <v>8</v>
      </c>
    </row>
    <row r="6956" spans="1:12">
      <c r="A6956">
        <v>7</v>
      </c>
      <c r="B6956" s="16" t="s">
        <v>62</v>
      </c>
      <c r="C6956" s="9">
        <v>45992</v>
      </c>
      <c r="D6956">
        <v>55</v>
      </c>
      <c r="E6956" s="16" t="s">
        <v>145</v>
      </c>
      <c r="F6956" s="16" t="s">
        <v>83</v>
      </c>
      <c r="G6956" s="22">
        <v>9</v>
      </c>
      <c r="H6956" s="18">
        <v>53.13</v>
      </c>
      <c r="I6956" s="18">
        <v>5.903333333</v>
      </c>
      <c r="J6956" s="18">
        <v>6.06</v>
      </c>
      <c r="K6956" s="18">
        <v>5.83</v>
      </c>
      <c r="L6956" s="22">
        <v>9</v>
      </c>
    </row>
    <row r="6957" spans="1:12">
      <c r="A6957">
        <v>7</v>
      </c>
      <c r="B6957" s="16" t="s">
        <v>62</v>
      </c>
      <c r="C6957" s="9">
        <v>46023</v>
      </c>
      <c r="D6957">
        <v>55</v>
      </c>
      <c r="E6957" s="16" t="s">
        <v>145</v>
      </c>
      <c r="F6957" s="16" t="s">
        <v>83</v>
      </c>
      <c r="G6957" s="22">
        <v>8.5</v>
      </c>
      <c r="H6957" s="18">
        <v>49.805</v>
      </c>
      <c r="I6957" s="18">
        <v>5.8594117649999999</v>
      </c>
      <c r="J6957" s="18">
        <v>6.03</v>
      </c>
      <c r="K6957" s="18">
        <v>5.74</v>
      </c>
      <c r="L6957" s="22">
        <v>9</v>
      </c>
    </row>
    <row r="6958" spans="1:12">
      <c r="A6958">
        <v>7</v>
      </c>
      <c r="B6958" s="16" t="s">
        <v>62</v>
      </c>
      <c r="C6958" s="9">
        <v>46054</v>
      </c>
      <c r="D6958">
        <v>55</v>
      </c>
      <c r="E6958" s="16" t="s">
        <v>145</v>
      </c>
      <c r="F6958" s="16" t="s">
        <v>83</v>
      </c>
      <c r="G6958" s="22">
        <v>9.5</v>
      </c>
      <c r="H6958" s="18">
        <v>55.06</v>
      </c>
      <c r="I6958" s="18">
        <v>5.7957894740000002</v>
      </c>
      <c r="J6958" s="18">
        <v>5.9</v>
      </c>
      <c r="K6958" s="18">
        <v>5.72</v>
      </c>
      <c r="L6958" s="22">
        <v>8</v>
      </c>
    </row>
    <row r="6959" spans="1:12">
      <c r="A6959">
        <v>7</v>
      </c>
      <c r="B6959" s="16" t="s">
        <v>62</v>
      </c>
      <c r="C6959" s="9">
        <v>46082</v>
      </c>
      <c r="D6959">
        <v>55</v>
      </c>
      <c r="E6959" s="16" t="s">
        <v>145</v>
      </c>
      <c r="F6959" s="16" t="s">
        <v>83</v>
      </c>
      <c r="G6959" s="22">
        <v>10.5</v>
      </c>
      <c r="H6959" s="18">
        <v>60.945</v>
      </c>
      <c r="I6959" s="18">
        <v>5.8042857139999997</v>
      </c>
      <c r="J6959" s="18">
        <v>5.89</v>
      </c>
      <c r="K6959" s="18">
        <v>5.69</v>
      </c>
      <c r="L6959" s="22">
        <v>9</v>
      </c>
    </row>
    <row r="6960" spans="1:12">
      <c r="A6960">
        <v>7</v>
      </c>
      <c r="B6960" s="16" t="s">
        <v>62</v>
      </c>
      <c r="C6960" s="9">
        <v>46113</v>
      </c>
      <c r="D6960">
        <v>55</v>
      </c>
      <c r="E6960" s="16" t="s">
        <v>145</v>
      </c>
      <c r="F6960" s="16" t="s">
        <v>83</v>
      </c>
      <c r="G6960" s="22">
        <v>11</v>
      </c>
      <c r="H6960" s="18">
        <v>64.055000000000007</v>
      </c>
      <c r="I6960" s="18">
        <v>5.8231818180000001</v>
      </c>
      <c r="J6960" s="18">
        <v>5.96</v>
      </c>
      <c r="K6960" s="18">
        <v>5.66</v>
      </c>
      <c r="L6960" s="22">
        <v>9</v>
      </c>
    </row>
    <row r="6961" spans="1:12">
      <c r="A6961">
        <v>7</v>
      </c>
      <c r="B6961" s="16" t="s">
        <v>62</v>
      </c>
      <c r="C6961" s="9">
        <v>46143</v>
      </c>
      <c r="D6961">
        <v>55</v>
      </c>
      <c r="E6961" s="16" t="s">
        <v>145</v>
      </c>
      <c r="F6961" s="16" t="s">
        <v>83</v>
      </c>
      <c r="G6961" s="22">
        <v>12</v>
      </c>
      <c r="H6961" s="18">
        <v>70.805000000000007</v>
      </c>
      <c r="I6961" s="18">
        <v>5.900416667</v>
      </c>
      <c r="J6961" s="18">
        <v>6.02</v>
      </c>
      <c r="K6961" s="18">
        <v>5.68</v>
      </c>
      <c r="L6961" s="22">
        <v>8</v>
      </c>
    </row>
    <row r="6962" spans="1:12">
      <c r="A6962">
        <v>7</v>
      </c>
      <c r="B6962" s="16" t="s">
        <v>62</v>
      </c>
      <c r="C6962" s="9">
        <v>46174</v>
      </c>
      <c r="D6962">
        <v>55</v>
      </c>
      <c r="E6962" s="16" t="s">
        <v>145</v>
      </c>
      <c r="F6962" s="16" t="s">
        <v>83</v>
      </c>
      <c r="G6962" s="22">
        <v>16.5</v>
      </c>
      <c r="H6962" s="18">
        <v>95.944999999999993</v>
      </c>
      <c r="I6962" s="18">
        <v>5.8148484849999997</v>
      </c>
      <c r="J6962" s="18">
        <v>5.94</v>
      </c>
      <c r="K6962" s="18">
        <v>5.73</v>
      </c>
      <c r="L6962" s="22">
        <v>9</v>
      </c>
    </row>
    <row r="6963" spans="1:12">
      <c r="A6963">
        <v>7</v>
      </c>
      <c r="B6963" s="16" t="s">
        <v>62</v>
      </c>
      <c r="C6963" s="9">
        <v>46204</v>
      </c>
      <c r="D6963">
        <v>55</v>
      </c>
      <c r="E6963" s="16" t="s">
        <v>145</v>
      </c>
      <c r="F6963" s="16" t="s">
        <v>83</v>
      </c>
      <c r="G6963" s="22">
        <v>15.5</v>
      </c>
      <c r="H6963" s="18">
        <v>91.534999999999997</v>
      </c>
      <c r="I6963" s="18">
        <v>5.9054838710000004</v>
      </c>
      <c r="J6963" s="18">
        <v>6.04</v>
      </c>
      <c r="K6963" s="18">
        <v>5.78</v>
      </c>
      <c r="L6963" s="22">
        <v>9</v>
      </c>
    </row>
    <row r="6964" spans="1:12">
      <c r="A6964">
        <v>7</v>
      </c>
      <c r="B6964" s="16" t="s">
        <v>62</v>
      </c>
      <c r="C6964" s="9">
        <v>46235</v>
      </c>
      <c r="D6964">
        <v>55</v>
      </c>
      <c r="E6964" s="16" t="s">
        <v>145</v>
      </c>
      <c r="F6964" s="16" t="s">
        <v>83</v>
      </c>
      <c r="G6964" s="22">
        <v>15.5</v>
      </c>
      <c r="H6964" s="18">
        <v>92.87</v>
      </c>
      <c r="I6964" s="18">
        <v>5.991612903</v>
      </c>
      <c r="J6964" s="18">
        <v>6.34</v>
      </c>
      <c r="K6964" s="18">
        <v>5.88</v>
      </c>
      <c r="L6964" s="22">
        <v>9</v>
      </c>
    </row>
    <row r="6965" spans="1:12">
      <c r="A6965">
        <v>7</v>
      </c>
      <c r="B6965" s="16" t="s">
        <v>62</v>
      </c>
      <c r="C6965" s="9">
        <v>46266</v>
      </c>
      <c r="D6965">
        <v>55</v>
      </c>
      <c r="E6965" s="16" t="s">
        <v>145</v>
      </c>
      <c r="F6965" s="16" t="s">
        <v>83</v>
      </c>
      <c r="G6965" s="22">
        <v>13</v>
      </c>
      <c r="H6965" s="18">
        <v>77.42</v>
      </c>
      <c r="I6965" s="18">
        <v>5.9553846149999998</v>
      </c>
      <c r="J6965" s="18">
        <v>6.02</v>
      </c>
      <c r="K6965" s="18">
        <v>5.87</v>
      </c>
      <c r="L6965" s="22">
        <v>8</v>
      </c>
    </row>
    <row r="6966" spans="1:12">
      <c r="A6966">
        <v>7</v>
      </c>
      <c r="B6966" s="16" t="s">
        <v>62</v>
      </c>
      <c r="C6966" s="9">
        <v>45689</v>
      </c>
      <c r="D6966">
        <v>56</v>
      </c>
      <c r="E6966" s="16" t="s">
        <v>146</v>
      </c>
      <c r="F6966" s="16" t="s">
        <v>138</v>
      </c>
      <c r="G6966" s="22">
        <v>6</v>
      </c>
      <c r="H6966" s="18">
        <v>46.547499999999999</v>
      </c>
      <c r="I6966" s="18">
        <v>7.7579166669999999</v>
      </c>
      <c r="J6966" s="18">
        <v>7.9</v>
      </c>
      <c r="K6966" s="18">
        <v>7.63</v>
      </c>
      <c r="L6966" s="22">
        <v>6</v>
      </c>
    </row>
    <row r="6967" spans="1:12">
      <c r="A6967">
        <v>7</v>
      </c>
      <c r="B6967" s="16" t="s">
        <v>62</v>
      </c>
      <c r="C6967" s="9">
        <v>45717</v>
      </c>
      <c r="D6967">
        <v>56</v>
      </c>
      <c r="E6967" s="16" t="s">
        <v>146</v>
      </c>
      <c r="F6967" s="16" t="s">
        <v>138</v>
      </c>
      <c r="G6967" s="22">
        <v>9.5</v>
      </c>
      <c r="H6967" s="18">
        <v>73.842500000000001</v>
      </c>
      <c r="I6967" s="18">
        <v>7.7728947369999997</v>
      </c>
      <c r="J6967" s="18">
        <v>7.84</v>
      </c>
      <c r="K6967" s="18">
        <v>7.58</v>
      </c>
      <c r="L6967" s="22">
        <v>8</v>
      </c>
    </row>
    <row r="6968" spans="1:12">
      <c r="A6968">
        <v>7</v>
      </c>
      <c r="B6968" s="16" t="s">
        <v>62</v>
      </c>
      <c r="C6968" s="9">
        <v>45748</v>
      </c>
      <c r="D6968">
        <v>56</v>
      </c>
      <c r="E6968" s="16" t="s">
        <v>146</v>
      </c>
      <c r="F6968" s="16" t="s">
        <v>138</v>
      </c>
      <c r="G6968" s="22">
        <v>16.25</v>
      </c>
      <c r="H6968" s="18">
        <v>127.8</v>
      </c>
      <c r="I6968" s="18">
        <v>7.8646153849999996</v>
      </c>
      <c r="J6968" s="18">
        <v>8</v>
      </c>
      <c r="K6968" s="18">
        <v>7.7</v>
      </c>
      <c r="L6968" s="22">
        <v>9</v>
      </c>
    </row>
    <row r="6969" spans="1:12">
      <c r="A6969">
        <v>7</v>
      </c>
      <c r="B6969" s="16" t="s">
        <v>62</v>
      </c>
      <c r="C6969" s="9">
        <v>45778</v>
      </c>
      <c r="D6969">
        <v>56</v>
      </c>
      <c r="E6969" s="16" t="s">
        <v>146</v>
      </c>
      <c r="F6969" s="16" t="s">
        <v>138</v>
      </c>
      <c r="G6969" s="22">
        <v>17.5</v>
      </c>
      <c r="H6969" s="18">
        <v>138.5575</v>
      </c>
      <c r="I6969" s="18">
        <v>7.9175714289999997</v>
      </c>
      <c r="J6969" s="18">
        <v>8.43</v>
      </c>
      <c r="K6969" s="18">
        <v>7.56</v>
      </c>
      <c r="L6969" s="22">
        <v>9</v>
      </c>
    </row>
    <row r="6970" spans="1:12">
      <c r="A6970">
        <v>7</v>
      </c>
      <c r="B6970" s="16" t="s">
        <v>62</v>
      </c>
      <c r="C6970" s="9">
        <v>45809</v>
      </c>
      <c r="D6970">
        <v>56</v>
      </c>
      <c r="E6970" s="16" t="s">
        <v>146</v>
      </c>
      <c r="F6970" s="16" t="s">
        <v>138</v>
      </c>
      <c r="G6970" s="22">
        <v>13.75</v>
      </c>
      <c r="H6970" s="18">
        <v>109.69</v>
      </c>
      <c r="I6970" s="18">
        <v>7.9774545449999996</v>
      </c>
      <c r="J6970" s="18">
        <v>8.26</v>
      </c>
      <c r="K6970" s="18">
        <v>7.78</v>
      </c>
      <c r="L6970" s="22">
        <v>8</v>
      </c>
    </row>
    <row r="6971" spans="1:12">
      <c r="A6971">
        <v>7</v>
      </c>
      <c r="B6971" s="16" t="s">
        <v>62</v>
      </c>
      <c r="C6971" s="9">
        <v>45839</v>
      </c>
      <c r="D6971">
        <v>56</v>
      </c>
      <c r="E6971" s="16" t="s">
        <v>146</v>
      </c>
      <c r="F6971" s="16" t="s">
        <v>138</v>
      </c>
      <c r="G6971" s="22">
        <v>16.5</v>
      </c>
      <c r="H6971" s="18">
        <v>130.77500000000001</v>
      </c>
      <c r="I6971" s="18">
        <v>7.9257575759999996</v>
      </c>
      <c r="J6971" s="18">
        <v>8.42</v>
      </c>
      <c r="K6971" s="18">
        <v>7.69</v>
      </c>
      <c r="L6971" s="22">
        <v>9</v>
      </c>
    </row>
    <row r="6972" spans="1:12">
      <c r="A6972">
        <v>7</v>
      </c>
      <c r="B6972" s="16" t="s">
        <v>62</v>
      </c>
      <c r="C6972" s="9">
        <v>45870</v>
      </c>
      <c r="D6972">
        <v>56</v>
      </c>
      <c r="E6972" s="16" t="s">
        <v>146</v>
      </c>
      <c r="F6972" s="16" t="s">
        <v>138</v>
      </c>
      <c r="G6972" s="22">
        <v>16.5</v>
      </c>
      <c r="H6972" s="18">
        <v>129.77250000000001</v>
      </c>
      <c r="I6972" s="18">
        <v>7.8650000000000002</v>
      </c>
      <c r="J6972" s="18">
        <v>8</v>
      </c>
      <c r="K6972" s="18">
        <v>7.65</v>
      </c>
      <c r="L6972" s="22">
        <v>9</v>
      </c>
    </row>
    <row r="6973" spans="1:12">
      <c r="A6973">
        <v>7</v>
      </c>
      <c r="B6973" s="16" t="s">
        <v>62</v>
      </c>
      <c r="C6973" s="9">
        <v>45901</v>
      </c>
      <c r="D6973">
        <v>56</v>
      </c>
      <c r="E6973" s="16" t="s">
        <v>146</v>
      </c>
      <c r="F6973" s="16" t="s">
        <v>138</v>
      </c>
      <c r="G6973" s="22">
        <v>16</v>
      </c>
      <c r="H6973" s="18">
        <v>126.705</v>
      </c>
      <c r="I6973" s="18">
        <v>7.9190624999999999</v>
      </c>
      <c r="J6973" s="18">
        <v>8.06</v>
      </c>
      <c r="K6973" s="18">
        <v>7.83</v>
      </c>
      <c r="L6973" s="22">
        <v>9</v>
      </c>
    </row>
    <row r="6974" spans="1:12">
      <c r="A6974">
        <v>7</v>
      </c>
      <c r="B6974" s="16" t="s">
        <v>62</v>
      </c>
      <c r="C6974" s="9">
        <v>45931</v>
      </c>
      <c r="D6974">
        <v>56</v>
      </c>
      <c r="E6974" s="16" t="s">
        <v>146</v>
      </c>
      <c r="F6974" s="16" t="s">
        <v>138</v>
      </c>
      <c r="G6974" s="22">
        <v>13.5</v>
      </c>
      <c r="H6974" s="18">
        <v>108.3125</v>
      </c>
      <c r="I6974" s="18">
        <v>8.0231481480000006</v>
      </c>
      <c r="J6974" s="18">
        <v>8.2100000000000009</v>
      </c>
      <c r="K6974" s="18">
        <v>7.9</v>
      </c>
      <c r="L6974" s="22">
        <v>9</v>
      </c>
    </row>
    <row r="6975" spans="1:12">
      <c r="A6975">
        <v>7</v>
      </c>
      <c r="B6975" s="16" t="s">
        <v>62</v>
      </c>
      <c r="C6975" s="9">
        <v>45962</v>
      </c>
      <c r="D6975">
        <v>56</v>
      </c>
      <c r="E6975" s="16" t="s">
        <v>146</v>
      </c>
      <c r="F6975" s="16" t="s">
        <v>138</v>
      </c>
      <c r="G6975" s="22">
        <v>10.75</v>
      </c>
      <c r="H6975" s="18">
        <v>92.474999999999994</v>
      </c>
      <c r="I6975" s="18">
        <v>8.6023255810000006</v>
      </c>
      <c r="J6975" s="18">
        <v>9.59</v>
      </c>
      <c r="K6975" s="18">
        <v>8</v>
      </c>
      <c r="L6975" s="22">
        <v>8</v>
      </c>
    </row>
    <row r="6976" spans="1:12">
      <c r="A6976">
        <v>7</v>
      </c>
      <c r="B6976" s="16" t="s">
        <v>62</v>
      </c>
      <c r="C6976" s="9">
        <v>45992</v>
      </c>
      <c r="D6976">
        <v>56</v>
      </c>
      <c r="E6976" s="16" t="s">
        <v>146</v>
      </c>
      <c r="F6976" s="16" t="s">
        <v>138</v>
      </c>
      <c r="G6976" s="22">
        <v>9.25</v>
      </c>
      <c r="H6976" s="18">
        <v>84.454999999999998</v>
      </c>
      <c r="I6976" s="18">
        <v>9.1302702700000005</v>
      </c>
      <c r="J6976" s="18">
        <v>9.2100000000000009</v>
      </c>
      <c r="K6976" s="18">
        <v>9.0500000000000007</v>
      </c>
      <c r="L6976" s="22">
        <v>7</v>
      </c>
    </row>
    <row r="6977" spans="1:12">
      <c r="A6977">
        <v>7</v>
      </c>
      <c r="B6977" s="16" t="s">
        <v>62</v>
      </c>
      <c r="C6977" s="9">
        <v>46023</v>
      </c>
      <c r="D6977">
        <v>56</v>
      </c>
      <c r="E6977" s="16" t="s">
        <v>146</v>
      </c>
      <c r="F6977" s="16" t="s">
        <v>138</v>
      </c>
      <c r="G6977" s="22">
        <v>8.25</v>
      </c>
      <c r="H6977" s="18">
        <v>67.325000000000003</v>
      </c>
      <c r="I6977" s="18">
        <v>8.1606060609999993</v>
      </c>
      <c r="J6977" s="18">
        <v>8.26</v>
      </c>
      <c r="K6977" s="18">
        <v>8.08</v>
      </c>
      <c r="L6977" s="22">
        <v>7</v>
      </c>
    </row>
    <row r="6978" spans="1:12">
      <c r="A6978">
        <v>7</v>
      </c>
      <c r="B6978" s="16" t="s">
        <v>62</v>
      </c>
      <c r="C6978" s="9">
        <v>46054</v>
      </c>
      <c r="D6978">
        <v>56</v>
      </c>
      <c r="E6978" s="16" t="s">
        <v>146</v>
      </c>
      <c r="F6978" s="16" t="s">
        <v>138</v>
      </c>
      <c r="G6978" s="22">
        <v>9.25</v>
      </c>
      <c r="H6978" s="18">
        <v>75.507499999999993</v>
      </c>
      <c r="I6978" s="18">
        <v>8.1629729730000005</v>
      </c>
      <c r="J6978" s="18">
        <v>8.5399999999999991</v>
      </c>
      <c r="K6978" s="18">
        <v>8</v>
      </c>
      <c r="L6978" s="22">
        <v>8</v>
      </c>
    </row>
    <row r="6979" spans="1:12">
      <c r="A6979">
        <v>7</v>
      </c>
      <c r="B6979" s="16" t="s">
        <v>62</v>
      </c>
      <c r="C6979" s="9">
        <v>46082</v>
      </c>
      <c r="D6979">
        <v>56</v>
      </c>
      <c r="E6979" s="16" t="s">
        <v>146</v>
      </c>
      <c r="F6979" s="16" t="s">
        <v>138</v>
      </c>
      <c r="G6979" s="22">
        <v>12.25</v>
      </c>
      <c r="H6979" s="18">
        <v>99.607500000000002</v>
      </c>
      <c r="I6979" s="18">
        <v>8.1312244899999992</v>
      </c>
      <c r="J6979" s="18">
        <v>8.2200000000000006</v>
      </c>
      <c r="K6979" s="18">
        <v>7.94</v>
      </c>
      <c r="L6979" s="22">
        <v>9</v>
      </c>
    </row>
    <row r="6980" spans="1:12">
      <c r="A6980">
        <v>7</v>
      </c>
      <c r="B6980" s="16" t="s">
        <v>62</v>
      </c>
      <c r="C6980" s="9">
        <v>46113</v>
      </c>
      <c r="D6980">
        <v>56</v>
      </c>
      <c r="E6980" s="16" t="s">
        <v>146</v>
      </c>
      <c r="F6980" s="16" t="s">
        <v>138</v>
      </c>
      <c r="G6980" s="22">
        <v>12.25</v>
      </c>
      <c r="H6980" s="18">
        <v>98.912499999999994</v>
      </c>
      <c r="I6980" s="18">
        <v>8.0744897959999999</v>
      </c>
      <c r="J6980" s="18">
        <v>8.24</v>
      </c>
      <c r="K6980" s="18">
        <v>7.93</v>
      </c>
      <c r="L6980" s="22">
        <v>8</v>
      </c>
    </row>
    <row r="6981" spans="1:12">
      <c r="A6981">
        <v>7</v>
      </c>
      <c r="B6981" s="16" t="s">
        <v>62</v>
      </c>
      <c r="C6981" s="9">
        <v>46143</v>
      </c>
      <c r="D6981">
        <v>56</v>
      </c>
      <c r="E6981" s="16" t="s">
        <v>146</v>
      </c>
      <c r="F6981" s="16" t="s">
        <v>138</v>
      </c>
      <c r="G6981" s="22">
        <v>17.5</v>
      </c>
      <c r="H6981" s="18">
        <v>141.47499999999999</v>
      </c>
      <c r="I6981" s="18">
        <v>8.084285714</v>
      </c>
      <c r="J6981" s="18">
        <v>8.17</v>
      </c>
      <c r="K6981" s="18">
        <v>7.97</v>
      </c>
      <c r="L6981" s="22">
        <v>9</v>
      </c>
    </row>
    <row r="6982" spans="1:12">
      <c r="A6982">
        <v>7</v>
      </c>
      <c r="B6982" s="16" t="s">
        <v>62</v>
      </c>
      <c r="C6982" s="9">
        <v>46174</v>
      </c>
      <c r="D6982">
        <v>56</v>
      </c>
      <c r="E6982" s="16" t="s">
        <v>146</v>
      </c>
      <c r="F6982" s="16" t="s">
        <v>138</v>
      </c>
      <c r="G6982" s="22">
        <v>21.5</v>
      </c>
      <c r="H6982" s="18">
        <v>174.07249999999999</v>
      </c>
      <c r="I6982" s="18">
        <v>8.0963953489999998</v>
      </c>
      <c r="J6982" s="18">
        <v>8.24</v>
      </c>
      <c r="K6982" s="18">
        <v>7.98</v>
      </c>
      <c r="L6982" s="22">
        <v>9</v>
      </c>
    </row>
    <row r="6983" spans="1:12">
      <c r="A6983">
        <v>7</v>
      </c>
      <c r="B6983" s="16" t="s">
        <v>62</v>
      </c>
      <c r="C6983" s="9">
        <v>46204</v>
      </c>
      <c r="D6983">
        <v>56</v>
      </c>
      <c r="E6983" s="16" t="s">
        <v>146</v>
      </c>
      <c r="F6983" s="16" t="s">
        <v>138</v>
      </c>
      <c r="G6983" s="22">
        <v>22</v>
      </c>
      <c r="H6983" s="18">
        <v>181.52</v>
      </c>
      <c r="I6983" s="18">
        <v>8.2509090910000005</v>
      </c>
      <c r="J6983" s="18">
        <v>8.67</v>
      </c>
      <c r="K6983" s="18">
        <v>8.0399999999999991</v>
      </c>
      <c r="L6983" s="22">
        <v>9</v>
      </c>
    </row>
    <row r="6984" spans="1:12">
      <c r="A6984">
        <v>7</v>
      </c>
      <c r="B6984" s="16" t="s">
        <v>62</v>
      </c>
      <c r="C6984" s="9">
        <v>46235</v>
      </c>
      <c r="D6984">
        <v>56</v>
      </c>
      <c r="E6984" s="16" t="s">
        <v>146</v>
      </c>
      <c r="F6984" s="16" t="s">
        <v>138</v>
      </c>
      <c r="G6984" s="22">
        <v>15</v>
      </c>
      <c r="H6984" s="18">
        <v>123.21250000000001</v>
      </c>
      <c r="I6984" s="18">
        <v>8.2141666670000006</v>
      </c>
      <c r="J6984" s="18">
        <v>8.26</v>
      </c>
      <c r="K6984" s="18">
        <v>8.15</v>
      </c>
      <c r="L6984" s="22">
        <v>8</v>
      </c>
    </row>
    <row r="6985" spans="1:12">
      <c r="A6985">
        <v>7</v>
      </c>
      <c r="B6985" s="16" t="s">
        <v>62</v>
      </c>
      <c r="C6985" s="9">
        <v>46266</v>
      </c>
      <c r="D6985">
        <v>56</v>
      </c>
      <c r="E6985" s="16" t="s">
        <v>146</v>
      </c>
      <c r="F6985" s="16" t="s">
        <v>138</v>
      </c>
      <c r="G6985" s="22">
        <v>15.25</v>
      </c>
      <c r="H6985" s="18">
        <v>125.255</v>
      </c>
      <c r="I6985" s="18">
        <v>8.2134426230000006</v>
      </c>
      <c r="J6985" s="18">
        <v>8.4700000000000006</v>
      </c>
      <c r="K6985" s="18">
        <v>8.01</v>
      </c>
      <c r="L6985" s="22">
        <v>9</v>
      </c>
    </row>
    <row r="6986" spans="1:12">
      <c r="A6986">
        <v>8</v>
      </c>
      <c r="B6986" s="16" t="s">
        <v>63</v>
      </c>
      <c r="C6986" s="9">
        <v>45689</v>
      </c>
      <c r="D6986">
        <v>1</v>
      </c>
      <c r="E6986" s="16" t="s">
        <v>80</v>
      </c>
      <c r="F6986" s="16" t="s">
        <v>81</v>
      </c>
      <c r="G6986" s="22">
        <v>6</v>
      </c>
      <c r="H6986" s="18">
        <v>72.540000000000006</v>
      </c>
      <c r="I6986" s="18">
        <v>12.09</v>
      </c>
      <c r="J6986" s="18">
        <v>12.09</v>
      </c>
      <c r="K6986" s="18">
        <v>12.09</v>
      </c>
      <c r="L6986" s="22">
        <v>1</v>
      </c>
    </row>
    <row r="6987" spans="1:12">
      <c r="A6987">
        <v>8</v>
      </c>
      <c r="B6987" s="16" t="s">
        <v>63</v>
      </c>
      <c r="C6987" s="9">
        <v>45717</v>
      </c>
      <c r="D6987">
        <v>1</v>
      </c>
      <c r="E6987" s="16" t="s">
        <v>80</v>
      </c>
      <c r="F6987" s="16" t="s">
        <v>81</v>
      </c>
      <c r="G6987" s="22">
        <v>12</v>
      </c>
      <c r="H6987" s="18">
        <v>174.96</v>
      </c>
      <c r="I6987" s="18">
        <v>14.58</v>
      </c>
      <c r="J6987" s="18">
        <v>15.03</v>
      </c>
      <c r="K6987" s="18">
        <v>14.13</v>
      </c>
      <c r="L6987" s="22">
        <v>2</v>
      </c>
    </row>
    <row r="6988" spans="1:12">
      <c r="A6988">
        <v>8</v>
      </c>
      <c r="B6988" s="16" t="s">
        <v>63</v>
      </c>
      <c r="C6988" s="9">
        <v>45748</v>
      </c>
      <c r="D6988">
        <v>1</v>
      </c>
      <c r="E6988" s="16" t="s">
        <v>80</v>
      </c>
      <c r="F6988" s="16" t="s">
        <v>81</v>
      </c>
      <c r="G6988" s="22">
        <v>6</v>
      </c>
      <c r="H6988" s="18">
        <v>87.06</v>
      </c>
      <c r="I6988" s="18">
        <v>14.51</v>
      </c>
      <c r="J6988" s="18">
        <v>14.51</v>
      </c>
      <c r="K6988" s="18">
        <v>14.51</v>
      </c>
      <c r="L6988" s="22">
        <v>1</v>
      </c>
    </row>
    <row r="6989" spans="1:12">
      <c r="A6989">
        <v>8</v>
      </c>
      <c r="B6989" s="16" t="s">
        <v>63</v>
      </c>
      <c r="C6989" s="9">
        <v>45778</v>
      </c>
      <c r="D6989">
        <v>1</v>
      </c>
      <c r="E6989" s="16" t="s">
        <v>80</v>
      </c>
      <c r="F6989" s="16" t="s">
        <v>81</v>
      </c>
      <c r="G6989" s="22">
        <v>18</v>
      </c>
      <c r="H6989" s="18">
        <v>257.88</v>
      </c>
      <c r="I6989" s="18">
        <v>14.326666667</v>
      </c>
      <c r="J6989" s="18">
        <v>14.56</v>
      </c>
      <c r="K6989" s="18">
        <v>13.93</v>
      </c>
      <c r="L6989" s="22">
        <v>3</v>
      </c>
    </row>
    <row r="6990" spans="1:12">
      <c r="A6990">
        <v>8</v>
      </c>
      <c r="B6990" s="16" t="s">
        <v>63</v>
      </c>
      <c r="C6990" s="9">
        <v>45809</v>
      </c>
      <c r="D6990">
        <v>1</v>
      </c>
      <c r="E6990" s="16" t="s">
        <v>80</v>
      </c>
      <c r="F6990" s="16" t="s">
        <v>81</v>
      </c>
      <c r="G6990" s="22">
        <v>6</v>
      </c>
      <c r="H6990" s="18">
        <v>86.64</v>
      </c>
      <c r="I6990" s="18">
        <v>14.44</v>
      </c>
      <c r="J6990" s="18">
        <v>14.44</v>
      </c>
      <c r="K6990" s="18">
        <v>14.44</v>
      </c>
      <c r="L6990" s="22">
        <v>1</v>
      </c>
    </row>
    <row r="6991" spans="1:12">
      <c r="A6991">
        <v>8</v>
      </c>
      <c r="B6991" s="16" t="s">
        <v>63</v>
      </c>
      <c r="C6991" s="9">
        <v>45839</v>
      </c>
      <c r="D6991">
        <v>1</v>
      </c>
      <c r="E6991" s="16" t="s">
        <v>80</v>
      </c>
      <c r="F6991" s="16" t="s">
        <v>81</v>
      </c>
      <c r="G6991" s="22">
        <v>6</v>
      </c>
      <c r="H6991" s="18">
        <v>71.400000000000006</v>
      </c>
      <c r="I6991" s="18">
        <v>11.9</v>
      </c>
      <c r="J6991" s="18">
        <v>11.9</v>
      </c>
      <c r="K6991" s="18">
        <v>11.9</v>
      </c>
      <c r="L6991" s="22">
        <v>1</v>
      </c>
    </row>
    <row r="6992" spans="1:12">
      <c r="A6992">
        <v>8</v>
      </c>
      <c r="B6992" s="16" t="s">
        <v>63</v>
      </c>
      <c r="C6992" s="9">
        <v>45870</v>
      </c>
      <c r="D6992">
        <v>1</v>
      </c>
      <c r="E6992" s="16" t="s">
        <v>80</v>
      </c>
      <c r="F6992" s="16" t="s">
        <v>81</v>
      </c>
      <c r="G6992" s="22">
        <v>12</v>
      </c>
      <c r="H6992" s="18">
        <v>145.86000000000001</v>
      </c>
      <c r="I6992" s="18">
        <v>12.154999999999999</v>
      </c>
      <c r="J6992" s="18">
        <v>12.32</v>
      </c>
      <c r="K6992" s="18">
        <v>11.99</v>
      </c>
      <c r="L6992" s="22">
        <v>2</v>
      </c>
    </row>
    <row r="6993" spans="1:12">
      <c r="A6993">
        <v>8</v>
      </c>
      <c r="B6993" s="16" t="s">
        <v>63</v>
      </c>
      <c r="C6993" s="9">
        <v>45901</v>
      </c>
      <c r="D6993">
        <v>1</v>
      </c>
      <c r="E6993" s="16" t="s">
        <v>80</v>
      </c>
      <c r="F6993" s="16" t="s">
        <v>81</v>
      </c>
      <c r="G6993" s="22">
        <v>6</v>
      </c>
      <c r="H6993" s="18">
        <v>74.099999999999994</v>
      </c>
      <c r="I6993" s="18">
        <v>12.35</v>
      </c>
      <c r="J6993" s="18">
        <v>12.35</v>
      </c>
      <c r="K6993" s="18">
        <v>12.35</v>
      </c>
      <c r="L6993" s="22">
        <v>1</v>
      </c>
    </row>
    <row r="6994" spans="1:12">
      <c r="A6994">
        <v>8</v>
      </c>
      <c r="B6994" s="16" t="s">
        <v>63</v>
      </c>
      <c r="C6994" s="9">
        <v>45931</v>
      </c>
      <c r="D6994">
        <v>1</v>
      </c>
      <c r="E6994" s="16" t="s">
        <v>80</v>
      </c>
      <c r="F6994" s="16" t="s">
        <v>81</v>
      </c>
      <c r="G6994" s="22">
        <v>12</v>
      </c>
      <c r="H6994" s="18">
        <v>146.22</v>
      </c>
      <c r="I6994" s="18">
        <v>12.185</v>
      </c>
      <c r="J6994" s="18">
        <v>12.19</v>
      </c>
      <c r="K6994" s="18">
        <v>12.18</v>
      </c>
      <c r="L6994" s="22">
        <v>2</v>
      </c>
    </row>
    <row r="6995" spans="1:12">
      <c r="A6995">
        <v>8</v>
      </c>
      <c r="B6995" s="16" t="s">
        <v>63</v>
      </c>
      <c r="C6995" s="9">
        <v>45962</v>
      </c>
      <c r="D6995">
        <v>1</v>
      </c>
      <c r="E6995" s="16" t="s">
        <v>80</v>
      </c>
      <c r="F6995" s="16" t="s">
        <v>81</v>
      </c>
      <c r="G6995" s="22">
        <v>12</v>
      </c>
      <c r="H6995" s="18">
        <v>146.28</v>
      </c>
      <c r="I6995" s="18">
        <v>12.19</v>
      </c>
      <c r="J6995" s="18">
        <v>12.28</v>
      </c>
      <c r="K6995" s="18">
        <v>12.1</v>
      </c>
      <c r="L6995" s="22">
        <v>2</v>
      </c>
    </row>
    <row r="6996" spans="1:12">
      <c r="A6996">
        <v>8</v>
      </c>
      <c r="B6996" s="16" t="s">
        <v>63</v>
      </c>
      <c r="C6996" s="9">
        <v>45992</v>
      </c>
      <c r="D6996">
        <v>1</v>
      </c>
      <c r="E6996" s="16" t="s">
        <v>80</v>
      </c>
      <c r="F6996" s="16" t="s">
        <v>81</v>
      </c>
      <c r="G6996" s="22">
        <v>6</v>
      </c>
      <c r="H6996" s="18">
        <v>74.459999999999994</v>
      </c>
      <c r="I6996" s="18">
        <v>12.41</v>
      </c>
      <c r="J6996" s="18">
        <v>12.41</v>
      </c>
      <c r="K6996" s="18">
        <v>12.41</v>
      </c>
      <c r="L6996" s="22">
        <v>1</v>
      </c>
    </row>
    <row r="6997" spans="1:12">
      <c r="A6997">
        <v>8</v>
      </c>
      <c r="B6997" s="16" t="s">
        <v>63</v>
      </c>
      <c r="C6997" s="9">
        <v>46023</v>
      </c>
      <c r="D6997">
        <v>1</v>
      </c>
      <c r="E6997" s="16" t="s">
        <v>80</v>
      </c>
      <c r="F6997" s="16" t="s">
        <v>81</v>
      </c>
      <c r="G6997" s="22">
        <v>6</v>
      </c>
      <c r="H6997" s="18">
        <v>73.86</v>
      </c>
      <c r="I6997" s="18">
        <v>12.31</v>
      </c>
      <c r="J6997" s="18">
        <v>12.31</v>
      </c>
      <c r="K6997" s="18">
        <v>12.31</v>
      </c>
      <c r="L6997" s="22">
        <v>1</v>
      </c>
    </row>
    <row r="6998" spans="1:12">
      <c r="A6998">
        <v>8</v>
      </c>
      <c r="B6998" s="16" t="s">
        <v>63</v>
      </c>
      <c r="C6998" s="9">
        <v>46054</v>
      </c>
      <c r="D6998">
        <v>1</v>
      </c>
      <c r="E6998" s="16" t="s">
        <v>80</v>
      </c>
      <c r="F6998" s="16" t="s">
        <v>81</v>
      </c>
      <c r="G6998" s="22">
        <v>12</v>
      </c>
      <c r="H6998" s="18">
        <v>147.24</v>
      </c>
      <c r="I6998" s="18">
        <v>12.27</v>
      </c>
      <c r="J6998" s="18">
        <v>12.46</v>
      </c>
      <c r="K6998" s="18">
        <v>12.08</v>
      </c>
      <c r="L6998" s="22">
        <v>2</v>
      </c>
    </row>
    <row r="6999" spans="1:12">
      <c r="A6999">
        <v>8</v>
      </c>
      <c r="B6999" s="16" t="s">
        <v>63</v>
      </c>
      <c r="C6999" s="9">
        <v>46082</v>
      </c>
      <c r="D6999">
        <v>1</v>
      </c>
      <c r="E6999" s="16" t="s">
        <v>80</v>
      </c>
      <c r="F6999" s="16" t="s">
        <v>81</v>
      </c>
      <c r="G6999" s="22">
        <v>6</v>
      </c>
      <c r="H6999" s="18">
        <v>93.24</v>
      </c>
      <c r="I6999" s="18">
        <v>15.54</v>
      </c>
      <c r="J6999" s="18">
        <v>15.54</v>
      </c>
      <c r="K6999" s="18">
        <v>15.54</v>
      </c>
      <c r="L6999" s="22">
        <v>1</v>
      </c>
    </row>
    <row r="7000" spans="1:12">
      <c r="A7000">
        <v>8</v>
      </c>
      <c r="B7000" s="16" t="s">
        <v>63</v>
      </c>
      <c r="C7000" s="9">
        <v>46113</v>
      </c>
      <c r="D7000">
        <v>1</v>
      </c>
      <c r="E7000" s="16" t="s">
        <v>80</v>
      </c>
      <c r="F7000" s="16" t="s">
        <v>81</v>
      </c>
      <c r="G7000" s="22">
        <v>12</v>
      </c>
      <c r="H7000" s="18">
        <v>183.9</v>
      </c>
      <c r="I7000" s="18">
        <v>15.324999999999999</v>
      </c>
      <c r="J7000" s="18">
        <v>15.33</v>
      </c>
      <c r="K7000" s="18">
        <v>15.32</v>
      </c>
      <c r="L7000" s="22">
        <v>2</v>
      </c>
    </row>
    <row r="7001" spans="1:12">
      <c r="A7001">
        <v>8</v>
      </c>
      <c r="B7001" s="16" t="s">
        <v>63</v>
      </c>
      <c r="C7001" s="9">
        <v>46143</v>
      </c>
      <c r="D7001">
        <v>1</v>
      </c>
      <c r="E7001" s="16" t="s">
        <v>80</v>
      </c>
      <c r="F7001" s="16" t="s">
        <v>81</v>
      </c>
      <c r="G7001" s="22">
        <v>6</v>
      </c>
      <c r="H7001" s="18">
        <v>91.8</v>
      </c>
      <c r="I7001" s="18">
        <v>15.3</v>
      </c>
      <c r="J7001" s="18">
        <v>15.3</v>
      </c>
      <c r="K7001" s="18">
        <v>15.3</v>
      </c>
      <c r="L7001" s="22">
        <v>1</v>
      </c>
    </row>
    <row r="7002" spans="1:12">
      <c r="A7002">
        <v>8</v>
      </c>
      <c r="B7002" s="16" t="s">
        <v>63</v>
      </c>
      <c r="C7002" s="9">
        <v>46174</v>
      </c>
      <c r="D7002">
        <v>1</v>
      </c>
      <c r="E7002" s="16" t="s">
        <v>80</v>
      </c>
      <c r="F7002" s="16" t="s">
        <v>81</v>
      </c>
      <c r="G7002" s="22">
        <v>6</v>
      </c>
      <c r="H7002" s="18">
        <v>93.54</v>
      </c>
      <c r="I7002" s="18">
        <v>15.59</v>
      </c>
      <c r="J7002" s="18">
        <v>15.59</v>
      </c>
      <c r="K7002" s="18">
        <v>15.59</v>
      </c>
      <c r="L7002" s="22">
        <v>1</v>
      </c>
    </row>
    <row r="7003" spans="1:12">
      <c r="A7003">
        <v>8</v>
      </c>
      <c r="B7003" s="16" t="s">
        <v>63</v>
      </c>
      <c r="C7003" s="9">
        <v>46204</v>
      </c>
      <c r="D7003">
        <v>1</v>
      </c>
      <c r="E7003" s="16" t="s">
        <v>80</v>
      </c>
      <c r="F7003" s="16" t="s">
        <v>81</v>
      </c>
      <c r="G7003" s="22">
        <v>12</v>
      </c>
      <c r="H7003" s="18">
        <v>150.72</v>
      </c>
      <c r="I7003" s="18">
        <v>12.56</v>
      </c>
      <c r="J7003" s="18">
        <v>12.56</v>
      </c>
      <c r="K7003" s="18">
        <v>12.56</v>
      </c>
      <c r="L7003" s="22">
        <v>2</v>
      </c>
    </row>
    <row r="7004" spans="1:12">
      <c r="A7004">
        <v>8</v>
      </c>
      <c r="B7004" s="16" t="s">
        <v>63</v>
      </c>
      <c r="C7004" s="9">
        <v>46235</v>
      </c>
      <c r="D7004">
        <v>1</v>
      </c>
      <c r="E7004" s="16" t="s">
        <v>80</v>
      </c>
      <c r="F7004" s="16" t="s">
        <v>81</v>
      </c>
      <c r="G7004" s="22">
        <v>6</v>
      </c>
      <c r="H7004" s="18">
        <v>76.02</v>
      </c>
      <c r="I7004" s="18">
        <v>12.67</v>
      </c>
      <c r="J7004" s="18">
        <v>12.67</v>
      </c>
      <c r="K7004" s="18">
        <v>12.67</v>
      </c>
      <c r="L7004" s="22">
        <v>1</v>
      </c>
    </row>
    <row r="7005" spans="1:12">
      <c r="A7005">
        <v>8</v>
      </c>
      <c r="B7005" s="16" t="s">
        <v>63</v>
      </c>
      <c r="C7005" s="9">
        <v>46266</v>
      </c>
      <c r="D7005">
        <v>1</v>
      </c>
      <c r="E7005" s="16" t="s">
        <v>80</v>
      </c>
      <c r="F7005" s="16" t="s">
        <v>81</v>
      </c>
      <c r="G7005" s="22">
        <v>6</v>
      </c>
      <c r="H7005" s="18">
        <v>78.540000000000006</v>
      </c>
      <c r="I7005" s="18">
        <v>13.09</v>
      </c>
      <c r="J7005" s="18">
        <v>13.09</v>
      </c>
      <c r="K7005" s="18">
        <v>13.09</v>
      </c>
      <c r="L7005" s="22">
        <v>1</v>
      </c>
    </row>
    <row r="7006" spans="1:12">
      <c r="A7006">
        <v>8</v>
      </c>
      <c r="B7006" s="16" t="s">
        <v>63</v>
      </c>
      <c r="C7006" s="9">
        <v>45689</v>
      </c>
      <c r="D7006">
        <v>2</v>
      </c>
      <c r="E7006" s="16" t="s">
        <v>82</v>
      </c>
      <c r="F7006" s="16" t="s">
        <v>83</v>
      </c>
      <c r="G7006" s="22">
        <v>7.5</v>
      </c>
      <c r="H7006" s="18">
        <v>141.86000000000001</v>
      </c>
      <c r="I7006" s="18">
        <v>18.914666666999999</v>
      </c>
      <c r="J7006" s="18">
        <v>19.309999999999999</v>
      </c>
      <c r="K7006" s="18">
        <v>18.45</v>
      </c>
      <c r="L7006" s="22">
        <v>8</v>
      </c>
    </row>
    <row r="7007" spans="1:12">
      <c r="A7007">
        <v>8</v>
      </c>
      <c r="B7007" s="16" t="s">
        <v>63</v>
      </c>
      <c r="C7007" s="9">
        <v>45717</v>
      </c>
      <c r="D7007">
        <v>2</v>
      </c>
      <c r="E7007" s="16" t="s">
        <v>82</v>
      </c>
      <c r="F7007" s="16" t="s">
        <v>83</v>
      </c>
      <c r="G7007" s="22">
        <v>7.5</v>
      </c>
      <c r="H7007" s="18">
        <v>141.58000000000001</v>
      </c>
      <c r="I7007" s="18">
        <v>18.877333332999999</v>
      </c>
      <c r="J7007" s="18">
        <v>19.05</v>
      </c>
      <c r="K7007" s="18">
        <v>18.559999999999999</v>
      </c>
      <c r="L7007" s="22">
        <v>9</v>
      </c>
    </row>
    <row r="7008" spans="1:12">
      <c r="A7008">
        <v>8</v>
      </c>
      <c r="B7008" s="16" t="s">
        <v>63</v>
      </c>
      <c r="C7008" s="9">
        <v>45748</v>
      </c>
      <c r="D7008">
        <v>2</v>
      </c>
      <c r="E7008" s="16" t="s">
        <v>82</v>
      </c>
      <c r="F7008" s="16" t="s">
        <v>83</v>
      </c>
      <c r="G7008" s="22">
        <v>7.5</v>
      </c>
      <c r="H7008" s="18">
        <v>143.19999999999999</v>
      </c>
      <c r="I7008" s="18">
        <v>19.093333333</v>
      </c>
      <c r="J7008" s="18">
        <v>19.309999999999999</v>
      </c>
      <c r="K7008" s="18">
        <v>18.71</v>
      </c>
      <c r="L7008" s="22">
        <v>8</v>
      </c>
    </row>
    <row r="7009" spans="1:12">
      <c r="A7009">
        <v>8</v>
      </c>
      <c r="B7009" s="16" t="s">
        <v>63</v>
      </c>
      <c r="C7009" s="9">
        <v>45778</v>
      </c>
      <c r="D7009">
        <v>2</v>
      </c>
      <c r="E7009" s="16" t="s">
        <v>82</v>
      </c>
      <c r="F7009" s="16" t="s">
        <v>83</v>
      </c>
      <c r="G7009" s="22">
        <v>10.5</v>
      </c>
      <c r="H7009" s="18">
        <v>201.95</v>
      </c>
      <c r="I7009" s="18">
        <v>19.233333333000001</v>
      </c>
      <c r="J7009" s="18">
        <v>19.5</v>
      </c>
      <c r="K7009" s="18">
        <v>19.03</v>
      </c>
      <c r="L7009" s="22">
        <v>8</v>
      </c>
    </row>
    <row r="7010" spans="1:12">
      <c r="A7010">
        <v>8</v>
      </c>
      <c r="B7010" s="16" t="s">
        <v>63</v>
      </c>
      <c r="C7010" s="9">
        <v>45809</v>
      </c>
      <c r="D7010">
        <v>2</v>
      </c>
      <c r="E7010" s="16" t="s">
        <v>82</v>
      </c>
      <c r="F7010" s="16" t="s">
        <v>83</v>
      </c>
      <c r="G7010" s="22">
        <v>9</v>
      </c>
      <c r="H7010" s="18">
        <v>173.22499999999999</v>
      </c>
      <c r="I7010" s="18">
        <v>19.247222222000001</v>
      </c>
      <c r="J7010" s="18">
        <v>19.59</v>
      </c>
      <c r="K7010" s="18">
        <v>18.78</v>
      </c>
      <c r="L7010" s="22">
        <v>9</v>
      </c>
    </row>
    <row r="7011" spans="1:12">
      <c r="A7011">
        <v>8</v>
      </c>
      <c r="B7011" s="16" t="s">
        <v>63</v>
      </c>
      <c r="C7011" s="9">
        <v>45839</v>
      </c>
      <c r="D7011">
        <v>2</v>
      </c>
      <c r="E7011" s="16" t="s">
        <v>82</v>
      </c>
      <c r="F7011" s="16" t="s">
        <v>83</v>
      </c>
      <c r="G7011" s="22">
        <v>7.5</v>
      </c>
      <c r="H7011" s="18">
        <v>155.97999999999999</v>
      </c>
      <c r="I7011" s="18">
        <v>20.797333333000001</v>
      </c>
      <c r="J7011" s="18">
        <v>21.01</v>
      </c>
      <c r="K7011" s="18">
        <v>20.45</v>
      </c>
      <c r="L7011" s="22">
        <v>8</v>
      </c>
    </row>
    <row r="7012" spans="1:12">
      <c r="A7012">
        <v>8</v>
      </c>
      <c r="B7012" s="16" t="s">
        <v>63</v>
      </c>
      <c r="C7012" s="9">
        <v>45870</v>
      </c>
      <c r="D7012">
        <v>2</v>
      </c>
      <c r="E7012" s="16" t="s">
        <v>82</v>
      </c>
      <c r="F7012" s="16" t="s">
        <v>83</v>
      </c>
      <c r="G7012" s="22">
        <v>7.5</v>
      </c>
      <c r="H7012" s="18">
        <v>155.755</v>
      </c>
      <c r="I7012" s="18">
        <v>20.767333333</v>
      </c>
      <c r="J7012" s="18">
        <v>20.98</v>
      </c>
      <c r="K7012" s="18">
        <v>20.28</v>
      </c>
      <c r="L7012" s="22">
        <v>8</v>
      </c>
    </row>
    <row r="7013" spans="1:12">
      <c r="A7013">
        <v>8</v>
      </c>
      <c r="B7013" s="16" t="s">
        <v>63</v>
      </c>
      <c r="C7013" s="9">
        <v>45901</v>
      </c>
      <c r="D7013">
        <v>2</v>
      </c>
      <c r="E7013" s="16" t="s">
        <v>82</v>
      </c>
      <c r="F7013" s="16" t="s">
        <v>83</v>
      </c>
      <c r="G7013" s="22">
        <v>8.5</v>
      </c>
      <c r="H7013" s="18">
        <v>177.36</v>
      </c>
      <c r="I7013" s="18">
        <v>20.865882353</v>
      </c>
      <c r="J7013" s="18">
        <v>21.09</v>
      </c>
      <c r="K7013" s="18">
        <v>20.54</v>
      </c>
      <c r="L7013" s="22">
        <v>9</v>
      </c>
    </row>
    <row r="7014" spans="1:12">
      <c r="A7014">
        <v>8</v>
      </c>
      <c r="B7014" s="16" t="s">
        <v>63</v>
      </c>
      <c r="C7014" s="9">
        <v>45931</v>
      </c>
      <c r="D7014">
        <v>2</v>
      </c>
      <c r="E7014" s="16" t="s">
        <v>82</v>
      </c>
      <c r="F7014" s="16" t="s">
        <v>83</v>
      </c>
      <c r="G7014" s="22">
        <v>9</v>
      </c>
      <c r="H7014" s="18">
        <v>191.10499999999999</v>
      </c>
      <c r="I7014" s="18">
        <v>21.233888888999999</v>
      </c>
      <c r="J7014" s="18">
        <v>21.52</v>
      </c>
      <c r="K7014" s="18">
        <v>20.75</v>
      </c>
      <c r="L7014" s="22">
        <v>9</v>
      </c>
    </row>
    <row r="7015" spans="1:12">
      <c r="A7015">
        <v>8</v>
      </c>
      <c r="B7015" s="16" t="s">
        <v>63</v>
      </c>
      <c r="C7015" s="9">
        <v>45962</v>
      </c>
      <c r="D7015">
        <v>2</v>
      </c>
      <c r="E7015" s="16" t="s">
        <v>82</v>
      </c>
      <c r="F7015" s="16" t="s">
        <v>83</v>
      </c>
      <c r="G7015" s="22">
        <v>8.5</v>
      </c>
      <c r="H7015" s="18">
        <v>178.67500000000001</v>
      </c>
      <c r="I7015" s="18">
        <v>21.020588235000002</v>
      </c>
      <c r="J7015" s="18">
        <v>21.3</v>
      </c>
      <c r="K7015" s="18">
        <v>20.77</v>
      </c>
      <c r="L7015" s="22">
        <v>8</v>
      </c>
    </row>
    <row r="7016" spans="1:12">
      <c r="A7016">
        <v>8</v>
      </c>
      <c r="B7016" s="16" t="s">
        <v>63</v>
      </c>
      <c r="C7016" s="9">
        <v>45992</v>
      </c>
      <c r="D7016">
        <v>2</v>
      </c>
      <c r="E7016" s="16" t="s">
        <v>82</v>
      </c>
      <c r="F7016" s="16" t="s">
        <v>83</v>
      </c>
      <c r="G7016" s="22">
        <v>10</v>
      </c>
      <c r="H7016" s="18">
        <v>211.62</v>
      </c>
      <c r="I7016" s="18">
        <v>21.161999999999999</v>
      </c>
      <c r="J7016" s="18">
        <v>21.59</v>
      </c>
      <c r="K7016" s="18">
        <v>20.75</v>
      </c>
      <c r="L7016" s="22">
        <v>9</v>
      </c>
    </row>
    <row r="7017" spans="1:12">
      <c r="A7017">
        <v>8</v>
      </c>
      <c r="B7017" s="16" t="s">
        <v>63</v>
      </c>
      <c r="C7017" s="9">
        <v>46023</v>
      </c>
      <c r="D7017">
        <v>2</v>
      </c>
      <c r="E7017" s="16" t="s">
        <v>82</v>
      </c>
      <c r="F7017" s="16" t="s">
        <v>83</v>
      </c>
      <c r="G7017" s="22">
        <v>9</v>
      </c>
      <c r="H7017" s="18">
        <v>177.60499999999999</v>
      </c>
      <c r="I7017" s="18">
        <v>19.733888888999999</v>
      </c>
      <c r="J7017" s="18">
        <v>19.97</v>
      </c>
      <c r="K7017" s="18">
        <v>19.46</v>
      </c>
      <c r="L7017" s="22">
        <v>9</v>
      </c>
    </row>
    <row r="7018" spans="1:12">
      <c r="A7018">
        <v>8</v>
      </c>
      <c r="B7018" s="16" t="s">
        <v>63</v>
      </c>
      <c r="C7018" s="9">
        <v>46054</v>
      </c>
      <c r="D7018">
        <v>2</v>
      </c>
      <c r="E7018" s="16" t="s">
        <v>82</v>
      </c>
      <c r="F7018" s="16" t="s">
        <v>83</v>
      </c>
      <c r="G7018" s="22">
        <v>10</v>
      </c>
      <c r="H7018" s="18">
        <v>197.65</v>
      </c>
      <c r="I7018" s="18">
        <v>19.765000000000001</v>
      </c>
      <c r="J7018" s="18">
        <v>20.14</v>
      </c>
      <c r="K7018" s="18">
        <v>19.22</v>
      </c>
      <c r="L7018" s="22">
        <v>8</v>
      </c>
    </row>
    <row r="7019" spans="1:12">
      <c r="A7019">
        <v>8</v>
      </c>
      <c r="B7019" s="16" t="s">
        <v>63</v>
      </c>
      <c r="C7019" s="9">
        <v>46082</v>
      </c>
      <c r="D7019">
        <v>2</v>
      </c>
      <c r="E7019" s="16" t="s">
        <v>82</v>
      </c>
      <c r="F7019" s="16" t="s">
        <v>83</v>
      </c>
      <c r="G7019" s="22">
        <v>8.5</v>
      </c>
      <c r="H7019" s="18">
        <v>168.99</v>
      </c>
      <c r="I7019" s="18">
        <v>19.881176471</v>
      </c>
      <c r="J7019" s="18">
        <v>20.88</v>
      </c>
      <c r="K7019" s="18">
        <v>19.600000000000001</v>
      </c>
      <c r="L7019" s="22">
        <v>9</v>
      </c>
    </row>
    <row r="7020" spans="1:12">
      <c r="A7020">
        <v>8</v>
      </c>
      <c r="B7020" s="16" t="s">
        <v>63</v>
      </c>
      <c r="C7020" s="9">
        <v>46113</v>
      </c>
      <c r="D7020">
        <v>2</v>
      </c>
      <c r="E7020" s="16" t="s">
        <v>82</v>
      </c>
      <c r="F7020" s="16" t="s">
        <v>83</v>
      </c>
      <c r="G7020" s="22">
        <v>8.5</v>
      </c>
      <c r="H7020" s="18">
        <v>165.73500000000001</v>
      </c>
      <c r="I7020" s="18">
        <v>19.498235294000001</v>
      </c>
      <c r="J7020" s="18">
        <v>19.86</v>
      </c>
      <c r="K7020" s="18">
        <v>19.190000000000001</v>
      </c>
      <c r="L7020" s="22">
        <v>9</v>
      </c>
    </row>
    <row r="7021" spans="1:12">
      <c r="A7021">
        <v>8</v>
      </c>
      <c r="B7021" s="16" t="s">
        <v>63</v>
      </c>
      <c r="C7021" s="9">
        <v>46143</v>
      </c>
      <c r="D7021">
        <v>2</v>
      </c>
      <c r="E7021" s="16" t="s">
        <v>82</v>
      </c>
      <c r="F7021" s="16" t="s">
        <v>83</v>
      </c>
      <c r="G7021" s="22">
        <v>7</v>
      </c>
      <c r="H7021" s="18">
        <v>137.68</v>
      </c>
      <c r="I7021" s="18">
        <v>19.668571429</v>
      </c>
      <c r="J7021" s="18">
        <v>19.8</v>
      </c>
      <c r="K7021" s="18">
        <v>19.399999999999999</v>
      </c>
      <c r="L7021" s="22">
        <v>8</v>
      </c>
    </row>
    <row r="7022" spans="1:12">
      <c r="A7022">
        <v>8</v>
      </c>
      <c r="B7022" s="16" t="s">
        <v>63</v>
      </c>
      <c r="C7022" s="9">
        <v>46174</v>
      </c>
      <c r="D7022">
        <v>2</v>
      </c>
      <c r="E7022" s="16" t="s">
        <v>82</v>
      </c>
      <c r="F7022" s="16" t="s">
        <v>83</v>
      </c>
      <c r="G7022" s="22">
        <v>6.5</v>
      </c>
      <c r="H7022" s="18">
        <v>127.49</v>
      </c>
      <c r="I7022" s="18">
        <v>19.613846154000001</v>
      </c>
      <c r="J7022" s="18">
        <v>20.02</v>
      </c>
      <c r="K7022" s="18">
        <v>19.3</v>
      </c>
      <c r="L7022" s="22">
        <v>8</v>
      </c>
    </row>
    <row r="7023" spans="1:12">
      <c r="A7023">
        <v>8</v>
      </c>
      <c r="B7023" s="16" t="s">
        <v>63</v>
      </c>
      <c r="C7023" s="9">
        <v>46204</v>
      </c>
      <c r="D7023">
        <v>2</v>
      </c>
      <c r="E7023" s="16" t="s">
        <v>82</v>
      </c>
      <c r="F7023" s="16" t="s">
        <v>83</v>
      </c>
      <c r="G7023" s="22">
        <v>7</v>
      </c>
      <c r="H7023" s="18">
        <v>147.16999999999999</v>
      </c>
      <c r="I7023" s="18">
        <v>21.024285714000001</v>
      </c>
      <c r="J7023" s="18">
        <v>21.3</v>
      </c>
      <c r="K7023" s="18">
        <v>20.67</v>
      </c>
      <c r="L7023" s="22">
        <v>9</v>
      </c>
    </row>
    <row r="7024" spans="1:12">
      <c r="A7024">
        <v>8</v>
      </c>
      <c r="B7024" s="16" t="s">
        <v>63</v>
      </c>
      <c r="C7024" s="9">
        <v>46235</v>
      </c>
      <c r="D7024">
        <v>2</v>
      </c>
      <c r="E7024" s="16" t="s">
        <v>82</v>
      </c>
      <c r="F7024" s="16" t="s">
        <v>83</v>
      </c>
      <c r="G7024" s="22">
        <v>6.5</v>
      </c>
      <c r="H7024" s="18">
        <v>137.98500000000001</v>
      </c>
      <c r="I7024" s="18">
        <v>21.228461538000001</v>
      </c>
      <c r="J7024" s="18">
        <v>21.59</v>
      </c>
      <c r="K7024" s="18">
        <v>20.92</v>
      </c>
      <c r="L7024" s="22">
        <v>8</v>
      </c>
    </row>
    <row r="7025" spans="1:12">
      <c r="A7025">
        <v>8</v>
      </c>
      <c r="B7025" s="16" t="s">
        <v>63</v>
      </c>
      <c r="C7025" s="9">
        <v>46266</v>
      </c>
      <c r="D7025">
        <v>2</v>
      </c>
      <c r="E7025" s="16" t="s">
        <v>82</v>
      </c>
      <c r="F7025" s="16" t="s">
        <v>83</v>
      </c>
      <c r="G7025" s="22">
        <v>7.5</v>
      </c>
      <c r="H7025" s="18">
        <v>158.85</v>
      </c>
      <c r="I7025" s="18">
        <v>21.18</v>
      </c>
      <c r="J7025" s="18">
        <v>21.3</v>
      </c>
      <c r="K7025" s="18">
        <v>20.99</v>
      </c>
      <c r="L7025" s="22">
        <v>8</v>
      </c>
    </row>
    <row r="7026" spans="1:12">
      <c r="A7026">
        <v>8</v>
      </c>
      <c r="B7026" s="16" t="s">
        <v>63</v>
      </c>
      <c r="C7026" s="9">
        <v>45689</v>
      </c>
      <c r="D7026">
        <v>3</v>
      </c>
      <c r="E7026" s="16" t="s">
        <v>84</v>
      </c>
      <c r="F7026" s="16" t="s">
        <v>85</v>
      </c>
      <c r="G7026" s="22">
        <v>100</v>
      </c>
      <c r="H7026" s="18">
        <v>68</v>
      </c>
      <c r="I7026" s="18">
        <v>0.68</v>
      </c>
      <c r="J7026" s="18">
        <v>0.69</v>
      </c>
      <c r="K7026" s="18">
        <v>0.67</v>
      </c>
      <c r="L7026" s="22">
        <v>2</v>
      </c>
    </row>
    <row r="7027" spans="1:12">
      <c r="A7027">
        <v>8</v>
      </c>
      <c r="B7027" s="16" t="s">
        <v>63</v>
      </c>
      <c r="C7027" s="9">
        <v>45717</v>
      </c>
      <c r="D7027">
        <v>3</v>
      </c>
      <c r="E7027" s="16" t="s">
        <v>84</v>
      </c>
      <c r="F7027" s="16" t="s">
        <v>85</v>
      </c>
      <c r="G7027" s="22">
        <v>100</v>
      </c>
      <c r="H7027" s="18">
        <v>68.5</v>
      </c>
      <c r="I7027" s="18">
        <v>0.68500000000000005</v>
      </c>
      <c r="J7027" s="18">
        <v>0.69</v>
      </c>
      <c r="K7027" s="18">
        <v>0.68</v>
      </c>
      <c r="L7027" s="22">
        <v>2</v>
      </c>
    </row>
    <row r="7028" spans="1:12">
      <c r="A7028">
        <v>8</v>
      </c>
      <c r="B7028" s="16" t="s">
        <v>63</v>
      </c>
      <c r="C7028" s="9">
        <v>45748</v>
      </c>
      <c r="D7028">
        <v>3</v>
      </c>
      <c r="E7028" s="16" t="s">
        <v>84</v>
      </c>
      <c r="F7028" s="16" t="s">
        <v>85</v>
      </c>
      <c r="G7028" s="22">
        <v>50</v>
      </c>
      <c r="H7028" s="18">
        <v>35</v>
      </c>
      <c r="I7028" s="18">
        <v>0.7</v>
      </c>
      <c r="J7028" s="18">
        <v>0.7</v>
      </c>
      <c r="K7028" s="18">
        <v>0.7</v>
      </c>
      <c r="L7028" s="22">
        <v>1</v>
      </c>
    </row>
    <row r="7029" spans="1:12">
      <c r="A7029">
        <v>8</v>
      </c>
      <c r="B7029" s="16" t="s">
        <v>63</v>
      </c>
      <c r="C7029" s="9">
        <v>45778</v>
      </c>
      <c r="D7029">
        <v>3</v>
      </c>
      <c r="E7029" s="16" t="s">
        <v>84</v>
      </c>
      <c r="F7029" s="16" t="s">
        <v>85</v>
      </c>
      <c r="G7029" s="22">
        <v>100</v>
      </c>
      <c r="H7029" s="18">
        <v>68</v>
      </c>
      <c r="I7029" s="18">
        <v>0.68</v>
      </c>
      <c r="J7029" s="18">
        <v>0.68</v>
      </c>
      <c r="K7029" s="18">
        <v>0.68</v>
      </c>
      <c r="L7029" s="22">
        <v>1</v>
      </c>
    </row>
    <row r="7030" spans="1:12">
      <c r="A7030">
        <v>8</v>
      </c>
      <c r="B7030" s="16" t="s">
        <v>63</v>
      </c>
      <c r="C7030" s="9">
        <v>45809</v>
      </c>
      <c r="D7030">
        <v>3</v>
      </c>
      <c r="E7030" s="16" t="s">
        <v>84</v>
      </c>
      <c r="F7030" s="16" t="s">
        <v>85</v>
      </c>
      <c r="G7030" s="22">
        <v>100</v>
      </c>
      <c r="H7030" s="18">
        <v>68.5</v>
      </c>
      <c r="I7030" s="18">
        <v>0.68500000000000005</v>
      </c>
      <c r="J7030" s="18">
        <v>0.69</v>
      </c>
      <c r="K7030" s="18">
        <v>0.68</v>
      </c>
      <c r="L7030" s="22">
        <v>2</v>
      </c>
    </row>
    <row r="7031" spans="1:12">
      <c r="A7031">
        <v>8</v>
      </c>
      <c r="B7031" s="16" t="s">
        <v>63</v>
      </c>
      <c r="C7031" s="9">
        <v>45839</v>
      </c>
      <c r="D7031">
        <v>3</v>
      </c>
      <c r="E7031" s="16" t="s">
        <v>84</v>
      </c>
      <c r="F7031" s="16" t="s">
        <v>85</v>
      </c>
      <c r="G7031" s="22">
        <v>150</v>
      </c>
      <c r="H7031" s="18">
        <v>103.5</v>
      </c>
      <c r="I7031" s="18">
        <v>0.69</v>
      </c>
      <c r="J7031" s="18">
        <v>0.7</v>
      </c>
      <c r="K7031" s="18">
        <v>0.67</v>
      </c>
      <c r="L7031" s="22">
        <v>3</v>
      </c>
    </row>
    <row r="7032" spans="1:12">
      <c r="A7032">
        <v>8</v>
      </c>
      <c r="B7032" s="16" t="s">
        <v>63</v>
      </c>
      <c r="C7032" s="9">
        <v>45870</v>
      </c>
      <c r="D7032">
        <v>3</v>
      </c>
      <c r="E7032" s="16" t="s">
        <v>84</v>
      </c>
      <c r="F7032" s="16" t="s">
        <v>85</v>
      </c>
      <c r="G7032" s="22">
        <v>50</v>
      </c>
      <c r="H7032" s="18">
        <v>35</v>
      </c>
      <c r="I7032" s="18">
        <v>0.7</v>
      </c>
      <c r="J7032" s="18">
        <v>0.7</v>
      </c>
      <c r="K7032" s="18">
        <v>0.7</v>
      </c>
      <c r="L7032" s="22">
        <v>1</v>
      </c>
    </row>
    <row r="7033" spans="1:12">
      <c r="A7033">
        <v>8</v>
      </c>
      <c r="B7033" s="16" t="s">
        <v>63</v>
      </c>
      <c r="C7033" s="9">
        <v>45901</v>
      </c>
      <c r="D7033">
        <v>3</v>
      </c>
      <c r="E7033" s="16" t="s">
        <v>84</v>
      </c>
      <c r="F7033" s="16" t="s">
        <v>85</v>
      </c>
      <c r="G7033" s="22">
        <v>100</v>
      </c>
      <c r="H7033" s="18">
        <v>69.5</v>
      </c>
      <c r="I7033" s="18">
        <v>0.69499999999999995</v>
      </c>
      <c r="J7033" s="18">
        <v>0.7</v>
      </c>
      <c r="K7033" s="18">
        <v>0.69</v>
      </c>
      <c r="L7033" s="22">
        <v>2</v>
      </c>
    </row>
    <row r="7034" spans="1:12">
      <c r="A7034">
        <v>8</v>
      </c>
      <c r="B7034" s="16" t="s">
        <v>63</v>
      </c>
      <c r="C7034" s="9">
        <v>45931</v>
      </c>
      <c r="D7034">
        <v>3</v>
      </c>
      <c r="E7034" s="16" t="s">
        <v>84</v>
      </c>
      <c r="F7034" s="16" t="s">
        <v>85</v>
      </c>
      <c r="G7034" s="22">
        <v>100</v>
      </c>
      <c r="H7034" s="18">
        <v>68</v>
      </c>
      <c r="I7034" s="18">
        <v>0.68</v>
      </c>
      <c r="J7034" s="18">
        <v>0.69</v>
      </c>
      <c r="K7034" s="18">
        <v>0.67</v>
      </c>
      <c r="L7034" s="22">
        <v>2</v>
      </c>
    </row>
    <row r="7035" spans="1:12">
      <c r="A7035">
        <v>8</v>
      </c>
      <c r="B7035" s="16" t="s">
        <v>63</v>
      </c>
      <c r="C7035" s="9">
        <v>45962</v>
      </c>
      <c r="D7035">
        <v>3</v>
      </c>
      <c r="E7035" s="16" t="s">
        <v>84</v>
      </c>
      <c r="F7035" s="16" t="s">
        <v>85</v>
      </c>
      <c r="G7035" s="22">
        <v>100</v>
      </c>
      <c r="H7035" s="18">
        <v>67.5</v>
      </c>
      <c r="I7035" s="18">
        <v>0.67500000000000004</v>
      </c>
      <c r="J7035" s="18">
        <v>0.68</v>
      </c>
      <c r="K7035" s="18">
        <v>0.67</v>
      </c>
      <c r="L7035" s="22">
        <v>2</v>
      </c>
    </row>
    <row r="7036" spans="1:12">
      <c r="A7036">
        <v>8</v>
      </c>
      <c r="B7036" s="16" t="s">
        <v>63</v>
      </c>
      <c r="C7036" s="9">
        <v>45992</v>
      </c>
      <c r="D7036">
        <v>3</v>
      </c>
      <c r="E7036" s="16" t="s">
        <v>84</v>
      </c>
      <c r="F7036" s="16" t="s">
        <v>85</v>
      </c>
      <c r="G7036" s="22">
        <v>150</v>
      </c>
      <c r="H7036" s="18">
        <v>102.5</v>
      </c>
      <c r="I7036" s="18">
        <v>0.68333333299999999</v>
      </c>
      <c r="J7036" s="18">
        <v>0.69</v>
      </c>
      <c r="K7036" s="18">
        <v>0.68</v>
      </c>
      <c r="L7036" s="22">
        <v>3</v>
      </c>
    </row>
    <row r="7037" spans="1:12">
      <c r="A7037">
        <v>8</v>
      </c>
      <c r="B7037" s="16" t="s">
        <v>63</v>
      </c>
      <c r="C7037" s="9">
        <v>46023</v>
      </c>
      <c r="D7037">
        <v>3</v>
      </c>
      <c r="E7037" s="16" t="s">
        <v>84</v>
      </c>
      <c r="F7037" s="16" t="s">
        <v>85</v>
      </c>
      <c r="G7037" s="22">
        <v>100</v>
      </c>
      <c r="H7037" s="18">
        <v>68.5</v>
      </c>
      <c r="I7037" s="18">
        <v>0.68500000000000005</v>
      </c>
      <c r="J7037" s="18">
        <v>0.69</v>
      </c>
      <c r="K7037" s="18">
        <v>0.68</v>
      </c>
      <c r="L7037" s="22">
        <v>2</v>
      </c>
    </row>
    <row r="7038" spans="1:12">
      <c r="A7038">
        <v>8</v>
      </c>
      <c r="B7038" s="16" t="s">
        <v>63</v>
      </c>
      <c r="C7038" s="9">
        <v>46054</v>
      </c>
      <c r="D7038">
        <v>3</v>
      </c>
      <c r="E7038" s="16" t="s">
        <v>84</v>
      </c>
      <c r="F7038" s="16" t="s">
        <v>85</v>
      </c>
      <c r="G7038" s="22">
        <v>100</v>
      </c>
      <c r="H7038" s="18">
        <v>68.5</v>
      </c>
      <c r="I7038" s="18">
        <v>0.68500000000000005</v>
      </c>
      <c r="J7038" s="18">
        <v>0.69</v>
      </c>
      <c r="K7038" s="18">
        <v>0.68</v>
      </c>
      <c r="L7038" s="22">
        <v>2</v>
      </c>
    </row>
    <row r="7039" spans="1:12">
      <c r="A7039">
        <v>8</v>
      </c>
      <c r="B7039" s="16" t="s">
        <v>63</v>
      </c>
      <c r="C7039" s="9">
        <v>46082</v>
      </c>
      <c r="D7039">
        <v>3</v>
      </c>
      <c r="E7039" s="16" t="s">
        <v>84</v>
      </c>
      <c r="F7039" s="16" t="s">
        <v>85</v>
      </c>
      <c r="G7039" s="22">
        <v>100</v>
      </c>
      <c r="H7039" s="18">
        <v>69.5</v>
      </c>
      <c r="I7039" s="18">
        <v>0.69499999999999995</v>
      </c>
      <c r="J7039" s="18">
        <v>0.7</v>
      </c>
      <c r="K7039" s="18">
        <v>0.69</v>
      </c>
      <c r="L7039" s="22">
        <v>2</v>
      </c>
    </row>
    <row r="7040" spans="1:12">
      <c r="A7040">
        <v>8</v>
      </c>
      <c r="B7040" s="16" t="s">
        <v>63</v>
      </c>
      <c r="C7040" s="9">
        <v>46113</v>
      </c>
      <c r="D7040">
        <v>3</v>
      </c>
      <c r="E7040" s="16" t="s">
        <v>84</v>
      </c>
      <c r="F7040" s="16" t="s">
        <v>85</v>
      </c>
      <c r="G7040" s="22">
        <v>50</v>
      </c>
      <c r="H7040" s="18">
        <v>36</v>
      </c>
      <c r="I7040" s="18">
        <v>0.72</v>
      </c>
      <c r="J7040" s="18">
        <v>0.72</v>
      </c>
      <c r="K7040" s="18">
        <v>0.72</v>
      </c>
      <c r="L7040" s="22">
        <v>1</v>
      </c>
    </row>
    <row r="7041" spans="1:12">
      <c r="A7041">
        <v>8</v>
      </c>
      <c r="B7041" s="16" t="s">
        <v>63</v>
      </c>
      <c r="C7041" s="9">
        <v>46143</v>
      </c>
      <c r="D7041">
        <v>3</v>
      </c>
      <c r="E7041" s="16" t="s">
        <v>84</v>
      </c>
      <c r="F7041" s="16" t="s">
        <v>85</v>
      </c>
      <c r="G7041" s="22">
        <v>100</v>
      </c>
      <c r="H7041" s="18">
        <v>70.5</v>
      </c>
      <c r="I7041" s="18">
        <v>0.70499999999999996</v>
      </c>
      <c r="J7041" s="18">
        <v>0.71</v>
      </c>
      <c r="K7041" s="18">
        <v>0.7</v>
      </c>
      <c r="L7041" s="22">
        <v>2</v>
      </c>
    </row>
    <row r="7042" spans="1:12">
      <c r="A7042">
        <v>8</v>
      </c>
      <c r="B7042" s="16" t="s">
        <v>63</v>
      </c>
      <c r="C7042" s="9">
        <v>46174</v>
      </c>
      <c r="D7042">
        <v>3</v>
      </c>
      <c r="E7042" s="16" t="s">
        <v>84</v>
      </c>
      <c r="F7042" s="16" t="s">
        <v>85</v>
      </c>
      <c r="G7042" s="22">
        <v>100</v>
      </c>
      <c r="H7042" s="18">
        <v>71</v>
      </c>
      <c r="I7042" s="18">
        <v>0.71</v>
      </c>
      <c r="J7042" s="18">
        <v>0.72</v>
      </c>
      <c r="K7042" s="18">
        <v>0.7</v>
      </c>
      <c r="L7042" s="22">
        <v>2</v>
      </c>
    </row>
    <row r="7043" spans="1:12">
      <c r="A7043">
        <v>8</v>
      </c>
      <c r="B7043" s="16" t="s">
        <v>63</v>
      </c>
      <c r="C7043" s="9">
        <v>46204</v>
      </c>
      <c r="D7043">
        <v>3</v>
      </c>
      <c r="E7043" s="16" t="s">
        <v>84</v>
      </c>
      <c r="F7043" s="16" t="s">
        <v>85</v>
      </c>
      <c r="G7043" s="22">
        <v>50</v>
      </c>
      <c r="H7043" s="18">
        <v>36.5</v>
      </c>
      <c r="I7043" s="18">
        <v>0.73</v>
      </c>
      <c r="J7043" s="18">
        <v>0.73</v>
      </c>
      <c r="K7043" s="18">
        <v>0.73</v>
      </c>
      <c r="L7043" s="22">
        <v>1</v>
      </c>
    </row>
    <row r="7044" spans="1:12">
      <c r="A7044">
        <v>8</v>
      </c>
      <c r="B7044" s="16" t="s">
        <v>63</v>
      </c>
      <c r="C7044" s="9">
        <v>46235</v>
      </c>
      <c r="D7044">
        <v>3</v>
      </c>
      <c r="E7044" s="16" t="s">
        <v>84</v>
      </c>
      <c r="F7044" s="16" t="s">
        <v>85</v>
      </c>
      <c r="G7044" s="22">
        <v>100</v>
      </c>
      <c r="H7044" s="18">
        <v>71.5</v>
      </c>
      <c r="I7044" s="18">
        <v>0.71499999999999997</v>
      </c>
      <c r="J7044" s="18">
        <v>0.72</v>
      </c>
      <c r="K7044" s="18">
        <v>0.71</v>
      </c>
      <c r="L7044" s="22">
        <v>2</v>
      </c>
    </row>
    <row r="7045" spans="1:12">
      <c r="A7045">
        <v>8</v>
      </c>
      <c r="B7045" s="16" t="s">
        <v>63</v>
      </c>
      <c r="C7045" s="9">
        <v>46266</v>
      </c>
      <c r="D7045">
        <v>3</v>
      </c>
      <c r="E7045" s="16" t="s">
        <v>84</v>
      </c>
      <c r="F7045" s="16" t="s">
        <v>85</v>
      </c>
      <c r="G7045" s="22">
        <v>100</v>
      </c>
      <c r="H7045" s="18">
        <v>71.5</v>
      </c>
      <c r="I7045" s="18">
        <v>0.71499999999999997</v>
      </c>
      <c r="J7045" s="18">
        <v>0.72</v>
      </c>
      <c r="K7045" s="18">
        <v>0.71</v>
      </c>
      <c r="L7045" s="22">
        <v>2</v>
      </c>
    </row>
    <row r="7046" spans="1:12">
      <c r="A7046">
        <v>8</v>
      </c>
      <c r="B7046" s="16" t="s">
        <v>63</v>
      </c>
      <c r="C7046" s="9">
        <v>45689</v>
      </c>
      <c r="D7046">
        <v>4</v>
      </c>
      <c r="E7046" s="16" t="s">
        <v>86</v>
      </c>
      <c r="F7046" s="16" t="s">
        <v>87</v>
      </c>
      <c r="G7046" s="22">
        <v>14.5</v>
      </c>
      <c r="H7046" s="18">
        <v>268.23</v>
      </c>
      <c r="I7046" s="18">
        <v>18.498620689999999</v>
      </c>
      <c r="J7046" s="18">
        <v>18.850000000000001</v>
      </c>
      <c r="K7046" s="18">
        <v>18.27</v>
      </c>
      <c r="L7046" s="22">
        <v>8</v>
      </c>
    </row>
    <row r="7047" spans="1:12">
      <c r="A7047">
        <v>8</v>
      </c>
      <c r="B7047" s="16" t="s">
        <v>63</v>
      </c>
      <c r="C7047" s="9">
        <v>45717</v>
      </c>
      <c r="D7047">
        <v>4</v>
      </c>
      <c r="E7047" s="16" t="s">
        <v>86</v>
      </c>
      <c r="F7047" s="16" t="s">
        <v>87</v>
      </c>
      <c r="G7047" s="22">
        <v>18.5</v>
      </c>
      <c r="H7047" s="18">
        <v>346.75</v>
      </c>
      <c r="I7047" s="18">
        <v>18.743243242999998</v>
      </c>
      <c r="J7047" s="18">
        <v>19.07</v>
      </c>
      <c r="K7047" s="18">
        <v>18.37</v>
      </c>
      <c r="L7047" s="22">
        <v>8</v>
      </c>
    </row>
    <row r="7048" spans="1:12">
      <c r="A7048">
        <v>8</v>
      </c>
      <c r="B7048" s="16" t="s">
        <v>63</v>
      </c>
      <c r="C7048" s="9">
        <v>45748</v>
      </c>
      <c r="D7048">
        <v>4</v>
      </c>
      <c r="E7048" s="16" t="s">
        <v>86</v>
      </c>
      <c r="F7048" s="16" t="s">
        <v>87</v>
      </c>
      <c r="G7048" s="22">
        <v>17.75</v>
      </c>
      <c r="H7048" s="18">
        <v>336.57</v>
      </c>
      <c r="I7048" s="18">
        <v>18.961690140999998</v>
      </c>
      <c r="J7048" s="18">
        <v>19.43</v>
      </c>
      <c r="K7048" s="18">
        <v>18.420000000000002</v>
      </c>
      <c r="L7048" s="22">
        <v>9</v>
      </c>
    </row>
    <row r="7049" spans="1:12">
      <c r="A7049">
        <v>8</v>
      </c>
      <c r="B7049" s="16" t="s">
        <v>63</v>
      </c>
      <c r="C7049" s="9">
        <v>45778</v>
      </c>
      <c r="D7049">
        <v>4</v>
      </c>
      <c r="E7049" s="16" t="s">
        <v>86</v>
      </c>
      <c r="F7049" s="16" t="s">
        <v>87</v>
      </c>
      <c r="G7049" s="22">
        <v>22</v>
      </c>
      <c r="H7049" s="18">
        <v>423.375</v>
      </c>
      <c r="I7049" s="18">
        <v>19.244318182000001</v>
      </c>
      <c r="J7049" s="18">
        <v>19.47</v>
      </c>
      <c r="K7049" s="18">
        <v>18.96</v>
      </c>
      <c r="L7049" s="22">
        <v>9</v>
      </c>
    </row>
    <row r="7050" spans="1:12">
      <c r="A7050">
        <v>8</v>
      </c>
      <c r="B7050" s="16" t="s">
        <v>63</v>
      </c>
      <c r="C7050" s="9">
        <v>45809</v>
      </c>
      <c r="D7050">
        <v>4</v>
      </c>
      <c r="E7050" s="16" t="s">
        <v>86</v>
      </c>
      <c r="F7050" s="16" t="s">
        <v>87</v>
      </c>
      <c r="G7050" s="22">
        <v>18.25</v>
      </c>
      <c r="H7050" s="18">
        <v>350.77249999999998</v>
      </c>
      <c r="I7050" s="18">
        <v>19.220410958999999</v>
      </c>
      <c r="J7050" s="18">
        <v>19.52</v>
      </c>
      <c r="K7050" s="18">
        <v>18.72</v>
      </c>
      <c r="L7050" s="22">
        <v>7</v>
      </c>
    </row>
    <row r="7051" spans="1:12">
      <c r="A7051">
        <v>8</v>
      </c>
      <c r="B7051" s="16" t="s">
        <v>63</v>
      </c>
      <c r="C7051" s="9">
        <v>45839</v>
      </c>
      <c r="D7051">
        <v>4</v>
      </c>
      <c r="E7051" s="16" t="s">
        <v>86</v>
      </c>
      <c r="F7051" s="16" t="s">
        <v>87</v>
      </c>
      <c r="G7051" s="22">
        <v>18.75</v>
      </c>
      <c r="H7051" s="18">
        <v>363.565</v>
      </c>
      <c r="I7051" s="18">
        <v>19.390133333000001</v>
      </c>
      <c r="J7051" s="18">
        <v>19.72</v>
      </c>
      <c r="K7051" s="18">
        <v>18.97</v>
      </c>
      <c r="L7051" s="22">
        <v>10</v>
      </c>
    </row>
    <row r="7052" spans="1:12">
      <c r="A7052">
        <v>8</v>
      </c>
      <c r="B7052" s="16" t="s">
        <v>63</v>
      </c>
      <c r="C7052" s="9">
        <v>45870</v>
      </c>
      <c r="D7052">
        <v>4</v>
      </c>
      <c r="E7052" s="16" t="s">
        <v>86</v>
      </c>
      <c r="F7052" s="16" t="s">
        <v>87</v>
      </c>
      <c r="G7052" s="22">
        <v>18.75</v>
      </c>
      <c r="H7052" s="18">
        <v>370.36</v>
      </c>
      <c r="I7052" s="18">
        <v>19.752533332999999</v>
      </c>
      <c r="J7052" s="18">
        <v>20.56</v>
      </c>
      <c r="K7052" s="18">
        <v>19.239999999999998</v>
      </c>
      <c r="L7052" s="22">
        <v>7</v>
      </c>
    </row>
    <row r="7053" spans="1:12">
      <c r="A7053">
        <v>8</v>
      </c>
      <c r="B7053" s="16" t="s">
        <v>63</v>
      </c>
      <c r="C7053" s="9">
        <v>45901</v>
      </c>
      <c r="D7053">
        <v>4</v>
      </c>
      <c r="E7053" s="16" t="s">
        <v>86</v>
      </c>
      <c r="F7053" s="16" t="s">
        <v>87</v>
      </c>
      <c r="G7053" s="22">
        <v>18.25</v>
      </c>
      <c r="H7053" s="18">
        <v>356.96249999999998</v>
      </c>
      <c r="I7053" s="18">
        <v>19.559589040999999</v>
      </c>
      <c r="J7053" s="18">
        <v>20.05</v>
      </c>
      <c r="K7053" s="18">
        <v>19.21</v>
      </c>
      <c r="L7053" s="22">
        <v>9</v>
      </c>
    </row>
    <row r="7054" spans="1:12">
      <c r="A7054">
        <v>8</v>
      </c>
      <c r="B7054" s="16" t="s">
        <v>63</v>
      </c>
      <c r="C7054" s="9">
        <v>45931</v>
      </c>
      <c r="D7054">
        <v>4</v>
      </c>
      <c r="E7054" s="16" t="s">
        <v>86</v>
      </c>
      <c r="F7054" s="16" t="s">
        <v>87</v>
      </c>
      <c r="G7054" s="22">
        <v>20.25</v>
      </c>
      <c r="H7054" s="18">
        <v>390.09</v>
      </c>
      <c r="I7054" s="18">
        <v>19.263703704000001</v>
      </c>
      <c r="J7054" s="18">
        <v>19.79</v>
      </c>
      <c r="K7054" s="18">
        <v>19</v>
      </c>
      <c r="L7054" s="22">
        <v>9</v>
      </c>
    </row>
    <row r="7055" spans="1:12">
      <c r="A7055">
        <v>8</v>
      </c>
      <c r="B7055" s="16" t="s">
        <v>63</v>
      </c>
      <c r="C7055" s="9">
        <v>45962</v>
      </c>
      <c r="D7055">
        <v>4</v>
      </c>
      <c r="E7055" s="16" t="s">
        <v>86</v>
      </c>
      <c r="F7055" s="16" t="s">
        <v>87</v>
      </c>
      <c r="G7055" s="22">
        <v>15</v>
      </c>
      <c r="H7055" s="18">
        <v>292.45749999999998</v>
      </c>
      <c r="I7055" s="18">
        <v>19.497166666999998</v>
      </c>
      <c r="J7055" s="18">
        <v>20.260000000000002</v>
      </c>
      <c r="K7055" s="18">
        <v>18.88</v>
      </c>
      <c r="L7055" s="22">
        <v>8</v>
      </c>
    </row>
    <row r="7056" spans="1:12">
      <c r="A7056">
        <v>8</v>
      </c>
      <c r="B7056" s="16" t="s">
        <v>63</v>
      </c>
      <c r="C7056" s="9">
        <v>45992</v>
      </c>
      <c r="D7056">
        <v>4</v>
      </c>
      <c r="E7056" s="16" t="s">
        <v>86</v>
      </c>
      <c r="F7056" s="16" t="s">
        <v>87</v>
      </c>
      <c r="G7056" s="22">
        <v>17.5</v>
      </c>
      <c r="H7056" s="18">
        <v>336.46</v>
      </c>
      <c r="I7056" s="18">
        <v>19.226285713999999</v>
      </c>
      <c r="J7056" s="18">
        <v>19.97</v>
      </c>
      <c r="K7056" s="18">
        <v>18.84</v>
      </c>
      <c r="L7056" s="22">
        <v>9</v>
      </c>
    </row>
    <row r="7057" spans="1:12">
      <c r="A7057">
        <v>8</v>
      </c>
      <c r="B7057" s="16" t="s">
        <v>63</v>
      </c>
      <c r="C7057" s="9">
        <v>46023</v>
      </c>
      <c r="D7057">
        <v>4</v>
      </c>
      <c r="E7057" s="16" t="s">
        <v>86</v>
      </c>
      <c r="F7057" s="16" t="s">
        <v>87</v>
      </c>
      <c r="G7057" s="22">
        <v>17.75</v>
      </c>
      <c r="H7057" s="18">
        <v>345.65</v>
      </c>
      <c r="I7057" s="18">
        <v>19.473239437</v>
      </c>
      <c r="J7057" s="18">
        <v>19.829999999999998</v>
      </c>
      <c r="K7057" s="18">
        <v>19.13</v>
      </c>
      <c r="L7057" s="22">
        <v>9</v>
      </c>
    </row>
    <row r="7058" spans="1:12">
      <c r="A7058">
        <v>8</v>
      </c>
      <c r="B7058" s="16" t="s">
        <v>63</v>
      </c>
      <c r="C7058" s="9">
        <v>46054</v>
      </c>
      <c r="D7058">
        <v>4</v>
      </c>
      <c r="E7058" s="16" t="s">
        <v>86</v>
      </c>
      <c r="F7058" s="16" t="s">
        <v>87</v>
      </c>
      <c r="G7058" s="22">
        <v>16.75</v>
      </c>
      <c r="H7058" s="18">
        <v>323.04250000000002</v>
      </c>
      <c r="I7058" s="18">
        <v>19.286119403000001</v>
      </c>
      <c r="J7058" s="18">
        <v>19.73</v>
      </c>
      <c r="K7058" s="18">
        <v>19.05</v>
      </c>
      <c r="L7058" s="22">
        <v>8</v>
      </c>
    </row>
    <row r="7059" spans="1:12">
      <c r="A7059">
        <v>8</v>
      </c>
      <c r="B7059" s="16" t="s">
        <v>63</v>
      </c>
      <c r="C7059" s="9">
        <v>46082</v>
      </c>
      <c r="D7059">
        <v>4</v>
      </c>
      <c r="E7059" s="16" t="s">
        <v>86</v>
      </c>
      <c r="F7059" s="16" t="s">
        <v>87</v>
      </c>
      <c r="G7059" s="22">
        <v>17.5</v>
      </c>
      <c r="H7059" s="18">
        <v>343.64749999999998</v>
      </c>
      <c r="I7059" s="18">
        <v>19.637</v>
      </c>
      <c r="J7059" s="18">
        <v>19.91</v>
      </c>
      <c r="K7059" s="18">
        <v>19.420000000000002</v>
      </c>
      <c r="L7059" s="22">
        <v>9</v>
      </c>
    </row>
    <row r="7060" spans="1:12">
      <c r="A7060">
        <v>8</v>
      </c>
      <c r="B7060" s="16" t="s">
        <v>63</v>
      </c>
      <c r="C7060" s="9">
        <v>46113</v>
      </c>
      <c r="D7060">
        <v>4</v>
      </c>
      <c r="E7060" s="16" t="s">
        <v>86</v>
      </c>
      <c r="F7060" s="16" t="s">
        <v>87</v>
      </c>
      <c r="G7060" s="22">
        <v>18.75</v>
      </c>
      <c r="H7060" s="18">
        <v>373.11750000000001</v>
      </c>
      <c r="I7060" s="18">
        <v>19.8996</v>
      </c>
      <c r="J7060" s="18">
        <v>20.69</v>
      </c>
      <c r="K7060" s="18">
        <v>19.22</v>
      </c>
      <c r="L7060" s="22">
        <v>9</v>
      </c>
    </row>
    <row r="7061" spans="1:12">
      <c r="A7061">
        <v>8</v>
      </c>
      <c r="B7061" s="16" t="s">
        <v>63</v>
      </c>
      <c r="C7061" s="9">
        <v>46143</v>
      </c>
      <c r="D7061">
        <v>4</v>
      </c>
      <c r="E7061" s="16" t="s">
        <v>86</v>
      </c>
      <c r="F7061" s="16" t="s">
        <v>87</v>
      </c>
      <c r="G7061" s="22">
        <v>17</v>
      </c>
      <c r="H7061" s="18">
        <v>337.35</v>
      </c>
      <c r="I7061" s="18">
        <v>19.844117647000001</v>
      </c>
      <c r="J7061" s="18">
        <v>20.86</v>
      </c>
      <c r="K7061" s="18">
        <v>19.420000000000002</v>
      </c>
      <c r="L7061" s="22">
        <v>8</v>
      </c>
    </row>
    <row r="7062" spans="1:12">
      <c r="A7062">
        <v>8</v>
      </c>
      <c r="B7062" s="16" t="s">
        <v>63</v>
      </c>
      <c r="C7062" s="9">
        <v>46174</v>
      </c>
      <c r="D7062">
        <v>4</v>
      </c>
      <c r="E7062" s="16" t="s">
        <v>86</v>
      </c>
      <c r="F7062" s="16" t="s">
        <v>87</v>
      </c>
      <c r="G7062" s="22">
        <v>13.5</v>
      </c>
      <c r="H7062" s="18">
        <v>264.755</v>
      </c>
      <c r="I7062" s="18">
        <v>19.611481480999998</v>
      </c>
      <c r="J7062" s="18">
        <v>19.899999999999999</v>
      </c>
      <c r="K7062" s="18">
        <v>19.36</v>
      </c>
      <c r="L7062" s="22">
        <v>9</v>
      </c>
    </row>
    <row r="7063" spans="1:12">
      <c r="A7063">
        <v>8</v>
      </c>
      <c r="B7063" s="16" t="s">
        <v>63</v>
      </c>
      <c r="C7063" s="9">
        <v>46204</v>
      </c>
      <c r="D7063">
        <v>4</v>
      </c>
      <c r="E7063" s="16" t="s">
        <v>86</v>
      </c>
      <c r="F7063" s="16" t="s">
        <v>87</v>
      </c>
      <c r="G7063" s="22">
        <v>19</v>
      </c>
      <c r="H7063" s="18">
        <v>378.46</v>
      </c>
      <c r="I7063" s="18">
        <v>19.918947368000001</v>
      </c>
      <c r="J7063" s="18">
        <v>20.95</v>
      </c>
      <c r="K7063" s="18">
        <v>19.45</v>
      </c>
      <c r="L7063" s="22">
        <v>9</v>
      </c>
    </row>
    <row r="7064" spans="1:12">
      <c r="A7064">
        <v>8</v>
      </c>
      <c r="B7064" s="16" t="s">
        <v>63</v>
      </c>
      <c r="C7064" s="9">
        <v>46235</v>
      </c>
      <c r="D7064">
        <v>4</v>
      </c>
      <c r="E7064" s="16" t="s">
        <v>86</v>
      </c>
      <c r="F7064" s="16" t="s">
        <v>87</v>
      </c>
      <c r="G7064" s="22">
        <v>15.25</v>
      </c>
      <c r="H7064" s="18">
        <v>303.46749999999997</v>
      </c>
      <c r="I7064" s="18">
        <v>19.899508196999999</v>
      </c>
      <c r="J7064" s="18">
        <v>20.61</v>
      </c>
      <c r="K7064" s="18">
        <v>19.41</v>
      </c>
      <c r="L7064" s="22">
        <v>8</v>
      </c>
    </row>
    <row r="7065" spans="1:12">
      <c r="A7065">
        <v>8</v>
      </c>
      <c r="B7065" s="16" t="s">
        <v>63</v>
      </c>
      <c r="C7065" s="9">
        <v>46266</v>
      </c>
      <c r="D7065">
        <v>4</v>
      </c>
      <c r="E7065" s="16" t="s">
        <v>86</v>
      </c>
      <c r="F7065" s="16" t="s">
        <v>87</v>
      </c>
      <c r="G7065" s="22">
        <v>14.75</v>
      </c>
      <c r="H7065" s="18">
        <v>292.10250000000002</v>
      </c>
      <c r="I7065" s="18">
        <v>19.803559322000002</v>
      </c>
      <c r="J7065" s="18">
        <v>20.059999999999999</v>
      </c>
      <c r="K7065" s="18">
        <v>19.41</v>
      </c>
      <c r="L7065" s="22">
        <v>8</v>
      </c>
    </row>
    <row r="7066" spans="1:12">
      <c r="A7066">
        <v>8</v>
      </c>
      <c r="B7066" s="16" t="s">
        <v>63</v>
      </c>
      <c r="C7066" s="9">
        <v>45689</v>
      </c>
      <c r="D7066">
        <v>5</v>
      </c>
      <c r="E7066" s="16" t="s">
        <v>88</v>
      </c>
      <c r="F7066" s="16" t="s">
        <v>83</v>
      </c>
      <c r="G7066" s="22">
        <v>186</v>
      </c>
      <c r="H7066" s="18">
        <v>78.959999999999994</v>
      </c>
      <c r="I7066" s="18">
        <v>0.42451612900000002</v>
      </c>
      <c r="J7066" s="18">
        <v>0.43</v>
      </c>
      <c r="K7066" s="18">
        <v>0.42</v>
      </c>
      <c r="L7066" s="22">
        <v>8</v>
      </c>
    </row>
    <row r="7067" spans="1:12">
      <c r="A7067">
        <v>8</v>
      </c>
      <c r="B7067" s="16" t="s">
        <v>63</v>
      </c>
      <c r="C7067" s="9">
        <v>45717</v>
      </c>
      <c r="D7067">
        <v>5</v>
      </c>
      <c r="E7067" s="16" t="s">
        <v>88</v>
      </c>
      <c r="F7067" s="16" t="s">
        <v>83</v>
      </c>
      <c r="G7067" s="22">
        <v>228</v>
      </c>
      <c r="H7067" s="18">
        <v>97.56</v>
      </c>
      <c r="I7067" s="18">
        <v>0.42789473700000002</v>
      </c>
      <c r="J7067" s="18">
        <v>0.44</v>
      </c>
      <c r="K7067" s="18">
        <v>0.42</v>
      </c>
      <c r="L7067" s="22">
        <v>9</v>
      </c>
    </row>
    <row r="7068" spans="1:12">
      <c r="A7068">
        <v>8</v>
      </c>
      <c r="B7068" s="16" t="s">
        <v>63</v>
      </c>
      <c r="C7068" s="9">
        <v>45748</v>
      </c>
      <c r="D7068">
        <v>5</v>
      </c>
      <c r="E7068" s="16" t="s">
        <v>88</v>
      </c>
      <c r="F7068" s="16" t="s">
        <v>83</v>
      </c>
      <c r="G7068" s="22">
        <v>216</v>
      </c>
      <c r="H7068" s="18">
        <v>92.22</v>
      </c>
      <c r="I7068" s="18">
        <v>0.42694444399999998</v>
      </c>
      <c r="J7068" s="18">
        <v>0.43</v>
      </c>
      <c r="K7068" s="18">
        <v>0.42</v>
      </c>
      <c r="L7068" s="22">
        <v>8</v>
      </c>
    </row>
    <row r="7069" spans="1:12">
      <c r="A7069">
        <v>8</v>
      </c>
      <c r="B7069" s="16" t="s">
        <v>63</v>
      </c>
      <c r="C7069" s="9">
        <v>45778</v>
      </c>
      <c r="D7069">
        <v>5</v>
      </c>
      <c r="E7069" s="16" t="s">
        <v>88</v>
      </c>
      <c r="F7069" s="16" t="s">
        <v>83</v>
      </c>
      <c r="G7069" s="22">
        <v>300</v>
      </c>
      <c r="H7069" s="18">
        <v>128.88</v>
      </c>
      <c r="I7069" s="18">
        <v>0.42959999999999998</v>
      </c>
      <c r="J7069" s="18">
        <v>0.45</v>
      </c>
      <c r="K7069" s="18">
        <v>0.42</v>
      </c>
      <c r="L7069" s="22">
        <v>9</v>
      </c>
    </row>
    <row r="7070" spans="1:12">
      <c r="A7070">
        <v>8</v>
      </c>
      <c r="B7070" s="16" t="s">
        <v>63</v>
      </c>
      <c r="C7070" s="9">
        <v>45809</v>
      </c>
      <c r="D7070">
        <v>5</v>
      </c>
      <c r="E7070" s="16" t="s">
        <v>88</v>
      </c>
      <c r="F7070" s="16" t="s">
        <v>83</v>
      </c>
      <c r="G7070" s="22">
        <v>282</v>
      </c>
      <c r="H7070" s="18">
        <v>121.8</v>
      </c>
      <c r="I7070" s="18">
        <v>0.43191489399999999</v>
      </c>
      <c r="J7070" s="18">
        <v>0.46</v>
      </c>
      <c r="K7070" s="18">
        <v>0.42</v>
      </c>
      <c r="L7070" s="22">
        <v>9</v>
      </c>
    </row>
    <row r="7071" spans="1:12">
      <c r="A7071">
        <v>8</v>
      </c>
      <c r="B7071" s="16" t="s">
        <v>63</v>
      </c>
      <c r="C7071" s="9">
        <v>45839</v>
      </c>
      <c r="D7071">
        <v>5</v>
      </c>
      <c r="E7071" s="16" t="s">
        <v>88</v>
      </c>
      <c r="F7071" s="16" t="s">
        <v>83</v>
      </c>
      <c r="G7071" s="22">
        <v>234</v>
      </c>
      <c r="H7071" s="18">
        <v>101.46</v>
      </c>
      <c r="I7071" s="18">
        <v>0.433589744</v>
      </c>
      <c r="J7071" s="18">
        <v>0.44</v>
      </c>
      <c r="K7071" s="18">
        <v>0.43</v>
      </c>
      <c r="L7071" s="22">
        <v>9</v>
      </c>
    </row>
    <row r="7072" spans="1:12">
      <c r="A7072">
        <v>8</v>
      </c>
      <c r="B7072" s="16" t="s">
        <v>63</v>
      </c>
      <c r="C7072" s="9">
        <v>45870</v>
      </c>
      <c r="D7072">
        <v>5</v>
      </c>
      <c r="E7072" s="16" t="s">
        <v>88</v>
      </c>
      <c r="F7072" s="16" t="s">
        <v>83</v>
      </c>
      <c r="G7072" s="22">
        <v>258</v>
      </c>
      <c r="H7072" s="18">
        <v>111.6</v>
      </c>
      <c r="I7072" s="18">
        <v>0.43255813999999998</v>
      </c>
      <c r="J7072" s="18">
        <v>0.44</v>
      </c>
      <c r="K7072" s="18">
        <v>0.43</v>
      </c>
      <c r="L7072" s="22">
        <v>8</v>
      </c>
    </row>
    <row r="7073" spans="1:12">
      <c r="A7073">
        <v>8</v>
      </c>
      <c r="B7073" s="16" t="s">
        <v>63</v>
      </c>
      <c r="C7073" s="9">
        <v>45901</v>
      </c>
      <c r="D7073">
        <v>5</v>
      </c>
      <c r="E7073" s="16" t="s">
        <v>88</v>
      </c>
      <c r="F7073" s="16" t="s">
        <v>83</v>
      </c>
      <c r="G7073" s="22">
        <v>240</v>
      </c>
      <c r="H7073" s="18">
        <v>104.4</v>
      </c>
      <c r="I7073" s="18">
        <v>0.435</v>
      </c>
      <c r="J7073" s="18">
        <v>0.44</v>
      </c>
      <c r="K7073" s="18">
        <v>0.43</v>
      </c>
      <c r="L7073" s="22">
        <v>9</v>
      </c>
    </row>
    <row r="7074" spans="1:12">
      <c r="A7074">
        <v>8</v>
      </c>
      <c r="B7074" s="16" t="s">
        <v>63</v>
      </c>
      <c r="C7074" s="9">
        <v>45931</v>
      </c>
      <c r="D7074">
        <v>5</v>
      </c>
      <c r="E7074" s="16" t="s">
        <v>88</v>
      </c>
      <c r="F7074" s="16" t="s">
        <v>83</v>
      </c>
      <c r="G7074" s="22">
        <v>252</v>
      </c>
      <c r="H7074" s="18">
        <v>109.62</v>
      </c>
      <c r="I7074" s="18">
        <v>0.435</v>
      </c>
      <c r="J7074" s="18">
        <v>0.44</v>
      </c>
      <c r="K7074" s="18">
        <v>0.43</v>
      </c>
      <c r="L7074" s="22">
        <v>9</v>
      </c>
    </row>
    <row r="7075" spans="1:12">
      <c r="A7075">
        <v>8</v>
      </c>
      <c r="B7075" s="16" t="s">
        <v>63</v>
      </c>
      <c r="C7075" s="9">
        <v>45962</v>
      </c>
      <c r="D7075">
        <v>5</v>
      </c>
      <c r="E7075" s="16" t="s">
        <v>88</v>
      </c>
      <c r="F7075" s="16" t="s">
        <v>83</v>
      </c>
      <c r="G7075" s="22">
        <v>204</v>
      </c>
      <c r="H7075" s="18">
        <v>88.38</v>
      </c>
      <c r="I7075" s="18">
        <v>0.43323529399999999</v>
      </c>
      <c r="J7075" s="18">
        <v>0.44</v>
      </c>
      <c r="K7075" s="18">
        <v>0.42</v>
      </c>
      <c r="L7075" s="22">
        <v>8</v>
      </c>
    </row>
    <row r="7076" spans="1:12">
      <c r="A7076">
        <v>8</v>
      </c>
      <c r="B7076" s="16" t="s">
        <v>63</v>
      </c>
      <c r="C7076" s="9">
        <v>45992</v>
      </c>
      <c r="D7076">
        <v>5</v>
      </c>
      <c r="E7076" s="16" t="s">
        <v>88</v>
      </c>
      <c r="F7076" s="16" t="s">
        <v>83</v>
      </c>
      <c r="G7076" s="22">
        <v>210</v>
      </c>
      <c r="H7076" s="18">
        <v>92.52</v>
      </c>
      <c r="I7076" s="18">
        <v>0.44057142900000001</v>
      </c>
      <c r="J7076" s="18">
        <v>0.47</v>
      </c>
      <c r="K7076" s="18">
        <v>0.43</v>
      </c>
      <c r="L7076" s="22">
        <v>9</v>
      </c>
    </row>
    <row r="7077" spans="1:12">
      <c r="A7077">
        <v>8</v>
      </c>
      <c r="B7077" s="16" t="s">
        <v>63</v>
      </c>
      <c r="C7077" s="9">
        <v>46023</v>
      </c>
      <c r="D7077">
        <v>5</v>
      </c>
      <c r="E7077" s="16" t="s">
        <v>88</v>
      </c>
      <c r="F7077" s="16" t="s">
        <v>83</v>
      </c>
      <c r="G7077" s="22">
        <v>198</v>
      </c>
      <c r="H7077" s="18">
        <v>86.52</v>
      </c>
      <c r="I7077" s="18">
        <v>0.43696969699999999</v>
      </c>
      <c r="J7077" s="18">
        <v>0.45</v>
      </c>
      <c r="K7077" s="18">
        <v>0.43</v>
      </c>
      <c r="L7077" s="22">
        <v>9</v>
      </c>
    </row>
    <row r="7078" spans="1:12">
      <c r="A7078">
        <v>8</v>
      </c>
      <c r="B7078" s="16" t="s">
        <v>63</v>
      </c>
      <c r="C7078" s="9">
        <v>46054</v>
      </c>
      <c r="D7078">
        <v>5</v>
      </c>
      <c r="E7078" s="16" t="s">
        <v>88</v>
      </c>
      <c r="F7078" s="16" t="s">
        <v>83</v>
      </c>
      <c r="G7078" s="22">
        <v>198</v>
      </c>
      <c r="H7078" s="18">
        <v>86.04</v>
      </c>
      <c r="I7078" s="18">
        <v>0.43454545500000002</v>
      </c>
      <c r="J7078" s="18">
        <v>0.44</v>
      </c>
      <c r="K7078" s="18">
        <v>0.43</v>
      </c>
      <c r="L7078" s="22">
        <v>8</v>
      </c>
    </row>
    <row r="7079" spans="1:12">
      <c r="A7079">
        <v>8</v>
      </c>
      <c r="B7079" s="16" t="s">
        <v>63</v>
      </c>
      <c r="C7079" s="9">
        <v>46082</v>
      </c>
      <c r="D7079">
        <v>5</v>
      </c>
      <c r="E7079" s="16" t="s">
        <v>88</v>
      </c>
      <c r="F7079" s="16" t="s">
        <v>83</v>
      </c>
      <c r="G7079" s="22">
        <v>198</v>
      </c>
      <c r="H7079" s="18">
        <v>86.28</v>
      </c>
      <c r="I7079" s="18">
        <v>0.43575757599999998</v>
      </c>
      <c r="J7079" s="18">
        <v>0.44</v>
      </c>
      <c r="K7079" s="18">
        <v>0.43</v>
      </c>
      <c r="L7079" s="22">
        <v>9</v>
      </c>
    </row>
    <row r="7080" spans="1:12">
      <c r="A7080">
        <v>8</v>
      </c>
      <c r="B7080" s="16" t="s">
        <v>63</v>
      </c>
      <c r="C7080" s="9">
        <v>46113</v>
      </c>
      <c r="D7080">
        <v>5</v>
      </c>
      <c r="E7080" s="16" t="s">
        <v>88</v>
      </c>
      <c r="F7080" s="16" t="s">
        <v>83</v>
      </c>
      <c r="G7080" s="22">
        <v>240</v>
      </c>
      <c r="H7080" s="18">
        <v>106.32</v>
      </c>
      <c r="I7080" s="18">
        <v>0.443</v>
      </c>
      <c r="J7080" s="18">
        <v>0.45</v>
      </c>
      <c r="K7080" s="18">
        <v>0.44</v>
      </c>
      <c r="L7080" s="22">
        <v>9</v>
      </c>
    </row>
    <row r="7081" spans="1:12">
      <c r="A7081">
        <v>8</v>
      </c>
      <c r="B7081" s="16" t="s">
        <v>63</v>
      </c>
      <c r="C7081" s="9">
        <v>46143</v>
      </c>
      <c r="D7081">
        <v>5</v>
      </c>
      <c r="E7081" s="16" t="s">
        <v>88</v>
      </c>
      <c r="F7081" s="16" t="s">
        <v>83</v>
      </c>
      <c r="G7081" s="22">
        <v>204</v>
      </c>
      <c r="H7081" s="18">
        <v>90.42</v>
      </c>
      <c r="I7081" s="18">
        <v>0.443235294</v>
      </c>
      <c r="J7081" s="18">
        <v>0.46</v>
      </c>
      <c r="K7081" s="18">
        <v>0.43</v>
      </c>
      <c r="L7081" s="22">
        <v>8</v>
      </c>
    </row>
    <row r="7082" spans="1:12">
      <c r="A7082">
        <v>8</v>
      </c>
      <c r="B7082" s="16" t="s">
        <v>63</v>
      </c>
      <c r="C7082" s="9">
        <v>46174</v>
      </c>
      <c r="D7082">
        <v>5</v>
      </c>
      <c r="E7082" s="16" t="s">
        <v>88</v>
      </c>
      <c r="F7082" s="16" t="s">
        <v>83</v>
      </c>
      <c r="G7082" s="22">
        <v>186</v>
      </c>
      <c r="H7082" s="18">
        <v>82.5</v>
      </c>
      <c r="I7082" s="18">
        <v>0.44354838699999999</v>
      </c>
      <c r="J7082" s="18">
        <v>0.45</v>
      </c>
      <c r="K7082" s="18">
        <v>0.44</v>
      </c>
      <c r="L7082" s="22">
        <v>9</v>
      </c>
    </row>
    <row r="7083" spans="1:12">
      <c r="A7083">
        <v>8</v>
      </c>
      <c r="B7083" s="16" t="s">
        <v>63</v>
      </c>
      <c r="C7083" s="9">
        <v>46204</v>
      </c>
      <c r="D7083">
        <v>5</v>
      </c>
      <c r="E7083" s="16" t="s">
        <v>88</v>
      </c>
      <c r="F7083" s="16" t="s">
        <v>83</v>
      </c>
      <c r="G7083" s="22">
        <v>234</v>
      </c>
      <c r="H7083" s="18">
        <v>104.52</v>
      </c>
      <c r="I7083" s="18">
        <v>0.44666666700000002</v>
      </c>
      <c r="J7083" s="18">
        <v>0.46</v>
      </c>
      <c r="K7083" s="18">
        <v>0.44</v>
      </c>
      <c r="L7083" s="22">
        <v>9</v>
      </c>
    </row>
    <row r="7084" spans="1:12">
      <c r="A7084">
        <v>8</v>
      </c>
      <c r="B7084" s="16" t="s">
        <v>63</v>
      </c>
      <c r="C7084" s="9">
        <v>46235</v>
      </c>
      <c r="D7084">
        <v>5</v>
      </c>
      <c r="E7084" s="16" t="s">
        <v>88</v>
      </c>
      <c r="F7084" s="16" t="s">
        <v>83</v>
      </c>
      <c r="G7084" s="22">
        <v>204</v>
      </c>
      <c r="H7084" s="18">
        <v>91.38</v>
      </c>
      <c r="I7084" s="18">
        <v>0.447941176</v>
      </c>
      <c r="J7084" s="18">
        <v>0.46</v>
      </c>
      <c r="K7084" s="18">
        <v>0.44</v>
      </c>
      <c r="L7084" s="22">
        <v>9</v>
      </c>
    </row>
    <row r="7085" spans="1:12">
      <c r="A7085">
        <v>8</v>
      </c>
      <c r="B7085" s="16" t="s">
        <v>63</v>
      </c>
      <c r="C7085" s="9">
        <v>46266</v>
      </c>
      <c r="D7085">
        <v>5</v>
      </c>
      <c r="E7085" s="16" t="s">
        <v>88</v>
      </c>
      <c r="F7085" s="16" t="s">
        <v>83</v>
      </c>
      <c r="G7085" s="22">
        <v>174</v>
      </c>
      <c r="H7085" s="18">
        <v>78.84</v>
      </c>
      <c r="I7085" s="18">
        <v>0.45310344800000002</v>
      </c>
      <c r="J7085" s="18">
        <v>0.47</v>
      </c>
      <c r="K7085" s="18">
        <v>0.44</v>
      </c>
      <c r="L7085" s="22">
        <v>8</v>
      </c>
    </row>
    <row r="7086" spans="1:12">
      <c r="A7086">
        <v>8</v>
      </c>
      <c r="B7086" s="16" t="s">
        <v>63</v>
      </c>
      <c r="C7086" s="9">
        <v>45689</v>
      </c>
      <c r="D7086">
        <v>6</v>
      </c>
      <c r="E7086" s="16" t="s">
        <v>89</v>
      </c>
      <c r="F7086" s="16" t="s">
        <v>90</v>
      </c>
      <c r="G7086" s="22">
        <v>12</v>
      </c>
      <c r="H7086" s="18">
        <v>329.7</v>
      </c>
      <c r="I7086" s="18">
        <v>27.475000000000001</v>
      </c>
      <c r="J7086" s="18">
        <v>27.68</v>
      </c>
      <c r="K7086" s="18">
        <v>27.27</v>
      </c>
      <c r="L7086" s="22">
        <v>2</v>
      </c>
    </row>
    <row r="7087" spans="1:12">
      <c r="A7087">
        <v>8</v>
      </c>
      <c r="B7087" s="16" t="s">
        <v>63</v>
      </c>
      <c r="C7087" s="9">
        <v>45717</v>
      </c>
      <c r="D7087">
        <v>6</v>
      </c>
      <c r="E7087" s="16" t="s">
        <v>89</v>
      </c>
      <c r="F7087" s="16" t="s">
        <v>90</v>
      </c>
      <c r="G7087" s="22">
        <v>12</v>
      </c>
      <c r="H7087" s="18">
        <v>333.06</v>
      </c>
      <c r="I7087" s="18">
        <v>27.754999999999999</v>
      </c>
      <c r="J7087" s="18">
        <v>27.76</v>
      </c>
      <c r="K7087" s="18">
        <v>27.75</v>
      </c>
      <c r="L7087" s="22">
        <v>2</v>
      </c>
    </row>
    <row r="7088" spans="1:12">
      <c r="A7088">
        <v>8</v>
      </c>
      <c r="B7088" s="16" t="s">
        <v>63</v>
      </c>
      <c r="C7088" s="9">
        <v>45748</v>
      </c>
      <c r="D7088">
        <v>6</v>
      </c>
      <c r="E7088" s="16" t="s">
        <v>89</v>
      </c>
      <c r="F7088" s="16" t="s">
        <v>90</v>
      </c>
      <c r="G7088" s="22">
        <v>10</v>
      </c>
      <c r="H7088" s="18">
        <v>277.77999999999997</v>
      </c>
      <c r="I7088" s="18">
        <v>27.777999999999999</v>
      </c>
      <c r="J7088" s="18">
        <v>27.85</v>
      </c>
      <c r="K7088" s="18">
        <v>27.73</v>
      </c>
      <c r="L7088" s="22">
        <v>2</v>
      </c>
    </row>
    <row r="7089" spans="1:12">
      <c r="A7089">
        <v>8</v>
      </c>
      <c r="B7089" s="16" t="s">
        <v>63</v>
      </c>
      <c r="C7089" s="9">
        <v>45778</v>
      </c>
      <c r="D7089">
        <v>6</v>
      </c>
      <c r="E7089" s="16" t="s">
        <v>89</v>
      </c>
      <c r="F7089" s="16" t="s">
        <v>90</v>
      </c>
      <c r="G7089" s="22">
        <v>16</v>
      </c>
      <c r="H7089" s="18">
        <v>440.02</v>
      </c>
      <c r="I7089" s="18">
        <v>27.501249999999999</v>
      </c>
      <c r="J7089" s="18">
        <v>27.81</v>
      </c>
      <c r="K7089" s="18">
        <v>26.89</v>
      </c>
      <c r="L7089" s="22">
        <v>3</v>
      </c>
    </row>
    <row r="7090" spans="1:12">
      <c r="A7090">
        <v>8</v>
      </c>
      <c r="B7090" s="16" t="s">
        <v>63</v>
      </c>
      <c r="C7090" s="9">
        <v>45809</v>
      </c>
      <c r="D7090">
        <v>6</v>
      </c>
      <c r="E7090" s="16" t="s">
        <v>89</v>
      </c>
      <c r="F7090" s="16" t="s">
        <v>90</v>
      </c>
      <c r="G7090" s="22">
        <v>12</v>
      </c>
      <c r="H7090" s="18">
        <v>345.42</v>
      </c>
      <c r="I7090" s="18">
        <v>28.785</v>
      </c>
      <c r="J7090" s="18">
        <v>29.26</v>
      </c>
      <c r="K7090" s="18">
        <v>28.31</v>
      </c>
      <c r="L7090" s="22">
        <v>2</v>
      </c>
    </row>
    <row r="7091" spans="1:12">
      <c r="A7091">
        <v>8</v>
      </c>
      <c r="B7091" s="16" t="s">
        <v>63</v>
      </c>
      <c r="C7091" s="9">
        <v>45839</v>
      </c>
      <c r="D7091">
        <v>6</v>
      </c>
      <c r="E7091" s="16" t="s">
        <v>89</v>
      </c>
      <c r="F7091" s="16" t="s">
        <v>90</v>
      </c>
      <c r="G7091" s="22">
        <v>8</v>
      </c>
      <c r="H7091" s="18">
        <v>220.88</v>
      </c>
      <c r="I7091" s="18">
        <v>27.61</v>
      </c>
      <c r="J7091" s="18">
        <v>27.74</v>
      </c>
      <c r="K7091" s="18">
        <v>27.48</v>
      </c>
      <c r="L7091" s="22">
        <v>2</v>
      </c>
    </row>
    <row r="7092" spans="1:12">
      <c r="A7092">
        <v>8</v>
      </c>
      <c r="B7092" s="16" t="s">
        <v>63</v>
      </c>
      <c r="C7092" s="9">
        <v>45870</v>
      </c>
      <c r="D7092">
        <v>6</v>
      </c>
      <c r="E7092" s="16" t="s">
        <v>89</v>
      </c>
      <c r="F7092" s="16" t="s">
        <v>90</v>
      </c>
      <c r="G7092" s="22">
        <v>10</v>
      </c>
      <c r="H7092" s="18">
        <v>277.58</v>
      </c>
      <c r="I7092" s="18">
        <v>27.757999999999999</v>
      </c>
      <c r="J7092" s="18">
        <v>27.95</v>
      </c>
      <c r="K7092" s="18">
        <v>27.47</v>
      </c>
      <c r="L7092" s="22">
        <v>2</v>
      </c>
    </row>
    <row r="7093" spans="1:12">
      <c r="A7093">
        <v>8</v>
      </c>
      <c r="B7093" s="16" t="s">
        <v>63</v>
      </c>
      <c r="C7093" s="9">
        <v>45901</v>
      </c>
      <c r="D7093">
        <v>6</v>
      </c>
      <c r="E7093" s="16" t="s">
        <v>89</v>
      </c>
      <c r="F7093" s="16" t="s">
        <v>90</v>
      </c>
      <c r="G7093" s="22">
        <v>8</v>
      </c>
      <c r="H7093" s="18">
        <v>230.36</v>
      </c>
      <c r="I7093" s="18">
        <v>28.795000000000002</v>
      </c>
      <c r="J7093" s="18">
        <v>29.57</v>
      </c>
      <c r="K7093" s="18">
        <v>28.02</v>
      </c>
      <c r="L7093" s="22">
        <v>2</v>
      </c>
    </row>
    <row r="7094" spans="1:12">
      <c r="A7094">
        <v>8</v>
      </c>
      <c r="B7094" s="16" t="s">
        <v>63</v>
      </c>
      <c r="C7094" s="9">
        <v>45931</v>
      </c>
      <c r="D7094">
        <v>6</v>
      </c>
      <c r="E7094" s="16" t="s">
        <v>89</v>
      </c>
      <c r="F7094" s="16" t="s">
        <v>90</v>
      </c>
      <c r="G7094" s="22">
        <v>16</v>
      </c>
      <c r="H7094" s="18">
        <v>450.22</v>
      </c>
      <c r="I7094" s="18">
        <v>28.138750000000002</v>
      </c>
      <c r="J7094" s="18">
        <v>28.6</v>
      </c>
      <c r="K7094" s="18">
        <v>27.94</v>
      </c>
      <c r="L7094" s="22">
        <v>3</v>
      </c>
    </row>
    <row r="7095" spans="1:12">
      <c r="A7095">
        <v>8</v>
      </c>
      <c r="B7095" s="16" t="s">
        <v>63</v>
      </c>
      <c r="C7095" s="9">
        <v>45962</v>
      </c>
      <c r="D7095">
        <v>6</v>
      </c>
      <c r="E7095" s="16" t="s">
        <v>89</v>
      </c>
      <c r="F7095" s="16" t="s">
        <v>90</v>
      </c>
      <c r="G7095" s="22">
        <v>12</v>
      </c>
      <c r="H7095" s="18">
        <v>340.44</v>
      </c>
      <c r="I7095" s="18">
        <v>28.37</v>
      </c>
      <c r="J7095" s="18">
        <v>28.74</v>
      </c>
      <c r="K7095" s="18">
        <v>28</v>
      </c>
      <c r="L7095" s="22">
        <v>2</v>
      </c>
    </row>
    <row r="7096" spans="1:12">
      <c r="A7096">
        <v>8</v>
      </c>
      <c r="B7096" s="16" t="s">
        <v>63</v>
      </c>
      <c r="C7096" s="9">
        <v>45992</v>
      </c>
      <c r="D7096">
        <v>6</v>
      </c>
      <c r="E7096" s="16" t="s">
        <v>89</v>
      </c>
      <c r="F7096" s="16" t="s">
        <v>90</v>
      </c>
      <c r="G7096" s="22">
        <v>12</v>
      </c>
      <c r="H7096" s="18">
        <v>337.56</v>
      </c>
      <c r="I7096" s="18">
        <v>28.13</v>
      </c>
      <c r="J7096" s="18">
        <v>28.13</v>
      </c>
      <c r="K7096" s="18">
        <v>28.13</v>
      </c>
      <c r="L7096" s="22">
        <v>2</v>
      </c>
    </row>
    <row r="7097" spans="1:12">
      <c r="A7097">
        <v>8</v>
      </c>
      <c r="B7097" s="16" t="s">
        <v>63</v>
      </c>
      <c r="C7097" s="9">
        <v>46023</v>
      </c>
      <c r="D7097">
        <v>6</v>
      </c>
      <c r="E7097" s="16" t="s">
        <v>89</v>
      </c>
      <c r="F7097" s="16" t="s">
        <v>90</v>
      </c>
      <c r="G7097" s="22">
        <v>10</v>
      </c>
      <c r="H7097" s="18">
        <v>283.95999999999998</v>
      </c>
      <c r="I7097" s="18">
        <v>28.396000000000001</v>
      </c>
      <c r="J7097" s="18">
        <v>28.4</v>
      </c>
      <c r="K7097" s="18">
        <v>28.39</v>
      </c>
      <c r="L7097" s="22">
        <v>2</v>
      </c>
    </row>
    <row r="7098" spans="1:12">
      <c r="A7098">
        <v>8</v>
      </c>
      <c r="B7098" s="16" t="s">
        <v>63</v>
      </c>
      <c r="C7098" s="9">
        <v>46054</v>
      </c>
      <c r="D7098">
        <v>6</v>
      </c>
      <c r="E7098" s="16" t="s">
        <v>89</v>
      </c>
      <c r="F7098" s="16" t="s">
        <v>90</v>
      </c>
      <c r="G7098" s="22">
        <v>10</v>
      </c>
      <c r="H7098" s="18">
        <v>284.10000000000002</v>
      </c>
      <c r="I7098" s="18">
        <v>28.41</v>
      </c>
      <c r="J7098" s="18">
        <v>28.61</v>
      </c>
      <c r="K7098" s="18">
        <v>28.11</v>
      </c>
      <c r="L7098" s="22">
        <v>2</v>
      </c>
    </row>
    <row r="7099" spans="1:12">
      <c r="A7099">
        <v>8</v>
      </c>
      <c r="B7099" s="16" t="s">
        <v>63</v>
      </c>
      <c r="C7099" s="9">
        <v>46082</v>
      </c>
      <c r="D7099">
        <v>6</v>
      </c>
      <c r="E7099" s="16" t="s">
        <v>89</v>
      </c>
      <c r="F7099" s="16" t="s">
        <v>90</v>
      </c>
      <c r="G7099" s="22">
        <v>12</v>
      </c>
      <c r="H7099" s="18">
        <v>335.4</v>
      </c>
      <c r="I7099" s="18">
        <v>27.95</v>
      </c>
      <c r="J7099" s="18">
        <v>28.09</v>
      </c>
      <c r="K7099" s="18">
        <v>27.81</v>
      </c>
      <c r="L7099" s="22">
        <v>2</v>
      </c>
    </row>
    <row r="7100" spans="1:12">
      <c r="A7100">
        <v>8</v>
      </c>
      <c r="B7100" s="16" t="s">
        <v>63</v>
      </c>
      <c r="C7100" s="9">
        <v>46113</v>
      </c>
      <c r="D7100">
        <v>6</v>
      </c>
      <c r="E7100" s="16" t="s">
        <v>89</v>
      </c>
      <c r="F7100" s="16" t="s">
        <v>90</v>
      </c>
      <c r="G7100" s="22">
        <v>14</v>
      </c>
      <c r="H7100" s="18">
        <v>399.04</v>
      </c>
      <c r="I7100" s="18">
        <v>28.502857143</v>
      </c>
      <c r="J7100" s="18">
        <v>28.86</v>
      </c>
      <c r="K7100" s="18">
        <v>28.11</v>
      </c>
      <c r="L7100" s="22">
        <v>3</v>
      </c>
    </row>
    <row r="7101" spans="1:12">
      <c r="A7101">
        <v>8</v>
      </c>
      <c r="B7101" s="16" t="s">
        <v>63</v>
      </c>
      <c r="C7101" s="9">
        <v>46143</v>
      </c>
      <c r="D7101">
        <v>6</v>
      </c>
      <c r="E7101" s="16" t="s">
        <v>89</v>
      </c>
      <c r="F7101" s="16" t="s">
        <v>90</v>
      </c>
      <c r="G7101" s="22">
        <v>8</v>
      </c>
      <c r="H7101" s="18">
        <v>232.2</v>
      </c>
      <c r="I7101" s="18">
        <v>29.024999999999999</v>
      </c>
      <c r="J7101" s="18">
        <v>29.27</v>
      </c>
      <c r="K7101" s="18">
        <v>28.78</v>
      </c>
      <c r="L7101" s="22">
        <v>2</v>
      </c>
    </row>
    <row r="7102" spans="1:12">
      <c r="A7102">
        <v>8</v>
      </c>
      <c r="B7102" s="16" t="s">
        <v>63</v>
      </c>
      <c r="C7102" s="9">
        <v>46174</v>
      </c>
      <c r="D7102">
        <v>6</v>
      </c>
      <c r="E7102" s="16" t="s">
        <v>89</v>
      </c>
      <c r="F7102" s="16" t="s">
        <v>90</v>
      </c>
      <c r="G7102" s="22">
        <v>8</v>
      </c>
      <c r="H7102" s="18">
        <v>228.36</v>
      </c>
      <c r="I7102" s="18">
        <v>28.545000000000002</v>
      </c>
      <c r="J7102" s="18">
        <v>28.89</v>
      </c>
      <c r="K7102" s="18">
        <v>28.2</v>
      </c>
      <c r="L7102" s="22">
        <v>2</v>
      </c>
    </row>
    <row r="7103" spans="1:12">
      <c r="A7103">
        <v>8</v>
      </c>
      <c r="B7103" s="16" t="s">
        <v>63</v>
      </c>
      <c r="C7103" s="9">
        <v>46204</v>
      </c>
      <c r="D7103">
        <v>6</v>
      </c>
      <c r="E7103" s="16" t="s">
        <v>89</v>
      </c>
      <c r="F7103" s="16" t="s">
        <v>90</v>
      </c>
      <c r="G7103" s="22">
        <v>8</v>
      </c>
      <c r="H7103" s="18">
        <v>232.44</v>
      </c>
      <c r="I7103" s="18">
        <v>29.055</v>
      </c>
      <c r="J7103" s="18">
        <v>29.27</v>
      </c>
      <c r="K7103" s="18">
        <v>28.84</v>
      </c>
      <c r="L7103" s="22">
        <v>2</v>
      </c>
    </row>
    <row r="7104" spans="1:12">
      <c r="A7104">
        <v>8</v>
      </c>
      <c r="B7104" s="16" t="s">
        <v>63</v>
      </c>
      <c r="C7104" s="9">
        <v>46235</v>
      </c>
      <c r="D7104">
        <v>6</v>
      </c>
      <c r="E7104" s="16" t="s">
        <v>89</v>
      </c>
      <c r="F7104" s="16" t="s">
        <v>90</v>
      </c>
      <c r="G7104" s="22">
        <v>8</v>
      </c>
      <c r="H7104" s="18">
        <v>224.64</v>
      </c>
      <c r="I7104" s="18">
        <v>28.08</v>
      </c>
      <c r="J7104" s="18">
        <v>28.18</v>
      </c>
      <c r="K7104" s="18">
        <v>27.98</v>
      </c>
      <c r="L7104" s="22">
        <v>2</v>
      </c>
    </row>
    <row r="7105" spans="1:12">
      <c r="A7105">
        <v>8</v>
      </c>
      <c r="B7105" s="16" t="s">
        <v>63</v>
      </c>
      <c r="C7105" s="9">
        <v>46266</v>
      </c>
      <c r="D7105">
        <v>6</v>
      </c>
      <c r="E7105" s="16" t="s">
        <v>89</v>
      </c>
      <c r="F7105" s="16" t="s">
        <v>90</v>
      </c>
      <c r="G7105" s="22">
        <v>8</v>
      </c>
      <c r="H7105" s="18">
        <v>230.48</v>
      </c>
      <c r="I7105" s="18">
        <v>28.81</v>
      </c>
      <c r="J7105" s="18">
        <v>29.43</v>
      </c>
      <c r="K7105" s="18">
        <v>28.19</v>
      </c>
      <c r="L7105" s="22">
        <v>2</v>
      </c>
    </row>
    <row r="7106" spans="1:12">
      <c r="A7106">
        <v>8</v>
      </c>
      <c r="B7106" s="16" t="s">
        <v>63</v>
      </c>
      <c r="C7106" s="9">
        <v>45689</v>
      </c>
      <c r="D7106">
        <v>7</v>
      </c>
      <c r="E7106" s="16" t="s">
        <v>91</v>
      </c>
      <c r="F7106" s="16" t="s">
        <v>92</v>
      </c>
      <c r="G7106" s="22">
        <v>87</v>
      </c>
      <c r="H7106" s="18">
        <v>60.82</v>
      </c>
      <c r="I7106" s="18">
        <v>0.69908046000000001</v>
      </c>
      <c r="J7106" s="18">
        <v>0.71</v>
      </c>
      <c r="K7106" s="18">
        <v>0.69</v>
      </c>
      <c r="L7106" s="22">
        <v>8</v>
      </c>
    </row>
    <row r="7107" spans="1:12">
      <c r="A7107">
        <v>8</v>
      </c>
      <c r="B7107" s="16" t="s">
        <v>63</v>
      </c>
      <c r="C7107" s="9">
        <v>45717</v>
      </c>
      <c r="D7107">
        <v>7</v>
      </c>
      <c r="E7107" s="16" t="s">
        <v>91</v>
      </c>
      <c r="F7107" s="16" t="s">
        <v>92</v>
      </c>
      <c r="G7107" s="22">
        <v>93</v>
      </c>
      <c r="H7107" s="18">
        <v>63.01</v>
      </c>
      <c r="I7107" s="18">
        <v>0.677526882</v>
      </c>
      <c r="J7107" s="18">
        <v>0.7</v>
      </c>
      <c r="K7107" s="18">
        <v>0.67</v>
      </c>
      <c r="L7107" s="22">
        <v>9</v>
      </c>
    </row>
    <row r="7108" spans="1:12">
      <c r="A7108">
        <v>8</v>
      </c>
      <c r="B7108" s="16" t="s">
        <v>63</v>
      </c>
      <c r="C7108" s="9">
        <v>45748</v>
      </c>
      <c r="D7108">
        <v>7</v>
      </c>
      <c r="E7108" s="16" t="s">
        <v>91</v>
      </c>
      <c r="F7108" s="16" t="s">
        <v>92</v>
      </c>
      <c r="G7108" s="22">
        <v>105</v>
      </c>
      <c r="H7108" s="18">
        <v>67.510000000000005</v>
      </c>
      <c r="I7108" s="18">
        <v>0.64295238099999996</v>
      </c>
      <c r="J7108" s="18">
        <v>0.66</v>
      </c>
      <c r="K7108" s="18">
        <v>0.62</v>
      </c>
      <c r="L7108" s="22">
        <v>8</v>
      </c>
    </row>
    <row r="7109" spans="1:12">
      <c r="A7109">
        <v>8</v>
      </c>
      <c r="B7109" s="16" t="s">
        <v>63</v>
      </c>
      <c r="C7109" s="9">
        <v>45778</v>
      </c>
      <c r="D7109">
        <v>7</v>
      </c>
      <c r="E7109" s="16" t="s">
        <v>91</v>
      </c>
      <c r="F7109" s="16" t="s">
        <v>92</v>
      </c>
      <c r="G7109" s="22">
        <v>134</v>
      </c>
      <c r="H7109" s="18">
        <v>80.67</v>
      </c>
      <c r="I7109" s="18">
        <v>0.60201492499999998</v>
      </c>
      <c r="J7109" s="18">
        <v>0.61</v>
      </c>
      <c r="K7109" s="18">
        <v>0.59</v>
      </c>
      <c r="L7109" s="22">
        <v>9</v>
      </c>
    </row>
    <row r="7110" spans="1:12">
      <c r="A7110">
        <v>8</v>
      </c>
      <c r="B7110" s="16" t="s">
        <v>63</v>
      </c>
      <c r="C7110" s="9">
        <v>45809</v>
      </c>
      <c r="D7110">
        <v>7</v>
      </c>
      <c r="E7110" s="16" t="s">
        <v>91</v>
      </c>
      <c r="F7110" s="16" t="s">
        <v>92</v>
      </c>
      <c r="G7110" s="22">
        <v>141</v>
      </c>
      <c r="H7110" s="18">
        <v>81.739999999999995</v>
      </c>
      <c r="I7110" s="18">
        <v>0.57971631199999996</v>
      </c>
      <c r="J7110" s="18">
        <v>0.59</v>
      </c>
      <c r="K7110" s="18">
        <v>0.56999999999999995</v>
      </c>
      <c r="L7110" s="22">
        <v>9</v>
      </c>
    </row>
    <row r="7111" spans="1:12">
      <c r="A7111">
        <v>8</v>
      </c>
      <c r="B7111" s="16" t="s">
        <v>63</v>
      </c>
      <c r="C7111" s="9">
        <v>45839</v>
      </c>
      <c r="D7111">
        <v>7</v>
      </c>
      <c r="E7111" s="16" t="s">
        <v>91</v>
      </c>
      <c r="F7111" s="16" t="s">
        <v>92</v>
      </c>
      <c r="G7111" s="22">
        <v>123</v>
      </c>
      <c r="H7111" s="18">
        <v>68.45</v>
      </c>
      <c r="I7111" s="18">
        <v>0.55650406500000005</v>
      </c>
      <c r="J7111" s="18">
        <v>0.56999999999999995</v>
      </c>
      <c r="K7111" s="18">
        <v>0.55000000000000004</v>
      </c>
      <c r="L7111" s="22">
        <v>9</v>
      </c>
    </row>
    <row r="7112" spans="1:12">
      <c r="A7112">
        <v>8</v>
      </c>
      <c r="B7112" s="16" t="s">
        <v>63</v>
      </c>
      <c r="C7112" s="9">
        <v>45870</v>
      </c>
      <c r="D7112">
        <v>7</v>
      </c>
      <c r="E7112" s="16" t="s">
        <v>91</v>
      </c>
      <c r="F7112" s="16" t="s">
        <v>92</v>
      </c>
      <c r="G7112" s="22">
        <v>106</v>
      </c>
      <c r="H7112" s="18">
        <v>60.57</v>
      </c>
      <c r="I7112" s="18">
        <v>0.57141509400000001</v>
      </c>
      <c r="J7112" s="18">
        <v>0.57999999999999996</v>
      </c>
      <c r="K7112" s="18">
        <v>0.56000000000000005</v>
      </c>
      <c r="L7112" s="22">
        <v>8</v>
      </c>
    </row>
    <row r="7113" spans="1:12">
      <c r="A7113">
        <v>8</v>
      </c>
      <c r="B7113" s="16" t="s">
        <v>63</v>
      </c>
      <c r="C7113" s="9">
        <v>45901</v>
      </c>
      <c r="D7113">
        <v>7</v>
      </c>
      <c r="E7113" s="16" t="s">
        <v>91</v>
      </c>
      <c r="F7113" s="16" t="s">
        <v>92</v>
      </c>
      <c r="G7113" s="22">
        <v>134</v>
      </c>
      <c r="H7113" s="18">
        <v>79.58</v>
      </c>
      <c r="I7113" s="18">
        <v>0.59388059699999995</v>
      </c>
      <c r="J7113" s="18">
        <v>0.61</v>
      </c>
      <c r="K7113" s="18">
        <v>0.59</v>
      </c>
      <c r="L7113" s="22">
        <v>9</v>
      </c>
    </row>
    <row r="7114" spans="1:12">
      <c r="A7114">
        <v>8</v>
      </c>
      <c r="B7114" s="16" t="s">
        <v>63</v>
      </c>
      <c r="C7114" s="9">
        <v>45931</v>
      </c>
      <c r="D7114">
        <v>7</v>
      </c>
      <c r="E7114" s="16" t="s">
        <v>91</v>
      </c>
      <c r="F7114" s="16" t="s">
        <v>92</v>
      </c>
      <c r="G7114" s="22">
        <v>110</v>
      </c>
      <c r="H7114" s="18">
        <v>69.45</v>
      </c>
      <c r="I7114" s="18">
        <v>0.63136363600000001</v>
      </c>
      <c r="J7114" s="18">
        <v>0.65</v>
      </c>
      <c r="K7114" s="18">
        <v>0.62</v>
      </c>
      <c r="L7114" s="22">
        <v>9</v>
      </c>
    </row>
    <row r="7115" spans="1:12">
      <c r="A7115">
        <v>8</v>
      </c>
      <c r="B7115" s="16" t="s">
        <v>63</v>
      </c>
      <c r="C7115" s="9">
        <v>45962</v>
      </c>
      <c r="D7115">
        <v>7</v>
      </c>
      <c r="E7115" s="16" t="s">
        <v>91</v>
      </c>
      <c r="F7115" s="16" t="s">
        <v>92</v>
      </c>
      <c r="G7115" s="22">
        <v>96</v>
      </c>
      <c r="H7115" s="18">
        <v>63.93</v>
      </c>
      <c r="I7115" s="18">
        <v>0.66593749999999996</v>
      </c>
      <c r="J7115" s="18">
        <v>0.68</v>
      </c>
      <c r="K7115" s="18">
        <v>0.66</v>
      </c>
      <c r="L7115" s="22">
        <v>8</v>
      </c>
    </row>
    <row r="7116" spans="1:12">
      <c r="A7116">
        <v>8</v>
      </c>
      <c r="B7116" s="16" t="s">
        <v>63</v>
      </c>
      <c r="C7116" s="9">
        <v>45992</v>
      </c>
      <c r="D7116">
        <v>7</v>
      </c>
      <c r="E7116" s="16" t="s">
        <v>91</v>
      </c>
      <c r="F7116" s="16" t="s">
        <v>92</v>
      </c>
      <c r="G7116" s="22">
        <v>98</v>
      </c>
      <c r="H7116" s="18">
        <v>67.98</v>
      </c>
      <c r="I7116" s="18">
        <v>0.69367346900000004</v>
      </c>
      <c r="J7116" s="18">
        <v>0.74</v>
      </c>
      <c r="K7116" s="18">
        <v>0.68</v>
      </c>
      <c r="L7116" s="22">
        <v>9</v>
      </c>
    </row>
    <row r="7117" spans="1:12">
      <c r="A7117">
        <v>8</v>
      </c>
      <c r="B7117" s="16" t="s">
        <v>63</v>
      </c>
      <c r="C7117" s="9">
        <v>46023</v>
      </c>
      <c r="D7117">
        <v>7</v>
      </c>
      <c r="E7117" s="16" t="s">
        <v>91</v>
      </c>
      <c r="F7117" s="16" t="s">
        <v>92</v>
      </c>
      <c r="G7117" s="22">
        <v>95</v>
      </c>
      <c r="H7117" s="18">
        <v>67.09</v>
      </c>
      <c r="I7117" s="18">
        <v>0.70621052600000001</v>
      </c>
      <c r="J7117" s="18">
        <v>0.72</v>
      </c>
      <c r="K7117" s="18">
        <v>0.7</v>
      </c>
      <c r="L7117" s="22">
        <v>9</v>
      </c>
    </row>
    <row r="7118" spans="1:12">
      <c r="A7118">
        <v>8</v>
      </c>
      <c r="B7118" s="16" t="s">
        <v>63</v>
      </c>
      <c r="C7118" s="9">
        <v>46054</v>
      </c>
      <c r="D7118">
        <v>7</v>
      </c>
      <c r="E7118" s="16" t="s">
        <v>91</v>
      </c>
      <c r="F7118" s="16" t="s">
        <v>92</v>
      </c>
      <c r="G7118" s="22">
        <v>105</v>
      </c>
      <c r="H7118" s="18">
        <v>72.650000000000006</v>
      </c>
      <c r="I7118" s="18">
        <v>0.69190476199999995</v>
      </c>
      <c r="J7118" s="18">
        <v>0.71</v>
      </c>
      <c r="K7118" s="18">
        <v>0.69</v>
      </c>
      <c r="L7118" s="22">
        <v>8</v>
      </c>
    </row>
    <row r="7119" spans="1:12">
      <c r="A7119">
        <v>8</v>
      </c>
      <c r="B7119" s="16" t="s">
        <v>63</v>
      </c>
      <c r="C7119" s="9">
        <v>46082</v>
      </c>
      <c r="D7119">
        <v>7</v>
      </c>
      <c r="E7119" s="16" t="s">
        <v>91</v>
      </c>
      <c r="F7119" s="16" t="s">
        <v>92</v>
      </c>
      <c r="G7119" s="22">
        <v>95</v>
      </c>
      <c r="H7119" s="18">
        <v>63.75</v>
      </c>
      <c r="I7119" s="18">
        <v>0.67105263199999998</v>
      </c>
      <c r="J7119" s="18">
        <v>0.69</v>
      </c>
      <c r="K7119" s="18">
        <v>0.66</v>
      </c>
      <c r="L7119" s="22">
        <v>9</v>
      </c>
    </row>
    <row r="7120" spans="1:12">
      <c r="A7120">
        <v>8</v>
      </c>
      <c r="B7120" s="16" t="s">
        <v>63</v>
      </c>
      <c r="C7120" s="9">
        <v>46113</v>
      </c>
      <c r="D7120">
        <v>7</v>
      </c>
      <c r="E7120" s="16" t="s">
        <v>91</v>
      </c>
      <c r="F7120" s="16" t="s">
        <v>92</v>
      </c>
      <c r="G7120" s="22">
        <v>116</v>
      </c>
      <c r="H7120" s="18">
        <v>74.67</v>
      </c>
      <c r="I7120" s="18">
        <v>0.64370689699999994</v>
      </c>
      <c r="J7120" s="18">
        <v>0.67</v>
      </c>
      <c r="K7120" s="18">
        <v>0.62</v>
      </c>
      <c r="L7120" s="22">
        <v>9</v>
      </c>
    </row>
    <row r="7121" spans="1:12">
      <c r="A7121">
        <v>8</v>
      </c>
      <c r="B7121" s="16" t="s">
        <v>63</v>
      </c>
      <c r="C7121" s="9">
        <v>46143</v>
      </c>
      <c r="D7121">
        <v>7</v>
      </c>
      <c r="E7121" s="16" t="s">
        <v>91</v>
      </c>
      <c r="F7121" s="16" t="s">
        <v>92</v>
      </c>
      <c r="G7121" s="22">
        <v>102</v>
      </c>
      <c r="H7121" s="18">
        <v>62.46</v>
      </c>
      <c r="I7121" s="18">
        <v>0.61235294100000004</v>
      </c>
      <c r="J7121" s="18">
        <v>0.62</v>
      </c>
      <c r="K7121" s="18">
        <v>0.6</v>
      </c>
      <c r="L7121" s="22">
        <v>8</v>
      </c>
    </row>
    <row r="7122" spans="1:12">
      <c r="A7122">
        <v>8</v>
      </c>
      <c r="B7122" s="16" t="s">
        <v>63</v>
      </c>
      <c r="C7122" s="9">
        <v>46174</v>
      </c>
      <c r="D7122">
        <v>7</v>
      </c>
      <c r="E7122" s="16" t="s">
        <v>91</v>
      </c>
      <c r="F7122" s="16" t="s">
        <v>92</v>
      </c>
      <c r="G7122" s="22">
        <v>100</v>
      </c>
      <c r="H7122" s="18">
        <v>58.2</v>
      </c>
      <c r="I7122" s="18">
        <v>0.58199999999999996</v>
      </c>
      <c r="J7122" s="18">
        <v>0.59</v>
      </c>
      <c r="K7122" s="18">
        <v>0.57999999999999996</v>
      </c>
      <c r="L7122" s="22">
        <v>9</v>
      </c>
    </row>
    <row r="7123" spans="1:12">
      <c r="A7123">
        <v>8</v>
      </c>
      <c r="B7123" s="16" t="s">
        <v>63</v>
      </c>
      <c r="C7123" s="9">
        <v>46204</v>
      </c>
      <c r="D7123">
        <v>7</v>
      </c>
      <c r="E7123" s="16" t="s">
        <v>91</v>
      </c>
      <c r="F7123" s="16" t="s">
        <v>92</v>
      </c>
      <c r="G7123" s="22">
        <v>116</v>
      </c>
      <c r="H7123" s="18">
        <v>66.47</v>
      </c>
      <c r="I7123" s="18">
        <v>0.57301724099999995</v>
      </c>
      <c r="J7123" s="18">
        <v>0.59</v>
      </c>
      <c r="K7123" s="18">
        <v>0.56000000000000005</v>
      </c>
      <c r="L7123" s="22">
        <v>9</v>
      </c>
    </row>
    <row r="7124" spans="1:12">
      <c r="A7124">
        <v>8</v>
      </c>
      <c r="B7124" s="16" t="s">
        <v>63</v>
      </c>
      <c r="C7124" s="9">
        <v>46235</v>
      </c>
      <c r="D7124">
        <v>7</v>
      </c>
      <c r="E7124" s="16" t="s">
        <v>91</v>
      </c>
      <c r="F7124" s="16" t="s">
        <v>92</v>
      </c>
      <c r="G7124" s="22">
        <v>98</v>
      </c>
      <c r="H7124" s="18">
        <v>56.29</v>
      </c>
      <c r="I7124" s="18">
        <v>0.57438775500000006</v>
      </c>
      <c r="J7124" s="18">
        <v>0.59</v>
      </c>
      <c r="K7124" s="18">
        <v>0.56000000000000005</v>
      </c>
      <c r="L7124" s="22">
        <v>9</v>
      </c>
    </row>
    <row r="7125" spans="1:12">
      <c r="A7125">
        <v>8</v>
      </c>
      <c r="B7125" s="16" t="s">
        <v>63</v>
      </c>
      <c r="C7125" s="9">
        <v>46266</v>
      </c>
      <c r="D7125">
        <v>7</v>
      </c>
      <c r="E7125" s="16" t="s">
        <v>91</v>
      </c>
      <c r="F7125" s="16" t="s">
        <v>92</v>
      </c>
      <c r="G7125" s="22">
        <v>92</v>
      </c>
      <c r="H7125" s="18">
        <v>55.57</v>
      </c>
      <c r="I7125" s="18">
        <v>0.604021739</v>
      </c>
      <c r="J7125" s="18">
        <v>0.61</v>
      </c>
      <c r="K7125" s="18">
        <v>0.59</v>
      </c>
      <c r="L7125" s="22">
        <v>8</v>
      </c>
    </row>
    <row r="7126" spans="1:12">
      <c r="A7126">
        <v>8</v>
      </c>
      <c r="B7126" s="16" t="s">
        <v>63</v>
      </c>
      <c r="C7126" s="9">
        <v>45689</v>
      </c>
      <c r="D7126">
        <v>8</v>
      </c>
      <c r="E7126" s="16" t="s">
        <v>93</v>
      </c>
      <c r="F7126" s="16" t="s">
        <v>83</v>
      </c>
      <c r="G7126" s="22">
        <v>44.5</v>
      </c>
      <c r="H7126" s="18">
        <v>964.14</v>
      </c>
      <c r="I7126" s="18">
        <v>21.666067416000001</v>
      </c>
      <c r="J7126" s="18">
        <v>22.16</v>
      </c>
      <c r="K7126" s="18">
        <v>21.33</v>
      </c>
      <c r="L7126" s="22">
        <v>8</v>
      </c>
    </row>
    <row r="7127" spans="1:12">
      <c r="A7127">
        <v>8</v>
      </c>
      <c r="B7127" s="16" t="s">
        <v>63</v>
      </c>
      <c r="C7127" s="9">
        <v>45717</v>
      </c>
      <c r="D7127">
        <v>8</v>
      </c>
      <c r="E7127" s="16" t="s">
        <v>93</v>
      </c>
      <c r="F7127" s="16" t="s">
        <v>83</v>
      </c>
      <c r="G7127" s="22">
        <v>46.5</v>
      </c>
      <c r="H7127" s="18">
        <v>1016.785</v>
      </c>
      <c r="I7127" s="18">
        <v>21.866344086000002</v>
      </c>
      <c r="J7127" s="18">
        <v>22.22</v>
      </c>
      <c r="K7127" s="18">
        <v>21.51</v>
      </c>
      <c r="L7127" s="22">
        <v>9</v>
      </c>
    </row>
    <row r="7128" spans="1:12">
      <c r="A7128">
        <v>8</v>
      </c>
      <c r="B7128" s="16" t="s">
        <v>63</v>
      </c>
      <c r="C7128" s="9">
        <v>45748</v>
      </c>
      <c r="D7128">
        <v>8</v>
      </c>
      <c r="E7128" s="16" t="s">
        <v>93</v>
      </c>
      <c r="F7128" s="16" t="s">
        <v>83</v>
      </c>
      <c r="G7128" s="22">
        <v>47.5</v>
      </c>
      <c r="H7128" s="18">
        <v>1032.8800000000001</v>
      </c>
      <c r="I7128" s="18">
        <v>21.744842105</v>
      </c>
      <c r="J7128" s="18">
        <v>22.07</v>
      </c>
      <c r="K7128" s="18">
        <v>21.45</v>
      </c>
      <c r="L7128" s="22">
        <v>8</v>
      </c>
    </row>
    <row r="7129" spans="1:12">
      <c r="A7129">
        <v>8</v>
      </c>
      <c r="B7129" s="16" t="s">
        <v>63</v>
      </c>
      <c r="C7129" s="9">
        <v>45778</v>
      </c>
      <c r="D7129">
        <v>8</v>
      </c>
      <c r="E7129" s="16" t="s">
        <v>93</v>
      </c>
      <c r="F7129" s="16" t="s">
        <v>83</v>
      </c>
      <c r="G7129" s="22">
        <v>64</v>
      </c>
      <c r="H7129" s="18">
        <v>1401.9849999999999</v>
      </c>
      <c r="I7129" s="18">
        <v>21.906015624999998</v>
      </c>
      <c r="J7129" s="18">
        <v>22.89</v>
      </c>
      <c r="K7129" s="18">
        <v>21.38</v>
      </c>
      <c r="L7129" s="22">
        <v>9</v>
      </c>
    </row>
    <row r="7130" spans="1:12">
      <c r="A7130">
        <v>8</v>
      </c>
      <c r="B7130" s="16" t="s">
        <v>63</v>
      </c>
      <c r="C7130" s="9">
        <v>45809</v>
      </c>
      <c r="D7130">
        <v>8</v>
      </c>
      <c r="E7130" s="16" t="s">
        <v>93</v>
      </c>
      <c r="F7130" s="16" t="s">
        <v>83</v>
      </c>
      <c r="G7130" s="22">
        <v>65</v>
      </c>
      <c r="H7130" s="18">
        <v>1419.0350000000001</v>
      </c>
      <c r="I7130" s="18">
        <v>21.831307691999999</v>
      </c>
      <c r="J7130" s="18">
        <v>22.29</v>
      </c>
      <c r="K7130" s="18">
        <v>21.44</v>
      </c>
      <c r="L7130" s="22">
        <v>9</v>
      </c>
    </row>
    <row r="7131" spans="1:12">
      <c r="A7131">
        <v>8</v>
      </c>
      <c r="B7131" s="16" t="s">
        <v>63</v>
      </c>
      <c r="C7131" s="9">
        <v>45839</v>
      </c>
      <c r="D7131">
        <v>8</v>
      </c>
      <c r="E7131" s="16" t="s">
        <v>93</v>
      </c>
      <c r="F7131" s="16" t="s">
        <v>83</v>
      </c>
      <c r="G7131" s="22">
        <v>46.5</v>
      </c>
      <c r="H7131" s="18">
        <v>1019.335</v>
      </c>
      <c r="I7131" s="18">
        <v>21.921182796</v>
      </c>
      <c r="J7131" s="18">
        <v>22.37</v>
      </c>
      <c r="K7131" s="18">
        <v>21.48</v>
      </c>
      <c r="L7131" s="22">
        <v>9</v>
      </c>
    </row>
    <row r="7132" spans="1:12">
      <c r="A7132">
        <v>8</v>
      </c>
      <c r="B7132" s="16" t="s">
        <v>63</v>
      </c>
      <c r="C7132" s="9">
        <v>45870</v>
      </c>
      <c r="D7132">
        <v>8</v>
      </c>
      <c r="E7132" s="16" t="s">
        <v>93</v>
      </c>
      <c r="F7132" s="16" t="s">
        <v>83</v>
      </c>
      <c r="G7132" s="22">
        <v>52.5</v>
      </c>
      <c r="H7132" s="18">
        <v>1147.7950000000001</v>
      </c>
      <c r="I7132" s="18">
        <v>21.862761904999999</v>
      </c>
      <c r="J7132" s="18">
        <v>22.31</v>
      </c>
      <c r="K7132" s="18">
        <v>21.5</v>
      </c>
      <c r="L7132" s="22">
        <v>8</v>
      </c>
    </row>
    <row r="7133" spans="1:12">
      <c r="A7133">
        <v>8</v>
      </c>
      <c r="B7133" s="16" t="s">
        <v>63</v>
      </c>
      <c r="C7133" s="9">
        <v>45901</v>
      </c>
      <c r="D7133">
        <v>8</v>
      </c>
      <c r="E7133" s="16" t="s">
        <v>93</v>
      </c>
      <c r="F7133" s="16" t="s">
        <v>83</v>
      </c>
      <c r="G7133" s="22">
        <v>55</v>
      </c>
      <c r="H7133" s="18">
        <v>1213.4949999999999</v>
      </c>
      <c r="I7133" s="18">
        <v>22.063545455</v>
      </c>
      <c r="J7133" s="18">
        <v>22.75</v>
      </c>
      <c r="K7133" s="18">
        <v>21.42</v>
      </c>
      <c r="L7133" s="22">
        <v>9</v>
      </c>
    </row>
    <row r="7134" spans="1:12">
      <c r="A7134">
        <v>8</v>
      </c>
      <c r="B7134" s="16" t="s">
        <v>63</v>
      </c>
      <c r="C7134" s="9">
        <v>45931</v>
      </c>
      <c r="D7134">
        <v>8</v>
      </c>
      <c r="E7134" s="16" t="s">
        <v>93</v>
      </c>
      <c r="F7134" s="16" t="s">
        <v>83</v>
      </c>
      <c r="G7134" s="22">
        <v>56</v>
      </c>
      <c r="H7134" s="18">
        <v>1226.56</v>
      </c>
      <c r="I7134" s="18">
        <v>21.902857142999999</v>
      </c>
      <c r="J7134" s="18">
        <v>22.39</v>
      </c>
      <c r="K7134" s="18">
        <v>21.6</v>
      </c>
      <c r="L7134" s="22">
        <v>9</v>
      </c>
    </row>
    <row r="7135" spans="1:12">
      <c r="A7135">
        <v>8</v>
      </c>
      <c r="B7135" s="16" t="s">
        <v>63</v>
      </c>
      <c r="C7135" s="9">
        <v>45962</v>
      </c>
      <c r="D7135">
        <v>8</v>
      </c>
      <c r="E7135" s="16" t="s">
        <v>93</v>
      </c>
      <c r="F7135" s="16" t="s">
        <v>83</v>
      </c>
      <c r="G7135" s="22">
        <v>48.5</v>
      </c>
      <c r="H7135" s="18">
        <v>1069.1300000000001</v>
      </c>
      <c r="I7135" s="18">
        <v>22.043917526000001</v>
      </c>
      <c r="J7135" s="18">
        <v>22.42</v>
      </c>
      <c r="K7135" s="18">
        <v>21.72</v>
      </c>
      <c r="L7135" s="22">
        <v>8</v>
      </c>
    </row>
    <row r="7136" spans="1:12">
      <c r="A7136">
        <v>8</v>
      </c>
      <c r="B7136" s="16" t="s">
        <v>63</v>
      </c>
      <c r="C7136" s="9">
        <v>45992</v>
      </c>
      <c r="D7136">
        <v>8</v>
      </c>
      <c r="E7136" s="16" t="s">
        <v>93</v>
      </c>
      <c r="F7136" s="16" t="s">
        <v>83</v>
      </c>
      <c r="G7136" s="22">
        <v>50</v>
      </c>
      <c r="H7136" s="18">
        <v>1105.02</v>
      </c>
      <c r="I7136" s="18">
        <v>22.1004</v>
      </c>
      <c r="J7136" s="18">
        <v>22.59</v>
      </c>
      <c r="K7136" s="18">
        <v>21.71</v>
      </c>
      <c r="L7136" s="22">
        <v>9</v>
      </c>
    </row>
    <row r="7137" spans="1:12">
      <c r="A7137">
        <v>8</v>
      </c>
      <c r="B7137" s="16" t="s">
        <v>63</v>
      </c>
      <c r="C7137" s="9">
        <v>46023</v>
      </c>
      <c r="D7137">
        <v>8</v>
      </c>
      <c r="E7137" s="16" t="s">
        <v>93</v>
      </c>
      <c r="F7137" s="16" t="s">
        <v>83</v>
      </c>
      <c r="G7137" s="22">
        <v>50</v>
      </c>
      <c r="H7137" s="18">
        <v>1117.26</v>
      </c>
      <c r="I7137" s="18">
        <v>22.345199999999998</v>
      </c>
      <c r="J7137" s="18">
        <v>22.61</v>
      </c>
      <c r="K7137" s="18">
        <v>22.14</v>
      </c>
      <c r="L7137" s="22">
        <v>9</v>
      </c>
    </row>
    <row r="7138" spans="1:12">
      <c r="A7138">
        <v>8</v>
      </c>
      <c r="B7138" s="16" t="s">
        <v>63</v>
      </c>
      <c r="C7138" s="9">
        <v>46054</v>
      </c>
      <c r="D7138">
        <v>8</v>
      </c>
      <c r="E7138" s="16" t="s">
        <v>93</v>
      </c>
      <c r="F7138" s="16" t="s">
        <v>83</v>
      </c>
      <c r="G7138" s="22">
        <v>55</v>
      </c>
      <c r="H7138" s="18">
        <v>1239.7850000000001</v>
      </c>
      <c r="I7138" s="18">
        <v>22.541545455000001</v>
      </c>
      <c r="J7138" s="18">
        <v>22.84</v>
      </c>
      <c r="K7138" s="18">
        <v>22.18</v>
      </c>
      <c r="L7138" s="22">
        <v>8</v>
      </c>
    </row>
    <row r="7139" spans="1:12">
      <c r="A7139">
        <v>8</v>
      </c>
      <c r="B7139" s="16" t="s">
        <v>63</v>
      </c>
      <c r="C7139" s="9">
        <v>46082</v>
      </c>
      <c r="D7139">
        <v>8</v>
      </c>
      <c r="E7139" s="16" t="s">
        <v>93</v>
      </c>
      <c r="F7139" s="16" t="s">
        <v>83</v>
      </c>
      <c r="G7139" s="22">
        <v>51.5</v>
      </c>
      <c r="H7139" s="18">
        <v>1168.5150000000001</v>
      </c>
      <c r="I7139" s="18">
        <v>22.68961165</v>
      </c>
      <c r="J7139" s="18">
        <v>22.92</v>
      </c>
      <c r="K7139" s="18">
        <v>22.34</v>
      </c>
      <c r="L7139" s="22">
        <v>9</v>
      </c>
    </row>
    <row r="7140" spans="1:12">
      <c r="A7140">
        <v>8</v>
      </c>
      <c r="B7140" s="16" t="s">
        <v>63</v>
      </c>
      <c r="C7140" s="9">
        <v>46113</v>
      </c>
      <c r="D7140">
        <v>8</v>
      </c>
      <c r="E7140" s="16" t="s">
        <v>93</v>
      </c>
      <c r="F7140" s="16" t="s">
        <v>83</v>
      </c>
      <c r="G7140" s="22">
        <v>54</v>
      </c>
      <c r="H7140" s="18">
        <v>1224.18</v>
      </c>
      <c r="I7140" s="18">
        <v>22.67</v>
      </c>
      <c r="J7140" s="18">
        <v>23.05</v>
      </c>
      <c r="K7140" s="18">
        <v>22.23</v>
      </c>
      <c r="L7140" s="22">
        <v>9</v>
      </c>
    </row>
    <row r="7141" spans="1:12">
      <c r="A7141">
        <v>8</v>
      </c>
      <c r="B7141" s="16" t="s">
        <v>63</v>
      </c>
      <c r="C7141" s="9">
        <v>46143</v>
      </c>
      <c r="D7141">
        <v>8</v>
      </c>
      <c r="E7141" s="16" t="s">
        <v>93</v>
      </c>
      <c r="F7141" s="16" t="s">
        <v>83</v>
      </c>
      <c r="G7141" s="22">
        <v>43</v>
      </c>
      <c r="H7141" s="18">
        <v>987.51</v>
      </c>
      <c r="I7141" s="18">
        <v>22.965348837000001</v>
      </c>
      <c r="J7141" s="18">
        <v>23.2</v>
      </c>
      <c r="K7141" s="18">
        <v>22.72</v>
      </c>
      <c r="L7141" s="22">
        <v>8</v>
      </c>
    </row>
    <row r="7142" spans="1:12">
      <c r="A7142">
        <v>8</v>
      </c>
      <c r="B7142" s="16" t="s">
        <v>63</v>
      </c>
      <c r="C7142" s="9">
        <v>46174</v>
      </c>
      <c r="D7142">
        <v>8</v>
      </c>
      <c r="E7142" s="16" t="s">
        <v>93</v>
      </c>
      <c r="F7142" s="16" t="s">
        <v>83</v>
      </c>
      <c r="G7142" s="22">
        <v>41</v>
      </c>
      <c r="H7142" s="18">
        <v>939.73500000000001</v>
      </c>
      <c r="I7142" s="18">
        <v>22.920365854</v>
      </c>
      <c r="J7142" s="18">
        <v>23.39</v>
      </c>
      <c r="K7142" s="18">
        <v>22.34</v>
      </c>
      <c r="L7142" s="22">
        <v>9</v>
      </c>
    </row>
    <row r="7143" spans="1:12">
      <c r="A7143">
        <v>8</v>
      </c>
      <c r="B7143" s="16" t="s">
        <v>63</v>
      </c>
      <c r="C7143" s="9">
        <v>46204</v>
      </c>
      <c r="D7143">
        <v>8</v>
      </c>
      <c r="E7143" s="16" t="s">
        <v>93</v>
      </c>
      <c r="F7143" s="16" t="s">
        <v>83</v>
      </c>
      <c r="G7143" s="22">
        <v>48.5</v>
      </c>
      <c r="H7143" s="18">
        <v>1119.5250000000001</v>
      </c>
      <c r="I7143" s="18">
        <v>23.082989691000002</v>
      </c>
      <c r="J7143" s="18">
        <v>23.41</v>
      </c>
      <c r="K7143" s="18">
        <v>22.89</v>
      </c>
      <c r="L7143" s="22">
        <v>9</v>
      </c>
    </row>
    <row r="7144" spans="1:12">
      <c r="A7144">
        <v>8</v>
      </c>
      <c r="B7144" s="16" t="s">
        <v>63</v>
      </c>
      <c r="C7144" s="9">
        <v>46235</v>
      </c>
      <c r="D7144">
        <v>8</v>
      </c>
      <c r="E7144" s="16" t="s">
        <v>93</v>
      </c>
      <c r="F7144" s="16" t="s">
        <v>83</v>
      </c>
      <c r="G7144" s="22">
        <v>45</v>
      </c>
      <c r="H7144" s="18">
        <v>1030.5250000000001</v>
      </c>
      <c r="I7144" s="18">
        <v>22.900555556</v>
      </c>
      <c r="J7144" s="18">
        <v>23.23</v>
      </c>
      <c r="K7144" s="18">
        <v>22.58</v>
      </c>
      <c r="L7144" s="22">
        <v>9</v>
      </c>
    </row>
    <row r="7145" spans="1:12">
      <c r="A7145">
        <v>8</v>
      </c>
      <c r="B7145" s="16" t="s">
        <v>63</v>
      </c>
      <c r="C7145" s="9">
        <v>46266</v>
      </c>
      <c r="D7145">
        <v>8</v>
      </c>
      <c r="E7145" s="16" t="s">
        <v>93</v>
      </c>
      <c r="F7145" s="16" t="s">
        <v>83</v>
      </c>
      <c r="G7145" s="22">
        <v>46</v>
      </c>
      <c r="H7145" s="18">
        <v>1057.94</v>
      </c>
      <c r="I7145" s="18">
        <v>22.998695651999999</v>
      </c>
      <c r="J7145" s="18">
        <v>23.55</v>
      </c>
      <c r="K7145" s="18">
        <v>22.56</v>
      </c>
      <c r="L7145" s="22">
        <v>8</v>
      </c>
    </row>
    <row r="7146" spans="1:12">
      <c r="A7146">
        <v>8</v>
      </c>
      <c r="B7146" s="16" t="s">
        <v>63</v>
      </c>
      <c r="C7146" s="9">
        <v>45689</v>
      </c>
      <c r="D7146">
        <v>9</v>
      </c>
      <c r="E7146" s="16" t="s">
        <v>94</v>
      </c>
      <c r="F7146" s="16" t="s">
        <v>85</v>
      </c>
      <c r="G7146" s="22">
        <v>12.5</v>
      </c>
      <c r="H7146" s="18">
        <v>44.375</v>
      </c>
      <c r="I7146" s="18">
        <v>3.55</v>
      </c>
      <c r="J7146" s="18">
        <v>3.59</v>
      </c>
      <c r="K7146" s="18">
        <v>3.51</v>
      </c>
      <c r="L7146" s="22">
        <v>2</v>
      </c>
    </row>
    <row r="7147" spans="1:12">
      <c r="A7147">
        <v>8</v>
      </c>
      <c r="B7147" s="16" t="s">
        <v>63</v>
      </c>
      <c r="C7147" s="9">
        <v>45717</v>
      </c>
      <c r="D7147">
        <v>9</v>
      </c>
      <c r="E7147" s="16" t="s">
        <v>94</v>
      </c>
      <c r="F7147" s="16" t="s">
        <v>85</v>
      </c>
      <c r="G7147" s="22">
        <v>6.25</v>
      </c>
      <c r="H7147" s="18">
        <v>22.3125</v>
      </c>
      <c r="I7147" s="18">
        <v>3.57</v>
      </c>
      <c r="J7147" s="18">
        <v>3.57</v>
      </c>
      <c r="K7147" s="18">
        <v>3.57</v>
      </c>
      <c r="L7147" s="22">
        <v>1</v>
      </c>
    </row>
    <row r="7148" spans="1:12">
      <c r="A7148">
        <v>8</v>
      </c>
      <c r="B7148" s="16" t="s">
        <v>63</v>
      </c>
      <c r="C7148" s="9">
        <v>45748</v>
      </c>
      <c r="D7148">
        <v>9</v>
      </c>
      <c r="E7148" s="16" t="s">
        <v>94</v>
      </c>
      <c r="F7148" s="16" t="s">
        <v>85</v>
      </c>
      <c r="G7148" s="22">
        <v>6.25</v>
      </c>
      <c r="H7148" s="18">
        <v>22.5625</v>
      </c>
      <c r="I7148" s="18">
        <v>3.61</v>
      </c>
      <c r="J7148" s="18">
        <v>3.61</v>
      </c>
      <c r="K7148" s="18">
        <v>3.61</v>
      </c>
      <c r="L7148" s="22">
        <v>1</v>
      </c>
    </row>
    <row r="7149" spans="1:12">
      <c r="A7149">
        <v>8</v>
      </c>
      <c r="B7149" s="16" t="s">
        <v>63</v>
      </c>
      <c r="C7149" s="9">
        <v>45778</v>
      </c>
      <c r="D7149">
        <v>9</v>
      </c>
      <c r="E7149" s="16" t="s">
        <v>94</v>
      </c>
      <c r="F7149" s="16" t="s">
        <v>85</v>
      </c>
      <c r="G7149" s="22">
        <v>12.5</v>
      </c>
      <c r="H7149" s="18">
        <v>43.9375</v>
      </c>
      <c r="I7149" s="18">
        <v>3.5150000000000001</v>
      </c>
      <c r="J7149" s="18">
        <v>3.54</v>
      </c>
      <c r="K7149" s="18">
        <v>3.49</v>
      </c>
      <c r="L7149" s="22">
        <v>2</v>
      </c>
    </row>
    <row r="7150" spans="1:12">
      <c r="A7150">
        <v>8</v>
      </c>
      <c r="B7150" s="16" t="s">
        <v>63</v>
      </c>
      <c r="C7150" s="9">
        <v>45809</v>
      </c>
      <c r="D7150">
        <v>9</v>
      </c>
      <c r="E7150" s="16" t="s">
        <v>94</v>
      </c>
      <c r="F7150" s="16" t="s">
        <v>85</v>
      </c>
      <c r="G7150" s="22">
        <v>6.25</v>
      </c>
      <c r="H7150" s="18">
        <v>21.9375</v>
      </c>
      <c r="I7150" s="18">
        <v>3.51</v>
      </c>
      <c r="J7150" s="18">
        <v>3.51</v>
      </c>
      <c r="K7150" s="18">
        <v>3.51</v>
      </c>
      <c r="L7150" s="22">
        <v>1</v>
      </c>
    </row>
    <row r="7151" spans="1:12">
      <c r="A7151">
        <v>8</v>
      </c>
      <c r="B7151" s="16" t="s">
        <v>63</v>
      </c>
      <c r="C7151" s="9">
        <v>45839</v>
      </c>
      <c r="D7151">
        <v>9</v>
      </c>
      <c r="E7151" s="16" t="s">
        <v>94</v>
      </c>
      <c r="F7151" s="16" t="s">
        <v>85</v>
      </c>
      <c r="G7151" s="22">
        <v>12.5</v>
      </c>
      <c r="H7151" s="18">
        <v>43.1875</v>
      </c>
      <c r="I7151" s="18">
        <v>3.4550000000000001</v>
      </c>
      <c r="J7151" s="18">
        <v>3.49</v>
      </c>
      <c r="K7151" s="18">
        <v>3.42</v>
      </c>
      <c r="L7151" s="22">
        <v>2</v>
      </c>
    </row>
    <row r="7152" spans="1:12">
      <c r="A7152">
        <v>8</v>
      </c>
      <c r="B7152" s="16" t="s">
        <v>63</v>
      </c>
      <c r="C7152" s="9">
        <v>45870</v>
      </c>
      <c r="D7152">
        <v>9</v>
      </c>
      <c r="E7152" s="16" t="s">
        <v>94</v>
      </c>
      <c r="F7152" s="16" t="s">
        <v>85</v>
      </c>
      <c r="G7152" s="22">
        <v>6.25</v>
      </c>
      <c r="H7152" s="18">
        <v>21.375</v>
      </c>
      <c r="I7152" s="18">
        <v>3.42</v>
      </c>
      <c r="J7152" s="18">
        <v>3.42</v>
      </c>
      <c r="K7152" s="18">
        <v>3.42</v>
      </c>
      <c r="L7152" s="22">
        <v>1</v>
      </c>
    </row>
    <row r="7153" spans="1:12">
      <c r="A7153">
        <v>8</v>
      </c>
      <c r="B7153" s="16" t="s">
        <v>63</v>
      </c>
      <c r="C7153" s="9">
        <v>45901</v>
      </c>
      <c r="D7153">
        <v>9</v>
      </c>
      <c r="E7153" s="16" t="s">
        <v>94</v>
      </c>
      <c r="F7153" s="16" t="s">
        <v>85</v>
      </c>
      <c r="G7153" s="22">
        <v>12.5</v>
      </c>
      <c r="H7153" s="18">
        <v>42.75</v>
      </c>
      <c r="I7153" s="18">
        <v>3.42</v>
      </c>
      <c r="J7153" s="18">
        <v>3.47</v>
      </c>
      <c r="K7153" s="18">
        <v>3.37</v>
      </c>
      <c r="L7153" s="22">
        <v>2</v>
      </c>
    </row>
    <row r="7154" spans="1:12">
      <c r="A7154">
        <v>8</v>
      </c>
      <c r="B7154" s="16" t="s">
        <v>63</v>
      </c>
      <c r="C7154" s="9">
        <v>45931</v>
      </c>
      <c r="D7154">
        <v>9</v>
      </c>
      <c r="E7154" s="16" t="s">
        <v>94</v>
      </c>
      <c r="F7154" s="16" t="s">
        <v>85</v>
      </c>
      <c r="G7154" s="22">
        <v>6.25</v>
      </c>
      <c r="H7154" s="18">
        <v>21.625</v>
      </c>
      <c r="I7154" s="18">
        <v>3.46</v>
      </c>
      <c r="J7154" s="18">
        <v>3.46</v>
      </c>
      <c r="K7154" s="18">
        <v>3.46</v>
      </c>
      <c r="L7154" s="22">
        <v>1</v>
      </c>
    </row>
    <row r="7155" spans="1:12">
      <c r="A7155">
        <v>8</v>
      </c>
      <c r="B7155" s="16" t="s">
        <v>63</v>
      </c>
      <c r="C7155" s="9">
        <v>45962</v>
      </c>
      <c r="D7155">
        <v>9</v>
      </c>
      <c r="E7155" s="16" t="s">
        <v>94</v>
      </c>
      <c r="F7155" s="16" t="s">
        <v>85</v>
      </c>
      <c r="G7155" s="22">
        <v>12.5</v>
      </c>
      <c r="H7155" s="18">
        <v>43.375</v>
      </c>
      <c r="I7155" s="18">
        <v>3.47</v>
      </c>
      <c r="J7155" s="18">
        <v>3.48</v>
      </c>
      <c r="K7155" s="18">
        <v>3.46</v>
      </c>
      <c r="L7155" s="22">
        <v>2</v>
      </c>
    </row>
    <row r="7156" spans="1:12">
      <c r="A7156">
        <v>8</v>
      </c>
      <c r="B7156" s="16" t="s">
        <v>63</v>
      </c>
      <c r="C7156" s="9">
        <v>45992</v>
      </c>
      <c r="D7156">
        <v>9</v>
      </c>
      <c r="E7156" s="16" t="s">
        <v>94</v>
      </c>
      <c r="F7156" s="16" t="s">
        <v>85</v>
      </c>
      <c r="G7156" s="22">
        <v>18.75</v>
      </c>
      <c r="H7156" s="18">
        <v>65.6875</v>
      </c>
      <c r="I7156" s="18">
        <v>3.503333333</v>
      </c>
      <c r="J7156" s="18">
        <v>3.54</v>
      </c>
      <c r="K7156" s="18">
        <v>3.45</v>
      </c>
      <c r="L7156" s="22">
        <v>3</v>
      </c>
    </row>
    <row r="7157" spans="1:12">
      <c r="A7157">
        <v>8</v>
      </c>
      <c r="B7157" s="16" t="s">
        <v>63</v>
      </c>
      <c r="C7157" s="9">
        <v>46023</v>
      </c>
      <c r="D7157">
        <v>9</v>
      </c>
      <c r="E7157" s="16" t="s">
        <v>94</v>
      </c>
      <c r="F7157" s="16" t="s">
        <v>85</v>
      </c>
      <c r="G7157" s="22">
        <v>12.5</v>
      </c>
      <c r="H7157" s="18">
        <v>43.1875</v>
      </c>
      <c r="I7157" s="18">
        <v>3.4550000000000001</v>
      </c>
      <c r="J7157" s="18">
        <v>3.47</v>
      </c>
      <c r="K7157" s="18">
        <v>3.44</v>
      </c>
      <c r="L7157" s="22">
        <v>2</v>
      </c>
    </row>
    <row r="7158" spans="1:12">
      <c r="A7158">
        <v>8</v>
      </c>
      <c r="B7158" s="16" t="s">
        <v>63</v>
      </c>
      <c r="C7158" s="9">
        <v>46054</v>
      </c>
      <c r="D7158">
        <v>9</v>
      </c>
      <c r="E7158" s="16" t="s">
        <v>94</v>
      </c>
      <c r="F7158" s="16" t="s">
        <v>85</v>
      </c>
      <c r="G7158" s="22">
        <v>12.5</v>
      </c>
      <c r="H7158" s="18">
        <v>42.875</v>
      </c>
      <c r="I7158" s="18">
        <v>3.43</v>
      </c>
      <c r="J7158" s="18">
        <v>3.46</v>
      </c>
      <c r="K7158" s="18">
        <v>3.4</v>
      </c>
      <c r="L7158" s="22">
        <v>2</v>
      </c>
    </row>
    <row r="7159" spans="1:12">
      <c r="A7159">
        <v>8</v>
      </c>
      <c r="B7159" s="16" t="s">
        <v>63</v>
      </c>
      <c r="C7159" s="9">
        <v>46082</v>
      </c>
      <c r="D7159">
        <v>9</v>
      </c>
      <c r="E7159" s="16" t="s">
        <v>94</v>
      </c>
      <c r="F7159" s="16" t="s">
        <v>85</v>
      </c>
      <c r="G7159" s="22">
        <v>6.25</v>
      </c>
      <c r="H7159" s="18">
        <v>21.75</v>
      </c>
      <c r="I7159" s="18">
        <v>3.48</v>
      </c>
      <c r="J7159" s="18">
        <v>3.48</v>
      </c>
      <c r="K7159" s="18">
        <v>3.48</v>
      </c>
      <c r="L7159" s="22">
        <v>1</v>
      </c>
    </row>
    <row r="7160" spans="1:12">
      <c r="A7160">
        <v>8</v>
      </c>
      <c r="B7160" s="16" t="s">
        <v>63</v>
      </c>
      <c r="C7160" s="9">
        <v>46113</v>
      </c>
      <c r="D7160">
        <v>9</v>
      </c>
      <c r="E7160" s="16" t="s">
        <v>94</v>
      </c>
      <c r="F7160" s="16" t="s">
        <v>85</v>
      </c>
      <c r="G7160" s="22">
        <v>6.25</v>
      </c>
      <c r="H7160" s="18">
        <v>21.3125</v>
      </c>
      <c r="I7160" s="18">
        <v>3.41</v>
      </c>
      <c r="J7160" s="18">
        <v>3.41</v>
      </c>
      <c r="K7160" s="18">
        <v>3.41</v>
      </c>
      <c r="L7160" s="22">
        <v>1</v>
      </c>
    </row>
    <row r="7161" spans="1:12">
      <c r="A7161">
        <v>8</v>
      </c>
      <c r="B7161" s="16" t="s">
        <v>63</v>
      </c>
      <c r="C7161" s="9">
        <v>46143</v>
      </c>
      <c r="D7161">
        <v>9</v>
      </c>
      <c r="E7161" s="16" t="s">
        <v>94</v>
      </c>
      <c r="F7161" s="16" t="s">
        <v>85</v>
      </c>
      <c r="G7161" s="22">
        <v>6.25</v>
      </c>
      <c r="H7161" s="18">
        <v>21.125</v>
      </c>
      <c r="I7161" s="18">
        <v>3.38</v>
      </c>
      <c r="J7161" s="18">
        <v>3.38</v>
      </c>
      <c r="K7161" s="18">
        <v>3.38</v>
      </c>
      <c r="L7161" s="22">
        <v>1</v>
      </c>
    </row>
    <row r="7162" spans="1:12">
      <c r="A7162">
        <v>8</v>
      </c>
      <c r="B7162" s="16" t="s">
        <v>63</v>
      </c>
      <c r="C7162" s="9">
        <v>46174</v>
      </c>
      <c r="D7162">
        <v>9</v>
      </c>
      <c r="E7162" s="16" t="s">
        <v>94</v>
      </c>
      <c r="F7162" s="16" t="s">
        <v>85</v>
      </c>
      <c r="G7162" s="22">
        <v>12.5</v>
      </c>
      <c r="H7162" s="18">
        <v>43.125</v>
      </c>
      <c r="I7162" s="18">
        <v>3.45</v>
      </c>
      <c r="J7162" s="18">
        <v>3.47</v>
      </c>
      <c r="K7162" s="18">
        <v>3.43</v>
      </c>
      <c r="L7162" s="22">
        <v>2</v>
      </c>
    </row>
    <row r="7163" spans="1:12">
      <c r="A7163">
        <v>8</v>
      </c>
      <c r="B7163" s="16" t="s">
        <v>63</v>
      </c>
      <c r="C7163" s="9">
        <v>46204</v>
      </c>
      <c r="D7163">
        <v>9</v>
      </c>
      <c r="E7163" s="16" t="s">
        <v>94</v>
      </c>
      <c r="F7163" s="16" t="s">
        <v>85</v>
      </c>
      <c r="G7163" s="22">
        <v>6.25</v>
      </c>
      <c r="H7163" s="18">
        <v>21.5625</v>
      </c>
      <c r="I7163" s="18">
        <v>3.45</v>
      </c>
      <c r="J7163" s="18">
        <v>3.45</v>
      </c>
      <c r="K7163" s="18">
        <v>3.45</v>
      </c>
      <c r="L7163" s="22">
        <v>1</v>
      </c>
    </row>
    <row r="7164" spans="1:12">
      <c r="A7164">
        <v>8</v>
      </c>
      <c r="B7164" s="16" t="s">
        <v>63</v>
      </c>
      <c r="C7164" s="9">
        <v>46235</v>
      </c>
      <c r="D7164">
        <v>9</v>
      </c>
      <c r="E7164" s="16" t="s">
        <v>94</v>
      </c>
      <c r="F7164" s="16" t="s">
        <v>85</v>
      </c>
      <c r="G7164" s="22">
        <v>6.25</v>
      </c>
      <c r="H7164" s="18">
        <v>21.5</v>
      </c>
      <c r="I7164" s="18">
        <v>3.44</v>
      </c>
      <c r="J7164" s="18">
        <v>3.44</v>
      </c>
      <c r="K7164" s="18">
        <v>3.44</v>
      </c>
      <c r="L7164" s="22">
        <v>1</v>
      </c>
    </row>
    <row r="7165" spans="1:12">
      <c r="A7165">
        <v>8</v>
      </c>
      <c r="B7165" s="16" t="s">
        <v>63</v>
      </c>
      <c r="C7165" s="9">
        <v>46266</v>
      </c>
      <c r="D7165">
        <v>9</v>
      </c>
      <c r="E7165" s="16" t="s">
        <v>94</v>
      </c>
      <c r="F7165" s="16" t="s">
        <v>85</v>
      </c>
      <c r="G7165" s="22">
        <v>12.5</v>
      </c>
      <c r="H7165" s="18">
        <v>43.375</v>
      </c>
      <c r="I7165" s="18">
        <v>3.47</v>
      </c>
      <c r="J7165" s="18">
        <v>3.49</v>
      </c>
      <c r="K7165" s="18">
        <v>3.45</v>
      </c>
      <c r="L7165" s="22">
        <v>2</v>
      </c>
    </row>
    <row r="7166" spans="1:12">
      <c r="A7166">
        <v>8</v>
      </c>
      <c r="B7166" s="16" t="s">
        <v>63</v>
      </c>
      <c r="C7166" s="9">
        <v>45689</v>
      </c>
      <c r="D7166">
        <v>10</v>
      </c>
      <c r="E7166" s="16" t="s">
        <v>95</v>
      </c>
      <c r="F7166" s="16" t="s">
        <v>83</v>
      </c>
      <c r="G7166" s="22">
        <v>17.5</v>
      </c>
      <c r="H7166" s="18">
        <v>294.27499999999998</v>
      </c>
      <c r="I7166" s="18">
        <v>16.815714285999999</v>
      </c>
      <c r="J7166" s="18">
        <v>17.11</v>
      </c>
      <c r="K7166" s="18">
        <v>16.399999999999999</v>
      </c>
      <c r="L7166" s="22">
        <v>6</v>
      </c>
    </row>
    <row r="7167" spans="1:12">
      <c r="A7167">
        <v>8</v>
      </c>
      <c r="B7167" s="16" t="s">
        <v>63</v>
      </c>
      <c r="C7167" s="9">
        <v>45717</v>
      </c>
      <c r="D7167">
        <v>10</v>
      </c>
      <c r="E7167" s="16" t="s">
        <v>95</v>
      </c>
      <c r="F7167" s="16" t="s">
        <v>83</v>
      </c>
      <c r="G7167" s="22">
        <v>17.5</v>
      </c>
      <c r="H7167" s="18">
        <v>298.07499999999999</v>
      </c>
      <c r="I7167" s="18">
        <v>17.032857143000001</v>
      </c>
      <c r="J7167" s="18">
        <v>17.489999999999998</v>
      </c>
      <c r="K7167" s="18">
        <v>16.63</v>
      </c>
      <c r="L7167" s="22">
        <v>7</v>
      </c>
    </row>
    <row r="7168" spans="1:12">
      <c r="A7168">
        <v>8</v>
      </c>
      <c r="B7168" s="16" t="s">
        <v>63</v>
      </c>
      <c r="C7168" s="9">
        <v>45748</v>
      </c>
      <c r="D7168">
        <v>10</v>
      </c>
      <c r="E7168" s="16" t="s">
        <v>95</v>
      </c>
      <c r="F7168" s="16" t="s">
        <v>83</v>
      </c>
      <c r="G7168" s="22">
        <v>15</v>
      </c>
      <c r="H7168" s="18">
        <v>256.82499999999999</v>
      </c>
      <c r="I7168" s="18">
        <v>17.121666667</v>
      </c>
      <c r="J7168" s="18">
        <v>17.420000000000002</v>
      </c>
      <c r="K7168" s="18">
        <v>16.77</v>
      </c>
      <c r="L7168" s="22">
        <v>5</v>
      </c>
    </row>
    <row r="7169" spans="1:12">
      <c r="A7169">
        <v>8</v>
      </c>
      <c r="B7169" s="16" t="s">
        <v>63</v>
      </c>
      <c r="C7169" s="9">
        <v>45778</v>
      </c>
      <c r="D7169">
        <v>10</v>
      </c>
      <c r="E7169" s="16" t="s">
        <v>95</v>
      </c>
      <c r="F7169" s="16" t="s">
        <v>83</v>
      </c>
      <c r="G7169" s="22">
        <v>20</v>
      </c>
      <c r="H7169" s="18">
        <v>343.9</v>
      </c>
      <c r="I7169" s="18">
        <v>17.195</v>
      </c>
      <c r="J7169" s="18">
        <v>18.16</v>
      </c>
      <c r="K7169" s="18">
        <v>16.88</v>
      </c>
      <c r="L7169" s="22">
        <v>8</v>
      </c>
    </row>
    <row r="7170" spans="1:12">
      <c r="A7170">
        <v>8</v>
      </c>
      <c r="B7170" s="16" t="s">
        <v>63</v>
      </c>
      <c r="C7170" s="9">
        <v>45809</v>
      </c>
      <c r="D7170">
        <v>10</v>
      </c>
      <c r="E7170" s="16" t="s">
        <v>95</v>
      </c>
      <c r="F7170" s="16" t="s">
        <v>83</v>
      </c>
      <c r="G7170" s="22">
        <v>22.5</v>
      </c>
      <c r="H7170" s="18">
        <v>384.6</v>
      </c>
      <c r="I7170" s="18">
        <v>17.093333333</v>
      </c>
      <c r="J7170" s="18">
        <v>17.62</v>
      </c>
      <c r="K7170" s="18">
        <v>16.71</v>
      </c>
      <c r="L7170" s="22">
        <v>8</v>
      </c>
    </row>
    <row r="7171" spans="1:12">
      <c r="A7171">
        <v>8</v>
      </c>
      <c r="B7171" s="16" t="s">
        <v>63</v>
      </c>
      <c r="C7171" s="9">
        <v>45839</v>
      </c>
      <c r="D7171">
        <v>10</v>
      </c>
      <c r="E7171" s="16" t="s">
        <v>95</v>
      </c>
      <c r="F7171" s="16" t="s">
        <v>83</v>
      </c>
      <c r="G7171" s="22">
        <v>17.5</v>
      </c>
      <c r="H7171" s="18">
        <v>314.92500000000001</v>
      </c>
      <c r="I7171" s="18">
        <v>17.995714285999998</v>
      </c>
      <c r="J7171" s="18">
        <v>18.61</v>
      </c>
      <c r="K7171" s="18">
        <v>17.579999999999998</v>
      </c>
      <c r="L7171" s="22">
        <v>7</v>
      </c>
    </row>
    <row r="7172" spans="1:12">
      <c r="A7172">
        <v>8</v>
      </c>
      <c r="B7172" s="16" t="s">
        <v>63</v>
      </c>
      <c r="C7172" s="9">
        <v>45870</v>
      </c>
      <c r="D7172">
        <v>10</v>
      </c>
      <c r="E7172" s="16" t="s">
        <v>95</v>
      </c>
      <c r="F7172" s="16" t="s">
        <v>83</v>
      </c>
      <c r="G7172" s="22">
        <v>17.5</v>
      </c>
      <c r="H7172" s="18">
        <v>313.02499999999998</v>
      </c>
      <c r="I7172" s="18">
        <v>17.887142857000001</v>
      </c>
      <c r="J7172" s="18">
        <v>18.21</v>
      </c>
      <c r="K7172" s="18">
        <v>17.72</v>
      </c>
      <c r="L7172" s="22">
        <v>6</v>
      </c>
    </row>
    <row r="7173" spans="1:12">
      <c r="A7173">
        <v>8</v>
      </c>
      <c r="B7173" s="16" t="s">
        <v>63</v>
      </c>
      <c r="C7173" s="9">
        <v>45901</v>
      </c>
      <c r="D7173">
        <v>10</v>
      </c>
      <c r="E7173" s="16" t="s">
        <v>95</v>
      </c>
      <c r="F7173" s="16" t="s">
        <v>83</v>
      </c>
      <c r="G7173" s="22">
        <v>15</v>
      </c>
      <c r="H7173" s="18">
        <v>268.82499999999999</v>
      </c>
      <c r="I7173" s="18">
        <v>17.921666667</v>
      </c>
      <c r="J7173" s="18">
        <v>18.09</v>
      </c>
      <c r="K7173" s="18">
        <v>17.57</v>
      </c>
      <c r="L7173" s="22">
        <v>5</v>
      </c>
    </row>
    <row r="7174" spans="1:12">
      <c r="A7174">
        <v>8</v>
      </c>
      <c r="B7174" s="16" t="s">
        <v>63</v>
      </c>
      <c r="C7174" s="9">
        <v>45931</v>
      </c>
      <c r="D7174">
        <v>10</v>
      </c>
      <c r="E7174" s="16" t="s">
        <v>95</v>
      </c>
      <c r="F7174" s="16" t="s">
        <v>83</v>
      </c>
      <c r="G7174" s="22">
        <v>20</v>
      </c>
      <c r="H7174" s="18">
        <v>361.15</v>
      </c>
      <c r="I7174" s="18">
        <v>18.057500000000001</v>
      </c>
      <c r="J7174" s="18">
        <v>18.34</v>
      </c>
      <c r="K7174" s="18">
        <v>17.649999999999999</v>
      </c>
      <c r="L7174" s="22">
        <v>5</v>
      </c>
    </row>
    <row r="7175" spans="1:12">
      <c r="A7175">
        <v>8</v>
      </c>
      <c r="B7175" s="16" t="s">
        <v>63</v>
      </c>
      <c r="C7175" s="9">
        <v>45962</v>
      </c>
      <c r="D7175">
        <v>10</v>
      </c>
      <c r="E7175" s="16" t="s">
        <v>95</v>
      </c>
      <c r="F7175" s="16" t="s">
        <v>83</v>
      </c>
      <c r="G7175" s="22">
        <v>17.5</v>
      </c>
      <c r="H7175" s="18">
        <v>314.7</v>
      </c>
      <c r="I7175" s="18">
        <v>17.982857143</v>
      </c>
      <c r="J7175" s="18">
        <v>18.510000000000002</v>
      </c>
      <c r="K7175" s="18">
        <v>17.73</v>
      </c>
      <c r="L7175" s="22">
        <v>6</v>
      </c>
    </row>
    <row r="7176" spans="1:12">
      <c r="A7176">
        <v>8</v>
      </c>
      <c r="B7176" s="16" t="s">
        <v>63</v>
      </c>
      <c r="C7176" s="9">
        <v>45992</v>
      </c>
      <c r="D7176">
        <v>10</v>
      </c>
      <c r="E7176" s="16" t="s">
        <v>95</v>
      </c>
      <c r="F7176" s="16" t="s">
        <v>83</v>
      </c>
      <c r="G7176" s="22">
        <v>20</v>
      </c>
      <c r="H7176" s="18">
        <v>361.4</v>
      </c>
      <c r="I7176" s="18">
        <v>18.07</v>
      </c>
      <c r="J7176" s="18">
        <v>18.239999999999998</v>
      </c>
      <c r="K7176" s="18">
        <v>17.97</v>
      </c>
      <c r="L7176" s="22">
        <v>7</v>
      </c>
    </row>
    <row r="7177" spans="1:12">
      <c r="A7177">
        <v>8</v>
      </c>
      <c r="B7177" s="16" t="s">
        <v>63</v>
      </c>
      <c r="C7177" s="9">
        <v>46023</v>
      </c>
      <c r="D7177">
        <v>10</v>
      </c>
      <c r="E7177" s="16" t="s">
        <v>95</v>
      </c>
      <c r="F7177" s="16" t="s">
        <v>83</v>
      </c>
      <c r="G7177" s="22">
        <v>17.5</v>
      </c>
      <c r="H7177" s="18">
        <v>297.95</v>
      </c>
      <c r="I7177" s="18">
        <v>17.025714285999999</v>
      </c>
      <c r="J7177" s="18">
        <v>17.37</v>
      </c>
      <c r="K7177" s="18">
        <v>16.55</v>
      </c>
      <c r="L7177" s="22">
        <v>7</v>
      </c>
    </row>
    <row r="7178" spans="1:12">
      <c r="A7178">
        <v>8</v>
      </c>
      <c r="B7178" s="16" t="s">
        <v>63</v>
      </c>
      <c r="C7178" s="9">
        <v>46054</v>
      </c>
      <c r="D7178">
        <v>10</v>
      </c>
      <c r="E7178" s="16" t="s">
        <v>95</v>
      </c>
      <c r="F7178" s="16" t="s">
        <v>83</v>
      </c>
      <c r="G7178" s="22">
        <v>17.5</v>
      </c>
      <c r="H7178" s="18">
        <v>295.8</v>
      </c>
      <c r="I7178" s="18">
        <v>16.902857142999999</v>
      </c>
      <c r="J7178" s="18">
        <v>17</v>
      </c>
      <c r="K7178" s="18">
        <v>16.79</v>
      </c>
      <c r="L7178" s="22">
        <v>7</v>
      </c>
    </row>
    <row r="7179" spans="1:12">
      <c r="A7179">
        <v>8</v>
      </c>
      <c r="B7179" s="16" t="s">
        <v>63</v>
      </c>
      <c r="C7179" s="9">
        <v>46082</v>
      </c>
      <c r="D7179">
        <v>10</v>
      </c>
      <c r="E7179" s="16" t="s">
        <v>95</v>
      </c>
      <c r="F7179" s="16" t="s">
        <v>83</v>
      </c>
      <c r="G7179" s="22">
        <v>17.5</v>
      </c>
      <c r="H7179" s="18">
        <v>297.3</v>
      </c>
      <c r="I7179" s="18">
        <v>16.988571429</v>
      </c>
      <c r="J7179" s="18">
        <v>17.309999999999999</v>
      </c>
      <c r="K7179" s="18">
        <v>16.72</v>
      </c>
      <c r="L7179" s="22">
        <v>7</v>
      </c>
    </row>
    <row r="7180" spans="1:12">
      <c r="A7180">
        <v>8</v>
      </c>
      <c r="B7180" s="16" t="s">
        <v>63</v>
      </c>
      <c r="C7180" s="9">
        <v>46113</v>
      </c>
      <c r="D7180">
        <v>10</v>
      </c>
      <c r="E7180" s="16" t="s">
        <v>95</v>
      </c>
      <c r="F7180" s="16" t="s">
        <v>83</v>
      </c>
      <c r="G7180" s="22">
        <v>17.5</v>
      </c>
      <c r="H7180" s="18">
        <v>300.45</v>
      </c>
      <c r="I7180" s="18">
        <v>17.168571429</v>
      </c>
      <c r="J7180" s="18">
        <v>17.41</v>
      </c>
      <c r="K7180" s="18">
        <v>16.75</v>
      </c>
      <c r="L7180" s="22">
        <v>7</v>
      </c>
    </row>
    <row r="7181" spans="1:12">
      <c r="A7181">
        <v>8</v>
      </c>
      <c r="B7181" s="16" t="s">
        <v>63</v>
      </c>
      <c r="C7181" s="9">
        <v>46143</v>
      </c>
      <c r="D7181">
        <v>10</v>
      </c>
      <c r="E7181" s="16" t="s">
        <v>95</v>
      </c>
      <c r="F7181" s="16" t="s">
        <v>83</v>
      </c>
      <c r="G7181" s="22">
        <v>15</v>
      </c>
      <c r="H7181" s="18">
        <v>263.17500000000001</v>
      </c>
      <c r="I7181" s="18">
        <v>17.545000000000002</v>
      </c>
      <c r="J7181" s="18">
        <v>17.920000000000002</v>
      </c>
      <c r="K7181" s="18">
        <v>17.27</v>
      </c>
      <c r="L7181" s="22">
        <v>6</v>
      </c>
    </row>
    <row r="7182" spans="1:12">
      <c r="A7182">
        <v>8</v>
      </c>
      <c r="B7182" s="16" t="s">
        <v>63</v>
      </c>
      <c r="C7182" s="9">
        <v>46174</v>
      </c>
      <c r="D7182">
        <v>10</v>
      </c>
      <c r="E7182" s="16" t="s">
        <v>95</v>
      </c>
      <c r="F7182" s="16" t="s">
        <v>83</v>
      </c>
      <c r="G7182" s="22">
        <v>15</v>
      </c>
      <c r="H7182" s="18">
        <v>263.72500000000002</v>
      </c>
      <c r="I7182" s="18">
        <v>17.581666667</v>
      </c>
      <c r="J7182" s="18">
        <v>17.739999999999998</v>
      </c>
      <c r="K7182" s="18">
        <v>17.34</v>
      </c>
      <c r="L7182" s="22">
        <v>6</v>
      </c>
    </row>
    <row r="7183" spans="1:12">
      <c r="A7183">
        <v>8</v>
      </c>
      <c r="B7183" s="16" t="s">
        <v>63</v>
      </c>
      <c r="C7183" s="9">
        <v>46204</v>
      </c>
      <c r="D7183">
        <v>10</v>
      </c>
      <c r="E7183" s="16" t="s">
        <v>95</v>
      </c>
      <c r="F7183" s="16" t="s">
        <v>83</v>
      </c>
      <c r="G7183" s="22">
        <v>20</v>
      </c>
      <c r="H7183" s="18">
        <v>375.35</v>
      </c>
      <c r="I7183" s="18">
        <v>18.767499999999998</v>
      </c>
      <c r="J7183" s="18">
        <v>19.11</v>
      </c>
      <c r="K7183" s="18">
        <v>18.38</v>
      </c>
      <c r="L7183" s="22">
        <v>7</v>
      </c>
    </row>
    <row r="7184" spans="1:12">
      <c r="A7184">
        <v>8</v>
      </c>
      <c r="B7184" s="16" t="s">
        <v>63</v>
      </c>
      <c r="C7184" s="9">
        <v>46235</v>
      </c>
      <c r="D7184">
        <v>10</v>
      </c>
      <c r="E7184" s="16" t="s">
        <v>95</v>
      </c>
      <c r="F7184" s="16" t="s">
        <v>83</v>
      </c>
      <c r="G7184" s="22">
        <v>15</v>
      </c>
      <c r="H7184" s="18">
        <v>286.55</v>
      </c>
      <c r="I7184" s="18">
        <v>19.103333332999998</v>
      </c>
      <c r="J7184" s="18">
        <v>19.829999999999998</v>
      </c>
      <c r="K7184" s="18">
        <v>18.79</v>
      </c>
      <c r="L7184" s="22">
        <v>6</v>
      </c>
    </row>
    <row r="7185" spans="1:12">
      <c r="A7185">
        <v>8</v>
      </c>
      <c r="B7185" s="16" t="s">
        <v>63</v>
      </c>
      <c r="C7185" s="9">
        <v>46266</v>
      </c>
      <c r="D7185">
        <v>10</v>
      </c>
      <c r="E7185" s="16" t="s">
        <v>95</v>
      </c>
      <c r="F7185" s="16" t="s">
        <v>83</v>
      </c>
      <c r="G7185" s="22">
        <v>15</v>
      </c>
      <c r="H7185" s="18">
        <v>283.27499999999998</v>
      </c>
      <c r="I7185" s="18">
        <v>18.885000000000002</v>
      </c>
      <c r="J7185" s="18">
        <v>19.04</v>
      </c>
      <c r="K7185" s="18">
        <v>18.68</v>
      </c>
      <c r="L7185" s="22">
        <v>6</v>
      </c>
    </row>
    <row r="7186" spans="1:12">
      <c r="A7186">
        <v>8</v>
      </c>
      <c r="B7186" s="16" t="s">
        <v>63</v>
      </c>
      <c r="C7186" s="9">
        <v>45689</v>
      </c>
      <c r="D7186">
        <v>11</v>
      </c>
      <c r="E7186" s="16" t="s">
        <v>96</v>
      </c>
      <c r="F7186" s="16" t="s">
        <v>87</v>
      </c>
      <c r="G7186" s="22">
        <v>3</v>
      </c>
      <c r="H7186" s="18">
        <v>81.364999999999995</v>
      </c>
      <c r="I7186" s="18">
        <v>27.121666667</v>
      </c>
      <c r="J7186" s="18">
        <v>27.26</v>
      </c>
      <c r="K7186" s="18">
        <v>26.84</v>
      </c>
      <c r="L7186" s="22">
        <v>5</v>
      </c>
    </row>
    <row r="7187" spans="1:12">
      <c r="A7187">
        <v>8</v>
      </c>
      <c r="B7187" s="16" t="s">
        <v>63</v>
      </c>
      <c r="C7187" s="9">
        <v>45717</v>
      </c>
      <c r="D7187">
        <v>11</v>
      </c>
      <c r="E7187" s="16" t="s">
        <v>96</v>
      </c>
      <c r="F7187" s="16" t="s">
        <v>87</v>
      </c>
      <c r="G7187" s="22">
        <v>5.75</v>
      </c>
      <c r="H7187" s="18">
        <v>158.1525</v>
      </c>
      <c r="I7187" s="18">
        <v>27.504782608999999</v>
      </c>
      <c r="J7187" s="18">
        <v>28.88</v>
      </c>
      <c r="K7187" s="18">
        <v>27.05</v>
      </c>
      <c r="L7187" s="22">
        <v>7</v>
      </c>
    </row>
    <row r="7188" spans="1:12">
      <c r="A7188">
        <v>8</v>
      </c>
      <c r="B7188" s="16" t="s">
        <v>63</v>
      </c>
      <c r="C7188" s="9">
        <v>45748</v>
      </c>
      <c r="D7188">
        <v>11</v>
      </c>
      <c r="E7188" s="16" t="s">
        <v>96</v>
      </c>
      <c r="F7188" s="16" t="s">
        <v>87</v>
      </c>
      <c r="G7188" s="22">
        <v>6.5</v>
      </c>
      <c r="H7188" s="18">
        <v>173.3425</v>
      </c>
      <c r="I7188" s="18">
        <v>26.668076923000001</v>
      </c>
      <c r="J7188" s="18">
        <v>27.26</v>
      </c>
      <c r="K7188" s="18">
        <v>26.3</v>
      </c>
      <c r="L7188" s="22">
        <v>8</v>
      </c>
    </row>
    <row r="7189" spans="1:12">
      <c r="A7189">
        <v>8</v>
      </c>
      <c r="B7189" s="16" t="s">
        <v>63</v>
      </c>
      <c r="C7189" s="9">
        <v>45778</v>
      </c>
      <c r="D7189">
        <v>11</v>
      </c>
      <c r="E7189" s="16" t="s">
        <v>96</v>
      </c>
      <c r="F7189" s="16" t="s">
        <v>87</v>
      </c>
      <c r="G7189" s="22">
        <v>11</v>
      </c>
      <c r="H7189" s="18">
        <v>289.79750000000001</v>
      </c>
      <c r="I7189" s="18">
        <v>26.345227272999999</v>
      </c>
      <c r="J7189" s="18">
        <v>27.07</v>
      </c>
      <c r="K7189" s="18">
        <v>25.63</v>
      </c>
      <c r="L7189" s="22">
        <v>9</v>
      </c>
    </row>
    <row r="7190" spans="1:12">
      <c r="A7190">
        <v>8</v>
      </c>
      <c r="B7190" s="16" t="s">
        <v>63</v>
      </c>
      <c r="C7190" s="9">
        <v>45809</v>
      </c>
      <c r="D7190">
        <v>11</v>
      </c>
      <c r="E7190" s="16" t="s">
        <v>96</v>
      </c>
      <c r="F7190" s="16" t="s">
        <v>87</v>
      </c>
      <c r="G7190" s="22">
        <v>8.5</v>
      </c>
      <c r="H7190" s="18">
        <v>226.89250000000001</v>
      </c>
      <c r="I7190" s="18">
        <v>26.693235294000001</v>
      </c>
      <c r="J7190" s="18">
        <v>26.93</v>
      </c>
      <c r="K7190" s="18">
        <v>25.99</v>
      </c>
      <c r="L7190" s="22">
        <v>8</v>
      </c>
    </row>
    <row r="7191" spans="1:12">
      <c r="A7191">
        <v>8</v>
      </c>
      <c r="B7191" s="16" t="s">
        <v>63</v>
      </c>
      <c r="C7191" s="9">
        <v>45839</v>
      </c>
      <c r="D7191">
        <v>11</v>
      </c>
      <c r="E7191" s="16" t="s">
        <v>96</v>
      </c>
      <c r="F7191" s="16" t="s">
        <v>87</v>
      </c>
      <c r="G7191" s="22">
        <v>5.75</v>
      </c>
      <c r="H7191" s="18">
        <v>152.82749999999999</v>
      </c>
      <c r="I7191" s="18">
        <v>26.578695652</v>
      </c>
      <c r="J7191" s="18">
        <v>27.11</v>
      </c>
      <c r="K7191" s="18">
        <v>26.21</v>
      </c>
      <c r="L7191" s="22">
        <v>9</v>
      </c>
    </row>
    <row r="7192" spans="1:12">
      <c r="A7192">
        <v>8</v>
      </c>
      <c r="B7192" s="16" t="s">
        <v>63</v>
      </c>
      <c r="C7192" s="9">
        <v>45870</v>
      </c>
      <c r="D7192">
        <v>11</v>
      </c>
      <c r="E7192" s="16" t="s">
        <v>96</v>
      </c>
      <c r="F7192" s="16" t="s">
        <v>87</v>
      </c>
      <c r="G7192" s="22">
        <v>8.25</v>
      </c>
      <c r="H7192" s="18">
        <v>219.98</v>
      </c>
      <c r="I7192" s="18">
        <v>26.664242424000001</v>
      </c>
      <c r="J7192" s="18">
        <v>26.92</v>
      </c>
      <c r="K7192" s="18">
        <v>26.26</v>
      </c>
      <c r="L7192" s="22">
        <v>9</v>
      </c>
    </row>
    <row r="7193" spans="1:12">
      <c r="A7193">
        <v>8</v>
      </c>
      <c r="B7193" s="16" t="s">
        <v>63</v>
      </c>
      <c r="C7193" s="9">
        <v>45901</v>
      </c>
      <c r="D7193">
        <v>11</v>
      </c>
      <c r="E7193" s="16" t="s">
        <v>96</v>
      </c>
      <c r="F7193" s="16" t="s">
        <v>87</v>
      </c>
      <c r="G7193" s="22">
        <v>6.75</v>
      </c>
      <c r="H7193" s="18">
        <v>181.63249999999999</v>
      </c>
      <c r="I7193" s="18">
        <v>26.908518519000001</v>
      </c>
      <c r="J7193" s="18">
        <v>27.08</v>
      </c>
      <c r="K7193" s="18">
        <v>26.54</v>
      </c>
      <c r="L7193" s="22">
        <v>9</v>
      </c>
    </row>
    <row r="7194" spans="1:12">
      <c r="A7194">
        <v>8</v>
      </c>
      <c r="B7194" s="16" t="s">
        <v>63</v>
      </c>
      <c r="C7194" s="9">
        <v>45931</v>
      </c>
      <c r="D7194">
        <v>11</v>
      </c>
      <c r="E7194" s="16" t="s">
        <v>96</v>
      </c>
      <c r="F7194" s="16" t="s">
        <v>87</v>
      </c>
      <c r="G7194" s="22">
        <v>6.5</v>
      </c>
      <c r="H7194" s="18">
        <v>173.285</v>
      </c>
      <c r="I7194" s="18">
        <v>26.659230769000001</v>
      </c>
      <c r="J7194" s="18">
        <v>27.14</v>
      </c>
      <c r="K7194" s="18">
        <v>26.3</v>
      </c>
      <c r="L7194" s="22">
        <v>8</v>
      </c>
    </row>
    <row r="7195" spans="1:12">
      <c r="A7195">
        <v>8</v>
      </c>
      <c r="B7195" s="16" t="s">
        <v>63</v>
      </c>
      <c r="C7195" s="9">
        <v>45962</v>
      </c>
      <c r="D7195">
        <v>11</v>
      </c>
      <c r="E7195" s="16" t="s">
        <v>96</v>
      </c>
      <c r="F7195" s="16" t="s">
        <v>87</v>
      </c>
      <c r="G7195" s="22">
        <v>5.75</v>
      </c>
      <c r="H7195" s="18">
        <v>149.82249999999999</v>
      </c>
      <c r="I7195" s="18">
        <v>26.056086957000002</v>
      </c>
      <c r="J7195" s="18">
        <v>26.24</v>
      </c>
      <c r="K7195" s="18">
        <v>25.9</v>
      </c>
      <c r="L7195" s="22">
        <v>7</v>
      </c>
    </row>
    <row r="7196" spans="1:12">
      <c r="A7196">
        <v>8</v>
      </c>
      <c r="B7196" s="16" t="s">
        <v>63</v>
      </c>
      <c r="C7196" s="9">
        <v>45992</v>
      </c>
      <c r="D7196">
        <v>11</v>
      </c>
      <c r="E7196" s="16" t="s">
        <v>96</v>
      </c>
      <c r="F7196" s="16" t="s">
        <v>87</v>
      </c>
      <c r="G7196" s="22">
        <v>5.75</v>
      </c>
      <c r="H7196" s="18">
        <v>152.9075</v>
      </c>
      <c r="I7196" s="18">
        <v>26.592608695999999</v>
      </c>
      <c r="J7196" s="18">
        <v>27.08</v>
      </c>
      <c r="K7196" s="18">
        <v>26.12</v>
      </c>
      <c r="L7196" s="22">
        <v>9</v>
      </c>
    </row>
    <row r="7197" spans="1:12">
      <c r="A7197">
        <v>8</v>
      </c>
      <c r="B7197" s="16" t="s">
        <v>63</v>
      </c>
      <c r="C7197" s="9">
        <v>46023</v>
      </c>
      <c r="D7197">
        <v>11</v>
      </c>
      <c r="E7197" s="16" t="s">
        <v>96</v>
      </c>
      <c r="F7197" s="16" t="s">
        <v>87</v>
      </c>
      <c r="G7197" s="22">
        <v>7.5</v>
      </c>
      <c r="H7197" s="18">
        <v>200.67500000000001</v>
      </c>
      <c r="I7197" s="18">
        <v>26.756666667000001</v>
      </c>
      <c r="J7197" s="18">
        <v>27.19</v>
      </c>
      <c r="K7197" s="18">
        <v>26.23</v>
      </c>
      <c r="L7197" s="22">
        <v>9</v>
      </c>
    </row>
    <row r="7198" spans="1:12">
      <c r="A7198">
        <v>8</v>
      </c>
      <c r="B7198" s="16" t="s">
        <v>63</v>
      </c>
      <c r="C7198" s="9">
        <v>46054</v>
      </c>
      <c r="D7198">
        <v>11</v>
      </c>
      <c r="E7198" s="16" t="s">
        <v>96</v>
      </c>
      <c r="F7198" s="16" t="s">
        <v>87</v>
      </c>
      <c r="G7198" s="22">
        <v>6.75</v>
      </c>
      <c r="H7198" s="18">
        <v>180.4325</v>
      </c>
      <c r="I7198" s="18">
        <v>26.730740741000002</v>
      </c>
      <c r="J7198" s="18">
        <v>27.42</v>
      </c>
      <c r="K7198" s="18">
        <v>26.36</v>
      </c>
      <c r="L7198" s="22">
        <v>7</v>
      </c>
    </row>
    <row r="7199" spans="1:12">
      <c r="A7199">
        <v>8</v>
      </c>
      <c r="B7199" s="16" t="s">
        <v>63</v>
      </c>
      <c r="C7199" s="9">
        <v>46082</v>
      </c>
      <c r="D7199">
        <v>11</v>
      </c>
      <c r="E7199" s="16" t="s">
        <v>96</v>
      </c>
      <c r="F7199" s="16" t="s">
        <v>87</v>
      </c>
      <c r="G7199" s="22">
        <v>7</v>
      </c>
      <c r="H7199" s="18">
        <v>184.42750000000001</v>
      </c>
      <c r="I7199" s="18">
        <v>26.346785713999999</v>
      </c>
      <c r="J7199" s="18">
        <v>26.73</v>
      </c>
      <c r="K7199" s="18">
        <v>26.15</v>
      </c>
      <c r="L7199" s="22">
        <v>9</v>
      </c>
    </row>
    <row r="7200" spans="1:12">
      <c r="A7200">
        <v>8</v>
      </c>
      <c r="B7200" s="16" t="s">
        <v>63</v>
      </c>
      <c r="C7200" s="9">
        <v>46113</v>
      </c>
      <c r="D7200">
        <v>11</v>
      </c>
      <c r="E7200" s="16" t="s">
        <v>96</v>
      </c>
      <c r="F7200" s="16" t="s">
        <v>87</v>
      </c>
      <c r="G7200" s="22">
        <v>7</v>
      </c>
      <c r="H7200" s="18">
        <v>186.17500000000001</v>
      </c>
      <c r="I7200" s="18">
        <v>26.596428571000001</v>
      </c>
      <c r="J7200" s="18">
        <v>27.8</v>
      </c>
      <c r="K7200" s="18">
        <v>25.74</v>
      </c>
      <c r="L7200" s="22">
        <v>8</v>
      </c>
    </row>
    <row r="7201" spans="1:12">
      <c r="A7201">
        <v>8</v>
      </c>
      <c r="B7201" s="16" t="s">
        <v>63</v>
      </c>
      <c r="C7201" s="9">
        <v>46143</v>
      </c>
      <c r="D7201">
        <v>11</v>
      </c>
      <c r="E7201" s="16" t="s">
        <v>96</v>
      </c>
      <c r="F7201" s="16" t="s">
        <v>87</v>
      </c>
      <c r="G7201" s="22">
        <v>7</v>
      </c>
      <c r="H7201" s="18">
        <v>184.88</v>
      </c>
      <c r="I7201" s="18">
        <v>26.411428570999998</v>
      </c>
      <c r="J7201" s="18">
        <v>26.98</v>
      </c>
      <c r="K7201" s="18">
        <v>25.92</v>
      </c>
      <c r="L7201" s="22">
        <v>9</v>
      </c>
    </row>
    <row r="7202" spans="1:12">
      <c r="A7202">
        <v>8</v>
      </c>
      <c r="B7202" s="16" t="s">
        <v>63</v>
      </c>
      <c r="C7202" s="9">
        <v>46174</v>
      </c>
      <c r="D7202">
        <v>11</v>
      </c>
      <c r="E7202" s="16" t="s">
        <v>96</v>
      </c>
      <c r="F7202" s="16" t="s">
        <v>87</v>
      </c>
      <c r="G7202" s="22">
        <v>4.75</v>
      </c>
      <c r="H7202" s="18">
        <v>125.1525</v>
      </c>
      <c r="I7202" s="18">
        <v>26.347894737000001</v>
      </c>
      <c r="J7202" s="18">
        <v>26.76</v>
      </c>
      <c r="K7202" s="18">
        <v>25.84</v>
      </c>
      <c r="L7202" s="22">
        <v>8</v>
      </c>
    </row>
    <row r="7203" spans="1:12">
      <c r="A7203">
        <v>8</v>
      </c>
      <c r="B7203" s="16" t="s">
        <v>63</v>
      </c>
      <c r="C7203" s="9">
        <v>46204</v>
      </c>
      <c r="D7203">
        <v>11</v>
      </c>
      <c r="E7203" s="16" t="s">
        <v>96</v>
      </c>
      <c r="F7203" s="16" t="s">
        <v>87</v>
      </c>
      <c r="G7203" s="22">
        <v>7</v>
      </c>
      <c r="H7203" s="18">
        <v>186.41</v>
      </c>
      <c r="I7203" s="18">
        <v>26.63</v>
      </c>
      <c r="J7203" s="18">
        <v>28.51</v>
      </c>
      <c r="K7203" s="18">
        <v>25.96</v>
      </c>
      <c r="L7203" s="22">
        <v>9</v>
      </c>
    </row>
    <row r="7204" spans="1:12">
      <c r="A7204">
        <v>8</v>
      </c>
      <c r="B7204" s="16" t="s">
        <v>63</v>
      </c>
      <c r="C7204" s="9">
        <v>46235</v>
      </c>
      <c r="D7204">
        <v>11</v>
      </c>
      <c r="E7204" s="16" t="s">
        <v>96</v>
      </c>
      <c r="F7204" s="16" t="s">
        <v>87</v>
      </c>
      <c r="G7204" s="22">
        <v>5.25</v>
      </c>
      <c r="H7204" s="18">
        <v>140.29499999999999</v>
      </c>
      <c r="I7204" s="18">
        <v>26.722857142999999</v>
      </c>
      <c r="J7204" s="18">
        <v>26.98</v>
      </c>
      <c r="K7204" s="18">
        <v>26.55</v>
      </c>
      <c r="L7204" s="22">
        <v>6</v>
      </c>
    </row>
    <row r="7205" spans="1:12">
      <c r="A7205">
        <v>8</v>
      </c>
      <c r="B7205" s="16" t="s">
        <v>63</v>
      </c>
      <c r="C7205" s="9">
        <v>46266</v>
      </c>
      <c r="D7205">
        <v>11</v>
      </c>
      <c r="E7205" s="16" t="s">
        <v>96</v>
      </c>
      <c r="F7205" s="16" t="s">
        <v>87</v>
      </c>
      <c r="G7205" s="22">
        <v>8.25</v>
      </c>
      <c r="H7205" s="18">
        <v>224.905</v>
      </c>
      <c r="I7205" s="18">
        <v>27.261212121</v>
      </c>
      <c r="J7205" s="18">
        <v>28.79</v>
      </c>
      <c r="K7205" s="18">
        <v>26.54</v>
      </c>
      <c r="L7205" s="22">
        <v>8</v>
      </c>
    </row>
    <row r="7206" spans="1:12">
      <c r="A7206">
        <v>8</v>
      </c>
      <c r="B7206" s="16" t="s">
        <v>63</v>
      </c>
      <c r="C7206" s="9">
        <v>45689</v>
      </c>
      <c r="D7206">
        <v>13</v>
      </c>
      <c r="E7206" s="16" t="s">
        <v>97</v>
      </c>
      <c r="F7206" s="16" t="s">
        <v>98</v>
      </c>
      <c r="G7206" s="22">
        <v>60</v>
      </c>
      <c r="H7206" s="18">
        <v>134.6</v>
      </c>
      <c r="I7206" s="18">
        <v>2.2433333329999998</v>
      </c>
      <c r="J7206" s="18">
        <v>2.25</v>
      </c>
      <c r="K7206" s="18">
        <v>2.23</v>
      </c>
      <c r="L7206" s="22">
        <v>2</v>
      </c>
    </row>
    <row r="7207" spans="1:12">
      <c r="A7207">
        <v>8</v>
      </c>
      <c r="B7207" s="16" t="s">
        <v>63</v>
      </c>
      <c r="C7207" s="9">
        <v>45717</v>
      </c>
      <c r="D7207">
        <v>13</v>
      </c>
      <c r="E7207" s="16" t="s">
        <v>97</v>
      </c>
      <c r="F7207" s="16" t="s">
        <v>98</v>
      </c>
      <c r="G7207" s="22">
        <v>40</v>
      </c>
      <c r="H7207" s="18">
        <v>89.6</v>
      </c>
      <c r="I7207" s="18">
        <v>2.2400000000000002</v>
      </c>
      <c r="J7207" s="18">
        <v>2.2599999999999998</v>
      </c>
      <c r="K7207" s="18">
        <v>2.2200000000000002</v>
      </c>
      <c r="L7207" s="22">
        <v>2</v>
      </c>
    </row>
    <row r="7208" spans="1:12">
      <c r="A7208">
        <v>8</v>
      </c>
      <c r="B7208" s="16" t="s">
        <v>63</v>
      </c>
      <c r="C7208" s="9">
        <v>45748</v>
      </c>
      <c r="D7208">
        <v>13</v>
      </c>
      <c r="E7208" s="16" t="s">
        <v>97</v>
      </c>
      <c r="F7208" s="16" t="s">
        <v>98</v>
      </c>
      <c r="G7208" s="22">
        <v>60</v>
      </c>
      <c r="H7208" s="18">
        <v>134.19999999999999</v>
      </c>
      <c r="I7208" s="18">
        <v>2.2366666670000002</v>
      </c>
      <c r="J7208" s="18">
        <v>2.25</v>
      </c>
      <c r="K7208" s="18">
        <v>2.21</v>
      </c>
      <c r="L7208" s="22">
        <v>2</v>
      </c>
    </row>
    <row r="7209" spans="1:12">
      <c r="A7209">
        <v>8</v>
      </c>
      <c r="B7209" s="16" t="s">
        <v>63</v>
      </c>
      <c r="C7209" s="9">
        <v>45778</v>
      </c>
      <c r="D7209">
        <v>13</v>
      </c>
      <c r="E7209" s="16" t="s">
        <v>97</v>
      </c>
      <c r="F7209" s="16" t="s">
        <v>98</v>
      </c>
      <c r="G7209" s="22">
        <v>80</v>
      </c>
      <c r="H7209" s="18">
        <v>182</v>
      </c>
      <c r="I7209" s="18">
        <v>2.2749999999999999</v>
      </c>
      <c r="J7209" s="18">
        <v>2.2799999999999998</v>
      </c>
      <c r="K7209" s="18">
        <v>2.27</v>
      </c>
      <c r="L7209" s="22">
        <v>2</v>
      </c>
    </row>
    <row r="7210" spans="1:12">
      <c r="A7210">
        <v>8</v>
      </c>
      <c r="B7210" s="16" t="s">
        <v>63</v>
      </c>
      <c r="C7210" s="9">
        <v>45809</v>
      </c>
      <c r="D7210">
        <v>13</v>
      </c>
      <c r="E7210" s="16" t="s">
        <v>97</v>
      </c>
      <c r="F7210" s="16" t="s">
        <v>98</v>
      </c>
      <c r="G7210" s="22">
        <v>60</v>
      </c>
      <c r="H7210" s="18">
        <v>138.4</v>
      </c>
      <c r="I7210" s="18">
        <v>2.306666667</v>
      </c>
      <c r="J7210" s="18">
        <v>2.31</v>
      </c>
      <c r="K7210" s="18">
        <v>2.2999999999999998</v>
      </c>
      <c r="L7210" s="22">
        <v>2</v>
      </c>
    </row>
    <row r="7211" spans="1:12">
      <c r="A7211">
        <v>8</v>
      </c>
      <c r="B7211" s="16" t="s">
        <v>63</v>
      </c>
      <c r="C7211" s="9">
        <v>45839</v>
      </c>
      <c r="D7211">
        <v>13</v>
      </c>
      <c r="E7211" s="16" t="s">
        <v>97</v>
      </c>
      <c r="F7211" s="16" t="s">
        <v>98</v>
      </c>
      <c r="G7211" s="22">
        <v>100</v>
      </c>
      <c r="H7211" s="18">
        <v>228.6</v>
      </c>
      <c r="I7211" s="18">
        <v>2.286</v>
      </c>
      <c r="J7211" s="18">
        <v>2.29</v>
      </c>
      <c r="K7211" s="18">
        <v>2.2799999999999998</v>
      </c>
      <c r="L7211" s="22">
        <v>3</v>
      </c>
    </row>
    <row r="7212" spans="1:12">
      <c r="A7212">
        <v>8</v>
      </c>
      <c r="B7212" s="16" t="s">
        <v>63</v>
      </c>
      <c r="C7212" s="9">
        <v>45870</v>
      </c>
      <c r="D7212">
        <v>13</v>
      </c>
      <c r="E7212" s="16" t="s">
        <v>97</v>
      </c>
      <c r="F7212" s="16" t="s">
        <v>98</v>
      </c>
      <c r="G7212" s="22">
        <v>60</v>
      </c>
      <c r="H7212" s="18">
        <v>138.4</v>
      </c>
      <c r="I7212" s="18">
        <v>2.306666667</v>
      </c>
      <c r="J7212" s="18">
        <v>2.36</v>
      </c>
      <c r="K7212" s="18">
        <v>2.2799999999999998</v>
      </c>
      <c r="L7212" s="22">
        <v>2</v>
      </c>
    </row>
    <row r="7213" spans="1:12">
      <c r="A7213">
        <v>8</v>
      </c>
      <c r="B7213" s="16" t="s">
        <v>63</v>
      </c>
      <c r="C7213" s="9">
        <v>45901</v>
      </c>
      <c r="D7213">
        <v>13</v>
      </c>
      <c r="E7213" s="16" t="s">
        <v>97</v>
      </c>
      <c r="F7213" s="16" t="s">
        <v>98</v>
      </c>
      <c r="G7213" s="22">
        <v>60</v>
      </c>
      <c r="H7213" s="18">
        <v>140</v>
      </c>
      <c r="I7213" s="18">
        <v>2.3333333330000001</v>
      </c>
      <c r="J7213" s="18">
        <v>2.38</v>
      </c>
      <c r="K7213" s="18">
        <v>2.31</v>
      </c>
      <c r="L7213" s="22">
        <v>2</v>
      </c>
    </row>
    <row r="7214" spans="1:12">
      <c r="A7214">
        <v>8</v>
      </c>
      <c r="B7214" s="16" t="s">
        <v>63</v>
      </c>
      <c r="C7214" s="9">
        <v>45931</v>
      </c>
      <c r="D7214">
        <v>13</v>
      </c>
      <c r="E7214" s="16" t="s">
        <v>97</v>
      </c>
      <c r="F7214" s="16" t="s">
        <v>98</v>
      </c>
      <c r="G7214" s="22">
        <v>60</v>
      </c>
      <c r="H7214" s="18">
        <v>137.6</v>
      </c>
      <c r="I7214" s="18">
        <v>2.2933333330000001</v>
      </c>
      <c r="J7214" s="18">
        <v>2.2999999999999998</v>
      </c>
      <c r="K7214" s="18">
        <v>2.29</v>
      </c>
      <c r="L7214" s="22">
        <v>2</v>
      </c>
    </row>
    <row r="7215" spans="1:12">
      <c r="A7215">
        <v>8</v>
      </c>
      <c r="B7215" s="16" t="s">
        <v>63</v>
      </c>
      <c r="C7215" s="9">
        <v>45962</v>
      </c>
      <c r="D7215">
        <v>13</v>
      </c>
      <c r="E7215" s="16" t="s">
        <v>97</v>
      </c>
      <c r="F7215" s="16" t="s">
        <v>98</v>
      </c>
      <c r="G7215" s="22">
        <v>60</v>
      </c>
      <c r="H7215" s="18">
        <v>138.4</v>
      </c>
      <c r="I7215" s="18">
        <v>2.306666667</v>
      </c>
      <c r="J7215" s="18">
        <v>2.3199999999999998</v>
      </c>
      <c r="K7215" s="18">
        <v>2.2999999999999998</v>
      </c>
      <c r="L7215" s="22">
        <v>2</v>
      </c>
    </row>
    <row r="7216" spans="1:12">
      <c r="A7216">
        <v>8</v>
      </c>
      <c r="B7216" s="16" t="s">
        <v>63</v>
      </c>
      <c r="C7216" s="9">
        <v>45992</v>
      </c>
      <c r="D7216">
        <v>13</v>
      </c>
      <c r="E7216" s="16" t="s">
        <v>97</v>
      </c>
      <c r="F7216" s="16" t="s">
        <v>98</v>
      </c>
      <c r="G7216" s="22">
        <v>60</v>
      </c>
      <c r="H7216" s="18">
        <v>140.6</v>
      </c>
      <c r="I7216" s="18">
        <v>2.3433333329999999</v>
      </c>
      <c r="J7216" s="18">
        <v>2.37</v>
      </c>
      <c r="K7216" s="18">
        <v>2.31</v>
      </c>
      <c r="L7216" s="22">
        <v>3</v>
      </c>
    </row>
    <row r="7217" spans="1:12">
      <c r="A7217">
        <v>8</v>
      </c>
      <c r="B7217" s="16" t="s">
        <v>63</v>
      </c>
      <c r="C7217" s="9">
        <v>46023</v>
      </c>
      <c r="D7217">
        <v>13</v>
      </c>
      <c r="E7217" s="16" t="s">
        <v>97</v>
      </c>
      <c r="F7217" s="16" t="s">
        <v>98</v>
      </c>
      <c r="G7217" s="22">
        <v>60</v>
      </c>
      <c r="H7217" s="18">
        <v>140.19999999999999</v>
      </c>
      <c r="I7217" s="18">
        <v>2.3366666669999998</v>
      </c>
      <c r="J7217" s="18">
        <v>2.35</v>
      </c>
      <c r="K7217" s="18">
        <v>2.33</v>
      </c>
      <c r="L7217" s="22">
        <v>2</v>
      </c>
    </row>
    <row r="7218" spans="1:12">
      <c r="A7218">
        <v>8</v>
      </c>
      <c r="B7218" s="16" t="s">
        <v>63</v>
      </c>
      <c r="C7218" s="9">
        <v>46054</v>
      </c>
      <c r="D7218">
        <v>13</v>
      </c>
      <c r="E7218" s="16" t="s">
        <v>97</v>
      </c>
      <c r="F7218" s="16" t="s">
        <v>98</v>
      </c>
      <c r="G7218" s="22">
        <v>40</v>
      </c>
      <c r="H7218" s="18">
        <v>95.2</v>
      </c>
      <c r="I7218" s="18">
        <v>2.38</v>
      </c>
      <c r="J7218" s="18">
        <v>2.38</v>
      </c>
      <c r="K7218" s="18">
        <v>2.38</v>
      </c>
      <c r="L7218" s="22">
        <v>2</v>
      </c>
    </row>
    <row r="7219" spans="1:12">
      <c r="A7219">
        <v>8</v>
      </c>
      <c r="B7219" s="16" t="s">
        <v>63</v>
      </c>
      <c r="C7219" s="9">
        <v>46082</v>
      </c>
      <c r="D7219">
        <v>13</v>
      </c>
      <c r="E7219" s="16" t="s">
        <v>97</v>
      </c>
      <c r="F7219" s="16" t="s">
        <v>98</v>
      </c>
      <c r="G7219" s="22">
        <v>60</v>
      </c>
      <c r="H7219" s="18">
        <v>141</v>
      </c>
      <c r="I7219" s="18">
        <v>2.35</v>
      </c>
      <c r="J7219" s="18">
        <v>2.35</v>
      </c>
      <c r="K7219" s="18">
        <v>2.35</v>
      </c>
      <c r="L7219" s="22">
        <v>2</v>
      </c>
    </row>
    <row r="7220" spans="1:12">
      <c r="A7220">
        <v>8</v>
      </c>
      <c r="B7220" s="16" t="s">
        <v>63</v>
      </c>
      <c r="C7220" s="9">
        <v>46113</v>
      </c>
      <c r="D7220">
        <v>13</v>
      </c>
      <c r="E7220" s="16" t="s">
        <v>97</v>
      </c>
      <c r="F7220" s="16" t="s">
        <v>98</v>
      </c>
      <c r="G7220" s="22">
        <v>40</v>
      </c>
      <c r="H7220" s="18">
        <v>98.4</v>
      </c>
      <c r="I7220" s="18">
        <v>2.46</v>
      </c>
      <c r="J7220" s="18">
        <v>2.5299999999999998</v>
      </c>
      <c r="K7220" s="18">
        <v>2.39</v>
      </c>
      <c r="L7220" s="22">
        <v>2</v>
      </c>
    </row>
    <row r="7221" spans="1:12">
      <c r="A7221">
        <v>8</v>
      </c>
      <c r="B7221" s="16" t="s">
        <v>63</v>
      </c>
      <c r="C7221" s="9">
        <v>46143</v>
      </c>
      <c r="D7221">
        <v>13</v>
      </c>
      <c r="E7221" s="16" t="s">
        <v>97</v>
      </c>
      <c r="F7221" s="16" t="s">
        <v>98</v>
      </c>
      <c r="G7221" s="22">
        <v>60</v>
      </c>
      <c r="H7221" s="18">
        <v>141.80000000000001</v>
      </c>
      <c r="I7221" s="18">
        <v>2.3633333329999999</v>
      </c>
      <c r="J7221" s="18">
        <v>2.37</v>
      </c>
      <c r="K7221" s="18">
        <v>2.35</v>
      </c>
      <c r="L7221" s="22">
        <v>2</v>
      </c>
    </row>
    <row r="7222" spans="1:12">
      <c r="A7222">
        <v>8</v>
      </c>
      <c r="B7222" s="16" t="s">
        <v>63</v>
      </c>
      <c r="C7222" s="9">
        <v>46174</v>
      </c>
      <c r="D7222">
        <v>13</v>
      </c>
      <c r="E7222" s="16" t="s">
        <v>97</v>
      </c>
      <c r="F7222" s="16" t="s">
        <v>98</v>
      </c>
      <c r="G7222" s="22">
        <v>100</v>
      </c>
      <c r="H7222" s="18">
        <v>233.4</v>
      </c>
      <c r="I7222" s="18">
        <v>2.3340000000000001</v>
      </c>
      <c r="J7222" s="18">
        <v>2.35</v>
      </c>
      <c r="K7222" s="18">
        <v>2.3199999999999998</v>
      </c>
      <c r="L7222" s="22">
        <v>3</v>
      </c>
    </row>
    <row r="7223" spans="1:12">
      <c r="A7223">
        <v>8</v>
      </c>
      <c r="B7223" s="16" t="s">
        <v>63</v>
      </c>
      <c r="C7223" s="9">
        <v>46204</v>
      </c>
      <c r="D7223">
        <v>13</v>
      </c>
      <c r="E7223" s="16" t="s">
        <v>97</v>
      </c>
      <c r="F7223" s="16" t="s">
        <v>98</v>
      </c>
      <c r="G7223" s="22">
        <v>60</v>
      </c>
      <c r="H7223" s="18">
        <v>141</v>
      </c>
      <c r="I7223" s="18">
        <v>2.35</v>
      </c>
      <c r="J7223" s="18">
        <v>2.37</v>
      </c>
      <c r="K7223" s="18">
        <v>2.34</v>
      </c>
      <c r="L7223" s="22">
        <v>2</v>
      </c>
    </row>
    <row r="7224" spans="1:12">
      <c r="A7224">
        <v>8</v>
      </c>
      <c r="B7224" s="16" t="s">
        <v>63</v>
      </c>
      <c r="C7224" s="9">
        <v>46235</v>
      </c>
      <c r="D7224">
        <v>13</v>
      </c>
      <c r="E7224" s="16" t="s">
        <v>97</v>
      </c>
      <c r="F7224" s="16" t="s">
        <v>98</v>
      </c>
      <c r="G7224" s="22">
        <v>40</v>
      </c>
      <c r="H7224" s="18">
        <v>95.2</v>
      </c>
      <c r="I7224" s="18">
        <v>2.38</v>
      </c>
      <c r="J7224" s="18">
        <v>2.38</v>
      </c>
      <c r="K7224" s="18">
        <v>2.38</v>
      </c>
      <c r="L7224" s="22">
        <v>2</v>
      </c>
    </row>
    <row r="7225" spans="1:12">
      <c r="A7225">
        <v>8</v>
      </c>
      <c r="B7225" s="16" t="s">
        <v>63</v>
      </c>
      <c r="C7225" s="9">
        <v>46266</v>
      </c>
      <c r="D7225">
        <v>13</v>
      </c>
      <c r="E7225" s="16" t="s">
        <v>97</v>
      </c>
      <c r="F7225" s="16" t="s">
        <v>98</v>
      </c>
      <c r="G7225" s="22">
        <v>60</v>
      </c>
      <c r="H7225" s="18">
        <v>140.80000000000001</v>
      </c>
      <c r="I7225" s="18">
        <v>2.346666667</v>
      </c>
      <c r="J7225" s="18">
        <v>2.35</v>
      </c>
      <c r="K7225" s="18">
        <v>2.34</v>
      </c>
      <c r="L7225" s="22">
        <v>2</v>
      </c>
    </row>
    <row r="7226" spans="1:12">
      <c r="A7226">
        <v>8</v>
      </c>
      <c r="B7226" s="16" t="s">
        <v>63</v>
      </c>
      <c r="C7226" s="9">
        <v>45689</v>
      </c>
      <c r="D7226">
        <v>14</v>
      </c>
      <c r="E7226" s="16" t="s">
        <v>99</v>
      </c>
      <c r="F7226" s="16" t="s">
        <v>90</v>
      </c>
      <c r="G7226" s="22">
        <v>0.75</v>
      </c>
      <c r="H7226" s="18">
        <v>16.515000000000001</v>
      </c>
      <c r="I7226" s="18">
        <v>22.02</v>
      </c>
      <c r="J7226" s="18">
        <v>22.02</v>
      </c>
      <c r="K7226" s="18">
        <v>22.02</v>
      </c>
      <c r="L7226" s="22">
        <v>1</v>
      </c>
    </row>
    <row r="7227" spans="1:12">
      <c r="A7227">
        <v>8</v>
      </c>
      <c r="B7227" s="16" t="s">
        <v>63</v>
      </c>
      <c r="C7227" s="9">
        <v>45748</v>
      </c>
      <c r="D7227">
        <v>14</v>
      </c>
      <c r="E7227" s="16" t="s">
        <v>99</v>
      </c>
      <c r="F7227" s="16" t="s">
        <v>90</v>
      </c>
      <c r="G7227" s="22">
        <v>0.75</v>
      </c>
      <c r="H7227" s="18">
        <v>16.4175</v>
      </c>
      <c r="I7227" s="18">
        <v>21.89</v>
      </c>
      <c r="J7227" s="18">
        <v>21.89</v>
      </c>
      <c r="K7227" s="18">
        <v>21.89</v>
      </c>
      <c r="L7227" s="22">
        <v>1</v>
      </c>
    </row>
    <row r="7228" spans="1:12">
      <c r="A7228">
        <v>8</v>
      </c>
      <c r="B7228" s="16" t="s">
        <v>63</v>
      </c>
      <c r="C7228" s="9">
        <v>45778</v>
      </c>
      <c r="D7228">
        <v>14</v>
      </c>
      <c r="E7228" s="16" t="s">
        <v>99</v>
      </c>
      <c r="F7228" s="16" t="s">
        <v>90</v>
      </c>
      <c r="G7228" s="22">
        <v>0.75</v>
      </c>
      <c r="H7228" s="18">
        <v>16.672499999999999</v>
      </c>
      <c r="I7228" s="18">
        <v>22.23</v>
      </c>
      <c r="J7228" s="18">
        <v>22.23</v>
      </c>
      <c r="K7228" s="18">
        <v>22.23</v>
      </c>
      <c r="L7228" s="22">
        <v>1</v>
      </c>
    </row>
    <row r="7229" spans="1:12">
      <c r="A7229">
        <v>8</v>
      </c>
      <c r="B7229" s="16" t="s">
        <v>63</v>
      </c>
      <c r="C7229" s="9">
        <v>45809</v>
      </c>
      <c r="D7229">
        <v>14</v>
      </c>
      <c r="E7229" s="16" t="s">
        <v>99</v>
      </c>
      <c r="F7229" s="16" t="s">
        <v>90</v>
      </c>
      <c r="G7229" s="22">
        <v>0.75</v>
      </c>
      <c r="H7229" s="18">
        <v>16.9575</v>
      </c>
      <c r="I7229" s="18">
        <v>22.61</v>
      </c>
      <c r="J7229" s="18">
        <v>22.61</v>
      </c>
      <c r="K7229" s="18">
        <v>22.61</v>
      </c>
      <c r="L7229" s="22">
        <v>1</v>
      </c>
    </row>
    <row r="7230" spans="1:12">
      <c r="A7230">
        <v>8</v>
      </c>
      <c r="B7230" s="16" t="s">
        <v>63</v>
      </c>
      <c r="C7230" s="9">
        <v>45839</v>
      </c>
      <c r="D7230">
        <v>14</v>
      </c>
      <c r="E7230" s="16" t="s">
        <v>99</v>
      </c>
      <c r="F7230" s="16" t="s">
        <v>90</v>
      </c>
      <c r="G7230" s="22">
        <v>0.75</v>
      </c>
      <c r="H7230" s="18">
        <v>16.702500000000001</v>
      </c>
      <c r="I7230" s="18">
        <v>22.27</v>
      </c>
      <c r="J7230" s="18">
        <v>22.27</v>
      </c>
      <c r="K7230" s="18">
        <v>22.27</v>
      </c>
      <c r="L7230" s="22">
        <v>1</v>
      </c>
    </row>
    <row r="7231" spans="1:12">
      <c r="A7231">
        <v>8</v>
      </c>
      <c r="B7231" s="16" t="s">
        <v>63</v>
      </c>
      <c r="C7231" s="9">
        <v>45870</v>
      </c>
      <c r="D7231">
        <v>14</v>
      </c>
      <c r="E7231" s="16" t="s">
        <v>99</v>
      </c>
      <c r="F7231" s="16" t="s">
        <v>90</v>
      </c>
      <c r="G7231" s="22">
        <v>0.75</v>
      </c>
      <c r="H7231" s="18">
        <v>16.267499999999998</v>
      </c>
      <c r="I7231" s="18">
        <v>21.69</v>
      </c>
      <c r="J7231" s="18">
        <v>21.69</v>
      </c>
      <c r="K7231" s="18">
        <v>21.69</v>
      </c>
      <c r="L7231" s="22">
        <v>1</v>
      </c>
    </row>
    <row r="7232" spans="1:12">
      <c r="A7232">
        <v>8</v>
      </c>
      <c r="B7232" s="16" t="s">
        <v>63</v>
      </c>
      <c r="C7232" s="9">
        <v>45931</v>
      </c>
      <c r="D7232">
        <v>14</v>
      </c>
      <c r="E7232" s="16" t="s">
        <v>99</v>
      </c>
      <c r="F7232" s="16" t="s">
        <v>90</v>
      </c>
      <c r="G7232" s="22">
        <v>0.75</v>
      </c>
      <c r="H7232" s="18">
        <v>16.762499999999999</v>
      </c>
      <c r="I7232" s="18">
        <v>22.35</v>
      </c>
      <c r="J7232" s="18">
        <v>22.35</v>
      </c>
      <c r="K7232" s="18">
        <v>22.35</v>
      </c>
      <c r="L7232" s="22">
        <v>1</v>
      </c>
    </row>
    <row r="7233" spans="1:12">
      <c r="A7233">
        <v>8</v>
      </c>
      <c r="B7233" s="16" t="s">
        <v>63</v>
      </c>
      <c r="C7233" s="9">
        <v>45962</v>
      </c>
      <c r="D7233">
        <v>14</v>
      </c>
      <c r="E7233" s="16" t="s">
        <v>99</v>
      </c>
      <c r="F7233" s="16" t="s">
        <v>90</v>
      </c>
      <c r="G7233" s="22">
        <v>0.75</v>
      </c>
      <c r="H7233" s="18">
        <v>16.844999999999999</v>
      </c>
      <c r="I7233" s="18">
        <v>22.46</v>
      </c>
      <c r="J7233" s="18">
        <v>22.46</v>
      </c>
      <c r="K7233" s="18">
        <v>22.46</v>
      </c>
      <c r="L7233" s="22">
        <v>1</v>
      </c>
    </row>
    <row r="7234" spans="1:12">
      <c r="A7234">
        <v>8</v>
      </c>
      <c r="B7234" s="16" t="s">
        <v>63</v>
      </c>
      <c r="C7234" s="9">
        <v>46023</v>
      </c>
      <c r="D7234">
        <v>14</v>
      </c>
      <c r="E7234" s="16" t="s">
        <v>99</v>
      </c>
      <c r="F7234" s="16" t="s">
        <v>90</v>
      </c>
      <c r="G7234" s="22">
        <v>0.75</v>
      </c>
      <c r="H7234" s="18">
        <v>16.71</v>
      </c>
      <c r="I7234" s="18">
        <v>22.28</v>
      </c>
      <c r="J7234" s="18">
        <v>22.28</v>
      </c>
      <c r="K7234" s="18">
        <v>22.28</v>
      </c>
      <c r="L7234" s="22">
        <v>1</v>
      </c>
    </row>
    <row r="7235" spans="1:12">
      <c r="A7235">
        <v>8</v>
      </c>
      <c r="B7235" s="16" t="s">
        <v>63</v>
      </c>
      <c r="C7235" s="9">
        <v>46054</v>
      </c>
      <c r="D7235">
        <v>14</v>
      </c>
      <c r="E7235" s="16" t="s">
        <v>99</v>
      </c>
      <c r="F7235" s="16" t="s">
        <v>90</v>
      </c>
      <c r="G7235" s="22">
        <v>0.75</v>
      </c>
      <c r="H7235" s="18">
        <v>17.085000000000001</v>
      </c>
      <c r="I7235" s="18">
        <v>22.78</v>
      </c>
      <c r="J7235" s="18">
        <v>22.78</v>
      </c>
      <c r="K7235" s="18">
        <v>22.78</v>
      </c>
      <c r="L7235" s="22">
        <v>1</v>
      </c>
    </row>
    <row r="7236" spans="1:12">
      <c r="A7236">
        <v>8</v>
      </c>
      <c r="B7236" s="16" t="s">
        <v>63</v>
      </c>
      <c r="C7236" s="9">
        <v>46082</v>
      </c>
      <c r="D7236">
        <v>14</v>
      </c>
      <c r="E7236" s="16" t="s">
        <v>99</v>
      </c>
      <c r="F7236" s="16" t="s">
        <v>90</v>
      </c>
      <c r="G7236" s="22">
        <v>0.75</v>
      </c>
      <c r="H7236" s="18">
        <v>16.8</v>
      </c>
      <c r="I7236" s="18">
        <v>22.4</v>
      </c>
      <c r="J7236" s="18">
        <v>22.4</v>
      </c>
      <c r="K7236" s="18">
        <v>22.4</v>
      </c>
      <c r="L7236" s="22">
        <v>1</v>
      </c>
    </row>
    <row r="7237" spans="1:12">
      <c r="A7237">
        <v>8</v>
      </c>
      <c r="B7237" s="16" t="s">
        <v>63</v>
      </c>
      <c r="C7237" s="9">
        <v>46143</v>
      </c>
      <c r="D7237">
        <v>14</v>
      </c>
      <c r="E7237" s="16" t="s">
        <v>99</v>
      </c>
      <c r="F7237" s="16" t="s">
        <v>90</v>
      </c>
      <c r="G7237" s="22">
        <v>0.75</v>
      </c>
      <c r="H7237" s="18">
        <v>16.574999999999999</v>
      </c>
      <c r="I7237" s="18">
        <v>22.1</v>
      </c>
      <c r="J7237" s="18">
        <v>22.1</v>
      </c>
      <c r="K7237" s="18">
        <v>22.1</v>
      </c>
      <c r="L7237" s="22">
        <v>1</v>
      </c>
    </row>
    <row r="7238" spans="1:12">
      <c r="A7238">
        <v>8</v>
      </c>
      <c r="B7238" s="16" t="s">
        <v>63</v>
      </c>
      <c r="C7238" s="9">
        <v>46204</v>
      </c>
      <c r="D7238">
        <v>14</v>
      </c>
      <c r="E7238" s="16" t="s">
        <v>99</v>
      </c>
      <c r="F7238" s="16" t="s">
        <v>90</v>
      </c>
      <c r="G7238" s="22">
        <v>0.75</v>
      </c>
      <c r="H7238" s="18">
        <v>16.747499999999999</v>
      </c>
      <c r="I7238" s="18">
        <v>22.33</v>
      </c>
      <c r="J7238" s="18">
        <v>22.33</v>
      </c>
      <c r="K7238" s="18">
        <v>22.33</v>
      </c>
      <c r="L7238" s="22">
        <v>1</v>
      </c>
    </row>
    <row r="7239" spans="1:12">
      <c r="A7239">
        <v>8</v>
      </c>
      <c r="B7239" s="16" t="s">
        <v>63</v>
      </c>
      <c r="C7239" s="9">
        <v>46235</v>
      </c>
      <c r="D7239">
        <v>14</v>
      </c>
      <c r="E7239" s="16" t="s">
        <v>99</v>
      </c>
      <c r="F7239" s="16" t="s">
        <v>90</v>
      </c>
      <c r="G7239" s="22">
        <v>0.75</v>
      </c>
      <c r="H7239" s="18">
        <v>17.1675</v>
      </c>
      <c r="I7239" s="18">
        <v>22.89</v>
      </c>
      <c r="J7239" s="18">
        <v>22.89</v>
      </c>
      <c r="K7239" s="18">
        <v>22.89</v>
      </c>
      <c r="L7239" s="22">
        <v>1</v>
      </c>
    </row>
    <row r="7240" spans="1:12">
      <c r="A7240">
        <v>8</v>
      </c>
      <c r="B7240" s="16" t="s">
        <v>63</v>
      </c>
      <c r="C7240" s="9">
        <v>45689</v>
      </c>
      <c r="D7240">
        <v>15</v>
      </c>
      <c r="E7240" s="16" t="s">
        <v>100</v>
      </c>
      <c r="F7240" s="16" t="s">
        <v>92</v>
      </c>
      <c r="G7240" s="22">
        <v>162</v>
      </c>
      <c r="H7240" s="18">
        <v>36.479999999999997</v>
      </c>
      <c r="I7240" s="18">
        <v>0.22518518500000001</v>
      </c>
      <c r="J7240" s="18">
        <v>0.23</v>
      </c>
      <c r="K7240" s="18">
        <v>0.22</v>
      </c>
      <c r="L7240" s="22">
        <v>8</v>
      </c>
    </row>
    <row r="7241" spans="1:12">
      <c r="A7241">
        <v>8</v>
      </c>
      <c r="B7241" s="16" t="s">
        <v>63</v>
      </c>
      <c r="C7241" s="9">
        <v>45717</v>
      </c>
      <c r="D7241">
        <v>15</v>
      </c>
      <c r="E7241" s="16" t="s">
        <v>100</v>
      </c>
      <c r="F7241" s="16" t="s">
        <v>92</v>
      </c>
      <c r="G7241" s="22">
        <v>183</v>
      </c>
      <c r="H7241" s="18">
        <v>40.65</v>
      </c>
      <c r="I7241" s="18">
        <v>0.222131148</v>
      </c>
      <c r="J7241" s="18">
        <v>0.23</v>
      </c>
      <c r="K7241" s="18">
        <v>0.22</v>
      </c>
      <c r="L7241" s="22">
        <v>9</v>
      </c>
    </row>
    <row r="7242" spans="1:12">
      <c r="A7242">
        <v>8</v>
      </c>
      <c r="B7242" s="16" t="s">
        <v>63</v>
      </c>
      <c r="C7242" s="9">
        <v>45748</v>
      </c>
      <c r="D7242">
        <v>15</v>
      </c>
      <c r="E7242" s="16" t="s">
        <v>100</v>
      </c>
      <c r="F7242" s="16" t="s">
        <v>92</v>
      </c>
      <c r="G7242" s="22">
        <v>183</v>
      </c>
      <c r="H7242" s="18">
        <v>39.15</v>
      </c>
      <c r="I7242" s="18">
        <v>0.21393442600000001</v>
      </c>
      <c r="J7242" s="18">
        <v>0.22</v>
      </c>
      <c r="K7242" s="18">
        <v>0.21</v>
      </c>
      <c r="L7242" s="22">
        <v>8</v>
      </c>
    </row>
    <row r="7243" spans="1:12">
      <c r="A7243">
        <v>8</v>
      </c>
      <c r="B7243" s="16" t="s">
        <v>63</v>
      </c>
      <c r="C7243" s="9">
        <v>45778</v>
      </c>
      <c r="D7243">
        <v>15</v>
      </c>
      <c r="E7243" s="16" t="s">
        <v>100</v>
      </c>
      <c r="F7243" s="16" t="s">
        <v>92</v>
      </c>
      <c r="G7243" s="22">
        <v>243</v>
      </c>
      <c r="H7243" s="18">
        <v>49.68</v>
      </c>
      <c r="I7243" s="18">
        <v>0.204444444</v>
      </c>
      <c r="J7243" s="18">
        <v>0.22</v>
      </c>
      <c r="K7243" s="18">
        <v>0.2</v>
      </c>
      <c r="L7243" s="22">
        <v>9</v>
      </c>
    </row>
    <row r="7244" spans="1:12">
      <c r="A7244">
        <v>8</v>
      </c>
      <c r="B7244" s="16" t="s">
        <v>63</v>
      </c>
      <c r="C7244" s="9">
        <v>45809</v>
      </c>
      <c r="D7244">
        <v>15</v>
      </c>
      <c r="E7244" s="16" t="s">
        <v>100</v>
      </c>
      <c r="F7244" s="16" t="s">
        <v>92</v>
      </c>
      <c r="G7244" s="22">
        <v>222</v>
      </c>
      <c r="H7244" s="18">
        <v>44.4</v>
      </c>
      <c r="I7244" s="18">
        <v>0.2</v>
      </c>
      <c r="J7244" s="18">
        <v>0.2</v>
      </c>
      <c r="K7244" s="18">
        <v>0.2</v>
      </c>
      <c r="L7244" s="22">
        <v>9</v>
      </c>
    </row>
    <row r="7245" spans="1:12">
      <c r="A7245">
        <v>8</v>
      </c>
      <c r="B7245" s="16" t="s">
        <v>63</v>
      </c>
      <c r="C7245" s="9">
        <v>45839</v>
      </c>
      <c r="D7245">
        <v>15</v>
      </c>
      <c r="E7245" s="16" t="s">
        <v>100</v>
      </c>
      <c r="F7245" s="16" t="s">
        <v>92</v>
      </c>
      <c r="G7245" s="22">
        <v>195</v>
      </c>
      <c r="H7245" s="18">
        <v>39.15</v>
      </c>
      <c r="I7245" s="18">
        <v>0.20076923099999999</v>
      </c>
      <c r="J7245" s="18">
        <v>0.21</v>
      </c>
      <c r="K7245" s="18">
        <v>0.19</v>
      </c>
      <c r="L7245" s="22">
        <v>9</v>
      </c>
    </row>
    <row r="7246" spans="1:12">
      <c r="A7246">
        <v>8</v>
      </c>
      <c r="B7246" s="16" t="s">
        <v>63</v>
      </c>
      <c r="C7246" s="9">
        <v>45870</v>
      </c>
      <c r="D7246">
        <v>15</v>
      </c>
      <c r="E7246" s="16" t="s">
        <v>100</v>
      </c>
      <c r="F7246" s="16" t="s">
        <v>92</v>
      </c>
      <c r="G7246" s="22">
        <v>180</v>
      </c>
      <c r="H7246" s="18">
        <v>36.33</v>
      </c>
      <c r="I7246" s="18">
        <v>0.201833333</v>
      </c>
      <c r="J7246" s="18">
        <v>0.21</v>
      </c>
      <c r="K7246" s="18">
        <v>0.2</v>
      </c>
      <c r="L7246" s="22">
        <v>8</v>
      </c>
    </row>
    <row r="7247" spans="1:12">
      <c r="A7247">
        <v>8</v>
      </c>
      <c r="B7247" s="16" t="s">
        <v>63</v>
      </c>
      <c r="C7247" s="9">
        <v>45901</v>
      </c>
      <c r="D7247">
        <v>15</v>
      </c>
      <c r="E7247" s="16" t="s">
        <v>100</v>
      </c>
      <c r="F7247" s="16" t="s">
        <v>92</v>
      </c>
      <c r="G7247" s="22">
        <v>207</v>
      </c>
      <c r="H7247" s="18">
        <v>43.05</v>
      </c>
      <c r="I7247" s="18">
        <v>0.20797101400000001</v>
      </c>
      <c r="J7247" s="18">
        <v>0.21</v>
      </c>
      <c r="K7247" s="18">
        <v>0.2</v>
      </c>
      <c r="L7247" s="22">
        <v>9</v>
      </c>
    </row>
    <row r="7248" spans="1:12">
      <c r="A7248">
        <v>8</v>
      </c>
      <c r="B7248" s="16" t="s">
        <v>63</v>
      </c>
      <c r="C7248" s="9">
        <v>45931</v>
      </c>
      <c r="D7248">
        <v>15</v>
      </c>
      <c r="E7248" s="16" t="s">
        <v>100</v>
      </c>
      <c r="F7248" s="16" t="s">
        <v>92</v>
      </c>
      <c r="G7248" s="22">
        <v>204</v>
      </c>
      <c r="H7248" s="18">
        <v>44.64</v>
      </c>
      <c r="I7248" s="18">
        <v>0.21882352899999999</v>
      </c>
      <c r="J7248" s="18">
        <v>0.22</v>
      </c>
      <c r="K7248" s="18">
        <v>0.21</v>
      </c>
      <c r="L7248" s="22">
        <v>9</v>
      </c>
    </row>
    <row r="7249" spans="1:12">
      <c r="A7249">
        <v>8</v>
      </c>
      <c r="B7249" s="16" t="s">
        <v>63</v>
      </c>
      <c r="C7249" s="9">
        <v>45962</v>
      </c>
      <c r="D7249">
        <v>15</v>
      </c>
      <c r="E7249" s="16" t="s">
        <v>100</v>
      </c>
      <c r="F7249" s="16" t="s">
        <v>92</v>
      </c>
      <c r="G7249" s="22">
        <v>180</v>
      </c>
      <c r="H7249" s="18">
        <v>40.950000000000003</v>
      </c>
      <c r="I7249" s="18">
        <v>0.22750000000000001</v>
      </c>
      <c r="J7249" s="18">
        <v>0.23</v>
      </c>
      <c r="K7249" s="18">
        <v>0.22</v>
      </c>
      <c r="L7249" s="22">
        <v>8</v>
      </c>
    </row>
    <row r="7250" spans="1:12">
      <c r="A7250">
        <v>8</v>
      </c>
      <c r="B7250" s="16" t="s">
        <v>63</v>
      </c>
      <c r="C7250" s="9">
        <v>45992</v>
      </c>
      <c r="D7250">
        <v>15</v>
      </c>
      <c r="E7250" s="16" t="s">
        <v>100</v>
      </c>
      <c r="F7250" s="16" t="s">
        <v>92</v>
      </c>
      <c r="G7250" s="22">
        <v>183</v>
      </c>
      <c r="H7250" s="18">
        <v>42.57</v>
      </c>
      <c r="I7250" s="18">
        <v>0.23262295099999999</v>
      </c>
      <c r="J7250" s="18">
        <v>0.24</v>
      </c>
      <c r="K7250" s="18">
        <v>0.23</v>
      </c>
      <c r="L7250" s="22">
        <v>9</v>
      </c>
    </row>
    <row r="7251" spans="1:12">
      <c r="A7251">
        <v>8</v>
      </c>
      <c r="B7251" s="16" t="s">
        <v>63</v>
      </c>
      <c r="C7251" s="9">
        <v>46023</v>
      </c>
      <c r="D7251">
        <v>15</v>
      </c>
      <c r="E7251" s="16" t="s">
        <v>100</v>
      </c>
      <c r="F7251" s="16" t="s">
        <v>92</v>
      </c>
      <c r="G7251" s="22">
        <v>180</v>
      </c>
      <c r="H7251" s="18">
        <v>43.56</v>
      </c>
      <c r="I7251" s="18">
        <v>0.24199999999999999</v>
      </c>
      <c r="J7251" s="18">
        <v>0.25</v>
      </c>
      <c r="K7251" s="18">
        <v>0.24</v>
      </c>
      <c r="L7251" s="22">
        <v>9</v>
      </c>
    </row>
    <row r="7252" spans="1:12">
      <c r="A7252">
        <v>8</v>
      </c>
      <c r="B7252" s="16" t="s">
        <v>63</v>
      </c>
      <c r="C7252" s="9">
        <v>46054</v>
      </c>
      <c r="D7252">
        <v>15</v>
      </c>
      <c r="E7252" s="16" t="s">
        <v>100</v>
      </c>
      <c r="F7252" s="16" t="s">
        <v>92</v>
      </c>
      <c r="G7252" s="22">
        <v>186</v>
      </c>
      <c r="H7252" s="18">
        <v>43.26</v>
      </c>
      <c r="I7252" s="18">
        <v>0.232580645</v>
      </c>
      <c r="J7252" s="18">
        <v>0.24</v>
      </c>
      <c r="K7252" s="18">
        <v>0.23</v>
      </c>
      <c r="L7252" s="22">
        <v>8</v>
      </c>
    </row>
    <row r="7253" spans="1:12">
      <c r="A7253">
        <v>8</v>
      </c>
      <c r="B7253" s="16" t="s">
        <v>63</v>
      </c>
      <c r="C7253" s="9">
        <v>46082</v>
      </c>
      <c r="D7253">
        <v>15</v>
      </c>
      <c r="E7253" s="16" t="s">
        <v>100</v>
      </c>
      <c r="F7253" s="16" t="s">
        <v>92</v>
      </c>
      <c r="G7253" s="22">
        <v>159</v>
      </c>
      <c r="H7253" s="18">
        <v>36.21</v>
      </c>
      <c r="I7253" s="18">
        <v>0.22773584899999999</v>
      </c>
      <c r="J7253" s="18">
        <v>0.23</v>
      </c>
      <c r="K7253" s="18">
        <v>0.22</v>
      </c>
      <c r="L7253" s="22">
        <v>9</v>
      </c>
    </row>
    <row r="7254" spans="1:12">
      <c r="A7254">
        <v>8</v>
      </c>
      <c r="B7254" s="16" t="s">
        <v>63</v>
      </c>
      <c r="C7254" s="9">
        <v>46113</v>
      </c>
      <c r="D7254">
        <v>15</v>
      </c>
      <c r="E7254" s="16" t="s">
        <v>100</v>
      </c>
      <c r="F7254" s="16" t="s">
        <v>92</v>
      </c>
      <c r="G7254" s="22">
        <v>162</v>
      </c>
      <c r="H7254" s="18">
        <v>35.64</v>
      </c>
      <c r="I7254" s="18">
        <v>0.22</v>
      </c>
      <c r="J7254" s="18">
        <v>0.22</v>
      </c>
      <c r="K7254" s="18">
        <v>0.22</v>
      </c>
      <c r="L7254" s="22">
        <v>9</v>
      </c>
    </row>
    <row r="7255" spans="1:12">
      <c r="A7255">
        <v>8</v>
      </c>
      <c r="B7255" s="16" t="s">
        <v>63</v>
      </c>
      <c r="C7255" s="9">
        <v>46143</v>
      </c>
      <c r="D7255">
        <v>15</v>
      </c>
      <c r="E7255" s="16" t="s">
        <v>100</v>
      </c>
      <c r="F7255" s="16" t="s">
        <v>92</v>
      </c>
      <c r="G7255" s="22">
        <v>150</v>
      </c>
      <c r="H7255" s="18">
        <v>31.65</v>
      </c>
      <c r="I7255" s="18">
        <v>0.21099999999999999</v>
      </c>
      <c r="J7255" s="18">
        <v>0.22</v>
      </c>
      <c r="K7255" s="18">
        <v>0.21</v>
      </c>
      <c r="L7255" s="22">
        <v>8</v>
      </c>
    </row>
    <row r="7256" spans="1:12">
      <c r="A7256">
        <v>8</v>
      </c>
      <c r="B7256" s="16" t="s">
        <v>63</v>
      </c>
      <c r="C7256" s="9">
        <v>46174</v>
      </c>
      <c r="D7256">
        <v>15</v>
      </c>
      <c r="E7256" s="16" t="s">
        <v>100</v>
      </c>
      <c r="F7256" s="16" t="s">
        <v>92</v>
      </c>
      <c r="G7256" s="22">
        <v>171</v>
      </c>
      <c r="H7256" s="18">
        <v>35.31</v>
      </c>
      <c r="I7256" s="18">
        <v>0.206491228</v>
      </c>
      <c r="J7256" s="18">
        <v>0.21</v>
      </c>
      <c r="K7256" s="18">
        <v>0.2</v>
      </c>
      <c r="L7256" s="22">
        <v>9</v>
      </c>
    </row>
    <row r="7257" spans="1:12">
      <c r="A7257">
        <v>8</v>
      </c>
      <c r="B7257" s="16" t="s">
        <v>63</v>
      </c>
      <c r="C7257" s="9">
        <v>46204</v>
      </c>
      <c r="D7257">
        <v>15</v>
      </c>
      <c r="E7257" s="16" t="s">
        <v>100</v>
      </c>
      <c r="F7257" s="16" t="s">
        <v>92</v>
      </c>
      <c r="G7257" s="22">
        <v>165</v>
      </c>
      <c r="H7257" s="18">
        <v>33.96</v>
      </c>
      <c r="I7257" s="18">
        <v>0.20581818199999999</v>
      </c>
      <c r="J7257" s="18">
        <v>0.21</v>
      </c>
      <c r="K7257" s="18">
        <v>0.2</v>
      </c>
      <c r="L7257" s="22">
        <v>9</v>
      </c>
    </row>
    <row r="7258" spans="1:12">
      <c r="A7258">
        <v>8</v>
      </c>
      <c r="B7258" s="16" t="s">
        <v>63</v>
      </c>
      <c r="C7258" s="9">
        <v>46235</v>
      </c>
      <c r="D7258">
        <v>15</v>
      </c>
      <c r="E7258" s="16" t="s">
        <v>100</v>
      </c>
      <c r="F7258" s="16" t="s">
        <v>92</v>
      </c>
      <c r="G7258" s="22">
        <v>159</v>
      </c>
      <c r="H7258" s="18">
        <v>32.880000000000003</v>
      </c>
      <c r="I7258" s="18">
        <v>0.20679245299999999</v>
      </c>
      <c r="J7258" s="18">
        <v>0.21</v>
      </c>
      <c r="K7258" s="18">
        <v>0.2</v>
      </c>
      <c r="L7258" s="22">
        <v>9</v>
      </c>
    </row>
    <row r="7259" spans="1:12">
      <c r="A7259">
        <v>8</v>
      </c>
      <c r="B7259" s="16" t="s">
        <v>63</v>
      </c>
      <c r="C7259" s="9">
        <v>46266</v>
      </c>
      <c r="D7259">
        <v>15</v>
      </c>
      <c r="E7259" s="16" t="s">
        <v>100</v>
      </c>
      <c r="F7259" s="16" t="s">
        <v>92</v>
      </c>
      <c r="G7259" s="22">
        <v>150</v>
      </c>
      <c r="H7259" s="18">
        <v>32.31</v>
      </c>
      <c r="I7259" s="18">
        <v>0.21540000000000001</v>
      </c>
      <c r="J7259" s="18">
        <v>0.22</v>
      </c>
      <c r="K7259" s="18">
        <v>0.21</v>
      </c>
      <c r="L7259" s="22">
        <v>8</v>
      </c>
    </row>
    <row r="7260" spans="1:12">
      <c r="A7260">
        <v>8</v>
      </c>
      <c r="B7260" s="16" t="s">
        <v>63</v>
      </c>
      <c r="C7260" s="9">
        <v>45689</v>
      </c>
      <c r="D7260">
        <v>16</v>
      </c>
      <c r="E7260" s="16" t="s">
        <v>101</v>
      </c>
      <c r="F7260" s="16" t="s">
        <v>92</v>
      </c>
      <c r="G7260" s="22">
        <v>16.5</v>
      </c>
      <c r="H7260" s="18">
        <v>9.6449999999999996</v>
      </c>
      <c r="I7260" s="18">
        <v>0.58454545499999999</v>
      </c>
      <c r="J7260" s="18">
        <v>0.59</v>
      </c>
      <c r="K7260" s="18">
        <v>0.56999999999999995</v>
      </c>
      <c r="L7260" s="22">
        <v>8</v>
      </c>
    </row>
    <row r="7261" spans="1:12">
      <c r="A7261">
        <v>8</v>
      </c>
      <c r="B7261" s="16" t="s">
        <v>63</v>
      </c>
      <c r="C7261" s="9">
        <v>45717</v>
      </c>
      <c r="D7261">
        <v>16</v>
      </c>
      <c r="E7261" s="16" t="s">
        <v>101</v>
      </c>
      <c r="F7261" s="16" t="s">
        <v>92</v>
      </c>
      <c r="G7261" s="22">
        <v>16.5</v>
      </c>
      <c r="H7261" s="18">
        <v>9.5549999999999997</v>
      </c>
      <c r="I7261" s="18">
        <v>0.57909090900000004</v>
      </c>
      <c r="J7261" s="18">
        <v>0.59</v>
      </c>
      <c r="K7261" s="18">
        <v>0.56999999999999995</v>
      </c>
      <c r="L7261" s="22">
        <v>8</v>
      </c>
    </row>
    <row r="7262" spans="1:12">
      <c r="A7262">
        <v>8</v>
      </c>
      <c r="B7262" s="16" t="s">
        <v>63</v>
      </c>
      <c r="C7262" s="9">
        <v>45748</v>
      </c>
      <c r="D7262">
        <v>16</v>
      </c>
      <c r="E7262" s="16" t="s">
        <v>101</v>
      </c>
      <c r="F7262" s="16" t="s">
        <v>92</v>
      </c>
      <c r="G7262" s="22">
        <v>18</v>
      </c>
      <c r="H7262" s="18">
        <v>10.050000000000001</v>
      </c>
      <c r="I7262" s="18">
        <v>0.55833333299999999</v>
      </c>
      <c r="J7262" s="18">
        <v>0.56999999999999995</v>
      </c>
      <c r="K7262" s="18">
        <v>0.54</v>
      </c>
      <c r="L7262" s="22">
        <v>8</v>
      </c>
    </row>
    <row r="7263" spans="1:12">
      <c r="A7263">
        <v>8</v>
      </c>
      <c r="B7263" s="16" t="s">
        <v>63</v>
      </c>
      <c r="C7263" s="9">
        <v>45778</v>
      </c>
      <c r="D7263">
        <v>16</v>
      </c>
      <c r="E7263" s="16" t="s">
        <v>101</v>
      </c>
      <c r="F7263" s="16" t="s">
        <v>92</v>
      </c>
      <c r="G7263" s="22">
        <v>19.5</v>
      </c>
      <c r="H7263" s="18">
        <v>10.455</v>
      </c>
      <c r="I7263" s="18">
        <v>0.53615384600000005</v>
      </c>
      <c r="J7263" s="18">
        <v>0.56000000000000005</v>
      </c>
      <c r="K7263" s="18">
        <v>0.52</v>
      </c>
      <c r="L7263" s="22">
        <v>8</v>
      </c>
    </row>
    <row r="7264" spans="1:12">
      <c r="A7264">
        <v>8</v>
      </c>
      <c r="B7264" s="16" t="s">
        <v>63</v>
      </c>
      <c r="C7264" s="9">
        <v>45809</v>
      </c>
      <c r="D7264">
        <v>16</v>
      </c>
      <c r="E7264" s="16" t="s">
        <v>101</v>
      </c>
      <c r="F7264" s="16" t="s">
        <v>92</v>
      </c>
      <c r="G7264" s="22">
        <v>16.5</v>
      </c>
      <c r="H7264" s="18">
        <v>8.5350000000000001</v>
      </c>
      <c r="I7264" s="18">
        <v>0.51727272700000004</v>
      </c>
      <c r="J7264" s="18">
        <v>0.53</v>
      </c>
      <c r="K7264" s="18">
        <v>0.51</v>
      </c>
      <c r="L7264" s="22">
        <v>9</v>
      </c>
    </row>
    <row r="7265" spans="1:12">
      <c r="A7265">
        <v>8</v>
      </c>
      <c r="B7265" s="16" t="s">
        <v>63</v>
      </c>
      <c r="C7265" s="9">
        <v>45839</v>
      </c>
      <c r="D7265">
        <v>16</v>
      </c>
      <c r="E7265" s="16" t="s">
        <v>101</v>
      </c>
      <c r="F7265" s="16" t="s">
        <v>92</v>
      </c>
      <c r="G7265" s="22">
        <v>15</v>
      </c>
      <c r="H7265" s="18">
        <v>7.7249999999999996</v>
      </c>
      <c r="I7265" s="18">
        <v>0.51500000000000001</v>
      </c>
      <c r="J7265" s="18">
        <v>0.52</v>
      </c>
      <c r="K7265" s="18">
        <v>0.51</v>
      </c>
      <c r="L7265" s="22">
        <v>7</v>
      </c>
    </row>
    <row r="7266" spans="1:12">
      <c r="A7266">
        <v>8</v>
      </c>
      <c r="B7266" s="16" t="s">
        <v>63</v>
      </c>
      <c r="C7266" s="9">
        <v>45870</v>
      </c>
      <c r="D7266">
        <v>16</v>
      </c>
      <c r="E7266" s="16" t="s">
        <v>101</v>
      </c>
      <c r="F7266" s="16" t="s">
        <v>92</v>
      </c>
      <c r="G7266" s="22">
        <v>16.5</v>
      </c>
      <c r="H7266" s="18">
        <v>8.5350000000000001</v>
      </c>
      <c r="I7266" s="18">
        <v>0.51727272700000004</v>
      </c>
      <c r="J7266" s="18">
        <v>0.53</v>
      </c>
      <c r="K7266" s="18">
        <v>0.5</v>
      </c>
      <c r="L7266" s="22">
        <v>7</v>
      </c>
    </row>
    <row r="7267" spans="1:12">
      <c r="A7267">
        <v>8</v>
      </c>
      <c r="B7267" s="16" t="s">
        <v>63</v>
      </c>
      <c r="C7267" s="9">
        <v>45901</v>
      </c>
      <c r="D7267">
        <v>16</v>
      </c>
      <c r="E7267" s="16" t="s">
        <v>101</v>
      </c>
      <c r="F7267" s="16" t="s">
        <v>92</v>
      </c>
      <c r="G7267" s="22">
        <v>18</v>
      </c>
      <c r="H7267" s="18">
        <v>9.6</v>
      </c>
      <c r="I7267" s="18">
        <v>0.53333333299999997</v>
      </c>
      <c r="J7267" s="18">
        <v>0.54</v>
      </c>
      <c r="K7267" s="18">
        <v>0.52</v>
      </c>
      <c r="L7267" s="22">
        <v>9</v>
      </c>
    </row>
    <row r="7268" spans="1:12">
      <c r="A7268">
        <v>8</v>
      </c>
      <c r="B7268" s="16" t="s">
        <v>63</v>
      </c>
      <c r="C7268" s="9">
        <v>45931</v>
      </c>
      <c r="D7268">
        <v>16</v>
      </c>
      <c r="E7268" s="16" t="s">
        <v>101</v>
      </c>
      <c r="F7268" s="16" t="s">
        <v>92</v>
      </c>
      <c r="G7268" s="22">
        <v>19.5</v>
      </c>
      <c r="H7268" s="18">
        <v>10.845000000000001</v>
      </c>
      <c r="I7268" s="18">
        <v>0.55615384599999995</v>
      </c>
      <c r="J7268" s="18">
        <v>0.56999999999999995</v>
      </c>
      <c r="K7268" s="18">
        <v>0.55000000000000004</v>
      </c>
      <c r="L7268" s="22">
        <v>8</v>
      </c>
    </row>
    <row r="7269" spans="1:12">
      <c r="A7269">
        <v>8</v>
      </c>
      <c r="B7269" s="16" t="s">
        <v>63</v>
      </c>
      <c r="C7269" s="9">
        <v>45962</v>
      </c>
      <c r="D7269">
        <v>16</v>
      </c>
      <c r="E7269" s="16" t="s">
        <v>101</v>
      </c>
      <c r="F7269" s="16" t="s">
        <v>92</v>
      </c>
      <c r="G7269" s="22">
        <v>18</v>
      </c>
      <c r="H7269" s="18">
        <v>10.68</v>
      </c>
      <c r="I7269" s="18">
        <v>0.59333333300000002</v>
      </c>
      <c r="J7269" s="18">
        <v>0.62</v>
      </c>
      <c r="K7269" s="18">
        <v>0.57999999999999996</v>
      </c>
      <c r="L7269" s="22">
        <v>7</v>
      </c>
    </row>
    <row r="7270" spans="1:12">
      <c r="A7270">
        <v>8</v>
      </c>
      <c r="B7270" s="16" t="s">
        <v>63</v>
      </c>
      <c r="C7270" s="9">
        <v>45992</v>
      </c>
      <c r="D7270">
        <v>16</v>
      </c>
      <c r="E7270" s="16" t="s">
        <v>101</v>
      </c>
      <c r="F7270" s="16" t="s">
        <v>92</v>
      </c>
      <c r="G7270" s="22">
        <v>19.5</v>
      </c>
      <c r="H7270" s="18">
        <v>11.82</v>
      </c>
      <c r="I7270" s="18">
        <v>0.606153846</v>
      </c>
      <c r="J7270" s="18">
        <v>0.61</v>
      </c>
      <c r="K7270" s="18">
        <v>0.6</v>
      </c>
      <c r="L7270" s="22">
        <v>8</v>
      </c>
    </row>
    <row r="7271" spans="1:12">
      <c r="A7271">
        <v>8</v>
      </c>
      <c r="B7271" s="16" t="s">
        <v>63</v>
      </c>
      <c r="C7271" s="9">
        <v>46023</v>
      </c>
      <c r="D7271">
        <v>16</v>
      </c>
      <c r="E7271" s="16" t="s">
        <v>101</v>
      </c>
      <c r="F7271" s="16" t="s">
        <v>92</v>
      </c>
      <c r="G7271" s="22">
        <v>19.5</v>
      </c>
      <c r="H7271" s="18">
        <v>12</v>
      </c>
      <c r="I7271" s="18">
        <v>0.61538461499999997</v>
      </c>
      <c r="J7271" s="18">
        <v>0.65</v>
      </c>
      <c r="K7271" s="18">
        <v>0.6</v>
      </c>
      <c r="L7271" s="22">
        <v>9</v>
      </c>
    </row>
    <row r="7272" spans="1:12">
      <c r="A7272">
        <v>8</v>
      </c>
      <c r="B7272" s="16" t="s">
        <v>63</v>
      </c>
      <c r="C7272" s="9">
        <v>46054</v>
      </c>
      <c r="D7272">
        <v>16</v>
      </c>
      <c r="E7272" s="16" t="s">
        <v>101</v>
      </c>
      <c r="F7272" s="16" t="s">
        <v>92</v>
      </c>
      <c r="G7272" s="22">
        <v>21</v>
      </c>
      <c r="H7272" s="18">
        <v>12.795</v>
      </c>
      <c r="I7272" s="18">
        <v>0.60928571399999998</v>
      </c>
      <c r="J7272" s="18">
        <v>0.62</v>
      </c>
      <c r="K7272" s="18">
        <v>0.6</v>
      </c>
      <c r="L7272" s="22">
        <v>8</v>
      </c>
    </row>
    <row r="7273" spans="1:12">
      <c r="A7273">
        <v>8</v>
      </c>
      <c r="B7273" s="16" t="s">
        <v>63</v>
      </c>
      <c r="C7273" s="9">
        <v>46082</v>
      </c>
      <c r="D7273">
        <v>16</v>
      </c>
      <c r="E7273" s="16" t="s">
        <v>101</v>
      </c>
      <c r="F7273" s="16" t="s">
        <v>92</v>
      </c>
      <c r="G7273" s="22">
        <v>21</v>
      </c>
      <c r="H7273" s="18">
        <v>12.39</v>
      </c>
      <c r="I7273" s="18">
        <v>0.59</v>
      </c>
      <c r="J7273" s="18">
        <v>0.6</v>
      </c>
      <c r="K7273" s="18">
        <v>0.57999999999999996</v>
      </c>
      <c r="L7273" s="22">
        <v>9</v>
      </c>
    </row>
    <row r="7274" spans="1:12">
      <c r="A7274">
        <v>8</v>
      </c>
      <c r="B7274" s="16" t="s">
        <v>63</v>
      </c>
      <c r="C7274" s="9">
        <v>46113</v>
      </c>
      <c r="D7274">
        <v>16</v>
      </c>
      <c r="E7274" s="16" t="s">
        <v>101</v>
      </c>
      <c r="F7274" s="16" t="s">
        <v>92</v>
      </c>
      <c r="G7274" s="22">
        <v>18</v>
      </c>
      <c r="H7274" s="18">
        <v>10.125</v>
      </c>
      <c r="I7274" s="18">
        <v>0.5625</v>
      </c>
      <c r="J7274" s="18">
        <v>0.56999999999999995</v>
      </c>
      <c r="K7274" s="18">
        <v>0.55000000000000004</v>
      </c>
      <c r="L7274" s="22">
        <v>7</v>
      </c>
    </row>
    <row r="7275" spans="1:12">
      <c r="A7275">
        <v>8</v>
      </c>
      <c r="B7275" s="16" t="s">
        <v>63</v>
      </c>
      <c r="C7275" s="9">
        <v>46143</v>
      </c>
      <c r="D7275">
        <v>16</v>
      </c>
      <c r="E7275" s="16" t="s">
        <v>101</v>
      </c>
      <c r="F7275" s="16" t="s">
        <v>92</v>
      </c>
      <c r="G7275" s="22">
        <v>12</v>
      </c>
      <c r="H7275" s="18">
        <v>6.42</v>
      </c>
      <c r="I7275" s="18">
        <v>0.53500000000000003</v>
      </c>
      <c r="J7275" s="18">
        <v>0.54</v>
      </c>
      <c r="K7275" s="18">
        <v>0.53</v>
      </c>
      <c r="L7275" s="22">
        <v>4</v>
      </c>
    </row>
    <row r="7276" spans="1:12">
      <c r="A7276">
        <v>8</v>
      </c>
      <c r="B7276" s="16" t="s">
        <v>63</v>
      </c>
      <c r="C7276" s="9">
        <v>46174</v>
      </c>
      <c r="D7276">
        <v>16</v>
      </c>
      <c r="E7276" s="16" t="s">
        <v>101</v>
      </c>
      <c r="F7276" s="16" t="s">
        <v>92</v>
      </c>
      <c r="G7276" s="22">
        <v>15</v>
      </c>
      <c r="H7276" s="18">
        <v>7.8</v>
      </c>
      <c r="I7276" s="18">
        <v>0.52</v>
      </c>
      <c r="J7276" s="18">
        <v>0.53</v>
      </c>
      <c r="K7276" s="18">
        <v>0.51</v>
      </c>
      <c r="L7276" s="22">
        <v>8</v>
      </c>
    </row>
    <row r="7277" spans="1:12">
      <c r="A7277">
        <v>8</v>
      </c>
      <c r="B7277" s="16" t="s">
        <v>63</v>
      </c>
      <c r="C7277" s="9">
        <v>46204</v>
      </c>
      <c r="D7277">
        <v>16</v>
      </c>
      <c r="E7277" s="16" t="s">
        <v>101</v>
      </c>
      <c r="F7277" s="16" t="s">
        <v>92</v>
      </c>
      <c r="G7277" s="22">
        <v>12</v>
      </c>
      <c r="H7277" s="18">
        <v>6.21</v>
      </c>
      <c r="I7277" s="18">
        <v>0.51749999999999996</v>
      </c>
      <c r="J7277" s="18">
        <v>0.53</v>
      </c>
      <c r="K7277" s="18">
        <v>0.51</v>
      </c>
      <c r="L7277" s="22">
        <v>8</v>
      </c>
    </row>
    <row r="7278" spans="1:12">
      <c r="A7278">
        <v>8</v>
      </c>
      <c r="B7278" s="16" t="s">
        <v>63</v>
      </c>
      <c r="C7278" s="9">
        <v>46235</v>
      </c>
      <c r="D7278">
        <v>16</v>
      </c>
      <c r="E7278" s="16" t="s">
        <v>101</v>
      </c>
      <c r="F7278" s="16" t="s">
        <v>92</v>
      </c>
      <c r="G7278" s="22">
        <v>16.5</v>
      </c>
      <c r="H7278" s="18">
        <v>8.625</v>
      </c>
      <c r="I7278" s="18">
        <v>0.52272727299999999</v>
      </c>
      <c r="J7278" s="18">
        <v>0.53</v>
      </c>
      <c r="K7278" s="18">
        <v>0.51</v>
      </c>
      <c r="L7278" s="22">
        <v>8</v>
      </c>
    </row>
    <row r="7279" spans="1:12">
      <c r="A7279">
        <v>8</v>
      </c>
      <c r="B7279" s="16" t="s">
        <v>63</v>
      </c>
      <c r="C7279" s="9">
        <v>46266</v>
      </c>
      <c r="D7279">
        <v>16</v>
      </c>
      <c r="E7279" s="16" t="s">
        <v>101</v>
      </c>
      <c r="F7279" s="16" t="s">
        <v>92</v>
      </c>
      <c r="G7279" s="22">
        <v>13.5</v>
      </c>
      <c r="H7279" s="18">
        <v>7.32</v>
      </c>
      <c r="I7279" s="18">
        <v>0.54222222200000003</v>
      </c>
      <c r="J7279" s="18">
        <v>0.55000000000000004</v>
      </c>
      <c r="K7279" s="18">
        <v>0.54</v>
      </c>
      <c r="L7279" s="22">
        <v>8</v>
      </c>
    </row>
    <row r="7280" spans="1:12">
      <c r="A7280">
        <v>8</v>
      </c>
      <c r="B7280" s="16" t="s">
        <v>63</v>
      </c>
      <c r="C7280" s="9">
        <v>45689</v>
      </c>
      <c r="D7280">
        <v>17</v>
      </c>
      <c r="E7280" s="16" t="s">
        <v>102</v>
      </c>
      <c r="F7280" s="16" t="s">
        <v>103</v>
      </c>
      <c r="G7280" s="22">
        <v>2</v>
      </c>
      <c r="H7280" s="18">
        <v>20.59</v>
      </c>
      <c r="I7280" s="18">
        <v>10.295</v>
      </c>
      <c r="J7280" s="18">
        <v>10.31</v>
      </c>
      <c r="K7280" s="18">
        <v>10.28</v>
      </c>
      <c r="L7280" s="22">
        <v>2</v>
      </c>
    </row>
    <row r="7281" spans="1:12">
      <c r="A7281">
        <v>8</v>
      </c>
      <c r="B7281" s="16" t="s">
        <v>63</v>
      </c>
      <c r="C7281" s="9">
        <v>45717</v>
      </c>
      <c r="D7281">
        <v>17</v>
      </c>
      <c r="E7281" s="16" t="s">
        <v>102</v>
      </c>
      <c r="F7281" s="16" t="s">
        <v>103</v>
      </c>
      <c r="G7281" s="22">
        <v>1</v>
      </c>
      <c r="H7281" s="18">
        <v>10.39</v>
      </c>
      <c r="I7281" s="18">
        <v>10.39</v>
      </c>
      <c r="J7281" s="18">
        <v>10.39</v>
      </c>
      <c r="K7281" s="18">
        <v>10.39</v>
      </c>
      <c r="L7281" s="22">
        <v>1</v>
      </c>
    </row>
    <row r="7282" spans="1:12">
      <c r="A7282">
        <v>8</v>
      </c>
      <c r="B7282" s="16" t="s">
        <v>63</v>
      </c>
      <c r="C7282" s="9">
        <v>45748</v>
      </c>
      <c r="D7282">
        <v>17</v>
      </c>
      <c r="E7282" s="16" t="s">
        <v>102</v>
      </c>
      <c r="F7282" s="16" t="s">
        <v>103</v>
      </c>
      <c r="G7282" s="22">
        <v>2</v>
      </c>
      <c r="H7282" s="18">
        <v>20.420000000000002</v>
      </c>
      <c r="I7282" s="18">
        <v>10.210000000000001</v>
      </c>
      <c r="J7282" s="18">
        <v>10.5</v>
      </c>
      <c r="K7282" s="18">
        <v>9.92</v>
      </c>
      <c r="L7282" s="22">
        <v>2</v>
      </c>
    </row>
    <row r="7283" spans="1:12">
      <c r="A7283">
        <v>8</v>
      </c>
      <c r="B7283" s="16" t="s">
        <v>63</v>
      </c>
      <c r="C7283" s="9">
        <v>45778</v>
      </c>
      <c r="D7283">
        <v>17</v>
      </c>
      <c r="E7283" s="16" t="s">
        <v>102</v>
      </c>
      <c r="F7283" s="16" t="s">
        <v>103</v>
      </c>
      <c r="G7283" s="22">
        <v>2</v>
      </c>
      <c r="H7283" s="18">
        <v>20.47</v>
      </c>
      <c r="I7283" s="18">
        <v>10.234999999999999</v>
      </c>
      <c r="J7283" s="18">
        <v>10.37</v>
      </c>
      <c r="K7283" s="18">
        <v>10.1</v>
      </c>
      <c r="L7283" s="22">
        <v>2</v>
      </c>
    </row>
    <row r="7284" spans="1:12">
      <c r="A7284">
        <v>8</v>
      </c>
      <c r="B7284" s="16" t="s">
        <v>63</v>
      </c>
      <c r="C7284" s="9">
        <v>45809</v>
      </c>
      <c r="D7284">
        <v>17</v>
      </c>
      <c r="E7284" s="16" t="s">
        <v>102</v>
      </c>
      <c r="F7284" s="16" t="s">
        <v>103</v>
      </c>
      <c r="G7284" s="22">
        <v>1</v>
      </c>
      <c r="H7284" s="18">
        <v>10.44</v>
      </c>
      <c r="I7284" s="18">
        <v>10.44</v>
      </c>
      <c r="J7284" s="18">
        <v>10.44</v>
      </c>
      <c r="K7284" s="18">
        <v>10.44</v>
      </c>
      <c r="L7284" s="22">
        <v>1</v>
      </c>
    </row>
    <row r="7285" spans="1:12">
      <c r="A7285">
        <v>8</v>
      </c>
      <c r="B7285" s="16" t="s">
        <v>63</v>
      </c>
      <c r="C7285" s="9">
        <v>45870</v>
      </c>
      <c r="D7285">
        <v>17</v>
      </c>
      <c r="E7285" s="16" t="s">
        <v>102</v>
      </c>
      <c r="F7285" s="16" t="s">
        <v>103</v>
      </c>
      <c r="G7285" s="22">
        <v>1</v>
      </c>
      <c r="H7285" s="18">
        <v>10.64</v>
      </c>
      <c r="I7285" s="18">
        <v>10.64</v>
      </c>
      <c r="J7285" s="18">
        <v>10.64</v>
      </c>
      <c r="K7285" s="18">
        <v>10.64</v>
      </c>
      <c r="L7285" s="22">
        <v>1</v>
      </c>
    </row>
    <row r="7286" spans="1:12">
      <c r="A7286">
        <v>8</v>
      </c>
      <c r="B7286" s="16" t="s">
        <v>63</v>
      </c>
      <c r="C7286" s="9">
        <v>45901</v>
      </c>
      <c r="D7286">
        <v>17</v>
      </c>
      <c r="E7286" s="16" t="s">
        <v>102</v>
      </c>
      <c r="F7286" s="16" t="s">
        <v>103</v>
      </c>
      <c r="G7286" s="22">
        <v>2</v>
      </c>
      <c r="H7286" s="18">
        <v>21.15</v>
      </c>
      <c r="I7286" s="18">
        <v>10.574999999999999</v>
      </c>
      <c r="J7286" s="18">
        <v>10.6</v>
      </c>
      <c r="K7286" s="18">
        <v>10.55</v>
      </c>
      <c r="L7286" s="22">
        <v>2</v>
      </c>
    </row>
    <row r="7287" spans="1:12">
      <c r="A7287">
        <v>8</v>
      </c>
      <c r="B7287" s="16" t="s">
        <v>63</v>
      </c>
      <c r="C7287" s="9">
        <v>45931</v>
      </c>
      <c r="D7287">
        <v>17</v>
      </c>
      <c r="E7287" s="16" t="s">
        <v>102</v>
      </c>
      <c r="F7287" s="16" t="s">
        <v>103</v>
      </c>
      <c r="G7287" s="22">
        <v>2</v>
      </c>
      <c r="H7287" s="18">
        <v>21.22</v>
      </c>
      <c r="I7287" s="18">
        <v>10.61</v>
      </c>
      <c r="J7287" s="18">
        <v>10.64</v>
      </c>
      <c r="K7287" s="18">
        <v>10.58</v>
      </c>
      <c r="L7287" s="22">
        <v>2</v>
      </c>
    </row>
    <row r="7288" spans="1:12">
      <c r="A7288">
        <v>8</v>
      </c>
      <c r="B7288" s="16" t="s">
        <v>63</v>
      </c>
      <c r="C7288" s="9">
        <v>45962</v>
      </c>
      <c r="D7288">
        <v>17</v>
      </c>
      <c r="E7288" s="16" t="s">
        <v>102</v>
      </c>
      <c r="F7288" s="16" t="s">
        <v>103</v>
      </c>
      <c r="G7288" s="22">
        <v>2</v>
      </c>
      <c r="H7288" s="18">
        <v>21.25</v>
      </c>
      <c r="I7288" s="18">
        <v>10.625</v>
      </c>
      <c r="J7288" s="18">
        <v>10.72</v>
      </c>
      <c r="K7288" s="18">
        <v>10.53</v>
      </c>
      <c r="L7288" s="22">
        <v>2</v>
      </c>
    </row>
    <row r="7289" spans="1:12">
      <c r="A7289">
        <v>8</v>
      </c>
      <c r="B7289" s="16" t="s">
        <v>63</v>
      </c>
      <c r="C7289" s="9">
        <v>45992</v>
      </c>
      <c r="D7289">
        <v>17</v>
      </c>
      <c r="E7289" s="16" t="s">
        <v>102</v>
      </c>
      <c r="F7289" s="16" t="s">
        <v>103</v>
      </c>
      <c r="G7289" s="22">
        <v>1</v>
      </c>
      <c r="H7289" s="18">
        <v>10.69</v>
      </c>
      <c r="I7289" s="18">
        <v>10.69</v>
      </c>
      <c r="J7289" s="18">
        <v>10.69</v>
      </c>
      <c r="K7289" s="18">
        <v>10.69</v>
      </c>
      <c r="L7289" s="22">
        <v>1</v>
      </c>
    </row>
    <row r="7290" spans="1:12">
      <c r="A7290">
        <v>8</v>
      </c>
      <c r="B7290" s="16" t="s">
        <v>63</v>
      </c>
      <c r="C7290" s="9">
        <v>46023</v>
      </c>
      <c r="D7290">
        <v>17</v>
      </c>
      <c r="E7290" s="16" t="s">
        <v>102</v>
      </c>
      <c r="F7290" s="16" t="s">
        <v>103</v>
      </c>
      <c r="G7290" s="22">
        <v>2</v>
      </c>
      <c r="H7290" s="18">
        <v>21.68</v>
      </c>
      <c r="I7290" s="18">
        <v>10.84</v>
      </c>
      <c r="J7290" s="18">
        <v>11.09</v>
      </c>
      <c r="K7290" s="18">
        <v>10.59</v>
      </c>
      <c r="L7290" s="22">
        <v>2</v>
      </c>
    </row>
    <row r="7291" spans="1:12">
      <c r="A7291">
        <v>8</v>
      </c>
      <c r="B7291" s="16" t="s">
        <v>63</v>
      </c>
      <c r="C7291" s="9">
        <v>46054</v>
      </c>
      <c r="D7291">
        <v>17</v>
      </c>
      <c r="E7291" s="16" t="s">
        <v>102</v>
      </c>
      <c r="F7291" s="16" t="s">
        <v>103</v>
      </c>
      <c r="G7291" s="22">
        <v>1</v>
      </c>
      <c r="H7291" s="18">
        <v>11.03</v>
      </c>
      <c r="I7291" s="18">
        <v>11.03</v>
      </c>
      <c r="J7291" s="18">
        <v>11.03</v>
      </c>
      <c r="K7291" s="18">
        <v>11.03</v>
      </c>
      <c r="L7291" s="22">
        <v>1</v>
      </c>
    </row>
    <row r="7292" spans="1:12">
      <c r="A7292">
        <v>8</v>
      </c>
      <c r="B7292" s="16" t="s">
        <v>63</v>
      </c>
      <c r="C7292" s="9">
        <v>46082</v>
      </c>
      <c r="D7292">
        <v>17</v>
      </c>
      <c r="E7292" s="16" t="s">
        <v>102</v>
      </c>
      <c r="F7292" s="16" t="s">
        <v>103</v>
      </c>
      <c r="G7292" s="22">
        <v>2</v>
      </c>
      <c r="H7292" s="18">
        <v>21.73</v>
      </c>
      <c r="I7292" s="18">
        <v>10.865</v>
      </c>
      <c r="J7292" s="18">
        <v>10.88</v>
      </c>
      <c r="K7292" s="18">
        <v>10.85</v>
      </c>
      <c r="L7292" s="22">
        <v>2</v>
      </c>
    </row>
    <row r="7293" spans="1:12">
      <c r="A7293">
        <v>8</v>
      </c>
      <c r="B7293" s="16" t="s">
        <v>63</v>
      </c>
      <c r="C7293" s="9">
        <v>46113</v>
      </c>
      <c r="D7293">
        <v>17</v>
      </c>
      <c r="E7293" s="16" t="s">
        <v>102</v>
      </c>
      <c r="F7293" s="16" t="s">
        <v>103</v>
      </c>
      <c r="G7293" s="22">
        <v>2</v>
      </c>
      <c r="H7293" s="18">
        <v>22.26</v>
      </c>
      <c r="I7293" s="18">
        <v>11.13</v>
      </c>
      <c r="J7293" s="18">
        <v>11.33</v>
      </c>
      <c r="K7293" s="18">
        <v>10.93</v>
      </c>
      <c r="L7293" s="22">
        <v>2</v>
      </c>
    </row>
    <row r="7294" spans="1:12">
      <c r="A7294">
        <v>8</v>
      </c>
      <c r="B7294" s="16" t="s">
        <v>63</v>
      </c>
      <c r="C7294" s="9">
        <v>46143</v>
      </c>
      <c r="D7294">
        <v>17</v>
      </c>
      <c r="E7294" s="16" t="s">
        <v>102</v>
      </c>
      <c r="F7294" s="16" t="s">
        <v>103</v>
      </c>
      <c r="G7294" s="22">
        <v>1</v>
      </c>
      <c r="H7294" s="18">
        <v>11.15</v>
      </c>
      <c r="I7294" s="18">
        <v>11.15</v>
      </c>
      <c r="J7294" s="18">
        <v>11.15</v>
      </c>
      <c r="K7294" s="18">
        <v>11.15</v>
      </c>
      <c r="L7294" s="22">
        <v>1</v>
      </c>
    </row>
    <row r="7295" spans="1:12">
      <c r="A7295">
        <v>8</v>
      </c>
      <c r="B7295" s="16" t="s">
        <v>63</v>
      </c>
      <c r="C7295" s="9">
        <v>46174</v>
      </c>
      <c r="D7295">
        <v>17</v>
      </c>
      <c r="E7295" s="16" t="s">
        <v>102</v>
      </c>
      <c r="F7295" s="16" t="s">
        <v>103</v>
      </c>
      <c r="G7295" s="22">
        <v>1</v>
      </c>
      <c r="H7295" s="18">
        <v>11.44</v>
      </c>
      <c r="I7295" s="18">
        <v>11.44</v>
      </c>
      <c r="J7295" s="18">
        <v>11.44</v>
      </c>
      <c r="K7295" s="18">
        <v>11.44</v>
      </c>
      <c r="L7295" s="22">
        <v>1</v>
      </c>
    </row>
    <row r="7296" spans="1:12">
      <c r="A7296">
        <v>8</v>
      </c>
      <c r="B7296" s="16" t="s">
        <v>63</v>
      </c>
      <c r="C7296" s="9">
        <v>46235</v>
      </c>
      <c r="D7296">
        <v>17</v>
      </c>
      <c r="E7296" s="16" t="s">
        <v>102</v>
      </c>
      <c r="F7296" s="16" t="s">
        <v>103</v>
      </c>
      <c r="G7296" s="22">
        <v>1</v>
      </c>
      <c r="H7296" s="18">
        <v>11.56</v>
      </c>
      <c r="I7296" s="18">
        <v>11.56</v>
      </c>
      <c r="J7296" s="18">
        <v>11.56</v>
      </c>
      <c r="K7296" s="18">
        <v>11.56</v>
      </c>
      <c r="L7296" s="22">
        <v>1</v>
      </c>
    </row>
    <row r="7297" spans="1:12">
      <c r="A7297">
        <v>8</v>
      </c>
      <c r="B7297" s="16" t="s">
        <v>63</v>
      </c>
      <c r="C7297" s="9">
        <v>46266</v>
      </c>
      <c r="D7297">
        <v>17</v>
      </c>
      <c r="E7297" s="16" t="s">
        <v>102</v>
      </c>
      <c r="F7297" s="16" t="s">
        <v>103</v>
      </c>
      <c r="G7297" s="22">
        <v>1</v>
      </c>
      <c r="H7297" s="18">
        <v>11.61</v>
      </c>
      <c r="I7297" s="18">
        <v>11.61</v>
      </c>
      <c r="J7297" s="18">
        <v>11.61</v>
      </c>
      <c r="K7297" s="18">
        <v>11.61</v>
      </c>
      <c r="L7297" s="22">
        <v>1</v>
      </c>
    </row>
    <row r="7298" spans="1:12">
      <c r="A7298">
        <v>8</v>
      </c>
      <c r="B7298" s="16" t="s">
        <v>63</v>
      </c>
      <c r="C7298" s="9">
        <v>45689</v>
      </c>
      <c r="D7298">
        <v>18</v>
      </c>
      <c r="E7298" s="16" t="s">
        <v>104</v>
      </c>
      <c r="F7298" s="16" t="s">
        <v>103</v>
      </c>
      <c r="G7298" s="22">
        <v>3</v>
      </c>
      <c r="H7298" s="18">
        <v>28.26</v>
      </c>
      <c r="I7298" s="18">
        <v>9.42</v>
      </c>
      <c r="J7298" s="18">
        <v>9.42</v>
      </c>
      <c r="K7298" s="18">
        <v>9.42</v>
      </c>
      <c r="L7298" s="22">
        <v>1</v>
      </c>
    </row>
    <row r="7299" spans="1:12">
      <c r="A7299">
        <v>8</v>
      </c>
      <c r="B7299" s="16" t="s">
        <v>63</v>
      </c>
      <c r="C7299" s="9">
        <v>45717</v>
      </c>
      <c r="D7299">
        <v>18</v>
      </c>
      <c r="E7299" s="16" t="s">
        <v>104</v>
      </c>
      <c r="F7299" s="16" t="s">
        <v>103</v>
      </c>
      <c r="G7299" s="22">
        <v>3</v>
      </c>
      <c r="H7299" s="18">
        <v>26.97</v>
      </c>
      <c r="I7299" s="18">
        <v>8.99</v>
      </c>
      <c r="J7299" s="18">
        <v>8.99</v>
      </c>
      <c r="K7299" s="18">
        <v>8.99</v>
      </c>
      <c r="L7299" s="22">
        <v>1</v>
      </c>
    </row>
    <row r="7300" spans="1:12">
      <c r="A7300">
        <v>8</v>
      </c>
      <c r="B7300" s="16" t="s">
        <v>63</v>
      </c>
      <c r="C7300" s="9">
        <v>45748</v>
      </c>
      <c r="D7300">
        <v>18</v>
      </c>
      <c r="E7300" s="16" t="s">
        <v>104</v>
      </c>
      <c r="F7300" s="16" t="s">
        <v>103</v>
      </c>
      <c r="G7300" s="22">
        <v>3</v>
      </c>
      <c r="H7300" s="18">
        <v>26.43</v>
      </c>
      <c r="I7300" s="18">
        <v>8.81</v>
      </c>
      <c r="J7300" s="18">
        <v>8.81</v>
      </c>
      <c r="K7300" s="18">
        <v>8.81</v>
      </c>
      <c r="L7300" s="22">
        <v>1</v>
      </c>
    </row>
    <row r="7301" spans="1:12">
      <c r="A7301">
        <v>8</v>
      </c>
      <c r="B7301" s="16" t="s">
        <v>63</v>
      </c>
      <c r="C7301" s="9">
        <v>45778</v>
      </c>
      <c r="D7301">
        <v>18</v>
      </c>
      <c r="E7301" s="16" t="s">
        <v>104</v>
      </c>
      <c r="F7301" s="16" t="s">
        <v>103</v>
      </c>
      <c r="G7301" s="22">
        <v>3</v>
      </c>
      <c r="H7301" s="18">
        <v>26.52</v>
      </c>
      <c r="I7301" s="18">
        <v>8.84</v>
      </c>
      <c r="J7301" s="18">
        <v>8.84</v>
      </c>
      <c r="K7301" s="18">
        <v>8.84</v>
      </c>
      <c r="L7301" s="22">
        <v>1</v>
      </c>
    </row>
    <row r="7302" spans="1:12">
      <c r="A7302">
        <v>8</v>
      </c>
      <c r="B7302" s="16" t="s">
        <v>63</v>
      </c>
      <c r="C7302" s="9">
        <v>45809</v>
      </c>
      <c r="D7302">
        <v>18</v>
      </c>
      <c r="E7302" s="16" t="s">
        <v>104</v>
      </c>
      <c r="F7302" s="16" t="s">
        <v>103</v>
      </c>
      <c r="G7302" s="22">
        <v>3</v>
      </c>
      <c r="H7302" s="18">
        <v>26.73</v>
      </c>
      <c r="I7302" s="18">
        <v>8.91</v>
      </c>
      <c r="J7302" s="18">
        <v>8.91</v>
      </c>
      <c r="K7302" s="18">
        <v>8.91</v>
      </c>
      <c r="L7302" s="22">
        <v>1</v>
      </c>
    </row>
    <row r="7303" spans="1:12">
      <c r="A7303">
        <v>8</v>
      </c>
      <c r="B7303" s="16" t="s">
        <v>63</v>
      </c>
      <c r="C7303" s="9">
        <v>45839</v>
      </c>
      <c r="D7303">
        <v>18</v>
      </c>
      <c r="E7303" s="16" t="s">
        <v>104</v>
      </c>
      <c r="F7303" s="16" t="s">
        <v>103</v>
      </c>
      <c r="G7303" s="22">
        <v>3</v>
      </c>
      <c r="H7303" s="18">
        <v>27.24</v>
      </c>
      <c r="I7303" s="18">
        <v>9.08</v>
      </c>
      <c r="J7303" s="18">
        <v>9.08</v>
      </c>
      <c r="K7303" s="18">
        <v>9.08</v>
      </c>
      <c r="L7303" s="22">
        <v>1</v>
      </c>
    </row>
    <row r="7304" spans="1:12">
      <c r="A7304">
        <v>8</v>
      </c>
      <c r="B7304" s="16" t="s">
        <v>63</v>
      </c>
      <c r="C7304" s="9">
        <v>45870</v>
      </c>
      <c r="D7304">
        <v>18</v>
      </c>
      <c r="E7304" s="16" t="s">
        <v>104</v>
      </c>
      <c r="F7304" s="16" t="s">
        <v>103</v>
      </c>
      <c r="G7304" s="22">
        <v>3</v>
      </c>
      <c r="H7304" s="18">
        <v>27.66</v>
      </c>
      <c r="I7304" s="18">
        <v>9.2200000000000006</v>
      </c>
      <c r="J7304" s="18">
        <v>9.2200000000000006</v>
      </c>
      <c r="K7304" s="18">
        <v>9.2200000000000006</v>
      </c>
      <c r="L7304" s="22">
        <v>1</v>
      </c>
    </row>
    <row r="7305" spans="1:12">
      <c r="A7305">
        <v>8</v>
      </c>
      <c r="B7305" s="16" t="s">
        <v>63</v>
      </c>
      <c r="C7305" s="9">
        <v>45901</v>
      </c>
      <c r="D7305">
        <v>18</v>
      </c>
      <c r="E7305" s="16" t="s">
        <v>104</v>
      </c>
      <c r="F7305" s="16" t="s">
        <v>103</v>
      </c>
      <c r="G7305" s="22">
        <v>3</v>
      </c>
      <c r="H7305" s="18">
        <v>26.7</v>
      </c>
      <c r="I7305" s="18">
        <v>8.9</v>
      </c>
      <c r="J7305" s="18">
        <v>8.9</v>
      </c>
      <c r="K7305" s="18">
        <v>8.9</v>
      </c>
      <c r="L7305" s="22">
        <v>1</v>
      </c>
    </row>
    <row r="7306" spans="1:12">
      <c r="A7306">
        <v>8</v>
      </c>
      <c r="B7306" s="16" t="s">
        <v>63</v>
      </c>
      <c r="C7306" s="9">
        <v>45931</v>
      </c>
      <c r="D7306">
        <v>18</v>
      </c>
      <c r="E7306" s="16" t="s">
        <v>104</v>
      </c>
      <c r="F7306" s="16" t="s">
        <v>103</v>
      </c>
      <c r="G7306" s="22">
        <v>3</v>
      </c>
      <c r="H7306" s="18">
        <v>28.05</v>
      </c>
      <c r="I7306" s="18">
        <v>9.35</v>
      </c>
      <c r="J7306" s="18">
        <v>9.35</v>
      </c>
      <c r="K7306" s="18">
        <v>9.35</v>
      </c>
      <c r="L7306" s="22">
        <v>1</v>
      </c>
    </row>
    <row r="7307" spans="1:12">
      <c r="A7307">
        <v>8</v>
      </c>
      <c r="B7307" s="16" t="s">
        <v>63</v>
      </c>
      <c r="C7307" s="9">
        <v>45962</v>
      </c>
      <c r="D7307">
        <v>18</v>
      </c>
      <c r="E7307" s="16" t="s">
        <v>104</v>
      </c>
      <c r="F7307" s="16" t="s">
        <v>103</v>
      </c>
      <c r="G7307" s="22">
        <v>3</v>
      </c>
      <c r="H7307" s="18">
        <v>27.3</v>
      </c>
      <c r="I7307" s="18">
        <v>9.1</v>
      </c>
      <c r="J7307" s="18">
        <v>9.1</v>
      </c>
      <c r="K7307" s="18">
        <v>9.1</v>
      </c>
      <c r="L7307" s="22">
        <v>1</v>
      </c>
    </row>
    <row r="7308" spans="1:12">
      <c r="A7308">
        <v>8</v>
      </c>
      <c r="B7308" s="16" t="s">
        <v>63</v>
      </c>
      <c r="C7308" s="9">
        <v>45992</v>
      </c>
      <c r="D7308">
        <v>18</v>
      </c>
      <c r="E7308" s="16" t="s">
        <v>104</v>
      </c>
      <c r="F7308" s="16" t="s">
        <v>103</v>
      </c>
      <c r="G7308" s="22">
        <v>3</v>
      </c>
      <c r="H7308" s="18">
        <v>27.33</v>
      </c>
      <c r="I7308" s="18">
        <v>9.11</v>
      </c>
      <c r="J7308" s="18">
        <v>9.11</v>
      </c>
      <c r="K7308" s="18">
        <v>9.11</v>
      </c>
      <c r="L7308" s="22">
        <v>1</v>
      </c>
    </row>
    <row r="7309" spans="1:12">
      <c r="A7309">
        <v>8</v>
      </c>
      <c r="B7309" s="16" t="s">
        <v>63</v>
      </c>
      <c r="C7309" s="9">
        <v>46023</v>
      </c>
      <c r="D7309">
        <v>18</v>
      </c>
      <c r="E7309" s="16" t="s">
        <v>104</v>
      </c>
      <c r="F7309" s="16" t="s">
        <v>103</v>
      </c>
      <c r="G7309" s="22">
        <v>3</v>
      </c>
      <c r="H7309" s="18">
        <v>27.78</v>
      </c>
      <c r="I7309" s="18">
        <v>9.26</v>
      </c>
      <c r="J7309" s="18">
        <v>9.26</v>
      </c>
      <c r="K7309" s="18">
        <v>9.26</v>
      </c>
      <c r="L7309" s="22">
        <v>1</v>
      </c>
    </row>
    <row r="7310" spans="1:12">
      <c r="A7310">
        <v>8</v>
      </c>
      <c r="B7310" s="16" t="s">
        <v>63</v>
      </c>
      <c r="C7310" s="9">
        <v>46054</v>
      </c>
      <c r="D7310">
        <v>18</v>
      </c>
      <c r="E7310" s="16" t="s">
        <v>104</v>
      </c>
      <c r="F7310" s="16" t="s">
        <v>103</v>
      </c>
      <c r="G7310" s="22">
        <v>3</v>
      </c>
      <c r="H7310" s="18">
        <v>28.08</v>
      </c>
      <c r="I7310" s="18">
        <v>9.36</v>
      </c>
      <c r="J7310" s="18">
        <v>9.36</v>
      </c>
      <c r="K7310" s="18">
        <v>9.36</v>
      </c>
      <c r="L7310" s="22">
        <v>1</v>
      </c>
    </row>
    <row r="7311" spans="1:12">
      <c r="A7311">
        <v>8</v>
      </c>
      <c r="B7311" s="16" t="s">
        <v>63</v>
      </c>
      <c r="C7311" s="9">
        <v>46082</v>
      </c>
      <c r="D7311">
        <v>18</v>
      </c>
      <c r="E7311" s="16" t="s">
        <v>104</v>
      </c>
      <c r="F7311" s="16" t="s">
        <v>103</v>
      </c>
      <c r="G7311" s="22">
        <v>3</v>
      </c>
      <c r="H7311" s="18">
        <v>28.44</v>
      </c>
      <c r="I7311" s="18">
        <v>9.48</v>
      </c>
      <c r="J7311" s="18">
        <v>9.48</v>
      </c>
      <c r="K7311" s="18">
        <v>9.48</v>
      </c>
      <c r="L7311" s="22">
        <v>1</v>
      </c>
    </row>
    <row r="7312" spans="1:12">
      <c r="A7312">
        <v>8</v>
      </c>
      <c r="B7312" s="16" t="s">
        <v>63</v>
      </c>
      <c r="C7312" s="9">
        <v>46113</v>
      </c>
      <c r="D7312">
        <v>18</v>
      </c>
      <c r="E7312" s="16" t="s">
        <v>104</v>
      </c>
      <c r="F7312" s="16" t="s">
        <v>103</v>
      </c>
      <c r="G7312" s="22">
        <v>3</v>
      </c>
      <c r="H7312" s="18">
        <v>28.2</v>
      </c>
      <c r="I7312" s="18">
        <v>9.4</v>
      </c>
      <c r="J7312" s="18">
        <v>9.4</v>
      </c>
      <c r="K7312" s="18">
        <v>9.4</v>
      </c>
      <c r="L7312" s="22">
        <v>1</v>
      </c>
    </row>
    <row r="7313" spans="1:12">
      <c r="A7313">
        <v>8</v>
      </c>
      <c r="B7313" s="16" t="s">
        <v>63</v>
      </c>
      <c r="C7313" s="9">
        <v>46174</v>
      </c>
      <c r="D7313">
        <v>18</v>
      </c>
      <c r="E7313" s="16" t="s">
        <v>104</v>
      </c>
      <c r="F7313" s="16" t="s">
        <v>103</v>
      </c>
      <c r="G7313" s="22">
        <v>3</v>
      </c>
      <c r="H7313" s="18">
        <v>29.58</v>
      </c>
      <c r="I7313" s="18">
        <v>9.86</v>
      </c>
      <c r="J7313" s="18">
        <v>9.86</v>
      </c>
      <c r="K7313" s="18">
        <v>9.86</v>
      </c>
      <c r="L7313" s="22">
        <v>1</v>
      </c>
    </row>
    <row r="7314" spans="1:12">
      <c r="A7314">
        <v>8</v>
      </c>
      <c r="B7314" s="16" t="s">
        <v>63</v>
      </c>
      <c r="C7314" s="9">
        <v>46204</v>
      </c>
      <c r="D7314">
        <v>18</v>
      </c>
      <c r="E7314" s="16" t="s">
        <v>104</v>
      </c>
      <c r="F7314" s="16" t="s">
        <v>103</v>
      </c>
      <c r="G7314" s="22">
        <v>3</v>
      </c>
      <c r="H7314" s="18">
        <v>27.66</v>
      </c>
      <c r="I7314" s="18">
        <v>9.2200000000000006</v>
      </c>
      <c r="J7314" s="18">
        <v>9.2200000000000006</v>
      </c>
      <c r="K7314" s="18">
        <v>9.2200000000000006</v>
      </c>
      <c r="L7314" s="22">
        <v>1</v>
      </c>
    </row>
    <row r="7315" spans="1:12">
      <c r="A7315">
        <v>8</v>
      </c>
      <c r="B7315" s="16" t="s">
        <v>63</v>
      </c>
      <c r="C7315" s="9">
        <v>46266</v>
      </c>
      <c r="D7315">
        <v>18</v>
      </c>
      <c r="E7315" s="16" t="s">
        <v>104</v>
      </c>
      <c r="F7315" s="16" t="s">
        <v>103</v>
      </c>
      <c r="G7315" s="22">
        <v>3</v>
      </c>
      <c r="H7315" s="18">
        <v>27.93</v>
      </c>
      <c r="I7315" s="18">
        <v>9.31</v>
      </c>
      <c r="J7315" s="18">
        <v>9.31</v>
      </c>
      <c r="K7315" s="18">
        <v>9.31</v>
      </c>
      <c r="L7315" s="22">
        <v>1</v>
      </c>
    </row>
    <row r="7316" spans="1:12">
      <c r="A7316">
        <v>8</v>
      </c>
      <c r="B7316" s="16" t="s">
        <v>63</v>
      </c>
      <c r="C7316" s="9">
        <v>45689</v>
      </c>
      <c r="D7316">
        <v>19</v>
      </c>
      <c r="E7316" s="16" t="s">
        <v>105</v>
      </c>
      <c r="F7316" s="16" t="s">
        <v>106</v>
      </c>
      <c r="G7316" s="22">
        <v>16</v>
      </c>
      <c r="H7316" s="18">
        <v>15.2</v>
      </c>
      <c r="I7316" s="18">
        <v>0.95</v>
      </c>
      <c r="J7316" s="18">
        <v>0.95</v>
      </c>
      <c r="K7316" s="18">
        <v>0.95</v>
      </c>
      <c r="L7316" s="22">
        <v>1</v>
      </c>
    </row>
    <row r="7317" spans="1:12">
      <c r="A7317">
        <v>8</v>
      </c>
      <c r="B7317" s="16" t="s">
        <v>63</v>
      </c>
      <c r="C7317" s="9">
        <v>45717</v>
      </c>
      <c r="D7317">
        <v>19</v>
      </c>
      <c r="E7317" s="16" t="s">
        <v>105</v>
      </c>
      <c r="F7317" s="16" t="s">
        <v>106</v>
      </c>
      <c r="G7317" s="22">
        <v>16</v>
      </c>
      <c r="H7317" s="18">
        <v>14.72</v>
      </c>
      <c r="I7317" s="18">
        <v>0.92</v>
      </c>
      <c r="J7317" s="18">
        <v>0.92</v>
      </c>
      <c r="K7317" s="18">
        <v>0.92</v>
      </c>
      <c r="L7317" s="22">
        <v>1</v>
      </c>
    </row>
    <row r="7318" spans="1:12">
      <c r="A7318">
        <v>8</v>
      </c>
      <c r="B7318" s="16" t="s">
        <v>63</v>
      </c>
      <c r="C7318" s="9">
        <v>45748</v>
      </c>
      <c r="D7318">
        <v>19</v>
      </c>
      <c r="E7318" s="16" t="s">
        <v>105</v>
      </c>
      <c r="F7318" s="16" t="s">
        <v>106</v>
      </c>
      <c r="G7318" s="22">
        <v>32</v>
      </c>
      <c r="H7318" s="18">
        <v>29.12</v>
      </c>
      <c r="I7318" s="18">
        <v>0.91</v>
      </c>
      <c r="J7318" s="18">
        <v>0.91</v>
      </c>
      <c r="K7318" s="18">
        <v>0.91</v>
      </c>
      <c r="L7318" s="22">
        <v>2</v>
      </c>
    </row>
    <row r="7319" spans="1:12">
      <c r="A7319">
        <v>8</v>
      </c>
      <c r="B7319" s="16" t="s">
        <v>63</v>
      </c>
      <c r="C7319" s="9">
        <v>45778</v>
      </c>
      <c r="D7319">
        <v>19</v>
      </c>
      <c r="E7319" s="16" t="s">
        <v>105</v>
      </c>
      <c r="F7319" s="16" t="s">
        <v>106</v>
      </c>
      <c r="G7319" s="22">
        <v>32</v>
      </c>
      <c r="H7319" s="18">
        <v>28.8</v>
      </c>
      <c r="I7319" s="18">
        <v>0.9</v>
      </c>
      <c r="J7319" s="18">
        <v>0.91</v>
      </c>
      <c r="K7319" s="18">
        <v>0.89</v>
      </c>
      <c r="L7319" s="22">
        <v>2</v>
      </c>
    </row>
    <row r="7320" spans="1:12">
      <c r="A7320">
        <v>8</v>
      </c>
      <c r="B7320" s="16" t="s">
        <v>63</v>
      </c>
      <c r="C7320" s="9">
        <v>45809</v>
      </c>
      <c r="D7320">
        <v>19</v>
      </c>
      <c r="E7320" s="16" t="s">
        <v>105</v>
      </c>
      <c r="F7320" s="16" t="s">
        <v>106</v>
      </c>
      <c r="G7320" s="22">
        <v>16</v>
      </c>
      <c r="H7320" s="18">
        <v>14.56</v>
      </c>
      <c r="I7320" s="18">
        <v>0.91</v>
      </c>
      <c r="J7320" s="18">
        <v>0.91</v>
      </c>
      <c r="K7320" s="18">
        <v>0.91</v>
      </c>
      <c r="L7320" s="22">
        <v>1</v>
      </c>
    </row>
    <row r="7321" spans="1:12">
      <c r="A7321">
        <v>8</v>
      </c>
      <c r="B7321" s="16" t="s">
        <v>63</v>
      </c>
      <c r="C7321" s="9">
        <v>45839</v>
      </c>
      <c r="D7321">
        <v>19</v>
      </c>
      <c r="E7321" s="16" t="s">
        <v>105</v>
      </c>
      <c r="F7321" s="16" t="s">
        <v>106</v>
      </c>
      <c r="G7321" s="22">
        <v>16</v>
      </c>
      <c r="H7321" s="18">
        <v>14.24</v>
      </c>
      <c r="I7321" s="18">
        <v>0.89</v>
      </c>
      <c r="J7321" s="18">
        <v>0.89</v>
      </c>
      <c r="K7321" s="18">
        <v>0.89</v>
      </c>
      <c r="L7321" s="22">
        <v>1</v>
      </c>
    </row>
    <row r="7322" spans="1:12">
      <c r="A7322">
        <v>8</v>
      </c>
      <c r="B7322" s="16" t="s">
        <v>63</v>
      </c>
      <c r="C7322" s="9">
        <v>45870</v>
      </c>
      <c r="D7322">
        <v>19</v>
      </c>
      <c r="E7322" s="16" t="s">
        <v>105</v>
      </c>
      <c r="F7322" s="16" t="s">
        <v>106</v>
      </c>
      <c r="G7322" s="22">
        <v>16</v>
      </c>
      <c r="H7322" s="18">
        <v>14.4</v>
      </c>
      <c r="I7322" s="18">
        <v>0.9</v>
      </c>
      <c r="J7322" s="18">
        <v>0.9</v>
      </c>
      <c r="K7322" s="18">
        <v>0.9</v>
      </c>
      <c r="L7322" s="22">
        <v>1</v>
      </c>
    </row>
    <row r="7323" spans="1:12">
      <c r="A7323">
        <v>8</v>
      </c>
      <c r="B7323" s="16" t="s">
        <v>63</v>
      </c>
      <c r="C7323" s="9">
        <v>45901</v>
      </c>
      <c r="D7323">
        <v>19</v>
      </c>
      <c r="E7323" s="16" t="s">
        <v>105</v>
      </c>
      <c r="F7323" s="16" t="s">
        <v>106</v>
      </c>
      <c r="G7323" s="22">
        <v>32</v>
      </c>
      <c r="H7323" s="18">
        <v>28.48</v>
      </c>
      <c r="I7323" s="18">
        <v>0.89</v>
      </c>
      <c r="J7323" s="18">
        <v>0.89</v>
      </c>
      <c r="K7323" s="18">
        <v>0.89</v>
      </c>
      <c r="L7323" s="22">
        <v>2</v>
      </c>
    </row>
    <row r="7324" spans="1:12">
      <c r="A7324">
        <v>8</v>
      </c>
      <c r="B7324" s="16" t="s">
        <v>63</v>
      </c>
      <c r="C7324" s="9">
        <v>45931</v>
      </c>
      <c r="D7324">
        <v>19</v>
      </c>
      <c r="E7324" s="16" t="s">
        <v>105</v>
      </c>
      <c r="F7324" s="16" t="s">
        <v>106</v>
      </c>
      <c r="G7324" s="22">
        <v>16</v>
      </c>
      <c r="H7324" s="18">
        <v>14.72</v>
      </c>
      <c r="I7324" s="18">
        <v>0.92</v>
      </c>
      <c r="J7324" s="18">
        <v>0.92</v>
      </c>
      <c r="K7324" s="18">
        <v>0.92</v>
      </c>
      <c r="L7324" s="22">
        <v>1</v>
      </c>
    </row>
    <row r="7325" spans="1:12">
      <c r="A7325">
        <v>8</v>
      </c>
      <c r="B7325" s="16" t="s">
        <v>63</v>
      </c>
      <c r="C7325" s="9">
        <v>45962</v>
      </c>
      <c r="D7325">
        <v>19</v>
      </c>
      <c r="E7325" s="16" t="s">
        <v>105</v>
      </c>
      <c r="F7325" s="16" t="s">
        <v>106</v>
      </c>
      <c r="G7325" s="22">
        <v>32</v>
      </c>
      <c r="H7325" s="18">
        <v>28.64</v>
      </c>
      <c r="I7325" s="18">
        <v>0.89500000000000002</v>
      </c>
      <c r="J7325" s="18">
        <v>0.9</v>
      </c>
      <c r="K7325" s="18">
        <v>0.89</v>
      </c>
      <c r="L7325" s="22">
        <v>2</v>
      </c>
    </row>
    <row r="7326" spans="1:12">
      <c r="A7326">
        <v>8</v>
      </c>
      <c r="B7326" s="16" t="s">
        <v>63</v>
      </c>
      <c r="C7326" s="9">
        <v>45992</v>
      </c>
      <c r="D7326">
        <v>19</v>
      </c>
      <c r="E7326" s="16" t="s">
        <v>105</v>
      </c>
      <c r="F7326" s="16" t="s">
        <v>106</v>
      </c>
      <c r="G7326" s="22">
        <v>16</v>
      </c>
      <c r="H7326" s="18">
        <v>14.4</v>
      </c>
      <c r="I7326" s="18">
        <v>0.9</v>
      </c>
      <c r="J7326" s="18">
        <v>0.9</v>
      </c>
      <c r="K7326" s="18">
        <v>0.9</v>
      </c>
      <c r="L7326" s="22">
        <v>1</v>
      </c>
    </row>
    <row r="7327" spans="1:12">
      <c r="A7327">
        <v>8</v>
      </c>
      <c r="B7327" s="16" t="s">
        <v>63</v>
      </c>
      <c r="C7327" s="9">
        <v>46023</v>
      </c>
      <c r="D7327">
        <v>19</v>
      </c>
      <c r="E7327" s="16" t="s">
        <v>105</v>
      </c>
      <c r="F7327" s="16" t="s">
        <v>106</v>
      </c>
      <c r="G7327" s="22">
        <v>16</v>
      </c>
      <c r="H7327" s="18">
        <v>14.72</v>
      </c>
      <c r="I7327" s="18">
        <v>0.92</v>
      </c>
      <c r="J7327" s="18">
        <v>0.92</v>
      </c>
      <c r="K7327" s="18">
        <v>0.92</v>
      </c>
      <c r="L7327" s="22">
        <v>1</v>
      </c>
    </row>
    <row r="7328" spans="1:12">
      <c r="A7328">
        <v>8</v>
      </c>
      <c r="B7328" s="16" t="s">
        <v>63</v>
      </c>
      <c r="C7328" s="9">
        <v>46054</v>
      </c>
      <c r="D7328">
        <v>19</v>
      </c>
      <c r="E7328" s="16" t="s">
        <v>105</v>
      </c>
      <c r="F7328" s="16" t="s">
        <v>106</v>
      </c>
      <c r="G7328" s="22">
        <v>32</v>
      </c>
      <c r="H7328" s="18">
        <v>29.44</v>
      </c>
      <c r="I7328" s="18">
        <v>0.92</v>
      </c>
      <c r="J7328" s="18">
        <v>0.93</v>
      </c>
      <c r="K7328" s="18">
        <v>0.91</v>
      </c>
      <c r="L7328" s="22">
        <v>2</v>
      </c>
    </row>
    <row r="7329" spans="1:12">
      <c r="A7329">
        <v>8</v>
      </c>
      <c r="B7329" s="16" t="s">
        <v>63</v>
      </c>
      <c r="C7329" s="9">
        <v>46082</v>
      </c>
      <c r="D7329">
        <v>19</v>
      </c>
      <c r="E7329" s="16" t="s">
        <v>105</v>
      </c>
      <c r="F7329" s="16" t="s">
        <v>106</v>
      </c>
      <c r="G7329" s="22">
        <v>32</v>
      </c>
      <c r="H7329" s="18">
        <v>29.28</v>
      </c>
      <c r="I7329" s="18">
        <v>0.91500000000000004</v>
      </c>
      <c r="J7329" s="18">
        <v>0.92</v>
      </c>
      <c r="K7329" s="18">
        <v>0.91</v>
      </c>
      <c r="L7329" s="22">
        <v>2</v>
      </c>
    </row>
    <row r="7330" spans="1:12">
      <c r="A7330">
        <v>8</v>
      </c>
      <c r="B7330" s="16" t="s">
        <v>63</v>
      </c>
      <c r="C7330" s="9">
        <v>46113</v>
      </c>
      <c r="D7330">
        <v>19</v>
      </c>
      <c r="E7330" s="16" t="s">
        <v>105</v>
      </c>
      <c r="F7330" s="16" t="s">
        <v>106</v>
      </c>
      <c r="G7330" s="22">
        <v>16</v>
      </c>
      <c r="H7330" s="18">
        <v>14.72</v>
      </c>
      <c r="I7330" s="18">
        <v>0.92</v>
      </c>
      <c r="J7330" s="18">
        <v>0.92</v>
      </c>
      <c r="K7330" s="18">
        <v>0.92</v>
      </c>
      <c r="L7330" s="22">
        <v>1</v>
      </c>
    </row>
    <row r="7331" spans="1:12">
      <c r="A7331">
        <v>8</v>
      </c>
      <c r="B7331" s="16" t="s">
        <v>63</v>
      </c>
      <c r="C7331" s="9">
        <v>46143</v>
      </c>
      <c r="D7331">
        <v>19</v>
      </c>
      <c r="E7331" s="16" t="s">
        <v>105</v>
      </c>
      <c r="F7331" s="16" t="s">
        <v>106</v>
      </c>
      <c r="G7331" s="22">
        <v>16</v>
      </c>
      <c r="H7331" s="18">
        <v>14.88</v>
      </c>
      <c r="I7331" s="18">
        <v>0.93</v>
      </c>
      <c r="J7331" s="18">
        <v>0.93</v>
      </c>
      <c r="K7331" s="18">
        <v>0.93</v>
      </c>
      <c r="L7331" s="22">
        <v>1</v>
      </c>
    </row>
    <row r="7332" spans="1:12">
      <c r="A7332">
        <v>8</v>
      </c>
      <c r="B7332" s="16" t="s">
        <v>63</v>
      </c>
      <c r="C7332" s="9">
        <v>46174</v>
      </c>
      <c r="D7332">
        <v>19</v>
      </c>
      <c r="E7332" s="16" t="s">
        <v>105</v>
      </c>
      <c r="F7332" s="16" t="s">
        <v>106</v>
      </c>
      <c r="G7332" s="22">
        <v>16</v>
      </c>
      <c r="H7332" s="18">
        <v>15.2</v>
      </c>
      <c r="I7332" s="18">
        <v>0.95</v>
      </c>
      <c r="J7332" s="18">
        <v>0.95</v>
      </c>
      <c r="K7332" s="18">
        <v>0.95</v>
      </c>
      <c r="L7332" s="22">
        <v>1</v>
      </c>
    </row>
    <row r="7333" spans="1:12">
      <c r="A7333">
        <v>8</v>
      </c>
      <c r="B7333" s="16" t="s">
        <v>63</v>
      </c>
      <c r="C7333" s="9">
        <v>46204</v>
      </c>
      <c r="D7333">
        <v>19</v>
      </c>
      <c r="E7333" s="16" t="s">
        <v>105</v>
      </c>
      <c r="F7333" s="16" t="s">
        <v>106</v>
      </c>
      <c r="G7333" s="22">
        <v>16</v>
      </c>
      <c r="H7333" s="18">
        <v>14.72</v>
      </c>
      <c r="I7333" s="18">
        <v>0.92</v>
      </c>
      <c r="J7333" s="18">
        <v>0.92</v>
      </c>
      <c r="K7333" s="18">
        <v>0.92</v>
      </c>
      <c r="L7333" s="22">
        <v>1</v>
      </c>
    </row>
    <row r="7334" spans="1:12">
      <c r="A7334">
        <v>8</v>
      </c>
      <c r="B7334" s="16" t="s">
        <v>63</v>
      </c>
      <c r="C7334" s="9">
        <v>46235</v>
      </c>
      <c r="D7334">
        <v>19</v>
      </c>
      <c r="E7334" s="16" t="s">
        <v>105</v>
      </c>
      <c r="F7334" s="16" t="s">
        <v>106</v>
      </c>
      <c r="G7334" s="22">
        <v>16</v>
      </c>
      <c r="H7334" s="18">
        <v>14.88</v>
      </c>
      <c r="I7334" s="18">
        <v>0.93</v>
      </c>
      <c r="J7334" s="18">
        <v>0.93</v>
      </c>
      <c r="K7334" s="18">
        <v>0.93</v>
      </c>
      <c r="L7334" s="22">
        <v>1</v>
      </c>
    </row>
    <row r="7335" spans="1:12">
      <c r="A7335">
        <v>8</v>
      </c>
      <c r="B7335" s="16" t="s">
        <v>63</v>
      </c>
      <c r="C7335" s="9">
        <v>46266</v>
      </c>
      <c r="D7335">
        <v>19</v>
      </c>
      <c r="E7335" s="16" t="s">
        <v>105</v>
      </c>
      <c r="F7335" s="16" t="s">
        <v>106</v>
      </c>
      <c r="G7335" s="22">
        <v>32</v>
      </c>
      <c r="H7335" s="18">
        <v>29.92</v>
      </c>
      <c r="I7335" s="18">
        <v>0.93500000000000005</v>
      </c>
      <c r="J7335" s="18">
        <v>0.94</v>
      </c>
      <c r="K7335" s="18">
        <v>0.93</v>
      </c>
      <c r="L7335" s="22">
        <v>2</v>
      </c>
    </row>
    <row r="7336" spans="1:12">
      <c r="A7336">
        <v>8</v>
      </c>
      <c r="B7336" s="16" t="s">
        <v>63</v>
      </c>
      <c r="C7336" s="9">
        <v>45839</v>
      </c>
      <c r="D7336">
        <v>20</v>
      </c>
      <c r="E7336" s="16" t="s">
        <v>107</v>
      </c>
      <c r="F7336" s="16" t="s">
        <v>108</v>
      </c>
      <c r="G7336" s="22">
        <v>6.25</v>
      </c>
      <c r="H7336" s="18">
        <v>74.625</v>
      </c>
      <c r="I7336" s="18">
        <v>11.94</v>
      </c>
      <c r="J7336" s="18">
        <v>11.94</v>
      </c>
      <c r="K7336" s="18">
        <v>11.94</v>
      </c>
      <c r="L7336" s="22">
        <v>1</v>
      </c>
    </row>
    <row r="7337" spans="1:12">
      <c r="A7337">
        <v>8</v>
      </c>
      <c r="B7337" s="16" t="s">
        <v>63</v>
      </c>
      <c r="C7337" s="9">
        <v>45992</v>
      </c>
      <c r="D7337">
        <v>20</v>
      </c>
      <c r="E7337" s="16" t="s">
        <v>107</v>
      </c>
      <c r="F7337" s="16" t="s">
        <v>108</v>
      </c>
      <c r="G7337" s="22">
        <v>6.25</v>
      </c>
      <c r="H7337" s="18">
        <v>87.6875</v>
      </c>
      <c r="I7337" s="18">
        <v>14.03</v>
      </c>
      <c r="J7337" s="18">
        <v>14.03</v>
      </c>
      <c r="K7337" s="18">
        <v>14.03</v>
      </c>
      <c r="L7337" s="22">
        <v>1</v>
      </c>
    </row>
    <row r="7338" spans="1:12">
      <c r="A7338">
        <v>8</v>
      </c>
      <c r="B7338" s="16" t="s">
        <v>63</v>
      </c>
      <c r="C7338" s="9">
        <v>46204</v>
      </c>
      <c r="D7338">
        <v>20</v>
      </c>
      <c r="E7338" s="16" t="s">
        <v>107</v>
      </c>
      <c r="F7338" s="16" t="s">
        <v>108</v>
      </c>
      <c r="G7338" s="22">
        <v>6.25</v>
      </c>
      <c r="H7338" s="18">
        <v>75.9375</v>
      </c>
      <c r="I7338" s="18">
        <v>12.15</v>
      </c>
      <c r="J7338" s="18">
        <v>12.15</v>
      </c>
      <c r="K7338" s="18">
        <v>12.15</v>
      </c>
      <c r="L7338" s="22">
        <v>1</v>
      </c>
    </row>
    <row r="7339" spans="1:12">
      <c r="A7339">
        <v>8</v>
      </c>
      <c r="B7339" s="16" t="s">
        <v>63</v>
      </c>
      <c r="C7339" s="9">
        <v>45689</v>
      </c>
      <c r="D7339">
        <v>21</v>
      </c>
      <c r="E7339" s="16" t="s">
        <v>109</v>
      </c>
      <c r="F7339" s="16" t="s">
        <v>83</v>
      </c>
      <c r="G7339" s="22">
        <v>5</v>
      </c>
      <c r="H7339" s="18">
        <v>27.3</v>
      </c>
      <c r="I7339" s="18">
        <v>5.46</v>
      </c>
      <c r="J7339" s="18">
        <v>5.46</v>
      </c>
      <c r="K7339" s="18">
        <v>5.46</v>
      </c>
      <c r="L7339" s="22">
        <v>1</v>
      </c>
    </row>
    <row r="7340" spans="1:12">
      <c r="A7340">
        <v>8</v>
      </c>
      <c r="B7340" s="16" t="s">
        <v>63</v>
      </c>
      <c r="C7340" s="9">
        <v>45717</v>
      </c>
      <c r="D7340">
        <v>21</v>
      </c>
      <c r="E7340" s="16" t="s">
        <v>109</v>
      </c>
      <c r="F7340" s="16" t="s">
        <v>83</v>
      </c>
      <c r="G7340" s="22">
        <v>5</v>
      </c>
      <c r="H7340" s="18">
        <v>27.3</v>
      </c>
      <c r="I7340" s="18">
        <v>5.46</v>
      </c>
      <c r="J7340" s="18">
        <v>5.46</v>
      </c>
      <c r="K7340" s="18">
        <v>5.46</v>
      </c>
      <c r="L7340" s="22">
        <v>1</v>
      </c>
    </row>
    <row r="7341" spans="1:12">
      <c r="A7341">
        <v>8</v>
      </c>
      <c r="B7341" s="16" t="s">
        <v>63</v>
      </c>
      <c r="C7341" s="9">
        <v>45778</v>
      </c>
      <c r="D7341">
        <v>21</v>
      </c>
      <c r="E7341" s="16" t="s">
        <v>109</v>
      </c>
      <c r="F7341" s="16" t="s">
        <v>83</v>
      </c>
      <c r="G7341" s="22">
        <v>5</v>
      </c>
      <c r="H7341" s="18">
        <v>27.4</v>
      </c>
      <c r="I7341" s="18">
        <v>5.48</v>
      </c>
      <c r="J7341" s="18">
        <v>5.48</v>
      </c>
      <c r="K7341" s="18">
        <v>5.48</v>
      </c>
      <c r="L7341" s="22">
        <v>1</v>
      </c>
    </row>
    <row r="7342" spans="1:12">
      <c r="A7342">
        <v>8</v>
      </c>
      <c r="B7342" s="16" t="s">
        <v>63</v>
      </c>
      <c r="C7342" s="9">
        <v>45809</v>
      </c>
      <c r="D7342">
        <v>21</v>
      </c>
      <c r="E7342" s="16" t="s">
        <v>109</v>
      </c>
      <c r="F7342" s="16" t="s">
        <v>83</v>
      </c>
      <c r="G7342" s="22">
        <v>5</v>
      </c>
      <c r="H7342" s="18">
        <v>27.55</v>
      </c>
      <c r="I7342" s="18">
        <v>5.51</v>
      </c>
      <c r="J7342" s="18">
        <v>5.51</v>
      </c>
      <c r="K7342" s="18">
        <v>5.51</v>
      </c>
      <c r="L7342" s="22">
        <v>1</v>
      </c>
    </row>
    <row r="7343" spans="1:12">
      <c r="A7343">
        <v>8</v>
      </c>
      <c r="B7343" s="16" t="s">
        <v>63</v>
      </c>
      <c r="C7343" s="9">
        <v>45839</v>
      </c>
      <c r="D7343">
        <v>21</v>
      </c>
      <c r="E7343" s="16" t="s">
        <v>109</v>
      </c>
      <c r="F7343" s="16" t="s">
        <v>83</v>
      </c>
      <c r="G7343" s="22">
        <v>5</v>
      </c>
      <c r="H7343" s="18">
        <v>27.45</v>
      </c>
      <c r="I7343" s="18">
        <v>5.49</v>
      </c>
      <c r="J7343" s="18">
        <v>5.49</v>
      </c>
      <c r="K7343" s="18">
        <v>5.49</v>
      </c>
      <c r="L7343" s="22">
        <v>1</v>
      </c>
    </row>
    <row r="7344" spans="1:12">
      <c r="A7344">
        <v>8</v>
      </c>
      <c r="B7344" s="16" t="s">
        <v>63</v>
      </c>
      <c r="C7344" s="9">
        <v>45870</v>
      </c>
      <c r="D7344">
        <v>21</v>
      </c>
      <c r="E7344" s="16" t="s">
        <v>109</v>
      </c>
      <c r="F7344" s="16" t="s">
        <v>83</v>
      </c>
      <c r="G7344" s="22">
        <v>5</v>
      </c>
      <c r="H7344" s="18">
        <v>26.8</v>
      </c>
      <c r="I7344" s="18">
        <v>5.36</v>
      </c>
      <c r="J7344" s="18">
        <v>5.36</v>
      </c>
      <c r="K7344" s="18">
        <v>5.36</v>
      </c>
      <c r="L7344" s="22">
        <v>1</v>
      </c>
    </row>
    <row r="7345" spans="1:12">
      <c r="A7345">
        <v>8</v>
      </c>
      <c r="B7345" s="16" t="s">
        <v>63</v>
      </c>
      <c r="C7345" s="9">
        <v>45901</v>
      </c>
      <c r="D7345">
        <v>21</v>
      </c>
      <c r="E7345" s="16" t="s">
        <v>109</v>
      </c>
      <c r="F7345" s="16" t="s">
        <v>83</v>
      </c>
      <c r="G7345" s="22">
        <v>5</v>
      </c>
      <c r="H7345" s="18">
        <v>26.9</v>
      </c>
      <c r="I7345" s="18">
        <v>5.38</v>
      </c>
      <c r="J7345" s="18">
        <v>5.38</v>
      </c>
      <c r="K7345" s="18">
        <v>5.38</v>
      </c>
      <c r="L7345" s="22">
        <v>1</v>
      </c>
    </row>
    <row r="7346" spans="1:12">
      <c r="A7346">
        <v>8</v>
      </c>
      <c r="B7346" s="16" t="s">
        <v>63</v>
      </c>
      <c r="C7346" s="9">
        <v>45931</v>
      </c>
      <c r="D7346">
        <v>21</v>
      </c>
      <c r="E7346" s="16" t="s">
        <v>109</v>
      </c>
      <c r="F7346" s="16" t="s">
        <v>83</v>
      </c>
      <c r="G7346" s="22">
        <v>5</v>
      </c>
      <c r="H7346" s="18">
        <v>29.3</v>
      </c>
      <c r="I7346" s="18">
        <v>5.86</v>
      </c>
      <c r="J7346" s="18">
        <v>5.86</v>
      </c>
      <c r="K7346" s="18">
        <v>5.86</v>
      </c>
      <c r="L7346" s="22">
        <v>1</v>
      </c>
    </row>
    <row r="7347" spans="1:12">
      <c r="A7347">
        <v>8</v>
      </c>
      <c r="B7347" s="16" t="s">
        <v>63</v>
      </c>
      <c r="C7347" s="9">
        <v>45962</v>
      </c>
      <c r="D7347">
        <v>21</v>
      </c>
      <c r="E7347" s="16" t="s">
        <v>109</v>
      </c>
      <c r="F7347" s="16" t="s">
        <v>83</v>
      </c>
      <c r="G7347" s="22">
        <v>5</v>
      </c>
      <c r="H7347" s="18">
        <v>29.8</v>
      </c>
      <c r="I7347" s="18">
        <v>5.96</v>
      </c>
      <c r="J7347" s="18">
        <v>5.96</v>
      </c>
      <c r="K7347" s="18">
        <v>5.96</v>
      </c>
      <c r="L7347" s="22">
        <v>1</v>
      </c>
    </row>
    <row r="7348" spans="1:12">
      <c r="A7348">
        <v>8</v>
      </c>
      <c r="B7348" s="16" t="s">
        <v>63</v>
      </c>
      <c r="C7348" s="9">
        <v>45992</v>
      </c>
      <c r="D7348">
        <v>21</v>
      </c>
      <c r="E7348" s="16" t="s">
        <v>109</v>
      </c>
      <c r="F7348" s="16" t="s">
        <v>83</v>
      </c>
      <c r="G7348" s="22">
        <v>5</v>
      </c>
      <c r="H7348" s="18">
        <v>29.8</v>
      </c>
      <c r="I7348" s="18">
        <v>5.96</v>
      </c>
      <c r="J7348" s="18">
        <v>5.96</v>
      </c>
      <c r="K7348" s="18">
        <v>5.96</v>
      </c>
      <c r="L7348" s="22">
        <v>1</v>
      </c>
    </row>
    <row r="7349" spans="1:12">
      <c r="A7349">
        <v>8</v>
      </c>
      <c r="B7349" s="16" t="s">
        <v>63</v>
      </c>
      <c r="C7349" s="9">
        <v>46023</v>
      </c>
      <c r="D7349">
        <v>21</v>
      </c>
      <c r="E7349" s="16" t="s">
        <v>109</v>
      </c>
      <c r="F7349" s="16" t="s">
        <v>83</v>
      </c>
      <c r="G7349" s="22">
        <v>5</v>
      </c>
      <c r="H7349" s="18">
        <v>27.9</v>
      </c>
      <c r="I7349" s="18">
        <v>5.58</v>
      </c>
      <c r="J7349" s="18">
        <v>5.58</v>
      </c>
      <c r="K7349" s="18">
        <v>5.58</v>
      </c>
      <c r="L7349" s="22">
        <v>1</v>
      </c>
    </row>
    <row r="7350" spans="1:12">
      <c r="A7350">
        <v>8</v>
      </c>
      <c r="B7350" s="16" t="s">
        <v>63</v>
      </c>
      <c r="C7350" s="9">
        <v>46054</v>
      </c>
      <c r="D7350">
        <v>21</v>
      </c>
      <c r="E7350" s="16" t="s">
        <v>109</v>
      </c>
      <c r="F7350" s="16" t="s">
        <v>83</v>
      </c>
      <c r="G7350" s="22">
        <v>5</v>
      </c>
      <c r="H7350" s="18">
        <v>27.5</v>
      </c>
      <c r="I7350" s="18">
        <v>5.5</v>
      </c>
      <c r="J7350" s="18">
        <v>5.5</v>
      </c>
      <c r="K7350" s="18">
        <v>5.5</v>
      </c>
      <c r="L7350" s="22">
        <v>1</v>
      </c>
    </row>
    <row r="7351" spans="1:12">
      <c r="A7351">
        <v>8</v>
      </c>
      <c r="B7351" s="16" t="s">
        <v>63</v>
      </c>
      <c r="C7351" s="9">
        <v>46082</v>
      </c>
      <c r="D7351">
        <v>21</v>
      </c>
      <c r="E7351" s="16" t="s">
        <v>109</v>
      </c>
      <c r="F7351" s="16" t="s">
        <v>83</v>
      </c>
      <c r="G7351" s="22">
        <v>5</v>
      </c>
      <c r="H7351" s="18">
        <v>27.65</v>
      </c>
      <c r="I7351" s="18">
        <v>5.53</v>
      </c>
      <c r="J7351" s="18">
        <v>5.53</v>
      </c>
      <c r="K7351" s="18">
        <v>5.53</v>
      </c>
      <c r="L7351" s="22">
        <v>1</v>
      </c>
    </row>
    <row r="7352" spans="1:12">
      <c r="A7352">
        <v>8</v>
      </c>
      <c r="B7352" s="16" t="s">
        <v>63</v>
      </c>
      <c r="C7352" s="9">
        <v>46113</v>
      </c>
      <c r="D7352">
        <v>21</v>
      </c>
      <c r="E7352" s="16" t="s">
        <v>109</v>
      </c>
      <c r="F7352" s="16" t="s">
        <v>83</v>
      </c>
      <c r="G7352" s="22">
        <v>5</v>
      </c>
      <c r="H7352" s="18">
        <v>27.45</v>
      </c>
      <c r="I7352" s="18">
        <v>5.49</v>
      </c>
      <c r="J7352" s="18">
        <v>5.49</v>
      </c>
      <c r="K7352" s="18">
        <v>5.49</v>
      </c>
      <c r="L7352" s="22">
        <v>1</v>
      </c>
    </row>
    <row r="7353" spans="1:12">
      <c r="A7353">
        <v>8</v>
      </c>
      <c r="B7353" s="16" t="s">
        <v>63</v>
      </c>
      <c r="C7353" s="9">
        <v>46143</v>
      </c>
      <c r="D7353">
        <v>21</v>
      </c>
      <c r="E7353" s="16" t="s">
        <v>109</v>
      </c>
      <c r="F7353" s="16" t="s">
        <v>83</v>
      </c>
      <c r="G7353" s="22">
        <v>5</v>
      </c>
      <c r="H7353" s="18">
        <v>28.15</v>
      </c>
      <c r="I7353" s="18">
        <v>5.63</v>
      </c>
      <c r="J7353" s="18">
        <v>5.63</v>
      </c>
      <c r="K7353" s="18">
        <v>5.63</v>
      </c>
      <c r="L7353" s="22">
        <v>1</v>
      </c>
    </row>
    <row r="7354" spans="1:12">
      <c r="A7354">
        <v>8</v>
      </c>
      <c r="B7354" s="16" t="s">
        <v>63</v>
      </c>
      <c r="C7354" s="9">
        <v>46174</v>
      </c>
      <c r="D7354">
        <v>21</v>
      </c>
      <c r="E7354" s="16" t="s">
        <v>109</v>
      </c>
      <c r="F7354" s="16" t="s">
        <v>83</v>
      </c>
      <c r="G7354" s="22">
        <v>5</v>
      </c>
      <c r="H7354" s="18">
        <v>28.8</v>
      </c>
      <c r="I7354" s="18">
        <v>5.76</v>
      </c>
      <c r="J7354" s="18">
        <v>5.76</v>
      </c>
      <c r="K7354" s="18">
        <v>5.76</v>
      </c>
      <c r="L7354" s="22">
        <v>1</v>
      </c>
    </row>
    <row r="7355" spans="1:12">
      <c r="A7355">
        <v>8</v>
      </c>
      <c r="B7355" s="16" t="s">
        <v>63</v>
      </c>
      <c r="C7355" s="9">
        <v>46204</v>
      </c>
      <c r="D7355">
        <v>21</v>
      </c>
      <c r="E7355" s="16" t="s">
        <v>109</v>
      </c>
      <c r="F7355" s="16" t="s">
        <v>83</v>
      </c>
      <c r="G7355" s="22">
        <v>5</v>
      </c>
      <c r="H7355" s="18">
        <v>28.5</v>
      </c>
      <c r="I7355" s="18">
        <v>5.7</v>
      </c>
      <c r="J7355" s="18">
        <v>5.7</v>
      </c>
      <c r="K7355" s="18">
        <v>5.7</v>
      </c>
      <c r="L7355" s="22">
        <v>1</v>
      </c>
    </row>
    <row r="7356" spans="1:12">
      <c r="A7356">
        <v>8</v>
      </c>
      <c r="B7356" s="16" t="s">
        <v>63</v>
      </c>
      <c r="C7356" s="9">
        <v>46235</v>
      </c>
      <c r="D7356">
        <v>21</v>
      </c>
      <c r="E7356" s="16" t="s">
        <v>109</v>
      </c>
      <c r="F7356" s="16" t="s">
        <v>83</v>
      </c>
      <c r="G7356" s="22">
        <v>5</v>
      </c>
      <c r="H7356" s="18">
        <v>28.6</v>
      </c>
      <c r="I7356" s="18">
        <v>5.72</v>
      </c>
      <c r="J7356" s="18">
        <v>5.72</v>
      </c>
      <c r="K7356" s="18">
        <v>5.72</v>
      </c>
      <c r="L7356" s="22">
        <v>1</v>
      </c>
    </row>
    <row r="7357" spans="1:12">
      <c r="A7357">
        <v>8</v>
      </c>
      <c r="B7357" s="16" t="s">
        <v>63</v>
      </c>
      <c r="C7357" s="9">
        <v>45689</v>
      </c>
      <c r="D7357">
        <v>22</v>
      </c>
      <c r="E7357" s="16" t="s">
        <v>110</v>
      </c>
      <c r="F7357" s="16" t="s">
        <v>90</v>
      </c>
      <c r="G7357" s="22">
        <v>22.5</v>
      </c>
      <c r="H7357" s="18">
        <v>89.474999999999994</v>
      </c>
      <c r="I7357" s="18">
        <v>3.9766666669999999</v>
      </c>
      <c r="J7357" s="18">
        <v>4.03</v>
      </c>
      <c r="K7357" s="18">
        <v>3.91</v>
      </c>
      <c r="L7357" s="22">
        <v>2</v>
      </c>
    </row>
    <row r="7358" spans="1:12">
      <c r="A7358">
        <v>8</v>
      </c>
      <c r="B7358" s="16" t="s">
        <v>63</v>
      </c>
      <c r="C7358" s="9">
        <v>45717</v>
      </c>
      <c r="D7358">
        <v>22</v>
      </c>
      <c r="E7358" s="16" t="s">
        <v>110</v>
      </c>
      <c r="F7358" s="16" t="s">
        <v>90</v>
      </c>
      <c r="G7358" s="22">
        <v>20</v>
      </c>
      <c r="H7358" s="18">
        <v>80.2</v>
      </c>
      <c r="I7358" s="18">
        <v>4.01</v>
      </c>
      <c r="J7358" s="18">
        <v>4.05</v>
      </c>
      <c r="K7358" s="18">
        <v>3.97</v>
      </c>
      <c r="L7358" s="22">
        <v>2</v>
      </c>
    </row>
    <row r="7359" spans="1:12">
      <c r="A7359">
        <v>8</v>
      </c>
      <c r="B7359" s="16" t="s">
        <v>63</v>
      </c>
      <c r="C7359" s="9">
        <v>45748</v>
      </c>
      <c r="D7359">
        <v>22</v>
      </c>
      <c r="E7359" s="16" t="s">
        <v>110</v>
      </c>
      <c r="F7359" s="16" t="s">
        <v>90</v>
      </c>
      <c r="G7359" s="22">
        <v>17.5</v>
      </c>
      <c r="H7359" s="18">
        <v>67.900000000000006</v>
      </c>
      <c r="I7359" s="18">
        <v>3.88</v>
      </c>
      <c r="J7359" s="18">
        <v>3.89</v>
      </c>
      <c r="K7359" s="18">
        <v>3.87</v>
      </c>
      <c r="L7359" s="22">
        <v>2</v>
      </c>
    </row>
    <row r="7360" spans="1:12">
      <c r="A7360">
        <v>8</v>
      </c>
      <c r="B7360" s="16" t="s">
        <v>63</v>
      </c>
      <c r="C7360" s="9">
        <v>45778</v>
      </c>
      <c r="D7360">
        <v>22</v>
      </c>
      <c r="E7360" s="16" t="s">
        <v>110</v>
      </c>
      <c r="F7360" s="16" t="s">
        <v>90</v>
      </c>
      <c r="G7360" s="22">
        <v>22.5</v>
      </c>
      <c r="H7360" s="18">
        <v>88.762500000000003</v>
      </c>
      <c r="I7360" s="18">
        <v>3.9449999999999998</v>
      </c>
      <c r="J7360" s="18">
        <v>3.98</v>
      </c>
      <c r="K7360" s="18">
        <v>3.91</v>
      </c>
      <c r="L7360" s="22">
        <v>2</v>
      </c>
    </row>
    <row r="7361" spans="1:12">
      <c r="A7361">
        <v>8</v>
      </c>
      <c r="B7361" s="16" t="s">
        <v>63</v>
      </c>
      <c r="C7361" s="9">
        <v>45809</v>
      </c>
      <c r="D7361">
        <v>22</v>
      </c>
      <c r="E7361" s="16" t="s">
        <v>110</v>
      </c>
      <c r="F7361" s="16" t="s">
        <v>90</v>
      </c>
      <c r="G7361" s="22">
        <v>25</v>
      </c>
      <c r="H7361" s="18">
        <v>98.15</v>
      </c>
      <c r="I7361" s="18">
        <v>3.9260000000000002</v>
      </c>
      <c r="J7361" s="18">
        <v>3.95</v>
      </c>
      <c r="K7361" s="18">
        <v>3.91</v>
      </c>
      <c r="L7361" s="22">
        <v>3</v>
      </c>
    </row>
    <row r="7362" spans="1:12">
      <c r="A7362">
        <v>8</v>
      </c>
      <c r="B7362" s="16" t="s">
        <v>63</v>
      </c>
      <c r="C7362" s="9">
        <v>45839</v>
      </c>
      <c r="D7362">
        <v>22</v>
      </c>
      <c r="E7362" s="16" t="s">
        <v>110</v>
      </c>
      <c r="F7362" s="16" t="s">
        <v>90</v>
      </c>
      <c r="G7362" s="22">
        <v>18.75</v>
      </c>
      <c r="H7362" s="18">
        <v>73.650000000000006</v>
      </c>
      <c r="I7362" s="18">
        <v>3.9279999999999999</v>
      </c>
      <c r="J7362" s="18">
        <v>3.96</v>
      </c>
      <c r="K7362" s="18">
        <v>3.9</v>
      </c>
      <c r="L7362" s="22">
        <v>2</v>
      </c>
    </row>
    <row r="7363" spans="1:12">
      <c r="A7363">
        <v>8</v>
      </c>
      <c r="B7363" s="16" t="s">
        <v>63</v>
      </c>
      <c r="C7363" s="9">
        <v>45870</v>
      </c>
      <c r="D7363">
        <v>22</v>
      </c>
      <c r="E7363" s="16" t="s">
        <v>110</v>
      </c>
      <c r="F7363" s="16" t="s">
        <v>90</v>
      </c>
      <c r="G7363" s="22">
        <v>18.75</v>
      </c>
      <c r="H7363" s="18">
        <v>73.637500000000003</v>
      </c>
      <c r="I7363" s="18">
        <v>3.927333333</v>
      </c>
      <c r="J7363" s="18">
        <v>3.96</v>
      </c>
      <c r="K7363" s="18">
        <v>3.89</v>
      </c>
      <c r="L7363" s="22">
        <v>2</v>
      </c>
    </row>
    <row r="7364" spans="1:12">
      <c r="A7364">
        <v>8</v>
      </c>
      <c r="B7364" s="16" t="s">
        <v>63</v>
      </c>
      <c r="C7364" s="9">
        <v>45901</v>
      </c>
      <c r="D7364">
        <v>22</v>
      </c>
      <c r="E7364" s="16" t="s">
        <v>110</v>
      </c>
      <c r="F7364" s="16" t="s">
        <v>90</v>
      </c>
      <c r="G7364" s="22">
        <v>23.75</v>
      </c>
      <c r="H7364" s="18">
        <v>93.2</v>
      </c>
      <c r="I7364" s="18">
        <v>3.924210526</v>
      </c>
      <c r="J7364" s="18">
        <v>3.94</v>
      </c>
      <c r="K7364" s="18">
        <v>3.91</v>
      </c>
      <c r="L7364" s="22">
        <v>2</v>
      </c>
    </row>
    <row r="7365" spans="1:12">
      <c r="A7365">
        <v>8</v>
      </c>
      <c r="B7365" s="16" t="s">
        <v>63</v>
      </c>
      <c r="C7365" s="9">
        <v>45931</v>
      </c>
      <c r="D7365">
        <v>22</v>
      </c>
      <c r="E7365" s="16" t="s">
        <v>110</v>
      </c>
      <c r="F7365" s="16" t="s">
        <v>90</v>
      </c>
      <c r="G7365" s="22">
        <v>18.75</v>
      </c>
      <c r="H7365" s="18">
        <v>74.537499999999994</v>
      </c>
      <c r="I7365" s="18">
        <v>3.975333333</v>
      </c>
      <c r="J7365" s="18">
        <v>4.05</v>
      </c>
      <c r="K7365" s="18">
        <v>3.89</v>
      </c>
      <c r="L7365" s="22">
        <v>2</v>
      </c>
    </row>
    <row r="7366" spans="1:12">
      <c r="A7366">
        <v>8</v>
      </c>
      <c r="B7366" s="16" t="s">
        <v>63</v>
      </c>
      <c r="C7366" s="9">
        <v>45962</v>
      </c>
      <c r="D7366">
        <v>22</v>
      </c>
      <c r="E7366" s="16" t="s">
        <v>110</v>
      </c>
      <c r="F7366" s="16" t="s">
        <v>90</v>
      </c>
      <c r="G7366" s="22">
        <v>23.75</v>
      </c>
      <c r="H7366" s="18">
        <v>93.075000000000003</v>
      </c>
      <c r="I7366" s="18">
        <v>3.918947368</v>
      </c>
      <c r="J7366" s="18">
        <v>3.94</v>
      </c>
      <c r="K7366" s="18">
        <v>3.9</v>
      </c>
      <c r="L7366" s="22">
        <v>2</v>
      </c>
    </row>
    <row r="7367" spans="1:12">
      <c r="A7367">
        <v>8</v>
      </c>
      <c r="B7367" s="16" t="s">
        <v>63</v>
      </c>
      <c r="C7367" s="9">
        <v>45992</v>
      </c>
      <c r="D7367">
        <v>22</v>
      </c>
      <c r="E7367" s="16" t="s">
        <v>110</v>
      </c>
      <c r="F7367" s="16" t="s">
        <v>90</v>
      </c>
      <c r="G7367" s="22">
        <v>40</v>
      </c>
      <c r="H7367" s="18">
        <v>157.85</v>
      </c>
      <c r="I7367" s="18">
        <v>3.94625</v>
      </c>
      <c r="J7367" s="18">
        <v>3.99</v>
      </c>
      <c r="K7367" s="18">
        <v>3.91</v>
      </c>
      <c r="L7367" s="22">
        <v>3</v>
      </c>
    </row>
    <row r="7368" spans="1:12">
      <c r="A7368">
        <v>8</v>
      </c>
      <c r="B7368" s="16" t="s">
        <v>63</v>
      </c>
      <c r="C7368" s="9">
        <v>46023</v>
      </c>
      <c r="D7368">
        <v>22</v>
      </c>
      <c r="E7368" s="16" t="s">
        <v>110</v>
      </c>
      <c r="F7368" s="16" t="s">
        <v>90</v>
      </c>
      <c r="G7368" s="22">
        <v>26.25</v>
      </c>
      <c r="H7368" s="18">
        <v>103.0625</v>
      </c>
      <c r="I7368" s="18">
        <v>3.9261904759999999</v>
      </c>
      <c r="J7368" s="18">
        <v>3.95</v>
      </c>
      <c r="K7368" s="18">
        <v>3.9</v>
      </c>
      <c r="L7368" s="22">
        <v>2</v>
      </c>
    </row>
    <row r="7369" spans="1:12">
      <c r="A7369">
        <v>8</v>
      </c>
      <c r="B7369" s="16" t="s">
        <v>63</v>
      </c>
      <c r="C7369" s="9">
        <v>46054</v>
      </c>
      <c r="D7369">
        <v>22</v>
      </c>
      <c r="E7369" s="16" t="s">
        <v>110</v>
      </c>
      <c r="F7369" s="16" t="s">
        <v>90</v>
      </c>
      <c r="G7369" s="22">
        <v>30</v>
      </c>
      <c r="H7369" s="18">
        <v>119.28749999999999</v>
      </c>
      <c r="I7369" s="18">
        <v>3.9762499999999998</v>
      </c>
      <c r="J7369" s="18">
        <v>3.98</v>
      </c>
      <c r="K7369" s="18">
        <v>3.97</v>
      </c>
      <c r="L7369" s="22">
        <v>2</v>
      </c>
    </row>
    <row r="7370" spans="1:12">
      <c r="A7370">
        <v>8</v>
      </c>
      <c r="B7370" s="16" t="s">
        <v>63</v>
      </c>
      <c r="C7370" s="9">
        <v>46082</v>
      </c>
      <c r="D7370">
        <v>22</v>
      </c>
      <c r="E7370" s="16" t="s">
        <v>110</v>
      </c>
      <c r="F7370" s="16" t="s">
        <v>90</v>
      </c>
      <c r="G7370" s="22">
        <v>22.5</v>
      </c>
      <c r="H7370" s="18">
        <v>90.387500000000003</v>
      </c>
      <c r="I7370" s="18">
        <v>4.017222222</v>
      </c>
      <c r="J7370" s="18">
        <v>4.17</v>
      </c>
      <c r="K7370" s="18">
        <v>3.92</v>
      </c>
      <c r="L7370" s="22">
        <v>2</v>
      </c>
    </row>
    <row r="7371" spans="1:12">
      <c r="A7371">
        <v>8</v>
      </c>
      <c r="B7371" s="16" t="s">
        <v>63</v>
      </c>
      <c r="C7371" s="9">
        <v>46113</v>
      </c>
      <c r="D7371">
        <v>22</v>
      </c>
      <c r="E7371" s="16" t="s">
        <v>110</v>
      </c>
      <c r="F7371" s="16" t="s">
        <v>90</v>
      </c>
      <c r="G7371" s="22">
        <v>18.75</v>
      </c>
      <c r="H7371" s="18">
        <v>75.650000000000006</v>
      </c>
      <c r="I7371" s="18">
        <v>4.0346666669999998</v>
      </c>
      <c r="J7371" s="18">
        <v>4.12</v>
      </c>
      <c r="K7371" s="18">
        <v>3.96</v>
      </c>
      <c r="L7371" s="22">
        <v>2</v>
      </c>
    </row>
    <row r="7372" spans="1:12">
      <c r="A7372">
        <v>8</v>
      </c>
      <c r="B7372" s="16" t="s">
        <v>63</v>
      </c>
      <c r="C7372" s="9">
        <v>46143</v>
      </c>
      <c r="D7372">
        <v>22</v>
      </c>
      <c r="E7372" s="16" t="s">
        <v>110</v>
      </c>
      <c r="F7372" s="16" t="s">
        <v>90</v>
      </c>
      <c r="G7372" s="22">
        <v>16.25</v>
      </c>
      <c r="H7372" s="18">
        <v>65.212500000000006</v>
      </c>
      <c r="I7372" s="18">
        <v>4.0130769229999999</v>
      </c>
      <c r="J7372" s="18">
        <v>4.05</v>
      </c>
      <c r="K7372" s="18">
        <v>3.97</v>
      </c>
      <c r="L7372" s="22">
        <v>2</v>
      </c>
    </row>
    <row r="7373" spans="1:12">
      <c r="A7373">
        <v>8</v>
      </c>
      <c r="B7373" s="16" t="s">
        <v>63</v>
      </c>
      <c r="C7373" s="9">
        <v>46174</v>
      </c>
      <c r="D7373">
        <v>22</v>
      </c>
      <c r="E7373" s="16" t="s">
        <v>110</v>
      </c>
      <c r="F7373" s="16" t="s">
        <v>90</v>
      </c>
      <c r="G7373" s="22">
        <v>20</v>
      </c>
      <c r="H7373" s="18">
        <v>80.287499999999994</v>
      </c>
      <c r="I7373" s="18">
        <v>4.0143750000000002</v>
      </c>
      <c r="J7373" s="18">
        <v>4.0599999999999996</v>
      </c>
      <c r="K7373" s="18">
        <v>3.97</v>
      </c>
      <c r="L7373" s="22">
        <v>3</v>
      </c>
    </row>
    <row r="7374" spans="1:12">
      <c r="A7374">
        <v>8</v>
      </c>
      <c r="B7374" s="16" t="s">
        <v>63</v>
      </c>
      <c r="C7374" s="9">
        <v>46204</v>
      </c>
      <c r="D7374">
        <v>22</v>
      </c>
      <c r="E7374" s="16" t="s">
        <v>110</v>
      </c>
      <c r="F7374" s="16" t="s">
        <v>90</v>
      </c>
      <c r="G7374" s="22">
        <v>12.5</v>
      </c>
      <c r="H7374" s="18">
        <v>50.225000000000001</v>
      </c>
      <c r="I7374" s="18">
        <v>4.0179999999999998</v>
      </c>
      <c r="J7374" s="18">
        <v>4.0599999999999996</v>
      </c>
      <c r="K7374" s="18">
        <v>3.99</v>
      </c>
      <c r="L7374" s="22">
        <v>2</v>
      </c>
    </row>
    <row r="7375" spans="1:12">
      <c r="A7375">
        <v>8</v>
      </c>
      <c r="B7375" s="16" t="s">
        <v>63</v>
      </c>
      <c r="C7375" s="9">
        <v>46235</v>
      </c>
      <c r="D7375">
        <v>22</v>
      </c>
      <c r="E7375" s="16" t="s">
        <v>110</v>
      </c>
      <c r="F7375" s="16" t="s">
        <v>90</v>
      </c>
      <c r="G7375" s="22">
        <v>18.75</v>
      </c>
      <c r="H7375" s="18">
        <v>75.037499999999994</v>
      </c>
      <c r="I7375" s="18">
        <v>4.0019999999999998</v>
      </c>
      <c r="J7375" s="18">
        <v>4.0199999999999996</v>
      </c>
      <c r="K7375" s="18">
        <v>3.99</v>
      </c>
      <c r="L7375" s="22">
        <v>2</v>
      </c>
    </row>
    <row r="7376" spans="1:12">
      <c r="A7376">
        <v>8</v>
      </c>
      <c r="B7376" s="16" t="s">
        <v>63</v>
      </c>
      <c r="C7376" s="9">
        <v>46266</v>
      </c>
      <c r="D7376">
        <v>22</v>
      </c>
      <c r="E7376" s="16" t="s">
        <v>110</v>
      </c>
      <c r="F7376" s="16" t="s">
        <v>90</v>
      </c>
      <c r="G7376" s="22">
        <v>18.75</v>
      </c>
      <c r="H7376" s="18">
        <v>75.512500000000003</v>
      </c>
      <c r="I7376" s="18">
        <v>4.0273333329999996</v>
      </c>
      <c r="J7376" s="18">
        <v>4.0599999999999996</v>
      </c>
      <c r="K7376" s="18">
        <v>3.99</v>
      </c>
      <c r="L7376" s="22">
        <v>2</v>
      </c>
    </row>
    <row r="7377" spans="1:12">
      <c r="A7377">
        <v>8</v>
      </c>
      <c r="B7377" s="16" t="s">
        <v>63</v>
      </c>
      <c r="C7377" s="9">
        <v>45689</v>
      </c>
      <c r="D7377">
        <v>23</v>
      </c>
      <c r="E7377" s="16" t="s">
        <v>111</v>
      </c>
      <c r="F7377" s="16" t="s">
        <v>92</v>
      </c>
      <c r="G7377" s="22">
        <v>14</v>
      </c>
      <c r="H7377" s="18">
        <v>61.94</v>
      </c>
      <c r="I7377" s="18">
        <v>4.4242857139999998</v>
      </c>
      <c r="J7377" s="18">
        <v>4.55</v>
      </c>
      <c r="K7377" s="18">
        <v>4.34</v>
      </c>
      <c r="L7377" s="22">
        <v>6</v>
      </c>
    </row>
    <row r="7378" spans="1:12">
      <c r="A7378">
        <v>8</v>
      </c>
      <c r="B7378" s="16" t="s">
        <v>63</v>
      </c>
      <c r="C7378" s="9">
        <v>45717</v>
      </c>
      <c r="D7378">
        <v>23</v>
      </c>
      <c r="E7378" s="16" t="s">
        <v>111</v>
      </c>
      <c r="F7378" s="16" t="s">
        <v>92</v>
      </c>
      <c r="G7378" s="22">
        <v>22</v>
      </c>
      <c r="H7378" s="18">
        <v>90.02</v>
      </c>
      <c r="I7378" s="18">
        <v>4.0918181819999999</v>
      </c>
      <c r="J7378" s="18">
        <v>4.1500000000000004</v>
      </c>
      <c r="K7378" s="18">
        <v>4.01</v>
      </c>
      <c r="L7378" s="22">
        <v>8</v>
      </c>
    </row>
    <row r="7379" spans="1:12">
      <c r="A7379">
        <v>8</v>
      </c>
      <c r="B7379" s="16" t="s">
        <v>63</v>
      </c>
      <c r="C7379" s="9">
        <v>45748</v>
      </c>
      <c r="D7379">
        <v>23</v>
      </c>
      <c r="E7379" s="16" t="s">
        <v>111</v>
      </c>
      <c r="F7379" s="16" t="s">
        <v>92</v>
      </c>
      <c r="G7379" s="22">
        <v>20</v>
      </c>
      <c r="H7379" s="18">
        <v>71.88</v>
      </c>
      <c r="I7379" s="18">
        <v>3.5939999999999999</v>
      </c>
      <c r="J7379" s="18">
        <v>3.64</v>
      </c>
      <c r="K7379" s="18">
        <v>3.53</v>
      </c>
      <c r="L7379" s="22">
        <v>7</v>
      </c>
    </row>
    <row r="7380" spans="1:12">
      <c r="A7380">
        <v>8</v>
      </c>
      <c r="B7380" s="16" t="s">
        <v>63</v>
      </c>
      <c r="C7380" s="9">
        <v>45778</v>
      </c>
      <c r="D7380">
        <v>23</v>
      </c>
      <c r="E7380" s="16" t="s">
        <v>111</v>
      </c>
      <c r="F7380" s="16" t="s">
        <v>92</v>
      </c>
      <c r="G7380" s="22">
        <v>38</v>
      </c>
      <c r="H7380" s="18">
        <v>119.42</v>
      </c>
      <c r="I7380" s="18">
        <v>3.1426315790000001</v>
      </c>
      <c r="J7380" s="18">
        <v>3.21</v>
      </c>
      <c r="K7380" s="18">
        <v>3.08</v>
      </c>
      <c r="L7380" s="22">
        <v>9</v>
      </c>
    </row>
    <row r="7381" spans="1:12">
      <c r="A7381">
        <v>8</v>
      </c>
      <c r="B7381" s="16" t="s">
        <v>63</v>
      </c>
      <c r="C7381" s="9">
        <v>45809</v>
      </c>
      <c r="D7381">
        <v>23</v>
      </c>
      <c r="E7381" s="16" t="s">
        <v>111</v>
      </c>
      <c r="F7381" s="16" t="s">
        <v>92</v>
      </c>
      <c r="G7381" s="22">
        <v>34</v>
      </c>
      <c r="H7381" s="18">
        <v>96.34</v>
      </c>
      <c r="I7381" s="18">
        <v>2.8335294119999999</v>
      </c>
      <c r="J7381" s="18">
        <v>2.88</v>
      </c>
      <c r="K7381" s="18">
        <v>2.78</v>
      </c>
      <c r="L7381" s="22">
        <v>9</v>
      </c>
    </row>
    <row r="7382" spans="1:12">
      <c r="A7382">
        <v>8</v>
      </c>
      <c r="B7382" s="16" t="s">
        <v>63</v>
      </c>
      <c r="C7382" s="9">
        <v>45839</v>
      </c>
      <c r="D7382">
        <v>23</v>
      </c>
      <c r="E7382" s="16" t="s">
        <v>111</v>
      </c>
      <c r="F7382" s="16" t="s">
        <v>92</v>
      </c>
      <c r="G7382" s="22">
        <v>22</v>
      </c>
      <c r="H7382" s="18">
        <v>60.54</v>
      </c>
      <c r="I7382" s="18">
        <v>2.7518181820000001</v>
      </c>
      <c r="J7382" s="18">
        <v>2.91</v>
      </c>
      <c r="K7382" s="18">
        <v>2.68</v>
      </c>
      <c r="L7382" s="22">
        <v>9</v>
      </c>
    </row>
    <row r="7383" spans="1:12">
      <c r="A7383">
        <v>8</v>
      </c>
      <c r="B7383" s="16" t="s">
        <v>63</v>
      </c>
      <c r="C7383" s="9">
        <v>45870</v>
      </c>
      <c r="D7383">
        <v>23</v>
      </c>
      <c r="E7383" s="16" t="s">
        <v>111</v>
      </c>
      <c r="F7383" s="16" t="s">
        <v>92</v>
      </c>
      <c r="G7383" s="22">
        <v>26</v>
      </c>
      <c r="H7383" s="18">
        <v>73.98</v>
      </c>
      <c r="I7383" s="18">
        <v>2.845384615</v>
      </c>
      <c r="J7383" s="18">
        <v>2.87</v>
      </c>
      <c r="K7383" s="18">
        <v>2.81</v>
      </c>
      <c r="L7383" s="22">
        <v>8</v>
      </c>
    </row>
    <row r="7384" spans="1:12">
      <c r="A7384">
        <v>8</v>
      </c>
      <c r="B7384" s="16" t="s">
        <v>63</v>
      </c>
      <c r="C7384" s="9">
        <v>45901</v>
      </c>
      <c r="D7384">
        <v>23</v>
      </c>
      <c r="E7384" s="16" t="s">
        <v>111</v>
      </c>
      <c r="F7384" s="16" t="s">
        <v>92</v>
      </c>
      <c r="G7384" s="22">
        <v>26</v>
      </c>
      <c r="H7384" s="18">
        <v>83.2</v>
      </c>
      <c r="I7384" s="18">
        <v>3.2</v>
      </c>
      <c r="J7384" s="18">
        <v>3.24</v>
      </c>
      <c r="K7384" s="18">
        <v>3.15</v>
      </c>
      <c r="L7384" s="22">
        <v>9</v>
      </c>
    </row>
    <row r="7385" spans="1:12">
      <c r="A7385">
        <v>8</v>
      </c>
      <c r="B7385" s="16" t="s">
        <v>63</v>
      </c>
      <c r="C7385" s="9">
        <v>45931</v>
      </c>
      <c r="D7385">
        <v>23</v>
      </c>
      <c r="E7385" s="16" t="s">
        <v>111</v>
      </c>
      <c r="F7385" s="16" t="s">
        <v>92</v>
      </c>
      <c r="G7385" s="22">
        <v>28</v>
      </c>
      <c r="H7385" s="18">
        <v>103.6</v>
      </c>
      <c r="I7385" s="18">
        <v>3.7</v>
      </c>
      <c r="J7385" s="18">
        <v>3.82</v>
      </c>
      <c r="K7385" s="18">
        <v>3.59</v>
      </c>
      <c r="L7385" s="22">
        <v>9</v>
      </c>
    </row>
    <row r="7386" spans="1:12">
      <c r="A7386">
        <v>8</v>
      </c>
      <c r="B7386" s="16" t="s">
        <v>63</v>
      </c>
      <c r="C7386" s="9">
        <v>45962</v>
      </c>
      <c r="D7386">
        <v>23</v>
      </c>
      <c r="E7386" s="16" t="s">
        <v>111</v>
      </c>
      <c r="F7386" s="16" t="s">
        <v>92</v>
      </c>
      <c r="G7386" s="22">
        <v>22</v>
      </c>
      <c r="H7386" s="18">
        <v>93.22</v>
      </c>
      <c r="I7386" s="18">
        <v>4.2372727269999997</v>
      </c>
      <c r="J7386" s="18">
        <v>4.29</v>
      </c>
      <c r="K7386" s="18">
        <v>4.2</v>
      </c>
      <c r="L7386" s="22">
        <v>7</v>
      </c>
    </row>
    <row r="7387" spans="1:12">
      <c r="A7387">
        <v>8</v>
      </c>
      <c r="B7387" s="16" t="s">
        <v>63</v>
      </c>
      <c r="C7387" s="9">
        <v>45992</v>
      </c>
      <c r="D7387">
        <v>23</v>
      </c>
      <c r="E7387" s="16" t="s">
        <v>111</v>
      </c>
      <c r="F7387" s="16" t="s">
        <v>92</v>
      </c>
      <c r="G7387" s="22">
        <v>24</v>
      </c>
      <c r="H7387" s="18">
        <v>109.72</v>
      </c>
      <c r="I7387" s="18">
        <v>4.5716666669999997</v>
      </c>
      <c r="J7387" s="18">
        <v>4.6500000000000004</v>
      </c>
      <c r="K7387" s="18">
        <v>4.5</v>
      </c>
      <c r="L7387" s="22">
        <v>9</v>
      </c>
    </row>
    <row r="7388" spans="1:12">
      <c r="A7388">
        <v>8</v>
      </c>
      <c r="B7388" s="16" t="s">
        <v>63</v>
      </c>
      <c r="C7388" s="9">
        <v>46023</v>
      </c>
      <c r="D7388">
        <v>23</v>
      </c>
      <c r="E7388" s="16" t="s">
        <v>111</v>
      </c>
      <c r="F7388" s="16" t="s">
        <v>92</v>
      </c>
      <c r="G7388" s="22">
        <v>28</v>
      </c>
      <c r="H7388" s="18">
        <v>131.74</v>
      </c>
      <c r="I7388" s="18">
        <v>4.7050000000000001</v>
      </c>
      <c r="J7388" s="18">
        <v>4.7699999999999996</v>
      </c>
      <c r="K7388" s="18">
        <v>4.63</v>
      </c>
      <c r="L7388" s="22">
        <v>8</v>
      </c>
    </row>
    <row r="7389" spans="1:12">
      <c r="A7389">
        <v>8</v>
      </c>
      <c r="B7389" s="16" t="s">
        <v>63</v>
      </c>
      <c r="C7389" s="9">
        <v>46054</v>
      </c>
      <c r="D7389">
        <v>23</v>
      </c>
      <c r="E7389" s="16" t="s">
        <v>111</v>
      </c>
      <c r="F7389" s="16" t="s">
        <v>92</v>
      </c>
      <c r="G7389" s="22">
        <v>26</v>
      </c>
      <c r="H7389" s="18">
        <v>119.24</v>
      </c>
      <c r="I7389" s="18">
        <v>4.5861538460000002</v>
      </c>
      <c r="J7389" s="18">
        <v>4.6500000000000004</v>
      </c>
      <c r="K7389" s="18">
        <v>4.4800000000000004</v>
      </c>
      <c r="L7389" s="22">
        <v>8</v>
      </c>
    </row>
    <row r="7390" spans="1:12">
      <c r="A7390">
        <v>8</v>
      </c>
      <c r="B7390" s="16" t="s">
        <v>63</v>
      </c>
      <c r="C7390" s="9">
        <v>46082</v>
      </c>
      <c r="D7390">
        <v>23</v>
      </c>
      <c r="E7390" s="16" t="s">
        <v>111</v>
      </c>
      <c r="F7390" s="16" t="s">
        <v>92</v>
      </c>
      <c r="G7390" s="22">
        <v>28</v>
      </c>
      <c r="H7390" s="18">
        <v>118.58</v>
      </c>
      <c r="I7390" s="18">
        <v>4.2350000000000003</v>
      </c>
      <c r="J7390" s="18">
        <v>4.33</v>
      </c>
      <c r="K7390" s="18">
        <v>4.2</v>
      </c>
      <c r="L7390" s="22">
        <v>9</v>
      </c>
    </row>
    <row r="7391" spans="1:12">
      <c r="A7391">
        <v>8</v>
      </c>
      <c r="B7391" s="16" t="s">
        <v>63</v>
      </c>
      <c r="C7391" s="9">
        <v>46113</v>
      </c>
      <c r="D7391">
        <v>23</v>
      </c>
      <c r="E7391" s="16" t="s">
        <v>111</v>
      </c>
      <c r="F7391" s="16" t="s">
        <v>92</v>
      </c>
      <c r="G7391" s="22">
        <v>32</v>
      </c>
      <c r="H7391" s="18">
        <v>119.26</v>
      </c>
      <c r="I7391" s="18">
        <v>3.7268750000000002</v>
      </c>
      <c r="J7391" s="18">
        <v>3.93</v>
      </c>
      <c r="K7391" s="18">
        <v>3.62</v>
      </c>
      <c r="L7391" s="22">
        <v>9</v>
      </c>
    </row>
    <row r="7392" spans="1:12">
      <c r="A7392">
        <v>8</v>
      </c>
      <c r="B7392" s="16" t="s">
        <v>63</v>
      </c>
      <c r="C7392" s="9">
        <v>46143</v>
      </c>
      <c r="D7392">
        <v>23</v>
      </c>
      <c r="E7392" s="16" t="s">
        <v>111</v>
      </c>
      <c r="F7392" s="16" t="s">
        <v>92</v>
      </c>
      <c r="G7392" s="22">
        <v>22</v>
      </c>
      <c r="H7392" s="18">
        <v>72.28</v>
      </c>
      <c r="I7392" s="18">
        <v>3.2854545449999999</v>
      </c>
      <c r="J7392" s="18">
        <v>3.34</v>
      </c>
      <c r="K7392" s="18">
        <v>3.23</v>
      </c>
      <c r="L7392" s="22">
        <v>8</v>
      </c>
    </row>
    <row r="7393" spans="1:12">
      <c r="A7393">
        <v>8</v>
      </c>
      <c r="B7393" s="16" t="s">
        <v>63</v>
      </c>
      <c r="C7393" s="9">
        <v>46174</v>
      </c>
      <c r="D7393">
        <v>23</v>
      </c>
      <c r="E7393" s="16" t="s">
        <v>111</v>
      </c>
      <c r="F7393" s="16" t="s">
        <v>92</v>
      </c>
      <c r="G7393" s="22">
        <v>18</v>
      </c>
      <c r="H7393" s="18">
        <v>52.82</v>
      </c>
      <c r="I7393" s="18">
        <v>2.9344444439999999</v>
      </c>
      <c r="J7393" s="18">
        <v>3.07</v>
      </c>
      <c r="K7393" s="18">
        <v>2.88</v>
      </c>
      <c r="L7393" s="22">
        <v>7</v>
      </c>
    </row>
    <row r="7394" spans="1:12">
      <c r="A7394">
        <v>8</v>
      </c>
      <c r="B7394" s="16" t="s">
        <v>63</v>
      </c>
      <c r="C7394" s="9">
        <v>46204</v>
      </c>
      <c r="D7394">
        <v>23</v>
      </c>
      <c r="E7394" s="16" t="s">
        <v>111</v>
      </c>
      <c r="F7394" s="16" t="s">
        <v>92</v>
      </c>
      <c r="G7394" s="22">
        <v>28</v>
      </c>
      <c r="H7394" s="18">
        <v>79.72</v>
      </c>
      <c r="I7394" s="18">
        <v>2.8471428570000001</v>
      </c>
      <c r="J7394" s="18">
        <v>2.89</v>
      </c>
      <c r="K7394" s="18">
        <v>2.76</v>
      </c>
      <c r="L7394" s="22">
        <v>9</v>
      </c>
    </row>
    <row r="7395" spans="1:12">
      <c r="A7395">
        <v>8</v>
      </c>
      <c r="B7395" s="16" t="s">
        <v>63</v>
      </c>
      <c r="C7395" s="9">
        <v>46235</v>
      </c>
      <c r="D7395">
        <v>23</v>
      </c>
      <c r="E7395" s="16" t="s">
        <v>111</v>
      </c>
      <c r="F7395" s="16" t="s">
        <v>92</v>
      </c>
      <c r="G7395" s="22">
        <v>22</v>
      </c>
      <c r="H7395" s="18">
        <v>66.36</v>
      </c>
      <c r="I7395" s="18">
        <v>3.0163636359999999</v>
      </c>
      <c r="J7395" s="18">
        <v>3.22</v>
      </c>
      <c r="K7395" s="18">
        <v>2.96</v>
      </c>
      <c r="L7395" s="22">
        <v>8</v>
      </c>
    </row>
    <row r="7396" spans="1:12">
      <c r="A7396">
        <v>8</v>
      </c>
      <c r="B7396" s="16" t="s">
        <v>63</v>
      </c>
      <c r="C7396" s="9">
        <v>46266</v>
      </c>
      <c r="D7396">
        <v>23</v>
      </c>
      <c r="E7396" s="16" t="s">
        <v>111</v>
      </c>
      <c r="F7396" s="16" t="s">
        <v>92</v>
      </c>
      <c r="G7396" s="22">
        <v>28</v>
      </c>
      <c r="H7396" s="18">
        <v>93.82</v>
      </c>
      <c r="I7396" s="18">
        <v>3.3507142860000001</v>
      </c>
      <c r="J7396" s="18">
        <v>3.4</v>
      </c>
      <c r="K7396" s="18">
        <v>3.31</v>
      </c>
      <c r="L7396" s="22">
        <v>8</v>
      </c>
    </row>
    <row r="7397" spans="1:12">
      <c r="A7397">
        <v>8</v>
      </c>
      <c r="B7397" s="16" t="s">
        <v>63</v>
      </c>
      <c r="C7397" s="9">
        <v>45689</v>
      </c>
      <c r="D7397">
        <v>24</v>
      </c>
      <c r="E7397" s="16" t="s">
        <v>112</v>
      </c>
      <c r="F7397" s="16" t="s">
        <v>83</v>
      </c>
      <c r="G7397" s="22">
        <v>12</v>
      </c>
      <c r="H7397" s="18">
        <v>117.61</v>
      </c>
      <c r="I7397" s="18">
        <v>9.8008333329999999</v>
      </c>
      <c r="J7397" s="18">
        <v>10.050000000000001</v>
      </c>
      <c r="K7397" s="18">
        <v>9.59</v>
      </c>
      <c r="L7397" s="22">
        <v>8</v>
      </c>
    </row>
    <row r="7398" spans="1:12">
      <c r="A7398">
        <v>8</v>
      </c>
      <c r="B7398" s="16" t="s">
        <v>63</v>
      </c>
      <c r="C7398" s="9">
        <v>45717</v>
      </c>
      <c r="D7398">
        <v>24</v>
      </c>
      <c r="E7398" s="16" t="s">
        <v>112</v>
      </c>
      <c r="F7398" s="16" t="s">
        <v>83</v>
      </c>
      <c r="G7398" s="22">
        <v>15.5</v>
      </c>
      <c r="H7398" s="18">
        <v>151.98500000000001</v>
      </c>
      <c r="I7398" s="18">
        <v>9.8054838709999999</v>
      </c>
      <c r="J7398" s="18">
        <v>9.99</v>
      </c>
      <c r="K7398" s="18">
        <v>9.59</v>
      </c>
      <c r="L7398" s="22">
        <v>9</v>
      </c>
    </row>
    <row r="7399" spans="1:12">
      <c r="A7399">
        <v>8</v>
      </c>
      <c r="B7399" s="16" t="s">
        <v>63</v>
      </c>
      <c r="C7399" s="9">
        <v>45748</v>
      </c>
      <c r="D7399">
        <v>24</v>
      </c>
      <c r="E7399" s="16" t="s">
        <v>112</v>
      </c>
      <c r="F7399" s="16" t="s">
        <v>83</v>
      </c>
      <c r="G7399" s="22">
        <v>12</v>
      </c>
      <c r="H7399" s="18">
        <v>117.81</v>
      </c>
      <c r="I7399" s="18">
        <v>9.8175000000000008</v>
      </c>
      <c r="J7399" s="18">
        <v>10.35</v>
      </c>
      <c r="K7399" s="18">
        <v>9.51</v>
      </c>
      <c r="L7399" s="22">
        <v>8</v>
      </c>
    </row>
    <row r="7400" spans="1:12">
      <c r="A7400">
        <v>8</v>
      </c>
      <c r="B7400" s="16" t="s">
        <v>63</v>
      </c>
      <c r="C7400" s="9">
        <v>45778</v>
      </c>
      <c r="D7400">
        <v>24</v>
      </c>
      <c r="E7400" s="16" t="s">
        <v>112</v>
      </c>
      <c r="F7400" s="16" t="s">
        <v>83</v>
      </c>
      <c r="G7400" s="22">
        <v>16.5</v>
      </c>
      <c r="H7400" s="18">
        <v>157.535</v>
      </c>
      <c r="I7400" s="18">
        <v>9.5475757580000007</v>
      </c>
      <c r="J7400" s="18">
        <v>9.75</v>
      </c>
      <c r="K7400" s="18">
        <v>9.4700000000000006</v>
      </c>
      <c r="L7400" s="22">
        <v>8</v>
      </c>
    </row>
    <row r="7401" spans="1:12">
      <c r="A7401">
        <v>8</v>
      </c>
      <c r="B7401" s="16" t="s">
        <v>63</v>
      </c>
      <c r="C7401" s="9">
        <v>45809</v>
      </c>
      <c r="D7401">
        <v>24</v>
      </c>
      <c r="E7401" s="16" t="s">
        <v>112</v>
      </c>
      <c r="F7401" s="16" t="s">
        <v>83</v>
      </c>
      <c r="G7401" s="22">
        <v>15</v>
      </c>
      <c r="H7401" s="18">
        <v>144.41999999999999</v>
      </c>
      <c r="I7401" s="18">
        <v>9.6280000000000001</v>
      </c>
      <c r="J7401" s="18">
        <v>9.7799999999999994</v>
      </c>
      <c r="K7401" s="18">
        <v>9.34</v>
      </c>
      <c r="L7401" s="22">
        <v>9</v>
      </c>
    </row>
    <row r="7402" spans="1:12">
      <c r="A7402">
        <v>8</v>
      </c>
      <c r="B7402" s="16" t="s">
        <v>63</v>
      </c>
      <c r="C7402" s="9">
        <v>45839</v>
      </c>
      <c r="D7402">
        <v>24</v>
      </c>
      <c r="E7402" s="16" t="s">
        <v>112</v>
      </c>
      <c r="F7402" s="16" t="s">
        <v>83</v>
      </c>
      <c r="G7402" s="22">
        <v>11.5</v>
      </c>
      <c r="H7402" s="18">
        <v>112.6</v>
      </c>
      <c r="I7402" s="18">
        <v>9.7913043480000006</v>
      </c>
      <c r="J7402" s="18">
        <v>10.02</v>
      </c>
      <c r="K7402" s="18">
        <v>9.43</v>
      </c>
      <c r="L7402" s="22">
        <v>9</v>
      </c>
    </row>
    <row r="7403" spans="1:12">
      <c r="A7403">
        <v>8</v>
      </c>
      <c r="B7403" s="16" t="s">
        <v>63</v>
      </c>
      <c r="C7403" s="9">
        <v>45870</v>
      </c>
      <c r="D7403">
        <v>24</v>
      </c>
      <c r="E7403" s="16" t="s">
        <v>112</v>
      </c>
      <c r="F7403" s="16" t="s">
        <v>83</v>
      </c>
      <c r="G7403" s="22">
        <v>12</v>
      </c>
      <c r="H7403" s="18">
        <v>118.355</v>
      </c>
      <c r="I7403" s="18">
        <v>9.8629166670000004</v>
      </c>
      <c r="J7403" s="18">
        <v>10.02</v>
      </c>
      <c r="K7403" s="18">
        <v>9.7200000000000006</v>
      </c>
      <c r="L7403" s="22">
        <v>8</v>
      </c>
    </row>
    <row r="7404" spans="1:12">
      <c r="A7404">
        <v>8</v>
      </c>
      <c r="B7404" s="16" t="s">
        <v>63</v>
      </c>
      <c r="C7404" s="9">
        <v>45901</v>
      </c>
      <c r="D7404">
        <v>24</v>
      </c>
      <c r="E7404" s="16" t="s">
        <v>112</v>
      </c>
      <c r="F7404" s="16" t="s">
        <v>83</v>
      </c>
      <c r="G7404" s="22">
        <v>13</v>
      </c>
      <c r="H7404" s="18">
        <v>129.16</v>
      </c>
      <c r="I7404" s="18">
        <v>9.9353846150000003</v>
      </c>
      <c r="J7404" s="18">
        <v>10.1</v>
      </c>
      <c r="K7404" s="18">
        <v>9.73</v>
      </c>
      <c r="L7404" s="22">
        <v>9</v>
      </c>
    </row>
    <row r="7405" spans="1:12">
      <c r="A7405">
        <v>8</v>
      </c>
      <c r="B7405" s="16" t="s">
        <v>63</v>
      </c>
      <c r="C7405" s="9">
        <v>45931</v>
      </c>
      <c r="D7405">
        <v>24</v>
      </c>
      <c r="E7405" s="16" t="s">
        <v>112</v>
      </c>
      <c r="F7405" s="16" t="s">
        <v>83</v>
      </c>
      <c r="G7405" s="22">
        <v>13.5</v>
      </c>
      <c r="H7405" s="18">
        <v>133.96</v>
      </c>
      <c r="I7405" s="18">
        <v>9.9229629629999998</v>
      </c>
      <c r="J7405" s="18">
        <v>10.06</v>
      </c>
      <c r="K7405" s="18">
        <v>9.83</v>
      </c>
      <c r="L7405" s="22">
        <v>9</v>
      </c>
    </row>
    <row r="7406" spans="1:12">
      <c r="A7406">
        <v>8</v>
      </c>
      <c r="B7406" s="16" t="s">
        <v>63</v>
      </c>
      <c r="C7406" s="9">
        <v>45962</v>
      </c>
      <c r="D7406">
        <v>24</v>
      </c>
      <c r="E7406" s="16" t="s">
        <v>112</v>
      </c>
      <c r="F7406" s="16" t="s">
        <v>83</v>
      </c>
      <c r="G7406" s="22">
        <v>14.5</v>
      </c>
      <c r="H7406" s="18">
        <v>143.685</v>
      </c>
      <c r="I7406" s="18">
        <v>9.9093103449999997</v>
      </c>
      <c r="J7406" s="18">
        <v>10.08</v>
      </c>
      <c r="K7406" s="18">
        <v>9.76</v>
      </c>
      <c r="L7406" s="22">
        <v>8</v>
      </c>
    </row>
    <row r="7407" spans="1:12">
      <c r="A7407">
        <v>8</v>
      </c>
      <c r="B7407" s="16" t="s">
        <v>63</v>
      </c>
      <c r="C7407" s="9">
        <v>45992</v>
      </c>
      <c r="D7407">
        <v>24</v>
      </c>
      <c r="E7407" s="16" t="s">
        <v>112</v>
      </c>
      <c r="F7407" s="16" t="s">
        <v>83</v>
      </c>
      <c r="G7407" s="22">
        <v>13.5</v>
      </c>
      <c r="H7407" s="18">
        <v>133.995</v>
      </c>
      <c r="I7407" s="18">
        <v>9.9255555560000008</v>
      </c>
      <c r="J7407" s="18">
        <v>10.15</v>
      </c>
      <c r="K7407" s="18">
        <v>9.7200000000000006</v>
      </c>
      <c r="L7407" s="22">
        <v>9</v>
      </c>
    </row>
    <row r="7408" spans="1:12">
      <c r="A7408">
        <v>8</v>
      </c>
      <c r="B7408" s="16" t="s">
        <v>63</v>
      </c>
      <c r="C7408" s="9">
        <v>46023</v>
      </c>
      <c r="D7408">
        <v>24</v>
      </c>
      <c r="E7408" s="16" t="s">
        <v>112</v>
      </c>
      <c r="F7408" s="16" t="s">
        <v>83</v>
      </c>
      <c r="G7408" s="22">
        <v>12.5</v>
      </c>
      <c r="H7408" s="18">
        <v>123.925</v>
      </c>
      <c r="I7408" s="18">
        <v>9.9139999999999997</v>
      </c>
      <c r="J7408" s="18">
        <v>10.119999999999999</v>
      </c>
      <c r="K7408" s="18">
        <v>9.68</v>
      </c>
      <c r="L7408" s="22">
        <v>8</v>
      </c>
    </row>
    <row r="7409" spans="1:12">
      <c r="A7409">
        <v>8</v>
      </c>
      <c r="B7409" s="16" t="s">
        <v>63</v>
      </c>
      <c r="C7409" s="9">
        <v>46054</v>
      </c>
      <c r="D7409">
        <v>24</v>
      </c>
      <c r="E7409" s="16" t="s">
        <v>112</v>
      </c>
      <c r="F7409" s="16" t="s">
        <v>83</v>
      </c>
      <c r="G7409" s="22">
        <v>13.5</v>
      </c>
      <c r="H7409" s="18">
        <v>135.05500000000001</v>
      </c>
      <c r="I7409" s="18">
        <v>10.004074074</v>
      </c>
      <c r="J7409" s="18">
        <v>10.14</v>
      </c>
      <c r="K7409" s="18">
        <v>9.9</v>
      </c>
      <c r="L7409" s="22">
        <v>8</v>
      </c>
    </row>
    <row r="7410" spans="1:12">
      <c r="A7410">
        <v>8</v>
      </c>
      <c r="B7410" s="16" t="s">
        <v>63</v>
      </c>
      <c r="C7410" s="9">
        <v>46082</v>
      </c>
      <c r="D7410">
        <v>24</v>
      </c>
      <c r="E7410" s="16" t="s">
        <v>112</v>
      </c>
      <c r="F7410" s="16" t="s">
        <v>83</v>
      </c>
      <c r="G7410" s="22">
        <v>10</v>
      </c>
      <c r="H7410" s="18">
        <v>100.32</v>
      </c>
      <c r="I7410" s="18">
        <v>10.032</v>
      </c>
      <c r="J7410" s="18">
        <v>10.130000000000001</v>
      </c>
      <c r="K7410" s="18">
        <v>9.8699999999999992</v>
      </c>
      <c r="L7410" s="22">
        <v>9</v>
      </c>
    </row>
    <row r="7411" spans="1:12">
      <c r="A7411">
        <v>8</v>
      </c>
      <c r="B7411" s="16" t="s">
        <v>63</v>
      </c>
      <c r="C7411" s="9">
        <v>46113</v>
      </c>
      <c r="D7411">
        <v>24</v>
      </c>
      <c r="E7411" s="16" t="s">
        <v>112</v>
      </c>
      <c r="F7411" s="16" t="s">
        <v>83</v>
      </c>
      <c r="G7411" s="22">
        <v>13.5</v>
      </c>
      <c r="H7411" s="18">
        <v>135.96</v>
      </c>
      <c r="I7411" s="18">
        <v>10.071111111</v>
      </c>
      <c r="J7411" s="18">
        <v>10.23</v>
      </c>
      <c r="K7411" s="18">
        <v>9.81</v>
      </c>
      <c r="L7411" s="22">
        <v>9</v>
      </c>
    </row>
    <row r="7412" spans="1:12">
      <c r="A7412">
        <v>8</v>
      </c>
      <c r="B7412" s="16" t="s">
        <v>63</v>
      </c>
      <c r="C7412" s="9">
        <v>46143</v>
      </c>
      <c r="D7412">
        <v>24</v>
      </c>
      <c r="E7412" s="16" t="s">
        <v>112</v>
      </c>
      <c r="F7412" s="16" t="s">
        <v>83</v>
      </c>
      <c r="G7412" s="22">
        <v>11.5</v>
      </c>
      <c r="H7412" s="18">
        <v>117.2</v>
      </c>
      <c r="I7412" s="18">
        <v>10.191304347999999</v>
      </c>
      <c r="J7412" s="18">
        <v>10.34</v>
      </c>
      <c r="K7412" s="18">
        <v>9.9700000000000006</v>
      </c>
      <c r="L7412" s="22">
        <v>8</v>
      </c>
    </row>
    <row r="7413" spans="1:12">
      <c r="A7413">
        <v>8</v>
      </c>
      <c r="B7413" s="16" t="s">
        <v>63</v>
      </c>
      <c r="C7413" s="9">
        <v>46174</v>
      </c>
      <c r="D7413">
        <v>24</v>
      </c>
      <c r="E7413" s="16" t="s">
        <v>112</v>
      </c>
      <c r="F7413" s="16" t="s">
        <v>83</v>
      </c>
      <c r="G7413" s="22">
        <v>8</v>
      </c>
      <c r="H7413" s="18">
        <v>81.209999999999994</v>
      </c>
      <c r="I7413" s="18">
        <v>10.151249999999999</v>
      </c>
      <c r="J7413" s="18">
        <v>10.42</v>
      </c>
      <c r="K7413" s="18">
        <v>9.9600000000000009</v>
      </c>
      <c r="L7413" s="22">
        <v>9</v>
      </c>
    </row>
    <row r="7414" spans="1:12">
      <c r="A7414">
        <v>8</v>
      </c>
      <c r="B7414" s="16" t="s">
        <v>63</v>
      </c>
      <c r="C7414" s="9">
        <v>46204</v>
      </c>
      <c r="D7414">
        <v>24</v>
      </c>
      <c r="E7414" s="16" t="s">
        <v>112</v>
      </c>
      <c r="F7414" s="16" t="s">
        <v>83</v>
      </c>
      <c r="G7414" s="22">
        <v>10</v>
      </c>
      <c r="H7414" s="18">
        <v>101.42</v>
      </c>
      <c r="I7414" s="18">
        <v>10.141999999999999</v>
      </c>
      <c r="J7414" s="18">
        <v>10.36</v>
      </c>
      <c r="K7414" s="18">
        <v>10.01</v>
      </c>
      <c r="L7414" s="22">
        <v>9</v>
      </c>
    </row>
    <row r="7415" spans="1:12">
      <c r="A7415">
        <v>8</v>
      </c>
      <c r="B7415" s="16" t="s">
        <v>63</v>
      </c>
      <c r="C7415" s="9">
        <v>46235</v>
      </c>
      <c r="D7415">
        <v>24</v>
      </c>
      <c r="E7415" s="16" t="s">
        <v>112</v>
      </c>
      <c r="F7415" s="16" t="s">
        <v>83</v>
      </c>
      <c r="G7415" s="22">
        <v>8</v>
      </c>
      <c r="H7415" s="18">
        <v>81.625</v>
      </c>
      <c r="I7415" s="18">
        <v>10.203125</v>
      </c>
      <c r="J7415" s="18">
        <v>10.32</v>
      </c>
      <c r="K7415" s="18">
        <v>10.14</v>
      </c>
      <c r="L7415" s="22">
        <v>8</v>
      </c>
    </row>
    <row r="7416" spans="1:12">
      <c r="A7416">
        <v>8</v>
      </c>
      <c r="B7416" s="16" t="s">
        <v>63</v>
      </c>
      <c r="C7416" s="9">
        <v>46266</v>
      </c>
      <c r="D7416">
        <v>24</v>
      </c>
      <c r="E7416" s="16" t="s">
        <v>112</v>
      </c>
      <c r="F7416" s="16" t="s">
        <v>83</v>
      </c>
      <c r="G7416" s="22">
        <v>10</v>
      </c>
      <c r="H7416" s="18">
        <v>103.235</v>
      </c>
      <c r="I7416" s="18">
        <v>10.323499999999999</v>
      </c>
      <c r="J7416" s="18">
        <v>10.44</v>
      </c>
      <c r="K7416" s="18">
        <v>10.18</v>
      </c>
      <c r="L7416" s="22">
        <v>8</v>
      </c>
    </row>
    <row r="7417" spans="1:12">
      <c r="A7417">
        <v>8</v>
      </c>
      <c r="B7417" s="16" t="s">
        <v>63</v>
      </c>
      <c r="C7417" s="9">
        <v>45689</v>
      </c>
      <c r="D7417">
        <v>25</v>
      </c>
      <c r="E7417" s="16" t="s">
        <v>113</v>
      </c>
      <c r="F7417" s="16" t="s">
        <v>114</v>
      </c>
      <c r="G7417" s="22">
        <v>300</v>
      </c>
      <c r="H7417" s="18">
        <v>84.5</v>
      </c>
      <c r="I7417" s="18">
        <v>0.28166666699999998</v>
      </c>
      <c r="J7417" s="18">
        <v>0.28999999999999998</v>
      </c>
      <c r="K7417" s="18">
        <v>0.28000000000000003</v>
      </c>
      <c r="L7417" s="22">
        <v>6</v>
      </c>
    </row>
    <row r="7418" spans="1:12">
      <c r="A7418">
        <v>8</v>
      </c>
      <c r="B7418" s="16" t="s">
        <v>63</v>
      </c>
      <c r="C7418" s="9">
        <v>45717</v>
      </c>
      <c r="D7418">
        <v>25</v>
      </c>
      <c r="E7418" s="16" t="s">
        <v>113</v>
      </c>
      <c r="F7418" s="16" t="s">
        <v>114</v>
      </c>
      <c r="G7418" s="22">
        <v>350</v>
      </c>
      <c r="H7418" s="18">
        <v>98</v>
      </c>
      <c r="I7418" s="18">
        <v>0.28000000000000003</v>
      </c>
      <c r="J7418" s="18">
        <v>0.28000000000000003</v>
      </c>
      <c r="K7418" s="18">
        <v>0.28000000000000003</v>
      </c>
      <c r="L7418" s="22">
        <v>6</v>
      </c>
    </row>
    <row r="7419" spans="1:12">
      <c r="A7419">
        <v>8</v>
      </c>
      <c r="B7419" s="16" t="s">
        <v>63</v>
      </c>
      <c r="C7419" s="9">
        <v>45748</v>
      </c>
      <c r="D7419">
        <v>25</v>
      </c>
      <c r="E7419" s="16" t="s">
        <v>113</v>
      </c>
      <c r="F7419" s="16" t="s">
        <v>114</v>
      </c>
      <c r="G7419" s="22">
        <v>250</v>
      </c>
      <c r="H7419" s="18">
        <v>71.5</v>
      </c>
      <c r="I7419" s="18">
        <v>0.28599999999999998</v>
      </c>
      <c r="J7419" s="18">
        <v>0.28999999999999998</v>
      </c>
      <c r="K7419" s="18">
        <v>0.28000000000000003</v>
      </c>
      <c r="L7419" s="22">
        <v>5</v>
      </c>
    </row>
    <row r="7420" spans="1:12">
      <c r="A7420">
        <v>8</v>
      </c>
      <c r="B7420" s="16" t="s">
        <v>63</v>
      </c>
      <c r="C7420" s="9">
        <v>45778</v>
      </c>
      <c r="D7420">
        <v>25</v>
      </c>
      <c r="E7420" s="16" t="s">
        <v>113</v>
      </c>
      <c r="F7420" s="16" t="s">
        <v>114</v>
      </c>
      <c r="G7420" s="22">
        <v>400</v>
      </c>
      <c r="H7420" s="18">
        <v>112</v>
      </c>
      <c r="I7420" s="18">
        <v>0.28000000000000003</v>
      </c>
      <c r="J7420" s="18">
        <v>0.28999999999999998</v>
      </c>
      <c r="K7420" s="18">
        <v>0.27</v>
      </c>
      <c r="L7420" s="22">
        <v>7</v>
      </c>
    </row>
    <row r="7421" spans="1:12">
      <c r="A7421">
        <v>8</v>
      </c>
      <c r="B7421" s="16" t="s">
        <v>63</v>
      </c>
      <c r="C7421" s="9">
        <v>45809</v>
      </c>
      <c r="D7421">
        <v>25</v>
      </c>
      <c r="E7421" s="16" t="s">
        <v>113</v>
      </c>
      <c r="F7421" s="16" t="s">
        <v>114</v>
      </c>
      <c r="G7421" s="22">
        <v>350</v>
      </c>
      <c r="H7421" s="18">
        <v>99.5</v>
      </c>
      <c r="I7421" s="18">
        <v>0.28428571400000002</v>
      </c>
      <c r="J7421" s="18">
        <v>0.28999999999999998</v>
      </c>
      <c r="K7421" s="18">
        <v>0.28000000000000003</v>
      </c>
      <c r="L7421" s="22">
        <v>7</v>
      </c>
    </row>
    <row r="7422" spans="1:12">
      <c r="A7422">
        <v>8</v>
      </c>
      <c r="B7422" s="16" t="s">
        <v>63</v>
      </c>
      <c r="C7422" s="9">
        <v>45839</v>
      </c>
      <c r="D7422">
        <v>25</v>
      </c>
      <c r="E7422" s="16" t="s">
        <v>113</v>
      </c>
      <c r="F7422" s="16" t="s">
        <v>114</v>
      </c>
      <c r="G7422" s="22">
        <v>250</v>
      </c>
      <c r="H7422" s="18">
        <v>71</v>
      </c>
      <c r="I7422" s="18">
        <v>0.28399999999999997</v>
      </c>
      <c r="J7422" s="18">
        <v>0.28999999999999998</v>
      </c>
      <c r="K7422" s="18">
        <v>0.28000000000000003</v>
      </c>
      <c r="L7422" s="22">
        <v>5</v>
      </c>
    </row>
    <row r="7423" spans="1:12">
      <c r="A7423">
        <v>8</v>
      </c>
      <c r="B7423" s="16" t="s">
        <v>63</v>
      </c>
      <c r="C7423" s="9">
        <v>45870</v>
      </c>
      <c r="D7423">
        <v>25</v>
      </c>
      <c r="E7423" s="16" t="s">
        <v>113</v>
      </c>
      <c r="F7423" s="16" t="s">
        <v>114</v>
      </c>
      <c r="G7423" s="22">
        <v>300</v>
      </c>
      <c r="H7423" s="18">
        <v>85</v>
      </c>
      <c r="I7423" s="18">
        <v>0.28333333300000002</v>
      </c>
      <c r="J7423" s="18">
        <v>0.28999999999999998</v>
      </c>
      <c r="K7423" s="18">
        <v>0.28000000000000003</v>
      </c>
      <c r="L7423" s="22">
        <v>5</v>
      </c>
    </row>
    <row r="7424" spans="1:12">
      <c r="A7424">
        <v>8</v>
      </c>
      <c r="B7424" s="16" t="s">
        <v>63</v>
      </c>
      <c r="C7424" s="9">
        <v>45901</v>
      </c>
      <c r="D7424">
        <v>25</v>
      </c>
      <c r="E7424" s="16" t="s">
        <v>113</v>
      </c>
      <c r="F7424" s="16" t="s">
        <v>114</v>
      </c>
      <c r="G7424" s="22">
        <v>250</v>
      </c>
      <c r="H7424" s="18">
        <v>71</v>
      </c>
      <c r="I7424" s="18">
        <v>0.28399999999999997</v>
      </c>
      <c r="J7424" s="18">
        <v>0.28999999999999998</v>
      </c>
      <c r="K7424" s="18">
        <v>0.28000000000000003</v>
      </c>
      <c r="L7424" s="22">
        <v>5</v>
      </c>
    </row>
    <row r="7425" spans="1:12">
      <c r="A7425">
        <v>8</v>
      </c>
      <c r="B7425" s="16" t="s">
        <v>63</v>
      </c>
      <c r="C7425" s="9">
        <v>45931</v>
      </c>
      <c r="D7425">
        <v>25</v>
      </c>
      <c r="E7425" s="16" t="s">
        <v>113</v>
      </c>
      <c r="F7425" s="16" t="s">
        <v>114</v>
      </c>
      <c r="G7425" s="22">
        <v>300</v>
      </c>
      <c r="H7425" s="18">
        <v>86.5</v>
      </c>
      <c r="I7425" s="18">
        <v>0.28833333300000002</v>
      </c>
      <c r="J7425" s="18">
        <v>0.28999999999999998</v>
      </c>
      <c r="K7425" s="18">
        <v>0.28000000000000003</v>
      </c>
      <c r="L7425" s="22">
        <v>5</v>
      </c>
    </row>
    <row r="7426" spans="1:12">
      <c r="A7426">
        <v>8</v>
      </c>
      <c r="B7426" s="16" t="s">
        <v>63</v>
      </c>
      <c r="C7426" s="9">
        <v>45962</v>
      </c>
      <c r="D7426">
        <v>25</v>
      </c>
      <c r="E7426" s="16" t="s">
        <v>113</v>
      </c>
      <c r="F7426" s="16" t="s">
        <v>114</v>
      </c>
      <c r="G7426" s="22">
        <v>350</v>
      </c>
      <c r="H7426" s="18">
        <v>101.5</v>
      </c>
      <c r="I7426" s="18">
        <v>0.28999999999999998</v>
      </c>
      <c r="J7426" s="18">
        <v>0.3</v>
      </c>
      <c r="K7426" s="18">
        <v>0.28000000000000003</v>
      </c>
      <c r="L7426" s="22">
        <v>7</v>
      </c>
    </row>
    <row r="7427" spans="1:12">
      <c r="A7427">
        <v>8</v>
      </c>
      <c r="B7427" s="16" t="s">
        <v>63</v>
      </c>
      <c r="C7427" s="9">
        <v>45992</v>
      </c>
      <c r="D7427">
        <v>25</v>
      </c>
      <c r="E7427" s="16" t="s">
        <v>113</v>
      </c>
      <c r="F7427" s="16" t="s">
        <v>114</v>
      </c>
      <c r="G7427" s="22">
        <v>300</v>
      </c>
      <c r="H7427" s="18">
        <v>86.5</v>
      </c>
      <c r="I7427" s="18">
        <v>0.28833333300000002</v>
      </c>
      <c r="J7427" s="18">
        <v>0.28999999999999998</v>
      </c>
      <c r="K7427" s="18">
        <v>0.28000000000000003</v>
      </c>
      <c r="L7427" s="22">
        <v>5</v>
      </c>
    </row>
    <row r="7428" spans="1:12">
      <c r="A7428">
        <v>8</v>
      </c>
      <c r="B7428" s="16" t="s">
        <v>63</v>
      </c>
      <c r="C7428" s="9">
        <v>46023</v>
      </c>
      <c r="D7428">
        <v>25</v>
      </c>
      <c r="E7428" s="16" t="s">
        <v>113</v>
      </c>
      <c r="F7428" s="16" t="s">
        <v>114</v>
      </c>
      <c r="G7428" s="22">
        <v>250</v>
      </c>
      <c r="H7428" s="18">
        <v>72.5</v>
      </c>
      <c r="I7428" s="18">
        <v>0.28999999999999998</v>
      </c>
      <c r="J7428" s="18">
        <v>0.28999999999999998</v>
      </c>
      <c r="K7428" s="18">
        <v>0.28999999999999998</v>
      </c>
      <c r="L7428" s="22">
        <v>5</v>
      </c>
    </row>
    <row r="7429" spans="1:12">
      <c r="A7429">
        <v>8</v>
      </c>
      <c r="B7429" s="16" t="s">
        <v>63</v>
      </c>
      <c r="C7429" s="9">
        <v>46054</v>
      </c>
      <c r="D7429">
        <v>25</v>
      </c>
      <c r="E7429" s="16" t="s">
        <v>113</v>
      </c>
      <c r="F7429" s="16" t="s">
        <v>114</v>
      </c>
      <c r="G7429" s="22">
        <v>350</v>
      </c>
      <c r="H7429" s="18">
        <v>101.5</v>
      </c>
      <c r="I7429" s="18">
        <v>0.28999999999999998</v>
      </c>
      <c r="J7429" s="18">
        <v>0.28999999999999998</v>
      </c>
      <c r="K7429" s="18">
        <v>0.28999999999999998</v>
      </c>
      <c r="L7429" s="22">
        <v>6</v>
      </c>
    </row>
    <row r="7430" spans="1:12">
      <c r="A7430">
        <v>8</v>
      </c>
      <c r="B7430" s="16" t="s">
        <v>63</v>
      </c>
      <c r="C7430" s="9">
        <v>46082</v>
      </c>
      <c r="D7430">
        <v>25</v>
      </c>
      <c r="E7430" s="16" t="s">
        <v>113</v>
      </c>
      <c r="F7430" s="16" t="s">
        <v>114</v>
      </c>
      <c r="G7430" s="22">
        <v>200</v>
      </c>
      <c r="H7430" s="18">
        <v>57.5</v>
      </c>
      <c r="I7430" s="18">
        <v>0.28749999999999998</v>
      </c>
      <c r="J7430" s="18">
        <v>0.28999999999999998</v>
      </c>
      <c r="K7430" s="18">
        <v>0.28000000000000003</v>
      </c>
      <c r="L7430" s="22">
        <v>4</v>
      </c>
    </row>
    <row r="7431" spans="1:12">
      <c r="A7431">
        <v>8</v>
      </c>
      <c r="B7431" s="16" t="s">
        <v>63</v>
      </c>
      <c r="C7431" s="9">
        <v>46113</v>
      </c>
      <c r="D7431">
        <v>25</v>
      </c>
      <c r="E7431" s="16" t="s">
        <v>113</v>
      </c>
      <c r="F7431" s="16" t="s">
        <v>114</v>
      </c>
      <c r="G7431" s="22">
        <v>300</v>
      </c>
      <c r="H7431" s="18">
        <v>87.5</v>
      </c>
      <c r="I7431" s="18">
        <v>0.29166666699999999</v>
      </c>
      <c r="J7431" s="18">
        <v>0.3</v>
      </c>
      <c r="K7431" s="18">
        <v>0.28999999999999998</v>
      </c>
      <c r="L7431" s="22">
        <v>6</v>
      </c>
    </row>
    <row r="7432" spans="1:12">
      <c r="A7432">
        <v>8</v>
      </c>
      <c r="B7432" s="16" t="s">
        <v>63</v>
      </c>
      <c r="C7432" s="9">
        <v>46143</v>
      </c>
      <c r="D7432">
        <v>25</v>
      </c>
      <c r="E7432" s="16" t="s">
        <v>113</v>
      </c>
      <c r="F7432" s="16" t="s">
        <v>114</v>
      </c>
      <c r="G7432" s="22">
        <v>250</v>
      </c>
      <c r="H7432" s="18">
        <v>73.5</v>
      </c>
      <c r="I7432" s="18">
        <v>0.29399999999999998</v>
      </c>
      <c r="J7432" s="18">
        <v>0.3</v>
      </c>
      <c r="K7432" s="18">
        <v>0.28999999999999998</v>
      </c>
      <c r="L7432" s="22">
        <v>5</v>
      </c>
    </row>
    <row r="7433" spans="1:12">
      <c r="A7433">
        <v>8</v>
      </c>
      <c r="B7433" s="16" t="s">
        <v>63</v>
      </c>
      <c r="C7433" s="9">
        <v>46174</v>
      </c>
      <c r="D7433">
        <v>25</v>
      </c>
      <c r="E7433" s="16" t="s">
        <v>113</v>
      </c>
      <c r="F7433" s="16" t="s">
        <v>114</v>
      </c>
      <c r="G7433" s="22">
        <v>150</v>
      </c>
      <c r="H7433" s="18">
        <v>43.5</v>
      </c>
      <c r="I7433" s="18">
        <v>0.28999999999999998</v>
      </c>
      <c r="J7433" s="18">
        <v>0.28999999999999998</v>
      </c>
      <c r="K7433" s="18">
        <v>0.28999999999999998</v>
      </c>
      <c r="L7433" s="22">
        <v>3</v>
      </c>
    </row>
    <row r="7434" spans="1:12">
      <c r="A7434">
        <v>8</v>
      </c>
      <c r="B7434" s="16" t="s">
        <v>63</v>
      </c>
      <c r="C7434" s="9">
        <v>46204</v>
      </c>
      <c r="D7434">
        <v>25</v>
      </c>
      <c r="E7434" s="16" t="s">
        <v>113</v>
      </c>
      <c r="F7434" s="16" t="s">
        <v>114</v>
      </c>
      <c r="G7434" s="22">
        <v>250</v>
      </c>
      <c r="H7434" s="18">
        <v>73.5</v>
      </c>
      <c r="I7434" s="18">
        <v>0.29399999999999998</v>
      </c>
      <c r="J7434" s="18">
        <v>0.3</v>
      </c>
      <c r="K7434" s="18">
        <v>0.28999999999999998</v>
      </c>
      <c r="L7434" s="22">
        <v>5</v>
      </c>
    </row>
    <row r="7435" spans="1:12">
      <c r="A7435">
        <v>8</v>
      </c>
      <c r="B7435" s="16" t="s">
        <v>63</v>
      </c>
      <c r="C7435" s="9">
        <v>46235</v>
      </c>
      <c r="D7435">
        <v>25</v>
      </c>
      <c r="E7435" s="16" t="s">
        <v>113</v>
      </c>
      <c r="F7435" s="16" t="s">
        <v>114</v>
      </c>
      <c r="G7435" s="22">
        <v>200</v>
      </c>
      <c r="H7435" s="18">
        <v>58.5</v>
      </c>
      <c r="I7435" s="18">
        <v>0.29249999999999998</v>
      </c>
      <c r="J7435" s="18">
        <v>0.3</v>
      </c>
      <c r="K7435" s="18">
        <v>0.28999999999999998</v>
      </c>
      <c r="L7435" s="22">
        <v>4</v>
      </c>
    </row>
    <row r="7436" spans="1:12">
      <c r="A7436">
        <v>8</v>
      </c>
      <c r="B7436" s="16" t="s">
        <v>63</v>
      </c>
      <c r="C7436" s="9">
        <v>46266</v>
      </c>
      <c r="D7436">
        <v>25</v>
      </c>
      <c r="E7436" s="16" t="s">
        <v>113</v>
      </c>
      <c r="F7436" s="16" t="s">
        <v>114</v>
      </c>
      <c r="G7436" s="22">
        <v>200</v>
      </c>
      <c r="H7436" s="18">
        <v>59.5</v>
      </c>
      <c r="I7436" s="18">
        <v>0.29749999999999999</v>
      </c>
      <c r="J7436" s="18">
        <v>0.3</v>
      </c>
      <c r="K7436" s="18">
        <v>0.28999999999999998</v>
      </c>
      <c r="L7436" s="22">
        <v>4</v>
      </c>
    </row>
    <row r="7437" spans="1:12">
      <c r="A7437">
        <v>8</v>
      </c>
      <c r="B7437" s="16" t="s">
        <v>63</v>
      </c>
      <c r="C7437" s="9">
        <v>45689</v>
      </c>
      <c r="D7437">
        <v>26</v>
      </c>
      <c r="E7437" s="16" t="s">
        <v>115</v>
      </c>
      <c r="F7437" s="16" t="s">
        <v>90</v>
      </c>
      <c r="G7437" s="22">
        <v>2.5</v>
      </c>
      <c r="H7437" s="18">
        <v>17.05</v>
      </c>
      <c r="I7437" s="18">
        <v>6.82</v>
      </c>
      <c r="J7437" s="18">
        <v>6.82</v>
      </c>
      <c r="K7437" s="18">
        <v>6.82</v>
      </c>
      <c r="L7437" s="22">
        <v>2</v>
      </c>
    </row>
    <row r="7438" spans="1:12">
      <c r="A7438">
        <v>8</v>
      </c>
      <c r="B7438" s="16" t="s">
        <v>63</v>
      </c>
      <c r="C7438" s="9">
        <v>45717</v>
      </c>
      <c r="D7438">
        <v>26</v>
      </c>
      <c r="E7438" s="16" t="s">
        <v>115</v>
      </c>
      <c r="F7438" s="16" t="s">
        <v>90</v>
      </c>
      <c r="G7438" s="22">
        <v>1.25</v>
      </c>
      <c r="H7438" s="18">
        <v>8.5875000000000004</v>
      </c>
      <c r="I7438" s="18">
        <v>6.87</v>
      </c>
      <c r="J7438" s="18">
        <v>6.87</v>
      </c>
      <c r="K7438" s="18">
        <v>6.87</v>
      </c>
      <c r="L7438" s="22">
        <v>1</v>
      </c>
    </row>
    <row r="7439" spans="1:12">
      <c r="A7439">
        <v>8</v>
      </c>
      <c r="B7439" s="16" t="s">
        <v>63</v>
      </c>
      <c r="C7439" s="9">
        <v>45748</v>
      </c>
      <c r="D7439">
        <v>26</v>
      </c>
      <c r="E7439" s="16" t="s">
        <v>115</v>
      </c>
      <c r="F7439" s="16" t="s">
        <v>90</v>
      </c>
      <c r="G7439" s="22">
        <v>2.5</v>
      </c>
      <c r="H7439" s="18">
        <v>17.2</v>
      </c>
      <c r="I7439" s="18">
        <v>6.88</v>
      </c>
      <c r="J7439" s="18">
        <v>6.9</v>
      </c>
      <c r="K7439" s="18">
        <v>6.86</v>
      </c>
      <c r="L7439" s="22">
        <v>2</v>
      </c>
    </row>
    <row r="7440" spans="1:12">
      <c r="A7440">
        <v>8</v>
      </c>
      <c r="B7440" s="16" t="s">
        <v>63</v>
      </c>
      <c r="C7440" s="9">
        <v>45778</v>
      </c>
      <c r="D7440">
        <v>26</v>
      </c>
      <c r="E7440" s="16" t="s">
        <v>115</v>
      </c>
      <c r="F7440" s="16" t="s">
        <v>90</v>
      </c>
      <c r="G7440" s="22">
        <v>2.5</v>
      </c>
      <c r="H7440" s="18">
        <v>17.262499999999999</v>
      </c>
      <c r="I7440" s="18">
        <v>6.9050000000000002</v>
      </c>
      <c r="J7440" s="18">
        <v>6.92</v>
      </c>
      <c r="K7440" s="18">
        <v>6.89</v>
      </c>
      <c r="L7440" s="22">
        <v>2</v>
      </c>
    </row>
    <row r="7441" spans="1:12">
      <c r="A7441">
        <v>8</v>
      </c>
      <c r="B7441" s="16" t="s">
        <v>63</v>
      </c>
      <c r="C7441" s="9">
        <v>45809</v>
      </c>
      <c r="D7441">
        <v>26</v>
      </c>
      <c r="E7441" s="16" t="s">
        <v>115</v>
      </c>
      <c r="F7441" s="16" t="s">
        <v>90</v>
      </c>
      <c r="G7441" s="22">
        <v>1.25</v>
      </c>
      <c r="H7441" s="18">
        <v>8.6</v>
      </c>
      <c r="I7441" s="18">
        <v>6.88</v>
      </c>
      <c r="J7441" s="18">
        <v>6.88</v>
      </c>
      <c r="K7441" s="18">
        <v>6.88</v>
      </c>
      <c r="L7441" s="22">
        <v>1</v>
      </c>
    </row>
    <row r="7442" spans="1:12">
      <c r="A7442">
        <v>8</v>
      </c>
      <c r="B7442" s="16" t="s">
        <v>63</v>
      </c>
      <c r="C7442" s="9">
        <v>45839</v>
      </c>
      <c r="D7442">
        <v>26</v>
      </c>
      <c r="E7442" s="16" t="s">
        <v>115</v>
      </c>
      <c r="F7442" s="16" t="s">
        <v>90</v>
      </c>
      <c r="G7442" s="22">
        <v>1.25</v>
      </c>
      <c r="H7442" s="18">
        <v>8.875</v>
      </c>
      <c r="I7442" s="18">
        <v>7.1</v>
      </c>
      <c r="J7442" s="18">
        <v>7.1</v>
      </c>
      <c r="K7442" s="18">
        <v>7.1</v>
      </c>
      <c r="L7442" s="22">
        <v>1</v>
      </c>
    </row>
    <row r="7443" spans="1:12">
      <c r="A7443">
        <v>8</v>
      </c>
      <c r="B7443" s="16" t="s">
        <v>63</v>
      </c>
      <c r="C7443" s="9">
        <v>45870</v>
      </c>
      <c r="D7443">
        <v>26</v>
      </c>
      <c r="E7443" s="16" t="s">
        <v>115</v>
      </c>
      <c r="F7443" s="16" t="s">
        <v>90</v>
      </c>
      <c r="G7443" s="22">
        <v>1.25</v>
      </c>
      <c r="H7443" s="18">
        <v>8.7750000000000004</v>
      </c>
      <c r="I7443" s="18">
        <v>7.02</v>
      </c>
      <c r="J7443" s="18">
        <v>7.02</v>
      </c>
      <c r="K7443" s="18">
        <v>7.02</v>
      </c>
      <c r="L7443" s="22">
        <v>1</v>
      </c>
    </row>
    <row r="7444" spans="1:12">
      <c r="A7444">
        <v>8</v>
      </c>
      <c r="B7444" s="16" t="s">
        <v>63</v>
      </c>
      <c r="C7444" s="9">
        <v>45901</v>
      </c>
      <c r="D7444">
        <v>26</v>
      </c>
      <c r="E7444" s="16" t="s">
        <v>115</v>
      </c>
      <c r="F7444" s="16" t="s">
        <v>90</v>
      </c>
      <c r="G7444" s="22">
        <v>2.5</v>
      </c>
      <c r="H7444" s="18">
        <v>17.612500000000001</v>
      </c>
      <c r="I7444" s="18">
        <v>7.0449999999999999</v>
      </c>
      <c r="J7444" s="18">
        <v>7.1</v>
      </c>
      <c r="K7444" s="18">
        <v>6.99</v>
      </c>
      <c r="L7444" s="22">
        <v>2</v>
      </c>
    </row>
    <row r="7445" spans="1:12">
      <c r="A7445">
        <v>8</v>
      </c>
      <c r="B7445" s="16" t="s">
        <v>63</v>
      </c>
      <c r="C7445" s="9">
        <v>45931</v>
      </c>
      <c r="D7445">
        <v>26</v>
      </c>
      <c r="E7445" s="16" t="s">
        <v>115</v>
      </c>
      <c r="F7445" s="16" t="s">
        <v>90</v>
      </c>
      <c r="G7445" s="22">
        <v>1.25</v>
      </c>
      <c r="H7445" s="18">
        <v>8.7874999999999996</v>
      </c>
      <c r="I7445" s="18">
        <v>7.03</v>
      </c>
      <c r="J7445" s="18">
        <v>7.03</v>
      </c>
      <c r="K7445" s="18">
        <v>7.03</v>
      </c>
      <c r="L7445" s="22">
        <v>1</v>
      </c>
    </row>
    <row r="7446" spans="1:12">
      <c r="A7446">
        <v>8</v>
      </c>
      <c r="B7446" s="16" t="s">
        <v>63</v>
      </c>
      <c r="C7446" s="9">
        <v>45962</v>
      </c>
      <c r="D7446">
        <v>26</v>
      </c>
      <c r="E7446" s="16" t="s">
        <v>115</v>
      </c>
      <c r="F7446" s="16" t="s">
        <v>90</v>
      </c>
      <c r="G7446" s="22">
        <v>2.5</v>
      </c>
      <c r="H7446" s="18">
        <v>17.725000000000001</v>
      </c>
      <c r="I7446" s="18">
        <v>7.09</v>
      </c>
      <c r="J7446" s="18">
        <v>7.18</v>
      </c>
      <c r="K7446" s="18">
        <v>7</v>
      </c>
      <c r="L7446" s="22">
        <v>2</v>
      </c>
    </row>
    <row r="7447" spans="1:12">
      <c r="A7447">
        <v>8</v>
      </c>
      <c r="B7447" s="16" t="s">
        <v>63</v>
      </c>
      <c r="C7447" s="9">
        <v>45992</v>
      </c>
      <c r="D7447">
        <v>26</v>
      </c>
      <c r="E7447" s="16" t="s">
        <v>115</v>
      </c>
      <c r="F7447" s="16" t="s">
        <v>90</v>
      </c>
      <c r="G7447" s="22">
        <v>1.25</v>
      </c>
      <c r="H7447" s="18">
        <v>8.8249999999999993</v>
      </c>
      <c r="I7447" s="18">
        <v>7.06</v>
      </c>
      <c r="J7447" s="18">
        <v>7.06</v>
      </c>
      <c r="K7447" s="18">
        <v>7.06</v>
      </c>
      <c r="L7447" s="22">
        <v>1</v>
      </c>
    </row>
    <row r="7448" spans="1:12">
      <c r="A7448">
        <v>8</v>
      </c>
      <c r="B7448" s="16" t="s">
        <v>63</v>
      </c>
      <c r="C7448" s="9">
        <v>46023</v>
      </c>
      <c r="D7448">
        <v>26</v>
      </c>
      <c r="E7448" s="16" t="s">
        <v>115</v>
      </c>
      <c r="F7448" s="16" t="s">
        <v>90</v>
      </c>
      <c r="G7448" s="22">
        <v>1.25</v>
      </c>
      <c r="H7448" s="18">
        <v>9</v>
      </c>
      <c r="I7448" s="18">
        <v>7.2</v>
      </c>
      <c r="J7448" s="18">
        <v>7.2</v>
      </c>
      <c r="K7448" s="18">
        <v>7.2</v>
      </c>
      <c r="L7448" s="22">
        <v>1</v>
      </c>
    </row>
    <row r="7449" spans="1:12">
      <c r="A7449">
        <v>8</v>
      </c>
      <c r="B7449" s="16" t="s">
        <v>63</v>
      </c>
      <c r="C7449" s="9">
        <v>46054</v>
      </c>
      <c r="D7449">
        <v>26</v>
      </c>
      <c r="E7449" s="16" t="s">
        <v>115</v>
      </c>
      <c r="F7449" s="16" t="s">
        <v>90</v>
      </c>
      <c r="G7449" s="22">
        <v>2.5</v>
      </c>
      <c r="H7449" s="18">
        <v>17.649999999999999</v>
      </c>
      <c r="I7449" s="18">
        <v>7.06</v>
      </c>
      <c r="J7449" s="18">
        <v>7.1</v>
      </c>
      <c r="K7449" s="18">
        <v>7.02</v>
      </c>
      <c r="L7449" s="22">
        <v>2</v>
      </c>
    </row>
    <row r="7450" spans="1:12">
      <c r="A7450">
        <v>8</v>
      </c>
      <c r="B7450" s="16" t="s">
        <v>63</v>
      </c>
      <c r="C7450" s="9">
        <v>46082</v>
      </c>
      <c r="D7450">
        <v>26</v>
      </c>
      <c r="E7450" s="16" t="s">
        <v>115</v>
      </c>
      <c r="F7450" s="16" t="s">
        <v>90</v>
      </c>
      <c r="G7450" s="22">
        <v>1.25</v>
      </c>
      <c r="H7450" s="18">
        <v>8.9124999999999996</v>
      </c>
      <c r="I7450" s="18">
        <v>7.13</v>
      </c>
      <c r="J7450" s="18">
        <v>7.13</v>
      </c>
      <c r="K7450" s="18">
        <v>7.13</v>
      </c>
      <c r="L7450" s="22">
        <v>1</v>
      </c>
    </row>
    <row r="7451" spans="1:12">
      <c r="A7451">
        <v>8</v>
      </c>
      <c r="B7451" s="16" t="s">
        <v>63</v>
      </c>
      <c r="C7451" s="9">
        <v>46113</v>
      </c>
      <c r="D7451">
        <v>26</v>
      </c>
      <c r="E7451" s="16" t="s">
        <v>115</v>
      </c>
      <c r="F7451" s="16" t="s">
        <v>90</v>
      </c>
      <c r="G7451" s="22">
        <v>1.25</v>
      </c>
      <c r="H7451" s="18">
        <v>9.0625</v>
      </c>
      <c r="I7451" s="18">
        <v>7.25</v>
      </c>
      <c r="J7451" s="18">
        <v>7.25</v>
      </c>
      <c r="K7451" s="18">
        <v>7.25</v>
      </c>
      <c r="L7451" s="22">
        <v>1</v>
      </c>
    </row>
    <row r="7452" spans="1:12">
      <c r="A7452">
        <v>8</v>
      </c>
      <c r="B7452" s="16" t="s">
        <v>63</v>
      </c>
      <c r="C7452" s="9">
        <v>46143</v>
      </c>
      <c r="D7452">
        <v>26</v>
      </c>
      <c r="E7452" s="16" t="s">
        <v>115</v>
      </c>
      <c r="F7452" s="16" t="s">
        <v>90</v>
      </c>
      <c r="G7452" s="22">
        <v>2.5</v>
      </c>
      <c r="H7452" s="18">
        <v>17.7</v>
      </c>
      <c r="I7452" s="18">
        <v>7.08</v>
      </c>
      <c r="J7452" s="18">
        <v>7.2</v>
      </c>
      <c r="K7452" s="18">
        <v>6.96</v>
      </c>
      <c r="L7452" s="22">
        <v>2</v>
      </c>
    </row>
    <row r="7453" spans="1:12">
      <c r="A7453">
        <v>8</v>
      </c>
      <c r="B7453" s="16" t="s">
        <v>63</v>
      </c>
      <c r="C7453" s="9">
        <v>46204</v>
      </c>
      <c r="D7453">
        <v>26</v>
      </c>
      <c r="E7453" s="16" t="s">
        <v>115</v>
      </c>
      <c r="F7453" s="16" t="s">
        <v>90</v>
      </c>
      <c r="G7453" s="22">
        <v>1.25</v>
      </c>
      <c r="H7453" s="18">
        <v>8.8125</v>
      </c>
      <c r="I7453" s="18">
        <v>7.05</v>
      </c>
      <c r="J7453" s="18">
        <v>7.05</v>
      </c>
      <c r="K7453" s="18">
        <v>7.05</v>
      </c>
      <c r="L7453" s="22">
        <v>1</v>
      </c>
    </row>
    <row r="7454" spans="1:12">
      <c r="A7454">
        <v>8</v>
      </c>
      <c r="B7454" s="16" t="s">
        <v>63</v>
      </c>
      <c r="C7454" s="9">
        <v>46235</v>
      </c>
      <c r="D7454">
        <v>26</v>
      </c>
      <c r="E7454" s="16" t="s">
        <v>115</v>
      </c>
      <c r="F7454" s="16" t="s">
        <v>90</v>
      </c>
      <c r="G7454" s="22">
        <v>1.25</v>
      </c>
      <c r="H7454" s="18">
        <v>8.8249999999999993</v>
      </c>
      <c r="I7454" s="18">
        <v>7.06</v>
      </c>
      <c r="J7454" s="18">
        <v>7.06</v>
      </c>
      <c r="K7454" s="18">
        <v>7.06</v>
      </c>
      <c r="L7454" s="22">
        <v>1</v>
      </c>
    </row>
    <row r="7455" spans="1:12">
      <c r="A7455">
        <v>8</v>
      </c>
      <c r="B7455" s="16" t="s">
        <v>63</v>
      </c>
      <c r="C7455" s="9">
        <v>46266</v>
      </c>
      <c r="D7455">
        <v>26</v>
      </c>
      <c r="E7455" s="16" t="s">
        <v>115</v>
      </c>
      <c r="F7455" s="16" t="s">
        <v>90</v>
      </c>
      <c r="G7455" s="22">
        <v>1.25</v>
      </c>
      <c r="H7455" s="18">
        <v>8.85</v>
      </c>
      <c r="I7455" s="18">
        <v>7.08</v>
      </c>
      <c r="J7455" s="18">
        <v>7.08</v>
      </c>
      <c r="K7455" s="18">
        <v>7.08</v>
      </c>
      <c r="L7455" s="22">
        <v>1</v>
      </c>
    </row>
    <row r="7456" spans="1:12">
      <c r="A7456">
        <v>8</v>
      </c>
      <c r="B7456" s="16" t="s">
        <v>63</v>
      </c>
      <c r="C7456" s="9">
        <v>45689</v>
      </c>
      <c r="D7456">
        <v>27</v>
      </c>
      <c r="E7456" s="16" t="s">
        <v>116</v>
      </c>
      <c r="F7456" s="16" t="s">
        <v>90</v>
      </c>
      <c r="G7456" s="22">
        <v>6.25</v>
      </c>
      <c r="H7456" s="18">
        <v>5.5625</v>
      </c>
      <c r="I7456" s="18">
        <v>0.89</v>
      </c>
      <c r="J7456" s="18">
        <v>0.89</v>
      </c>
      <c r="K7456" s="18">
        <v>0.89</v>
      </c>
      <c r="L7456" s="22">
        <v>1</v>
      </c>
    </row>
    <row r="7457" spans="1:12">
      <c r="A7457">
        <v>8</v>
      </c>
      <c r="B7457" s="16" t="s">
        <v>63</v>
      </c>
      <c r="C7457" s="9">
        <v>45717</v>
      </c>
      <c r="D7457">
        <v>27</v>
      </c>
      <c r="E7457" s="16" t="s">
        <v>116</v>
      </c>
      <c r="F7457" s="16" t="s">
        <v>90</v>
      </c>
      <c r="G7457" s="22">
        <v>12.5</v>
      </c>
      <c r="H7457" s="18">
        <v>11</v>
      </c>
      <c r="I7457" s="18">
        <v>0.88</v>
      </c>
      <c r="J7457" s="18">
        <v>0.89</v>
      </c>
      <c r="K7457" s="18">
        <v>0.87</v>
      </c>
      <c r="L7457" s="22">
        <v>2</v>
      </c>
    </row>
    <row r="7458" spans="1:12">
      <c r="A7458">
        <v>8</v>
      </c>
      <c r="B7458" s="16" t="s">
        <v>63</v>
      </c>
      <c r="C7458" s="9">
        <v>45748</v>
      </c>
      <c r="D7458">
        <v>27</v>
      </c>
      <c r="E7458" s="16" t="s">
        <v>116</v>
      </c>
      <c r="F7458" s="16" t="s">
        <v>90</v>
      </c>
      <c r="G7458" s="22">
        <v>6.25</v>
      </c>
      <c r="H7458" s="18">
        <v>5.625</v>
      </c>
      <c r="I7458" s="18">
        <v>0.9</v>
      </c>
      <c r="J7458" s="18">
        <v>0.9</v>
      </c>
      <c r="K7458" s="18">
        <v>0.9</v>
      </c>
      <c r="L7458" s="22">
        <v>1</v>
      </c>
    </row>
    <row r="7459" spans="1:12">
      <c r="A7459">
        <v>8</v>
      </c>
      <c r="B7459" s="16" t="s">
        <v>63</v>
      </c>
      <c r="C7459" s="9">
        <v>45778</v>
      </c>
      <c r="D7459">
        <v>27</v>
      </c>
      <c r="E7459" s="16" t="s">
        <v>116</v>
      </c>
      <c r="F7459" s="16" t="s">
        <v>90</v>
      </c>
      <c r="G7459" s="22">
        <v>12.5</v>
      </c>
      <c r="H7459" s="18">
        <v>11.25</v>
      </c>
      <c r="I7459" s="18">
        <v>0.9</v>
      </c>
      <c r="J7459" s="18">
        <v>0.9</v>
      </c>
      <c r="K7459" s="18">
        <v>0.9</v>
      </c>
      <c r="L7459" s="22">
        <v>2</v>
      </c>
    </row>
    <row r="7460" spans="1:12">
      <c r="A7460">
        <v>8</v>
      </c>
      <c r="B7460" s="16" t="s">
        <v>63</v>
      </c>
      <c r="C7460" s="9">
        <v>45809</v>
      </c>
      <c r="D7460">
        <v>27</v>
      </c>
      <c r="E7460" s="16" t="s">
        <v>116</v>
      </c>
      <c r="F7460" s="16" t="s">
        <v>90</v>
      </c>
      <c r="G7460" s="22">
        <v>6.25</v>
      </c>
      <c r="H7460" s="18">
        <v>5.625</v>
      </c>
      <c r="I7460" s="18">
        <v>0.9</v>
      </c>
      <c r="J7460" s="18">
        <v>0.9</v>
      </c>
      <c r="K7460" s="18">
        <v>0.9</v>
      </c>
      <c r="L7460" s="22">
        <v>1</v>
      </c>
    </row>
    <row r="7461" spans="1:12">
      <c r="A7461">
        <v>8</v>
      </c>
      <c r="B7461" s="16" t="s">
        <v>63</v>
      </c>
      <c r="C7461" s="9">
        <v>45839</v>
      </c>
      <c r="D7461">
        <v>27</v>
      </c>
      <c r="E7461" s="16" t="s">
        <v>116</v>
      </c>
      <c r="F7461" s="16" t="s">
        <v>90</v>
      </c>
      <c r="G7461" s="22">
        <v>12.5</v>
      </c>
      <c r="H7461" s="18">
        <v>11.3125</v>
      </c>
      <c r="I7461" s="18">
        <v>0.90500000000000003</v>
      </c>
      <c r="J7461" s="18">
        <v>0.92</v>
      </c>
      <c r="K7461" s="18">
        <v>0.89</v>
      </c>
      <c r="L7461" s="22">
        <v>2</v>
      </c>
    </row>
    <row r="7462" spans="1:12">
      <c r="A7462">
        <v>8</v>
      </c>
      <c r="B7462" s="16" t="s">
        <v>63</v>
      </c>
      <c r="C7462" s="9">
        <v>45870</v>
      </c>
      <c r="D7462">
        <v>27</v>
      </c>
      <c r="E7462" s="16" t="s">
        <v>116</v>
      </c>
      <c r="F7462" s="16" t="s">
        <v>90</v>
      </c>
      <c r="G7462" s="22">
        <v>12.5</v>
      </c>
      <c r="H7462" s="18">
        <v>11.4375</v>
      </c>
      <c r="I7462" s="18">
        <v>0.91500000000000004</v>
      </c>
      <c r="J7462" s="18">
        <v>0.92</v>
      </c>
      <c r="K7462" s="18">
        <v>0.91</v>
      </c>
      <c r="L7462" s="22">
        <v>2</v>
      </c>
    </row>
    <row r="7463" spans="1:12">
      <c r="A7463">
        <v>8</v>
      </c>
      <c r="B7463" s="16" t="s">
        <v>63</v>
      </c>
      <c r="C7463" s="9">
        <v>45901</v>
      </c>
      <c r="D7463">
        <v>27</v>
      </c>
      <c r="E7463" s="16" t="s">
        <v>116</v>
      </c>
      <c r="F7463" s="16" t="s">
        <v>90</v>
      </c>
      <c r="G7463" s="22">
        <v>6.25</v>
      </c>
      <c r="H7463" s="18">
        <v>5.75</v>
      </c>
      <c r="I7463" s="18">
        <v>0.92</v>
      </c>
      <c r="J7463" s="18">
        <v>0.92</v>
      </c>
      <c r="K7463" s="18">
        <v>0.92</v>
      </c>
      <c r="L7463" s="22">
        <v>1</v>
      </c>
    </row>
    <row r="7464" spans="1:12">
      <c r="A7464">
        <v>8</v>
      </c>
      <c r="B7464" s="16" t="s">
        <v>63</v>
      </c>
      <c r="C7464" s="9">
        <v>45931</v>
      </c>
      <c r="D7464">
        <v>27</v>
      </c>
      <c r="E7464" s="16" t="s">
        <v>116</v>
      </c>
      <c r="F7464" s="16" t="s">
        <v>90</v>
      </c>
      <c r="G7464" s="22">
        <v>12.5</v>
      </c>
      <c r="H7464" s="18">
        <v>11.625</v>
      </c>
      <c r="I7464" s="18">
        <v>0.93</v>
      </c>
      <c r="J7464" s="18">
        <v>0.94</v>
      </c>
      <c r="K7464" s="18">
        <v>0.92</v>
      </c>
      <c r="L7464" s="22">
        <v>2</v>
      </c>
    </row>
    <row r="7465" spans="1:12">
      <c r="A7465">
        <v>8</v>
      </c>
      <c r="B7465" s="16" t="s">
        <v>63</v>
      </c>
      <c r="C7465" s="9">
        <v>45962</v>
      </c>
      <c r="D7465">
        <v>27</v>
      </c>
      <c r="E7465" s="16" t="s">
        <v>116</v>
      </c>
      <c r="F7465" s="16" t="s">
        <v>90</v>
      </c>
      <c r="G7465" s="22">
        <v>6.25</v>
      </c>
      <c r="H7465" s="18">
        <v>5.8125</v>
      </c>
      <c r="I7465" s="18">
        <v>0.93</v>
      </c>
      <c r="J7465" s="18">
        <v>0.93</v>
      </c>
      <c r="K7465" s="18">
        <v>0.93</v>
      </c>
      <c r="L7465" s="22">
        <v>1</v>
      </c>
    </row>
    <row r="7466" spans="1:12">
      <c r="A7466">
        <v>8</v>
      </c>
      <c r="B7466" s="16" t="s">
        <v>63</v>
      </c>
      <c r="C7466" s="9">
        <v>45992</v>
      </c>
      <c r="D7466">
        <v>27</v>
      </c>
      <c r="E7466" s="16" t="s">
        <v>116</v>
      </c>
      <c r="F7466" s="16" t="s">
        <v>90</v>
      </c>
      <c r="G7466" s="22">
        <v>12.5</v>
      </c>
      <c r="H7466" s="18">
        <v>11.625</v>
      </c>
      <c r="I7466" s="18">
        <v>0.93</v>
      </c>
      <c r="J7466" s="18">
        <v>0.93</v>
      </c>
      <c r="K7466" s="18">
        <v>0.93</v>
      </c>
      <c r="L7466" s="22">
        <v>2</v>
      </c>
    </row>
    <row r="7467" spans="1:12">
      <c r="A7467">
        <v>8</v>
      </c>
      <c r="B7467" s="16" t="s">
        <v>63</v>
      </c>
      <c r="C7467" s="9">
        <v>46023</v>
      </c>
      <c r="D7467">
        <v>27</v>
      </c>
      <c r="E7467" s="16" t="s">
        <v>116</v>
      </c>
      <c r="F7467" s="16" t="s">
        <v>90</v>
      </c>
      <c r="G7467" s="22">
        <v>6.25</v>
      </c>
      <c r="H7467" s="18">
        <v>5.875</v>
      </c>
      <c r="I7467" s="18">
        <v>0.94</v>
      </c>
      <c r="J7467" s="18">
        <v>0.94</v>
      </c>
      <c r="K7467" s="18">
        <v>0.94</v>
      </c>
      <c r="L7467" s="22">
        <v>1</v>
      </c>
    </row>
    <row r="7468" spans="1:12">
      <c r="A7468">
        <v>8</v>
      </c>
      <c r="B7468" s="16" t="s">
        <v>63</v>
      </c>
      <c r="C7468" s="9">
        <v>46054</v>
      </c>
      <c r="D7468">
        <v>27</v>
      </c>
      <c r="E7468" s="16" t="s">
        <v>116</v>
      </c>
      <c r="F7468" s="16" t="s">
        <v>90</v>
      </c>
      <c r="G7468" s="22">
        <v>6.25</v>
      </c>
      <c r="H7468" s="18">
        <v>5.75</v>
      </c>
      <c r="I7468" s="18">
        <v>0.92</v>
      </c>
      <c r="J7468" s="18">
        <v>0.92</v>
      </c>
      <c r="K7468" s="18">
        <v>0.92</v>
      </c>
      <c r="L7468" s="22">
        <v>1</v>
      </c>
    </row>
    <row r="7469" spans="1:12">
      <c r="A7469">
        <v>8</v>
      </c>
      <c r="B7469" s="16" t="s">
        <v>63</v>
      </c>
      <c r="C7469" s="9">
        <v>46082</v>
      </c>
      <c r="D7469">
        <v>27</v>
      </c>
      <c r="E7469" s="16" t="s">
        <v>116</v>
      </c>
      <c r="F7469" s="16" t="s">
        <v>90</v>
      </c>
      <c r="G7469" s="22">
        <v>6.25</v>
      </c>
      <c r="H7469" s="18">
        <v>5.875</v>
      </c>
      <c r="I7469" s="18">
        <v>0.94</v>
      </c>
      <c r="J7469" s="18">
        <v>0.94</v>
      </c>
      <c r="K7469" s="18">
        <v>0.94</v>
      </c>
      <c r="L7469" s="22">
        <v>1</v>
      </c>
    </row>
    <row r="7470" spans="1:12">
      <c r="A7470">
        <v>8</v>
      </c>
      <c r="B7470" s="16" t="s">
        <v>63</v>
      </c>
      <c r="C7470" s="9">
        <v>46113</v>
      </c>
      <c r="D7470">
        <v>27</v>
      </c>
      <c r="E7470" s="16" t="s">
        <v>116</v>
      </c>
      <c r="F7470" s="16" t="s">
        <v>90</v>
      </c>
      <c r="G7470" s="22">
        <v>6.25</v>
      </c>
      <c r="H7470" s="18">
        <v>5.9375</v>
      </c>
      <c r="I7470" s="18">
        <v>0.95</v>
      </c>
      <c r="J7470" s="18">
        <v>0.95</v>
      </c>
      <c r="K7470" s="18">
        <v>0.95</v>
      </c>
      <c r="L7470" s="22">
        <v>1</v>
      </c>
    </row>
    <row r="7471" spans="1:12">
      <c r="A7471">
        <v>8</v>
      </c>
      <c r="B7471" s="16" t="s">
        <v>63</v>
      </c>
      <c r="C7471" s="9">
        <v>46143</v>
      </c>
      <c r="D7471">
        <v>27</v>
      </c>
      <c r="E7471" s="16" t="s">
        <v>116</v>
      </c>
      <c r="F7471" s="16" t="s">
        <v>90</v>
      </c>
      <c r="G7471" s="22">
        <v>12.5</v>
      </c>
      <c r="H7471" s="18">
        <v>11.875</v>
      </c>
      <c r="I7471" s="18">
        <v>0.95</v>
      </c>
      <c r="J7471" s="18">
        <v>0.95</v>
      </c>
      <c r="K7471" s="18">
        <v>0.95</v>
      </c>
      <c r="L7471" s="22">
        <v>2</v>
      </c>
    </row>
    <row r="7472" spans="1:12">
      <c r="A7472">
        <v>8</v>
      </c>
      <c r="B7472" s="16" t="s">
        <v>63</v>
      </c>
      <c r="C7472" s="9">
        <v>46174</v>
      </c>
      <c r="D7472">
        <v>27</v>
      </c>
      <c r="E7472" s="16" t="s">
        <v>116</v>
      </c>
      <c r="F7472" s="16" t="s">
        <v>90</v>
      </c>
      <c r="G7472" s="22">
        <v>6.25</v>
      </c>
      <c r="H7472" s="18">
        <v>5.9375</v>
      </c>
      <c r="I7472" s="18">
        <v>0.95</v>
      </c>
      <c r="J7472" s="18">
        <v>0.95</v>
      </c>
      <c r="K7472" s="18">
        <v>0.95</v>
      </c>
      <c r="L7472" s="22">
        <v>1</v>
      </c>
    </row>
    <row r="7473" spans="1:12">
      <c r="A7473">
        <v>8</v>
      </c>
      <c r="B7473" s="16" t="s">
        <v>63</v>
      </c>
      <c r="C7473" s="9">
        <v>46204</v>
      </c>
      <c r="D7473">
        <v>27</v>
      </c>
      <c r="E7473" s="16" t="s">
        <v>116</v>
      </c>
      <c r="F7473" s="16" t="s">
        <v>90</v>
      </c>
      <c r="G7473" s="22">
        <v>6.25</v>
      </c>
      <c r="H7473" s="18">
        <v>6</v>
      </c>
      <c r="I7473" s="18">
        <v>0.96</v>
      </c>
      <c r="J7473" s="18">
        <v>0.96</v>
      </c>
      <c r="K7473" s="18">
        <v>0.96</v>
      </c>
      <c r="L7473" s="22">
        <v>1</v>
      </c>
    </row>
    <row r="7474" spans="1:12">
      <c r="A7474">
        <v>8</v>
      </c>
      <c r="B7474" s="16" t="s">
        <v>63</v>
      </c>
      <c r="C7474" s="9">
        <v>46235</v>
      </c>
      <c r="D7474">
        <v>27</v>
      </c>
      <c r="E7474" s="16" t="s">
        <v>116</v>
      </c>
      <c r="F7474" s="16" t="s">
        <v>90</v>
      </c>
      <c r="G7474" s="22">
        <v>6.25</v>
      </c>
      <c r="H7474" s="18">
        <v>5.6875</v>
      </c>
      <c r="I7474" s="18">
        <v>0.91</v>
      </c>
      <c r="J7474" s="18">
        <v>0.91</v>
      </c>
      <c r="K7474" s="18">
        <v>0.91</v>
      </c>
      <c r="L7474" s="22">
        <v>1</v>
      </c>
    </row>
    <row r="7475" spans="1:12">
      <c r="A7475">
        <v>8</v>
      </c>
      <c r="B7475" s="16" t="s">
        <v>63</v>
      </c>
      <c r="C7475" s="9">
        <v>46266</v>
      </c>
      <c r="D7475">
        <v>27</v>
      </c>
      <c r="E7475" s="16" t="s">
        <v>116</v>
      </c>
      <c r="F7475" s="16" t="s">
        <v>90</v>
      </c>
      <c r="G7475" s="22">
        <v>12.5</v>
      </c>
      <c r="H7475" s="18">
        <v>11.6875</v>
      </c>
      <c r="I7475" s="18">
        <v>0.93500000000000005</v>
      </c>
      <c r="J7475" s="18">
        <v>0.95</v>
      </c>
      <c r="K7475" s="18">
        <v>0.92</v>
      </c>
      <c r="L7475" s="22">
        <v>2</v>
      </c>
    </row>
    <row r="7476" spans="1:12">
      <c r="A7476">
        <v>8</v>
      </c>
      <c r="B7476" s="16" t="s">
        <v>63</v>
      </c>
      <c r="C7476" s="9">
        <v>45689</v>
      </c>
      <c r="D7476">
        <v>28</v>
      </c>
      <c r="E7476" s="16" t="s">
        <v>117</v>
      </c>
      <c r="F7476" s="16" t="s">
        <v>92</v>
      </c>
      <c r="G7476" s="22">
        <v>13.5</v>
      </c>
      <c r="H7476" s="18">
        <v>16.945</v>
      </c>
      <c r="I7476" s="18">
        <v>1.255185185</v>
      </c>
      <c r="J7476" s="18">
        <v>1.28</v>
      </c>
      <c r="K7476" s="18">
        <v>1.25</v>
      </c>
      <c r="L7476" s="22">
        <v>8</v>
      </c>
    </row>
    <row r="7477" spans="1:12">
      <c r="A7477">
        <v>8</v>
      </c>
      <c r="B7477" s="16" t="s">
        <v>63</v>
      </c>
      <c r="C7477" s="9">
        <v>45717</v>
      </c>
      <c r="D7477">
        <v>28</v>
      </c>
      <c r="E7477" s="16" t="s">
        <v>117</v>
      </c>
      <c r="F7477" s="16" t="s">
        <v>92</v>
      </c>
      <c r="G7477" s="22">
        <v>15.5</v>
      </c>
      <c r="H7477" s="18">
        <v>19.07</v>
      </c>
      <c r="I7477" s="18">
        <v>1.230322581</v>
      </c>
      <c r="J7477" s="18">
        <v>1.25</v>
      </c>
      <c r="K7477" s="18">
        <v>1.22</v>
      </c>
      <c r="L7477" s="22">
        <v>9</v>
      </c>
    </row>
    <row r="7478" spans="1:12">
      <c r="A7478">
        <v>8</v>
      </c>
      <c r="B7478" s="16" t="s">
        <v>63</v>
      </c>
      <c r="C7478" s="9">
        <v>45748</v>
      </c>
      <c r="D7478">
        <v>28</v>
      </c>
      <c r="E7478" s="16" t="s">
        <v>117</v>
      </c>
      <c r="F7478" s="16" t="s">
        <v>92</v>
      </c>
      <c r="G7478" s="22">
        <v>13.5</v>
      </c>
      <c r="H7478" s="18">
        <v>16.094999999999999</v>
      </c>
      <c r="I7478" s="18">
        <v>1.1922222220000001</v>
      </c>
      <c r="J7478" s="18">
        <v>1.21</v>
      </c>
      <c r="K7478" s="18">
        <v>1.17</v>
      </c>
      <c r="L7478" s="22">
        <v>8</v>
      </c>
    </row>
    <row r="7479" spans="1:12">
      <c r="A7479">
        <v>8</v>
      </c>
      <c r="B7479" s="16" t="s">
        <v>63</v>
      </c>
      <c r="C7479" s="9">
        <v>45778</v>
      </c>
      <c r="D7479">
        <v>28</v>
      </c>
      <c r="E7479" s="16" t="s">
        <v>117</v>
      </c>
      <c r="F7479" s="16" t="s">
        <v>92</v>
      </c>
      <c r="G7479" s="22">
        <v>17.5</v>
      </c>
      <c r="H7479" s="18">
        <v>19.91</v>
      </c>
      <c r="I7479" s="18">
        <v>1.137714286</v>
      </c>
      <c r="J7479" s="18">
        <v>1.1599999999999999</v>
      </c>
      <c r="K7479" s="18">
        <v>1.1200000000000001</v>
      </c>
      <c r="L7479" s="22">
        <v>9</v>
      </c>
    </row>
    <row r="7480" spans="1:12">
      <c r="A7480">
        <v>8</v>
      </c>
      <c r="B7480" s="16" t="s">
        <v>63</v>
      </c>
      <c r="C7480" s="9">
        <v>45809</v>
      </c>
      <c r="D7480">
        <v>28</v>
      </c>
      <c r="E7480" s="16" t="s">
        <v>117</v>
      </c>
      <c r="F7480" s="16" t="s">
        <v>92</v>
      </c>
      <c r="G7480" s="22">
        <v>15</v>
      </c>
      <c r="H7480" s="18">
        <v>16.565000000000001</v>
      </c>
      <c r="I7480" s="18">
        <v>1.104333333</v>
      </c>
      <c r="J7480" s="18">
        <v>1.1299999999999999</v>
      </c>
      <c r="K7480" s="18">
        <v>1.0900000000000001</v>
      </c>
      <c r="L7480" s="22">
        <v>9</v>
      </c>
    </row>
    <row r="7481" spans="1:12">
      <c r="A7481">
        <v>8</v>
      </c>
      <c r="B7481" s="16" t="s">
        <v>63</v>
      </c>
      <c r="C7481" s="9">
        <v>45839</v>
      </c>
      <c r="D7481">
        <v>28</v>
      </c>
      <c r="E7481" s="16" t="s">
        <v>117</v>
      </c>
      <c r="F7481" s="16" t="s">
        <v>92</v>
      </c>
      <c r="G7481" s="22">
        <v>13.5</v>
      </c>
      <c r="H7481" s="18">
        <v>14.865</v>
      </c>
      <c r="I7481" s="18">
        <v>1.101111111</v>
      </c>
      <c r="J7481" s="18">
        <v>1.1200000000000001</v>
      </c>
      <c r="K7481" s="18">
        <v>1.0900000000000001</v>
      </c>
      <c r="L7481" s="22">
        <v>9</v>
      </c>
    </row>
    <row r="7482" spans="1:12">
      <c r="A7482">
        <v>8</v>
      </c>
      <c r="B7482" s="16" t="s">
        <v>63</v>
      </c>
      <c r="C7482" s="9">
        <v>45870</v>
      </c>
      <c r="D7482">
        <v>28</v>
      </c>
      <c r="E7482" s="16" t="s">
        <v>117</v>
      </c>
      <c r="F7482" s="16" t="s">
        <v>92</v>
      </c>
      <c r="G7482" s="22">
        <v>12.5</v>
      </c>
      <c r="H7482" s="18">
        <v>13.855</v>
      </c>
      <c r="I7482" s="18">
        <v>1.1084000000000001</v>
      </c>
      <c r="J7482" s="18">
        <v>1.1299999999999999</v>
      </c>
      <c r="K7482" s="18">
        <v>1.0900000000000001</v>
      </c>
      <c r="L7482" s="22">
        <v>8</v>
      </c>
    </row>
    <row r="7483" spans="1:12">
      <c r="A7483">
        <v>8</v>
      </c>
      <c r="B7483" s="16" t="s">
        <v>63</v>
      </c>
      <c r="C7483" s="9">
        <v>45901</v>
      </c>
      <c r="D7483">
        <v>28</v>
      </c>
      <c r="E7483" s="16" t="s">
        <v>117</v>
      </c>
      <c r="F7483" s="16" t="s">
        <v>92</v>
      </c>
      <c r="G7483" s="22">
        <v>13.5</v>
      </c>
      <c r="H7483" s="18">
        <v>15.635</v>
      </c>
      <c r="I7483" s="18">
        <v>1.158148148</v>
      </c>
      <c r="J7483" s="18">
        <v>1.18</v>
      </c>
      <c r="K7483" s="18">
        <v>1.1299999999999999</v>
      </c>
      <c r="L7483" s="22">
        <v>9</v>
      </c>
    </row>
    <row r="7484" spans="1:12">
      <c r="A7484">
        <v>8</v>
      </c>
      <c r="B7484" s="16" t="s">
        <v>63</v>
      </c>
      <c r="C7484" s="9">
        <v>45931</v>
      </c>
      <c r="D7484">
        <v>28</v>
      </c>
      <c r="E7484" s="16" t="s">
        <v>117</v>
      </c>
      <c r="F7484" s="16" t="s">
        <v>92</v>
      </c>
      <c r="G7484" s="22">
        <v>15.5</v>
      </c>
      <c r="H7484" s="18">
        <v>18.8</v>
      </c>
      <c r="I7484" s="18">
        <v>1.2129032259999999</v>
      </c>
      <c r="J7484" s="18">
        <v>1.24</v>
      </c>
      <c r="K7484" s="18">
        <v>1.18</v>
      </c>
      <c r="L7484" s="22">
        <v>9</v>
      </c>
    </row>
    <row r="7485" spans="1:12">
      <c r="A7485">
        <v>8</v>
      </c>
      <c r="B7485" s="16" t="s">
        <v>63</v>
      </c>
      <c r="C7485" s="9">
        <v>45962</v>
      </c>
      <c r="D7485">
        <v>28</v>
      </c>
      <c r="E7485" s="16" t="s">
        <v>117</v>
      </c>
      <c r="F7485" s="16" t="s">
        <v>92</v>
      </c>
      <c r="G7485" s="22">
        <v>14.5</v>
      </c>
      <c r="H7485" s="18">
        <v>18.579999999999998</v>
      </c>
      <c r="I7485" s="18">
        <v>1.2813793099999999</v>
      </c>
      <c r="J7485" s="18">
        <v>1.35</v>
      </c>
      <c r="K7485" s="18">
        <v>1.25</v>
      </c>
      <c r="L7485" s="22">
        <v>8</v>
      </c>
    </row>
    <row r="7486" spans="1:12">
      <c r="A7486">
        <v>8</v>
      </c>
      <c r="B7486" s="16" t="s">
        <v>63</v>
      </c>
      <c r="C7486" s="9">
        <v>45992</v>
      </c>
      <c r="D7486">
        <v>28</v>
      </c>
      <c r="E7486" s="16" t="s">
        <v>117</v>
      </c>
      <c r="F7486" s="16" t="s">
        <v>92</v>
      </c>
      <c r="G7486" s="22">
        <v>15</v>
      </c>
      <c r="H7486" s="18">
        <v>19.52</v>
      </c>
      <c r="I7486" s="18">
        <v>1.3013333330000001</v>
      </c>
      <c r="J7486" s="18">
        <v>1.31</v>
      </c>
      <c r="K7486" s="18">
        <v>1.29</v>
      </c>
      <c r="L7486" s="22">
        <v>9</v>
      </c>
    </row>
    <row r="7487" spans="1:12">
      <c r="A7487">
        <v>8</v>
      </c>
      <c r="B7487" s="16" t="s">
        <v>63</v>
      </c>
      <c r="C7487" s="9">
        <v>46023</v>
      </c>
      <c r="D7487">
        <v>28</v>
      </c>
      <c r="E7487" s="16" t="s">
        <v>117</v>
      </c>
      <c r="F7487" s="16" t="s">
        <v>92</v>
      </c>
      <c r="G7487" s="22">
        <v>15.5</v>
      </c>
      <c r="H7487" s="18">
        <v>20.425000000000001</v>
      </c>
      <c r="I7487" s="18">
        <v>1.3177419349999999</v>
      </c>
      <c r="J7487" s="18">
        <v>1.34</v>
      </c>
      <c r="K7487" s="18">
        <v>1.29</v>
      </c>
      <c r="L7487" s="22">
        <v>9</v>
      </c>
    </row>
    <row r="7488" spans="1:12">
      <c r="A7488">
        <v>8</v>
      </c>
      <c r="B7488" s="16" t="s">
        <v>63</v>
      </c>
      <c r="C7488" s="9">
        <v>46054</v>
      </c>
      <c r="D7488">
        <v>28</v>
      </c>
      <c r="E7488" s="16" t="s">
        <v>117</v>
      </c>
      <c r="F7488" s="16" t="s">
        <v>92</v>
      </c>
      <c r="G7488" s="22">
        <v>16</v>
      </c>
      <c r="H7488" s="18">
        <v>20.885000000000002</v>
      </c>
      <c r="I7488" s="18">
        <v>1.3053125000000001</v>
      </c>
      <c r="J7488" s="18">
        <v>1.33</v>
      </c>
      <c r="K7488" s="18">
        <v>1.29</v>
      </c>
      <c r="L7488" s="22">
        <v>8</v>
      </c>
    </row>
    <row r="7489" spans="1:12">
      <c r="A7489">
        <v>8</v>
      </c>
      <c r="B7489" s="16" t="s">
        <v>63</v>
      </c>
      <c r="C7489" s="9">
        <v>46082</v>
      </c>
      <c r="D7489">
        <v>28</v>
      </c>
      <c r="E7489" s="16" t="s">
        <v>117</v>
      </c>
      <c r="F7489" s="16" t="s">
        <v>92</v>
      </c>
      <c r="G7489" s="22">
        <v>12.5</v>
      </c>
      <c r="H7489" s="18">
        <v>15.904999999999999</v>
      </c>
      <c r="I7489" s="18">
        <v>1.2724</v>
      </c>
      <c r="J7489" s="18">
        <v>1.3</v>
      </c>
      <c r="K7489" s="18">
        <v>1.25</v>
      </c>
      <c r="L7489" s="22">
        <v>9</v>
      </c>
    </row>
    <row r="7490" spans="1:12">
      <c r="A7490">
        <v>8</v>
      </c>
      <c r="B7490" s="16" t="s">
        <v>63</v>
      </c>
      <c r="C7490" s="9">
        <v>46113</v>
      </c>
      <c r="D7490">
        <v>28</v>
      </c>
      <c r="E7490" s="16" t="s">
        <v>117</v>
      </c>
      <c r="F7490" s="16" t="s">
        <v>92</v>
      </c>
      <c r="G7490" s="22">
        <v>12</v>
      </c>
      <c r="H7490" s="18">
        <v>14.654999999999999</v>
      </c>
      <c r="I7490" s="18">
        <v>1.2212499999999999</v>
      </c>
      <c r="J7490" s="18">
        <v>1.29</v>
      </c>
      <c r="K7490" s="18">
        <v>1.19</v>
      </c>
      <c r="L7490" s="22">
        <v>9</v>
      </c>
    </row>
    <row r="7491" spans="1:12">
      <c r="A7491">
        <v>8</v>
      </c>
      <c r="B7491" s="16" t="s">
        <v>63</v>
      </c>
      <c r="C7491" s="9">
        <v>46143</v>
      </c>
      <c r="D7491">
        <v>28</v>
      </c>
      <c r="E7491" s="16" t="s">
        <v>117</v>
      </c>
      <c r="F7491" s="16" t="s">
        <v>92</v>
      </c>
      <c r="G7491" s="22">
        <v>10.5</v>
      </c>
      <c r="H7491" s="18">
        <v>12.154999999999999</v>
      </c>
      <c r="I7491" s="18">
        <v>1.1576190479999999</v>
      </c>
      <c r="J7491" s="18">
        <v>1.19</v>
      </c>
      <c r="K7491" s="18">
        <v>1.1399999999999999</v>
      </c>
      <c r="L7491" s="22">
        <v>8</v>
      </c>
    </row>
    <row r="7492" spans="1:12">
      <c r="A7492">
        <v>8</v>
      </c>
      <c r="B7492" s="16" t="s">
        <v>63</v>
      </c>
      <c r="C7492" s="9">
        <v>46174</v>
      </c>
      <c r="D7492">
        <v>28</v>
      </c>
      <c r="E7492" s="16" t="s">
        <v>117</v>
      </c>
      <c r="F7492" s="16" t="s">
        <v>92</v>
      </c>
      <c r="G7492" s="22">
        <v>11</v>
      </c>
      <c r="H7492" s="18">
        <v>12.414999999999999</v>
      </c>
      <c r="I7492" s="18">
        <v>1.1286363639999999</v>
      </c>
      <c r="J7492" s="18">
        <v>1.1499999999999999</v>
      </c>
      <c r="K7492" s="18">
        <v>1.1100000000000001</v>
      </c>
      <c r="L7492" s="22">
        <v>9</v>
      </c>
    </row>
    <row r="7493" spans="1:12">
      <c r="A7493">
        <v>8</v>
      </c>
      <c r="B7493" s="16" t="s">
        <v>63</v>
      </c>
      <c r="C7493" s="9">
        <v>46204</v>
      </c>
      <c r="D7493">
        <v>28</v>
      </c>
      <c r="E7493" s="16" t="s">
        <v>117</v>
      </c>
      <c r="F7493" s="16" t="s">
        <v>92</v>
      </c>
      <c r="G7493" s="22">
        <v>11.5</v>
      </c>
      <c r="H7493" s="18">
        <v>12.72</v>
      </c>
      <c r="I7493" s="18">
        <v>1.106086957</v>
      </c>
      <c r="J7493" s="18">
        <v>1.1200000000000001</v>
      </c>
      <c r="K7493" s="18">
        <v>1.1000000000000001</v>
      </c>
      <c r="L7493" s="22">
        <v>9</v>
      </c>
    </row>
    <row r="7494" spans="1:12">
      <c r="A7494">
        <v>8</v>
      </c>
      <c r="B7494" s="16" t="s">
        <v>63</v>
      </c>
      <c r="C7494" s="9">
        <v>46235</v>
      </c>
      <c r="D7494">
        <v>28</v>
      </c>
      <c r="E7494" s="16" t="s">
        <v>117</v>
      </c>
      <c r="F7494" s="16" t="s">
        <v>92</v>
      </c>
      <c r="G7494" s="22">
        <v>11.5</v>
      </c>
      <c r="H7494" s="18">
        <v>12.885</v>
      </c>
      <c r="I7494" s="18">
        <v>1.1204347830000001</v>
      </c>
      <c r="J7494" s="18">
        <v>1.1399999999999999</v>
      </c>
      <c r="K7494" s="18">
        <v>1.1000000000000001</v>
      </c>
      <c r="L7494" s="22">
        <v>9</v>
      </c>
    </row>
    <row r="7495" spans="1:12">
      <c r="A7495">
        <v>8</v>
      </c>
      <c r="B7495" s="16" t="s">
        <v>63</v>
      </c>
      <c r="C7495" s="9">
        <v>46266</v>
      </c>
      <c r="D7495">
        <v>28</v>
      </c>
      <c r="E7495" s="16" t="s">
        <v>117</v>
      </c>
      <c r="F7495" s="16" t="s">
        <v>92</v>
      </c>
      <c r="G7495" s="22">
        <v>12</v>
      </c>
      <c r="H7495" s="18">
        <v>13.815</v>
      </c>
      <c r="I7495" s="18">
        <v>1.1512500000000001</v>
      </c>
      <c r="J7495" s="18">
        <v>1.17</v>
      </c>
      <c r="K7495" s="18">
        <v>1.1399999999999999</v>
      </c>
      <c r="L7495" s="22">
        <v>8</v>
      </c>
    </row>
    <row r="7496" spans="1:12">
      <c r="A7496">
        <v>8</v>
      </c>
      <c r="B7496" s="16" t="s">
        <v>63</v>
      </c>
      <c r="C7496" s="9">
        <v>45689</v>
      </c>
      <c r="D7496">
        <v>29</v>
      </c>
      <c r="E7496" s="16" t="s">
        <v>118</v>
      </c>
      <c r="F7496" s="16" t="s">
        <v>87</v>
      </c>
      <c r="G7496" s="22">
        <v>30.75</v>
      </c>
      <c r="H7496" s="18">
        <v>476.70749999999998</v>
      </c>
      <c r="I7496" s="18">
        <v>15.502682927</v>
      </c>
      <c r="J7496" s="18">
        <v>15.77</v>
      </c>
      <c r="K7496" s="18">
        <v>15.33</v>
      </c>
      <c r="L7496" s="22">
        <v>8</v>
      </c>
    </row>
    <row r="7497" spans="1:12">
      <c r="A7497">
        <v>8</v>
      </c>
      <c r="B7497" s="16" t="s">
        <v>63</v>
      </c>
      <c r="C7497" s="9">
        <v>45717</v>
      </c>
      <c r="D7497">
        <v>29</v>
      </c>
      <c r="E7497" s="16" t="s">
        <v>118</v>
      </c>
      <c r="F7497" s="16" t="s">
        <v>87</v>
      </c>
      <c r="G7497" s="22">
        <v>19.5</v>
      </c>
      <c r="H7497" s="18">
        <v>303.52</v>
      </c>
      <c r="I7497" s="18">
        <v>15.565128205000001</v>
      </c>
      <c r="J7497" s="18">
        <v>15.67</v>
      </c>
      <c r="K7497" s="18">
        <v>15.51</v>
      </c>
      <c r="L7497" s="22">
        <v>6</v>
      </c>
    </row>
    <row r="7498" spans="1:12">
      <c r="A7498">
        <v>8</v>
      </c>
      <c r="B7498" s="16" t="s">
        <v>63</v>
      </c>
      <c r="C7498" s="9">
        <v>45748</v>
      </c>
      <c r="D7498">
        <v>29</v>
      </c>
      <c r="E7498" s="16" t="s">
        <v>118</v>
      </c>
      <c r="F7498" s="16" t="s">
        <v>87</v>
      </c>
      <c r="G7498" s="22">
        <v>34.75</v>
      </c>
      <c r="H7498" s="18">
        <v>546.72249999999997</v>
      </c>
      <c r="I7498" s="18">
        <v>15.733021582999999</v>
      </c>
      <c r="J7498" s="18">
        <v>16.309999999999999</v>
      </c>
      <c r="K7498" s="18">
        <v>15.36</v>
      </c>
      <c r="L7498" s="22">
        <v>9</v>
      </c>
    </row>
    <row r="7499" spans="1:12">
      <c r="A7499">
        <v>8</v>
      </c>
      <c r="B7499" s="16" t="s">
        <v>63</v>
      </c>
      <c r="C7499" s="9">
        <v>45778</v>
      </c>
      <c r="D7499">
        <v>29</v>
      </c>
      <c r="E7499" s="16" t="s">
        <v>118</v>
      </c>
      <c r="F7499" s="16" t="s">
        <v>87</v>
      </c>
      <c r="G7499" s="22">
        <v>28.5</v>
      </c>
      <c r="H7499" s="18">
        <v>452.32249999999999</v>
      </c>
      <c r="I7499" s="18">
        <v>15.870964912</v>
      </c>
      <c r="J7499" s="18">
        <v>16.29</v>
      </c>
      <c r="K7499" s="18">
        <v>15.73</v>
      </c>
      <c r="L7499" s="22">
        <v>7</v>
      </c>
    </row>
    <row r="7500" spans="1:12">
      <c r="A7500">
        <v>8</v>
      </c>
      <c r="B7500" s="16" t="s">
        <v>63</v>
      </c>
      <c r="C7500" s="9">
        <v>45809</v>
      </c>
      <c r="D7500">
        <v>29</v>
      </c>
      <c r="E7500" s="16" t="s">
        <v>118</v>
      </c>
      <c r="F7500" s="16" t="s">
        <v>87</v>
      </c>
      <c r="G7500" s="22">
        <v>19</v>
      </c>
      <c r="H7500" s="18">
        <v>302.10000000000002</v>
      </c>
      <c r="I7500" s="18">
        <v>15.9</v>
      </c>
      <c r="J7500" s="18">
        <v>16.29</v>
      </c>
      <c r="K7500" s="18">
        <v>15.73</v>
      </c>
      <c r="L7500" s="22">
        <v>7</v>
      </c>
    </row>
    <row r="7501" spans="1:12">
      <c r="A7501">
        <v>8</v>
      </c>
      <c r="B7501" s="16" t="s">
        <v>63</v>
      </c>
      <c r="C7501" s="9">
        <v>45839</v>
      </c>
      <c r="D7501">
        <v>29</v>
      </c>
      <c r="E7501" s="16" t="s">
        <v>118</v>
      </c>
      <c r="F7501" s="16" t="s">
        <v>87</v>
      </c>
      <c r="G7501" s="22">
        <v>17.25</v>
      </c>
      <c r="H7501" s="18">
        <v>277.34750000000003</v>
      </c>
      <c r="I7501" s="18">
        <v>16.078115942</v>
      </c>
      <c r="J7501" s="18">
        <v>16.47</v>
      </c>
      <c r="K7501" s="18">
        <v>15.65</v>
      </c>
      <c r="L7501" s="22">
        <v>6</v>
      </c>
    </row>
    <row r="7502" spans="1:12">
      <c r="A7502">
        <v>8</v>
      </c>
      <c r="B7502" s="16" t="s">
        <v>63</v>
      </c>
      <c r="C7502" s="9">
        <v>45870</v>
      </c>
      <c r="D7502">
        <v>29</v>
      </c>
      <c r="E7502" s="16" t="s">
        <v>118</v>
      </c>
      <c r="F7502" s="16" t="s">
        <v>87</v>
      </c>
      <c r="G7502" s="22">
        <v>17.25</v>
      </c>
      <c r="H7502" s="18">
        <v>276.11750000000001</v>
      </c>
      <c r="I7502" s="18">
        <v>16.006811593999998</v>
      </c>
      <c r="J7502" s="18">
        <v>16.5</v>
      </c>
      <c r="K7502" s="18">
        <v>15.77</v>
      </c>
      <c r="L7502" s="22">
        <v>5</v>
      </c>
    </row>
    <row r="7503" spans="1:12">
      <c r="A7503">
        <v>8</v>
      </c>
      <c r="B7503" s="16" t="s">
        <v>63</v>
      </c>
      <c r="C7503" s="9">
        <v>45901</v>
      </c>
      <c r="D7503">
        <v>29</v>
      </c>
      <c r="E7503" s="16" t="s">
        <v>118</v>
      </c>
      <c r="F7503" s="16" t="s">
        <v>87</v>
      </c>
      <c r="G7503" s="22">
        <v>20.75</v>
      </c>
      <c r="H7503" s="18">
        <v>333.745</v>
      </c>
      <c r="I7503" s="18">
        <v>16.084096385999999</v>
      </c>
      <c r="J7503" s="18">
        <v>16.260000000000002</v>
      </c>
      <c r="K7503" s="18">
        <v>15.81</v>
      </c>
      <c r="L7503" s="22">
        <v>8</v>
      </c>
    </row>
    <row r="7504" spans="1:12">
      <c r="A7504">
        <v>8</v>
      </c>
      <c r="B7504" s="16" t="s">
        <v>63</v>
      </c>
      <c r="C7504" s="9">
        <v>45931</v>
      </c>
      <c r="D7504">
        <v>29</v>
      </c>
      <c r="E7504" s="16" t="s">
        <v>118</v>
      </c>
      <c r="F7504" s="16" t="s">
        <v>87</v>
      </c>
      <c r="G7504" s="22">
        <v>29.75</v>
      </c>
      <c r="H7504" s="18">
        <v>480.83499999999998</v>
      </c>
      <c r="I7504" s="18">
        <v>16.162521007999999</v>
      </c>
      <c r="J7504" s="18">
        <v>16.399999999999999</v>
      </c>
      <c r="K7504" s="18">
        <v>15.98</v>
      </c>
      <c r="L7504" s="22">
        <v>7</v>
      </c>
    </row>
    <row r="7505" spans="1:12">
      <c r="A7505">
        <v>8</v>
      </c>
      <c r="B7505" s="16" t="s">
        <v>63</v>
      </c>
      <c r="C7505" s="9">
        <v>45962</v>
      </c>
      <c r="D7505">
        <v>29</v>
      </c>
      <c r="E7505" s="16" t="s">
        <v>118</v>
      </c>
      <c r="F7505" s="16" t="s">
        <v>87</v>
      </c>
      <c r="G7505" s="22">
        <v>34.5</v>
      </c>
      <c r="H7505" s="18">
        <v>556.4425</v>
      </c>
      <c r="I7505" s="18">
        <v>16.128768116</v>
      </c>
      <c r="J7505" s="18">
        <v>16.309999999999999</v>
      </c>
      <c r="K7505" s="18">
        <v>15.97</v>
      </c>
      <c r="L7505" s="22">
        <v>8</v>
      </c>
    </row>
    <row r="7506" spans="1:12">
      <c r="A7506">
        <v>8</v>
      </c>
      <c r="B7506" s="16" t="s">
        <v>63</v>
      </c>
      <c r="C7506" s="9">
        <v>45992</v>
      </c>
      <c r="D7506">
        <v>29</v>
      </c>
      <c r="E7506" s="16" t="s">
        <v>118</v>
      </c>
      <c r="F7506" s="16" t="s">
        <v>87</v>
      </c>
      <c r="G7506" s="22">
        <v>29.5</v>
      </c>
      <c r="H7506" s="18">
        <v>475.11</v>
      </c>
      <c r="I7506" s="18">
        <v>16.105423729000002</v>
      </c>
      <c r="J7506" s="18">
        <v>16.420000000000002</v>
      </c>
      <c r="K7506" s="18">
        <v>15.79</v>
      </c>
      <c r="L7506" s="22">
        <v>8</v>
      </c>
    </row>
    <row r="7507" spans="1:12">
      <c r="A7507">
        <v>8</v>
      </c>
      <c r="B7507" s="16" t="s">
        <v>63</v>
      </c>
      <c r="C7507" s="9">
        <v>46023</v>
      </c>
      <c r="D7507">
        <v>29</v>
      </c>
      <c r="E7507" s="16" t="s">
        <v>118</v>
      </c>
      <c r="F7507" s="16" t="s">
        <v>87</v>
      </c>
      <c r="G7507" s="22">
        <v>29</v>
      </c>
      <c r="H7507" s="18">
        <v>467.5675</v>
      </c>
      <c r="I7507" s="18">
        <v>16.123017240999999</v>
      </c>
      <c r="J7507" s="18">
        <v>16.46</v>
      </c>
      <c r="K7507" s="18">
        <v>15.99</v>
      </c>
      <c r="L7507" s="22">
        <v>9</v>
      </c>
    </row>
    <row r="7508" spans="1:12">
      <c r="A7508">
        <v>8</v>
      </c>
      <c r="B7508" s="16" t="s">
        <v>63</v>
      </c>
      <c r="C7508" s="9">
        <v>46054</v>
      </c>
      <c r="D7508">
        <v>29</v>
      </c>
      <c r="E7508" s="16" t="s">
        <v>118</v>
      </c>
      <c r="F7508" s="16" t="s">
        <v>87</v>
      </c>
      <c r="G7508" s="22">
        <v>29.5</v>
      </c>
      <c r="H7508" s="18">
        <v>481.46499999999997</v>
      </c>
      <c r="I7508" s="18">
        <v>16.320847457999999</v>
      </c>
      <c r="J7508" s="18">
        <v>16.82</v>
      </c>
      <c r="K7508" s="18">
        <v>15.93</v>
      </c>
      <c r="L7508" s="22">
        <v>7</v>
      </c>
    </row>
    <row r="7509" spans="1:12">
      <c r="A7509">
        <v>8</v>
      </c>
      <c r="B7509" s="16" t="s">
        <v>63</v>
      </c>
      <c r="C7509" s="9">
        <v>46082</v>
      </c>
      <c r="D7509">
        <v>29</v>
      </c>
      <c r="E7509" s="16" t="s">
        <v>118</v>
      </c>
      <c r="F7509" s="16" t="s">
        <v>87</v>
      </c>
      <c r="G7509" s="22">
        <v>34.75</v>
      </c>
      <c r="H7509" s="18">
        <v>566.95749999999998</v>
      </c>
      <c r="I7509" s="18">
        <v>16.315323741</v>
      </c>
      <c r="J7509" s="18">
        <v>16.66</v>
      </c>
      <c r="K7509" s="18">
        <v>16.010000000000002</v>
      </c>
      <c r="L7509" s="22">
        <v>8</v>
      </c>
    </row>
    <row r="7510" spans="1:12">
      <c r="A7510">
        <v>8</v>
      </c>
      <c r="B7510" s="16" t="s">
        <v>63</v>
      </c>
      <c r="C7510" s="9">
        <v>46113</v>
      </c>
      <c r="D7510">
        <v>29</v>
      </c>
      <c r="E7510" s="16" t="s">
        <v>118</v>
      </c>
      <c r="F7510" s="16" t="s">
        <v>87</v>
      </c>
      <c r="G7510" s="22">
        <v>23.25</v>
      </c>
      <c r="H7510" s="18">
        <v>385.85250000000002</v>
      </c>
      <c r="I7510" s="18">
        <v>16.595806452000001</v>
      </c>
      <c r="J7510" s="18">
        <v>17.73</v>
      </c>
      <c r="K7510" s="18">
        <v>16.059999999999999</v>
      </c>
      <c r="L7510" s="22">
        <v>8</v>
      </c>
    </row>
    <row r="7511" spans="1:12">
      <c r="A7511">
        <v>8</v>
      </c>
      <c r="B7511" s="16" t="s">
        <v>63</v>
      </c>
      <c r="C7511" s="9">
        <v>46143</v>
      </c>
      <c r="D7511">
        <v>29</v>
      </c>
      <c r="E7511" s="16" t="s">
        <v>118</v>
      </c>
      <c r="F7511" s="16" t="s">
        <v>87</v>
      </c>
      <c r="G7511" s="22">
        <v>13.25</v>
      </c>
      <c r="H7511" s="18">
        <v>219.61</v>
      </c>
      <c r="I7511" s="18">
        <v>16.574339623</v>
      </c>
      <c r="J7511" s="18">
        <v>16.73</v>
      </c>
      <c r="K7511" s="18">
        <v>16.34</v>
      </c>
      <c r="L7511" s="22">
        <v>4</v>
      </c>
    </row>
    <row r="7512" spans="1:12">
      <c r="A7512">
        <v>8</v>
      </c>
      <c r="B7512" s="16" t="s">
        <v>63</v>
      </c>
      <c r="C7512" s="9">
        <v>46174</v>
      </c>
      <c r="D7512">
        <v>29</v>
      </c>
      <c r="E7512" s="16" t="s">
        <v>118</v>
      </c>
      <c r="F7512" s="16" t="s">
        <v>87</v>
      </c>
      <c r="G7512" s="22">
        <v>18.5</v>
      </c>
      <c r="H7512" s="18">
        <v>306.57249999999999</v>
      </c>
      <c r="I7512" s="18">
        <v>16.571486486000001</v>
      </c>
      <c r="J7512" s="18">
        <v>16.84</v>
      </c>
      <c r="K7512" s="18">
        <v>16.36</v>
      </c>
      <c r="L7512" s="22">
        <v>7</v>
      </c>
    </row>
    <row r="7513" spans="1:12">
      <c r="A7513">
        <v>8</v>
      </c>
      <c r="B7513" s="16" t="s">
        <v>63</v>
      </c>
      <c r="C7513" s="9">
        <v>46204</v>
      </c>
      <c r="D7513">
        <v>29</v>
      </c>
      <c r="E7513" s="16" t="s">
        <v>118</v>
      </c>
      <c r="F7513" s="16" t="s">
        <v>87</v>
      </c>
      <c r="G7513" s="22">
        <v>7.75</v>
      </c>
      <c r="H7513" s="18">
        <v>127.73</v>
      </c>
      <c r="I7513" s="18">
        <v>16.481290323</v>
      </c>
      <c r="J7513" s="18">
        <v>16.62</v>
      </c>
      <c r="K7513" s="18">
        <v>16.37</v>
      </c>
      <c r="L7513" s="22">
        <v>3</v>
      </c>
    </row>
    <row r="7514" spans="1:12">
      <c r="A7514">
        <v>8</v>
      </c>
      <c r="B7514" s="16" t="s">
        <v>63</v>
      </c>
      <c r="C7514" s="9">
        <v>46235</v>
      </c>
      <c r="D7514">
        <v>29</v>
      </c>
      <c r="E7514" s="16" t="s">
        <v>118</v>
      </c>
      <c r="F7514" s="16" t="s">
        <v>87</v>
      </c>
      <c r="G7514" s="22">
        <v>13.75</v>
      </c>
      <c r="H7514" s="18">
        <v>227.2525</v>
      </c>
      <c r="I7514" s="18">
        <v>16.527454545000001</v>
      </c>
      <c r="J7514" s="18">
        <v>16.78</v>
      </c>
      <c r="K7514" s="18">
        <v>16.25</v>
      </c>
      <c r="L7514" s="22">
        <v>4</v>
      </c>
    </row>
    <row r="7515" spans="1:12">
      <c r="A7515">
        <v>8</v>
      </c>
      <c r="B7515" s="16" t="s">
        <v>63</v>
      </c>
      <c r="C7515" s="9">
        <v>46266</v>
      </c>
      <c r="D7515">
        <v>29</v>
      </c>
      <c r="E7515" s="16" t="s">
        <v>118</v>
      </c>
      <c r="F7515" s="16" t="s">
        <v>87</v>
      </c>
      <c r="G7515" s="22">
        <v>14</v>
      </c>
      <c r="H7515" s="18">
        <v>234.155</v>
      </c>
      <c r="I7515" s="18">
        <v>16.725357143</v>
      </c>
      <c r="J7515" s="18">
        <v>16.940000000000001</v>
      </c>
      <c r="K7515" s="18">
        <v>16.21</v>
      </c>
      <c r="L7515" s="22">
        <v>5</v>
      </c>
    </row>
    <row r="7516" spans="1:12">
      <c r="A7516">
        <v>8</v>
      </c>
      <c r="B7516" s="16" t="s">
        <v>63</v>
      </c>
      <c r="C7516" s="9">
        <v>45689</v>
      </c>
      <c r="D7516">
        <v>30</v>
      </c>
      <c r="E7516" s="16" t="s">
        <v>119</v>
      </c>
      <c r="F7516" s="16" t="s">
        <v>92</v>
      </c>
      <c r="G7516" s="22">
        <v>5</v>
      </c>
      <c r="H7516" s="18">
        <v>3.45</v>
      </c>
      <c r="I7516" s="18">
        <v>0.69</v>
      </c>
      <c r="J7516" s="18">
        <v>0.7</v>
      </c>
      <c r="K7516" s="18">
        <v>0.68</v>
      </c>
      <c r="L7516" s="22">
        <v>4</v>
      </c>
    </row>
    <row r="7517" spans="1:12">
      <c r="A7517">
        <v>8</v>
      </c>
      <c r="B7517" s="16" t="s">
        <v>63</v>
      </c>
      <c r="C7517" s="9">
        <v>45717</v>
      </c>
      <c r="D7517">
        <v>30</v>
      </c>
      <c r="E7517" s="16" t="s">
        <v>119</v>
      </c>
      <c r="F7517" s="16" t="s">
        <v>92</v>
      </c>
      <c r="G7517" s="22">
        <v>2.5</v>
      </c>
      <c r="H7517" s="18">
        <v>1.6625000000000001</v>
      </c>
      <c r="I7517" s="18">
        <v>0.66500000000000004</v>
      </c>
      <c r="J7517" s="18">
        <v>0.67</v>
      </c>
      <c r="K7517" s="18">
        <v>0.66</v>
      </c>
      <c r="L7517" s="22">
        <v>2</v>
      </c>
    </row>
    <row r="7518" spans="1:12">
      <c r="A7518">
        <v>8</v>
      </c>
      <c r="B7518" s="16" t="s">
        <v>63</v>
      </c>
      <c r="C7518" s="9">
        <v>45748</v>
      </c>
      <c r="D7518">
        <v>30</v>
      </c>
      <c r="E7518" s="16" t="s">
        <v>119</v>
      </c>
      <c r="F7518" s="16" t="s">
        <v>92</v>
      </c>
      <c r="G7518" s="22">
        <v>3.75</v>
      </c>
      <c r="H7518" s="18">
        <v>2.4249999999999998</v>
      </c>
      <c r="I7518" s="18">
        <v>0.64666666699999997</v>
      </c>
      <c r="J7518" s="18">
        <v>0.65</v>
      </c>
      <c r="K7518" s="18">
        <v>0.64</v>
      </c>
      <c r="L7518" s="22">
        <v>3</v>
      </c>
    </row>
    <row r="7519" spans="1:12">
      <c r="A7519">
        <v>8</v>
      </c>
      <c r="B7519" s="16" t="s">
        <v>63</v>
      </c>
      <c r="C7519" s="9">
        <v>45778</v>
      </c>
      <c r="D7519">
        <v>30</v>
      </c>
      <c r="E7519" s="16" t="s">
        <v>119</v>
      </c>
      <c r="F7519" s="16" t="s">
        <v>92</v>
      </c>
      <c r="G7519" s="22">
        <v>3.75</v>
      </c>
      <c r="H7519" s="18">
        <v>2.35</v>
      </c>
      <c r="I7519" s="18">
        <v>0.62666666699999996</v>
      </c>
      <c r="J7519" s="18">
        <v>0.67</v>
      </c>
      <c r="K7519" s="18">
        <v>0.6</v>
      </c>
      <c r="L7519" s="22">
        <v>3</v>
      </c>
    </row>
    <row r="7520" spans="1:12">
      <c r="A7520">
        <v>8</v>
      </c>
      <c r="B7520" s="16" t="s">
        <v>63</v>
      </c>
      <c r="C7520" s="9">
        <v>45809</v>
      </c>
      <c r="D7520">
        <v>30</v>
      </c>
      <c r="E7520" s="16" t="s">
        <v>119</v>
      </c>
      <c r="F7520" s="16" t="s">
        <v>92</v>
      </c>
      <c r="G7520" s="22">
        <v>3.75</v>
      </c>
      <c r="H7520" s="18">
        <v>2.2374999999999998</v>
      </c>
      <c r="I7520" s="18">
        <v>0.59666666700000004</v>
      </c>
      <c r="J7520" s="18">
        <v>0.6</v>
      </c>
      <c r="K7520" s="18">
        <v>0.59</v>
      </c>
      <c r="L7520" s="22">
        <v>3</v>
      </c>
    </row>
    <row r="7521" spans="1:12">
      <c r="A7521">
        <v>8</v>
      </c>
      <c r="B7521" s="16" t="s">
        <v>63</v>
      </c>
      <c r="C7521" s="9">
        <v>45839</v>
      </c>
      <c r="D7521">
        <v>30</v>
      </c>
      <c r="E7521" s="16" t="s">
        <v>119</v>
      </c>
      <c r="F7521" s="16" t="s">
        <v>92</v>
      </c>
      <c r="G7521" s="22">
        <v>2.5</v>
      </c>
      <c r="H7521" s="18">
        <v>1.5</v>
      </c>
      <c r="I7521" s="18">
        <v>0.6</v>
      </c>
      <c r="J7521" s="18">
        <v>0.6</v>
      </c>
      <c r="K7521" s="18">
        <v>0.6</v>
      </c>
      <c r="L7521" s="22">
        <v>2</v>
      </c>
    </row>
    <row r="7522" spans="1:12">
      <c r="A7522">
        <v>8</v>
      </c>
      <c r="B7522" s="16" t="s">
        <v>63</v>
      </c>
      <c r="C7522" s="9">
        <v>45870</v>
      </c>
      <c r="D7522">
        <v>30</v>
      </c>
      <c r="E7522" s="16" t="s">
        <v>119</v>
      </c>
      <c r="F7522" s="16" t="s">
        <v>92</v>
      </c>
      <c r="G7522" s="22">
        <v>2.5</v>
      </c>
      <c r="H7522" s="18">
        <v>1.5125</v>
      </c>
      <c r="I7522" s="18">
        <v>0.60499999999999998</v>
      </c>
      <c r="J7522" s="18">
        <v>0.61</v>
      </c>
      <c r="K7522" s="18">
        <v>0.6</v>
      </c>
      <c r="L7522" s="22">
        <v>2</v>
      </c>
    </row>
    <row r="7523" spans="1:12">
      <c r="A7523">
        <v>8</v>
      </c>
      <c r="B7523" s="16" t="s">
        <v>63</v>
      </c>
      <c r="C7523" s="9">
        <v>45901</v>
      </c>
      <c r="D7523">
        <v>30</v>
      </c>
      <c r="E7523" s="16" t="s">
        <v>119</v>
      </c>
      <c r="F7523" s="16" t="s">
        <v>92</v>
      </c>
      <c r="G7523" s="22">
        <v>2.5</v>
      </c>
      <c r="H7523" s="18">
        <v>1.6125</v>
      </c>
      <c r="I7523" s="18">
        <v>0.64500000000000002</v>
      </c>
      <c r="J7523" s="18">
        <v>0.66</v>
      </c>
      <c r="K7523" s="18">
        <v>0.63</v>
      </c>
      <c r="L7523" s="22">
        <v>2</v>
      </c>
    </row>
    <row r="7524" spans="1:12">
      <c r="A7524">
        <v>8</v>
      </c>
      <c r="B7524" s="16" t="s">
        <v>63</v>
      </c>
      <c r="C7524" s="9">
        <v>45931</v>
      </c>
      <c r="D7524">
        <v>30</v>
      </c>
      <c r="E7524" s="16" t="s">
        <v>119</v>
      </c>
      <c r="F7524" s="16" t="s">
        <v>92</v>
      </c>
      <c r="G7524" s="22">
        <v>5</v>
      </c>
      <c r="H7524" s="18">
        <v>3.2875000000000001</v>
      </c>
      <c r="I7524" s="18">
        <v>0.65749999999999997</v>
      </c>
      <c r="J7524" s="18">
        <v>0.66</v>
      </c>
      <c r="K7524" s="18">
        <v>0.65</v>
      </c>
      <c r="L7524" s="22">
        <v>4</v>
      </c>
    </row>
    <row r="7525" spans="1:12">
      <c r="A7525">
        <v>8</v>
      </c>
      <c r="B7525" s="16" t="s">
        <v>63</v>
      </c>
      <c r="C7525" s="9">
        <v>45962</v>
      </c>
      <c r="D7525">
        <v>30</v>
      </c>
      <c r="E7525" s="16" t="s">
        <v>119</v>
      </c>
      <c r="F7525" s="16" t="s">
        <v>92</v>
      </c>
      <c r="G7525" s="22">
        <v>3.75</v>
      </c>
      <c r="H7525" s="18">
        <v>2.6</v>
      </c>
      <c r="I7525" s="18">
        <v>0.693333333</v>
      </c>
      <c r="J7525" s="18">
        <v>0.7</v>
      </c>
      <c r="K7525" s="18">
        <v>0.69</v>
      </c>
      <c r="L7525" s="22">
        <v>3</v>
      </c>
    </row>
    <row r="7526" spans="1:12">
      <c r="A7526">
        <v>8</v>
      </c>
      <c r="B7526" s="16" t="s">
        <v>63</v>
      </c>
      <c r="C7526" s="9">
        <v>45992</v>
      </c>
      <c r="D7526">
        <v>30</v>
      </c>
      <c r="E7526" s="16" t="s">
        <v>119</v>
      </c>
      <c r="F7526" s="16" t="s">
        <v>92</v>
      </c>
      <c r="G7526" s="22">
        <v>3.75</v>
      </c>
      <c r="H7526" s="18">
        <v>2.6875</v>
      </c>
      <c r="I7526" s="18">
        <v>0.71666666700000003</v>
      </c>
      <c r="J7526" s="18">
        <v>0.72</v>
      </c>
      <c r="K7526" s="18">
        <v>0.71</v>
      </c>
      <c r="L7526" s="22">
        <v>3</v>
      </c>
    </row>
    <row r="7527" spans="1:12">
      <c r="A7527">
        <v>8</v>
      </c>
      <c r="B7527" s="16" t="s">
        <v>63</v>
      </c>
      <c r="C7527" s="9">
        <v>46023</v>
      </c>
      <c r="D7527">
        <v>30</v>
      </c>
      <c r="E7527" s="16" t="s">
        <v>119</v>
      </c>
      <c r="F7527" s="16" t="s">
        <v>92</v>
      </c>
      <c r="G7527" s="22">
        <v>5</v>
      </c>
      <c r="H7527" s="18">
        <v>3.5750000000000002</v>
      </c>
      <c r="I7527" s="18">
        <v>0.71499999999999997</v>
      </c>
      <c r="J7527" s="18">
        <v>0.73</v>
      </c>
      <c r="K7527" s="18">
        <v>0.7</v>
      </c>
      <c r="L7527" s="22">
        <v>4</v>
      </c>
    </row>
    <row r="7528" spans="1:12">
      <c r="A7528">
        <v>8</v>
      </c>
      <c r="B7528" s="16" t="s">
        <v>63</v>
      </c>
      <c r="C7528" s="9">
        <v>46054</v>
      </c>
      <c r="D7528">
        <v>30</v>
      </c>
      <c r="E7528" s="16" t="s">
        <v>119</v>
      </c>
      <c r="F7528" s="16" t="s">
        <v>92</v>
      </c>
      <c r="G7528" s="22">
        <v>3.75</v>
      </c>
      <c r="H7528" s="18">
        <v>2.6749999999999998</v>
      </c>
      <c r="I7528" s="18">
        <v>0.71333333300000001</v>
      </c>
      <c r="J7528" s="18">
        <v>0.73</v>
      </c>
      <c r="K7528" s="18">
        <v>0.7</v>
      </c>
      <c r="L7528" s="22">
        <v>3</v>
      </c>
    </row>
    <row r="7529" spans="1:12">
      <c r="A7529">
        <v>8</v>
      </c>
      <c r="B7529" s="16" t="s">
        <v>63</v>
      </c>
      <c r="C7529" s="9">
        <v>46082</v>
      </c>
      <c r="D7529">
        <v>30</v>
      </c>
      <c r="E7529" s="16" t="s">
        <v>119</v>
      </c>
      <c r="F7529" s="16" t="s">
        <v>92</v>
      </c>
      <c r="G7529" s="22">
        <v>5</v>
      </c>
      <c r="H7529" s="18">
        <v>3.4750000000000001</v>
      </c>
      <c r="I7529" s="18">
        <v>0.69499999999999995</v>
      </c>
      <c r="J7529" s="18">
        <v>0.7</v>
      </c>
      <c r="K7529" s="18">
        <v>0.69</v>
      </c>
      <c r="L7529" s="22">
        <v>4</v>
      </c>
    </row>
    <row r="7530" spans="1:12">
      <c r="A7530">
        <v>8</v>
      </c>
      <c r="B7530" s="16" t="s">
        <v>63</v>
      </c>
      <c r="C7530" s="9">
        <v>46113</v>
      </c>
      <c r="D7530">
        <v>30</v>
      </c>
      <c r="E7530" s="16" t="s">
        <v>119</v>
      </c>
      <c r="F7530" s="16" t="s">
        <v>92</v>
      </c>
      <c r="G7530" s="22">
        <v>2.5</v>
      </c>
      <c r="H7530" s="18">
        <v>1.675</v>
      </c>
      <c r="I7530" s="18">
        <v>0.67</v>
      </c>
      <c r="J7530" s="18">
        <v>0.68</v>
      </c>
      <c r="K7530" s="18">
        <v>0.66</v>
      </c>
      <c r="L7530" s="22">
        <v>2</v>
      </c>
    </row>
    <row r="7531" spans="1:12">
      <c r="A7531">
        <v>8</v>
      </c>
      <c r="B7531" s="16" t="s">
        <v>63</v>
      </c>
      <c r="C7531" s="9">
        <v>46143</v>
      </c>
      <c r="D7531">
        <v>30</v>
      </c>
      <c r="E7531" s="16" t="s">
        <v>119</v>
      </c>
      <c r="F7531" s="16" t="s">
        <v>92</v>
      </c>
      <c r="G7531" s="22">
        <v>2.5</v>
      </c>
      <c r="H7531" s="18">
        <v>1.6375</v>
      </c>
      <c r="I7531" s="18">
        <v>0.65500000000000003</v>
      </c>
      <c r="J7531" s="18">
        <v>0.66</v>
      </c>
      <c r="K7531" s="18">
        <v>0.65</v>
      </c>
      <c r="L7531" s="22">
        <v>2</v>
      </c>
    </row>
    <row r="7532" spans="1:12">
      <c r="A7532">
        <v>8</v>
      </c>
      <c r="B7532" s="16" t="s">
        <v>63</v>
      </c>
      <c r="C7532" s="9">
        <v>46174</v>
      </c>
      <c r="D7532">
        <v>30</v>
      </c>
      <c r="E7532" s="16" t="s">
        <v>119</v>
      </c>
      <c r="F7532" s="16" t="s">
        <v>92</v>
      </c>
      <c r="G7532" s="22">
        <v>2.5</v>
      </c>
      <c r="H7532" s="18">
        <v>1.575</v>
      </c>
      <c r="I7532" s="18">
        <v>0.63</v>
      </c>
      <c r="J7532" s="18">
        <v>0.64</v>
      </c>
      <c r="K7532" s="18">
        <v>0.62</v>
      </c>
      <c r="L7532" s="22">
        <v>2</v>
      </c>
    </row>
    <row r="7533" spans="1:12">
      <c r="A7533">
        <v>8</v>
      </c>
      <c r="B7533" s="16" t="s">
        <v>63</v>
      </c>
      <c r="C7533" s="9">
        <v>46204</v>
      </c>
      <c r="D7533">
        <v>30</v>
      </c>
      <c r="E7533" s="16" t="s">
        <v>119</v>
      </c>
      <c r="F7533" s="16" t="s">
        <v>92</v>
      </c>
      <c r="G7533" s="22">
        <v>1.25</v>
      </c>
      <c r="H7533" s="18">
        <v>0.77500000000000002</v>
      </c>
      <c r="I7533" s="18">
        <v>0.62</v>
      </c>
      <c r="J7533" s="18">
        <v>0.62</v>
      </c>
      <c r="K7533" s="18">
        <v>0.62</v>
      </c>
      <c r="L7533" s="22">
        <v>1</v>
      </c>
    </row>
    <row r="7534" spans="1:12">
      <c r="A7534">
        <v>8</v>
      </c>
      <c r="B7534" s="16" t="s">
        <v>63</v>
      </c>
      <c r="C7534" s="9">
        <v>46235</v>
      </c>
      <c r="D7534">
        <v>30</v>
      </c>
      <c r="E7534" s="16" t="s">
        <v>119</v>
      </c>
      <c r="F7534" s="16" t="s">
        <v>92</v>
      </c>
      <c r="G7534" s="22">
        <v>2.5</v>
      </c>
      <c r="H7534" s="18">
        <v>1.575</v>
      </c>
      <c r="I7534" s="18">
        <v>0.63</v>
      </c>
      <c r="J7534" s="18">
        <v>0.63</v>
      </c>
      <c r="K7534" s="18">
        <v>0.63</v>
      </c>
      <c r="L7534" s="22">
        <v>2</v>
      </c>
    </row>
    <row r="7535" spans="1:12">
      <c r="A7535">
        <v>8</v>
      </c>
      <c r="B7535" s="16" t="s">
        <v>63</v>
      </c>
      <c r="C7535" s="9">
        <v>46266</v>
      </c>
      <c r="D7535">
        <v>30</v>
      </c>
      <c r="E7535" s="16" t="s">
        <v>119</v>
      </c>
      <c r="F7535" s="16" t="s">
        <v>92</v>
      </c>
      <c r="G7535" s="22">
        <v>2.5</v>
      </c>
      <c r="H7535" s="18">
        <v>1.6375</v>
      </c>
      <c r="I7535" s="18">
        <v>0.65500000000000003</v>
      </c>
      <c r="J7535" s="18">
        <v>0.66</v>
      </c>
      <c r="K7535" s="18">
        <v>0.65</v>
      </c>
      <c r="L7535" s="22">
        <v>2</v>
      </c>
    </row>
    <row r="7536" spans="1:12">
      <c r="A7536">
        <v>8</v>
      </c>
      <c r="B7536" s="16" t="s">
        <v>63</v>
      </c>
      <c r="C7536" s="9">
        <v>45689</v>
      </c>
      <c r="D7536">
        <v>31</v>
      </c>
      <c r="E7536" s="16" t="s">
        <v>120</v>
      </c>
      <c r="F7536" s="16" t="s">
        <v>92</v>
      </c>
      <c r="G7536" s="22">
        <v>6</v>
      </c>
      <c r="H7536" s="18">
        <v>6.1425000000000001</v>
      </c>
      <c r="I7536" s="18">
        <v>1.0237499999999999</v>
      </c>
      <c r="J7536" s="18">
        <v>1.06</v>
      </c>
      <c r="K7536" s="18">
        <v>0.99</v>
      </c>
      <c r="L7536" s="22">
        <v>8</v>
      </c>
    </row>
    <row r="7537" spans="1:12">
      <c r="A7537">
        <v>8</v>
      </c>
      <c r="B7537" s="16" t="s">
        <v>63</v>
      </c>
      <c r="C7537" s="9">
        <v>45717</v>
      </c>
      <c r="D7537">
        <v>31</v>
      </c>
      <c r="E7537" s="16" t="s">
        <v>120</v>
      </c>
      <c r="F7537" s="16" t="s">
        <v>92</v>
      </c>
      <c r="G7537" s="22">
        <v>4.5</v>
      </c>
      <c r="H7537" s="18">
        <v>4.5149999999999997</v>
      </c>
      <c r="I7537" s="18">
        <v>1.003333333</v>
      </c>
      <c r="J7537" s="18">
        <v>1.02</v>
      </c>
      <c r="K7537" s="18">
        <v>0.99</v>
      </c>
      <c r="L7537" s="22">
        <v>6</v>
      </c>
    </row>
    <row r="7538" spans="1:12">
      <c r="A7538">
        <v>8</v>
      </c>
      <c r="B7538" s="16" t="s">
        <v>63</v>
      </c>
      <c r="C7538" s="9">
        <v>45748</v>
      </c>
      <c r="D7538">
        <v>31</v>
      </c>
      <c r="E7538" s="16" t="s">
        <v>120</v>
      </c>
      <c r="F7538" s="16" t="s">
        <v>92</v>
      </c>
      <c r="G7538" s="22">
        <v>6</v>
      </c>
      <c r="H7538" s="18">
        <v>5.73</v>
      </c>
      <c r="I7538" s="18">
        <v>0.95499999999999996</v>
      </c>
      <c r="J7538" s="18">
        <v>0.97</v>
      </c>
      <c r="K7538" s="18">
        <v>0.94</v>
      </c>
      <c r="L7538" s="22">
        <v>8</v>
      </c>
    </row>
    <row r="7539" spans="1:12">
      <c r="A7539">
        <v>8</v>
      </c>
      <c r="B7539" s="16" t="s">
        <v>63</v>
      </c>
      <c r="C7539" s="9">
        <v>45778</v>
      </c>
      <c r="D7539">
        <v>31</v>
      </c>
      <c r="E7539" s="16" t="s">
        <v>120</v>
      </c>
      <c r="F7539" s="16" t="s">
        <v>92</v>
      </c>
      <c r="G7539" s="22">
        <v>6.75</v>
      </c>
      <c r="H7539" s="18">
        <v>6.15</v>
      </c>
      <c r="I7539" s="18">
        <v>0.91111111099999997</v>
      </c>
      <c r="J7539" s="18">
        <v>0.93</v>
      </c>
      <c r="K7539" s="18">
        <v>0.89</v>
      </c>
      <c r="L7539" s="22">
        <v>9</v>
      </c>
    </row>
    <row r="7540" spans="1:12">
      <c r="A7540">
        <v>8</v>
      </c>
      <c r="B7540" s="16" t="s">
        <v>63</v>
      </c>
      <c r="C7540" s="9">
        <v>45809</v>
      </c>
      <c r="D7540">
        <v>31</v>
      </c>
      <c r="E7540" s="16" t="s">
        <v>120</v>
      </c>
      <c r="F7540" s="16" t="s">
        <v>92</v>
      </c>
      <c r="G7540" s="22">
        <v>6.75</v>
      </c>
      <c r="H7540" s="18">
        <v>6.0149999999999997</v>
      </c>
      <c r="I7540" s="18">
        <v>0.89111111099999996</v>
      </c>
      <c r="J7540" s="18">
        <v>0.91</v>
      </c>
      <c r="K7540" s="18">
        <v>0.88</v>
      </c>
      <c r="L7540" s="22">
        <v>9</v>
      </c>
    </row>
    <row r="7541" spans="1:12">
      <c r="A7541">
        <v>8</v>
      </c>
      <c r="B7541" s="16" t="s">
        <v>63</v>
      </c>
      <c r="C7541" s="9">
        <v>45839</v>
      </c>
      <c r="D7541">
        <v>31</v>
      </c>
      <c r="E7541" s="16" t="s">
        <v>120</v>
      </c>
      <c r="F7541" s="16" t="s">
        <v>92</v>
      </c>
      <c r="G7541" s="22">
        <v>6</v>
      </c>
      <c r="H7541" s="18">
        <v>5.3475000000000001</v>
      </c>
      <c r="I7541" s="18">
        <v>0.89124999999999999</v>
      </c>
      <c r="J7541" s="18">
        <v>0.9</v>
      </c>
      <c r="K7541" s="18">
        <v>0.88</v>
      </c>
      <c r="L7541" s="22">
        <v>8</v>
      </c>
    </row>
    <row r="7542" spans="1:12">
      <c r="A7542">
        <v>8</v>
      </c>
      <c r="B7542" s="16" t="s">
        <v>63</v>
      </c>
      <c r="C7542" s="9">
        <v>45870</v>
      </c>
      <c r="D7542">
        <v>31</v>
      </c>
      <c r="E7542" s="16" t="s">
        <v>120</v>
      </c>
      <c r="F7542" s="16" t="s">
        <v>92</v>
      </c>
      <c r="G7542" s="22">
        <v>6</v>
      </c>
      <c r="H7542" s="18">
        <v>5.4450000000000003</v>
      </c>
      <c r="I7542" s="18">
        <v>0.90749999999999997</v>
      </c>
      <c r="J7542" s="18">
        <v>0.93</v>
      </c>
      <c r="K7542" s="18">
        <v>0.9</v>
      </c>
      <c r="L7542" s="22">
        <v>7</v>
      </c>
    </row>
    <row r="7543" spans="1:12">
      <c r="A7543">
        <v>8</v>
      </c>
      <c r="B7543" s="16" t="s">
        <v>63</v>
      </c>
      <c r="C7543" s="9">
        <v>45901</v>
      </c>
      <c r="D7543">
        <v>31</v>
      </c>
      <c r="E7543" s="16" t="s">
        <v>120</v>
      </c>
      <c r="F7543" s="16" t="s">
        <v>92</v>
      </c>
      <c r="G7543" s="22">
        <v>6</v>
      </c>
      <c r="H7543" s="18">
        <v>5.6174999999999997</v>
      </c>
      <c r="I7543" s="18">
        <v>0.93625000000000003</v>
      </c>
      <c r="J7543" s="18">
        <v>0.95</v>
      </c>
      <c r="K7543" s="18">
        <v>0.93</v>
      </c>
      <c r="L7543" s="22">
        <v>8</v>
      </c>
    </row>
    <row r="7544" spans="1:12">
      <c r="A7544">
        <v>8</v>
      </c>
      <c r="B7544" s="16" t="s">
        <v>63</v>
      </c>
      <c r="C7544" s="9">
        <v>45931</v>
      </c>
      <c r="D7544">
        <v>31</v>
      </c>
      <c r="E7544" s="16" t="s">
        <v>120</v>
      </c>
      <c r="F7544" s="16" t="s">
        <v>92</v>
      </c>
      <c r="G7544" s="22">
        <v>6.75</v>
      </c>
      <c r="H7544" s="18">
        <v>6.5774999999999997</v>
      </c>
      <c r="I7544" s="18">
        <v>0.97444444399999997</v>
      </c>
      <c r="J7544" s="18">
        <v>0.99</v>
      </c>
      <c r="K7544" s="18">
        <v>0.96</v>
      </c>
      <c r="L7544" s="22">
        <v>8</v>
      </c>
    </row>
    <row r="7545" spans="1:12">
      <c r="A7545">
        <v>8</v>
      </c>
      <c r="B7545" s="16" t="s">
        <v>63</v>
      </c>
      <c r="C7545" s="9">
        <v>45962</v>
      </c>
      <c r="D7545">
        <v>31</v>
      </c>
      <c r="E7545" s="16" t="s">
        <v>120</v>
      </c>
      <c r="F7545" s="16" t="s">
        <v>92</v>
      </c>
      <c r="G7545" s="22">
        <v>6</v>
      </c>
      <c r="H7545" s="18">
        <v>6.1349999999999998</v>
      </c>
      <c r="I7545" s="18">
        <v>1.0225</v>
      </c>
      <c r="J7545" s="18">
        <v>1.03</v>
      </c>
      <c r="K7545" s="18">
        <v>1.02</v>
      </c>
      <c r="L7545" s="22">
        <v>8</v>
      </c>
    </row>
    <row r="7546" spans="1:12">
      <c r="A7546">
        <v>8</v>
      </c>
      <c r="B7546" s="16" t="s">
        <v>63</v>
      </c>
      <c r="C7546" s="9">
        <v>45992</v>
      </c>
      <c r="D7546">
        <v>31</v>
      </c>
      <c r="E7546" s="16" t="s">
        <v>120</v>
      </c>
      <c r="F7546" s="16" t="s">
        <v>92</v>
      </c>
      <c r="G7546" s="22">
        <v>6</v>
      </c>
      <c r="H7546" s="18">
        <v>6.3</v>
      </c>
      <c r="I7546" s="18">
        <v>1.05</v>
      </c>
      <c r="J7546" s="18">
        <v>1.06</v>
      </c>
      <c r="K7546" s="18">
        <v>1.04</v>
      </c>
      <c r="L7546" s="22">
        <v>8</v>
      </c>
    </row>
    <row r="7547" spans="1:12">
      <c r="A7547">
        <v>8</v>
      </c>
      <c r="B7547" s="16" t="s">
        <v>63</v>
      </c>
      <c r="C7547" s="9">
        <v>46023</v>
      </c>
      <c r="D7547">
        <v>31</v>
      </c>
      <c r="E7547" s="16" t="s">
        <v>120</v>
      </c>
      <c r="F7547" s="16" t="s">
        <v>92</v>
      </c>
      <c r="G7547" s="22">
        <v>5.25</v>
      </c>
      <c r="H7547" s="18">
        <v>5.5575000000000001</v>
      </c>
      <c r="I7547" s="18">
        <v>1.0585714289999999</v>
      </c>
      <c r="J7547" s="18">
        <v>1.07</v>
      </c>
      <c r="K7547" s="18">
        <v>1.05</v>
      </c>
      <c r="L7547" s="22">
        <v>6</v>
      </c>
    </row>
    <row r="7548" spans="1:12">
      <c r="A7548">
        <v>8</v>
      </c>
      <c r="B7548" s="16" t="s">
        <v>63</v>
      </c>
      <c r="C7548" s="9">
        <v>46054</v>
      </c>
      <c r="D7548">
        <v>31</v>
      </c>
      <c r="E7548" s="16" t="s">
        <v>120</v>
      </c>
      <c r="F7548" s="16" t="s">
        <v>92</v>
      </c>
      <c r="G7548" s="22">
        <v>5.25</v>
      </c>
      <c r="H7548" s="18">
        <v>5.5575000000000001</v>
      </c>
      <c r="I7548" s="18">
        <v>1.0585714289999999</v>
      </c>
      <c r="J7548" s="18">
        <v>1.08</v>
      </c>
      <c r="K7548" s="18">
        <v>1.03</v>
      </c>
      <c r="L7548" s="22">
        <v>7</v>
      </c>
    </row>
    <row r="7549" spans="1:12">
      <c r="A7549">
        <v>8</v>
      </c>
      <c r="B7549" s="16" t="s">
        <v>63</v>
      </c>
      <c r="C7549" s="9">
        <v>46082</v>
      </c>
      <c r="D7549">
        <v>31</v>
      </c>
      <c r="E7549" s="16" t="s">
        <v>120</v>
      </c>
      <c r="F7549" s="16" t="s">
        <v>92</v>
      </c>
      <c r="G7549" s="22">
        <v>6</v>
      </c>
      <c r="H7549" s="18">
        <v>6.165</v>
      </c>
      <c r="I7549" s="18">
        <v>1.0275000000000001</v>
      </c>
      <c r="J7549" s="18">
        <v>1.04</v>
      </c>
      <c r="K7549" s="18">
        <v>1.01</v>
      </c>
      <c r="L7549" s="22">
        <v>8</v>
      </c>
    </row>
    <row r="7550" spans="1:12">
      <c r="A7550">
        <v>8</v>
      </c>
      <c r="B7550" s="16" t="s">
        <v>63</v>
      </c>
      <c r="C7550" s="9">
        <v>46113</v>
      </c>
      <c r="D7550">
        <v>31</v>
      </c>
      <c r="E7550" s="16" t="s">
        <v>120</v>
      </c>
      <c r="F7550" s="16" t="s">
        <v>92</v>
      </c>
      <c r="G7550" s="22">
        <v>5.25</v>
      </c>
      <c r="H7550" s="18">
        <v>5.22</v>
      </c>
      <c r="I7550" s="18">
        <v>0.99428571399999999</v>
      </c>
      <c r="J7550" s="18">
        <v>1.02</v>
      </c>
      <c r="K7550" s="18">
        <v>0.98</v>
      </c>
      <c r="L7550" s="22">
        <v>7</v>
      </c>
    </row>
    <row r="7551" spans="1:12">
      <c r="A7551">
        <v>8</v>
      </c>
      <c r="B7551" s="16" t="s">
        <v>63</v>
      </c>
      <c r="C7551" s="9">
        <v>46143</v>
      </c>
      <c r="D7551">
        <v>31</v>
      </c>
      <c r="E7551" s="16" t="s">
        <v>120</v>
      </c>
      <c r="F7551" s="16" t="s">
        <v>92</v>
      </c>
      <c r="G7551" s="22">
        <v>4.5</v>
      </c>
      <c r="H7551" s="18">
        <v>4.2675000000000001</v>
      </c>
      <c r="I7551" s="18">
        <v>0.948333333</v>
      </c>
      <c r="J7551" s="18">
        <v>0.97</v>
      </c>
      <c r="K7551" s="18">
        <v>0.93</v>
      </c>
      <c r="L7551" s="22">
        <v>6</v>
      </c>
    </row>
    <row r="7552" spans="1:12">
      <c r="A7552">
        <v>8</v>
      </c>
      <c r="B7552" s="16" t="s">
        <v>63</v>
      </c>
      <c r="C7552" s="9">
        <v>46174</v>
      </c>
      <c r="D7552">
        <v>31</v>
      </c>
      <c r="E7552" s="16" t="s">
        <v>120</v>
      </c>
      <c r="F7552" s="16" t="s">
        <v>92</v>
      </c>
      <c r="G7552" s="22">
        <v>6</v>
      </c>
      <c r="H7552" s="18">
        <v>5.49</v>
      </c>
      <c r="I7552" s="18">
        <v>0.91500000000000004</v>
      </c>
      <c r="J7552" s="18">
        <v>0.93</v>
      </c>
      <c r="K7552" s="18">
        <v>0.89</v>
      </c>
      <c r="L7552" s="22">
        <v>8</v>
      </c>
    </row>
    <row r="7553" spans="1:12">
      <c r="A7553">
        <v>8</v>
      </c>
      <c r="B7553" s="16" t="s">
        <v>63</v>
      </c>
      <c r="C7553" s="9">
        <v>46204</v>
      </c>
      <c r="D7553">
        <v>31</v>
      </c>
      <c r="E7553" s="16" t="s">
        <v>120</v>
      </c>
      <c r="F7553" s="16" t="s">
        <v>92</v>
      </c>
      <c r="G7553" s="22">
        <v>4.5</v>
      </c>
      <c r="H7553" s="18">
        <v>4.0650000000000004</v>
      </c>
      <c r="I7553" s="18">
        <v>0.90333333299999996</v>
      </c>
      <c r="J7553" s="18">
        <v>0.92</v>
      </c>
      <c r="K7553" s="18">
        <v>0.88</v>
      </c>
      <c r="L7553" s="22">
        <v>6</v>
      </c>
    </row>
    <row r="7554" spans="1:12">
      <c r="A7554">
        <v>8</v>
      </c>
      <c r="B7554" s="16" t="s">
        <v>63</v>
      </c>
      <c r="C7554" s="9">
        <v>46235</v>
      </c>
      <c r="D7554">
        <v>31</v>
      </c>
      <c r="E7554" s="16" t="s">
        <v>120</v>
      </c>
      <c r="F7554" s="16" t="s">
        <v>92</v>
      </c>
      <c r="G7554" s="22">
        <v>5.25</v>
      </c>
      <c r="H7554" s="18">
        <v>4.8825000000000003</v>
      </c>
      <c r="I7554" s="18">
        <v>0.93</v>
      </c>
      <c r="J7554" s="18">
        <v>0.94</v>
      </c>
      <c r="K7554" s="18">
        <v>0.92</v>
      </c>
      <c r="L7554" s="22">
        <v>7</v>
      </c>
    </row>
    <row r="7555" spans="1:12">
      <c r="A7555">
        <v>8</v>
      </c>
      <c r="B7555" s="16" t="s">
        <v>63</v>
      </c>
      <c r="C7555" s="9">
        <v>46266</v>
      </c>
      <c r="D7555">
        <v>31</v>
      </c>
      <c r="E7555" s="16" t="s">
        <v>120</v>
      </c>
      <c r="F7555" s="16" t="s">
        <v>92</v>
      </c>
      <c r="G7555" s="22">
        <v>5.25</v>
      </c>
      <c r="H7555" s="18">
        <v>4.95</v>
      </c>
      <c r="I7555" s="18">
        <v>0.94285714300000001</v>
      </c>
      <c r="J7555" s="18">
        <v>0.96</v>
      </c>
      <c r="K7555" s="18">
        <v>0.93</v>
      </c>
      <c r="L7555" s="22">
        <v>7</v>
      </c>
    </row>
    <row r="7556" spans="1:12">
      <c r="A7556">
        <v>8</v>
      </c>
      <c r="B7556" s="16" t="s">
        <v>63</v>
      </c>
      <c r="C7556" s="9">
        <v>45689</v>
      </c>
      <c r="D7556">
        <v>32</v>
      </c>
      <c r="E7556" s="16" t="s">
        <v>121</v>
      </c>
      <c r="F7556" s="16" t="s">
        <v>92</v>
      </c>
      <c r="G7556" s="22">
        <v>10</v>
      </c>
      <c r="H7556" s="18">
        <v>5.38</v>
      </c>
      <c r="I7556" s="18">
        <v>0.53800000000000003</v>
      </c>
      <c r="J7556" s="18">
        <v>0.55000000000000004</v>
      </c>
      <c r="K7556" s="18">
        <v>0.53</v>
      </c>
      <c r="L7556" s="22">
        <v>8</v>
      </c>
    </row>
    <row r="7557" spans="1:12">
      <c r="A7557">
        <v>8</v>
      </c>
      <c r="B7557" s="16" t="s">
        <v>63</v>
      </c>
      <c r="C7557" s="9">
        <v>45717</v>
      </c>
      <c r="D7557">
        <v>32</v>
      </c>
      <c r="E7557" s="16" t="s">
        <v>121</v>
      </c>
      <c r="F7557" s="16" t="s">
        <v>92</v>
      </c>
      <c r="G7557" s="22">
        <v>9</v>
      </c>
      <c r="H7557" s="18">
        <v>4.7149999999999999</v>
      </c>
      <c r="I7557" s="18">
        <v>0.52388888899999997</v>
      </c>
      <c r="J7557" s="18">
        <v>0.54</v>
      </c>
      <c r="K7557" s="18">
        <v>0.51</v>
      </c>
      <c r="L7557" s="22">
        <v>7</v>
      </c>
    </row>
    <row r="7558" spans="1:12">
      <c r="A7558">
        <v>8</v>
      </c>
      <c r="B7558" s="16" t="s">
        <v>63</v>
      </c>
      <c r="C7558" s="9">
        <v>45748</v>
      </c>
      <c r="D7558">
        <v>32</v>
      </c>
      <c r="E7558" s="16" t="s">
        <v>121</v>
      </c>
      <c r="F7558" s="16" t="s">
        <v>92</v>
      </c>
      <c r="G7558" s="22">
        <v>11</v>
      </c>
      <c r="H7558" s="18">
        <v>5.4850000000000003</v>
      </c>
      <c r="I7558" s="18">
        <v>0.498636364</v>
      </c>
      <c r="J7558" s="18">
        <v>0.51</v>
      </c>
      <c r="K7558" s="18">
        <v>0.48</v>
      </c>
      <c r="L7558" s="22">
        <v>8</v>
      </c>
    </row>
    <row r="7559" spans="1:12">
      <c r="A7559">
        <v>8</v>
      </c>
      <c r="B7559" s="16" t="s">
        <v>63</v>
      </c>
      <c r="C7559" s="9">
        <v>45778</v>
      </c>
      <c r="D7559">
        <v>32</v>
      </c>
      <c r="E7559" s="16" t="s">
        <v>121</v>
      </c>
      <c r="F7559" s="16" t="s">
        <v>92</v>
      </c>
      <c r="G7559" s="22">
        <v>14</v>
      </c>
      <c r="H7559" s="18">
        <v>6.7850000000000001</v>
      </c>
      <c r="I7559" s="18">
        <v>0.48464285699999998</v>
      </c>
      <c r="J7559" s="18">
        <v>0.51</v>
      </c>
      <c r="K7559" s="18">
        <v>0.47</v>
      </c>
      <c r="L7559" s="22">
        <v>9</v>
      </c>
    </row>
    <row r="7560" spans="1:12">
      <c r="A7560">
        <v>8</v>
      </c>
      <c r="B7560" s="16" t="s">
        <v>63</v>
      </c>
      <c r="C7560" s="9">
        <v>45809</v>
      </c>
      <c r="D7560">
        <v>32</v>
      </c>
      <c r="E7560" s="16" t="s">
        <v>121</v>
      </c>
      <c r="F7560" s="16" t="s">
        <v>92</v>
      </c>
      <c r="G7560" s="22">
        <v>14.5</v>
      </c>
      <c r="H7560" s="18">
        <v>6.77</v>
      </c>
      <c r="I7560" s="18">
        <v>0.46689655200000002</v>
      </c>
      <c r="J7560" s="18">
        <v>0.48</v>
      </c>
      <c r="K7560" s="18">
        <v>0.46</v>
      </c>
      <c r="L7560" s="22">
        <v>9</v>
      </c>
    </row>
    <row r="7561" spans="1:12">
      <c r="A7561">
        <v>8</v>
      </c>
      <c r="B7561" s="16" t="s">
        <v>63</v>
      </c>
      <c r="C7561" s="9">
        <v>45839</v>
      </c>
      <c r="D7561">
        <v>32</v>
      </c>
      <c r="E7561" s="16" t="s">
        <v>121</v>
      </c>
      <c r="F7561" s="16" t="s">
        <v>92</v>
      </c>
      <c r="G7561" s="22">
        <v>12</v>
      </c>
      <c r="H7561" s="18">
        <v>5.5049999999999999</v>
      </c>
      <c r="I7561" s="18">
        <v>0.45874999999999999</v>
      </c>
      <c r="J7561" s="18">
        <v>0.47</v>
      </c>
      <c r="K7561" s="18">
        <v>0.45</v>
      </c>
      <c r="L7561" s="22">
        <v>9</v>
      </c>
    </row>
    <row r="7562" spans="1:12">
      <c r="A7562">
        <v>8</v>
      </c>
      <c r="B7562" s="16" t="s">
        <v>63</v>
      </c>
      <c r="C7562" s="9">
        <v>45870</v>
      </c>
      <c r="D7562">
        <v>32</v>
      </c>
      <c r="E7562" s="16" t="s">
        <v>121</v>
      </c>
      <c r="F7562" s="16" t="s">
        <v>92</v>
      </c>
      <c r="G7562" s="22">
        <v>13</v>
      </c>
      <c r="H7562" s="18">
        <v>6.0549999999999997</v>
      </c>
      <c r="I7562" s="18">
        <v>0.46576923100000001</v>
      </c>
      <c r="J7562" s="18">
        <v>0.48</v>
      </c>
      <c r="K7562" s="18">
        <v>0.46</v>
      </c>
      <c r="L7562" s="22">
        <v>8</v>
      </c>
    </row>
    <row r="7563" spans="1:12">
      <c r="A7563">
        <v>8</v>
      </c>
      <c r="B7563" s="16" t="s">
        <v>63</v>
      </c>
      <c r="C7563" s="9">
        <v>45901</v>
      </c>
      <c r="D7563">
        <v>32</v>
      </c>
      <c r="E7563" s="16" t="s">
        <v>121</v>
      </c>
      <c r="F7563" s="16" t="s">
        <v>92</v>
      </c>
      <c r="G7563" s="22">
        <v>12.5</v>
      </c>
      <c r="H7563" s="18">
        <v>6.13</v>
      </c>
      <c r="I7563" s="18">
        <v>0.4904</v>
      </c>
      <c r="J7563" s="18">
        <v>0.5</v>
      </c>
      <c r="K7563" s="18">
        <v>0.48</v>
      </c>
      <c r="L7563" s="22">
        <v>9</v>
      </c>
    </row>
    <row r="7564" spans="1:12">
      <c r="A7564">
        <v>8</v>
      </c>
      <c r="B7564" s="16" t="s">
        <v>63</v>
      </c>
      <c r="C7564" s="9">
        <v>45931</v>
      </c>
      <c r="D7564">
        <v>32</v>
      </c>
      <c r="E7564" s="16" t="s">
        <v>121</v>
      </c>
      <c r="F7564" s="16" t="s">
        <v>92</v>
      </c>
      <c r="G7564" s="22">
        <v>13</v>
      </c>
      <c r="H7564" s="18">
        <v>6.6550000000000002</v>
      </c>
      <c r="I7564" s="18">
        <v>0.51192307699999995</v>
      </c>
      <c r="J7564" s="18">
        <v>0.53</v>
      </c>
      <c r="K7564" s="18">
        <v>0.49</v>
      </c>
      <c r="L7564" s="22">
        <v>9</v>
      </c>
    </row>
    <row r="7565" spans="1:12">
      <c r="A7565">
        <v>8</v>
      </c>
      <c r="B7565" s="16" t="s">
        <v>63</v>
      </c>
      <c r="C7565" s="9">
        <v>45962</v>
      </c>
      <c r="D7565">
        <v>32</v>
      </c>
      <c r="E7565" s="16" t="s">
        <v>121</v>
      </c>
      <c r="F7565" s="16" t="s">
        <v>92</v>
      </c>
      <c r="G7565" s="22">
        <v>9.5</v>
      </c>
      <c r="H7565" s="18">
        <v>5.08</v>
      </c>
      <c r="I7565" s="18">
        <v>0.53473684200000005</v>
      </c>
      <c r="J7565" s="18">
        <v>0.56999999999999995</v>
      </c>
      <c r="K7565" s="18">
        <v>0.52</v>
      </c>
      <c r="L7565" s="22">
        <v>8</v>
      </c>
    </row>
    <row r="7566" spans="1:12">
      <c r="A7566">
        <v>8</v>
      </c>
      <c r="B7566" s="16" t="s">
        <v>63</v>
      </c>
      <c r="C7566" s="9">
        <v>45992</v>
      </c>
      <c r="D7566">
        <v>32</v>
      </c>
      <c r="E7566" s="16" t="s">
        <v>121</v>
      </c>
      <c r="F7566" s="16" t="s">
        <v>92</v>
      </c>
      <c r="G7566" s="22">
        <v>10</v>
      </c>
      <c r="H7566" s="18">
        <v>5.49</v>
      </c>
      <c r="I7566" s="18">
        <v>0.54900000000000004</v>
      </c>
      <c r="J7566" s="18">
        <v>0.56000000000000005</v>
      </c>
      <c r="K7566" s="18">
        <v>0.54</v>
      </c>
      <c r="L7566" s="22">
        <v>9</v>
      </c>
    </row>
    <row r="7567" spans="1:12">
      <c r="A7567">
        <v>8</v>
      </c>
      <c r="B7567" s="16" t="s">
        <v>63</v>
      </c>
      <c r="C7567" s="9">
        <v>46023</v>
      </c>
      <c r="D7567">
        <v>32</v>
      </c>
      <c r="E7567" s="16" t="s">
        <v>121</v>
      </c>
      <c r="F7567" s="16" t="s">
        <v>92</v>
      </c>
      <c r="G7567" s="22">
        <v>8.5</v>
      </c>
      <c r="H7567" s="18">
        <v>4.79</v>
      </c>
      <c r="I7567" s="18">
        <v>0.56352941199999995</v>
      </c>
      <c r="J7567" s="18">
        <v>0.56999999999999995</v>
      </c>
      <c r="K7567" s="18">
        <v>0.55000000000000004</v>
      </c>
      <c r="L7567" s="22">
        <v>9</v>
      </c>
    </row>
    <row r="7568" spans="1:12">
      <c r="A7568">
        <v>8</v>
      </c>
      <c r="B7568" s="16" t="s">
        <v>63</v>
      </c>
      <c r="C7568" s="9">
        <v>46054</v>
      </c>
      <c r="D7568">
        <v>32</v>
      </c>
      <c r="E7568" s="16" t="s">
        <v>121</v>
      </c>
      <c r="F7568" s="16" t="s">
        <v>92</v>
      </c>
      <c r="G7568" s="22">
        <v>7</v>
      </c>
      <c r="H7568" s="18">
        <v>3.83</v>
      </c>
      <c r="I7568" s="18">
        <v>0.54714285699999998</v>
      </c>
      <c r="J7568" s="18">
        <v>0.56000000000000005</v>
      </c>
      <c r="K7568" s="18">
        <v>0.54</v>
      </c>
      <c r="L7568" s="22">
        <v>8</v>
      </c>
    </row>
    <row r="7569" spans="1:12">
      <c r="A7569">
        <v>8</v>
      </c>
      <c r="B7569" s="16" t="s">
        <v>63</v>
      </c>
      <c r="C7569" s="9">
        <v>46082</v>
      </c>
      <c r="D7569">
        <v>32</v>
      </c>
      <c r="E7569" s="16" t="s">
        <v>121</v>
      </c>
      <c r="F7569" s="16" t="s">
        <v>92</v>
      </c>
      <c r="G7569" s="22">
        <v>10.5</v>
      </c>
      <c r="H7569" s="18">
        <v>5.62</v>
      </c>
      <c r="I7569" s="18">
        <v>0.53523809499999997</v>
      </c>
      <c r="J7569" s="18">
        <v>0.55000000000000004</v>
      </c>
      <c r="K7569" s="18">
        <v>0.52</v>
      </c>
      <c r="L7569" s="22">
        <v>9</v>
      </c>
    </row>
    <row r="7570" spans="1:12">
      <c r="A7570">
        <v>8</v>
      </c>
      <c r="B7570" s="16" t="s">
        <v>63</v>
      </c>
      <c r="C7570" s="9">
        <v>46113</v>
      </c>
      <c r="D7570">
        <v>32</v>
      </c>
      <c r="E7570" s="16" t="s">
        <v>121</v>
      </c>
      <c r="F7570" s="16" t="s">
        <v>92</v>
      </c>
      <c r="G7570" s="22">
        <v>10</v>
      </c>
      <c r="H7570" s="18">
        <v>5.1449999999999996</v>
      </c>
      <c r="I7570" s="18">
        <v>0.51449999999999996</v>
      </c>
      <c r="J7570" s="18">
        <v>0.53</v>
      </c>
      <c r="K7570" s="18">
        <v>0.51</v>
      </c>
      <c r="L7570" s="22">
        <v>9</v>
      </c>
    </row>
    <row r="7571" spans="1:12">
      <c r="A7571">
        <v>8</v>
      </c>
      <c r="B7571" s="16" t="s">
        <v>63</v>
      </c>
      <c r="C7571" s="9">
        <v>46143</v>
      </c>
      <c r="D7571">
        <v>32</v>
      </c>
      <c r="E7571" s="16" t="s">
        <v>121</v>
      </c>
      <c r="F7571" s="16" t="s">
        <v>92</v>
      </c>
      <c r="G7571" s="22">
        <v>9</v>
      </c>
      <c r="H7571" s="18">
        <v>4.3650000000000002</v>
      </c>
      <c r="I7571" s="18">
        <v>0.48499999999999999</v>
      </c>
      <c r="J7571" s="18">
        <v>0.49</v>
      </c>
      <c r="K7571" s="18">
        <v>0.47</v>
      </c>
      <c r="L7571" s="22">
        <v>8</v>
      </c>
    </row>
    <row r="7572" spans="1:12">
      <c r="A7572">
        <v>8</v>
      </c>
      <c r="B7572" s="16" t="s">
        <v>63</v>
      </c>
      <c r="C7572" s="9">
        <v>46174</v>
      </c>
      <c r="D7572">
        <v>32</v>
      </c>
      <c r="E7572" s="16" t="s">
        <v>121</v>
      </c>
      <c r="F7572" s="16" t="s">
        <v>92</v>
      </c>
      <c r="G7572" s="22">
        <v>12.5</v>
      </c>
      <c r="H7572" s="18">
        <v>5.87</v>
      </c>
      <c r="I7572" s="18">
        <v>0.46960000000000002</v>
      </c>
      <c r="J7572" s="18">
        <v>0.48</v>
      </c>
      <c r="K7572" s="18">
        <v>0.46</v>
      </c>
      <c r="L7572" s="22">
        <v>9</v>
      </c>
    </row>
    <row r="7573" spans="1:12">
      <c r="A7573">
        <v>8</v>
      </c>
      <c r="B7573" s="16" t="s">
        <v>63</v>
      </c>
      <c r="C7573" s="9">
        <v>46204</v>
      </c>
      <c r="D7573">
        <v>32</v>
      </c>
      <c r="E7573" s="16" t="s">
        <v>121</v>
      </c>
      <c r="F7573" s="16" t="s">
        <v>92</v>
      </c>
      <c r="G7573" s="22">
        <v>8.5</v>
      </c>
      <c r="H7573" s="18">
        <v>3.895</v>
      </c>
      <c r="I7573" s="18">
        <v>0.45823529400000002</v>
      </c>
      <c r="J7573" s="18">
        <v>0.47</v>
      </c>
      <c r="K7573" s="18">
        <v>0.45</v>
      </c>
      <c r="L7573" s="22">
        <v>8</v>
      </c>
    </row>
    <row r="7574" spans="1:12">
      <c r="A7574">
        <v>8</v>
      </c>
      <c r="B7574" s="16" t="s">
        <v>63</v>
      </c>
      <c r="C7574" s="9">
        <v>46235</v>
      </c>
      <c r="D7574">
        <v>32</v>
      </c>
      <c r="E7574" s="16" t="s">
        <v>121</v>
      </c>
      <c r="F7574" s="16" t="s">
        <v>92</v>
      </c>
      <c r="G7574" s="22">
        <v>10.5</v>
      </c>
      <c r="H7574" s="18">
        <v>4.8550000000000004</v>
      </c>
      <c r="I7574" s="18">
        <v>0.46238095200000001</v>
      </c>
      <c r="J7574" s="18">
        <v>0.47</v>
      </c>
      <c r="K7574" s="18">
        <v>0.45</v>
      </c>
      <c r="L7574" s="22">
        <v>9</v>
      </c>
    </row>
    <row r="7575" spans="1:12">
      <c r="A7575">
        <v>8</v>
      </c>
      <c r="B7575" s="16" t="s">
        <v>63</v>
      </c>
      <c r="C7575" s="9">
        <v>46266</v>
      </c>
      <c r="D7575">
        <v>32</v>
      </c>
      <c r="E7575" s="16" t="s">
        <v>121</v>
      </c>
      <c r="F7575" s="16" t="s">
        <v>92</v>
      </c>
      <c r="G7575" s="22">
        <v>9.5</v>
      </c>
      <c r="H7575" s="18">
        <v>4.5449999999999999</v>
      </c>
      <c r="I7575" s="18">
        <v>0.47842105299999999</v>
      </c>
      <c r="J7575" s="18">
        <v>0.48</v>
      </c>
      <c r="K7575" s="18">
        <v>0.47</v>
      </c>
      <c r="L7575" s="22">
        <v>8</v>
      </c>
    </row>
    <row r="7576" spans="1:12">
      <c r="A7576">
        <v>8</v>
      </c>
      <c r="B7576" s="16" t="s">
        <v>63</v>
      </c>
      <c r="C7576" s="9">
        <v>45689</v>
      </c>
      <c r="D7576">
        <v>33</v>
      </c>
      <c r="E7576" s="16" t="s">
        <v>122</v>
      </c>
      <c r="F7576" s="16" t="s">
        <v>92</v>
      </c>
      <c r="G7576" s="22">
        <v>44</v>
      </c>
      <c r="H7576" s="18">
        <v>33.799999999999997</v>
      </c>
      <c r="I7576" s="18">
        <v>0.76818181799999996</v>
      </c>
      <c r="J7576" s="18">
        <v>0.79</v>
      </c>
      <c r="K7576" s="18">
        <v>0.75</v>
      </c>
      <c r="L7576" s="22">
        <v>8</v>
      </c>
    </row>
    <row r="7577" spans="1:12">
      <c r="A7577">
        <v>8</v>
      </c>
      <c r="B7577" s="16" t="s">
        <v>63</v>
      </c>
      <c r="C7577" s="9">
        <v>45717</v>
      </c>
      <c r="D7577">
        <v>33</v>
      </c>
      <c r="E7577" s="16" t="s">
        <v>122</v>
      </c>
      <c r="F7577" s="16" t="s">
        <v>92</v>
      </c>
      <c r="G7577" s="22">
        <v>50</v>
      </c>
      <c r="H7577" s="18">
        <v>37.36</v>
      </c>
      <c r="I7577" s="18">
        <v>0.74719999999999998</v>
      </c>
      <c r="J7577" s="18">
        <v>0.76</v>
      </c>
      <c r="K7577" s="18">
        <v>0.74</v>
      </c>
      <c r="L7577" s="22">
        <v>9</v>
      </c>
    </row>
    <row r="7578" spans="1:12">
      <c r="A7578">
        <v>8</v>
      </c>
      <c r="B7578" s="16" t="s">
        <v>63</v>
      </c>
      <c r="C7578" s="9">
        <v>45748</v>
      </c>
      <c r="D7578">
        <v>33</v>
      </c>
      <c r="E7578" s="16" t="s">
        <v>122</v>
      </c>
      <c r="F7578" s="16" t="s">
        <v>92</v>
      </c>
      <c r="G7578" s="22">
        <v>52</v>
      </c>
      <c r="H7578" s="18">
        <v>37.700000000000003</v>
      </c>
      <c r="I7578" s="18">
        <v>0.72499999999999998</v>
      </c>
      <c r="J7578" s="18">
        <v>0.78</v>
      </c>
      <c r="K7578" s="18">
        <v>0.71</v>
      </c>
      <c r="L7578" s="22">
        <v>8</v>
      </c>
    </row>
    <row r="7579" spans="1:12">
      <c r="A7579">
        <v>8</v>
      </c>
      <c r="B7579" s="16" t="s">
        <v>63</v>
      </c>
      <c r="C7579" s="9">
        <v>45778</v>
      </c>
      <c r="D7579">
        <v>33</v>
      </c>
      <c r="E7579" s="16" t="s">
        <v>122</v>
      </c>
      <c r="F7579" s="16" t="s">
        <v>92</v>
      </c>
      <c r="G7579" s="22">
        <v>74</v>
      </c>
      <c r="H7579" s="18">
        <v>51.04</v>
      </c>
      <c r="I7579" s="18">
        <v>0.68972973000000004</v>
      </c>
      <c r="J7579" s="18">
        <v>0.7</v>
      </c>
      <c r="K7579" s="18">
        <v>0.68</v>
      </c>
      <c r="L7579" s="22">
        <v>9</v>
      </c>
    </row>
    <row r="7580" spans="1:12">
      <c r="A7580">
        <v>8</v>
      </c>
      <c r="B7580" s="16" t="s">
        <v>63</v>
      </c>
      <c r="C7580" s="9">
        <v>45809</v>
      </c>
      <c r="D7580">
        <v>33</v>
      </c>
      <c r="E7580" s="16" t="s">
        <v>122</v>
      </c>
      <c r="F7580" s="16" t="s">
        <v>92</v>
      </c>
      <c r="G7580" s="22">
        <v>70</v>
      </c>
      <c r="H7580" s="18">
        <v>47.38</v>
      </c>
      <c r="I7580" s="18">
        <v>0.67685714299999999</v>
      </c>
      <c r="J7580" s="18">
        <v>0.68</v>
      </c>
      <c r="K7580" s="18">
        <v>0.67</v>
      </c>
      <c r="L7580" s="22">
        <v>9</v>
      </c>
    </row>
    <row r="7581" spans="1:12">
      <c r="A7581">
        <v>8</v>
      </c>
      <c r="B7581" s="16" t="s">
        <v>63</v>
      </c>
      <c r="C7581" s="9">
        <v>45839</v>
      </c>
      <c r="D7581">
        <v>33</v>
      </c>
      <c r="E7581" s="16" t="s">
        <v>122</v>
      </c>
      <c r="F7581" s="16" t="s">
        <v>92</v>
      </c>
      <c r="G7581" s="22">
        <v>56</v>
      </c>
      <c r="H7581" s="18">
        <v>36.880000000000003</v>
      </c>
      <c r="I7581" s="18">
        <v>0.65857142899999999</v>
      </c>
      <c r="J7581" s="18">
        <v>0.66</v>
      </c>
      <c r="K7581" s="18">
        <v>0.65</v>
      </c>
      <c r="L7581" s="22">
        <v>9</v>
      </c>
    </row>
    <row r="7582" spans="1:12">
      <c r="A7582">
        <v>8</v>
      </c>
      <c r="B7582" s="16" t="s">
        <v>63</v>
      </c>
      <c r="C7582" s="9">
        <v>45870</v>
      </c>
      <c r="D7582">
        <v>33</v>
      </c>
      <c r="E7582" s="16" t="s">
        <v>122</v>
      </c>
      <c r="F7582" s="16" t="s">
        <v>92</v>
      </c>
      <c r="G7582" s="22">
        <v>64</v>
      </c>
      <c r="H7582" s="18">
        <v>42.52</v>
      </c>
      <c r="I7582" s="18">
        <v>0.66437500000000005</v>
      </c>
      <c r="J7582" s="18">
        <v>0.67</v>
      </c>
      <c r="K7582" s="18">
        <v>0.65</v>
      </c>
      <c r="L7582" s="22">
        <v>8</v>
      </c>
    </row>
    <row r="7583" spans="1:12">
      <c r="A7583">
        <v>8</v>
      </c>
      <c r="B7583" s="16" t="s">
        <v>63</v>
      </c>
      <c r="C7583" s="9">
        <v>45901</v>
      </c>
      <c r="D7583">
        <v>33</v>
      </c>
      <c r="E7583" s="16" t="s">
        <v>122</v>
      </c>
      <c r="F7583" s="16" t="s">
        <v>92</v>
      </c>
      <c r="G7583" s="22">
        <v>62</v>
      </c>
      <c r="H7583" s="18">
        <v>42.82</v>
      </c>
      <c r="I7583" s="18">
        <v>0.69064516099999995</v>
      </c>
      <c r="J7583" s="18">
        <v>0.7</v>
      </c>
      <c r="K7583" s="18">
        <v>0.68</v>
      </c>
      <c r="L7583" s="22">
        <v>9</v>
      </c>
    </row>
    <row r="7584" spans="1:12">
      <c r="A7584">
        <v>8</v>
      </c>
      <c r="B7584" s="16" t="s">
        <v>63</v>
      </c>
      <c r="C7584" s="9">
        <v>45931</v>
      </c>
      <c r="D7584">
        <v>33</v>
      </c>
      <c r="E7584" s="16" t="s">
        <v>122</v>
      </c>
      <c r="F7584" s="16" t="s">
        <v>92</v>
      </c>
      <c r="G7584" s="22">
        <v>64</v>
      </c>
      <c r="H7584" s="18">
        <v>45.94</v>
      </c>
      <c r="I7584" s="18">
        <v>0.71781249999999996</v>
      </c>
      <c r="J7584" s="18">
        <v>0.73</v>
      </c>
      <c r="K7584" s="18">
        <v>0.7</v>
      </c>
      <c r="L7584" s="22">
        <v>9</v>
      </c>
    </row>
    <row r="7585" spans="1:12">
      <c r="A7585">
        <v>8</v>
      </c>
      <c r="B7585" s="16" t="s">
        <v>63</v>
      </c>
      <c r="C7585" s="9">
        <v>45962</v>
      </c>
      <c r="D7585">
        <v>33</v>
      </c>
      <c r="E7585" s="16" t="s">
        <v>122</v>
      </c>
      <c r="F7585" s="16" t="s">
        <v>92</v>
      </c>
      <c r="G7585" s="22">
        <v>48</v>
      </c>
      <c r="H7585" s="18">
        <v>35.840000000000003</v>
      </c>
      <c r="I7585" s="18">
        <v>0.74666666699999995</v>
      </c>
      <c r="J7585" s="18">
        <v>0.75</v>
      </c>
      <c r="K7585" s="18">
        <v>0.74</v>
      </c>
      <c r="L7585" s="22">
        <v>8</v>
      </c>
    </row>
    <row r="7586" spans="1:12">
      <c r="A7586">
        <v>8</v>
      </c>
      <c r="B7586" s="16" t="s">
        <v>63</v>
      </c>
      <c r="C7586" s="9">
        <v>45992</v>
      </c>
      <c r="D7586">
        <v>33</v>
      </c>
      <c r="E7586" s="16" t="s">
        <v>122</v>
      </c>
      <c r="F7586" s="16" t="s">
        <v>92</v>
      </c>
      <c r="G7586" s="22">
        <v>48</v>
      </c>
      <c r="H7586" s="18">
        <v>36.92</v>
      </c>
      <c r="I7586" s="18">
        <v>0.76916666700000003</v>
      </c>
      <c r="J7586" s="18">
        <v>0.79</v>
      </c>
      <c r="K7586" s="18">
        <v>0.75</v>
      </c>
      <c r="L7586" s="22">
        <v>9</v>
      </c>
    </row>
    <row r="7587" spans="1:12">
      <c r="A7587">
        <v>8</v>
      </c>
      <c r="B7587" s="16" t="s">
        <v>63</v>
      </c>
      <c r="C7587" s="9">
        <v>46023</v>
      </c>
      <c r="D7587">
        <v>33</v>
      </c>
      <c r="E7587" s="16" t="s">
        <v>122</v>
      </c>
      <c r="F7587" s="16" t="s">
        <v>92</v>
      </c>
      <c r="G7587" s="22">
        <v>48</v>
      </c>
      <c r="H7587" s="18">
        <v>37.479999999999997</v>
      </c>
      <c r="I7587" s="18">
        <v>0.78083333300000002</v>
      </c>
      <c r="J7587" s="18">
        <v>0.8</v>
      </c>
      <c r="K7587" s="18">
        <v>0.77</v>
      </c>
      <c r="L7587" s="22">
        <v>9</v>
      </c>
    </row>
    <row r="7588" spans="1:12">
      <c r="A7588">
        <v>8</v>
      </c>
      <c r="B7588" s="16" t="s">
        <v>63</v>
      </c>
      <c r="C7588" s="9">
        <v>46054</v>
      </c>
      <c r="D7588">
        <v>33</v>
      </c>
      <c r="E7588" s="16" t="s">
        <v>122</v>
      </c>
      <c r="F7588" s="16" t="s">
        <v>92</v>
      </c>
      <c r="G7588" s="22">
        <v>44</v>
      </c>
      <c r="H7588" s="18">
        <v>34.44</v>
      </c>
      <c r="I7588" s="18">
        <v>0.782727273</v>
      </c>
      <c r="J7588" s="18">
        <v>0.79</v>
      </c>
      <c r="K7588" s="18">
        <v>0.76</v>
      </c>
      <c r="L7588" s="22">
        <v>8</v>
      </c>
    </row>
    <row r="7589" spans="1:12">
      <c r="A7589">
        <v>8</v>
      </c>
      <c r="B7589" s="16" t="s">
        <v>63</v>
      </c>
      <c r="C7589" s="9">
        <v>46082</v>
      </c>
      <c r="D7589">
        <v>33</v>
      </c>
      <c r="E7589" s="16" t="s">
        <v>122</v>
      </c>
      <c r="F7589" s="16" t="s">
        <v>92</v>
      </c>
      <c r="G7589" s="22">
        <v>44</v>
      </c>
      <c r="H7589" s="18">
        <v>33.26</v>
      </c>
      <c r="I7589" s="18">
        <v>0.75590909100000003</v>
      </c>
      <c r="J7589" s="18">
        <v>0.78</v>
      </c>
      <c r="K7589" s="18">
        <v>0.74</v>
      </c>
      <c r="L7589" s="22">
        <v>9</v>
      </c>
    </row>
    <row r="7590" spans="1:12">
      <c r="A7590">
        <v>8</v>
      </c>
      <c r="B7590" s="16" t="s">
        <v>63</v>
      </c>
      <c r="C7590" s="9">
        <v>46113</v>
      </c>
      <c r="D7590">
        <v>33</v>
      </c>
      <c r="E7590" s="16" t="s">
        <v>122</v>
      </c>
      <c r="F7590" s="16" t="s">
        <v>92</v>
      </c>
      <c r="G7590" s="22">
        <v>44</v>
      </c>
      <c r="H7590" s="18">
        <v>32.119999999999997</v>
      </c>
      <c r="I7590" s="18">
        <v>0.73</v>
      </c>
      <c r="J7590" s="18">
        <v>0.75</v>
      </c>
      <c r="K7590" s="18">
        <v>0.72</v>
      </c>
      <c r="L7590" s="22">
        <v>9</v>
      </c>
    </row>
    <row r="7591" spans="1:12">
      <c r="A7591">
        <v>8</v>
      </c>
      <c r="B7591" s="16" t="s">
        <v>63</v>
      </c>
      <c r="C7591" s="9">
        <v>46143</v>
      </c>
      <c r="D7591">
        <v>33</v>
      </c>
      <c r="E7591" s="16" t="s">
        <v>122</v>
      </c>
      <c r="F7591" s="16" t="s">
        <v>92</v>
      </c>
      <c r="G7591" s="22">
        <v>42</v>
      </c>
      <c r="H7591" s="18">
        <v>29.5</v>
      </c>
      <c r="I7591" s="18">
        <v>0.70238095199999995</v>
      </c>
      <c r="J7591" s="18">
        <v>0.71</v>
      </c>
      <c r="K7591" s="18">
        <v>0.7</v>
      </c>
      <c r="L7591" s="22">
        <v>8</v>
      </c>
    </row>
    <row r="7592" spans="1:12">
      <c r="A7592">
        <v>8</v>
      </c>
      <c r="B7592" s="16" t="s">
        <v>63</v>
      </c>
      <c r="C7592" s="9">
        <v>46174</v>
      </c>
      <c r="D7592">
        <v>33</v>
      </c>
      <c r="E7592" s="16" t="s">
        <v>122</v>
      </c>
      <c r="F7592" s="16" t="s">
        <v>92</v>
      </c>
      <c r="G7592" s="22">
        <v>56</v>
      </c>
      <c r="H7592" s="18">
        <v>38.4</v>
      </c>
      <c r="I7592" s="18">
        <v>0.68571428599999995</v>
      </c>
      <c r="J7592" s="18">
        <v>0.7</v>
      </c>
      <c r="K7592" s="18">
        <v>0.67</v>
      </c>
      <c r="L7592" s="22">
        <v>9</v>
      </c>
    </row>
    <row r="7593" spans="1:12">
      <c r="A7593">
        <v>8</v>
      </c>
      <c r="B7593" s="16" t="s">
        <v>63</v>
      </c>
      <c r="C7593" s="9">
        <v>46204</v>
      </c>
      <c r="D7593">
        <v>33</v>
      </c>
      <c r="E7593" s="16" t="s">
        <v>122</v>
      </c>
      <c r="F7593" s="16" t="s">
        <v>92</v>
      </c>
      <c r="G7593" s="22">
        <v>46</v>
      </c>
      <c r="H7593" s="18">
        <v>30.5</v>
      </c>
      <c r="I7593" s="18">
        <v>0.66304347799999996</v>
      </c>
      <c r="J7593" s="18">
        <v>0.68</v>
      </c>
      <c r="K7593" s="18">
        <v>0.65</v>
      </c>
      <c r="L7593" s="22">
        <v>9</v>
      </c>
    </row>
    <row r="7594" spans="1:12">
      <c r="A7594">
        <v>8</v>
      </c>
      <c r="B7594" s="16" t="s">
        <v>63</v>
      </c>
      <c r="C7594" s="9">
        <v>46235</v>
      </c>
      <c r="D7594">
        <v>33</v>
      </c>
      <c r="E7594" s="16" t="s">
        <v>122</v>
      </c>
      <c r="F7594" s="16" t="s">
        <v>92</v>
      </c>
      <c r="G7594" s="22">
        <v>52</v>
      </c>
      <c r="H7594" s="18">
        <v>35.08</v>
      </c>
      <c r="I7594" s="18">
        <v>0.67461538499999996</v>
      </c>
      <c r="J7594" s="18">
        <v>0.68</v>
      </c>
      <c r="K7594" s="18">
        <v>0.66</v>
      </c>
      <c r="L7594" s="22">
        <v>9</v>
      </c>
    </row>
    <row r="7595" spans="1:12">
      <c r="A7595">
        <v>8</v>
      </c>
      <c r="B7595" s="16" t="s">
        <v>63</v>
      </c>
      <c r="C7595" s="9">
        <v>46266</v>
      </c>
      <c r="D7595">
        <v>33</v>
      </c>
      <c r="E7595" s="16" t="s">
        <v>122</v>
      </c>
      <c r="F7595" s="16" t="s">
        <v>92</v>
      </c>
      <c r="G7595" s="22">
        <v>46</v>
      </c>
      <c r="H7595" s="18">
        <v>32.26</v>
      </c>
      <c r="I7595" s="18">
        <v>0.70130434799999997</v>
      </c>
      <c r="J7595" s="18">
        <v>0.73</v>
      </c>
      <c r="K7595" s="18">
        <v>0.69</v>
      </c>
      <c r="L7595" s="22">
        <v>8</v>
      </c>
    </row>
    <row r="7596" spans="1:12">
      <c r="A7596">
        <v>8</v>
      </c>
      <c r="B7596" s="16" t="s">
        <v>63</v>
      </c>
      <c r="C7596" s="9">
        <v>45689</v>
      </c>
      <c r="D7596">
        <v>34</v>
      </c>
      <c r="E7596" s="16" t="s">
        <v>123</v>
      </c>
      <c r="F7596" s="16" t="s">
        <v>114</v>
      </c>
      <c r="G7596" s="22">
        <v>8.25</v>
      </c>
      <c r="H7596" s="18">
        <v>30.442499999999999</v>
      </c>
      <c r="I7596" s="18">
        <v>3.69</v>
      </c>
      <c r="J7596" s="18">
        <v>3.75</v>
      </c>
      <c r="K7596" s="18">
        <v>3.64</v>
      </c>
      <c r="L7596" s="22">
        <v>8</v>
      </c>
    </row>
    <row r="7597" spans="1:12">
      <c r="A7597">
        <v>8</v>
      </c>
      <c r="B7597" s="16" t="s">
        <v>63</v>
      </c>
      <c r="C7597" s="9">
        <v>45717</v>
      </c>
      <c r="D7597">
        <v>34</v>
      </c>
      <c r="E7597" s="16" t="s">
        <v>123</v>
      </c>
      <c r="F7597" s="16" t="s">
        <v>114</v>
      </c>
      <c r="G7597" s="22">
        <v>7.5</v>
      </c>
      <c r="H7597" s="18">
        <v>27.4725</v>
      </c>
      <c r="I7597" s="18">
        <v>3.6629999999999998</v>
      </c>
      <c r="J7597" s="18">
        <v>3.76</v>
      </c>
      <c r="K7597" s="18">
        <v>3.59</v>
      </c>
      <c r="L7597" s="22">
        <v>8</v>
      </c>
    </row>
    <row r="7598" spans="1:12">
      <c r="A7598">
        <v>8</v>
      </c>
      <c r="B7598" s="16" t="s">
        <v>63</v>
      </c>
      <c r="C7598" s="9">
        <v>45748</v>
      </c>
      <c r="D7598">
        <v>34</v>
      </c>
      <c r="E7598" s="16" t="s">
        <v>123</v>
      </c>
      <c r="F7598" s="16" t="s">
        <v>114</v>
      </c>
      <c r="G7598" s="22">
        <v>9</v>
      </c>
      <c r="H7598" s="18">
        <v>33.36</v>
      </c>
      <c r="I7598" s="18">
        <v>3.7066666669999999</v>
      </c>
      <c r="J7598" s="18">
        <v>3.82</v>
      </c>
      <c r="K7598" s="18">
        <v>3.67</v>
      </c>
      <c r="L7598" s="22">
        <v>8</v>
      </c>
    </row>
    <row r="7599" spans="1:12">
      <c r="A7599">
        <v>8</v>
      </c>
      <c r="B7599" s="16" t="s">
        <v>63</v>
      </c>
      <c r="C7599" s="9">
        <v>45778</v>
      </c>
      <c r="D7599">
        <v>34</v>
      </c>
      <c r="E7599" s="16" t="s">
        <v>123</v>
      </c>
      <c r="F7599" s="16" t="s">
        <v>114</v>
      </c>
      <c r="G7599" s="22">
        <v>10.5</v>
      </c>
      <c r="H7599" s="18">
        <v>38.842500000000001</v>
      </c>
      <c r="I7599" s="18">
        <v>3.6992857140000002</v>
      </c>
      <c r="J7599" s="18">
        <v>3.76</v>
      </c>
      <c r="K7599" s="18">
        <v>3.64</v>
      </c>
      <c r="L7599" s="22">
        <v>9</v>
      </c>
    </row>
    <row r="7600" spans="1:12">
      <c r="A7600">
        <v>8</v>
      </c>
      <c r="B7600" s="16" t="s">
        <v>63</v>
      </c>
      <c r="C7600" s="9">
        <v>45809</v>
      </c>
      <c r="D7600">
        <v>34</v>
      </c>
      <c r="E7600" s="16" t="s">
        <v>123</v>
      </c>
      <c r="F7600" s="16" t="s">
        <v>114</v>
      </c>
      <c r="G7600" s="22">
        <v>9.75</v>
      </c>
      <c r="H7600" s="18">
        <v>36.1875</v>
      </c>
      <c r="I7600" s="18">
        <v>3.711538462</v>
      </c>
      <c r="J7600" s="18">
        <v>3.78</v>
      </c>
      <c r="K7600" s="18">
        <v>3.65</v>
      </c>
      <c r="L7600" s="22">
        <v>8</v>
      </c>
    </row>
    <row r="7601" spans="1:12">
      <c r="A7601">
        <v>8</v>
      </c>
      <c r="B7601" s="16" t="s">
        <v>63</v>
      </c>
      <c r="C7601" s="9">
        <v>45839</v>
      </c>
      <c r="D7601">
        <v>34</v>
      </c>
      <c r="E7601" s="16" t="s">
        <v>123</v>
      </c>
      <c r="F7601" s="16" t="s">
        <v>114</v>
      </c>
      <c r="G7601" s="22">
        <v>9.75</v>
      </c>
      <c r="H7601" s="18">
        <v>36.307499999999997</v>
      </c>
      <c r="I7601" s="18">
        <v>3.7238461539999999</v>
      </c>
      <c r="J7601" s="18">
        <v>3.78</v>
      </c>
      <c r="K7601" s="18">
        <v>3.65</v>
      </c>
      <c r="L7601" s="22">
        <v>9</v>
      </c>
    </row>
    <row r="7602" spans="1:12">
      <c r="A7602">
        <v>8</v>
      </c>
      <c r="B7602" s="16" t="s">
        <v>63</v>
      </c>
      <c r="C7602" s="9">
        <v>45870</v>
      </c>
      <c r="D7602">
        <v>34</v>
      </c>
      <c r="E7602" s="16" t="s">
        <v>123</v>
      </c>
      <c r="F7602" s="16" t="s">
        <v>114</v>
      </c>
      <c r="G7602" s="22">
        <v>10.5</v>
      </c>
      <c r="H7602" s="18">
        <v>39.06</v>
      </c>
      <c r="I7602" s="18">
        <v>3.72</v>
      </c>
      <c r="J7602" s="18">
        <v>3.79</v>
      </c>
      <c r="K7602" s="18">
        <v>3.64</v>
      </c>
      <c r="L7602" s="22">
        <v>8</v>
      </c>
    </row>
    <row r="7603" spans="1:12">
      <c r="A7603">
        <v>8</v>
      </c>
      <c r="B7603" s="16" t="s">
        <v>63</v>
      </c>
      <c r="C7603" s="9">
        <v>45901</v>
      </c>
      <c r="D7603">
        <v>34</v>
      </c>
      <c r="E7603" s="16" t="s">
        <v>123</v>
      </c>
      <c r="F7603" s="16" t="s">
        <v>114</v>
      </c>
      <c r="G7603" s="22">
        <v>12</v>
      </c>
      <c r="H7603" s="18">
        <v>45.817500000000003</v>
      </c>
      <c r="I7603" s="18">
        <v>3.8181250000000002</v>
      </c>
      <c r="J7603" s="18">
        <v>4.05</v>
      </c>
      <c r="K7603" s="18">
        <v>3.72</v>
      </c>
      <c r="L7603" s="22">
        <v>9</v>
      </c>
    </row>
    <row r="7604" spans="1:12">
      <c r="A7604">
        <v>8</v>
      </c>
      <c r="B7604" s="16" t="s">
        <v>63</v>
      </c>
      <c r="C7604" s="9">
        <v>45931</v>
      </c>
      <c r="D7604">
        <v>34</v>
      </c>
      <c r="E7604" s="16" t="s">
        <v>123</v>
      </c>
      <c r="F7604" s="16" t="s">
        <v>114</v>
      </c>
      <c r="G7604" s="22">
        <v>10.5</v>
      </c>
      <c r="H7604" s="18">
        <v>39.93</v>
      </c>
      <c r="I7604" s="18">
        <v>3.8028571430000002</v>
      </c>
      <c r="J7604" s="18">
        <v>3.89</v>
      </c>
      <c r="K7604" s="18">
        <v>3.71</v>
      </c>
      <c r="L7604" s="22">
        <v>9</v>
      </c>
    </row>
    <row r="7605" spans="1:12">
      <c r="A7605">
        <v>8</v>
      </c>
      <c r="B7605" s="16" t="s">
        <v>63</v>
      </c>
      <c r="C7605" s="9">
        <v>45962</v>
      </c>
      <c r="D7605">
        <v>34</v>
      </c>
      <c r="E7605" s="16" t="s">
        <v>123</v>
      </c>
      <c r="F7605" s="16" t="s">
        <v>114</v>
      </c>
      <c r="G7605" s="22">
        <v>8.25</v>
      </c>
      <c r="H7605" s="18">
        <v>31.454999999999998</v>
      </c>
      <c r="I7605" s="18">
        <v>3.8127272730000001</v>
      </c>
      <c r="J7605" s="18">
        <v>3.85</v>
      </c>
      <c r="K7605" s="18">
        <v>3.74</v>
      </c>
      <c r="L7605" s="22">
        <v>8</v>
      </c>
    </row>
    <row r="7606" spans="1:12">
      <c r="A7606">
        <v>8</v>
      </c>
      <c r="B7606" s="16" t="s">
        <v>63</v>
      </c>
      <c r="C7606" s="9">
        <v>45992</v>
      </c>
      <c r="D7606">
        <v>34</v>
      </c>
      <c r="E7606" s="16" t="s">
        <v>123</v>
      </c>
      <c r="F7606" s="16" t="s">
        <v>114</v>
      </c>
      <c r="G7606" s="22">
        <v>7.5</v>
      </c>
      <c r="H7606" s="18">
        <v>28.642499999999998</v>
      </c>
      <c r="I7606" s="18">
        <v>3.819</v>
      </c>
      <c r="J7606" s="18">
        <v>3.91</v>
      </c>
      <c r="K7606" s="18">
        <v>3.74</v>
      </c>
      <c r="L7606" s="22">
        <v>8</v>
      </c>
    </row>
    <row r="7607" spans="1:12">
      <c r="A7607">
        <v>8</v>
      </c>
      <c r="B7607" s="16" t="s">
        <v>63</v>
      </c>
      <c r="C7607" s="9">
        <v>46023</v>
      </c>
      <c r="D7607">
        <v>34</v>
      </c>
      <c r="E7607" s="16" t="s">
        <v>123</v>
      </c>
      <c r="F7607" s="16" t="s">
        <v>114</v>
      </c>
      <c r="G7607" s="22">
        <v>9.75</v>
      </c>
      <c r="H7607" s="18">
        <v>37.814999999999998</v>
      </c>
      <c r="I7607" s="18">
        <v>3.8784615379999998</v>
      </c>
      <c r="J7607" s="18">
        <v>3.93</v>
      </c>
      <c r="K7607" s="18">
        <v>3.83</v>
      </c>
      <c r="L7607" s="22">
        <v>9</v>
      </c>
    </row>
    <row r="7608" spans="1:12">
      <c r="A7608">
        <v>8</v>
      </c>
      <c r="B7608" s="16" t="s">
        <v>63</v>
      </c>
      <c r="C7608" s="9">
        <v>46054</v>
      </c>
      <c r="D7608">
        <v>34</v>
      </c>
      <c r="E7608" s="16" t="s">
        <v>123</v>
      </c>
      <c r="F7608" s="16" t="s">
        <v>114</v>
      </c>
      <c r="G7608" s="22">
        <v>9</v>
      </c>
      <c r="H7608" s="18">
        <v>35.047499999999999</v>
      </c>
      <c r="I7608" s="18">
        <v>3.8941666669999999</v>
      </c>
      <c r="J7608" s="18">
        <v>3.95</v>
      </c>
      <c r="K7608" s="18">
        <v>3.83</v>
      </c>
      <c r="L7608" s="22">
        <v>8</v>
      </c>
    </row>
    <row r="7609" spans="1:12">
      <c r="A7609">
        <v>8</v>
      </c>
      <c r="B7609" s="16" t="s">
        <v>63</v>
      </c>
      <c r="C7609" s="9">
        <v>46082</v>
      </c>
      <c r="D7609">
        <v>34</v>
      </c>
      <c r="E7609" s="16" t="s">
        <v>123</v>
      </c>
      <c r="F7609" s="16" t="s">
        <v>114</v>
      </c>
      <c r="G7609" s="22">
        <v>10.5</v>
      </c>
      <c r="H7609" s="18">
        <v>41.354999999999997</v>
      </c>
      <c r="I7609" s="18">
        <v>3.938571429</v>
      </c>
      <c r="J7609" s="18">
        <v>4.09</v>
      </c>
      <c r="K7609" s="18">
        <v>3.77</v>
      </c>
      <c r="L7609" s="22">
        <v>9</v>
      </c>
    </row>
    <row r="7610" spans="1:12">
      <c r="A7610">
        <v>8</v>
      </c>
      <c r="B7610" s="16" t="s">
        <v>63</v>
      </c>
      <c r="C7610" s="9">
        <v>46113</v>
      </c>
      <c r="D7610">
        <v>34</v>
      </c>
      <c r="E7610" s="16" t="s">
        <v>123</v>
      </c>
      <c r="F7610" s="16" t="s">
        <v>114</v>
      </c>
      <c r="G7610" s="22">
        <v>10.5</v>
      </c>
      <c r="H7610" s="18">
        <v>40.5075</v>
      </c>
      <c r="I7610" s="18">
        <v>3.8578571429999999</v>
      </c>
      <c r="J7610" s="18">
        <v>3.92</v>
      </c>
      <c r="K7610" s="18">
        <v>3.76</v>
      </c>
      <c r="L7610" s="22">
        <v>9</v>
      </c>
    </row>
    <row r="7611" spans="1:12">
      <c r="A7611">
        <v>8</v>
      </c>
      <c r="B7611" s="16" t="s">
        <v>63</v>
      </c>
      <c r="C7611" s="9">
        <v>46143</v>
      </c>
      <c r="D7611">
        <v>34</v>
      </c>
      <c r="E7611" s="16" t="s">
        <v>123</v>
      </c>
      <c r="F7611" s="16" t="s">
        <v>114</v>
      </c>
      <c r="G7611" s="22">
        <v>9</v>
      </c>
      <c r="H7611" s="18">
        <v>35.2575</v>
      </c>
      <c r="I7611" s="18">
        <v>3.9175</v>
      </c>
      <c r="J7611" s="18">
        <v>4.1100000000000003</v>
      </c>
      <c r="K7611" s="18">
        <v>3.79</v>
      </c>
      <c r="L7611" s="22">
        <v>8</v>
      </c>
    </row>
    <row r="7612" spans="1:12">
      <c r="A7612">
        <v>8</v>
      </c>
      <c r="B7612" s="16" t="s">
        <v>63</v>
      </c>
      <c r="C7612" s="9">
        <v>46174</v>
      </c>
      <c r="D7612">
        <v>34</v>
      </c>
      <c r="E7612" s="16" t="s">
        <v>123</v>
      </c>
      <c r="F7612" s="16" t="s">
        <v>114</v>
      </c>
      <c r="G7612" s="22">
        <v>9.75</v>
      </c>
      <c r="H7612" s="18">
        <v>37.8675</v>
      </c>
      <c r="I7612" s="18">
        <v>3.883846154</v>
      </c>
      <c r="J7612" s="18">
        <v>3.96</v>
      </c>
      <c r="K7612" s="18">
        <v>3.83</v>
      </c>
      <c r="L7612" s="22">
        <v>9</v>
      </c>
    </row>
    <row r="7613" spans="1:12">
      <c r="A7613">
        <v>8</v>
      </c>
      <c r="B7613" s="16" t="s">
        <v>63</v>
      </c>
      <c r="C7613" s="9">
        <v>46204</v>
      </c>
      <c r="D7613">
        <v>34</v>
      </c>
      <c r="E7613" s="16" t="s">
        <v>123</v>
      </c>
      <c r="F7613" s="16" t="s">
        <v>114</v>
      </c>
      <c r="G7613" s="22">
        <v>9.75</v>
      </c>
      <c r="H7613" s="18">
        <v>37.642499999999998</v>
      </c>
      <c r="I7613" s="18">
        <v>3.8607692309999999</v>
      </c>
      <c r="J7613" s="18">
        <v>3.91</v>
      </c>
      <c r="K7613" s="18">
        <v>3.82</v>
      </c>
      <c r="L7613" s="22">
        <v>9</v>
      </c>
    </row>
    <row r="7614" spans="1:12">
      <c r="A7614">
        <v>8</v>
      </c>
      <c r="B7614" s="16" t="s">
        <v>63</v>
      </c>
      <c r="C7614" s="9">
        <v>46235</v>
      </c>
      <c r="D7614">
        <v>34</v>
      </c>
      <c r="E7614" s="16" t="s">
        <v>123</v>
      </c>
      <c r="F7614" s="16" t="s">
        <v>114</v>
      </c>
      <c r="G7614" s="22">
        <v>11.25</v>
      </c>
      <c r="H7614" s="18">
        <v>43.222499999999997</v>
      </c>
      <c r="I7614" s="18">
        <v>3.8420000000000001</v>
      </c>
      <c r="J7614" s="18">
        <v>3.92</v>
      </c>
      <c r="K7614" s="18">
        <v>3.79</v>
      </c>
      <c r="L7614" s="22">
        <v>9</v>
      </c>
    </row>
    <row r="7615" spans="1:12">
      <c r="A7615">
        <v>8</v>
      </c>
      <c r="B7615" s="16" t="s">
        <v>63</v>
      </c>
      <c r="C7615" s="9">
        <v>46266</v>
      </c>
      <c r="D7615">
        <v>34</v>
      </c>
      <c r="E7615" s="16" t="s">
        <v>123</v>
      </c>
      <c r="F7615" s="16" t="s">
        <v>114</v>
      </c>
      <c r="G7615" s="22">
        <v>9.75</v>
      </c>
      <c r="H7615" s="18">
        <v>37.965000000000003</v>
      </c>
      <c r="I7615" s="18">
        <v>3.8938461539999998</v>
      </c>
      <c r="J7615" s="18">
        <v>3.96</v>
      </c>
      <c r="K7615" s="18">
        <v>3.81</v>
      </c>
      <c r="L7615" s="22">
        <v>8</v>
      </c>
    </row>
    <row r="7616" spans="1:12">
      <c r="A7616">
        <v>8</v>
      </c>
      <c r="B7616" s="16" t="s">
        <v>63</v>
      </c>
      <c r="C7616" s="9">
        <v>45689</v>
      </c>
      <c r="D7616">
        <v>35</v>
      </c>
      <c r="E7616" s="16" t="s">
        <v>124</v>
      </c>
      <c r="F7616" s="16" t="s">
        <v>90</v>
      </c>
      <c r="G7616" s="22">
        <v>1</v>
      </c>
      <c r="H7616" s="18">
        <v>7.44</v>
      </c>
      <c r="I7616" s="18">
        <v>7.44</v>
      </c>
      <c r="J7616" s="18">
        <v>7.44</v>
      </c>
      <c r="K7616" s="18">
        <v>7.44</v>
      </c>
      <c r="L7616" s="22">
        <v>1</v>
      </c>
    </row>
    <row r="7617" spans="1:12">
      <c r="A7617">
        <v>8</v>
      </c>
      <c r="B7617" s="16" t="s">
        <v>63</v>
      </c>
      <c r="C7617" s="9">
        <v>45778</v>
      </c>
      <c r="D7617">
        <v>35</v>
      </c>
      <c r="E7617" s="16" t="s">
        <v>124</v>
      </c>
      <c r="F7617" s="16" t="s">
        <v>90</v>
      </c>
      <c r="G7617" s="22">
        <v>1</v>
      </c>
      <c r="H7617" s="18">
        <v>7.58</v>
      </c>
      <c r="I7617" s="18">
        <v>7.58</v>
      </c>
      <c r="J7617" s="18">
        <v>7.58</v>
      </c>
      <c r="K7617" s="18">
        <v>7.58</v>
      </c>
      <c r="L7617" s="22">
        <v>1</v>
      </c>
    </row>
    <row r="7618" spans="1:12">
      <c r="A7618">
        <v>8</v>
      </c>
      <c r="B7618" s="16" t="s">
        <v>63</v>
      </c>
      <c r="C7618" s="9">
        <v>45839</v>
      </c>
      <c r="D7618">
        <v>35</v>
      </c>
      <c r="E7618" s="16" t="s">
        <v>124</v>
      </c>
      <c r="F7618" s="16" t="s">
        <v>90</v>
      </c>
      <c r="G7618" s="22">
        <v>1</v>
      </c>
      <c r="H7618" s="18">
        <v>7.55</v>
      </c>
      <c r="I7618" s="18">
        <v>7.55</v>
      </c>
      <c r="J7618" s="18">
        <v>7.55</v>
      </c>
      <c r="K7618" s="18">
        <v>7.55</v>
      </c>
      <c r="L7618" s="22">
        <v>1</v>
      </c>
    </row>
    <row r="7619" spans="1:12">
      <c r="A7619">
        <v>8</v>
      </c>
      <c r="B7619" s="16" t="s">
        <v>63</v>
      </c>
      <c r="C7619" s="9">
        <v>45901</v>
      </c>
      <c r="D7619">
        <v>35</v>
      </c>
      <c r="E7619" s="16" t="s">
        <v>124</v>
      </c>
      <c r="F7619" s="16" t="s">
        <v>90</v>
      </c>
      <c r="G7619" s="22">
        <v>1</v>
      </c>
      <c r="H7619" s="18">
        <v>7.69</v>
      </c>
      <c r="I7619" s="18">
        <v>7.69</v>
      </c>
      <c r="J7619" s="18">
        <v>7.69</v>
      </c>
      <c r="K7619" s="18">
        <v>7.69</v>
      </c>
      <c r="L7619" s="22">
        <v>1</v>
      </c>
    </row>
    <row r="7620" spans="1:12">
      <c r="A7620">
        <v>8</v>
      </c>
      <c r="B7620" s="16" t="s">
        <v>63</v>
      </c>
      <c r="C7620" s="9">
        <v>45962</v>
      </c>
      <c r="D7620">
        <v>35</v>
      </c>
      <c r="E7620" s="16" t="s">
        <v>124</v>
      </c>
      <c r="F7620" s="16" t="s">
        <v>90</v>
      </c>
      <c r="G7620" s="22">
        <v>1</v>
      </c>
      <c r="H7620" s="18">
        <v>7.93</v>
      </c>
      <c r="I7620" s="18">
        <v>7.93</v>
      </c>
      <c r="J7620" s="18">
        <v>7.93</v>
      </c>
      <c r="K7620" s="18">
        <v>7.93</v>
      </c>
      <c r="L7620" s="22">
        <v>1</v>
      </c>
    </row>
    <row r="7621" spans="1:12">
      <c r="A7621">
        <v>8</v>
      </c>
      <c r="B7621" s="16" t="s">
        <v>63</v>
      </c>
      <c r="C7621" s="9">
        <v>46054</v>
      </c>
      <c r="D7621">
        <v>35</v>
      </c>
      <c r="E7621" s="16" t="s">
        <v>124</v>
      </c>
      <c r="F7621" s="16" t="s">
        <v>90</v>
      </c>
      <c r="G7621" s="22">
        <v>1</v>
      </c>
      <c r="H7621" s="18">
        <v>7.76</v>
      </c>
      <c r="I7621" s="18">
        <v>7.76</v>
      </c>
      <c r="J7621" s="18">
        <v>7.76</v>
      </c>
      <c r="K7621" s="18">
        <v>7.76</v>
      </c>
      <c r="L7621" s="22">
        <v>1</v>
      </c>
    </row>
    <row r="7622" spans="1:12">
      <c r="A7622">
        <v>8</v>
      </c>
      <c r="B7622" s="16" t="s">
        <v>63</v>
      </c>
      <c r="C7622" s="9">
        <v>46113</v>
      </c>
      <c r="D7622">
        <v>35</v>
      </c>
      <c r="E7622" s="16" t="s">
        <v>124</v>
      </c>
      <c r="F7622" s="16" t="s">
        <v>90</v>
      </c>
      <c r="G7622" s="22">
        <v>1</v>
      </c>
      <c r="H7622" s="18">
        <v>7.88</v>
      </c>
      <c r="I7622" s="18">
        <v>7.88</v>
      </c>
      <c r="J7622" s="18">
        <v>7.88</v>
      </c>
      <c r="K7622" s="18">
        <v>7.88</v>
      </c>
      <c r="L7622" s="22">
        <v>1</v>
      </c>
    </row>
    <row r="7623" spans="1:12">
      <c r="A7623">
        <v>8</v>
      </c>
      <c r="B7623" s="16" t="s">
        <v>63</v>
      </c>
      <c r="C7623" s="9">
        <v>46174</v>
      </c>
      <c r="D7623">
        <v>35</v>
      </c>
      <c r="E7623" s="16" t="s">
        <v>124</v>
      </c>
      <c r="F7623" s="16" t="s">
        <v>90</v>
      </c>
      <c r="G7623" s="22">
        <v>1</v>
      </c>
      <c r="H7623" s="18">
        <v>7.83</v>
      </c>
      <c r="I7623" s="18">
        <v>7.83</v>
      </c>
      <c r="J7623" s="18">
        <v>7.83</v>
      </c>
      <c r="K7623" s="18">
        <v>7.83</v>
      </c>
      <c r="L7623" s="22">
        <v>1</v>
      </c>
    </row>
    <row r="7624" spans="1:12">
      <c r="A7624">
        <v>8</v>
      </c>
      <c r="B7624" s="16" t="s">
        <v>63</v>
      </c>
      <c r="C7624" s="9">
        <v>46266</v>
      </c>
      <c r="D7624">
        <v>35</v>
      </c>
      <c r="E7624" s="16" t="s">
        <v>124</v>
      </c>
      <c r="F7624" s="16" t="s">
        <v>90</v>
      </c>
      <c r="G7624" s="22">
        <v>1</v>
      </c>
      <c r="H7624" s="18">
        <v>7.76</v>
      </c>
      <c r="I7624" s="18">
        <v>7.76</v>
      </c>
      <c r="J7624" s="18">
        <v>7.76</v>
      </c>
      <c r="K7624" s="18">
        <v>7.76</v>
      </c>
      <c r="L7624" s="22">
        <v>1</v>
      </c>
    </row>
    <row r="7625" spans="1:12">
      <c r="A7625">
        <v>8</v>
      </c>
      <c r="B7625" s="16" t="s">
        <v>63</v>
      </c>
      <c r="C7625" s="9">
        <v>45689</v>
      </c>
      <c r="D7625">
        <v>36</v>
      </c>
      <c r="E7625" s="16" t="s">
        <v>125</v>
      </c>
      <c r="F7625" s="16" t="s">
        <v>98</v>
      </c>
      <c r="G7625" s="22">
        <v>20</v>
      </c>
      <c r="H7625" s="18">
        <v>47.9</v>
      </c>
      <c r="I7625" s="18">
        <v>2.395</v>
      </c>
      <c r="J7625" s="18">
        <v>2.41</v>
      </c>
      <c r="K7625" s="18">
        <v>2.38</v>
      </c>
      <c r="L7625" s="22">
        <v>2</v>
      </c>
    </row>
    <row r="7626" spans="1:12">
      <c r="A7626">
        <v>8</v>
      </c>
      <c r="B7626" s="16" t="s">
        <v>63</v>
      </c>
      <c r="C7626" s="9">
        <v>45717</v>
      </c>
      <c r="D7626">
        <v>36</v>
      </c>
      <c r="E7626" s="16" t="s">
        <v>125</v>
      </c>
      <c r="F7626" s="16" t="s">
        <v>98</v>
      </c>
      <c r="G7626" s="22">
        <v>20</v>
      </c>
      <c r="H7626" s="18">
        <v>46.8</v>
      </c>
      <c r="I7626" s="18">
        <v>2.34</v>
      </c>
      <c r="J7626" s="18">
        <v>2.34</v>
      </c>
      <c r="K7626" s="18">
        <v>2.34</v>
      </c>
      <c r="L7626" s="22">
        <v>1</v>
      </c>
    </row>
    <row r="7627" spans="1:12">
      <c r="A7627">
        <v>8</v>
      </c>
      <c r="B7627" s="16" t="s">
        <v>63</v>
      </c>
      <c r="C7627" s="9">
        <v>45748</v>
      </c>
      <c r="D7627">
        <v>36</v>
      </c>
      <c r="E7627" s="16" t="s">
        <v>125</v>
      </c>
      <c r="F7627" s="16" t="s">
        <v>98</v>
      </c>
      <c r="G7627" s="22">
        <v>20</v>
      </c>
      <c r="H7627" s="18">
        <v>47.7</v>
      </c>
      <c r="I7627" s="18">
        <v>2.3849999999999998</v>
      </c>
      <c r="J7627" s="18">
        <v>2.39</v>
      </c>
      <c r="K7627" s="18">
        <v>2.38</v>
      </c>
      <c r="L7627" s="22">
        <v>2</v>
      </c>
    </row>
    <row r="7628" spans="1:12">
      <c r="A7628">
        <v>8</v>
      </c>
      <c r="B7628" s="16" t="s">
        <v>63</v>
      </c>
      <c r="C7628" s="9">
        <v>45778</v>
      </c>
      <c r="D7628">
        <v>36</v>
      </c>
      <c r="E7628" s="16" t="s">
        <v>125</v>
      </c>
      <c r="F7628" s="16" t="s">
        <v>98</v>
      </c>
      <c r="G7628" s="22">
        <v>10</v>
      </c>
      <c r="H7628" s="18">
        <v>23.5</v>
      </c>
      <c r="I7628" s="18">
        <v>2.35</v>
      </c>
      <c r="J7628" s="18">
        <v>2.35</v>
      </c>
      <c r="K7628" s="18">
        <v>2.35</v>
      </c>
      <c r="L7628" s="22">
        <v>1</v>
      </c>
    </row>
    <row r="7629" spans="1:12">
      <c r="A7629">
        <v>8</v>
      </c>
      <c r="B7629" s="16" t="s">
        <v>63</v>
      </c>
      <c r="C7629" s="9">
        <v>45809</v>
      </c>
      <c r="D7629">
        <v>36</v>
      </c>
      <c r="E7629" s="16" t="s">
        <v>125</v>
      </c>
      <c r="F7629" s="16" t="s">
        <v>98</v>
      </c>
      <c r="G7629" s="22">
        <v>20</v>
      </c>
      <c r="H7629" s="18">
        <v>48.1</v>
      </c>
      <c r="I7629" s="18">
        <v>2.4049999999999998</v>
      </c>
      <c r="J7629" s="18">
        <v>2.41</v>
      </c>
      <c r="K7629" s="18">
        <v>2.4</v>
      </c>
      <c r="L7629" s="22">
        <v>2</v>
      </c>
    </row>
    <row r="7630" spans="1:12">
      <c r="A7630">
        <v>8</v>
      </c>
      <c r="B7630" s="16" t="s">
        <v>63</v>
      </c>
      <c r="C7630" s="9">
        <v>45870</v>
      </c>
      <c r="D7630">
        <v>36</v>
      </c>
      <c r="E7630" s="16" t="s">
        <v>125</v>
      </c>
      <c r="F7630" s="16" t="s">
        <v>98</v>
      </c>
      <c r="G7630" s="22">
        <v>20</v>
      </c>
      <c r="H7630" s="18">
        <v>48.4</v>
      </c>
      <c r="I7630" s="18">
        <v>2.42</v>
      </c>
      <c r="J7630" s="18">
        <v>2.4300000000000002</v>
      </c>
      <c r="K7630" s="18">
        <v>2.41</v>
      </c>
      <c r="L7630" s="22">
        <v>2</v>
      </c>
    </row>
    <row r="7631" spans="1:12">
      <c r="A7631">
        <v>8</v>
      </c>
      <c r="B7631" s="16" t="s">
        <v>63</v>
      </c>
      <c r="C7631" s="9">
        <v>45901</v>
      </c>
      <c r="D7631">
        <v>36</v>
      </c>
      <c r="E7631" s="16" t="s">
        <v>125</v>
      </c>
      <c r="F7631" s="16" t="s">
        <v>98</v>
      </c>
      <c r="G7631" s="22">
        <v>20</v>
      </c>
      <c r="H7631" s="18">
        <v>47.6</v>
      </c>
      <c r="I7631" s="18">
        <v>2.38</v>
      </c>
      <c r="J7631" s="18">
        <v>2.39</v>
      </c>
      <c r="K7631" s="18">
        <v>2.37</v>
      </c>
      <c r="L7631" s="22">
        <v>2</v>
      </c>
    </row>
    <row r="7632" spans="1:12">
      <c r="A7632">
        <v>8</v>
      </c>
      <c r="B7632" s="16" t="s">
        <v>63</v>
      </c>
      <c r="C7632" s="9">
        <v>45931</v>
      </c>
      <c r="D7632">
        <v>36</v>
      </c>
      <c r="E7632" s="16" t="s">
        <v>125</v>
      </c>
      <c r="F7632" s="16" t="s">
        <v>98</v>
      </c>
      <c r="G7632" s="22">
        <v>10</v>
      </c>
      <c r="H7632" s="18">
        <v>23.8</v>
      </c>
      <c r="I7632" s="18">
        <v>2.38</v>
      </c>
      <c r="J7632" s="18">
        <v>2.38</v>
      </c>
      <c r="K7632" s="18">
        <v>2.38</v>
      </c>
      <c r="L7632" s="22">
        <v>1</v>
      </c>
    </row>
    <row r="7633" spans="1:12">
      <c r="A7633">
        <v>8</v>
      </c>
      <c r="B7633" s="16" t="s">
        <v>63</v>
      </c>
      <c r="C7633" s="9">
        <v>45962</v>
      </c>
      <c r="D7633">
        <v>36</v>
      </c>
      <c r="E7633" s="16" t="s">
        <v>125</v>
      </c>
      <c r="F7633" s="16" t="s">
        <v>98</v>
      </c>
      <c r="G7633" s="22">
        <v>20</v>
      </c>
      <c r="H7633" s="18">
        <v>49.1</v>
      </c>
      <c r="I7633" s="18">
        <v>2.4550000000000001</v>
      </c>
      <c r="J7633" s="18">
        <v>2.48</v>
      </c>
      <c r="K7633" s="18">
        <v>2.4300000000000002</v>
      </c>
      <c r="L7633" s="22">
        <v>2</v>
      </c>
    </row>
    <row r="7634" spans="1:12">
      <c r="A7634">
        <v>8</v>
      </c>
      <c r="B7634" s="16" t="s">
        <v>63</v>
      </c>
      <c r="C7634" s="9">
        <v>45992</v>
      </c>
      <c r="D7634">
        <v>36</v>
      </c>
      <c r="E7634" s="16" t="s">
        <v>125</v>
      </c>
      <c r="F7634" s="16" t="s">
        <v>98</v>
      </c>
      <c r="G7634" s="22">
        <v>20</v>
      </c>
      <c r="H7634" s="18">
        <v>48.8</v>
      </c>
      <c r="I7634" s="18">
        <v>2.44</v>
      </c>
      <c r="J7634" s="18">
        <v>2.4500000000000002</v>
      </c>
      <c r="K7634" s="18">
        <v>2.4300000000000002</v>
      </c>
      <c r="L7634" s="22">
        <v>2</v>
      </c>
    </row>
    <row r="7635" spans="1:12">
      <c r="A7635">
        <v>8</v>
      </c>
      <c r="B7635" s="16" t="s">
        <v>63</v>
      </c>
      <c r="C7635" s="9">
        <v>46023</v>
      </c>
      <c r="D7635">
        <v>36</v>
      </c>
      <c r="E7635" s="16" t="s">
        <v>125</v>
      </c>
      <c r="F7635" s="16" t="s">
        <v>98</v>
      </c>
      <c r="G7635" s="22">
        <v>10</v>
      </c>
      <c r="H7635" s="18">
        <v>24.7</v>
      </c>
      <c r="I7635" s="18">
        <v>2.4700000000000002</v>
      </c>
      <c r="J7635" s="18">
        <v>2.4700000000000002</v>
      </c>
      <c r="K7635" s="18">
        <v>2.4700000000000002</v>
      </c>
      <c r="L7635" s="22">
        <v>1</v>
      </c>
    </row>
    <row r="7636" spans="1:12">
      <c r="A7636">
        <v>8</v>
      </c>
      <c r="B7636" s="16" t="s">
        <v>63</v>
      </c>
      <c r="C7636" s="9">
        <v>46054</v>
      </c>
      <c r="D7636">
        <v>36</v>
      </c>
      <c r="E7636" s="16" t="s">
        <v>125</v>
      </c>
      <c r="F7636" s="16" t="s">
        <v>98</v>
      </c>
      <c r="G7636" s="22">
        <v>20</v>
      </c>
      <c r="H7636" s="18">
        <v>49.1</v>
      </c>
      <c r="I7636" s="18">
        <v>2.4550000000000001</v>
      </c>
      <c r="J7636" s="18">
        <v>2.4700000000000002</v>
      </c>
      <c r="K7636" s="18">
        <v>2.44</v>
      </c>
      <c r="L7636" s="22">
        <v>2</v>
      </c>
    </row>
    <row r="7637" spans="1:12">
      <c r="A7637">
        <v>8</v>
      </c>
      <c r="B7637" s="16" t="s">
        <v>63</v>
      </c>
      <c r="C7637" s="9">
        <v>46082</v>
      </c>
      <c r="D7637">
        <v>36</v>
      </c>
      <c r="E7637" s="16" t="s">
        <v>125</v>
      </c>
      <c r="F7637" s="16" t="s">
        <v>98</v>
      </c>
      <c r="G7637" s="22">
        <v>20</v>
      </c>
      <c r="H7637" s="18">
        <v>48.7</v>
      </c>
      <c r="I7637" s="18">
        <v>2.4350000000000001</v>
      </c>
      <c r="J7637" s="18">
        <v>2.46</v>
      </c>
      <c r="K7637" s="18">
        <v>2.41</v>
      </c>
      <c r="L7637" s="22">
        <v>2</v>
      </c>
    </row>
    <row r="7638" spans="1:12">
      <c r="A7638">
        <v>8</v>
      </c>
      <c r="B7638" s="16" t="s">
        <v>63</v>
      </c>
      <c r="C7638" s="9">
        <v>46113</v>
      </c>
      <c r="D7638">
        <v>36</v>
      </c>
      <c r="E7638" s="16" t="s">
        <v>125</v>
      </c>
      <c r="F7638" s="16" t="s">
        <v>98</v>
      </c>
      <c r="G7638" s="22">
        <v>20</v>
      </c>
      <c r="H7638" s="18">
        <v>49.6</v>
      </c>
      <c r="I7638" s="18">
        <v>2.48</v>
      </c>
      <c r="J7638" s="18">
        <v>2.5</v>
      </c>
      <c r="K7638" s="18">
        <v>2.46</v>
      </c>
      <c r="L7638" s="22">
        <v>2</v>
      </c>
    </row>
    <row r="7639" spans="1:12">
      <c r="A7639">
        <v>8</v>
      </c>
      <c r="B7639" s="16" t="s">
        <v>63</v>
      </c>
      <c r="C7639" s="9">
        <v>46143</v>
      </c>
      <c r="D7639">
        <v>36</v>
      </c>
      <c r="E7639" s="16" t="s">
        <v>125</v>
      </c>
      <c r="F7639" s="16" t="s">
        <v>98</v>
      </c>
      <c r="G7639" s="22">
        <v>10</v>
      </c>
      <c r="H7639" s="18">
        <v>25</v>
      </c>
      <c r="I7639" s="18">
        <v>2.5</v>
      </c>
      <c r="J7639" s="18">
        <v>2.5</v>
      </c>
      <c r="K7639" s="18">
        <v>2.5</v>
      </c>
      <c r="L7639" s="22">
        <v>1</v>
      </c>
    </row>
    <row r="7640" spans="1:12">
      <c r="A7640">
        <v>8</v>
      </c>
      <c r="B7640" s="16" t="s">
        <v>63</v>
      </c>
      <c r="C7640" s="9">
        <v>46174</v>
      </c>
      <c r="D7640">
        <v>36</v>
      </c>
      <c r="E7640" s="16" t="s">
        <v>125</v>
      </c>
      <c r="F7640" s="16" t="s">
        <v>98</v>
      </c>
      <c r="G7640" s="22">
        <v>10</v>
      </c>
      <c r="H7640" s="18">
        <v>24.8</v>
      </c>
      <c r="I7640" s="18">
        <v>2.48</v>
      </c>
      <c r="J7640" s="18">
        <v>2.48</v>
      </c>
      <c r="K7640" s="18">
        <v>2.48</v>
      </c>
      <c r="L7640" s="22">
        <v>1</v>
      </c>
    </row>
    <row r="7641" spans="1:12">
      <c r="A7641">
        <v>8</v>
      </c>
      <c r="B7641" s="16" t="s">
        <v>63</v>
      </c>
      <c r="C7641" s="9">
        <v>46204</v>
      </c>
      <c r="D7641">
        <v>36</v>
      </c>
      <c r="E7641" s="16" t="s">
        <v>125</v>
      </c>
      <c r="F7641" s="16" t="s">
        <v>98</v>
      </c>
      <c r="G7641" s="22">
        <v>10</v>
      </c>
      <c r="H7641" s="18">
        <v>24.2</v>
      </c>
      <c r="I7641" s="18">
        <v>2.42</v>
      </c>
      <c r="J7641" s="18">
        <v>2.42</v>
      </c>
      <c r="K7641" s="18">
        <v>2.42</v>
      </c>
      <c r="L7641" s="22">
        <v>1</v>
      </c>
    </row>
    <row r="7642" spans="1:12">
      <c r="A7642">
        <v>8</v>
      </c>
      <c r="B7642" s="16" t="s">
        <v>63</v>
      </c>
      <c r="C7642" s="9">
        <v>46235</v>
      </c>
      <c r="D7642">
        <v>36</v>
      </c>
      <c r="E7642" s="16" t="s">
        <v>125</v>
      </c>
      <c r="F7642" s="16" t="s">
        <v>98</v>
      </c>
      <c r="G7642" s="22">
        <v>10</v>
      </c>
      <c r="H7642" s="18">
        <v>24.6</v>
      </c>
      <c r="I7642" s="18">
        <v>2.46</v>
      </c>
      <c r="J7642" s="18">
        <v>2.46</v>
      </c>
      <c r="K7642" s="18">
        <v>2.46</v>
      </c>
      <c r="L7642" s="22">
        <v>1</v>
      </c>
    </row>
    <row r="7643" spans="1:12">
      <c r="A7643">
        <v>8</v>
      </c>
      <c r="B7643" s="16" t="s">
        <v>63</v>
      </c>
      <c r="C7643" s="9">
        <v>46266</v>
      </c>
      <c r="D7643">
        <v>36</v>
      </c>
      <c r="E7643" s="16" t="s">
        <v>125</v>
      </c>
      <c r="F7643" s="16" t="s">
        <v>98</v>
      </c>
      <c r="G7643" s="22">
        <v>20</v>
      </c>
      <c r="H7643" s="18">
        <v>49.1</v>
      </c>
      <c r="I7643" s="18">
        <v>2.4550000000000001</v>
      </c>
      <c r="J7643" s="18">
        <v>2.4700000000000002</v>
      </c>
      <c r="K7643" s="18">
        <v>2.44</v>
      </c>
      <c r="L7643" s="22">
        <v>2</v>
      </c>
    </row>
    <row r="7644" spans="1:12">
      <c r="A7644">
        <v>8</v>
      </c>
      <c r="B7644" s="16" t="s">
        <v>63</v>
      </c>
      <c r="C7644" s="9">
        <v>45689</v>
      </c>
      <c r="D7644">
        <v>37</v>
      </c>
      <c r="E7644" s="16" t="s">
        <v>126</v>
      </c>
      <c r="F7644" s="16" t="s">
        <v>90</v>
      </c>
      <c r="G7644" s="22">
        <v>32</v>
      </c>
      <c r="H7644" s="18">
        <v>44.8</v>
      </c>
      <c r="I7644" s="18">
        <v>1.4</v>
      </c>
      <c r="J7644" s="18">
        <v>1.4</v>
      </c>
      <c r="K7644" s="18">
        <v>1.4</v>
      </c>
      <c r="L7644" s="22">
        <v>1</v>
      </c>
    </row>
    <row r="7645" spans="1:12">
      <c r="A7645">
        <v>8</v>
      </c>
      <c r="B7645" s="16" t="s">
        <v>63</v>
      </c>
      <c r="C7645" s="9">
        <v>45717</v>
      </c>
      <c r="D7645">
        <v>37</v>
      </c>
      <c r="E7645" s="16" t="s">
        <v>126</v>
      </c>
      <c r="F7645" s="16" t="s">
        <v>90</v>
      </c>
      <c r="G7645" s="22">
        <v>32</v>
      </c>
      <c r="H7645" s="18">
        <v>45.12</v>
      </c>
      <c r="I7645" s="18">
        <v>1.41</v>
      </c>
      <c r="J7645" s="18">
        <v>1.41</v>
      </c>
      <c r="K7645" s="18">
        <v>1.41</v>
      </c>
      <c r="L7645" s="22">
        <v>1</v>
      </c>
    </row>
    <row r="7646" spans="1:12">
      <c r="A7646">
        <v>8</v>
      </c>
      <c r="B7646" s="16" t="s">
        <v>63</v>
      </c>
      <c r="C7646" s="9">
        <v>45748</v>
      </c>
      <c r="D7646">
        <v>37</v>
      </c>
      <c r="E7646" s="16" t="s">
        <v>126</v>
      </c>
      <c r="F7646" s="16" t="s">
        <v>90</v>
      </c>
      <c r="G7646" s="22">
        <v>64</v>
      </c>
      <c r="H7646" s="18">
        <v>91.2</v>
      </c>
      <c r="I7646" s="18">
        <v>1.425</v>
      </c>
      <c r="J7646" s="18">
        <v>1.45</v>
      </c>
      <c r="K7646" s="18">
        <v>1.4</v>
      </c>
      <c r="L7646" s="22">
        <v>2</v>
      </c>
    </row>
    <row r="7647" spans="1:12">
      <c r="A7647">
        <v>8</v>
      </c>
      <c r="B7647" s="16" t="s">
        <v>63</v>
      </c>
      <c r="C7647" s="9">
        <v>45778</v>
      </c>
      <c r="D7647">
        <v>37</v>
      </c>
      <c r="E7647" s="16" t="s">
        <v>126</v>
      </c>
      <c r="F7647" s="16" t="s">
        <v>90</v>
      </c>
      <c r="G7647" s="22">
        <v>32</v>
      </c>
      <c r="H7647" s="18">
        <v>44.48</v>
      </c>
      <c r="I7647" s="18">
        <v>1.39</v>
      </c>
      <c r="J7647" s="18">
        <v>1.39</v>
      </c>
      <c r="K7647" s="18">
        <v>1.39</v>
      </c>
      <c r="L7647" s="22">
        <v>1</v>
      </c>
    </row>
    <row r="7648" spans="1:12">
      <c r="A7648">
        <v>8</v>
      </c>
      <c r="B7648" s="16" t="s">
        <v>63</v>
      </c>
      <c r="C7648" s="9">
        <v>45809</v>
      </c>
      <c r="D7648">
        <v>37</v>
      </c>
      <c r="E7648" s="16" t="s">
        <v>126</v>
      </c>
      <c r="F7648" s="16" t="s">
        <v>90</v>
      </c>
      <c r="G7648" s="22">
        <v>64</v>
      </c>
      <c r="H7648" s="18">
        <v>88.32</v>
      </c>
      <c r="I7648" s="18">
        <v>1.38</v>
      </c>
      <c r="J7648" s="18">
        <v>1.4</v>
      </c>
      <c r="K7648" s="18">
        <v>1.36</v>
      </c>
      <c r="L7648" s="22">
        <v>2</v>
      </c>
    </row>
    <row r="7649" spans="1:12">
      <c r="A7649">
        <v>8</v>
      </c>
      <c r="B7649" s="16" t="s">
        <v>63</v>
      </c>
      <c r="C7649" s="9">
        <v>45839</v>
      </c>
      <c r="D7649">
        <v>37</v>
      </c>
      <c r="E7649" s="16" t="s">
        <v>126</v>
      </c>
      <c r="F7649" s="16" t="s">
        <v>90</v>
      </c>
      <c r="G7649" s="22">
        <v>64</v>
      </c>
      <c r="H7649" s="18">
        <v>90.88</v>
      </c>
      <c r="I7649" s="18">
        <v>1.42</v>
      </c>
      <c r="J7649" s="18">
        <v>1.43</v>
      </c>
      <c r="K7649" s="18">
        <v>1.41</v>
      </c>
      <c r="L7649" s="22">
        <v>2</v>
      </c>
    </row>
    <row r="7650" spans="1:12">
      <c r="A7650">
        <v>8</v>
      </c>
      <c r="B7650" s="16" t="s">
        <v>63</v>
      </c>
      <c r="C7650" s="9">
        <v>45870</v>
      </c>
      <c r="D7650">
        <v>37</v>
      </c>
      <c r="E7650" s="16" t="s">
        <v>126</v>
      </c>
      <c r="F7650" s="16" t="s">
        <v>90</v>
      </c>
      <c r="G7650" s="22">
        <v>32</v>
      </c>
      <c r="H7650" s="18">
        <v>48.64</v>
      </c>
      <c r="I7650" s="18">
        <v>1.52</v>
      </c>
      <c r="J7650" s="18">
        <v>1.52</v>
      </c>
      <c r="K7650" s="18">
        <v>1.52</v>
      </c>
      <c r="L7650" s="22">
        <v>1</v>
      </c>
    </row>
    <row r="7651" spans="1:12">
      <c r="A7651">
        <v>8</v>
      </c>
      <c r="B7651" s="16" t="s">
        <v>63</v>
      </c>
      <c r="C7651" s="9">
        <v>45901</v>
      </c>
      <c r="D7651">
        <v>37</v>
      </c>
      <c r="E7651" s="16" t="s">
        <v>126</v>
      </c>
      <c r="F7651" s="16" t="s">
        <v>90</v>
      </c>
      <c r="G7651" s="22">
        <v>64</v>
      </c>
      <c r="H7651" s="18">
        <v>92.8</v>
      </c>
      <c r="I7651" s="18">
        <v>1.45</v>
      </c>
      <c r="J7651" s="18">
        <v>1.45</v>
      </c>
      <c r="K7651" s="18">
        <v>1.45</v>
      </c>
      <c r="L7651" s="22">
        <v>2</v>
      </c>
    </row>
    <row r="7652" spans="1:12">
      <c r="A7652">
        <v>8</v>
      </c>
      <c r="B7652" s="16" t="s">
        <v>63</v>
      </c>
      <c r="C7652" s="9">
        <v>45931</v>
      </c>
      <c r="D7652">
        <v>37</v>
      </c>
      <c r="E7652" s="16" t="s">
        <v>126</v>
      </c>
      <c r="F7652" s="16" t="s">
        <v>90</v>
      </c>
      <c r="G7652" s="22">
        <v>32</v>
      </c>
      <c r="H7652" s="18">
        <v>45.76</v>
      </c>
      <c r="I7652" s="18">
        <v>1.43</v>
      </c>
      <c r="J7652" s="18">
        <v>1.43</v>
      </c>
      <c r="K7652" s="18">
        <v>1.43</v>
      </c>
      <c r="L7652" s="22">
        <v>1</v>
      </c>
    </row>
    <row r="7653" spans="1:12">
      <c r="A7653">
        <v>8</v>
      </c>
      <c r="B7653" s="16" t="s">
        <v>63</v>
      </c>
      <c r="C7653" s="9">
        <v>45962</v>
      </c>
      <c r="D7653">
        <v>37</v>
      </c>
      <c r="E7653" s="16" t="s">
        <v>126</v>
      </c>
      <c r="F7653" s="16" t="s">
        <v>90</v>
      </c>
      <c r="G7653" s="22">
        <v>32</v>
      </c>
      <c r="H7653" s="18">
        <v>46.72</v>
      </c>
      <c r="I7653" s="18">
        <v>1.46</v>
      </c>
      <c r="J7653" s="18">
        <v>1.46</v>
      </c>
      <c r="K7653" s="18">
        <v>1.46</v>
      </c>
      <c r="L7653" s="22">
        <v>1</v>
      </c>
    </row>
    <row r="7654" spans="1:12">
      <c r="A7654">
        <v>8</v>
      </c>
      <c r="B7654" s="16" t="s">
        <v>63</v>
      </c>
      <c r="C7654" s="9">
        <v>45992</v>
      </c>
      <c r="D7654">
        <v>37</v>
      </c>
      <c r="E7654" s="16" t="s">
        <v>126</v>
      </c>
      <c r="F7654" s="16" t="s">
        <v>90</v>
      </c>
      <c r="G7654" s="22">
        <v>32</v>
      </c>
      <c r="H7654" s="18">
        <v>46.08</v>
      </c>
      <c r="I7654" s="18">
        <v>1.44</v>
      </c>
      <c r="J7654" s="18">
        <v>1.44</v>
      </c>
      <c r="K7654" s="18">
        <v>1.44</v>
      </c>
      <c r="L7654" s="22">
        <v>1</v>
      </c>
    </row>
    <row r="7655" spans="1:12">
      <c r="A7655">
        <v>8</v>
      </c>
      <c r="B7655" s="16" t="s">
        <v>63</v>
      </c>
      <c r="C7655" s="9">
        <v>46023</v>
      </c>
      <c r="D7655">
        <v>37</v>
      </c>
      <c r="E7655" s="16" t="s">
        <v>126</v>
      </c>
      <c r="F7655" s="16" t="s">
        <v>90</v>
      </c>
      <c r="G7655" s="22">
        <v>64</v>
      </c>
      <c r="H7655" s="18">
        <v>93.44</v>
      </c>
      <c r="I7655" s="18">
        <v>1.46</v>
      </c>
      <c r="J7655" s="18">
        <v>1.47</v>
      </c>
      <c r="K7655" s="18">
        <v>1.45</v>
      </c>
      <c r="L7655" s="22">
        <v>2</v>
      </c>
    </row>
    <row r="7656" spans="1:12">
      <c r="A7656">
        <v>8</v>
      </c>
      <c r="B7656" s="16" t="s">
        <v>63</v>
      </c>
      <c r="C7656" s="9">
        <v>46054</v>
      </c>
      <c r="D7656">
        <v>37</v>
      </c>
      <c r="E7656" s="16" t="s">
        <v>126</v>
      </c>
      <c r="F7656" s="16" t="s">
        <v>90</v>
      </c>
      <c r="G7656" s="22">
        <v>32</v>
      </c>
      <c r="H7656" s="18">
        <v>47.04</v>
      </c>
      <c r="I7656" s="18">
        <v>1.47</v>
      </c>
      <c r="J7656" s="18">
        <v>1.47</v>
      </c>
      <c r="K7656" s="18">
        <v>1.47</v>
      </c>
      <c r="L7656" s="22">
        <v>1</v>
      </c>
    </row>
    <row r="7657" spans="1:12">
      <c r="A7657">
        <v>8</v>
      </c>
      <c r="B7657" s="16" t="s">
        <v>63</v>
      </c>
      <c r="C7657" s="9">
        <v>46082</v>
      </c>
      <c r="D7657">
        <v>37</v>
      </c>
      <c r="E7657" s="16" t="s">
        <v>126</v>
      </c>
      <c r="F7657" s="16" t="s">
        <v>90</v>
      </c>
      <c r="G7657" s="22">
        <v>32</v>
      </c>
      <c r="H7657" s="18">
        <v>47.36</v>
      </c>
      <c r="I7657" s="18">
        <v>1.48</v>
      </c>
      <c r="J7657" s="18">
        <v>1.48</v>
      </c>
      <c r="K7657" s="18">
        <v>1.48</v>
      </c>
      <c r="L7657" s="22">
        <v>1</v>
      </c>
    </row>
    <row r="7658" spans="1:12">
      <c r="A7658">
        <v>8</v>
      </c>
      <c r="B7658" s="16" t="s">
        <v>63</v>
      </c>
      <c r="C7658" s="9">
        <v>46113</v>
      </c>
      <c r="D7658">
        <v>37</v>
      </c>
      <c r="E7658" s="16" t="s">
        <v>126</v>
      </c>
      <c r="F7658" s="16" t="s">
        <v>90</v>
      </c>
      <c r="G7658" s="22">
        <v>32</v>
      </c>
      <c r="H7658" s="18">
        <v>48</v>
      </c>
      <c r="I7658" s="18">
        <v>1.5</v>
      </c>
      <c r="J7658" s="18">
        <v>1.5</v>
      </c>
      <c r="K7658" s="18">
        <v>1.5</v>
      </c>
      <c r="L7658" s="22">
        <v>1</v>
      </c>
    </row>
    <row r="7659" spans="1:12">
      <c r="A7659">
        <v>8</v>
      </c>
      <c r="B7659" s="16" t="s">
        <v>63</v>
      </c>
      <c r="C7659" s="9">
        <v>46143</v>
      </c>
      <c r="D7659">
        <v>37</v>
      </c>
      <c r="E7659" s="16" t="s">
        <v>126</v>
      </c>
      <c r="F7659" s="16" t="s">
        <v>90</v>
      </c>
      <c r="G7659" s="22">
        <v>32</v>
      </c>
      <c r="H7659" s="18">
        <v>47.04</v>
      </c>
      <c r="I7659" s="18">
        <v>1.47</v>
      </c>
      <c r="J7659" s="18">
        <v>1.47</v>
      </c>
      <c r="K7659" s="18">
        <v>1.47</v>
      </c>
      <c r="L7659" s="22">
        <v>1</v>
      </c>
    </row>
    <row r="7660" spans="1:12">
      <c r="A7660">
        <v>8</v>
      </c>
      <c r="B7660" s="16" t="s">
        <v>63</v>
      </c>
      <c r="C7660" s="9">
        <v>46174</v>
      </c>
      <c r="D7660">
        <v>37</v>
      </c>
      <c r="E7660" s="16" t="s">
        <v>126</v>
      </c>
      <c r="F7660" s="16" t="s">
        <v>90</v>
      </c>
      <c r="G7660" s="22">
        <v>64</v>
      </c>
      <c r="H7660" s="18">
        <v>95.68</v>
      </c>
      <c r="I7660" s="18">
        <v>1.4950000000000001</v>
      </c>
      <c r="J7660" s="18">
        <v>1.51</v>
      </c>
      <c r="K7660" s="18">
        <v>1.48</v>
      </c>
      <c r="L7660" s="22">
        <v>2</v>
      </c>
    </row>
    <row r="7661" spans="1:12">
      <c r="A7661">
        <v>8</v>
      </c>
      <c r="B7661" s="16" t="s">
        <v>63</v>
      </c>
      <c r="C7661" s="9">
        <v>46204</v>
      </c>
      <c r="D7661">
        <v>37</v>
      </c>
      <c r="E7661" s="16" t="s">
        <v>126</v>
      </c>
      <c r="F7661" s="16" t="s">
        <v>90</v>
      </c>
      <c r="G7661" s="22">
        <v>64</v>
      </c>
      <c r="H7661" s="18">
        <v>98.56</v>
      </c>
      <c r="I7661" s="18">
        <v>1.54</v>
      </c>
      <c r="J7661" s="18">
        <v>1.54</v>
      </c>
      <c r="K7661" s="18">
        <v>1.54</v>
      </c>
      <c r="L7661" s="22">
        <v>2</v>
      </c>
    </row>
    <row r="7662" spans="1:12">
      <c r="A7662">
        <v>8</v>
      </c>
      <c r="B7662" s="16" t="s">
        <v>63</v>
      </c>
      <c r="C7662" s="9">
        <v>46235</v>
      </c>
      <c r="D7662">
        <v>37</v>
      </c>
      <c r="E7662" s="16" t="s">
        <v>126</v>
      </c>
      <c r="F7662" s="16" t="s">
        <v>90</v>
      </c>
      <c r="G7662" s="22">
        <v>32</v>
      </c>
      <c r="H7662" s="18">
        <v>49.28</v>
      </c>
      <c r="I7662" s="18">
        <v>1.54</v>
      </c>
      <c r="J7662" s="18">
        <v>1.54</v>
      </c>
      <c r="K7662" s="18">
        <v>1.54</v>
      </c>
      <c r="L7662" s="22">
        <v>1</v>
      </c>
    </row>
    <row r="7663" spans="1:12">
      <c r="A7663">
        <v>8</v>
      </c>
      <c r="B7663" s="16" t="s">
        <v>63</v>
      </c>
      <c r="C7663" s="9">
        <v>46266</v>
      </c>
      <c r="D7663">
        <v>37</v>
      </c>
      <c r="E7663" s="16" t="s">
        <v>126</v>
      </c>
      <c r="F7663" s="16" t="s">
        <v>90</v>
      </c>
      <c r="G7663" s="22">
        <v>32</v>
      </c>
      <c r="H7663" s="18">
        <v>50.24</v>
      </c>
      <c r="I7663" s="18">
        <v>1.57</v>
      </c>
      <c r="J7663" s="18">
        <v>1.57</v>
      </c>
      <c r="K7663" s="18">
        <v>1.57</v>
      </c>
      <c r="L7663" s="22">
        <v>1</v>
      </c>
    </row>
    <row r="7664" spans="1:12">
      <c r="A7664">
        <v>8</v>
      </c>
      <c r="B7664" s="16" t="s">
        <v>63</v>
      </c>
      <c r="C7664" s="9">
        <v>45689</v>
      </c>
      <c r="D7664">
        <v>38</v>
      </c>
      <c r="E7664" s="16" t="s">
        <v>127</v>
      </c>
      <c r="F7664" s="16" t="s">
        <v>83</v>
      </c>
      <c r="G7664" s="22">
        <v>9</v>
      </c>
      <c r="H7664" s="18">
        <v>129.24</v>
      </c>
      <c r="I7664" s="18">
        <v>14.36</v>
      </c>
      <c r="J7664" s="18">
        <v>14.6</v>
      </c>
      <c r="K7664" s="18">
        <v>14.08</v>
      </c>
      <c r="L7664" s="22">
        <v>7</v>
      </c>
    </row>
    <row r="7665" spans="1:12">
      <c r="A7665">
        <v>8</v>
      </c>
      <c r="B7665" s="16" t="s">
        <v>63</v>
      </c>
      <c r="C7665" s="9">
        <v>45717</v>
      </c>
      <c r="D7665">
        <v>38</v>
      </c>
      <c r="E7665" s="16" t="s">
        <v>127</v>
      </c>
      <c r="F7665" s="16" t="s">
        <v>83</v>
      </c>
      <c r="G7665" s="22">
        <v>7</v>
      </c>
      <c r="H7665" s="18">
        <v>102.545</v>
      </c>
      <c r="I7665" s="18">
        <v>14.649285713999999</v>
      </c>
      <c r="J7665" s="18">
        <v>14.97</v>
      </c>
      <c r="K7665" s="18">
        <v>14.36</v>
      </c>
      <c r="L7665" s="22">
        <v>7</v>
      </c>
    </row>
    <row r="7666" spans="1:12">
      <c r="A7666">
        <v>8</v>
      </c>
      <c r="B7666" s="16" t="s">
        <v>63</v>
      </c>
      <c r="C7666" s="9">
        <v>45748</v>
      </c>
      <c r="D7666">
        <v>38</v>
      </c>
      <c r="E7666" s="16" t="s">
        <v>127</v>
      </c>
      <c r="F7666" s="16" t="s">
        <v>83</v>
      </c>
      <c r="G7666" s="22">
        <v>8.5</v>
      </c>
      <c r="H7666" s="18">
        <v>124.655</v>
      </c>
      <c r="I7666" s="18">
        <v>14.665294118</v>
      </c>
      <c r="J7666" s="18">
        <v>15.17</v>
      </c>
      <c r="K7666" s="18">
        <v>14.3</v>
      </c>
      <c r="L7666" s="22">
        <v>9</v>
      </c>
    </row>
    <row r="7667" spans="1:12">
      <c r="A7667">
        <v>8</v>
      </c>
      <c r="B7667" s="16" t="s">
        <v>63</v>
      </c>
      <c r="C7667" s="9">
        <v>45778</v>
      </c>
      <c r="D7667">
        <v>38</v>
      </c>
      <c r="E7667" s="16" t="s">
        <v>127</v>
      </c>
      <c r="F7667" s="16" t="s">
        <v>83</v>
      </c>
      <c r="G7667" s="22">
        <v>11</v>
      </c>
      <c r="H7667" s="18">
        <v>163.125</v>
      </c>
      <c r="I7667" s="18">
        <v>14.829545455</v>
      </c>
      <c r="J7667" s="18">
        <v>14.95</v>
      </c>
      <c r="K7667" s="18">
        <v>14.64</v>
      </c>
      <c r="L7667" s="22">
        <v>9</v>
      </c>
    </row>
    <row r="7668" spans="1:12">
      <c r="A7668">
        <v>8</v>
      </c>
      <c r="B7668" s="16" t="s">
        <v>63</v>
      </c>
      <c r="C7668" s="9">
        <v>45809</v>
      </c>
      <c r="D7668">
        <v>38</v>
      </c>
      <c r="E7668" s="16" t="s">
        <v>127</v>
      </c>
      <c r="F7668" s="16" t="s">
        <v>83</v>
      </c>
      <c r="G7668" s="22">
        <v>8</v>
      </c>
      <c r="H7668" s="18">
        <v>120.735</v>
      </c>
      <c r="I7668" s="18">
        <v>15.091875</v>
      </c>
      <c r="J7668" s="18">
        <v>15.9</v>
      </c>
      <c r="K7668" s="18">
        <v>14.68</v>
      </c>
      <c r="L7668" s="22">
        <v>8</v>
      </c>
    </row>
    <row r="7669" spans="1:12">
      <c r="A7669">
        <v>8</v>
      </c>
      <c r="B7669" s="16" t="s">
        <v>63</v>
      </c>
      <c r="C7669" s="9">
        <v>45839</v>
      </c>
      <c r="D7669">
        <v>38</v>
      </c>
      <c r="E7669" s="16" t="s">
        <v>127</v>
      </c>
      <c r="F7669" s="16" t="s">
        <v>83</v>
      </c>
      <c r="G7669" s="22">
        <v>5.5</v>
      </c>
      <c r="H7669" s="18">
        <v>81.48</v>
      </c>
      <c r="I7669" s="18">
        <v>14.814545454999999</v>
      </c>
      <c r="J7669" s="18">
        <v>15.05</v>
      </c>
      <c r="K7669" s="18">
        <v>14.51</v>
      </c>
      <c r="L7669" s="22">
        <v>6</v>
      </c>
    </row>
    <row r="7670" spans="1:12">
      <c r="A7670">
        <v>8</v>
      </c>
      <c r="B7670" s="16" t="s">
        <v>63</v>
      </c>
      <c r="C7670" s="9">
        <v>45870</v>
      </c>
      <c r="D7670">
        <v>38</v>
      </c>
      <c r="E7670" s="16" t="s">
        <v>127</v>
      </c>
      <c r="F7670" s="16" t="s">
        <v>83</v>
      </c>
      <c r="G7670" s="22">
        <v>8.5</v>
      </c>
      <c r="H7670" s="18">
        <v>125.51</v>
      </c>
      <c r="I7670" s="18">
        <v>14.765882353</v>
      </c>
      <c r="J7670" s="18">
        <v>14.96</v>
      </c>
      <c r="K7670" s="18">
        <v>14.61</v>
      </c>
      <c r="L7670" s="22">
        <v>9</v>
      </c>
    </row>
    <row r="7671" spans="1:12">
      <c r="A7671">
        <v>8</v>
      </c>
      <c r="B7671" s="16" t="s">
        <v>63</v>
      </c>
      <c r="C7671" s="9">
        <v>45901</v>
      </c>
      <c r="D7671">
        <v>38</v>
      </c>
      <c r="E7671" s="16" t="s">
        <v>127</v>
      </c>
      <c r="F7671" s="16" t="s">
        <v>83</v>
      </c>
      <c r="G7671" s="22">
        <v>7.5</v>
      </c>
      <c r="H7671" s="18">
        <v>110.605</v>
      </c>
      <c r="I7671" s="18">
        <v>14.747333333</v>
      </c>
      <c r="J7671" s="18">
        <v>14.89</v>
      </c>
      <c r="K7671" s="18">
        <v>14.51</v>
      </c>
      <c r="L7671" s="22">
        <v>8</v>
      </c>
    </row>
    <row r="7672" spans="1:12">
      <c r="A7672">
        <v>8</v>
      </c>
      <c r="B7672" s="16" t="s">
        <v>63</v>
      </c>
      <c r="C7672" s="9">
        <v>45931</v>
      </c>
      <c r="D7672">
        <v>38</v>
      </c>
      <c r="E7672" s="16" t="s">
        <v>127</v>
      </c>
      <c r="F7672" s="16" t="s">
        <v>83</v>
      </c>
      <c r="G7672" s="22">
        <v>10</v>
      </c>
      <c r="H7672" s="18">
        <v>148.095</v>
      </c>
      <c r="I7672" s="18">
        <v>14.8095</v>
      </c>
      <c r="J7672" s="18">
        <v>15.02</v>
      </c>
      <c r="K7672" s="18">
        <v>14.59</v>
      </c>
      <c r="L7672" s="22">
        <v>9</v>
      </c>
    </row>
    <row r="7673" spans="1:12">
      <c r="A7673">
        <v>8</v>
      </c>
      <c r="B7673" s="16" t="s">
        <v>63</v>
      </c>
      <c r="C7673" s="9">
        <v>45962</v>
      </c>
      <c r="D7673">
        <v>38</v>
      </c>
      <c r="E7673" s="16" t="s">
        <v>127</v>
      </c>
      <c r="F7673" s="16" t="s">
        <v>83</v>
      </c>
      <c r="G7673" s="22">
        <v>9</v>
      </c>
      <c r="H7673" s="18">
        <v>133.155</v>
      </c>
      <c r="I7673" s="18">
        <v>14.795</v>
      </c>
      <c r="J7673" s="18">
        <v>15.02</v>
      </c>
      <c r="K7673" s="18">
        <v>14.58</v>
      </c>
      <c r="L7673" s="22">
        <v>8</v>
      </c>
    </row>
    <row r="7674" spans="1:12">
      <c r="A7674">
        <v>8</v>
      </c>
      <c r="B7674" s="16" t="s">
        <v>63</v>
      </c>
      <c r="C7674" s="9">
        <v>45992</v>
      </c>
      <c r="D7674">
        <v>38</v>
      </c>
      <c r="E7674" s="16" t="s">
        <v>127</v>
      </c>
      <c r="F7674" s="16" t="s">
        <v>83</v>
      </c>
      <c r="G7674" s="22">
        <v>10.5</v>
      </c>
      <c r="H7674" s="18">
        <v>155.29</v>
      </c>
      <c r="I7674" s="18">
        <v>14.78952381</v>
      </c>
      <c r="J7674" s="18">
        <v>15.09</v>
      </c>
      <c r="K7674" s="18">
        <v>14.4</v>
      </c>
      <c r="L7674" s="22">
        <v>9</v>
      </c>
    </row>
    <row r="7675" spans="1:12">
      <c r="A7675">
        <v>8</v>
      </c>
      <c r="B7675" s="16" t="s">
        <v>63</v>
      </c>
      <c r="C7675" s="9">
        <v>46023</v>
      </c>
      <c r="D7675">
        <v>38</v>
      </c>
      <c r="E7675" s="16" t="s">
        <v>127</v>
      </c>
      <c r="F7675" s="16" t="s">
        <v>83</v>
      </c>
      <c r="G7675" s="22">
        <v>10</v>
      </c>
      <c r="H7675" s="18">
        <v>148.52000000000001</v>
      </c>
      <c r="I7675" s="18">
        <v>14.852</v>
      </c>
      <c r="J7675" s="18">
        <v>15.08</v>
      </c>
      <c r="K7675" s="18">
        <v>14.68</v>
      </c>
      <c r="L7675" s="22">
        <v>9</v>
      </c>
    </row>
    <row r="7676" spans="1:12">
      <c r="A7676">
        <v>8</v>
      </c>
      <c r="B7676" s="16" t="s">
        <v>63</v>
      </c>
      <c r="C7676" s="9">
        <v>46054</v>
      </c>
      <c r="D7676">
        <v>38</v>
      </c>
      <c r="E7676" s="16" t="s">
        <v>127</v>
      </c>
      <c r="F7676" s="16" t="s">
        <v>83</v>
      </c>
      <c r="G7676" s="22">
        <v>10.5</v>
      </c>
      <c r="H7676" s="18">
        <v>157.17500000000001</v>
      </c>
      <c r="I7676" s="18">
        <v>14.969047618999999</v>
      </c>
      <c r="J7676" s="18">
        <v>15.13</v>
      </c>
      <c r="K7676" s="18">
        <v>14.7</v>
      </c>
      <c r="L7676" s="22">
        <v>8</v>
      </c>
    </row>
    <row r="7677" spans="1:12">
      <c r="A7677">
        <v>8</v>
      </c>
      <c r="B7677" s="16" t="s">
        <v>63</v>
      </c>
      <c r="C7677" s="9">
        <v>46082</v>
      </c>
      <c r="D7677">
        <v>38</v>
      </c>
      <c r="E7677" s="16" t="s">
        <v>127</v>
      </c>
      <c r="F7677" s="16" t="s">
        <v>83</v>
      </c>
      <c r="G7677" s="22">
        <v>10</v>
      </c>
      <c r="H7677" s="18">
        <v>147.18</v>
      </c>
      <c r="I7677" s="18">
        <v>14.718</v>
      </c>
      <c r="J7677" s="18">
        <v>15.15</v>
      </c>
      <c r="K7677" s="18">
        <v>14.52</v>
      </c>
      <c r="L7677" s="22">
        <v>8</v>
      </c>
    </row>
    <row r="7678" spans="1:12">
      <c r="A7678">
        <v>8</v>
      </c>
      <c r="B7678" s="16" t="s">
        <v>63</v>
      </c>
      <c r="C7678" s="9">
        <v>46113</v>
      </c>
      <c r="D7678">
        <v>38</v>
      </c>
      <c r="E7678" s="16" t="s">
        <v>127</v>
      </c>
      <c r="F7678" s="16" t="s">
        <v>83</v>
      </c>
      <c r="G7678" s="22">
        <v>7.5</v>
      </c>
      <c r="H7678" s="18">
        <v>112.67</v>
      </c>
      <c r="I7678" s="18">
        <v>15.022666666999999</v>
      </c>
      <c r="J7678" s="18">
        <v>15.34</v>
      </c>
      <c r="K7678" s="18">
        <v>14.74</v>
      </c>
      <c r="L7678" s="22">
        <v>8</v>
      </c>
    </row>
    <row r="7679" spans="1:12">
      <c r="A7679">
        <v>8</v>
      </c>
      <c r="B7679" s="16" t="s">
        <v>63</v>
      </c>
      <c r="C7679" s="9">
        <v>46143</v>
      </c>
      <c r="D7679">
        <v>38</v>
      </c>
      <c r="E7679" s="16" t="s">
        <v>127</v>
      </c>
      <c r="F7679" s="16" t="s">
        <v>83</v>
      </c>
      <c r="G7679" s="22">
        <v>7.5</v>
      </c>
      <c r="H7679" s="18">
        <v>113.86</v>
      </c>
      <c r="I7679" s="18">
        <v>15.181333333</v>
      </c>
      <c r="J7679" s="18">
        <v>15.37</v>
      </c>
      <c r="K7679" s="18">
        <v>14.97</v>
      </c>
      <c r="L7679" s="22">
        <v>9</v>
      </c>
    </row>
    <row r="7680" spans="1:12">
      <c r="A7680">
        <v>8</v>
      </c>
      <c r="B7680" s="16" t="s">
        <v>63</v>
      </c>
      <c r="C7680" s="9">
        <v>46174</v>
      </c>
      <c r="D7680">
        <v>38</v>
      </c>
      <c r="E7680" s="16" t="s">
        <v>127</v>
      </c>
      <c r="F7680" s="16" t="s">
        <v>83</v>
      </c>
      <c r="G7680" s="22">
        <v>6.5</v>
      </c>
      <c r="H7680" s="18">
        <v>98.36</v>
      </c>
      <c r="I7680" s="18">
        <v>15.132307691999999</v>
      </c>
      <c r="J7680" s="18">
        <v>15.41</v>
      </c>
      <c r="K7680" s="18">
        <v>14.71</v>
      </c>
      <c r="L7680" s="22">
        <v>9</v>
      </c>
    </row>
    <row r="7681" spans="1:12">
      <c r="A7681">
        <v>8</v>
      </c>
      <c r="B7681" s="16" t="s">
        <v>63</v>
      </c>
      <c r="C7681" s="9">
        <v>46204</v>
      </c>
      <c r="D7681">
        <v>38</v>
      </c>
      <c r="E7681" s="16" t="s">
        <v>127</v>
      </c>
      <c r="F7681" s="16" t="s">
        <v>83</v>
      </c>
      <c r="G7681" s="22">
        <v>5.5</v>
      </c>
      <c r="H7681" s="18">
        <v>83.24</v>
      </c>
      <c r="I7681" s="18">
        <v>15.134545455</v>
      </c>
      <c r="J7681" s="18">
        <v>15.41</v>
      </c>
      <c r="K7681" s="18">
        <v>14.9</v>
      </c>
      <c r="L7681" s="22">
        <v>8</v>
      </c>
    </row>
    <row r="7682" spans="1:12">
      <c r="A7682">
        <v>8</v>
      </c>
      <c r="B7682" s="16" t="s">
        <v>63</v>
      </c>
      <c r="C7682" s="9">
        <v>46235</v>
      </c>
      <c r="D7682">
        <v>38</v>
      </c>
      <c r="E7682" s="16" t="s">
        <v>127</v>
      </c>
      <c r="F7682" s="16" t="s">
        <v>83</v>
      </c>
      <c r="G7682" s="22">
        <v>5.5</v>
      </c>
      <c r="H7682" s="18">
        <v>83.234999999999999</v>
      </c>
      <c r="I7682" s="18">
        <v>15.133636363999999</v>
      </c>
      <c r="J7682" s="18">
        <v>15.45</v>
      </c>
      <c r="K7682" s="18">
        <v>14.81</v>
      </c>
      <c r="L7682" s="22">
        <v>6</v>
      </c>
    </row>
    <row r="7683" spans="1:12">
      <c r="A7683">
        <v>8</v>
      </c>
      <c r="B7683" s="16" t="s">
        <v>63</v>
      </c>
      <c r="C7683" s="9">
        <v>46266</v>
      </c>
      <c r="D7683">
        <v>38</v>
      </c>
      <c r="E7683" s="16" t="s">
        <v>127</v>
      </c>
      <c r="F7683" s="16" t="s">
        <v>83</v>
      </c>
      <c r="G7683" s="22">
        <v>8.5</v>
      </c>
      <c r="H7683" s="18">
        <v>129.63</v>
      </c>
      <c r="I7683" s="18">
        <v>15.250588235</v>
      </c>
      <c r="J7683" s="18">
        <v>15.53</v>
      </c>
      <c r="K7683" s="18">
        <v>14.77</v>
      </c>
      <c r="L7683" s="22">
        <v>9</v>
      </c>
    </row>
    <row r="7684" spans="1:12">
      <c r="A7684">
        <v>8</v>
      </c>
      <c r="B7684" s="16" t="s">
        <v>63</v>
      </c>
      <c r="C7684" s="9">
        <v>45689</v>
      </c>
      <c r="D7684">
        <v>39</v>
      </c>
      <c r="E7684" s="16" t="s">
        <v>128</v>
      </c>
      <c r="F7684" s="16" t="s">
        <v>87</v>
      </c>
      <c r="G7684" s="22">
        <v>22.5</v>
      </c>
      <c r="H7684" s="18">
        <v>168.6875</v>
      </c>
      <c r="I7684" s="18">
        <v>7.4972222220000004</v>
      </c>
      <c r="J7684" s="18">
        <v>7.59</v>
      </c>
      <c r="K7684" s="18">
        <v>7.36</v>
      </c>
      <c r="L7684" s="22">
        <v>6</v>
      </c>
    </row>
    <row r="7685" spans="1:12">
      <c r="A7685">
        <v>8</v>
      </c>
      <c r="B7685" s="16" t="s">
        <v>63</v>
      </c>
      <c r="C7685" s="9">
        <v>45717</v>
      </c>
      <c r="D7685">
        <v>39</v>
      </c>
      <c r="E7685" s="16" t="s">
        <v>128</v>
      </c>
      <c r="F7685" s="16" t="s">
        <v>87</v>
      </c>
      <c r="G7685" s="22">
        <v>24</v>
      </c>
      <c r="H7685" s="18">
        <v>180.245</v>
      </c>
      <c r="I7685" s="18">
        <v>7.5102083329999996</v>
      </c>
      <c r="J7685" s="18">
        <v>7.64</v>
      </c>
      <c r="K7685" s="18">
        <v>7.37</v>
      </c>
      <c r="L7685" s="22">
        <v>8</v>
      </c>
    </row>
    <row r="7686" spans="1:12">
      <c r="A7686">
        <v>8</v>
      </c>
      <c r="B7686" s="16" t="s">
        <v>63</v>
      </c>
      <c r="C7686" s="9">
        <v>45748</v>
      </c>
      <c r="D7686">
        <v>39</v>
      </c>
      <c r="E7686" s="16" t="s">
        <v>128</v>
      </c>
      <c r="F7686" s="16" t="s">
        <v>87</v>
      </c>
      <c r="G7686" s="22">
        <v>29</v>
      </c>
      <c r="H7686" s="18">
        <v>218.03</v>
      </c>
      <c r="I7686" s="18">
        <v>7.5182758620000003</v>
      </c>
      <c r="J7686" s="18">
        <v>7.66</v>
      </c>
      <c r="K7686" s="18">
        <v>7.35</v>
      </c>
      <c r="L7686" s="22">
        <v>8</v>
      </c>
    </row>
    <row r="7687" spans="1:12">
      <c r="A7687">
        <v>8</v>
      </c>
      <c r="B7687" s="16" t="s">
        <v>63</v>
      </c>
      <c r="C7687" s="9">
        <v>45778</v>
      </c>
      <c r="D7687">
        <v>39</v>
      </c>
      <c r="E7687" s="16" t="s">
        <v>128</v>
      </c>
      <c r="F7687" s="16" t="s">
        <v>87</v>
      </c>
      <c r="G7687" s="22">
        <v>26.75</v>
      </c>
      <c r="H7687" s="18">
        <v>203.1225</v>
      </c>
      <c r="I7687" s="18">
        <v>7.5933644859999996</v>
      </c>
      <c r="J7687" s="18">
        <v>8.0299999999999994</v>
      </c>
      <c r="K7687" s="18">
        <v>7.38</v>
      </c>
      <c r="L7687" s="22">
        <v>9</v>
      </c>
    </row>
    <row r="7688" spans="1:12">
      <c r="A7688">
        <v>8</v>
      </c>
      <c r="B7688" s="16" t="s">
        <v>63</v>
      </c>
      <c r="C7688" s="9">
        <v>45809</v>
      </c>
      <c r="D7688">
        <v>39</v>
      </c>
      <c r="E7688" s="16" t="s">
        <v>128</v>
      </c>
      <c r="F7688" s="16" t="s">
        <v>87</v>
      </c>
      <c r="G7688" s="22">
        <v>16.75</v>
      </c>
      <c r="H7688" s="18">
        <v>128.41249999999999</v>
      </c>
      <c r="I7688" s="18">
        <v>7.6664179099999998</v>
      </c>
      <c r="J7688" s="18">
        <v>7.82</v>
      </c>
      <c r="K7688" s="18">
        <v>7.45</v>
      </c>
      <c r="L7688" s="22">
        <v>7</v>
      </c>
    </row>
    <row r="7689" spans="1:12">
      <c r="A7689">
        <v>8</v>
      </c>
      <c r="B7689" s="16" t="s">
        <v>63</v>
      </c>
      <c r="C7689" s="9">
        <v>45839</v>
      </c>
      <c r="D7689">
        <v>39</v>
      </c>
      <c r="E7689" s="16" t="s">
        <v>128</v>
      </c>
      <c r="F7689" s="16" t="s">
        <v>87</v>
      </c>
      <c r="G7689" s="22">
        <v>17.75</v>
      </c>
      <c r="H7689" s="18">
        <v>135.42500000000001</v>
      </c>
      <c r="I7689" s="18">
        <v>7.6295774649999997</v>
      </c>
      <c r="J7689" s="18">
        <v>7.8</v>
      </c>
      <c r="K7689" s="18">
        <v>7.46</v>
      </c>
      <c r="L7689" s="22">
        <v>9</v>
      </c>
    </row>
    <row r="7690" spans="1:12">
      <c r="A7690">
        <v>8</v>
      </c>
      <c r="B7690" s="16" t="s">
        <v>63</v>
      </c>
      <c r="C7690" s="9">
        <v>45870</v>
      </c>
      <c r="D7690">
        <v>39</v>
      </c>
      <c r="E7690" s="16" t="s">
        <v>128</v>
      </c>
      <c r="F7690" s="16" t="s">
        <v>87</v>
      </c>
      <c r="G7690" s="22">
        <v>15</v>
      </c>
      <c r="H7690" s="18">
        <v>115.75749999999999</v>
      </c>
      <c r="I7690" s="18">
        <v>7.7171666669999999</v>
      </c>
      <c r="J7690" s="18">
        <v>8.2100000000000009</v>
      </c>
      <c r="K7690" s="18">
        <v>7.61</v>
      </c>
      <c r="L7690" s="22">
        <v>8</v>
      </c>
    </row>
    <row r="7691" spans="1:12">
      <c r="A7691">
        <v>8</v>
      </c>
      <c r="B7691" s="16" t="s">
        <v>63</v>
      </c>
      <c r="C7691" s="9">
        <v>45901</v>
      </c>
      <c r="D7691">
        <v>39</v>
      </c>
      <c r="E7691" s="16" t="s">
        <v>128</v>
      </c>
      <c r="F7691" s="16" t="s">
        <v>87</v>
      </c>
      <c r="G7691" s="22">
        <v>18</v>
      </c>
      <c r="H7691" s="18">
        <v>137.99250000000001</v>
      </c>
      <c r="I7691" s="18">
        <v>7.6662499999999998</v>
      </c>
      <c r="J7691" s="18">
        <v>7.88</v>
      </c>
      <c r="K7691" s="18">
        <v>7.55</v>
      </c>
      <c r="L7691" s="22">
        <v>7</v>
      </c>
    </row>
    <row r="7692" spans="1:12">
      <c r="A7692">
        <v>8</v>
      </c>
      <c r="B7692" s="16" t="s">
        <v>63</v>
      </c>
      <c r="C7692" s="9">
        <v>45931</v>
      </c>
      <c r="D7692">
        <v>39</v>
      </c>
      <c r="E7692" s="16" t="s">
        <v>128</v>
      </c>
      <c r="F7692" s="16" t="s">
        <v>87</v>
      </c>
      <c r="G7692" s="22">
        <v>22.75</v>
      </c>
      <c r="H7692" s="18">
        <v>174.54</v>
      </c>
      <c r="I7692" s="18">
        <v>7.6720879120000003</v>
      </c>
      <c r="J7692" s="18">
        <v>7.83</v>
      </c>
      <c r="K7692" s="18">
        <v>7.57</v>
      </c>
      <c r="L7692" s="22">
        <v>7</v>
      </c>
    </row>
    <row r="7693" spans="1:12">
      <c r="A7693">
        <v>8</v>
      </c>
      <c r="B7693" s="16" t="s">
        <v>63</v>
      </c>
      <c r="C7693" s="9">
        <v>45962</v>
      </c>
      <c r="D7693">
        <v>39</v>
      </c>
      <c r="E7693" s="16" t="s">
        <v>128</v>
      </c>
      <c r="F7693" s="16" t="s">
        <v>87</v>
      </c>
      <c r="G7693" s="22">
        <v>21.25</v>
      </c>
      <c r="H7693" s="18">
        <v>164.72</v>
      </c>
      <c r="I7693" s="18">
        <v>7.751529412</v>
      </c>
      <c r="J7693" s="18">
        <v>7.92</v>
      </c>
      <c r="K7693" s="18">
        <v>7.57</v>
      </c>
      <c r="L7693" s="22">
        <v>7</v>
      </c>
    </row>
    <row r="7694" spans="1:12">
      <c r="A7694">
        <v>8</v>
      </c>
      <c r="B7694" s="16" t="s">
        <v>63</v>
      </c>
      <c r="C7694" s="9">
        <v>45992</v>
      </c>
      <c r="D7694">
        <v>39</v>
      </c>
      <c r="E7694" s="16" t="s">
        <v>128</v>
      </c>
      <c r="F7694" s="16" t="s">
        <v>87</v>
      </c>
      <c r="G7694" s="22">
        <v>27.5</v>
      </c>
      <c r="H7694" s="18">
        <v>212.23249999999999</v>
      </c>
      <c r="I7694" s="18">
        <v>7.7175454549999998</v>
      </c>
      <c r="J7694" s="18">
        <v>7.81</v>
      </c>
      <c r="K7694" s="18">
        <v>7.61</v>
      </c>
      <c r="L7694" s="22">
        <v>7</v>
      </c>
    </row>
    <row r="7695" spans="1:12">
      <c r="A7695">
        <v>8</v>
      </c>
      <c r="B7695" s="16" t="s">
        <v>63</v>
      </c>
      <c r="C7695" s="9">
        <v>46023</v>
      </c>
      <c r="D7695">
        <v>39</v>
      </c>
      <c r="E7695" s="16" t="s">
        <v>128</v>
      </c>
      <c r="F7695" s="16" t="s">
        <v>87</v>
      </c>
      <c r="G7695" s="22">
        <v>31</v>
      </c>
      <c r="H7695" s="18">
        <v>242.08250000000001</v>
      </c>
      <c r="I7695" s="18">
        <v>7.8091129029999999</v>
      </c>
      <c r="J7695" s="18">
        <v>7.93</v>
      </c>
      <c r="K7695" s="18">
        <v>7.61</v>
      </c>
      <c r="L7695" s="22">
        <v>9</v>
      </c>
    </row>
    <row r="7696" spans="1:12">
      <c r="A7696">
        <v>8</v>
      </c>
      <c r="B7696" s="16" t="s">
        <v>63</v>
      </c>
      <c r="C7696" s="9">
        <v>46054</v>
      </c>
      <c r="D7696">
        <v>39</v>
      </c>
      <c r="E7696" s="16" t="s">
        <v>128</v>
      </c>
      <c r="F7696" s="16" t="s">
        <v>87</v>
      </c>
      <c r="G7696" s="22">
        <v>32</v>
      </c>
      <c r="H7696" s="18">
        <v>248.9325</v>
      </c>
      <c r="I7696" s="18">
        <v>7.7791406250000001</v>
      </c>
      <c r="J7696" s="18">
        <v>7.82</v>
      </c>
      <c r="K7696" s="18">
        <v>7.71</v>
      </c>
      <c r="L7696" s="22">
        <v>8</v>
      </c>
    </row>
    <row r="7697" spans="1:12">
      <c r="A7697">
        <v>8</v>
      </c>
      <c r="B7697" s="16" t="s">
        <v>63</v>
      </c>
      <c r="C7697" s="9">
        <v>46082</v>
      </c>
      <c r="D7697">
        <v>39</v>
      </c>
      <c r="E7697" s="16" t="s">
        <v>128</v>
      </c>
      <c r="F7697" s="16" t="s">
        <v>87</v>
      </c>
      <c r="G7697" s="22">
        <v>20.25</v>
      </c>
      <c r="H7697" s="18">
        <v>159.4375</v>
      </c>
      <c r="I7697" s="18">
        <v>7.8734567899999996</v>
      </c>
      <c r="J7697" s="18">
        <v>8.02</v>
      </c>
      <c r="K7697" s="18">
        <v>7.74</v>
      </c>
      <c r="L7697" s="22">
        <v>9</v>
      </c>
    </row>
    <row r="7698" spans="1:12">
      <c r="A7698">
        <v>8</v>
      </c>
      <c r="B7698" s="16" t="s">
        <v>63</v>
      </c>
      <c r="C7698" s="9">
        <v>46113</v>
      </c>
      <c r="D7698">
        <v>39</v>
      </c>
      <c r="E7698" s="16" t="s">
        <v>128</v>
      </c>
      <c r="F7698" s="16" t="s">
        <v>87</v>
      </c>
      <c r="G7698" s="22">
        <v>22</v>
      </c>
      <c r="H7698" s="18">
        <v>173.6575</v>
      </c>
      <c r="I7698" s="18">
        <v>7.8935227269999997</v>
      </c>
      <c r="J7698" s="18">
        <v>7.99</v>
      </c>
      <c r="K7698" s="18">
        <v>7.6</v>
      </c>
      <c r="L7698" s="22">
        <v>9</v>
      </c>
    </row>
    <row r="7699" spans="1:12">
      <c r="A7699">
        <v>8</v>
      </c>
      <c r="B7699" s="16" t="s">
        <v>63</v>
      </c>
      <c r="C7699" s="9">
        <v>46143</v>
      </c>
      <c r="D7699">
        <v>39</v>
      </c>
      <c r="E7699" s="16" t="s">
        <v>128</v>
      </c>
      <c r="F7699" s="16" t="s">
        <v>87</v>
      </c>
      <c r="G7699" s="22">
        <v>13</v>
      </c>
      <c r="H7699" s="18">
        <v>101.92</v>
      </c>
      <c r="I7699" s="18">
        <v>7.84</v>
      </c>
      <c r="J7699" s="18">
        <v>8</v>
      </c>
      <c r="K7699" s="18">
        <v>7.74</v>
      </c>
      <c r="L7699" s="22">
        <v>8</v>
      </c>
    </row>
    <row r="7700" spans="1:12">
      <c r="A7700">
        <v>8</v>
      </c>
      <c r="B7700" s="16" t="s">
        <v>63</v>
      </c>
      <c r="C7700" s="9">
        <v>46174</v>
      </c>
      <c r="D7700">
        <v>39</v>
      </c>
      <c r="E7700" s="16" t="s">
        <v>128</v>
      </c>
      <c r="F7700" s="16" t="s">
        <v>87</v>
      </c>
      <c r="G7700" s="22">
        <v>11.75</v>
      </c>
      <c r="H7700" s="18">
        <v>91.932500000000005</v>
      </c>
      <c r="I7700" s="18">
        <v>7.824042553</v>
      </c>
      <c r="J7700" s="18">
        <v>8.0299999999999994</v>
      </c>
      <c r="K7700" s="18">
        <v>7.7</v>
      </c>
      <c r="L7700" s="22">
        <v>6</v>
      </c>
    </row>
    <row r="7701" spans="1:12">
      <c r="A7701">
        <v>8</v>
      </c>
      <c r="B7701" s="16" t="s">
        <v>63</v>
      </c>
      <c r="C7701" s="9">
        <v>46204</v>
      </c>
      <c r="D7701">
        <v>39</v>
      </c>
      <c r="E7701" s="16" t="s">
        <v>128</v>
      </c>
      <c r="F7701" s="16" t="s">
        <v>87</v>
      </c>
      <c r="G7701" s="22">
        <v>21</v>
      </c>
      <c r="H7701" s="18">
        <v>162.92750000000001</v>
      </c>
      <c r="I7701" s="18">
        <v>7.7584523809999997</v>
      </c>
      <c r="J7701" s="18">
        <v>8.02</v>
      </c>
      <c r="K7701" s="18">
        <v>7.56</v>
      </c>
      <c r="L7701" s="22">
        <v>9</v>
      </c>
    </row>
    <row r="7702" spans="1:12">
      <c r="A7702">
        <v>8</v>
      </c>
      <c r="B7702" s="16" t="s">
        <v>63</v>
      </c>
      <c r="C7702" s="9">
        <v>46235</v>
      </c>
      <c r="D7702">
        <v>39</v>
      </c>
      <c r="E7702" s="16" t="s">
        <v>128</v>
      </c>
      <c r="F7702" s="16" t="s">
        <v>87</v>
      </c>
      <c r="G7702" s="22">
        <v>13.25</v>
      </c>
      <c r="H7702" s="18">
        <v>103.69750000000001</v>
      </c>
      <c r="I7702" s="18">
        <v>7.8262264149999998</v>
      </c>
      <c r="J7702" s="18">
        <v>8.09</v>
      </c>
      <c r="K7702" s="18">
        <v>7.71</v>
      </c>
      <c r="L7702" s="22">
        <v>6</v>
      </c>
    </row>
    <row r="7703" spans="1:12">
      <c r="A7703">
        <v>8</v>
      </c>
      <c r="B7703" s="16" t="s">
        <v>63</v>
      </c>
      <c r="C7703" s="9">
        <v>46266</v>
      </c>
      <c r="D7703">
        <v>39</v>
      </c>
      <c r="E7703" s="16" t="s">
        <v>128</v>
      </c>
      <c r="F7703" s="16" t="s">
        <v>87</v>
      </c>
      <c r="G7703" s="22">
        <v>21.25</v>
      </c>
      <c r="H7703" s="18">
        <v>166.64750000000001</v>
      </c>
      <c r="I7703" s="18">
        <v>7.842235294</v>
      </c>
      <c r="J7703" s="18">
        <v>8.2799999999999994</v>
      </c>
      <c r="K7703" s="18">
        <v>7.7</v>
      </c>
      <c r="L7703" s="22">
        <v>7</v>
      </c>
    </row>
    <row r="7704" spans="1:12">
      <c r="A7704">
        <v>8</v>
      </c>
      <c r="B7704" s="16" t="s">
        <v>63</v>
      </c>
      <c r="C7704" s="9">
        <v>45717</v>
      </c>
      <c r="D7704">
        <v>40</v>
      </c>
      <c r="E7704" s="16" t="s">
        <v>129</v>
      </c>
      <c r="F7704" s="16" t="s">
        <v>108</v>
      </c>
      <c r="G7704" s="22">
        <v>2</v>
      </c>
      <c r="H7704" s="18">
        <v>1.24</v>
      </c>
      <c r="I7704" s="18">
        <v>0.62</v>
      </c>
      <c r="J7704" s="18">
        <v>0.62</v>
      </c>
      <c r="K7704" s="18">
        <v>0.62</v>
      </c>
      <c r="L7704" s="22">
        <v>1</v>
      </c>
    </row>
    <row r="7705" spans="1:12">
      <c r="A7705">
        <v>8</v>
      </c>
      <c r="B7705" s="16" t="s">
        <v>63</v>
      </c>
      <c r="C7705" s="9">
        <v>45748</v>
      </c>
      <c r="D7705">
        <v>40</v>
      </c>
      <c r="E7705" s="16" t="s">
        <v>129</v>
      </c>
      <c r="F7705" s="16" t="s">
        <v>108</v>
      </c>
      <c r="G7705" s="22">
        <v>2</v>
      </c>
      <c r="H7705" s="18">
        <v>1.26</v>
      </c>
      <c r="I7705" s="18">
        <v>0.63</v>
      </c>
      <c r="J7705" s="18">
        <v>0.63</v>
      </c>
      <c r="K7705" s="18">
        <v>0.63</v>
      </c>
      <c r="L7705" s="22">
        <v>1</v>
      </c>
    </row>
    <row r="7706" spans="1:12">
      <c r="A7706">
        <v>8</v>
      </c>
      <c r="B7706" s="16" t="s">
        <v>63</v>
      </c>
      <c r="C7706" s="9">
        <v>45778</v>
      </c>
      <c r="D7706">
        <v>40</v>
      </c>
      <c r="E7706" s="16" t="s">
        <v>129</v>
      </c>
      <c r="F7706" s="16" t="s">
        <v>108</v>
      </c>
      <c r="G7706" s="22">
        <v>2</v>
      </c>
      <c r="H7706" s="18">
        <v>1.3</v>
      </c>
      <c r="I7706" s="18">
        <v>0.65</v>
      </c>
      <c r="J7706" s="18">
        <v>0.65</v>
      </c>
      <c r="K7706" s="18">
        <v>0.65</v>
      </c>
      <c r="L7706" s="22">
        <v>1</v>
      </c>
    </row>
    <row r="7707" spans="1:12">
      <c r="A7707">
        <v>8</v>
      </c>
      <c r="B7707" s="16" t="s">
        <v>63</v>
      </c>
      <c r="C7707" s="9">
        <v>45839</v>
      </c>
      <c r="D7707">
        <v>40</v>
      </c>
      <c r="E7707" s="16" t="s">
        <v>129</v>
      </c>
      <c r="F7707" s="16" t="s">
        <v>108</v>
      </c>
      <c r="G7707" s="22">
        <v>2</v>
      </c>
      <c r="H7707" s="18">
        <v>1.32</v>
      </c>
      <c r="I7707" s="18">
        <v>0.66</v>
      </c>
      <c r="J7707" s="18">
        <v>0.66</v>
      </c>
      <c r="K7707" s="18">
        <v>0.66</v>
      </c>
      <c r="L7707" s="22">
        <v>1</v>
      </c>
    </row>
    <row r="7708" spans="1:12">
      <c r="A7708">
        <v>8</v>
      </c>
      <c r="B7708" s="16" t="s">
        <v>63</v>
      </c>
      <c r="C7708" s="9">
        <v>45901</v>
      </c>
      <c r="D7708">
        <v>40</v>
      </c>
      <c r="E7708" s="16" t="s">
        <v>129</v>
      </c>
      <c r="F7708" s="16" t="s">
        <v>108</v>
      </c>
      <c r="G7708" s="22">
        <v>2</v>
      </c>
      <c r="H7708" s="18">
        <v>1.28</v>
      </c>
      <c r="I7708" s="18">
        <v>0.64</v>
      </c>
      <c r="J7708" s="18">
        <v>0.64</v>
      </c>
      <c r="K7708" s="18">
        <v>0.64</v>
      </c>
      <c r="L7708" s="22">
        <v>1</v>
      </c>
    </row>
    <row r="7709" spans="1:12">
      <c r="A7709">
        <v>8</v>
      </c>
      <c r="B7709" s="16" t="s">
        <v>63</v>
      </c>
      <c r="C7709" s="9">
        <v>45931</v>
      </c>
      <c r="D7709">
        <v>40</v>
      </c>
      <c r="E7709" s="16" t="s">
        <v>129</v>
      </c>
      <c r="F7709" s="16" t="s">
        <v>108</v>
      </c>
      <c r="G7709" s="22">
        <v>2</v>
      </c>
      <c r="H7709" s="18">
        <v>1.28</v>
      </c>
      <c r="I7709" s="18">
        <v>0.64</v>
      </c>
      <c r="J7709" s="18">
        <v>0.64</v>
      </c>
      <c r="K7709" s="18">
        <v>0.64</v>
      </c>
      <c r="L7709" s="22">
        <v>1</v>
      </c>
    </row>
    <row r="7710" spans="1:12">
      <c r="A7710">
        <v>8</v>
      </c>
      <c r="B7710" s="16" t="s">
        <v>63</v>
      </c>
      <c r="C7710" s="9">
        <v>45992</v>
      </c>
      <c r="D7710">
        <v>40</v>
      </c>
      <c r="E7710" s="16" t="s">
        <v>129</v>
      </c>
      <c r="F7710" s="16" t="s">
        <v>108</v>
      </c>
      <c r="G7710" s="22">
        <v>2</v>
      </c>
      <c r="H7710" s="18">
        <v>1.28</v>
      </c>
      <c r="I7710" s="18">
        <v>0.64</v>
      </c>
      <c r="J7710" s="18">
        <v>0.64</v>
      </c>
      <c r="K7710" s="18">
        <v>0.64</v>
      </c>
      <c r="L7710" s="22">
        <v>1</v>
      </c>
    </row>
    <row r="7711" spans="1:12">
      <c r="A7711">
        <v>8</v>
      </c>
      <c r="B7711" s="16" t="s">
        <v>63</v>
      </c>
      <c r="C7711" s="9">
        <v>46023</v>
      </c>
      <c r="D7711">
        <v>40</v>
      </c>
      <c r="E7711" s="16" t="s">
        <v>129</v>
      </c>
      <c r="F7711" s="16" t="s">
        <v>108</v>
      </c>
      <c r="G7711" s="22">
        <v>2</v>
      </c>
      <c r="H7711" s="18">
        <v>1.28</v>
      </c>
      <c r="I7711" s="18">
        <v>0.64</v>
      </c>
      <c r="J7711" s="18">
        <v>0.64</v>
      </c>
      <c r="K7711" s="18">
        <v>0.64</v>
      </c>
      <c r="L7711" s="22">
        <v>1</v>
      </c>
    </row>
    <row r="7712" spans="1:12">
      <c r="A7712">
        <v>8</v>
      </c>
      <c r="B7712" s="16" t="s">
        <v>63</v>
      </c>
      <c r="C7712" s="9">
        <v>46054</v>
      </c>
      <c r="D7712">
        <v>40</v>
      </c>
      <c r="E7712" s="16" t="s">
        <v>129</v>
      </c>
      <c r="F7712" s="16" t="s">
        <v>108</v>
      </c>
      <c r="G7712" s="22">
        <v>2</v>
      </c>
      <c r="H7712" s="18">
        <v>1.28</v>
      </c>
      <c r="I7712" s="18">
        <v>0.64</v>
      </c>
      <c r="J7712" s="18">
        <v>0.64</v>
      </c>
      <c r="K7712" s="18">
        <v>0.64</v>
      </c>
      <c r="L7712" s="22">
        <v>1</v>
      </c>
    </row>
    <row r="7713" spans="1:12">
      <c r="A7713">
        <v>8</v>
      </c>
      <c r="B7713" s="16" t="s">
        <v>63</v>
      </c>
      <c r="C7713" s="9">
        <v>46113</v>
      </c>
      <c r="D7713">
        <v>40</v>
      </c>
      <c r="E7713" s="16" t="s">
        <v>129</v>
      </c>
      <c r="F7713" s="16" t="s">
        <v>108</v>
      </c>
      <c r="G7713" s="22">
        <v>2</v>
      </c>
      <c r="H7713" s="18">
        <v>1.3</v>
      </c>
      <c r="I7713" s="18">
        <v>0.65</v>
      </c>
      <c r="J7713" s="18">
        <v>0.65</v>
      </c>
      <c r="K7713" s="18">
        <v>0.65</v>
      </c>
      <c r="L7713" s="22">
        <v>1</v>
      </c>
    </row>
    <row r="7714" spans="1:12">
      <c r="A7714">
        <v>8</v>
      </c>
      <c r="B7714" s="16" t="s">
        <v>63</v>
      </c>
      <c r="C7714" s="9">
        <v>46143</v>
      </c>
      <c r="D7714">
        <v>40</v>
      </c>
      <c r="E7714" s="16" t="s">
        <v>129</v>
      </c>
      <c r="F7714" s="16" t="s">
        <v>108</v>
      </c>
      <c r="G7714" s="22">
        <v>2</v>
      </c>
      <c r="H7714" s="18">
        <v>1.26</v>
      </c>
      <c r="I7714" s="18">
        <v>0.63</v>
      </c>
      <c r="J7714" s="18">
        <v>0.63</v>
      </c>
      <c r="K7714" s="18">
        <v>0.63</v>
      </c>
      <c r="L7714" s="22">
        <v>1</v>
      </c>
    </row>
    <row r="7715" spans="1:12">
      <c r="A7715">
        <v>8</v>
      </c>
      <c r="B7715" s="16" t="s">
        <v>63</v>
      </c>
      <c r="C7715" s="9">
        <v>46204</v>
      </c>
      <c r="D7715">
        <v>40</v>
      </c>
      <c r="E7715" s="16" t="s">
        <v>129</v>
      </c>
      <c r="F7715" s="16" t="s">
        <v>108</v>
      </c>
      <c r="G7715" s="22">
        <v>2</v>
      </c>
      <c r="H7715" s="18">
        <v>1.3</v>
      </c>
      <c r="I7715" s="18">
        <v>0.65</v>
      </c>
      <c r="J7715" s="18">
        <v>0.65</v>
      </c>
      <c r="K7715" s="18">
        <v>0.65</v>
      </c>
      <c r="L7715" s="22">
        <v>1</v>
      </c>
    </row>
    <row r="7716" spans="1:12">
      <c r="A7716">
        <v>8</v>
      </c>
      <c r="B7716" s="16" t="s">
        <v>63</v>
      </c>
      <c r="C7716" s="9">
        <v>46266</v>
      </c>
      <c r="D7716">
        <v>40</v>
      </c>
      <c r="E7716" s="16" t="s">
        <v>129</v>
      </c>
      <c r="F7716" s="16" t="s">
        <v>108</v>
      </c>
      <c r="G7716" s="22">
        <v>2</v>
      </c>
      <c r="H7716" s="18">
        <v>1.26</v>
      </c>
      <c r="I7716" s="18">
        <v>0.63</v>
      </c>
      <c r="J7716" s="18">
        <v>0.63</v>
      </c>
      <c r="K7716" s="18">
        <v>0.63</v>
      </c>
      <c r="L7716" s="22">
        <v>1</v>
      </c>
    </row>
    <row r="7717" spans="1:12">
      <c r="A7717">
        <v>8</v>
      </c>
      <c r="B7717" s="16" t="s">
        <v>63</v>
      </c>
      <c r="C7717" s="9">
        <v>45689</v>
      </c>
      <c r="D7717">
        <v>41</v>
      </c>
      <c r="E7717" s="16" t="s">
        <v>130</v>
      </c>
      <c r="F7717" s="16" t="s">
        <v>87</v>
      </c>
      <c r="G7717" s="22">
        <v>26.25</v>
      </c>
      <c r="H7717" s="18">
        <v>111.245</v>
      </c>
      <c r="I7717" s="18">
        <v>4.2379047620000003</v>
      </c>
      <c r="J7717" s="18">
        <v>4.2699999999999996</v>
      </c>
      <c r="K7717" s="18">
        <v>4.16</v>
      </c>
      <c r="L7717" s="22">
        <v>7</v>
      </c>
    </row>
    <row r="7718" spans="1:12">
      <c r="A7718">
        <v>8</v>
      </c>
      <c r="B7718" s="16" t="s">
        <v>63</v>
      </c>
      <c r="C7718" s="9">
        <v>45717</v>
      </c>
      <c r="D7718">
        <v>41</v>
      </c>
      <c r="E7718" s="16" t="s">
        <v>130</v>
      </c>
      <c r="F7718" s="16" t="s">
        <v>87</v>
      </c>
      <c r="G7718" s="22">
        <v>35.75</v>
      </c>
      <c r="H7718" s="18">
        <v>152.82499999999999</v>
      </c>
      <c r="I7718" s="18">
        <v>4.2748251750000001</v>
      </c>
      <c r="J7718" s="18">
        <v>4.34</v>
      </c>
      <c r="K7718" s="18">
        <v>4.17</v>
      </c>
      <c r="L7718" s="22">
        <v>8</v>
      </c>
    </row>
    <row r="7719" spans="1:12">
      <c r="A7719">
        <v>8</v>
      </c>
      <c r="B7719" s="16" t="s">
        <v>63</v>
      </c>
      <c r="C7719" s="9">
        <v>45748</v>
      </c>
      <c r="D7719">
        <v>41</v>
      </c>
      <c r="E7719" s="16" t="s">
        <v>130</v>
      </c>
      <c r="F7719" s="16" t="s">
        <v>87</v>
      </c>
      <c r="G7719" s="22">
        <v>35.5</v>
      </c>
      <c r="H7719" s="18">
        <v>153.495</v>
      </c>
      <c r="I7719" s="18">
        <v>4.3238028169999998</v>
      </c>
      <c r="J7719" s="18">
        <v>4.41</v>
      </c>
      <c r="K7719" s="18">
        <v>4.26</v>
      </c>
      <c r="L7719" s="22">
        <v>9</v>
      </c>
    </row>
    <row r="7720" spans="1:12">
      <c r="A7720">
        <v>8</v>
      </c>
      <c r="B7720" s="16" t="s">
        <v>63</v>
      </c>
      <c r="C7720" s="9">
        <v>45778</v>
      </c>
      <c r="D7720">
        <v>41</v>
      </c>
      <c r="E7720" s="16" t="s">
        <v>130</v>
      </c>
      <c r="F7720" s="16" t="s">
        <v>87</v>
      </c>
      <c r="G7720" s="22">
        <v>57.75</v>
      </c>
      <c r="H7720" s="18">
        <v>249.17750000000001</v>
      </c>
      <c r="I7720" s="18">
        <v>4.3147619050000001</v>
      </c>
      <c r="J7720" s="18">
        <v>4.38</v>
      </c>
      <c r="K7720" s="18">
        <v>4.28</v>
      </c>
      <c r="L7720" s="22">
        <v>9</v>
      </c>
    </row>
    <row r="7721" spans="1:12">
      <c r="A7721">
        <v>8</v>
      </c>
      <c r="B7721" s="16" t="s">
        <v>63</v>
      </c>
      <c r="C7721" s="9">
        <v>45809</v>
      </c>
      <c r="D7721">
        <v>41</v>
      </c>
      <c r="E7721" s="16" t="s">
        <v>130</v>
      </c>
      <c r="F7721" s="16" t="s">
        <v>87</v>
      </c>
      <c r="G7721" s="22">
        <v>44</v>
      </c>
      <c r="H7721" s="18">
        <v>191.76499999999999</v>
      </c>
      <c r="I7721" s="18">
        <v>4.3582954550000004</v>
      </c>
      <c r="J7721" s="18">
        <v>4.42</v>
      </c>
      <c r="K7721" s="18">
        <v>4.26</v>
      </c>
      <c r="L7721" s="22">
        <v>8</v>
      </c>
    </row>
    <row r="7722" spans="1:12">
      <c r="A7722">
        <v>8</v>
      </c>
      <c r="B7722" s="16" t="s">
        <v>63</v>
      </c>
      <c r="C7722" s="9">
        <v>45839</v>
      </c>
      <c r="D7722">
        <v>41</v>
      </c>
      <c r="E7722" s="16" t="s">
        <v>130</v>
      </c>
      <c r="F7722" s="16" t="s">
        <v>87</v>
      </c>
      <c r="G7722" s="22">
        <v>41.25</v>
      </c>
      <c r="H7722" s="18">
        <v>181.3775</v>
      </c>
      <c r="I7722" s="18">
        <v>4.3970303030000002</v>
      </c>
      <c r="J7722" s="18">
        <v>4.46</v>
      </c>
      <c r="K7722" s="18">
        <v>4.32</v>
      </c>
      <c r="L7722" s="22">
        <v>9</v>
      </c>
    </row>
    <row r="7723" spans="1:12">
      <c r="A7723">
        <v>8</v>
      </c>
      <c r="B7723" s="16" t="s">
        <v>63</v>
      </c>
      <c r="C7723" s="9">
        <v>45870</v>
      </c>
      <c r="D7723">
        <v>41</v>
      </c>
      <c r="E7723" s="16" t="s">
        <v>130</v>
      </c>
      <c r="F7723" s="16" t="s">
        <v>87</v>
      </c>
      <c r="G7723" s="22">
        <v>43.5</v>
      </c>
      <c r="H7723" s="18">
        <v>193.02</v>
      </c>
      <c r="I7723" s="18">
        <v>4.4372413789999996</v>
      </c>
      <c r="J7723" s="18">
        <v>4.6100000000000003</v>
      </c>
      <c r="K7723" s="18">
        <v>4.3600000000000003</v>
      </c>
      <c r="L7723" s="22">
        <v>7</v>
      </c>
    </row>
    <row r="7724" spans="1:12">
      <c r="A7724">
        <v>8</v>
      </c>
      <c r="B7724" s="16" t="s">
        <v>63</v>
      </c>
      <c r="C7724" s="9">
        <v>45901</v>
      </c>
      <c r="D7724">
        <v>41</v>
      </c>
      <c r="E7724" s="16" t="s">
        <v>130</v>
      </c>
      <c r="F7724" s="16" t="s">
        <v>87</v>
      </c>
      <c r="G7724" s="22">
        <v>40</v>
      </c>
      <c r="H7724" s="18">
        <v>176.81</v>
      </c>
      <c r="I7724" s="18">
        <v>4.4202500000000002</v>
      </c>
      <c r="J7724" s="18">
        <v>4.5</v>
      </c>
      <c r="K7724" s="18">
        <v>4.38</v>
      </c>
      <c r="L7724" s="22">
        <v>9</v>
      </c>
    </row>
    <row r="7725" spans="1:12">
      <c r="A7725">
        <v>8</v>
      </c>
      <c r="B7725" s="16" t="s">
        <v>63</v>
      </c>
      <c r="C7725" s="9">
        <v>45931</v>
      </c>
      <c r="D7725">
        <v>41</v>
      </c>
      <c r="E7725" s="16" t="s">
        <v>130</v>
      </c>
      <c r="F7725" s="16" t="s">
        <v>87</v>
      </c>
      <c r="G7725" s="22">
        <v>52.25</v>
      </c>
      <c r="H7725" s="18">
        <v>226.5925</v>
      </c>
      <c r="I7725" s="18">
        <v>4.3366985649999998</v>
      </c>
      <c r="J7725" s="18">
        <v>4.4000000000000004</v>
      </c>
      <c r="K7725" s="18">
        <v>4.28</v>
      </c>
      <c r="L7725" s="22">
        <v>9</v>
      </c>
    </row>
    <row r="7726" spans="1:12">
      <c r="A7726">
        <v>8</v>
      </c>
      <c r="B7726" s="16" t="s">
        <v>63</v>
      </c>
      <c r="C7726" s="9">
        <v>45962</v>
      </c>
      <c r="D7726">
        <v>41</v>
      </c>
      <c r="E7726" s="16" t="s">
        <v>130</v>
      </c>
      <c r="F7726" s="16" t="s">
        <v>87</v>
      </c>
      <c r="G7726" s="22">
        <v>40.5</v>
      </c>
      <c r="H7726" s="18">
        <v>177.53</v>
      </c>
      <c r="I7726" s="18">
        <v>4.3834567900000003</v>
      </c>
      <c r="J7726" s="18">
        <v>4.41</v>
      </c>
      <c r="K7726" s="18">
        <v>4.33</v>
      </c>
      <c r="L7726" s="22">
        <v>8</v>
      </c>
    </row>
    <row r="7727" spans="1:12">
      <c r="A7727">
        <v>8</v>
      </c>
      <c r="B7727" s="16" t="s">
        <v>63</v>
      </c>
      <c r="C7727" s="9">
        <v>45992</v>
      </c>
      <c r="D7727">
        <v>41</v>
      </c>
      <c r="E7727" s="16" t="s">
        <v>130</v>
      </c>
      <c r="F7727" s="16" t="s">
        <v>87</v>
      </c>
      <c r="G7727" s="22">
        <v>31</v>
      </c>
      <c r="H7727" s="18">
        <v>135.98500000000001</v>
      </c>
      <c r="I7727" s="18">
        <v>4.3866129029999996</v>
      </c>
      <c r="J7727" s="18">
        <v>4.47</v>
      </c>
      <c r="K7727" s="18">
        <v>4.28</v>
      </c>
      <c r="L7727" s="22">
        <v>9</v>
      </c>
    </row>
    <row r="7728" spans="1:12">
      <c r="A7728">
        <v>8</v>
      </c>
      <c r="B7728" s="16" t="s">
        <v>63</v>
      </c>
      <c r="C7728" s="9">
        <v>46023</v>
      </c>
      <c r="D7728">
        <v>41</v>
      </c>
      <c r="E7728" s="16" t="s">
        <v>130</v>
      </c>
      <c r="F7728" s="16" t="s">
        <v>87</v>
      </c>
      <c r="G7728" s="22">
        <v>34.5</v>
      </c>
      <c r="H7728" s="18">
        <v>150.315</v>
      </c>
      <c r="I7728" s="18">
        <v>4.3569565219999999</v>
      </c>
      <c r="J7728" s="18">
        <v>4.5</v>
      </c>
      <c r="K7728" s="18">
        <v>4.26</v>
      </c>
      <c r="L7728" s="22">
        <v>9</v>
      </c>
    </row>
    <row r="7729" spans="1:12">
      <c r="A7729">
        <v>8</v>
      </c>
      <c r="B7729" s="16" t="s">
        <v>63</v>
      </c>
      <c r="C7729" s="9">
        <v>46054</v>
      </c>
      <c r="D7729">
        <v>41</v>
      </c>
      <c r="E7729" s="16" t="s">
        <v>130</v>
      </c>
      <c r="F7729" s="16" t="s">
        <v>87</v>
      </c>
      <c r="G7729" s="22">
        <v>32.75</v>
      </c>
      <c r="H7729" s="18">
        <v>144.4675</v>
      </c>
      <c r="I7729" s="18">
        <v>4.4112213740000001</v>
      </c>
      <c r="J7729" s="18">
        <v>4.45</v>
      </c>
      <c r="K7729" s="18">
        <v>4.3600000000000003</v>
      </c>
      <c r="L7729" s="22">
        <v>8</v>
      </c>
    </row>
    <row r="7730" spans="1:12">
      <c r="A7730">
        <v>8</v>
      </c>
      <c r="B7730" s="16" t="s">
        <v>63</v>
      </c>
      <c r="C7730" s="9">
        <v>46082</v>
      </c>
      <c r="D7730">
        <v>41</v>
      </c>
      <c r="E7730" s="16" t="s">
        <v>130</v>
      </c>
      <c r="F7730" s="16" t="s">
        <v>87</v>
      </c>
      <c r="G7730" s="22">
        <v>30.25</v>
      </c>
      <c r="H7730" s="18">
        <v>134.41999999999999</v>
      </c>
      <c r="I7730" s="18">
        <v>4.4436363639999996</v>
      </c>
      <c r="J7730" s="18">
        <v>4.51</v>
      </c>
      <c r="K7730" s="18">
        <v>4.3499999999999996</v>
      </c>
      <c r="L7730" s="22">
        <v>9</v>
      </c>
    </row>
    <row r="7731" spans="1:12">
      <c r="A7731">
        <v>8</v>
      </c>
      <c r="B7731" s="16" t="s">
        <v>63</v>
      </c>
      <c r="C7731" s="9">
        <v>46113</v>
      </c>
      <c r="D7731">
        <v>41</v>
      </c>
      <c r="E7731" s="16" t="s">
        <v>130</v>
      </c>
      <c r="F7731" s="16" t="s">
        <v>87</v>
      </c>
      <c r="G7731" s="22">
        <v>28</v>
      </c>
      <c r="H7731" s="18">
        <v>123.36499999999999</v>
      </c>
      <c r="I7731" s="18">
        <v>4.4058928570000004</v>
      </c>
      <c r="J7731" s="18">
        <v>4.51</v>
      </c>
      <c r="K7731" s="18">
        <v>4.26</v>
      </c>
      <c r="L7731" s="22">
        <v>9</v>
      </c>
    </row>
    <row r="7732" spans="1:12">
      <c r="A7732">
        <v>8</v>
      </c>
      <c r="B7732" s="16" t="s">
        <v>63</v>
      </c>
      <c r="C7732" s="9">
        <v>46143</v>
      </c>
      <c r="D7732">
        <v>41</v>
      </c>
      <c r="E7732" s="16" t="s">
        <v>130</v>
      </c>
      <c r="F7732" s="16" t="s">
        <v>87</v>
      </c>
      <c r="G7732" s="22">
        <v>32.75</v>
      </c>
      <c r="H7732" s="18">
        <v>143.67500000000001</v>
      </c>
      <c r="I7732" s="18">
        <v>4.3870229009999999</v>
      </c>
      <c r="J7732" s="18">
        <v>4.51</v>
      </c>
      <c r="K7732" s="18">
        <v>4.3</v>
      </c>
      <c r="L7732" s="22">
        <v>8</v>
      </c>
    </row>
    <row r="7733" spans="1:12">
      <c r="A7733">
        <v>8</v>
      </c>
      <c r="B7733" s="16" t="s">
        <v>63</v>
      </c>
      <c r="C7733" s="9">
        <v>46174</v>
      </c>
      <c r="D7733">
        <v>41</v>
      </c>
      <c r="E7733" s="16" t="s">
        <v>130</v>
      </c>
      <c r="F7733" s="16" t="s">
        <v>87</v>
      </c>
      <c r="G7733" s="22">
        <v>34</v>
      </c>
      <c r="H7733" s="18">
        <v>149.58750000000001</v>
      </c>
      <c r="I7733" s="18">
        <v>4.3996323530000003</v>
      </c>
      <c r="J7733" s="18">
        <v>4.5599999999999996</v>
      </c>
      <c r="K7733" s="18">
        <v>4.3600000000000003</v>
      </c>
      <c r="L7733" s="22">
        <v>8</v>
      </c>
    </row>
    <row r="7734" spans="1:12">
      <c r="A7734">
        <v>8</v>
      </c>
      <c r="B7734" s="16" t="s">
        <v>63</v>
      </c>
      <c r="C7734" s="9">
        <v>46204</v>
      </c>
      <c r="D7734">
        <v>41</v>
      </c>
      <c r="E7734" s="16" t="s">
        <v>130</v>
      </c>
      <c r="F7734" s="16" t="s">
        <v>87</v>
      </c>
      <c r="G7734" s="22">
        <v>30.75</v>
      </c>
      <c r="H7734" s="18">
        <v>138.39250000000001</v>
      </c>
      <c r="I7734" s="18">
        <v>4.5005691060000004</v>
      </c>
      <c r="J7734" s="18">
        <v>4.8099999999999996</v>
      </c>
      <c r="K7734" s="18">
        <v>4.32</v>
      </c>
      <c r="L7734" s="22">
        <v>9</v>
      </c>
    </row>
    <row r="7735" spans="1:12">
      <c r="A7735">
        <v>8</v>
      </c>
      <c r="B7735" s="16" t="s">
        <v>63</v>
      </c>
      <c r="C7735" s="9">
        <v>46235</v>
      </c>
      <c r="D7735">
        <v>41</v>
      </c>
      <c r="E7735" s="16" t="s">
        <v>130</v>
      </c>
      <c r="F7735" s="16" t="s">
        <v>87</v>
      </c>
      <c r="G7735" s="22">
        <v>30</v>
      </c>
      <c r="H7735" s="18">
        <v>134.28</v>
      </c>
      <c r="I7735" s="18">
        <v>4.476</v>
      </c>
      <c r="J7735" s="18">
        <v>4.53</v>
      </c>
      <c r="K7735" s="18">
        <v>4.42</v>
      </c>
      <c r="L7735" s="22">
        <v>7</v>
      </c>
    </row>
    <row r="7736" spans="1:12">
      <c r="A7736">
        <v>8</v>
      </c>
      <c r="B7736" s="16" t="s">
        <v>63</v>
      </c>
      <c r="C7736" s="9">
        <v>46266</v>
      </c>
      <c r="D7736">
        <v>41</v>
      </c>
      <c r="E7736" s="16" t="s">
        <v>130</v>
      </c>
      <c r="F7736" s="16" t="s">
        <v>87</v>
      </c>
      <c r="G7736" s="22">
        <v>33.75</v>
      </c>
      <c r="H7736" s="18">
        <v>152.12</v>
      </c>
      <c r="I7736" s="18">
        <v>4.5072592589999996</v>
      </c>
      <c r="J7736" s="18">
        <v>4.54</v>
      </c>
      <c r="K7736" s="18">
        <v>4.42</v>
      </c>
      <c r="L7736" s="22">
        <v>9</v>
      </c>
    </row>
    <row r="7737" spans="1:12">
      <c r="A7737">
        <v>8</v>
      </c>
      <c r="B7737" s="16" t="s">
        <v>63</v>
      </c>
      <c r="C7737" s="9">
        <v>45689</v>
      </c>
      <c r="D7737">
        <v>42</v>
      </c>
      <c r="E7737" s="16" t="s">
        <v>131</v>
      </c>
      <c r="F7737" s="16" t="s">
        <v>83</v>
      </c>
      <c r="G7737" s="22">
        <v>8.5</v>
      </c>
      <c r="H7737" s="18">
        <v>57.734999999999999</v>
      </c>
      <c r="I7737" s="18">
        <v>6.7923529409999999</v>
      </c>
      <c r="J7737" s="18">
        <v>6.85</v>
      </c>
      <c r="K7737" s="18">
        <v>6.72</v>
      </c>
      <c r="L7737" s="22">
        <v>8</v>
      </c>
    </row>
    <row r="7738" spans="1:12">
      <c r="A7738">
        <v>8</v>
      </c>
      <c r="B7738" s="16" t="s">
        <v>63</v>
      </c>
      <c r="C7738" s="9">
        <v>45717</v>
      </c>
      <c r="D7738">
        <v>42</v>
      </c>
      <c r="E7738" s="16" t="s">
        <v>131</v>
      </c>
      <c r="F7738" s="16" t="s">
        <v>83</v>
      </c>
      <c r="G7738" s="22">
        <v>9</v>
      </c>
      <c r="H7738" s="18">
        <v>62.204999999999998</v>
      </c>
      <c r="I7738" s="18">
        <v>6.9116666670000004</v>
      </c>
      <c r="J7738" s="18">
        <v>7</v>
      </c>
      <c r="K7738" s="18">
        <v>6.74</v>
      </c>
      <c r="L7738" s="22">
        <v>7</v>
      </c>
    </row>
    <row r="7739" spans="1:12">
      <c r="A7739">
        <v>8</v>
      </c>
      <c r="B7739" s="16" t="s">
        <v>63</v>
      </c>
      <c r="C7739" s="9">
        <v>45748</v>
      </c>
      <c r="D7739">
        <v>42</v>
      </c>
      <c r="E7739" s="16" t="s">
        <v>131</v>
      </c>
      <c r="F7739" s="16" t="s">
        <v>83</v>
      </c>
      <c r="G7739" s="22">
        <v>9</v>
      </c>
      <c r="H7739" s="18">
        <v>63.21</v>
      </c>
      <c r="I7739" s="18">
        <v>7.0233333330000001</v>
      </c>
      <c r="J7739" s="18">
        <v>7.17</v>
      </c>
      <c r="K7739" s="18">
        <v>6.91</v>
      </c>
      <c r="L7739" s="22">
        <v>7</v>
      </c>
    </row>
    <row r="7740" spans="1:12">
      <c r="A7740">
        <v>8</v>
      </c>
      <c r="B7740" s="16" t="s">
        <v>63</v>
      </c>
      <c r="C7740" s="9">
        <v>45778</v>
      </c>
      <c r="D7740">
        <v>42</v>
      </c>
      <c r="E7740" s="16" t="s">
        <v>131</v>
      </c>
      <c r="F7740" s="16" t="s">
        <v>83</v>
      </c>
      <c r="G7740" s="22">
        <v>10.5</v>
      </c>
      <c r="H7740" s="18">
        <v>73.974999999999994</v>
      </c>
      <c r="I7740" s="18">
        <v>7.0452380950000002</v>
      </c>
      <c r="J7740" s="18">
        <v>7.33</v>
      </c>
      <c r="K7740" s="18">
        <v>6.97</v>
      </c>
      <c r="L7740" s="22">
        <v>9</v>
      </c>
    </row>
    <row r="7741" spans="1:12">
      <c r="A7741">
        <v>8</v>
      </c>
      <c r="B7741" s="16" t="s">
        <v>63</v>
      </c>
      <c r="C7741" s="9">
        <v>45809</v>
      </c>
      <c r="D7741">
        <v>42</v>
      </c>
      <c r="E7741" s="16" t="s">
        <v>131</v>
      </c>
      <c r="F7741" s="16" t="s">
        <v>83</v>
      </c>
      <c r="G7741" s="22">
        <v>11</v>
      </c>
      <c r="H7741" s="18">
        <v>76.915000000000006</v>
      </c>
      <c r="I7741" s="18">
        <v>6.9922727269999996</v>
      </c>
      <c r="J7741" s="18">
        <v>7.08</v>
      </c>
      <c r="K7741" s="18">
        <v>6.87</v>
      </c>
      <c r="L7741" s="22">
        <v>8</v>
      </c>
    </row>
    <row r="7742" spans="1:12">
      <c r="A7742">
        <v>8</v>
      </c>
      <c r="B7742" s="16" t="s">
        <v>63</v>
      </c>
      <c r="C7742" s="9">
        <v>45839</v>
      </c>
      <c r="D7742">
        <v>42</v>
      </c>
      <c r="E7742" s="16" t="s">
        <v>131</v>
      </c>
      <c r="F7742" s="16" t="s">
        <v>83</v>
      </c>
      <c r="G7742" s="22">
        <v>10</v>
      </c>
      <c r="H7742" s="18">
        <v>70.084999999999994</v>
      </c>
      <c r="I7742" s="18">
        <v>7.0084999999999997</v>
      </c>
      <c r="J7742" s="18">
        <v>7.21</v>
      </c>
      <c r="K7742" s="18">
        <v>6.89</v>
      </c>
      <c r="L7742" s="22">
        <v>9</v>
      </c>
    </row>
    <row r="7743" spans="1:12">
      <c r="A7743">
        <v>8</v>
      </c>
      <c r="B7743" s="16" t="s">
        <v>63</v>
      </c>
      <c r="C7743" s="9">
        <v>45870</v>
      </c>
      <c r="D7743">
        <v>42</v>
      </c>
      <c r="E7743" s="16" t="s">
        <v>131</v>
      </c>
      <c r="F7743" s="16" t="s">
        <v>83</v>
      </c>
      <c r="G7743" s="22">
        <v>9.5</v>
      </c>
      <c r="H7743" s="18">
        <v>66.47</v>
      </c>
      <c r="I7743" s="18">
        <v>6.9968421049999998</v>
      </c>
      <c r="J7743" s="18">
        <v>7.11</v>
      </c>
      <c r="K7743" s="18">
        <v>6.93</v>
      </c>
      <c r="L7743" s="22">
        <v>9</v>
      </c>
    </row>
    <row r="7744" spans="1:12">
      <c r="A7744">
        <v>8</v>
      </c>
      <c r="B7744" s="16" t="s">
        <v>63</v>
      </c>
      <c r="C7744" s="9">
        <v>45901</v>
      </c>
      <c r="D7744">
        <v>42</v>
      </c>
      <c r="E7744" s="16" t="s">
        <v>131</v>
      </c>
      <c r="F7744" s="16" t="s">
        <v>83</v>
      </c>
      <c r="G7744" s="22">
        <v>7</v>
      </c>
      <c r="H7744" s="18">
        <v>49.56</v>
      </c>
      <c r="I7744" s="18">
        <v>7.08</v>
      </c>
      <c r="J7744" s="18">
        <v>7.55</v>
      </c>
      <c r="K7744" s="18">
        <v>6.9</v>
      </c>
      <c r="L7744" s="22">
        <v>9</v>
      </c>
    </row>
    <row r="7745" spans="1:12">
      <c r="A7745">
        <v>8</v>
      </c>
      <c r="B7745" s="16" t="s">
        <v>63</v>
      </c>
      <c r="C7745" s="9">
        <v>45931</v>
      </c>
      <c r="D7745">
        <v>42</v>
      </c>
      <c r="E7745" s="16" t="s">
        <v>131</v>
      </c>
      <c r="F7745" s="16" t="s">
        <v>83</v>
      </c>
      <c r="G7745" s="22">
        <v>13.5</v>
      </c>
      <c r="H7745" s="18">
        <v>95.305000000000007</v>
      </c>
      <c r="I7745" s="18">
        <v>7.0596296299999999</v>
      </c>
      <c r="J7745" s="18">
        <v>7.24</v>
      </c>
      <c r="K7745" s="18">
        <v>6.98</v>
      </c>
      <c r="L7745" s="22">
        <v>8</v>
      </c>
    </row>
    <row r="7746" spans="1:12">
      <c r="A7746">
        <v>8</v>
      </c>
      <c r="B7746" s="16" t="s">
        <v>63</v>
      </c>
      <c r="C7746" s="9">
        <v>45962</v>
      </c>
      <c r="D7746">
        <v>42</v>
      </c>
      <c r="E7746" s="16" t="s">
        <v>131</v>
      </c>
      <c r="F7746" s="16" t="s">
        <v>83</v>
      </c>
      <c r="G7746" s="22">
        <v>9.5</v>
      </c>
      <c r="H7746" s="18">
        <v>67.92</v>
      </c>
      <c r="I7746" s="18">
        <v>7.1494736840000002</v>
      </c>
      <c r="J7746" s="18">
        <v>7.22</v>
      </c>
      <c r="K7746" s="18">
        <v>7.05</v>
      </c>
      <c r="L7746" s="22">
        <v>8</v>
      </c>
    </row>
    <row r="7747" spans="1:12">
      <c r="A7747">
        <v>8</v>
      </c>
      <c r="B7747" s="16" t="s">
        <v>63</v>
      </c>
      <c r="C7747" s="9">
        <v>45992</v>
      </c>
      <c r="D7747">
        <v>42</v>
      </c>
      <c r="E7747" s="16" t="s">
        <v>131</v>
      </c>
      <c r="F7747" s="16" t="s">
        <v>83</v>
      </c>
      <c r="G7747" s="22">
        <v>10.5</v>
      </c>
      <c r="H7747" s="18">
        <v>75.84</v>
      </c>
      <c r="I7747" s="18">
        <v>7.2228571429999997</v>
      </c>
      <c r="J7747" s="18">
        <v>7.36</v>
      </c>
      <c r="K7747" s="18">
        <v>7.05</v>
      </c>
      <c r="L7747" s="22">
        <v>9</v>
      </c>
    </row>
    <row r="7748" spans="1:12">
      <c r="A7748">
        <v>8</v>
      </c>
      <c r="B7748" s="16" t="s">
        <v>63</v>
      </c>
      <c r="C7748" s="9">
        <v>46023</v>
      </c>
      <c r="D7748">
        <v>42</v>
      </c>
      <c r="E7748" s="16" t="s">
        <v>131</v>
      </c>
      <c r="F7748" s="16" t="s">
        <v>83</v>
      </c>
      <c r="G7748" s="22">
        <v>11.5</v>
      </c>
      <c r="H7748" s="18">
        <v>82.295000000000002</v>
      </c>
      <c r="I7748" s="18">
        <v>7.1560869570000003</v>
      </c>
      <c r="J7748" s="18">
        <v>7.25</v>
      </c>
      <c r="K7748" s="18">
        <v>7.12</v>
      </c>
      <c r="L7748" s="22">
        <v>8</v>
      </c>
    </row>
    <row r="7749" spans="1:12">
      <c r="A7749">
        <v>8</v>
      </c>
      <c r="B7749" s="16" t="s">
        <v>63</v>
      </c>
      <c r="C7749" s="9">
        <v>46054</v>
      </c>
      <c r="D7749">
        <v>42</v>
      </c>
      <c r="E7749" s="16" t="s">
        <v>131</v>
      </c>
      <c r="F7749" s="16" t="s">
        <v>83</v>
      </c>
      <c r="G7749" s="22">
        <v>13</v>
      </c>
      <c r="H7749" s="18">
        <v>93.444999999999993</v>
      </c>
      <c r="I7749" s="18">
        <v>7.1880769229999997</v>
      </c>
      <c r="J7749" s="18">
        <v>7.62</v>
      </c>
      <c r="K7749" s="18">
        <v>7</v>
      </c>
      <c r="L7749" s="22">
        <v>8</v>
      </c>
    </row>
    <row r="7750" spans="1:12">
      <c r="A7750">
        <v>8</v>
      </c>
      <c r="B7750" s="16" t="s">
        <v>63</v>
      </c>
      <c r="C7750" s="9">
        <v>46082</v>
      </c>
      <c r="D7750">
        <v>42</v>
      </c>
      <c r="E7750" s="16" t="s">
        <v>131</v>
      </c>
      <c r="F7750" s="16" t="s">
        <v>83</v>
      </c>
      <c r="G7750" s="22">
        <v>9.5</v>
      </c>
      <c r="H7750" s="18">
        <v>67.5</v>
      </c>
      <c r="I7750" s="18">
        <v>7.1052631579999996</v>
      </c>
      <c r="J7750" s="18">
        <v>7.29</v>
      </c>
      <c r="K7750" s="18">
        <v>6.99</v>
      </c>
      <c r="L7750" s="22">
        <v>8</v>
      </c>
    </row>
    <row r="7751" spans="1:12">
      <c r="A7751">
        <v>8</v>
      </c>
      <c r="B7751" s="16" t="s">
        <v>63</v>
      </c>
      <c r="C7751" s="9">
        <v>46113</v>
      </c>
      <c r="D7751">
        <v>42</v>
      </c>
      <c r="E7751" s="16" t="s">
        <v>131</v>
      </c>
      <c r="F7751" s="16" t="s">
        <v>83</v>
      </c>
      <c r="G7751" s="22">
        <v>5.5</v>
      </c>
      <c r="H7751" s="18">
        <v>39.975000000000001</v>
      </c>
      <c r="I7751" s="18">
        <v>7.2681818180000004</v>
      </c>
      <c r="J7751" s="18">
        <v>7.38</v>
      </c>
      <c r="K7751" s="18">
        <v>7.09</v>
      </c>
      <c r="L7751" s="22">
        <v>7</v>
      </c>
    </row>
    <row r="7752" spans="1:12">
      <c r="A7752">
        <v>8</v>
      </c>
      <c r="B7752" s="16" t="s">
        <v>63</v>
      </c>
      <c r="C7752" s="9">
        <v>46143</v>
      </c>
      <c r="D7752">
        <v>42</v>
      </c>
      <c r="E7752" s="16" t="s">
        <v>131</v>
      </c>
      <c r="F7752" s="16" t="s">
        <v>83</v>
      </c>
      <c r="G7752" s="22">
        <v>10.5</v>
      </c>
      <c r="H7752" s="18">
        <v>77.415000000000006</v>
      </c>
      <c r="I7752" s="18">
        <v>7.3728571430000001</v>
      </c>
      <c r="J7752" s="18">
        <v>7.53</v>
      </c>
      <c r="K7752" s="18">
        <v>7.09</v>
      </c>
      <c r="L7752" s="22">
        <v>9</v>
      </c>
    </row>
    <row r="7753" spans="1:12">
      <c r="A7753">
        <v>8</v>
      </c>
      <c r="B7753" s="16" t="s">
        <v>63</v>
      </c>
      <c r="C7753" s="9">
        <v>46174</v>
      </c>
      <c r="D7753">
        <v>42</v>
      </c>
      <c r="E7753" s="16" t="s">
        <v>131</v>
      </c>
      <c r="F7753" s="16" t="s">
        <v>83</v>
      </c>
      <c r="G7753" s="22">
        <v>7.5</v>
      </c>
      <c r="H7753" s="18">
        <v>54.984999999999999</v>
      </c>
      <c r="I7753" s="18">
        <v>7.3313333329999999</v>
      </c>
      <c r="J7753" s="18">
        <v>7.45</v>
      </c>
      <c r="K7753" s="18">
        <v>7.16</v>
      </c>
      <c r="L7753" s="22">
        <v>8</v>
      </c>
    </row>
    <row r="7754" spans="1:12">
      <c r="A7754">
        <v>8</v>
      </c>
      <c r="B7754" s="16" t="s">
        <v>63</v>
      </c>
      <c r="C7754" s="9">
        <v>46204</v>
      </c>
      <c r="D7754">
        <v>42</v>
      </c>
      <c r="E7754" s="16" t="s">
        <v>131</v>
      </c>
      <c r="F7754" s="16" t="s">
        <v>83</v>
      </c>
      <c r="G7754" s="22">
        <v>7.5</v>
      </c>
      <c r="H7754" s="18">
        <v>54.7</v>
      </c>
      <c r="I7754" s="18">
        <v>7.2933333329999996</v>
      </c>
      <c r="J7754" s="18">
        <v>7.51</v>
      </c>
      <c r="K7754" s="18">
        <v>7.09</v>
      </c>
      <c r="L7754" s="22">
        <v>9</v>
      </c>
    </row>
    <row r="7755" spans="1:12">
      <c r="A7755">
        <v>8</v>
      </c>
      <c r="B7755" s="16" t="s">
        <v>63</v>
      </c>
      <c r="C7755" s="9">
        <v>46235</v>
      </c>
      <c r="D7755">
        <v>42</v>
      </c>
      <c r="E7755" s="16" t="s">
        <v>131</v>
      </c>
      <c r="F7755" s="16" t="s">
        <v>83</v>
      </c>
      <c r="G7755" s="22">
        <v>6.5</v>
      </c>
      <c r="H7755" s="18">
        <v>46.77</v>
      </c>
      <c r="I7755" s="18">
        <v>7.195384615</v>
      </c>
      <c r="J7755" s="18">
        <v>7.24</v>
      </c>
      <c r="K7755" s="18">
        <v>7.15</v>
      </c>
      <c r="L7755" s="22">
        <v>7</v>
      </c>
    </row>
    <row r="7756" spans="1:12">
      <c r="A7756">
        <v>8</v>
      </c>
      <c r="B7756" s="16" t="s">
        <v>63</v>
      </c>
      <c r="C7756" s="9">
        <v>46266</v>
      </c>
      <c r="D7756">
        <v>42</v>
      </c>
      <c r="E7756" s="16" t="s">
        <v>131</v>
      </c>
      <c r="F7756" s="16" t="s">
        <v>83</v>
      </c>
      <c r="G7756" s="22">
        <v>8.5</v>
      </c>
      <c r="H7756" s="18">
        <v>61.84</v>
      </c>
      <c r="I7756" s="18">
        <v>7.2752941179999997</v>
      </c>
      <c r="J7756" s="18">
        <v>7.42</v>
      </c>
      <c r="K7756" s="18">
        <v>7.12</v>
      </c>
      <c r="L7756" s="22">
        <v>9</v>
      </c>
    </row>
    <row r="7757" spans="1:12">
      <c r="A7757">
        <v>8</v>
      </c>
      <c r="B7757" s="16" t="s">
        <v>63</v>
      </c>
      <c r="C7757" s="9">
        <v>45689</v>
      </c>
      <c r="D7757">
        <v>43</v>
      </c>
      <c r="E7757" s="16" t="s">
        <v>132</v>
      </c>
      <c r="F7757" s="16" t="s">
        <v>90</v>
      </c>
      <c r="G7757" s="22">
        <v>3</v>
      </c>
      <c r="H7757" s="18">
        <v>3.69</v>
      </c>
      <c r="I7757" s="18">
        <v>1.23</v>
      </c>
      <c r="J7757" s="18">
        <v>1.23</v>
      </c>
      <c r="K7757" s="18">
        <v>1.23</v>
      </c>
      <c r="L7757" s="22">
        <v>1</v>
      </c>
    </row>
    <row r="7758" spans="1:12">
      <c r="A7758">
        <v>8</v>
      </c>
      <c r="B7758" s="16" t="s">
        <v>63</v>
      </c>
      <c r="C7758" s="9">
        <v>45778</v>
      </c>
      <c r="D7758">
        <v>43</v>
      </c>
      <c r="E7758" s="16" t="s">
        <v>132</v>
      </c>
      <c r="F7758" s="16" t="s">
        <v>90</v>
      </c>
      <c r="G7758" s="22">
        <v>3</v>
      </c>
      <c r="H7758" s="18">
        <v>3.72</v>
      </c>
      <c r="I7758" s="18">
        <v>1.24</v>
      </c>
      <c r="J7758" s="18">
        <v>1.24</v>
      </c>
      <c r="K7758" s="18">
        <v>1.24</v>
      </c>
      <c r="L7758" s="22">
        <v>1</v>
      </c>
    </row>
    <row r="7759" spans="1:12">
      <c r="A7759">
        <v>8</v>
      </c>
      <c r="B7759" s="16" t="s">
        <v>63</v>
      </c>
      <c r="C7759" s="9">
        <v>45839</v>
      </c>
      <c r="D7759">
        <v>43</v>
      </c>
      <c r="E7759" s="16" t="s">
        <v>132</v>
      </c>
      <c r="F7759" s="16" t="s">
        <v>90</v>
      </c>
      <c r="G7759" s="22">
        <v>3</v>
      </c>
      <c r="H7759" s="18">
        <v>3.72</v>
      </c>
      <c r="I7759" s="18">
        <v>1.24</v>
      </c>
      <c r="J7759" s="18">
        <v>1.24</v>
      </c>
      <c r="K7759" s="18">
        <v>1.24</v>
      </c>
      <c r="L7759" s="22">
        <v>1</v>
      </c>
    </row>
    <row r="7760" spans="1:12">
      <c r="A7760">
        <v>8</v>
      </c>
      <c r="B7760" s="16" t="s">
        <v>63</v>
      </c>
      <c r="C7760" s="9">
        <v>45931</v>
      </c>
      <c r="D7760">
        <v>43</v>
      </c>
      <c r="E7760" s="16" t="s">
        <v>132</v>
      </c>
      <c r="F7760" s="16" t="s">
        <v>90</v>
      </c>
      <c r="G7760" s="22">
        <v>3</v>
      </c>
      <c r="H7760" s="18">
        <v>3.81</v>
      </c>
      <c r="I7760" s="18">
        <v>1.27</v>
      </c>
      <c r="J7760" s="18">
        <v>1.27</v>
      </c>
      <c r="K7760" s="18">
        <v>1.27</v>
      </c>
      <c r="L7760" s="22">
        <v>1</v>
      </c>
    </row>
    <row r="7761" spans="1:12">
      <c r="A7761">
        <v>8</v>
      </c>
      <c r="B7761" s="16" t="s">
        <v>63</v>
      </c>
      <c r="C7761" s="9">
        <v>45992</v>
      </c>
      <c r="D7761">
        <v>43</v>
      </c>
      <c r="E7761" s="16" t="s">
        <v>132</v>
      </c>
      <c r="F7761" s="16" t="s">
        <v>90</v>
      </c>
      <c r="G7761" s="22">
        <v>3</v>
      </c>
      <c r="H7761" s="18">
        <v>3.75</v>
      </c>
      <c r="I7761" s="18">
        <v>1.25</v>
      </c>
      <c r="J7761" s="18">
        <v>1.25</v>
      </c>
      <c r="K7761" s="18">
        <v>1.25</v>
      </c>
      <c r="L7761" s="22">
        <v>1</v>
      </c>
    </row>
    <row r="7762" spans="1:12">
      <c r="A7762">
        <v>8</v>
      </c>
      <c r="B7762" s="16" t="s">
        <v>63</v>
      </c>
      <c r="C7762" s="9">
        <v>46054</v>
      </c>
      <c r="D7762">
        <v>43</v>
      </c>
      <c r="E7762" s="16" t="s">
        <v>132</v>
      </c>
      <c r="F7762" s="16" t="s">
        <v>90</v>
      </c>
      <c r="G7762" s="22">
        <v>3</v>
      </c>
      <c r="H7762" s="18">
        <v>3.84</v>
      </c>
      <c r="I7762" s="18">
        <v>1.28</v>
      </c>
      <c r="J7762" s="18">
        <v>1.28</v>
      </c>
      <c r="K7762" s="18">
        <v>1.28</v>
      </c>
      <c r="L7762" s="22">
        <v>1</v>
      </c>
    </row>
    <row r="7763" spans="1:12">
      <c r="A7763">
        <v>8</v>
      </c>
      <c r="B7763" s="16" t="s">
        <v>63</v>
      </c>
      <c r="C7763" s="9">
        <v>46143</v>
      </c>
      <c r="D7763">
        <v>43</v>
      </c>
      <c r="E7763" s="16" t="s">
        <v>132</v>
      </c>
      <c r="F7763" s="16" t="s">
        <v>90</v>
      </c>
      <c r="G7763" s="22">
        <v>3</v>
      </c>
      <c r="H7763" s="18">
        <v>3.81</v>
      </c>
      <c r="I7763" s="18">
        <v>1.27</v>
      </c>
      <c r="J7763" s="18">
        <v>1.27</v>
      </c>
      <c r="K7763" s="18">
        <v>1.27</v>
      </c>
      <c r="L7763" s="22">
        <v>1</v>
      </c>
    </row>
    <row r="7764" spans="1:12">
      <c r="A7764">
        <v>8</v>
      </c>
      <c r="B7764" s="16" t="s">
        <v>63</v>
      </c>
      <c r="C7764" s="9">
        <v>46266</v>
      </c>
      <c r="D7764">
        <v>43</v>
      </c>
      <c r="E7764" s="16" t="s">
        <v>132</v>
      </c>
      <c r="F7764" s="16" t="s">
        <v>90</v>
      </c>
      <c r="G7764" s="22">
        <v>3</v>
      </c>
      <c r="H7764" s="18">
        <v>3.93</v>
      </c>
      <c r="I7764" s="18">
        <v>1.31</v>
      </c>
      <c r="J7764" s="18">
        <v>1.31</v>
      </c>
      <c r="K7764" s="18">
        <v>1.31</v>
      </c>
      <c r="L7764" s="22">
        <v>1</v>
      </c>
    </row>
    <row r="7765" spans="1:12">
      <c r="A7765">
        <v>8</v>
      </c>
      <c r="B7765" s="16" t="s">
        <v>63</v>
      </c>
      <c r="C7765" s="9">
        <v>45689</v>
      </c>
      <c r="D7765">
        <v>44</v>
      </c>
      <c r="E7765" s="16" t="s">
        <v>133</v>
      </c>
      <c r="F7765" s="16" t="s">
        <v>90</v>
      </c>
      <c r="G7765" s="22">
        <v>4</v>
      </c>
      <c r="H7765" s="18">
        <v>75.64</v>
      </c>
      <c r="I7765" s="18">
        <v>18.91</v>
      </c>
      <c r="J7765" s="18">
        <v>19.03</v>
      </c>
      <c r="K7765" s="18">
        <v>18.79</v>
      </c>
      <c r="L7765" s="22">
        <v>2</v>
      </c>
    </row>
    <row r="7766" spans="1:12">
      <c r="A7766">
        <v>8</v>
      </c>
      <c r="B7766" s="16" t="s">
        <v>63</v>
      </c>
      <c r="C7766" s="9">
        <v>45717</v>
      </c>
      <c r="D7766">
        <v>44</v>
      </c>
      <c r="E7766" s="16" t="s">
        <v>133</v>
      </c>
      <c r="F7766" s="16" t="s">
        <v>90</v>
      </c>
      <c r="G7766" s="22">
        <v>2</v>
      </c>
      <c r="H7766" s="18">
        <v>37.42</v>
      </c>
      <c r="I7766" s="18">
        <v>18.71</v>
      </c>
      <c r="J7766" s="18">
        <v>18.71</v>
      </c>
      <c r="K7766" s="18">
        <v>18.71</v>
      </c>
      <c r="L7766" s="22">
        <v>1</v>
      </c>
    </row>
    <row r="7767" spans="1:12">
      <c r="A7767">
        <v>8</v>
      </c>
      <c r="B7767" s="16" t="s">
        <v>63</v>
      </c>
      <c r="C7767" s="9">
        <v>45748</v>
      </c>
      <c r="D7767">
        <v>44</v>
      </c>
      <c r="E7767" s="16" t="s">
        <v>133</v>
      </c>
      <c r="F7767" s="16" t="s">
        <v>90</v>
      </c>
      <c r="G7767" s="22">
        <v>2</v>
      </c>
      <c r="H7767" s="18">
        <v>38.119999999999997</v>
      </c>
      <c r="I7767" s="18">
        <v>19.059999999999999</v>
      </c>
      <c r="J7767" s="18">
        <v>19.059999999999999</v>
      </c>
      <c r="K7767" s="18">
        <v>19.059999999999999</v>
      </c>
      <c r="L7767" s="22">
        <v>1</v>
      </c>
    </row>
    <row r="7768" spans="1:12">
      <c r="A7768">
        <v>8</v>
      </c>
      <c r="B7768" s="16" t="s">
        <v>63</v>
      </c>
      <c r="C7768" s="9">
        <v>45778</v>
      </c>
      <c r="D7768">
        <v>44</v>
      </c>
      <c r="E7768" s="16" t="s">
        <v>133</v>
      </c>
      <c r="F7768" s="16" t="s">
        <v>90</v>
      </c>
      <c r="G7768" s="22">
        <v>4</v>
      </c>
      <c r="H7768" s="18">
        <v>76.739999999999995</v>
      </c>
      <c r="I7768" s="18">
        <v>19.184999999999999</v>
      </c>
      <c r="J7768" s="18">
        <v>19.37</v>
      </c>
      <c r="K7768" s="18">
        <v>19</v>
      </c>
      <c r="L7768" s="22">
        <v>2</v>
      </c>
    </row>
    <row r="7769" spans="1:12">
      <c r="A7769">
        <v>8</v>
      </c>
      <c r="B7769" s="16" t="s">
        <v>63</v>
      </c>
      <c r="C7769" s="9">
        <v>45809</v>
      </c>
      <c r="D7769">
        <v>44</v>
      </c>
      <c r="E7769" s="16" t="s">
        <v>133</v>
      </c>
      <c r="F7769" s="16" t="s">
        <v>90</v>
      </c>
      <c r="G7769" s="22">
        <v>4</v>
      </c>
      <c r="H7769" s="18">
        <v>76.98</v>
      </c>
      <c r="I7769" s="18">
        <v>19.245000000000001</v>
      </c>
      <c r="J7769" s="18">
        <v>19.29</v>
      </c>
      <c r="K7769" s="18">
        <v>19.2</v>
      </c>
      <c r="L7769" s="22">
        <v>2</v>
      </c>
    </row>
    <row r="7770" spans="1:12">
      <c r="A7770">
        <v>8</v>
      </c>
      <c r="B7770" s="16" t="s">
        <v>63</v>
      </c>
      <c r="C7770" s="9">
        <v>45839</v>
      </c>
      <c r="D7770">
        <v>44</v>
      </c>
      <c r="E7770" s="16" t="s">
        <v>133</v>
      </c>
      <c r="F7770" s="16" t="s">
        <v>90</v>
      </c>
      <c r="G7770" s="22">
        <v>4</v>
      </c>
      <c r="H7770" s="18">
        <v>77.92</v>
      </c>
      <c r="I7770" s="18">
        <v>19.48</v>
      </c>
      <c r="J7770" s="18">
        <v>19.8</v>
      </c>
      <c r="K7770" s="18">
        <v>19.16</v>
      </c>
      <c r="L7770" s="22">
        <v>2</v>
      </c>
    </row>
    <row r="7771" spans="1:12">
      <c r="A7771">
        <v>8</v>
      </c>
      <c r="B7771" s="16" t="s">
        <v>63</v>
      </c>
      <c r="C7771" s="9">
        <v>45870</v>
      </c>
      <c r="D7771">
        <v>44</v>
      </c>
      <c r="E7771" s="16" t="s">
        <v>133</v>
      </c>
      <c r="F7771" s="16" t="s">
        <v>90</v>
      </c>
      <c r="G7771" s="22">
        <v>4</v>
      </c>
      <c r="H7771" s="18">
        <v>76.7</v>
      </c>
      <c r="I7771" s="18">
        <v>19.175000000000001</v>
      </c>
      <c r="J7771" s="18">
        <v>19.27</v>
      </c>
      <c r="K7771" s="18">
        <v>19.079999999999998</v>
      </c>
      <c r="L7771" s="22">
        <v>2</v>
      </c>
    </row>
    <row r="7772" spans="1:12">
      <c r="A7772">
        <v>8</v>
      </c>
      <c r="B7772" s="16" t="s">
        <v>63</v>
      </c>
      <c r="C7772" s="9">
        <v>45901</v>
      </c>
      <c r="D7772">
        <v>44</v>
      </c>
      <c r="E7772" s="16" t="s">
        <v>133</v>
      </c>
      <c r="F7772" s="16" t="s">
        <v>90</v>
      </c>
      <c r="G7772" s="22">
        <v>2</v>
      </c>
      <c r="H7772" s="18">
        <v>37.08</v>
      </c>
      <c r="I7772" s="18">
        <v>18.54</v>
      </c>
      <c r="J7772" s="18">
        <v>18.54</v>
      </c>
      <c r="K7772" s="18">
        <v>18.54</v>
      </c>
      <c r="L7772" s="22">
        <v>1</v>
      </c>
    </row>
    <row r="7773" spans="1:12">
      <c r="A7773">
        <v>8</v>
      </c>
      <c r="B7773" s="16" t="s">
        <v>63</v>
      </c>
      <c r="C7773" s="9">
        <v>45931</v>
      </c>
      <c r="D7773">
        <v>44</v>
      </c>
      <c r="E7773" s="16" t="s">
        <v>133</v>
      </c>
      <c r="F7773" s="16" t="s">
        <v>90</v>
      </c>
      <c r="G7773" s="22">
        <v>4</v>
      </c>
      <c r="H7773" s="18">
        <v>78.06</v>
      </c>
      <c r="I7773" s="18">
        <v>19.515000000000001</v>
      </c>
      <c r="J7773" s="18">
        <v>19.59</v>
      </c>
      <c r="K7773" s="18">
        <v>19.440000000000001</v>
      </c>
      <c r="L7773" s="22">
        <v>2</v>
      </c>
    </row>
    <row r="7774" spans="1:12">
      <c r="A7774">
        <v>8</v>
      </c>
      <c r="B7774" s="16" t="s">
        <v>63</v>
      </c>
      <c r="C7774" s="9">
        <v>45962</v>
      </c>
      <c r="D7774">
        <v>44</v>
      </c>
      <c r="E7774" s="16" t="s">
        <v>133</v>
      </c>
      <c r="F7774" s="16" t="s">
        <v>90</v>
      </c>
      <c r="G7774" s="22">
        <v>2</v>
      </c>
      <c r="H7774" s="18">
        <v>41</v>
      </c>
      <c r="I7774" s="18">
        <v>20.5</v>
      </c>
      <c r="J7774" s="18">
        <v>20.5</v>
      </c>
      <c r="K7774" s="18">
        <v>20.5</v>
      </c>
      <c r="L7774" s="22">
        <v>1</v>
      </c>
    </row>
    <row r="7775" spans="1:12">
      <c r="A7775">
        <v>8</v>
      </c>
      <c r="B7775" s="16" t="s">
        <v>63</v>
      </c>
      <c r="C7775" s="9">
        <v>45992</v>
      </c>
      <c r="D7775">
        <v>44</v>
      </c>
      <c r="E7775" s="16" t="s">
        <v>133</v>
      </c>
      <c r="F7775" s="16" t="s">
        <v>90</v>
      </c>
      <c r="G7775" s="22">
        <v>4</v>
      </c>
      <c r="H7775" s="18">
        <v>77.599999999999994</v>
      </c>
      <c r="I7775" s="18">
        <v>19.399999999999999</v>
      </c>
      <c r="J7775" s="18">
        <v>19.68</v>
      </c>
      <c r="K7775" s="18">
        <v>19.12</v>
      </c>
      <c r="L7775" s="22">
        <v>2</v>
      </c>
    </row>
    <row r="7776" spans="1:12">
      <c r="A7776">
        <v>8</v>
      </c>
      <c r="B7776" s="16" t="s">
        <v>63</v>
      </c>
      <c r="C7776" s="9">
        <v>46023</v>
      </c>
      <c r="D7776">
        <v>44</v>
      </c>
      <c r="E7776" s="16" t="s">
        <v>133</v>
      </c>
      <c r="F7776" s="16" t="s">
        <v>90</v>
      </c>
      <c r="G7776" s="22">
        <v>2</v>
      </c>
      <c r="H7776" s="18">
        <v>38.58</v>
      </c>
      <c r="I7776" s="18">
        <v>19.29</v>
      </c>
      <c r="J7776" s="18">
        <v>19.29</v>
      </c>
      <c r="K7776" s="18">
        <v>19.29</v>
      </c>
      <c r="L7776" s="22">
        <v>1</v>
      </c>
    </row>
    <row r="7777" spans="1:12">
      <c r="A7777">
        <v>8</v>
      </c>
      <c r="B7777" s="16" t="s">
        <v>63</v>
      </c>
      <c r="C7777" s="9">
        <v>46054</v>
      </c>
      <c r="D7777">
        <v>44</v>
      </c>
      <c r="E7777" s="16" t="s">
        <v>133</v>
      </c>
      <c r="F7777" s="16" t="s">
        <v>90</v>
      </c>
      <c r="G7777" s="22">
        <v>4</v>
      </c>
      <c r="H7777" s="18">
        <v>76.680000000000007</v>
      </c>
      <c r="I7777" s="18">
        <v>19.170000000000002</v>
      </c>
      <c r="J7777" s="18">
        <v>19.21</v>
      </c>
      <c r="K7777" s="18">
        <v>19.13</v>
      </c>
      <c r="L7777" s="22">
        <v>2</v>
      </c>
    </row>
    <row r="7778" spans="1:12">
      <c r="A7778">
        <v>8</v>
      </c>
      <c r="B7778" s="16" t="s">
        <v>63</v>
      </c>
      <c r="C7778" s="9">
        <v>46082</v>
      </c>
      <c r="D7778">
        <v>44</v>
      </c>
      <c r="E7778" s="16" t="s">
        <v>133</v>
      </c>
      <c r="F7778" s="16" t="s">
        <v>90</v>
      </c>
      <c r="G7778" s="22">
        <v>2</v>
      </c>
      <c r="H7778" s="18">
        <v>38.619999999999997</v>
      </c>
      <c r="I7778" s="18">
        <v>19.309999999999999</v>
      </c>
      <c r="J7778" s="18">
        <v>19.309999999999999</v>
      </c>
      <c r="K7778" s="18">
        <v>19.309999999999999</v>
      </c>
      <c r="L7778" s="22">
        <v>1</v>
      </c>
    </row>
    <row r="7779" spans="1:12">
      <c r="A7779">
        <v>8</v>
      </c>
      <c r="B7779" s="16" t="s">
        <v>63</v>
      </c>
      <c r="C7779" s="9">
        <v>46113</v>
      </c>
      <c r="D7779">
        <v>44</v>
      </c>
      <c r="E7779" s="16" t="s">
        <v>133</v>
      </c>
      <c r="F7779" s="16" t="s">
        <v>90</v>
      </c>
      <c r="G7779" s="22">
        <v>2</v>
      </c>
      <c r="H7779" s="18">
        <v>38.619999999999997</v>
      </c>
      <c r="I7779" s="18">
        <v>19.309999999999999</v>
      </c>
      <c r="J7779" s="18">
        <v>19.309999999999999</v>
      </c>
      <c r="K7779" s="18">
        <v>19.309999999999999</v>
      </c>
      <c r="L7779" s="22">
        <v>1</v>
      </c>
    </row>
    <row r="7780" spans="1:12">
      <c r="A7780">
        <v>8</v>
      </c>
      <c r="B7780" s="16" t="s">
        <v>63</v>
      </c>
      <c r="C7780" s="9">
        <v>46143</v>
      </c>
      <c r="D7780">
        <v>44</v>
      </c>
      <c r="E7780" s="16" t="s">
        <v>133</v>
      </c>
      <c r="F7780" s="16" t="s">
        <v>90</v>
      </c>
      <c r="G7780" s="22">
        <v>4</v>
      </c>
      <c r="H7780" s="18">
        <v>76.52</v>
      </c>
      <c r="I7780" s="18">
        <v>19.13</v>
      </c>
      <c r="J7780" s="18">
        <v>19.36</v>
      </c>
      <c r="K7780" s="18">
        <v>18.899999999999999</v>
      </c>
      <c r="L7780" s="22">
        <v>2</v>
      </c>
    </row>
    <row r="7781" spans="1:12">
      <c r="A7781">
        <v>8</v>
      </c>
      <c r="B7781" s="16" t="s">
        <v>63</v>
      </c>
      <c r="C7781" s="9">
        <v>46174</v>
      </c>
      <c r="D7781">
        <v>44</v>
      </c>
      <c r="E7781" s="16" t="s">
        <v>133</v>
      </c>
      <c r="F7781" s="16" t="s">
        <v>90</v>
      </c>
      <c r="G7781" s="22">
        <v>2</v>
      </c>
      <c r="H7781" s="18">
        <v>38.9</v>
      </c>
      <c r="I7781" s="18">
        <v>19.45</v>
      </c>
      <c r="J7781" s="18">
        <v>19.45</v>
      </c>
      <c r="K7781" s="18">
        <v>19.45</v>
      </c>
      <c r="L7781" s="22">
        <v>1</v>
      </c>
    </row>
    <row r="7782" spans="1:12">
      <c r="A7782">
        <v>8</v>
      </c>
      <c r="B7782" s="16" t="s">
        <v>63</v>
      </c>
      <c r="C7782" s="9">
        <v>46204</v>
      </c>
      <c r="D7782">
        <v>44</v>
      </c>
      <c r="E7782" s="16" t="s">
        <v>133</v>
      </c>
      <c r="F7782" s="16" t="s">
        <v>90</v>
      </c>
      <c r="G7782" s="22">
        <v>4</v>
      </c>
      <c r="H7782" s="18">
        <v>77.7</v>
      </c>
      <c r="I7782" s="18">
        <v>19.425000000000001</v>
      </c>
      <c r="J7782" s="18">
        <v>19.63</v>
      </c>
      <c r="K7782" s="18">
        <v>19.22</v>
      </c>
      <c r="L7782" s="22">
        <v>2</v>
      </c>
    </row>
    <row r="7783" spans="1:12">
      <c r="A7783">
        <v>8</v>
      </c>
      <c r="B7783" s="16" t="s">
        <v>63</v>
      </c>
      <c r="C7783" s="9">
        <v>46235</v>
      </c>
      <c r="D7783">
        <v>44</v>
      </c>
      <c r="E7783" s="16" t="s">
        <v>133</v>
      </c>
      <c r="F7783" s="16" t="s">
        <v>90</v>
      </c>
      <c r="G7783" s="22">
        <v>2</v>
      </c>
      <c r="H7783" s="18">
        <v>39.520000000000003</v>
      </c>
      <c r="I7783" s="18">
        <v>19.760000000000002</v>
      </c>
      <c r="J7783" s="18">
        <v>19.760000000000002</v>
      </c>
      <c r="K7783" s="18">
        <v>19.760000000000002</v>
      </c>
      <c r="L7783" s="22">
        <v>1</v>
      </c>
    </row>
    <row r="7784" spans="1:12">
      <c r="A7784">
        <v>8</v>
      </c>
      <c r="B7784" s="16" t="s">
        <v>63</v>
      </c>
      <c r="C7784" s="9">
        <v>46266</v>
      </c>
      <c r="D7784">
        <v>44</v>
      </c>
      <c r="E7784" s="16" t="s">
        <v>133</v>
      </c>
      <c r="F7784" s="16" t="s">
        <v>90</v>
      </c>
      <c r="G7784" s="22">
        <v>4</v>
      </c>
      <c r="H7784" s="18">
        <v>79.260000000000005</v>
      </c>
      <c r="I7784" s="18">
        <v>19.815000000000001</v>
      </c>
      <c r="J7784" s="18">
        <v>19.920000000000002</v>
      </c>
      <c r="K7784" s="18">
        <v>19.71</v>
      </c>
      <c r="L7784" s="22">
        <v>2</v>
      </c>
    </row>
    <row r="7785" spans="1:12">
      <c r="A7785">
        <v>8</v>
      </c>
      <c r="B7785" s="16" t="s">
        <v>63</v>
      </c>
      <c r="C7785" s="9">
        <v>45689</v>
      </c>
      <c r="D7785">
        <v>45</v>
      </c>
      <c r="E7785" s="16" t="s">
        <v>134</v>
      </c>
      <c r="F7785" s="16" t="s">
        <v>83</v>
      </c>
      <c r="G7785" s="22">
        <v>10</v>
      </c>
      <c r="H7785" s="18">
        <v>13.074999999999999</v>
      </c>
      <c r="I7785" s="18">
        <v>1.3075000000000001</v>
      </c>
      <c r="J7785" s="18">
        <v>1.34</v>
      </c>
      <c r="K7785" s="18">
        <v>1.29</v>
      </c>
      <c r="L7785" s="22">
        <v>8</v>
      </c>
    </row>
    <row r="7786" spans="1:12">
      <c r="A7786">
        <v>8</v>
      </c>
      <c r="B7786" s="16" t="s">
        <v>63</v>
      </c>
      <c r="C7786" s="9">
        <v>45717</v>
      </c>
      <c r="D7786">
        <v>45</v>
      </c>
      <c r="E7786" s="16" t="s">
        <v>134</v>
      </c>
      <c r="F7786" s="16" t="s">
        <v>83</v>
      </c>
      <c r="G7786" s="22">
        <v>8.75</v>
      </c>
      <c r="H7786" s="18">
        <v>11.375</v>
      </c>
      <c r="I7786" s="18">
        <v>1.3</v>
      </c>
      <c r="J7786" s="18">
        <v>1.31</v>
      </c>
      <c r="K7786" s="18">
        <v>1.29</v>
      </c>
      <c r="L7786" s="22">
        <v>7</v>
      </c>
    </row>
    <row r="7787" spans="1:12">
      <c r="A7787">
        <v>8</v>
      </c>
      <c r="B7787" s="16" t="s">
        <v>63</v>
      </c>
      <c r="C7787" s="9">
        <v>45748</v>
      </c>
      <c r="D7787">
        <v>45</v>
      </c>
      <c r="E7787" s="16" t="s">
        <v>134</v>
      </c>
      <c r="F7787" s="16" t="s">
        <v>83</v>
      </c>
      <c r="G7787" s="22">
        <v>11.25</v>
      </c>
      <c r="H7787" s="18">
        <v>14.8125</v>
      </c>
      <c r="I7787" s="18">
        <v>1.316666667</v>
      </c>
      <c r="J7787" s="18">
        <v>1.34</v>
      </c>
      <c r="K7787" s="18">
        <v>1.29</v>
      </c>
      <c r="L7787" s="22">
        <v>8</v>
      </c>
    </row>
    <row r="7788" spans="1:12">
      <c r="A7788">
        <v>8</v>
      </c>
      <c r="B7788" s="16" t="s">
        <v>63</v>
      </c>
      <c r="C7788" s="9">
        <v>45778</v>
      </c>
      <c r="D7788">
        <v>45</v>
      </c>
      <c r="E7788" s="16" t="s">
        <v>134</v>
      </c>
      <c r="F7788" s="16" t="s">
        <v>83</v>
      </c>
      <c r="G7788" s="22">
        <v>13.75</v>
      </c>
      <c r="H7788" s="18">
        <v>18</v>
      </c>
      <c r="I7788" s="18">
        <v>1.309090909</v>
      </c>
      <c r="J7788" s="18">
        <v>1.33</v>
      </c>
      <c r="K7788" s="18">
        <v>1.29</v>
      </c>
      <c r="L7788" s="22">
        <v>9</v>
      </c>
    </row>
    <row r="7789" spans="1:12">
      <c r="A7789">
        <v>8</v>
      </c>
      <c r="B7789" s="16" t="s">
        <v>63</v>
      </c>
      <c r="C7789" s="9">
        <v>45809</v>
      </c>
      <c r="D7789">
        <v>45</v>
      </c>
      <c r="E7789" s="16" t="s">
        <v>134</v>
      </c>
      <c r="F7789" s="16" t="s">
        <v>83</v>
      </c>
      <c r="G7789" s="22">
        <v>13.75</v>
      </c>
      <c r="H7789" s="18">
        <v>18.237500000000001</v>
      </c>
      <c r="I7789" s="18">
        <v>1.326363636</v>
      </c>
      <c r="J7789" s="18">
        <v>1.37</v>
      </c>
      <c r="K7789" s="18">
        <v>1.31</v>
      </c>
      <c r="L7789" s="22">
        <v>9</v>
      </c>
    </row>
    <row r="7790" spans="1:12">
      <c r="A7790">
        <v>8</v>
      </c>
      <c r="B7790" s="16" t="s">
        <v>63</v>
      </c>
      <c r="C7790" s="9">
        <v>45839</v>
      </c>
      <c r="D7790">
        <v>45</v>
      </c>
      <c r="E7790" s="16" t="s">
        <v>134</v>
      </c>
      <c r="F7790" s="16" t="s">
        <v>83</v>
      </c>
      <c r="G7790" s="22">
        <v>10</v>
      </c>
      <c r="H7790" s="18">
        <v>13.362500000000001</v>
      </c>
      <c r="I7790" s="18">
        <v>1.3362499999999999</v>
      </c>
      <c r="J7790" s="18">
        <v>1.36</v>
      </c>
      <c r="K7790" s="18">
        <v>1.31</v>
      </c>
      <c r="L7790" s="22">
        <v>7</v>
      </c>
    </row>
    <row r="7791" spans="1:12">
      <c r="A7791">
        <v>8</v>
      </c>
      <c r="B7791" s="16" t="s">
        <v>63</v>
      </c>
      <c r="C7791" s="9">
        <v>45870</v>
      </c>
      <c r="D7791">
        <v>45</v>
      </c>
      <c r="E7791" s="16" t="s">
        <v>134</v>
      </c>
      <c r="F7791" s="16" t="s">
        <v>83</v>
      </c>
      <c r="G7791" s="22">
        <v>13.75</v>
      </c>
      <c r="H7791" s="18">
        <v>18.587499999999999</v>
      </c>
      <c r="I7791" s="18">
        <v>1.3518181819999999</v>
      </c>
      <c r="J7791" s="18">
        <v>1.43</v>
      </c>
      <c r="K7791" s="18">
        <v>1.31</v>
      </c>
      <c r="L7791" s="22">
        <v>8</v>
      </c>
    </row>
    <row r="7792" spans="1:12">
      <c r="A7792">
        <v>8</v>
      </c>
      <c r="B7792" s="16" t="s">
        <v>63</v>
      </c>
      <c r="C7792" s="9">
        <v>45901</v>
      </c>
      <c r="D7792">
        <v>45</v>
      </c>
      <c r="E7792" s="16" t="s">
        <v>134</v>
      </c>
      <c r="F7792" s="16" t="s">
        <v>83</v>
      </c>
      <c r="G7792" s="22">
        <v>11.25</v>
      </c>
      <c r="H7792" s="18">
        <v>15.2</v>
      </c>
      <c r="I7792" s="18">
        <v>1.351111111</v>
      </c>
      <c r="J7792" s="18">
        <v>1.38</v>
      </c>
      <c r="K7792" s="18">
        <v>1.34</v>
      </c>
      <c r="L7792" s="22">
        <v>8</v>
      </c>
    </row>
    <row r="7793" spans="1:12">
      <c r="A7793">
        <v>8</v>
      </c>
      <c r="B7793" s="16" t="s">
        <v>63</v>
      </c>
      <c r="C7793" s="9">
        <v>45931</v>
      </c>
      <c r="D7793">
        <v>45</v>
      </c>
      <c r="E7793" s="16" t="s">
        <v>134</v>
      </c>
      <c r="F7793" s="16" t="s">
        <v>83</v>
      </c>
      <c r="G7793" s="22">
        <v>11.25</v>
      </c>
      <c r="H7793" s="18">
        <v>15.4375</v>
      </c>
      <c r="I7793" s="18">
        <v>1.372222222</v>
      </c>
      <c r="J7793" s="18">
        <v>1.45</v>
      </c>
      <c r="K7793" s="18">
        <v>1.32</v>
      </c>
      <c r="L7793" s="22">
        <v>9</v>
      </c>
    </row>
    <row r="7794" spans="1:12">
      <c r="A7794">
        <v>8</v>
      </c>
      <c r="B7794" s="16" t="s">
        <v>63</v>
      </c>
      <c r="C7794" s="9">
        <v>45962</v>
      </c>
      <c r="D7794">
        <v>45</v>
      </c>
      <c r="E7794" s="16" t="s">
        <v>134</v>
      </c>
      <c r="F7794" s="16" t="s">
        <v>83</v>
      </c>
      <c r="G7794" s="22">
        <v>8.75</v>
      </c>
      <c r="H7794" s="18">
        <v>11.862500000000001</v>
      </c>
      <c r="I7794" s="18">
        <v>1.355714286</v>
      </c>
      <c r="J7794" s="18">
        <v>1.37</v>
      </c>
      <c r="K7794" s="18">
        <v>1.34</v>
      </c>
      <c r="L7794" s="22">
        <v>7</v>
      </c>
    </row>
    <row r="7795" spans="1:12">
      <c r="A7795">
        <v>8</v>
      </c>
      <c r="B7795" s="16" t="s">
        <v>63</v>
      </c>
      <c r="C7795" s="9">
        <v>45992</v>
      </c>
      <c r="D7795">
        <v>45</v>
      </c>
      <c r="E7795" s="16" t="s">
        <v>134</v>
      </c>
      <c r="F7795" s="16" t="s">
        <v>83</v>
      </c>
      <c r="G7795" s="22">
        <v>11.25</v>
      </c>
      <c r="H7795" s="18">
        <v>15.3375</v>
      </c>
      <c r="I7795" s="18">
        <v>1.3633333329999999</v>
      </c>
      <c r="J7795" s="18">
        <v>1.39</v>
      </c>
      <c r="K7795" s="18">
        <v>1.34</v>
      </c>
      <c r="L7795" s="22">
        <v>9</v>
      </c>
    </row>
    <row r="7796" spans="1:12">
      <c r="A7796">
        <v>8</v>
      </c>
      <c r="B7796" s="16" t="s">
        <v>63</v>
      </c>
      <c r="C7796" s="9">
        <v>46023</v>
      </c>
      <c r="D7796">
        <v>45</v>
      </c>
      <c r="E7796" s="16" t="s">
        <v>134</v>
      </c>
      <c r="F7796" s="16" t="s">
        <v>83</v>
      </c>
      <c r="G7796" s="22">
        <v>11.25</v>
      </c>
      <c r="H7796" s="18">
        <v>15.4</v>
      </c>
      <c r="I7796" s="18">
        <v>1.3688888889999999</v>
      </c>
      <c r="J7796" s="18">
        <v>1.39</v>
      </c>
      <c r="K7796" s="18">
        <v>1.35</v>
      </c>
      <c r="L7796" s="22">
        <v>9</v>
      </c>
    </row>
    <row r="7797" spans="1:12">
      <c r="A7797">
        <v>8</v>
      </c>
      <c r="B7797" s="16" t="s">
        <v>63</v>
      </c>
      <c r="C7797" s="9">
        <v>46054</v>
      </c>
      <c r="D7797">
        <v>45</v>
      </c>
      <c r="E7797" s="16" t="s">
        <v>134</v>
      </c>
      <c r="F7797" s="16" t="s">
        <v>83</v>
      </c>
      <c r="G7797" s="22">
        <v>7.5</v>
      </c>
      <c r="H7797" s="18">
        <v>10.237500000000001</v>
      </c>
      <c r="I7797" s="18">
        <v>1.365</v>
      </c>
      <c r="J7797" s="18">
        <v>1.38</v>
      </c>
      <c r="K7797" s="18">
        <v>1.33</v>
      </c>
      <c r="L7797" s="22">
        <v>6</v>
      </c>
    </row>
    <row r="7798" spans="1:12">
      <c r="A7798">
        <v>8</v>
      </c>
      <c r="B7798" s="16" t="s">
        <v>63</v>
      </c>
      <c r="C7798" s="9">
        <v>46082</v>
      </c>
      <c r="D7798">
        <v>45</v>
      </c>
      <c r="E7798" s="16" t="s">
        <v>134</v>
      </c>
      <c r="F7798" s="16" t="s">
        <v>83</v>
      </c>
      <c r="G7798" s="22">
        <v>11.25</v>
      </c>
      <c r="H7798" s="18">
        <v>15.512499999999999</v>
      </c>
      <c r="I7798" s="18">
        <v>1.378888889</v>
      </c>
      <c r="J7798" s="18">
        <v>1.39</v>
      </c>
      <c r="K7798" s="18">
        <v>1.37</v>
      </c>
      <c r="L7798" s="22">
        <v>8</v>
      </c>
    </row>
    <row r="7799" spans="1:12">
      <c r="A7799">
        <v>8</v>
      </c>
      <c r="B7799" s="16" t="s">
        <v>63</v>
      </c>
      <c r="C7799" s="9">
        <v>46113</v>
      </c>
      <c r="D7799">
        <v>45</v>
      </c>
      <c r="E7799" s="16" t="s">
        <v>134</v>
      </c>
      <c r="F7799" s="16" t="s">
        <v>83</v>
      </c>
      <c r="G7799" s="22">
        <v>10</v>
      </c>
      <c r="H7799" s="18">
        <v>13.7125</v>
      </c>
      <c r="I7799" s="18">
        <v>1.3712500000000001</v>
      </c>
      <c r="J7799" s="18">
        <v>1.39</v>
      </c>
      <c r="K7799" s="18">
        <v>1.36</v>
      </c>
      <c r="L7799" s="22">
        <v>8</v>
      </c>
    </row>
    <row r="7800" spans="1:12">
      <c r="A7800">
        <v>8</v>
      </c>
      <c r="B7800" s="16" t="s">
        <v>63</v>
      </c>
      <c r="C7800" s="9">
        <v>46143</v>
      </c>
      <c r="D7800">
        <v>45</v>
      </c>
      <c r="E7800" s="16" t="s">
        <v>134</v>
      </c>
      <c r="F7800" s="16" t="s">
        <v>83</v>
      </c>
      <c r="G7800" s="22">
        <v>8.75</v>
      </c>
      <c r="H7800" s="18">
        <v>12.0625</v>
      </c>
      <c r="I7800" s="18">
        <v>1.378571429</v>
      </c>
      <c r="J7800" s="18">
        <v>1.4</v>
      </c>
      <c r="K7800" s="18">
        <v>1.33</v>
      </c>
      <c r="L7800" s="22">
        <v>7</v>
      </c>
    </row>
    <row r="7801" spans="1:12">
      <c r="A7801">
        <v>8</v>
      </c>
      <c r="B7801" s="16" t="s">
        <v>63</v>
      </c>
      <c r="C7801" s="9">
        <v>46174</v>
      </c>
      <c r="D7801">
        <v>45</v>
      </c>
      <c r="E7801" s="16" t="s">
        <v>134</v>
      </c>
      <c r="F7801" s="16" t="s">
        <v>83</v>
      </c>
      <c r="G7801" s="22">
        <v>11.25</v>
      </c>
      <c r="H7801" s="18">
        <v>15.675000000000001</v>
      </c>
      <c r="I7801" s="18">
        <v>1.393333333</v>
      </c>
      <c r="J7801" s="18">
        <v>1.41</v>
      </c>
      <c r="K7801" s="18">
        <v>1.38</v>
      </c>
      <c r="L7801" s="22">
        <v>8</v>
      </c>
    </row>
    <row r="7802" spans="1:12">
      <c r="A7802">
        <v>8</v>
      </c>
      <c r="B7802" s="16" t="s">
        <v>63</v>
      </c>
      <c r="C7802" s="9">
        <v>46204</v>
      </c>
      <c r="D7802">
        <v>45</v>
      </c>
      <c r="E7802" s="16" t="s">
        <v>134</v>
      </c>
      <c r="F7802" s="16" t="s">
        <v>83</v>
      </c>
      <c r="G7802" s="22">
        <v>12.5</v>
      </c>
      <c r="H7802" s="18">
        <v>17.274999999999999</v>
      </c>
      <c r="I7802" s="18">
        <v>1.3819999999999999</v>
      </c>
      <c r="J7802" s="18">
        <v>1.4</v>
      </c>
      <c r="K7802" s="18">
        <v>1.35</v>
      </c>
      <c r="L7802" s="22">
        <v>9</v>
      </c>
    </row>
    <row r="7803" spans="1:12">
      <c r="A7803">
        <v>8</v>
      </c>
      <c r="B7803" s="16" t="s">
        <v>63</v>
      </c>
      <c r="C7803" s="9">
        <v>46235</v>
      </c>
      <c r="D7803">
        <v>45</v>
      </c>
      <c r="E7803" s="16" t="s">
        <v>134</v>
      </c>
      <c r="F7803" s="16" t="s">
        <v>83</v>
      </c>
      <c r="G7803" s="22">
        <v>11.25</v>
      </c>
      <c r="H7803" s="18">
        <v>15.85</v>
      </c>
      <c r="I7803" s="18">
        <v>1.408888889</v>
      </c>
      <c r="J7803" s="18">
        <v>1.49</v>
      </c>
      <c r="K7803" s="18">
        <v>1.36</v>
      </c>
      <c r="L7803" s="22">
        <v>9</v>
      </c>
    </row>
    <row r="7804" spans="1:12">
      <c r="A7804">
        <v>8</v>
      </c>
      <c r="B7804" s="16" t="s">
        <v>63</v>
      </c>
      <c r="C7804" s="9">
        <v>46266</v>
      </c>
      <c r="D7804">
        <v>45</v>
      </c>
      <c r="E7804" s="16" t="s">
        <v>134</v>
      </c>
      <c r="F7804" s="16" t="s">
        <v>83</v>
      </c>
      <c r="G7804" s="22">
        <v>10</v>
      </c>
      <c r="H7804" s="18">
        <v>13.775</v>
      </c>
      <c r="I7804" s="18">
        <v>1.3774999999999999</v>
      </c>
      <c r="J7804" s="18">
        <v>1.39</v>
      </c>
      <c r="K7804" s="18">
        <v>1.36</v>
      </c>
      <c r="L7804" s="22">
        <v>8</v>
      </c>
    </row>
    <row r="7805" spans="1:12">
      <c r="A7805">
        <v>8</v>
      </c>
      <c r="B7805" s="16" t="s">
        <v>63</v>
      </c>
      <c r="C7805" s="9">
        <v>45689</v>
      </c>
      <c r="D7805">
        <v>46</v>
      </c>
      <c r="E7805" s="16" t="s">
        <v>135</v>
      </c>
      <c r="F7805" s="16" t="s">
        <v>108</v>
      </c>
      <c r="G7805" s="22">
        <v>16</v>
      </c>
      <c r="H7805" s="18">
        <v>36.799999999999997</v>
      </c>
      <c r="I7805" s="18">
        <v>2.2999999999999998</v>
      </c>
      <c r="J7805" s="18">
        <v>2.2999999999999998</v>
      </c>
      <c r="K7805" s="18">
        <v>2.2999999999999998</v>
      </c>
      <c r="L7805" s="22">
        <v>1</v>
      </c>
    </row>
    <row r="7806" spans="1:12">
      <c r="A7806">
        <v>8</v>
      </c>
      <c r="B7806" s="16" t="s">
        <v>63</v>
      </c>
      <c r="C7806" s="9">
        <v>45717</v>
      </c>
      <c r="D7806">
        <v>46</v>
      </c>
      <c r="E7806" s="16" t="s">
        <v>135</v>
      </c>
      <c r="F7806" s="16" t="s">
        <v>108</v>
      </c>
      <c r="G7806" s="22">
        <v>16</v>
      </c>
      <c r="H7806" s="18">
        <v>37.92</v>
      </c>
      <c r="I7806" s="18">
        <v>2.37</v>
      </c>
      <c r="J7806" s="18">
        <v>2.37</v>
      </c>
      <c r="K7806" s="18">
        <v>2.37</v>
      </c>
      <c r="L7806" s="22">
        <v>1</v>
      </c>
    </row>
    <row r="7807" spans="1:12">
      <c r="A7807">
        <v>8</v>
      </c>
      <c r="B7807" s="16" t="s">
        <v>63</v>
      </c>
      <c r="C7807" s="9">
        <v>45748</v>
      </c>
      <c r="D7807">
        <v>46</v>
      </c>
      <c r="E7807" s="16" t="s">
        <v>135</v>
      </c>
      <c r="F7807" s="16" t="s">
        <v>108</v>
      </c>
      <c r="G7807" s="22">
        <v>16</v>
      </c>
      <c r="H7807" s="18">
        <v>36.799999999999997</v>
      </c>
      <c r="I7807" s="18">
        <v>2.2999999999999998</v>
      </c>
      <c r="J7807" s="18">
        <v>2.2999999999999998</v>
      </c>
      <c r="K7807" s="18">
        <v>2.2999999999999998</v>
      </c>
      <c r="L7807" s="22">
        <v>1</v>
      </c>
    </row>
    <row r="7808" spans="1:12">
      <c r="A7808">
        <v>8</v>
      </c>
      <c r="B7808" s="16" t="s">
        <v>63</v>
      </c>
      <c r="C7808" s="9">
        <v>45778</v>
      </c>
      <c r="D7808">
        <v>46</v>
      </c>
      <c r="E7808" s="16" t="s">
        <v>135</v>
      </c>
      <c r="F7808" s="16" t="s">
        <v>108</v>
      </c>
      <c r="G7808" s="22">
        <v>16</v>
      </c>
      <c r="H7808" s="18">
        <v>36</v>
      </c>
      <c r="I7808" s="18">
        <v>2.25</v>
      </c>
      <c r="J7808" s="18">
        <v>2.25</v>
      </c>
      <c r="K7808" s="18">
        <v>2.25</v>
      </c>
      <c r="L7808" s="22">
        <v>1</v>
      </c>
    </row>
    <row r="7809" spans="1:12">
      <c r="A7809">
        <v>8</v>
      </c>
      <c r="B7809" s="16" t="s">
        <v>63</v>
      </c>
      <c r="C7809" s="9">
        <v>45809</v>
      </c>
      <c r="D7809">
        <v>46</v>
      </c>
      <c r="E7809" s="16" t="s">
        <v>135</v>
      </c>
      <c r="F7809" s="16" t="s">
        <v>108</v>
      </c>
      <c r="G7809" s="22">
        <v>16</v>
      </c>
      <c r="H7809" s="18">
        <v>36.96</v>
      </c>
      <c r="I7809" s="18">
        <v>2.31</v>
      </c>
      <c r="J7809" s="18">
        <v>2.31</v>
      </c>
      <c r="K7809" s="18">
        <v>2.31</v>
      </c>
      <c r="L7809" s="22">
        <v>1</v>
      </c>
    </row>
    <row r="7810" spans="1:12">
      <c r="A7810">
        <v>8</v>
      </c>
      <c r="B7810" s="16" t="s">
        <v>63</v>
      </c>
      <c r="C7810" s="9">
        <v>45839</v>
      </c>
      <c r="D7810">
        <v>46</v>
      </c>
      <c r="E7810" s="16" t="s">
        <v>135</v>
      </c>
      <c r="F7810" s="16" t="s">
        <v>108</v>
      </c>
      <c r="G7810" s="22">
        <v>16</v>
      </c>
      <c r="H7810" s="18">
        <v>37.92</v>
      </c>
      <c r="I7810" s="18">
        <v>2.37</v>
      </c>
      <c r="J7810" s="18">
        <v>2.37</v>
      </c>
      <c r="K7810" s="18">
        <v>2.37</v>
      </c>
      <c r="L7810" s="22">
        <v>1</v>
      </c>
    </row>
    <row r="7811" spans="1:12">
      <c r="A7811">
        <v>8</v>
      </c>
      <c r="B7811" s="16" t="s">
        <v>63</v>
      </c>
      <c r="C7811" s="9">
        <v>45870</v>
      </c>
      <c r="D7811">
        <v>46</v>
      </c>
      <c r="E7811" s="16" t="s">
        <v>135</v>
      </c>
      <c r="F7811" s="16" t="s">
        <v>108</v>
      </c>
      <c r="G7811" s="22">
        <v>16</v>
      </c>
      <c r="H7811" s="18">
        <v>37.6</v>
      </c>
      <c r="I7811" s="18">
        <v>2.35</v>
      </c>
      <c r="J7811" s="18">
        <v>2.35</v>
      </c>
      <c r="K7811" s="18">
        <v>2.35</v>
      </c>
      <c r="L7811" s="22">
        <v>1</v>
      </c>
    </row>
    <row r="7812" spans="1:12">
      <c r="A7812">
        <v>8</v>
      </c>
      <c r="B7812" s="16" t="s">
        <v>63</v>
      </c>
      <c r="C7812" s="9">
        <v>45901</v>
      </c>
      <c r="D7812">
        <v>46</v>
      </c>
      <c r="E7812" s="16" t="s">
        <v>135</v>
      </c>
      <c r="F7812" s="16" t="s">
        <v>108</v>
      </c>
      <c r="G7812" s="22">
        <v>16</v>
      </c>
      <c r="H7812" s="18">
        <v>38.4</v>
      </c>
      <c r="I7812" s="18">
        <v>2.4</v>
      </c>
      <c r="J7812" s="18">
        <v>2.4</v>
      </c>
      <c r="K7812" s="18">
        <v>2.4</v>
      </c>
      <c r="L7812" s="22">
        <v>1</v>
      </c>
    </row>
    <row r="7813" spans="1:12">
      <c r="A7813">
        <v>8</v>
      </c>
      <c r="B7813" s="16" t="s">
        <v>63</v>
      </c>
      <c r="C7813" s="9">
        <v>45931</v>
      </c>
      <c r="D7813">
        <v>46</v>
      </c>
      <c r="E7813" s="16" t="s">
        <v>135</v>
      </c>
      <c r="F7813" s="16" t="s">
        <v>108</v>
      </c>
      <c r="G7813" s="22">
        <v>16</v>
      </c>
      <c r="H7813" s="18">
        <v>37.76</v>
      </c>
      <c r="I7813" s="18">
        <v>2.36</v>
      </c>
      <c r="J7813" s="18">
        <v>2.36</v>
      </c>
      <c r="K7813" s="18">
        <v>2.36</v>
      </c>
      <c r="L7813" s="22">
        <v>1</v>
      </c>
    </row>
    <row r="7814" spans="1:12">
      <c r="A7814">
        <v>8</v>
      </c>
      <c r="B7814" s="16" t="s">
        <v>63</v>
      </c>
      <c r="C7814" s="9">
        <v>45992</v>
      </c>
      <c r="D7814">
        <v>46</v>
      </c>
      <c r="E7814" s="16" t="s">
        <v>135</v>
      </c>
      <c r="F7814" s="16" t="s">
        <v>108</v>
      </c>
      <c r="G7814" s="22">
        <v>16</v>
      </c>
      <c r="H7814" s="18">
        <v>38.56</v>
      </c>
      <c r="I7814" s="18">
        <v>2.41</v>
      </c>
      <c r="J7814" s="18">
        <v>2.41</v>
      </c>
      <c r="K7814" s="18">
        <v>2.41</v>
      </c>
      <c r="L7814" s="22">
        <v>1</v>
      </c>
    </row>
    <row r="7815" spans="1:12">
      <c r="A7815">
        <v>8</v>
      </c>
      <c r="B7815" s="16" t="s">
        <v>63</v>
      </c>
      <c r="C7815" s="9">
        <v>46023</v>
      </c>
      <c r="D7815">
        <v>46</v>
      </c>
      <c r="E7815" s="16" t="s">
        <v>135</v>
      </c>
      <c r="F7815" s="16" t="s">
        <v>108</v>
      </c>
      <c r="G7815" s="22">
        <v>32</v>
      </c>
      <c r="H7815" s="18">
        <v>77.599999999999994</v>
      </c>
      <c r="I7815" s="18">
        <v>2.4249999999999998</v>
      </c>
      <c r="J7815" s="18">
        <v>2.52</v>
      </c>
      <c r="K7815" s="18">
        <v>2.33</v>
      </c>
      <c r="L7815" s="22">
        <v>2</v>
      </c>
    </row>
    <row r="7816" spans="1:12">
      <c r="A7816">
        <v>8</v>
      </c>
      <c r="B7816" s="16" t="s">
        <v>63</v>
      </c>
      <c r="C7816" s="9">
        <v>46054</v>
      </c>
      <c r="D7816">
        <v>46</v>
      </c>
      <c r="E7816" s="16" t="s">
        <v>135</v>
      </c>
      <c r="F7816" s="16" t="s">
        <v>108</v>
      </c>
      <c r="G7816" s="22">
        <v>16</v>
      </c>
      <c r="H7816" s="18">
        <v>38.24</v>
      </c>
      <c r="I7816" s="18">
        <v>2.39</v>
      </c>
      <c r="J7816" s="18">
        <v>2.39</v>
      </c>
      <c r="K7816" s="18">
        <v>2.39</v>
      </c>
      <c r="L7816" s="22">
        <v>1</v>
      </c>
    </row>
    <row r="7817" spans="1:12">
      <c r="A7817">
        <v>8</v>
      </c>
      <c r="B7817" s="16" t="s">
        <v>63</v>
      </c>
      <c r="C7817" s="9">
        <v>46113</v>
      </c>
      <c r="D7817">
        <v>46</v>
      </c>
      <c r="E7817" s="16" t="s">
        <v>135</v>
      </c>
      <c r="F7817" s="16" t="s">
        <v>108</v>
      </c>
      <c r="G7817" s="22">
        <v>16</v>
      </c>
      <c r="H7817" s="18">
        <v>38.72</v>
      </c>
      <c r="I7817" s="18">
        <v>2.42</v>
      </c>
      <c r="J7817" s="18">
        <v>2.42</v>
      </c>
      <c r="K7817" s="18">
        <v>2.42</v>
      </c>
      <c r="L7817" s="22">
        <v>1</v>
      </c>
    </row>
    <row r="7818" spans="1:12">
      <c r="A7818">
        <v>8</v>
      </c>
      <c r="B7818" s="16" t="s">
        <v>63</v>
      </c>
      <c r="C7818" s="9">
        <v>46143</v>
      </c>
      <c r="D7818">
        <v>46</v>
      </c>
      <c r="E7818" s="16" t="s">
        <v>135</v>
      </c>
      <c r="F7818" s="16" t="s">
        <v>108</v>
      </c>
      <c r="G7818" s="22">
        <v>16</v>
      </c>
      <c r="H7818" s="18">
        <v>38.880000000000003</v>
      </c>
      <c r="I7818" s="18">
        <v>2.4300000000000002</v>
      </c>
      <c r="J7818" s="18">
        <v>2.4300000000000002</v>
      </c>
      <c r="K7818" s="18">
        <v>2.4300000000000002</v>
      </c>
      <c r="L7818" s="22">
        <v>1</v>
      </c>
    </row>
    <row r="7819" spans="1:12">
      <c r="A7819">
        <v>8</v>
      </c>
      <c r="B7819" s="16" t="s">
        <v>63</v>
      </c>
      <c r="C7819" s="9">
        <v>46174</v>
      </c>
      <c r="D7819">
        <v>46</v>
      </c>
      <c r="E7819" s="16" t="s">
        <v>135</v>
      </c>
      <c r="F7819" s="16" t="s">
        <v>108</v>
      </c>
      <c r="G7819" s="22">
        <v>16</v>
      </c>
      <c r="H7819" s="18">
        <v>38.880000000000003</v>
      </c>
      <c r="I7819" s="18">
        <v>2.4300000000000002</v>
      </c>
      <c r="J7819" s="18">
        <v>2.4300000000000002</v>
      </c>
      <c r="K7819" s="18">
        <v>2.4300000000000002</v>
      </c>
      <c r="L7819" s="22">
        <v>1</v>
      </c>
    </row>
    <row r="7820" spans="1:12">
      <c r="A7820">
        <v>8</v>
      </c>
      <c r="B7820" s="16" t="s">
        <v>63</v>
      </c>
      <c r="C7820" s="9">
        <v>46204</v>
      </c>
      <c r="D7820">
        <v>46</v>
      </c>
      <c r="E7820" s="16" t="s">
        <v>135</v>
      </c>
      <c r="F7820" s="16" t="s">
        <v>108</v>
      </c>
      <c r="G7820" s="22">
        <v>16</v>
      </c>
      <c r="H7820" s="18">
        <v>38.4</v>
      </c>
      <c r="I7820" s="18">
        <v>2.4</v>
      </c>
      <c r="J7820" s="18">
        <v>2.4</v>
      </c>
      <c r="K7820" s="18">
        <v>2.4</v>
      </c>
      <c r="L7820" s="22">
        <v>1</v>
      </c>
    </row>
    <row r="7821" spans="1:12">
      <c r="A7821">
        <v>8</v>
      </c>
      <c r="B7821" s="16" t="s">
        <v>63</v>
      </c>
      <c r="C7821" s="9">
        <v>46266</v>
      </c>
      <c r="D7821">
        <v>46</v>
      </c>
      <c r="E7821" s="16" t="s">
        <v>135</v>
      </c>
      <c r="F7821" s="16" t="s">
        <v>108</v>
      </c>
      <c r="G7821" s="22">
        <v>16</v>
      </c>
      <c r="H7821" s="18">
        <v>38.72</v>
      </c>
      <c r="I7821" s="18">
        <v>2.42</v>
      </c>
      <c r="J7821" s="18">
        <v>2.42</v>
      </c>
      <c r="K7821" s="18">
        <v>2.42</v>
      </c>
      <c r="L7821" s="22">
        <v>1</v>
      </c>
    </row>
    <row r="7822" spans="1:12">
      <c r="A7822">
        <v>8</v>
      </c>
      <c r="B7822" s="16" t="s">
        <v>63</v>
      </c>
      <c r="C7822" s="9">
        <v>45689</v>
      </c>
      <c r="D7822">
        <v>47</v>
      </c>
      <c r="E7822" s="16" t="s">
        <v>136</v>
      </c>
      <c r="F7822" s="16" t="s">
        <v>92</v>
      </c>
      <c r="G7822" s="22">
        <v>43.5</v>
      </c>
      <c r="H7822" s="18">
        <v>179.9325</v>
      </c>
      <c r="I7822" s="18">
        <v>4.1363793099999997</v>
      </c>
      <c r="J7822" s="18">
        <v>4.2</v>
      </c>
      <c r="K7822" s="18">
        <v>4.04</v>
      </c>
      <c r="L7822" s="22">
        <v>8</v>
      </c>
    </row>
    <row r="7823" spans="1:12">
      <c r="A7823">
        <v>8</v>
      </c>
      <c r="B7823" s="16" t="s">
        <v>63</v>
      </c>
      <c r="C7823" s="9">
        <v>45717</v>
      </c>
      <c r="D7823">
        <v>47</v>
      </c>
      <c r="E7823" s="16" t="s">
        <v>136</v>
      </c>
      <c r="F7823" s="16" t="s">
        <v>92</v>
      </c>
      <c r="G7823" s="22">
        <v>48.75</v>
      </c>
      <c r="H7823" s="18">
        <v>188.7</v>
      </c>
      <c r="I7823" s="18">
        <v>3.8707692310000001</v>
      </c>
      <c r="J7823" s="18">
        <v>3.93</v>
      </c>
      <c r="K7823" s="18">
        <v>3.81</v>
      </c>
      <c r="L7823" s="22">
        <v>9</v>
      </c>
    </row>
    <row r="7824" spans="1:12">
      <c r="A7824">
        <v>8</v>
      </c>
      <c r="B7824" s="16" t="s">
        <v>63</v>
      </c>
      <c r="C7824" s="9">
        <v>45748</v>
      </c>
      <c r="D7824">
        <v>47</v>
      </c>
      <c r="E7824" s="16" t="s">
        <v>136</v>
      </c>
      <c r="F7824" s="16" t="s">
        <v>92</v>
      </c>
      <c r="G7824" s="22">
        <v>51</v>
      </c>
      <c r="H7824" s="18">
        <v>182.85</v>
      </c>
      <c r="I7824" s="18">
        <v>3.5852941180000002</v>
      </c>
      <c r="J7824" s="18">
        <v>3.66</v>
      </c>
      <c r="K7824" s="18">
        <v>3.56</v>
      </c>
      <c r="L7824" s="22">
        <v>8</v>
      </c>
    </row>
    <row r="7825" spans="1:12">
      <c r="A7825">
        <v>8</v>
      </c>
      <c r="B7825" s="16" t="s">
        <v>63</v>
      </c>
      <c r="C7825" s="9">
        <v>45778</v>
      </c>
      <c r="D7825">
        <v>47</v>
      </c>
      <c r="E7825" s="16" t="s">
        <v>136</v>
      </c>
      <c r="F7825" s="16" t="s">
        <v>92</v>
      </c>
      <c r="G7825" s="22">
        <v>62.25</v>
      </c>
      <c r="H7825" s="18">
        <v>207.22499999999999</v>
      </c>
      <c r="I7825" s="18">
        <v>3.3289156630000001</v>
      </c>
      <c r="J7825" s="18">
        <v>3.53</v>
      </c>
      <c r="K7825" s="18">
        <v>3.26</v>
      </c>
      <c r="L7825" s="22">
        <v>9</v>
      </c>
    </row>
    <row r="7826" spans="1:12">
      <c r="A7826">
        <v>8</v>
      </c>
      <c r="B7826" s="16" t="s">
        <v>63</v>
      </c>
      <c r="C7826" s="9">
        <v>45809</v>
      </c>
      <c r="D7826">
        <v>47</v>
      </c>
      <c r="E7826" s="16" t="s">
        <v>136</v>
      </c>
      <c r="F7826" s="16" t="s">
        <v>92</v>
      </c>
      <c r="G7826" s="22">
        <v>65.25</v>
      </c>
      <c r="H7826" s="18">
        <v>201.84</v>
      </c>
      <c r="I7826" s="18">
        <v>3.0933333329999999</v>
      </c>
      <c r="J7826" s="18">
        <v>3.12</v>
      </c>
      <c r="K7826" s="18">
        <v>3.05</v>
      </c>
      <c r="L7826" s="22">
        <v>9</v>
      </c>
    </row>
    <row r="7827" spans="1:12">
      <c r="A7827">
        <v>8</v>
      </c>
      <c r="B7827" s="16" t="s">
        <v>63</v>
      </c>
      <c r="C7827" s="9">
        <v>45839</v>
      </c>
      <c r="D7827">
        <v>47</v>
      </c>
      <c r="E7827" s="16" t="s">
        <v>136</v>
      </c>
      <c r="F7827" s="16" t="s">
        <v>92</v>
      </c>
      <c r="G7827" s="22">
        <v>49.5</v>
      </c>
      <c r="H7827" s="18">
        <v>149.24250000000001</v>
      </c>
      <c r="I7827" s="18">
        <v>3.0150000000000001</v>
      </c>
      <c r="J7827" s="18">
        <v>3.04</v>
      </c>
      <c r="K7827" s="18">
        <v>2.95</v>
      </c>
      <c r="L7827" s="22">
        <v>9</v>
      </c>
    </row>
    <row r="7828" spans="1:12">
      <c r="A7828">
        <v>8</v>
      </c>
      <c r="B7828" s="16" t="s">
        <v>63</v>
      </c>
      <c r="C7828" s="9">
        <v>45870</v>
      </c>
      <c r="D7828">
        <v>47</v>
      </c>
      <c r="E7828" s="16" t="s">
        <v>136</v>
      </c>
      <c r="F7828" s="16" t="s">
        <v>92</v>
      </c>
      <c r="G7828" s="22">
        <v>59.25</v>
      </c>
      <c r="H7828" s="18">
        <v>186.4425</v>
      </c>
      <c r="I7828" s="18">
        <v>3.146708861</v>
      </c>
      <c r="J7828" s="18">
        <v>3.19</v>
      </c>
      <c r="K7828" s="18">
        <v>3.11</v>
      </c>
      <c r="L7828" s="22">
        <v>8</v>
      </c>
    </row>
    <row r="7829" spans="1:12">
      <c r="A7829">
        <v>8</v>
      </c>
      <c r="B7829" s="16" t="s">
        <v>63</v>
      </c>
      <c r="C7829" s="9">
        <v>45901</v>
      </c>
      <c r="D7829">
        <v>47</v>
      </c>
      <c r="E7829" s="16" t="s">
        <v>136</v>
      </c>
      <c r="F7829" s="16" t="s">
        <v>92</v>
      </c>
      <c r="G7829" s="22">
        <v>60.75</v>
      </c>
      <c r="H7829" s="18">
        <v>204.51750000000001</v>
      </c>
      <c r="I7829" s="18">
        <v>3.3665432100000001</v>
      </c>
      <c r="J7829" s="18">
        <v>3.4</v>
      </c>
      <c r="K7829" s="18">
        <v>3.33</v>
      </c>
      <c r="L7829" s="22">
        <v>9</v>
      </c>
    </row>
    <row r="7830" spans="1:12">
      <c r="A7830">
        <v>8</v>
      </c>
      <c r="B7830" s="16" t="s">
        <v>63</v>
      </c>
      <c r="C7830" s="9">
        <v>45931</v>
      </c>
      <c r="D7830">
        <v>47</v>
      </c>
      <c r="E7830" s="16" t="s">
        <v>136</v>
      </c>
      <c r="F7830" s="16" t="s">
        <v>92</v>
      </c>
      <c r="G7830" s="22">
        <v>56.25</v>
      </c>
      <c r="H7830" s="18">
        <v>208.85249999999999</v>
      </c>
      <c r="I7830" s="18">
        <v>3.7129333330000001</v>
      </c>
      <c r="J7830" s="18">
        <v>3.78</v>
      </c>
      <c r="K7830" s="18">
        <v>3.67</v>
      </c>
      <c r="L7830" s="22">
        <v>9</v>
      </c>
    </row>
    <row r="7831" spans="1:12">
      <c r="A7831">
        <v>8</v>
      </c>
      <c r="B7831" s="16" t="s">
        <v>63</v>
      </c>
      <c r="C7831" s="9">
        <v>45962</v>
      </c>
      <c r="D7831">
        <v>47</v>
      </c>
      <c r="E7831" s="16" t="s">
        <v>136</v>
      </c>
      <c r="F7831" s="16" t="s">
        <v>92</v>
      </c>
      <c r="G7831" s="22">
        <v>42</v>
      </c>
      <c r="H7831" s="18">
        <v>169.4325</v>
      </c>
      <c r="I7831" s="18">
        <v>4.034107143</v>
      </c>
      <c r="J7831" s="18">
        <v>4.09</v>
      </c>
      <c r="K7831" s="18">
        <v>3.94</v>
      </c>
      <c r="L7831" s="22">
        <v>8</v>
      </c>
    </row>
    <row r="7832" spans="1:12">
      <c r="A7832">
        <v>8</v>
      </c>
      <c r="B7832" s="16" t="s">
        <v>63</v>
      </c>
      <c r="C7832" s="9">
        <v>45992</v>
      </c>
      <c r="D7832">
        <v>47</v>
      </c>
      <c r="E7832" s="16" t="s">
        <v>136</v>
      </c>
      <c r="F7832" s="16" t="s">
        <v>92</v>
      </c>
      <c r="G7832" s="22">
        <v>45</v>
      </c>
      <c r="H7832" s="18">
        <v>193.9425</v>
      </c>
      <c r="I7832" s="18">
        <v>4.3098333330000003</v>
      </c>
      <c r="J7832" s="18">
        <v>4.41</v>
      </c>
      <c r="K7832" s="18">
        <v>4.2</v>
      </c>
      <c r="L7832" s="22">
        <v>9</v>
      </c>
    </row>
    <row r="7833" spans="1:12">
      <c r="A7833">
        <v>8</v>
      </c>
      <c r="B7833" s="16" t="s">
        <v>63</v>
      </c>
      <c r="C7833" s="9">
        <v>46023</v>
      </c>
      <c r="D7833">
        <v>47</v>
      </c>
      <c r="E7833" s="16" t="s">
        <v>136</v>
      </c>
      <c r="F7833" s="16" t="s">
        <v>92</v>
      </c>
      <c r="G7833" s="22">
        <v>45</v>
      </c>
      <c r="H7833" s="18">
        <v>196.11</v>
      </c>
      <c r="I7833" s="18">
        <v>4.3579999999999997</v>
      </c>
      <c r="J7833" s="18">
        <v>4.4800000000000004</v>
      </c>
      <c r="K7833" s="18">
        <v>4.29</v>
      </c>
      <c r="L7833" s="22">
        <v>9</v>
      </c>
    </row>
    <row r="7834" spans="1:12">
      <c r="A7834">
        <v>8</v>
      </c>
      <c r="B7834" s="16" t="s">
        <v>63</v>
      </c>
      <c r="C7834" s="9">
        <v>46054</v>
      </c>
      <c r="D7834">
        <v>47</v>
      </c>
      <c r="E7834" s="16" t="s">
        <v>136</v>
      </c>
      <c r="F7834" s="16" t="s">
        <v>92</v>
      </c>
      <c r="G7834" s="22">
        <v>51</v>
      </c>
      <c r="H7834" s="18">
        <v>218.1</v>
      </c>
      <c r="I7834" s="18">
        <v>4.2764705879999996</v>
      </c>
      <c r="J7834" s="18">
        <v>4.3099999999999996</v>
      </c>
      <c r="K7834" s="18">
        <v>4.21</v>
      </c>
      <c r="L7834" s="22">
        <v>8</v>
      </c>
    </row>
    <row r="7835" spans="1:12">
      <c r="A7835">
        <v>8</v>
      </c>
      <c r="B7835" s="16" t="s">
        <v>63</v>
      </c>
      <c r="C7835" s="9">
        <v>46082</v>
      </c>
      <c r="D7835">
        <v>47</v>
      </c>
      <c r="E7835" s="16" t="s">
        <v>136</v>
      </c>
      <c r="F7835" s="16" t="s">
        <v>92</v>
      </c>
      <c r="G7835" s="22">
        <v>50.25</v>
      </c>
      <c r="H7835" s="18">
        <v>201.93</v>
      </c>
      <c r="I7835" s="18">
        <v>4.0185074629999997</v>
      </c>
      <c r="J7835" s="18">
        <v>4.13</v>
      </c>
      <c r="K7835" s="18">
        <v>3.93</v>
      </c>
      <c r="L7835" s="22">
        <v>9</v>
      </c>
    </row>
    <row r="7836" spans="1:12">
      <c r="A7836">
        <v>8</v>
      </c>
      <c r="B7836" s="16" t="s">
        <v>63</v>
      </c>
      <c r="C7836" s="9">
        <v>46113</v>
      </c>
      <c r="D7836">
        <v>47</v>
      </c>
      <c r="E7836" s="16" t="s">
        <v>136</v>
      </c>
      <c r="F7836" s="16" t="s">
        <v>92</v>
      </c>
      <c r="G7836" s="22">
        <v>54.75</v>
      </c>
      <c r="H7836" s="18">
        <v>204.435</v>
      </c>
      <c r="I7836" s="18">
        <v>3.7339726029999998</v>
      </c>
      <c r="J7836" s="18">
        <v>3.87</v>
      </c>
      <c r="K7836" s="18">
        <v>3.66</v>
      </c>
      <c r="L7836" s="22">
        <v>9</v>
      </c>
    </row>
    <row r="7837" spans="1:12">
      <c r="A7837">
        <v>8</v>
      </c>
      <c r="B7837" s="16" t="s">
        <v>63</v>
      </c>
      <c r="C7837" s="9">
        <v>46143</v>
      </c>
      <c r="D7837">
        <v>47</v>
      </c>
      <c r="E7837" s="16" t="s">
        <v>136</v>
      </c>
      <c r="F7837" s="16" t="s">
        <v>92</v>
      </c>
      <c r="G7837" s="22">
        <v>43.5</v>
      </c>
      <c r="H7837" s="18">
        <v>146.91749999999999</v>
      </c>
      <c r="I7837" s="18">
        <v>3.3774137930000001</v>
      </c>
      <c r="J7837" s="18">
        <v>3.46</v>
      </c>
      <c r="K7837" s="18">
        <v>3.34</v>
      </c>
      <c r="L7837" s="22">
        <v>8</v>
      </c>
    </row>
    <row r="7838" spans="1:12">
      <c r="A7838">
        <v>8</v>
      </c>
      <c r="B7838" s="16" t="s">
        <v>63</v>
      </c>
      <c r="C7838" s="9">
        <v>46174</v>
      </c>
      <c r="D7838">
        <v>47</v>
      </c>
      <c r="E7838" s="16" t="s">
        <v>136</v>
      </c>
      <c r="F7838" s="16" t="s">
        <v>92</v>
      </c>
      <c r="G7838" s="22">
        <v>44.25</v>
      </c>
      <c r="H7838" s="18">
        <v>139.19999999999999</v>
      </c>
      <c r="I7838" s="18">
        <v>3.1457627119999998</v>
      </c>
      <c r="J7838" s="18">
        <v>3.2</v>
      </c>
      <c r="K7838" s="18">
        <v>3.11</v>
      </c>
      <c r="L7838" s="22">
        <v>9</v>
      </c>
    </row>
    <row r="7839" spans="1:12">
      <c r="A7839">
        <v>8</v>
      </c>
      <c r="B7839" s="16" t="s">
        <v>63</v>
      </c>
      <c r="C7839" s="9">
        <v>46204</v>
      </c>
      <c r="D7839">
        <v>47</v>
      </c>
      <c r="E7839" s="16" t="s">
        <v>136</v>
      </c>
      <c r="F7839" s="16" t="s">
        <v>92</v>
      </c>
      <c r="G7839" s="22">
        <v>49.5</v>
      </c>
      <c r="H7839" s="18">
        <v>152.97749999999999</v>
      </c>
      <c r="I7839" s="18">
        <v>3.0904545450000001</v>
      </c>
      <c r="J7839" s="18">
        <v>3.16</v>
      </c>
      <c r="K7839" s="18">
        <v>3.04</v>
      </c>
      <c r="L7839" s="22">
        <v>9</v>
      </c>
    </row>
    <row r="7840" spans="1:12">
      <c r="A7840">
        <v>8</v>
      </c>
      <c r="B7840" s="16" t="s">
        <v>63</v>
      </c>
      <c r="C7840" s="9">
        <v>46235</v>
      </c>
      <c r="D7840">
        <v>47</v>
      </c>
      <c r="E7840" s="16" t="s">
        <v>136</v>
      </c>
      <c r="F7840" s="16" t="s">
        <v>92</v>
      </c>
      <c r="G7840" s="22">
        <v>45</v>
      </c>
      <c r="H7840" s="18">
        <v>143.25</v>
      </c>
      <c r="I7840" s="18">
        <v>3.1833333330000002</v>
      </c>
      <c r="J7840" s="18">
        <v>3.23</v>
      </c>
      <c r="K7840" s="18">
        <v>3.16</v>
      </c>
      <c r="L7840" s="22">
        <v>9</v>
      </c>
    </row>
    <row r="7841" spans="1:12">
      <c r="A7841">
        <v>8</v>
      </c>
      <c r="B7841" s="16" t="s">
        <v>63</v>
      </c>
      <c r="C7841" s="9">
        <v>46266</v>
      </c>
      <c r="D7841">
        <v>47</v>
      </c>
      <c r="E7841" s="16" t="s">
        <v>136</v>
      </c>
      <c r="F7841" s="16" t="s">
        <v>92</v>
      </c>
      <c r="G7841" s="22">
        <v>46.5</v>
      </c>
      <c r="H7841" s="18">
        <v>160.035</v>
      </c>
      <c r="I7841" s="18">
        <v>3.4416129029999998</v>
      </c>
      <c r="J7841" s="18">
        <v>3.52</v>
      </c>
      <c r="K7841" s="18">
        <v>3.41</v>
      </c>
      <c r="L7841" s="22">
        <v>8</v>
      </c>
    </row>
    <row r="7842" spans="1:12">
      <c r="A7842">
        <v>8</v>
      </c>
      <c r="B7842" s="16" t="s">
        <v>63</v>
      </c>
      <c r="C7842" s="9">
        <v>45689</v>
      </c>
      <c r="D7842">
        <v>48</v>
      </c>
      <c r="E7842" s="16" t="s">
        <v>137</v>
      </c>
      <c r="F7842" s="16" t="s">
        <v>138</v>
      </c>
      <c r="G7842" s="22">
        <v>4</v>
      </c>
      <c r="H7842" s="18">
        <v>51.897500000000001</v>
      </c>
      <c r="I7842" s="18">
        <v>12.974375</v>
      </c>
      <c r="J7842" s="18">
        <v>13.14</v>
      </c>
      <c r="K7842" s="18">
        <v>12.79</v>
      </c>
      <c r="L7842" s="22">
        <v>6</v>
      </c>
    </row>
    <row r="7843" spans="1:12">
      <c r="A7843">
        <v>8</v>
      </c>
      <c r="B7843" s="16" t="s">
        <v>63</v>
      </c>
      <c r="C7843" s="9">
        <v>45717</v>
      </c>
      <c r="D7843">
        <v>48</v>
      </c>
      <c r="E7843" s="16" t="s">
        <v>137</v>
      </c>
      <c r="F7843" s="16" t="s">
        <v>138</v>
      </c>
      <c r="G7843" s="22">
        <v>4</v>
      </c>
      <c r="H7843" s="18">
        <v>52.055</v>
      </c>
      <c r="I7843" s="18">
        <v>13.01375</v>
      </c>
      <c r="J7843" s="18">
        <v>13.19</v>
      </c>
      <c r="K7843" s="18">
        <v>12.87</v>
      </c>
      <c r="L7843" s="22">
        <v>5</v>
      </c>
    </row>
    <row r="7844" spans="1:12">
      <c r="A7844">
        <v>8</v>
      </c>
      <c r="B7844" s="16" t="s">
        <v>63</v>
      </c>
      <c r="C7844" s="9">
        <v>45748</v>
      </c>
      <c r="D7844">
        <v>48</v>
      </c>
      <c r="E7844" s="16" t="s">
        <v>137</v>
      </c>
      <c r="F7844" s="16" t="s">
        <v>138</v>
      </c>
      <c r="G7844" s="22">
        <v>5.75</v>
      </c>
      <c r="H7844" s="18">
        <v>75.472499999999997</v>
      </c>
      <c r="I7844" s="18">
        <v>13.125652174000001</v>
      </c>
      <c r="J7844" s="18">
        <v>13.26</v>
      </c>
      <c r="K7844" s="18">
        <v>12.87</v>
      </c>
      <c r="L7844" s="22">
        <v>9</v>
      </c>
    </row>
    <row r="7845" spans="1:12">
      <c r="A7845">
        <v>8</v>
      </c>
      <c r="B7845" s="16" t="s">
        <v>63</v>
      </c>
      <c r="C7845" s="9">
        <v>45778</v>
      </c>
      <c r="D7845">
        <v>48</v>
      </c>
      <c r="E7845" s="16" t="s">
        <v>137</v>
      </c>
      <c r="F7845" s="16" t="s">
        <v>138</v>
      </c>
      <c r="G7845" s="22">
        <v>9.5</v>
      </c>
      <c r="H7845" s="18">
        <v>125.28749999999999</v>
      </c>
      <c r="I7845" s="18">
        <v>13.188157895</v>
      </c>
      <c r="J7845" s="18">
        <v>13.47</v>
      </c>
      <c r="K7845" s="18">
        <v>12.83</v>
      </c>
      <c r="L7845" s="22">
        <v>9</v>
      </c>
    </row>
    <row r="7846" spans="1:12">
      <c r="A7846">
        <v>8</v>
      </c>
      <c r="B7846" s="16" t="s">
        <v>63</v>
      </c>
      <c r="C7846" s="9">
        <v>45809</v>
      </c>
      <c r="D7846">
        <v>48</v>
      </c>
      <c r="E7846" s="16" t="s">
        <v>137</v>
      </c>
      <c r="F7846" s="16" t="s">
        <v>138</v>
      </c>
      <c r="G7846" s="22">
        <v>9</v>
      </c>
      <c r="H7846" s="18">
        <v>119.49250000000001</v>
      </c>
      <c r="I7846" s="18">
        <v>13.276944444</v>
      </c>
      <c r="J7846" s="18">
        <v>13.5</v>
      </c>
      <c r="K7846" s="18">
        <v>12.94</v>
      </c>
      <c r="L7846" s="22">
        <v>8</v>
      </c>
    </row>
    <row r="7847" spans="1:12">
      <c r="A7847">
        <v>8</v>
      </c>
      <c r="B7847" s="16" t="s">
        <v>63</v>
      </c>
      <c r="C7847" s="9">
        <v>45839</v>
      </c>
      <c r="D7847">
        <v>48</v>
      </c>
      <c r="E7847" s="16" t="s">
        <v>137</v>
      </c>
      <c r="F7847" s="16" t="s">
        <v>138</v>
      </c>
      <c r="G7847" s="22">
        <v>9</v>
      </c>
      <c r="H7847" s="18">
        <v>118.71250000000001</v>
      </c>
      <c r="I7847" s="18">
        <v>13.190277778</v>
      </c>
      <c r="J7847" s="18">
        <v>13.81</v>
      </c>
      <c r="K7847" s="18">
        <v>12.76</v>
      </c>
      <c r="L7847" s="22">
        <v>10</v>
      </c>
    </row>
    <row r="7848" spans="1:12">
      <c r="A7848">
        <v>8</v>
      </c>
      <c r="B7848" s="16" t="s">
        <v>63</v>
      </c>
      <c r="C7848" s="9">
        <v>45870</v>
      </c>
      <c r="D7848">
        <v>48</v>
      </c>
      <c r="E7848" s="16" t="s">
        <v>137</v>
      </c>
      <c r="F7848" s="16" t="s">
        <v>138</v>
      </c>
      <c r="G7848" s="22">
        <v>9.25</v>
      </c>
      <c r="H7848" s="18">
        <v>120.83499999999999</v>
      </c>
      <c r="I7848" s="18">
        <v>13.063243243000001</v>
      </c>
      <c r="J7848" s="18">
        <v>13.6</v>
      </c>
      <c r="K7848" s="18">
        <v>12.74</v>
      </c>
      <c r="L7848" s="22">
        <v>7</v>
      </c>
    </row>
    <row r="7849" spans="1:12">
      <c r="A7849">
        <v>8</v>
      </c>
      <c r="B7849" s="16" t="s">
        <v>63</v>
      </c>
      <c r="C7849" s="9">
        <v>45901</v>
      </c>
      <c r="D7849">
        <v>48</v>
      </c>
      <c r="E7849" s="16" t="s">
        <v>137</v>
      </c>
      <c r="F7849" s="16" t="s">
        <v>138</v>
      </c>
      <c r="G7849" s="22">
        <v>8</v>
      </c>
      <c r="H7849" s="18">
        <v>104.2975</v>
      </c>
      <c r="I7849" s="18">
        <v>13.0371875</v>
      </c>
      <c r="J7849" s="18">
        <v>13.22</v>
      </c>
      <c r="K7849" s="18">
        <v>12.64</v>
      </c>
      <c r="L7849" s="22">
        <v>8</v>
      </c>
    </row>
    <row r="7850" spans="1:12">
      <c r="A7850">
        <v>8</v>
      </c>
      <c r="B7850" s="16" t="s">
        <v>63</v>
      </c>
      <c r="C7850" s="9">
        <v>45931</v>
      </c>
      <c r="D7850">
        <v>48</v>
      </c>
      <c r="E7850" s="16" t="s">
        <v>137</v>
      </c>
      <c r="F7850" s="16" t="s">
        <v>138</v>
      </c>
      <c r="G7850" s="22">
        <v>7</v>
      </c>
      <c r="H7850" s="18">
        <v>93.45</v>
      </c>
      <c r="I7850" s="18">
        <v>13.35</v>
      </c>
      <c r="J7850" s="18">
        <v>13.98</v>
      </c>
      <c r="K7850" s="18">
        <v>13.03</v>
      </c>
      <c r="L7850" s="22">
        <v>8</v>
      </c>
    </row>
    <row r="7851" spans="1:12">
      <c r="A7851">
        <v>8</v>
      </c>
      <c r="B7851" s="16" t="s">
        <v>63</v>
      </c>
      <c r="C7851" s="9">
        <v>45962</v>
      </c>
      <c r="D7851">
        <v>48</v>
      </c>
      <c r="E7851" s="16" t="s">
        <v>137</v>
      </c>
      <c r="F7851" s="16" t="s">
        <v>138</v>
      </c>
      <c r="G7851" s="22">
        <v>4</v>
      </c>
      <c r="H7851" s="18">
        <v>55.852499999999999</v>
      </c>
      <c r="I7851" s="18">
        <v>13.963125</v>
      </c>
      <c r="J7851" s="18">
        <v>14.96</v>
      </c>
      <c r="K7851" s="18">
        <v>13.04</v>
      </c>
      <c r="L7851" s="22">
        <v>6</v>
      </c>
    </row>
    <row r="7852" spans="1:12">
      <c r="A7852">
        <v>8</v>
      </c>
      <c r="B7852" s="16" t="s">
        <v>63</v>
      </c>
      <c r="C7852" s="9">
        <v>45992</v>
      </c>
      <c r="D7852">
        <v>48</v>
      </c>
      <c r="E7852" s="16" t="s">
        <v>137</v>
      </c>
      <c r="F7852" s="16" t="s">
        <v>138</v>
      </c>
      <c r="G7852" s="22">
        <v>4.5</v>
      </c>
      <c r="H7852" s="18">
        <v>66.27</v>
      </c>
      <c r="I7852" s="18">
        <v>14.726666667</v>
      </c>
      <c r="J7852" s="18">
        <v>15.29</v>
      </c>
      <c r="K7852" s="18">
        <v>14.31</v>
      </c>
      <c r="L7852" s="22">
        <v>9</v>
      </c>
    </row>
    <row r="7853" spans="1:12">
      <c r="A7853">
        <v>8</v>
      </c>
      <c r="B7853" s="16" t="s">
        <v>63</v>
      </c>
      <c r="C7853" s="9">
        <v>46023</v>
      </c>
      <c r="D7853">
        <v>48</v>
      </c>
      <c r="E7853" s="16" t="s">
        <v>137</v>
      </c>
      <c r="F7853" s="16" t="s">
        <v>138</v>
      </c>
      <c r="G7853" s="22">
        <v>4.25</v>
      </c>
      <c r="H7853" s="18">
        <v>56.727499999999999</v>
      </c>
      <c r="I7853" s="18">
        <v>13.347647059</v>
      </c>
      <c r="J7853" s="18">
        <v>13.51</v>
      </c>
      <c r="K7853" s="18">
        <v>13.19</v>
      </c>
      <c r="L7853" s="22">
        <v>7</v>
      </c>
    </row>
    <row r="7854" spans="1:12">
      <c r="A7854">
        <v>8</v>
      </c>
      <c r="B7854" s="16" t="s">
        <v>63</v>
      </c>
      <c r="C7854" s="9">
        <v>46054</v>
      </c>
      <c r="D7854">
        <v>48</v>
      </c>
      <c r="E7854" s="16" t="s">
        <v>137</v>
      </c>
      <c r="F7854" s="16" t="s">
        <v>138</v>
      </c>
      <c r="G7854" s="22">
        <v>3</v>
      </c>
      <c r="H7854" s="18">
        <v>40.71</v>
      </c>
      <c r="I7854" s="18">
        <v>13.57</v>
      </c>
      <c r="J7854" s="18">
        <v>13.65</v>
      </c>
      <c r="K7854" s="18">
        <v>13.49</v>
      </c>
      <c r="L7854" s="22">
        <v>6</v>
      </c>
    </row>
    <row r="7855" spans="1:12">
      <c r="A7855">
        <v>8</v>
      </c>
      <c r="B7855" s="16" t="s">
        <v>63</v>
      </c>
      <c r="C7855" s="9">
        <v>46082</v>
      </c>
      <c r="D7855">
        <v>48</v>
      </c>
      <c r="E7855" s="16" t="s">
        <v>137</v>
      </c>
      <c r="F7855" s="16" t="s">
        <v>138</v>
      </c>
      <c r="G7855" s="22">
        <v>4.75</v>
      </c>
      <c r="H7855" s="18">
        <v>64.92</v>
      </c>
      <c r="I7855" s="18">
        <v>13.667368421000001</v>
      </c>
      <c r="J7855" s="18">
        <v>13.9</v>
      </c>
      <c r="K7855" s="18">
        <v>13.37</v>
      </c>
      <c r="L7855" s="22">
        <v>7</v>
      </c>
    </row>
    <row r="7856" spans="1:12">
      <c r="A7856">
        <v>8</v>
      </c>
      <c r="B7856" s="16" t="s">
        <v>63</v>
      </c>
      <c r="C7856" s="9">
        <v>46113</v>
      </c>
      <c r="D7856">
        <v>48</v>
      </c>
      <c r="E7856" s="16" t="s">
        <v>137</v>
      </c>
      <c r="F7856" s="16" t="s">
        <v>138</v>
      </c>
      <c r="G7856" s="22">
        <v>5</v>
      </c>
      <c r="H7856" s="18">
        <v>67.5625</v>
      </c>
      <c r="I7856" s="18">
        <v>13.512499999999999</v>
      </c>
      <c r="J7856" s="18">
        <v>13.66</v>
      </c>
      <c r="K7856" s="18">
        <v>13.31</v>
      </c>
      <c r="L7856" s="22">
        <v>8</v>
      </c>
    </row>
    <row r="7857" spans="1:12">
      <c r="A7857">
        <v>8</v>
      </c>
      <c r="B7857" s="16" t="s">
        <v>63</v>
      </c>
      <c r="C7857" s="9">
        <v>46143</v>
      </c>
      <c r="D7857">
        <v>48</v>
      </c>
      <c r="E7857" s="16" t="s">
        <v>137</v>
      </c>
      <c r="F7857" s="16" t="s">
        <v>138</v>
      </c>
      <c r="G7857" s="22">
        <v>5.5</v>
      </c>
      <c r="H7857" s="18">
        <v>74.305000000000007</v>
      </c>
      <c r="I7857" s="18">
        <v>13.51</v>
      </c>
      <c r="J7857" s="18">
        <v>13.7</v>
      </c>
      <c r="K7857" s="18">
        <v>13.25</v>
      </c>
      <c r="L7857" s="22">
        <v>8</v>
      </c>
    </row>
    <row r="7858" spans="1:12">
      <c r="A7858">
        <v>8</v>
      </c>
      <c r="B7858" s="16" t="s">
        <v>63</v>
      </c>
      <c r="C7858" s="9">
        <v>46174</v>
      </c>
      <c r="D7858">
        <v>48</v>
      </c>
      <c r="E7858" s="16" t="s">
        <v>137</v>
      </c>
      <c r="F7858" s="16" t="s">
        <v>138</v>
      </c>
      <c r="G7858" s="22">
        <v>8.25</v>
      </c>
      <c r="H7858" s="18">
        <v>112.5275</v>
      </c>
      <c r="I7858" s="18">
        <v>13.639696969999999</v>
      </c>
      <c r="J7858" s="18">
        <v>13.92</v>
      </c>
      <c r="K7858" s="18">
        <v>13.5</v>
      </c>
      <c r="L7858" s="22">
        <v>8</v>
      </c>
    </row>
    <row r="7859" spans="1:12">
      <c r="A7859">
        <v>8</v>
      </c>
      <c r="B7859" s="16" t="s">
        <v>63</v>
      </c>
      <c r="C7859" s="9">
        <v>46204</v>
      </c>
      <c r="D7859">
        <v>48</v>
      </c>
      <c r="E7859" s="16" t="s">
        <v>137</v>
      </c>
      <c r="F7859" s="16" t="s">
        <v>138</v>
      </c>
      <c r="G7859" s="22">
        <v>7</v>
      </c>
      <c r="H7859" s="18">
        <v>95.927499999999995</v>
      </c>
      <c r="I7859" s="18">
        <v>13.703928571000001</v>
      </c>
      <c r="J7859" s="18">
        <v>14.05</v>
      </c>
      <c r="K7859" s="18">
        <v>13.51</v>
      </c>
      <c r="L7859" s="22">
        <v>8</v>
      </c>
    </row>
    <row r="7860" spans="1:12">
      <c r="A7860">
        <v>8</v>
      </c>
      <c r="B7860" s="16" t="s">
        <v>63</v>
      </c>
      <c r="C7860" s="9">
        <v>46235</v>
      </c>
      <c r="D7860">
        <v>48</v>
      </c>
      <c r="E7860" s="16" t="s">
        <v>137</v>
      </c>
      <c r="F7860" s="16" t="s">
        <v>138</v>
      </c>
      <c r="G7860" s="22">
        <v>7</v>
      </c>
      <c r="H7860" s="18">
        <v>96.0625</v>
      </c>
      <c r="I7860" s="18">
        <v>13.723214285999999</v>
      </c>
      <c r="J7860" s="18">
        <v>14.21</v>
      </c>
      <c r="K7860" s="18">
        <v>13.46</v>
      </c>
      <c r="L7860" s="22">
        <v>8</v>
      </c>
    </row>
    <row r="7861" spans="1:12">
      <c r="A7861">
        <v>8</v>
      </c>
      <c r="B7861" s="16" t="s">
        <v>63</v>
      </c>
      <c r="C7861" s="9">
        <v>46266</v>
      </c>
      <c r="D7861">
        <v>48</v>
      </c>
      <c r="E7861" s="16" t="s">
        <v>137</v>
      </c>
      <c r="F7861" s="16" t="s">
        <v>138</v>
      </c>
      <c r="G7861" s="22">
        <v>6.25</v>
      </c>
      <c r="H7861" s="18">
        <v>85.805000000000007</v>
      </c>
      <c r="I7861" s="18">
        <v>13.7288</v>
      </c>
      <c r="J7861" s="18">
        <v>14.08</v>
      </c>
      <c r="K7861" s="18">
        <v>13.5</v>
      </c>
      <c r="L7861" s="22">
        <v>7</v>
      </c>
    </row>
    <row r="7862" spans="1:12">
      <c r="A7862">
        <v>8</v>
      </c>
      <c r="B7862" s="16" t="s">
        <v>63</v>
      </c>
      <c r="C7862" s="9">
        <v>45689</v>
      </c>
      <c r="D7862">
        <v>49</v>
      </c>
      <c r="E7862" s="16" t="s">
        <v>139</v>
      </c>
      <c r="F7862" s="16" t="s">
        <v>138</v>
      </c>
      <c r="G7862" s="22">
        <v>6</v>
      </c>
      <c r="H7862" s="18">
        <v>46.022500000000001</v>
      </c>
      <c r="I7862" s="18">
        <v>7.6704166669999996</v>
      </c>
      <c r="J7862" s="18">
        <v>8</v>
      </c>
      <c r="K7862" s="18">
        <v>7.47</v>
      </c>
      <c r="L7862" s="22">
        <v>6</v>
      </c>
    </row>
    <row r="7863" spans="1:12">
      <c r="A7863">
        <v>8</v>
      </c>
      <c r="B7863" s="16" t="s">
        <v>63</v>
      </c>
      <c r="C7863" s="9">
        <v>45717</v>
      </c>
      <c r="D7863">
        <v>49</v>
      </c>
      <c r="E7863" s="16" t="s">
        <v>139</v>
      </c>
      <c r="F7863" s="16" t="s">
        <v>138</v>
      </c>
      <c r="G7863" s="22">
        <v>5.5</v>
      </c>
      <c r="H7863" s="18">
        <v>41.547499999999999</v>
      </c>
      <c r="I7863" s="18">
        <v>7.5540909090000001</v>
      </c>
      <c r="J7863" s="18">
        <v>7.62</v>
      </c>
      <c r="K7863" s="18">
        <v>7.49</v>
      </c>
      <c r="L7863" s="22">
        <v>5</v>
      </c>
    </row>
    <row r="7864" spans="1:12">
      <c r="A7864">
        <v>8</v>
      </c>
      <c r="B7864" s="16" t="s">
        <v>63</v>
      </c>
      <c r="C7864" s="9">
        <v>45748</v>
      </c>
      <c r="D7864">
        <v>49</v>
      </c>
      <c r="E7864" s="16" t="s">
        <v>139</v>
      </c>
      <c r="F7864" s="16" t="s">
        <v>138</v>
      </c>
      <c r="G7864" s="22">
        <v>7.75</v>
      </c>
      <c r="H7864" s="18">
        <v>58.274999999999999</v>
      </c>
      <c r="I7864" s="18">
        <v>7.519354839</v>
      </c>
      <c r="J7864" s="18">
        <v>7.7</v>
      </c>
      <c r="K7864" s="18">
        <v>7.35</v>
      </c>
      <c r="L7864" s="22">
        <v>9</v>
      </c>
    </row>
    <row r="7865" spans="1:12">
      <c r="A7865">
        <v>8</v>
      </c>
      <c r="B7865" s="16" t="s">
        <v>63</v>
      </c>
      <c r="C7865" s="9">
        <v>45778</v>
      </c>
      <c r="D7865">
        <v>49</v>
      </c>
      <c r="E7865" s="16" t="s">
        <v>139</v>
      </c>
      <c r="F7865" s="16" t="s">
        <v>138</v>
      </c>
      <c r="G7865" s="22">
        <v>13.25</v>
      </c>
      <c r="H7865" s="18">
        <v>99.942499999999995</v>
      </c>
      <c r="I7865" s="18">
        <v>7.542830189</v>
      </c>
      <c r="J7865" s="18">
        <v>7.67</v>
      </c>
      <c r="K7865" s="18">
        <v>7.41</v>
      </c>
      <c r="L7865" s="22">
        <v>9</v>
      </c>
    </row>
    <row r="7866" spans="1:12">
      <c r="A7866">
        <v>8</v>
      </c>
      <c r="B7866" s="16" t="s">
        <v>63</v>
      </c>
      <c r="C7866" s="9">
        <v>45809</v>
      </c>
      <c r="D7866">
        <v>49</v>
      </c>
      <c r="E7866" s="16" t="s">
        <v>139</v>
      </c>
      <c r="F7866" s="16" t="s">
        <v>138</v>
      </c>
      <c r="G7866" s="22">
        <v>12.5</v>
      </c>
      <c r="H7866" s="18">
        <v>94.435000000000002</v>
      </c>
      <c r="I7866" s="18">
        <v>7.5548000000000002</v>
      </c>
      <c r="J7866" s="18">
        <v>7.72</v>
      </c>
      <c r="K7866" s="18">
        <v>7.46</v>
      </c>
      <c r="L7866" s="22">
        <v>8</v>
      </c>
    </row>
    <row r="7867" spans="1:12">
      <c r="A7867">
        <v>8</v>
      </c>
      <c r="B7867" s="16" t="s">
        <v>63</v>
      </c>
      <c r="C7867" s="9">
        <v>45839</v>
      </c>
      <c r="D7867">
        <v>49</v>
      </c>
      <c r="E7867" s="16" t="s">
        <v>139</v>
      </c>
      <c r="F7867" s="16" t="s">
        <v>138</v>
      </c>
      <c r="G7867" s="22">
        <v>12.75</v>
      </c>
      <c r="H7867" s="18">
        <v>96.4</v>
      </c>
      <c r="I7867" s="18">
        <v>7.5607843140000002</v>
      </c>
      <c r="J7867" s="18">
        <v>7.8</v>
      </c>
      <c r="K7867" s="18">
        <v>7.38</v>
      </c>
      <c r="L7867" s="22">
        <v>10</v>
      </c>
    </row>
    <row r="7868" spans="1:12">
      <c r="A7868">
        <v>8</v>
      </c>
      <c r="B7868" s="16" t="s">
        <v>63</v>
      </c>
      <c r="C7868" s="9">
        <v>45870</v>
      </c>
      <c r="D7868">
        <v>49</v>
      </c>
      <c r="E7868" s="16" t="s">
        <v>139</v>
      </c>
      <c r="F7868" s="16" t="s">
        <v>138</v>
      </c>
      <c r="G7868" s="22">
        <v>13</v>
      </c>
      <c r="H7868" s="18">
        <v>99.174999999999997</v>
      </c>
      <c r="I7868" s="18">
        <v>7.6288461539999997</v>
      </c>
      <c r="J7868" s="18">
        <v>7.83</v>
      </c>
      <c r="K7868" s="18">
        <v>7.51</v>
      </c>
      <c r="L7868" s="22">
        <v>7</v>
      </c>
    </row>
    <row r="7869" spans="1:12">
      <c r="A7869">
        <v>8</v>
      </c>
      <c r="B7869" s="16" t="s">
        <v>63</v>
      </c>
      <c r="C7869" s="9">
        <v>45901</v>
      </c>
      <c r="D7869">
        <v>49</v>
      </c>
      <c r="E7869" s="16" t="s">
        <v>139</v>
      </c>
      <c r="F7869" s="16" t="s">
        <v>138</v>
      </c>
      <c r="G7869" s="22">
        <v>11.5</v>
      </c>
      <c r="H7869" s="18">
        <v>87.825000000000003</v>
      </c>
      <c r="I7869" s="18">
        <v>7.6369565220000002</v>
      </c>
      <c r="J7869" s="18">
        <v>7.75</v>
      </c>
      <c r="K7869" s="18">
        <v>7.41</v>
      </c>
      <c r="L7869" s="22">
        <v>8</v>
      </c>
    </row>
    <row r="7870" spans="1:12">
      <c r="A7870">
        <v>8</v>
      </c>
      <c r="B7870" s="16" t="s">
        <v>63</v>
      </c>
      <c r="C7870" s="9">
        <v>45931</v>
      </c>
      <c r="D7870">
        <v>49</v>
      </c>
      <c r="E7870" s="16" t="s">
        <v>139</v>
      </c>
      <c r="F7870" s="16" t="s">
        <v>138</v>
      </c>
      <c r="G7870" s="22">
        <v>9.5</v>
      </c>
      <c r="H7870" s="18">
        <v>73.265000000000001</v>
      </c>
      <c r="I7870" s="18">
        <v>7.7121052629999998</v>
      </c>
      <c r="J7870" s="18">
        <v>7.86</v>
      </c>
      <c r="K7870" s="18">
        <v>7.61</v>
      </c>
      <c r="L7870" s="22">
        <v>8</v>
      </c>
    </row>
    <row r="7871" spans="1:12">
      <c r="A7871">
        <v>8</v>
      </c>
      <c r="B7871" s="16" t="s">
        <v>63</v>
      </c>
      <c r="C7871" s="9">
        <v>45962</v>
      </c>
      <c r="D7871">
        <v>49</v>
      </c>
      <c r="E7871" s="16" t="s">
        <v>139</v>
      </c>
      <c r="F7871" s="16" t="s">
        <v>138</v>
      </c>
      <c r="G7871" s="22">
        <v>5.5</v>
      </c>
      <c r="H7871" s="18">
        <v>44.377499999999998</v>
      </c>
      <c r="I7871" s="18">
        <v>8.0686363639999996</v>
      </c>
      <c r="J7871" s="18">
        <v>8.7200000000000006</v>
      </c>
      <c r="K7871" s="18">
        <v>7.56</v>
      </c>
      <c r="L7871" s="22">
        <v>6</v>
      </c>
    </row>
    <row r="7872" spans="1:12">
      <c r="A7872">
        <v>8</v>
      </c>
      <c r="B7872" s="16" t="s">
        <v>63</v>
      </c>
      <c r="C7872" s="9">
        <v>45992</v>
      </c>
      <c r="D7872">
        <v>49</v>
      </c>
      <c r="E7872" s="16" t="s">
        <v>139</v>
      </c>
      <c r="F7872" s="16" t="s">
        <v>138</v>
      </c>
      <c r="G7872" s="22">
        <v>5.75</v>
      </c>
      <c r="H7872" s="18">
        <v>49.835000000000001</v>
      </c>
      <c r="I7872" s="18">
        <v>8.6669565219999996</v>
      </c>
      <c r="J7872" s="18">
        <v>8.81</v>
      </c>
      <c r="K7872" s="18">
        <v>8.56</v>
      </c>
      <c r="L7872" s="22">
        <v>9</v>
      </c>
    </row>
    <row r="7873" spans="1:12">
      <c r="A7873">
        <v>8</v>
      </c>
      <c r="B7873" s="16" t="s">
        <v>63</v>
      </c>
      <c r="C7873" s="9">
        <v>46023</v>
      </c>
      <c r="D7873">
        <v>49</v>
      </c>
      <c r="E7873" s="16" t="s">
        <v>139</v>
      </c>
      <c r="F7873" s="16" t="s">
        <v>138</v>
      </c>
      <c r="G7873" s="22">
        <v>5.5</v>
      </c>
      <c r="H7873" s="18">
        <v>42.4</v>
      </c>
      <c r="I7873" s="18">
        <v>7.7090909090000004</v>
      </c>
      <c r="J7873" s="18">
        <v>7.9</v>
      </c>
      <c r="K7873" s="18">
        <v>7.58</v>
      </c>
      <c r="L7873" s="22">
        <v>7</v>
      </c>
    </row>
    <row r="7874" spans="1:12">
      <c r="A7874">
        <v>8</v>
      </c>
      <c r="B7874" s="16" t="s">
        <v>63</v>
      </c>
      <c r="C7874" s="9">
        <v>46054</v>
      </c>
      <c r="D7874">
        <v>49</v>
      </c>
      <c r="E7874" s="16" t="s">
        <v>139</v>
      </c>
      <c r="F7874" s="16" t="s">
        <v>138</v>
      </c>
      <c r="G7874" s="22">
        <v>3.75</v>
      </c>
      <c r="H7874" s="18">
        <v>28.752500000000001</v>
      </c>
      <c r="I7874" s="18">
        <v>7.6673333330000002</v>
      </c>
      <c r="J7874" s="18">
        <v>7.8</v>
      </c>
      <c r="K7874" s="18">
        <v>7.53</v>
      </c>
      <c r="L7874" s="22">
        <v>6</v>
      </c>
    </row>
    <row r="7875" spans="1:12">
      <c r="A7875">
        <v>8</v>
      </c>
      <c r="B7875" s="16" t="s">
        <v>63</v>
      </c>
      <c r="C7875" s="9">
        <v>46082</v>
      </c>
      <c r="D7875">
        <v>49</v>
      </c>
      <c r="E7875" s="16" t="s">
        <v>139</v>
      </c>
      <c r="F7875" s="16" t="s">
        <v>138</v>
      </c>
      <c r="G7875" s="22">
        <v>6</v>
      </c>
      <c r="H7875" s="18">
        <v>46.295000000000002</v>
      </c>
      <c r="I7875" s="18">
        <v>7.715833333</v>
      </c>
      <c r="J7875" s="18">
        <v>8.1199999999999992</v>
      </c>
      <c r="K7875" s="18">
        <v>7.58</v>
      </c>
      <c r="L7875" s="22">
        <v>7</v>
      </c>
    </row>
    <row r="7876" spans="1:12">
      <c r="A7876">
        <v>8</v>
      </c>
      <c r="B7876" s="16" t="s">
        <v>63</v>
      </c>
      <c r="C7876" s="9">
        <v>46113</v>
      </c>
      <c r="D7876">
        <v>49</v>
      </c>
      <c r="E7876" s="16" t="s">
        <v>139</v>
      </c>
      <c r="F7876" s="16" t="s">
        <v>138</v>
      </c>
      <c r="G7876" s="22">
        <v>6.5</v>
      </c>
      <c r="H7876" s="18">
        <v>49.732500000000002</v>
      </c>
      <c r="I7876" s="18">
        <v>7.6511538459999997</v>
      </c>
      <c r="J7876" s="18">
        <v>7.83</v>
      </c>
      <c r="K7876" s="18">
        <v>7.53</v>
      </c>
      <c r="L7876" s="22">
        <v>8</v>
      </c>
    </row>
    <row r="7877" spans="1:12">
      <c r="A7877">
        <v>8</v>
      </c>
      <c r="B7877" s="16" t="s">
        <v>63</v>
      </c>
      <c r="C7877" s="9">
        <v>46143</v>
      </c>
      <c r="D7877">
        <v>49</v>
      </c>
      <c r="E7877" s="16" t="s">
        <v>139</v>
      </c>
      <c r="F7877" s="16" t="s">
        <v>138</v>
      </c>
      <c r="G7877" s="22">
        <v>7.75</v>
      </c>
      <c r="H7877" s="18">
        <v>59.23</v>
      </c>
      <c r="I7877" s="18">
        <v>7.6425806449999998</v>
      </c>
      <c r="J7877" s="18">
        <v>7.85</v>
      </c>
      <c r="K7877" s="18">
        <v>7.52</v>
      </c>
      <c r="L7877" s="22">
        <v>8</v>
      </c>
    </row>
    <row r="7878" spans="1:12">
      <c r="A7878">
        <v>8</v>
      </c>
      <c r="B7878" s="16" t="s">
        <v>63</v>
      </c>
      <c r="C7878" s="9">
        <v>46174</v>
      </c>
      <c r="D7878">
        <v>49</v>
      </c>
      <c r="E7878" s="16" t="s">
        <v>139</v>
      </c>
      <c r="F7878" s="16" t="s">
        <v>138</v>
      </c>
      <c r="G7878" s="22">
        <v>11.5</v>
      </c>
      <c r="H7878" s="18">
        <v>88.954999999999998</v>
      </c>
      <c r="I7878" s="18">
        <v>7.7352173909999999</v>
      </c>
      <c r="J7878" s="18">
        <v>7.82</v>
      </c>
      <c r="K7878" s="18">
        <v>7.57</v>
      </c>
      <c r="L7878" s="22">
        <v>8</v>
      </c>
    </row>
    <row r="7879" spans="1:12">
      <c r="A7879">
        <v>8</v>
      </c>
      <c r="B7879" s="16" t="s">
        <v>63</v>
      </c>
      <c r="C7879" s="9">
        <v>46204</v>
      </c>
      <c r="D7879">
        <v>49</v>
      </c>
      <c r="E7879" s="16" t="s">
        <v>139</v>
      </c>
      <c r="F7879" s="16" t="s">
        <v>138</v>
      </c>
      <c r="G7879" s="22">
        <v>9.5</v>
      </c>
      <c r="H7879" s="18">
        <v>73.047499999999999</v>
      </c>
      <c r="I7879" s="18">
        <v>7.6892105260000001</v>
      </c>
      <c r="J7879" s="18">
        <v>7.81</v>
      </c>
      <c r="K7879" s="18">
        <v>7.53</v>
      </c>
      <c r="L7879" s="22">
        <v>8</v>
      </c>
    </row>
    <row r="7880" spans="1:12">
      <c r="A7880">
        <v>8</v>
      </c>
      <c r="B7880" s="16" t="s">
        <v>63</v>
      </c>
      <c r="C7880" s="9">
        <v>46235</v>
      </c>
      <c r="D7880">
        <v>49</v>
      </c>
      <c r="E7880" s="16" t="s">
        <v>139</v>
      </c>
      <c r="F7880" s="16" t="s">
        <v>138</v>
      </c>
      <c r="G7880" s="22">
        <v>9.75</v>
      </c>
      <c r="H7880" s="18">
        <v>74.41</v>
      </c>
      <c r="I7880" s="18">
        <v>7.6317948720000004</v>
      </c>
      <c r="J7880" s="18">
        <v>7.74</v>
      </c>
      <c r="K7880" s="18">
        <v>7.51</v>
      </c>
      <c r="L7880" s="22">
        <v>8</v>
      </c>
    </row>
    <row r="7881" spans="1:12">
      <c r="A7881">
        <v>8</v>
      </c>
      <c r="B7881" s="16" t="s">
        <v>63</v>
      </c>
      <c r="C7881" s="9">
        <v>46266</v>
      </c>
      <c r="D7881">
        <v>49</v>
      </c>
      <c r="E7881" s="16" t="s">
        <v>139</v>
      </c>
      <c r="F7881" s="16" t="s">
        <v>138</v>
      </c>
      <c r="G7881" s="22">
        <v>8.5</v>
      </c>
      <c r="H7881" s="18">
        <v>64.532499999999999</v>
      </c>
      <c r="I7881" s="18">
        <v>7.5920588240000004</v>
      </c>
      <c r="J7881" s="18">
        <v>7.78</v>
      </c>
      <c r="K7881" s="18">
        <v>7.51</v>
      </c>
      <c r="L7881" s="22">
        <v>7</v>
      </c>
    </row>
    <row r="7882" spans="1:12">
      <c r="A7882">
        <v>8</v>
      </c>
      <c r="B7882" s="16" t="s">
        <v>63</v>
      </c>
      <c r="C7882" s="9">
        <v>45689</v>
      </c>
      <c r="D7882">
        <v>50</v>
      </c>
      <c r="E7882" s="16" t="s">
        <v>140</v>
      </c>
      <c r="F7882" s="16" t="s">
        <v>138</v>
      </c>
      <c r="G7882" s="22">
        <v>6</v>
      </c>
      <c r="H7882" s="18">
        <v>24.545000000000002</v>
      </c>
      <c r="I7882" s="18">
        <v>4.090833333</v>
      </c>
      <c r="J7882" s="18">
        <v>4.18</v>
      </c>
      <c r="K7882" s="18">
        <v>4.01</v>
      </c>
      <c r="L7882" s="22">
        <v>6</v>
      </c>
    </row>
    <row r="7883" spans="1:12">
      <c r="A7883">
        <v>8</v>
      </c>
      <c r="B7883" s="16" t="s">
        <v>63</v>
      </c>
      <c r="C7883" s="9">
        <v>45717</v>
      </c>
      <c r="D7883">
        <v>50</v>
      </c>
      <c r="E7883" s="16" t="s">
        <v>140</v>
      </c>
      <c r="F7883" s="16" t="s">
        <v>138</v>
      </c>
      <c r="G7883" s="22">
        <v>5.75</v>
      </c>
      <c r="H7883" s="18">
        <v>23.797499999999999</v>
      </c>
      <c r="I7883" s="18">
        <v>4.138695652</v>
      </c>
      <c r="J7883" s="18">
        <v>4.17</v>
      </c>
      <c r="K7883" s="18">
        <v>4.0999999999999996</v>
      </c>
      <c r="L7883" s="22">
        <v>5</v>
      </c>
    </row>
    <row r="7884" spans="1:12">
      <c r="A7884">
        <v>8</v>
      </c>
      <c r="B7884" s="16" t="s">
        <v>63</v>
      </c>
      <c r="C7884" s="9">
        <v>45748</v>
      </c>
      <c r="D7884">
        <v>50</v>
      </c>
      <c r="E7884" s="16" t="s">
        <v>140</v>
      </c>
      <c r="F7884" s="16" t="s">
        <v>138</v>
      </c>
      <c r="G7884" s="22">
        <v>7.75</v>
      </c>
      <c r="H7884" s="18">
        <v>31.664999999999999</v>
      </c>
      <c r="I7884" s="18">
        <v>4.0858064519999999</v>
      </c>
      <c r="J7884" s="18">
        <v>4.2</v>
      </c>
      <c r="K7884" s="18">
        <v>3.96</v>
      </c>
      <c r="L7884" s="22">
        <v>9</v>
      </c>
    </row>
    <row r="7885" spans="1:12">
      <c r="A7885">
        <v>8</v>
      </c>
      <c r="B7885" s="16" t="s">
        <v>63</v>
      </c>
      <c r="C7885" s="9">
        <v>45778</v>
      </c>
      <c r="D7885">
        <v>50</v>
      </c>
      <c r="E7885" s="16" t="s">
        <v>140</v>
      </c>
      <c r="F7885" s="16" t="s">
        <v>138</v>
      </c>
      <c r="G7885" s="22">
        <v>13.5</v>
      </c>
      <c r="H7885" s="18">
        <v>54.467500000000001</v>
      </c>
      <c r="I7885" s="18">
        <v>4.0346296300000004</v>
      </c>
      <c r="J7885" s="18">
        <v>4.13</v>
      </c>
      <c r="K7885" s="18">
        <v>3.88</v>
      </c>
      <c r="L7885" s="22">
        <v>9</v>
      </c>
    </row>
    <row r="7886" spans="1:12">
      <c r="A7886">
        <v>8</v>
      </c>
      <c r="B7886" s="16" t="s">
        <v>63</v>
      </c>
      <c r="C7886" s="9">
        <v>45809</v>
      </c>
      <c r="D7886">
        <v>50</v>
      </c>
      <c r="E7886" s="16" t="s">
        <v>140</v>
      </c>
      <c r="F7886" s="16" t="s">
        <v>138</v>
      </c>
      <c r="G7886" s="22">
        <v>12.25</v>
      </c>
      <c r="H7886" s="18">
        <v>50.192500000000003</v>
      </c>
      <c r="I7886" s="18">
        <v>4.0973469390000004</v>
      </c>
      <c r="J7886" s="18">
        <v>4.21</v>
      </c>
      <c r="K7886" s="18">
        <v>3.98</v>
      </c>
      <c r="L7886" s="22">
        <v>8</v>
      </c>
    </row>
    <row r="7887" spans="1:12">
      <c r="A7887">
        <v>8</v>
      </c>
      <c r="B7887" s="16" t="s">
        <v>63</v>
      </c>
      <c r="C7887" s="9">
        <v>45839</v>
      </c>
      <c r="D7887">
        <v>50</v>
      </c>
      <c r="E7887" s="16" t="s">
        <v>140</v>
      </c>
      <c r="F7887" s="16" t="s">
        <v>138</v>
      </c>
      <c r="G7887" s="22">
        <v>13</v>
      </c>
      <c r="H7887" s="18">
        <v>52.23</v>
      </c>
      <c r="I7887" s="18">
        <v>4.017692308</v>
      </c>
      <c r="J7887" s="18">
        <v>4.1100000000000003</v>
      </c>
      <c r="K7887" s="18">
        <v>3.93</v>
      </c>
      <c r="L7887" s="22">
        <v>10</v>
      </c>
    </row>
    <row r="7888" spans="1:12">
      <c r="A7888">
        <v>8</v>
      </c>
      <c r="B7888" s="16" t="s">
        <v>63</v>
      </c>
      <c r="C7888" s="9">
        <v>45870</v>
      </c>
      <c r="D7888">
        <v>50</v>
      </c>
      <c r="E7888" s="16" t="s">
        <v>140</v>
      </c>
      <c r="F7888" s="16" t="s">
        <v>138</v>
      </c>
      <c r="G7888" s="22">
        <v>12.75</v>
      </c>
      <c r="H7888" s="18">
        <v>51.202500000000001</v>
      </c>
      <c r="I7888" s="18">
        <v>4.0158823530000003</v>
      </c>
      <c r="J7888" s="18">
        <v>4.0599999999999996</v>
      </c>
      <c r="K7888" s="18">
        <v>4</v>
      </c>
      <c r="L7888" s="22">
        <v>7</v>
      </c>
    </row>
    <row r="7889" spans="1:12">
      <c r="A7889">
        <v>8</v>
      </c>
      <c r="B7889" s="16" t="s">
        <v>63</v>
      </c>
      <c r="C7889" s="9">
        <v>45901</v>
      </c>
      <c r="D7889">
        <v>50</v>
      </c>
      <c r="E7889" s="16" t="s">
        <v>140</v>
      </c>
      <c r="F7889" s="16" t="s">
        <v>138</v>
      </c>
      <c r="G7889" s="22">
        <v>11</v>
      </c>
      <c r="H7889" s="18">
        <v>44.075000000000003</v>
      </c>
      <c r="I7889" s="18">
        <v>4.006818182</v>
      </c>
      <c r="J7889" s="18">
        <v>4.05</v>
      </c>
      <c r="K7889" s="18">
        <v>3.93</v>
      </c>
      <c r="L7889" s="22">
        <v>8</v>
      </c>
    </row>
    <row r="7890" spans="1:12">
      <c r="A7890">
        <v>8</v>
      </c>
      <c r="B7890" s="16" t="s">
        <v>63</v>
      </c>
      <c r="C7890" s="9">
        <v>45931</v>
      </c>
      <c r="D7890">
        <v>50</v>
      </c>
      <c r="E7890" s="16" t="s">
        <v>140</v>
      </c>
      <c r="F7890" s="16" t="s">
        <v>138</v>
      </c>
      <c r="G7890" s="22">
        <v>9.5</v>
      </c>
      <c r="H7890" s="18">
        <v>38.46</v>
      </c>
      <c r="I7890" s="18">
        <v>4.0484210530000002</v>
      </c>
      <c r="J7890" s="18">
        <v>4.0999999999999996</v>
      </c>
      <c r="K7890" s="18">
        <v>3.99</v>
      </c>
      <c r="L7890" s="22">
        <v>8</v>
      </c>
    </row>
    <row r="7891" spans="1:12">
      <c r="A7891">
        <v>8</v>
      </c>
      <c r="B7891" s="16" t="s">
        <v>63</v>
      </c>
      <c r="C7891" s="9">
        <v>45962</v>
      </c>
      <c r="D7891">
        <v>50</v>
      </c>
      <c r="E7891" s="16" t="s">
        <v>140</v>
      </c>
      <c r="F7891" s="16" t="s">
        <v>138</v>
      </c>
      <c r="G7891" s="22">
        <v>5.75</v>
      </c>
      <c r="H7891" s="18">
        <v>24.36</v>
      </c>
      <c r="I7891" s="18">
        <v>4.2365217389999996</v>
      </c>
      <c r="J7891" s="18">
        <v>4.54</v>
      </c>
      <c r="K7891" s="18">
        <v>4.0199999999999996</v>
      </c>
      <c r="L7891" s="22">
        <v>6</v>
      </c>
    </row>
    <row r="7892" spans="1:12">
      <c r="A7892">
        <v>8</v>
      </c>
      <c r="B7892" s="16" t="s">
        <v>63</v>
      </c>
      <c r="C7892" s="9">
        <v>45992</v>
      </c>
      <c r="D7892">
        <v>50</v>
      </c>
      <c r="E7892" s="16" t="s">
        <v>140</v>
      </c>
      <c r="F7892" s="16" t="s">
        <v>138</v>
      </c>
      <c r="G7892" s="22">
        <v>5.75</v>
      </c>
      <c r="H7892" s="18">
        <v>25.9575</v>
      </c>
      <c r="I7892" s="18">
        <v>4.5143478259999998</v>
      </c>
      <c r="J7892" s="18">
        <v>4.63</v>
      </c>
      <c r="K7892" s="18">
        <v>4.43</v>
      </c>
      <c r="L7892" s="22">
        <v>9</v>
      </c>
    </row>
    <row r="7893" spans="1:12">
      <c r="A7893">
        <v>8</v>
      </c>
      <c r="B7893" s="16" t="s">
        <v>63</v>
      </c>
      <c r="C7893" s="9">
        <v>46023</v>
      </c>
      <c r="D7893">
        <v>50</v>
      </c>
      <c r="E7893" s="16" t="s">
        <v>140</v>
      </c>
      <c r="F7893" s="16" t="s">
        <v>138</v>
      </c>
      <c r="G7893" s="22">
        <v>5.5</v>
      </c>
      <c r="H7893" s="18">
        <v>22.19</v>
      </c>
      <c r="I7893" s="18">
        <v>4.0345454549999999</v>
      </c>
      <c r="J7893" s="18">
        <v>4.1100000000000003</v>
      </c>
      <c r="K7893" s="18">
        <v>3.92</v>
      </c>
      <c r="L7893" s="22">
        <v>7</v>
      </c>
    </row>
    <row r="7894" spans="1:12">
      <c r="A7894">
        <v>8</v>
      </c>
      <c r="B7894" s="16" t="s">
        <v>63</v>
      </c>
      <c r="C7894" s="9">
        <v>46054</v>
      </c>
      <c r="D7894">
        <v>50</v>
      </c>
      <c r="E7894" s="16" t="s">
        <v>140</v>
      </c>
      <c r="F7894" s="16" t="s">
        <v>138</v>
      </c>
      <c r="G7894" s="22">
        <v>3.75</v>
      </c>
      <c r="H7894" s="18">
        <v>15.0425</v>
      </c>
      <c r="I7894" s="18">
        <v>4.0113333329999996</v>
      </c>
      <c r="J7894" s="18">
        <v>4.0599999999999996</v>
      </c>
      <c r="K7894" s="18">
        <v>3.97</v>
      </c>
      <c r="L7894" s="22">
        <v>6</v>
      </c>
    </row>
    <row r="7895" spans="1:12">
      <c r="A7895">
        <v>8</v>
      </c>
      <c r="B7895" s="16" t="s">
        <v>63</v>
      </c>
      <c r="C7895" s="9">
        <v>46082</v>
      </c>
      <c r="D7895">
        <v>50</v>
      </c>
      <c r="E7895" s="16" t="s">
        <v>140</v>
      </c>
      <c r="F7895" s="16" t="s">
        <v>138</v>
      </c>
      <c r="G7895" s="22">
        <v>6</v>
      </c>
      <c r="H7895" s="18">
        <v>24.475000000000001</v>
      </c>
      <c r="I7895" s="18">
        <v>4.079166667</v>
      </c>
      <c r="J7895" s="18">
        <v>4.1500000000000004</v>
      </c>
      <c r="K7895" s="18">
        <v>3.93</v>
      </c>
      <c r="L7895" s="22">
        <v>7</v>
      </c>
    </row>
    <row r="7896" spans="1:12">
      <c r="A7896">
        <v>8</v>
      </c>
      <c r="B7896" s="16" t="s">
        <v>63</v>
      </c>
      <c r="C7896" s="9">
        <v>46113</v>
      </c>
      <c r="D7896">
        <v>50</v>
      </c>
      <c r="E7896" s="16" t="s">
        <v>140</v>
      </c>
      <c r="F7896" s="16" t="s">
        <v>138</v>
      </c>
      <c r="G7896" s="22">
        <v>6</v>
      </c>
      <c r="H7896" s="18">
        <v>24.375</v>
      </c>
      <c r="I7896" s="18">
        <v>4.0625</v>
      </c>
      <c r="J7896" s="18">
        <v>4.13</v>
      </c>
      <c r="K7896" s="18">
        <v>3.98</v>
      </c>
      <c r="L7896" s="22">
        <v>8</v>
      </c>
    </row>
    <row r="7897" spans="1:12">
      <c r="A7897">
        <v>8</v>
      </c>
      <c r="B7897" s="16" t="s">
        <v>63</v>
      </c>
      <c r="C7897" s="9">
        <v>46143</v>
      </c>
      <c r="D7897">
        <v>50</v>
      </c>
      <c r="E7897" s="16" t="s">
        <v>140</v>
      </c>
      <c r="F7897" s="16" t="s">
        <v>138</v>
      </c>
      <c r="G7897" s="22">
        <v>8</v>
      </c>
      <c r="H7897" s="18">
        <v>32.375</v>
      </c>
      <c r="I7897" s="18">
        <v>4.046875</v>
      </c>
      <c r="J7897" s="18">
        <v>4.13</v>
      </c>
      <c r="K7897" s="18">
        <v>3.96</v>
      </c>
      <c r="L7897" s="22">
        <v>8</v>
      </c>
    </row>
    <row r="7898" spans="1:12">
      <c r="A7898">
        <v>8</v>
      </c>
      <c r="B7898" s="16" t="s">
        <v>63</v>
      </c>
      <c r="C7898" s="9">
        <v>46174</v>
      </c>
      <c r="D7898">
        <v>50</v>
      </c>
      <c r="E7898" s="16" t="s">
        <v>140</v>
      </c>
      <c r="F7898" s="16" t="s">
        <v>138</v>
      </c>
      <c r="G7898" s="22">
        <v>11.25</v>
      </c>
      <c r="H7898" s="18">
        <v>45.395000000000003</v>
      </c>
      <c r="I7898" s="18">
        <v>4.035111111</v>
      </c>
      <c r="J7898" s="18">
        <v>4.12</v>
      </c>
      <c r="K7898" s="18">
        <v>3.98</v>
      </c>
      <c r="L7898" s="22">
        <v>8</v>
      </c>
    </row>
    <row r="7899" spans="1:12">
      <c r="A7899">
        <v>8</v>
      </c>
      <c r="B7899" s="16" t="s">
        <v>63</v>
      </c>
      <c r="C7899" s="9">
        <v>46204</v>
      </c>
      <c r="D7899">
        <v>50</v>
      </c>
      <c r="E7899" s="16" t="s">
        <v>140</v>
      </c>
      <c r="F7899" s="16" t="s">
        <v>138</v>
      </c>
      <c r="G7899" s="22">
        <v>9.5</v>
      </c>
      <c r="H7899" s="18">
        <v>38.590000000000003</v>
      </c>
      <c r="I7899" s="18">
        <v>4.0621052630000003</v>
      </c>
      <c r="J7899" s="18">
        <v>4.0999999999999996</v>
      </c>
      <c r="K7899" s="18">
        <v>4.0199999999999996</v>
      </c>
      <c r="L7899" s="22">
        <v>8</v>
      </c>
    </row>
    <row r="7900" spans="1:12">
      <c r="A7900">
        <v>8</v>
      </c>
      <c r="B7900" s="16" t="s">
        <v>63</v>
      </c>
      <c r="C7900" s="9">
        <v>46235</v>
      </c>
      <c r="D7900">
        <v>50</v>
      </c>
      <c r="E7900" s="16" t="s">
        <v>140</v>
      </c>
      <c r="F7900" s="16" t="s">
        <v>138</v>
      </c>
      <c r="G7900" s="22">
        <v>10</v>
      </c>
      <c r="H7900" s="18">
        <v>40.282499999999999</v>
      </c>
      <c r="I7900" s="18">
        <v>4.0282499999999999</v>
      </c>
      <c r="J7900" s="18">
        <v>4.0999999999999996</v>
      </c>
      <c r="K7900" s="18">
        <v>3.95</v>
      </c>
      <c r="L7900" s="22">
        <v>8</v>
      </c>
    </row>
    <row r="7901" spans="1:12">
      <c r="A7901">
        <v>8</v>
      </c>
      <c r="B7901" s="16" t="s">
        <v>63</v>
      </c>
      <c r="C7901" s="9">
        <v>46266</v>
      </c>
      <c r="D7901">
        <v>50</v>
      </c>
      <c r="E7901" s="16" t="s">
        <v>140</v>
      </c>
      <c r="F7901" s="16" t="s">
        <v>138</v>
      </c>
      <c r="G7901" s="22">
        <v>8.75</v>
      </c>
      <c r="H7901" s="18">
        <v>35.659999999999997</v>
      </c>
      <c r="I7901" s="18">
        <v>4.0754285709999998</v>
      </c>
      <c r="J7901" s="18">
        <v>4.13</v>
      </c>
      <c r="K7901" s="18">
        <v>3.98</v>
      </c>
      <c r="L7901" s="22">
        <v>7</v>
      </c>
    </row>
    <row r="7902" spans="1:12">
      <c r="A7902">
        <v>8</v>
      </c>
      <c r="B7902" s="16" t="s">
        <v>63</v>
      </c>
      <c r="C7902" s="9">
        <v>45689</v>
      </c>
      <c r="D7902">
        <v>51</v>
      </c>
      <c r="E7902" s="16" t="s">
        <v>141</v>
      </c>
      <c r="F7902" s="16" t="s">
        <v>81</v>
      </c>
      <c r="G7902" s="22">
        <v>2</v>
      </c>
      <c r="H7902" s="18">
        <v>6.5</v>
      </c>
      <c r="I7902" s="18">
        <v>3.25</v>
      </c>
      <c r="J7902" s="18">
        <v>3.25</v>
      </c>
      <c r="K7902" s="18">
        <v>3.25</v>
      </c>
      <c r="L7902" s="22">
        <v>1</v>
      </c>
    </row>
    <row r="7903" spans="1:12">
      <c r="A7903">
        <v>8</v>
      </c>
      <c r="B7903" s="16" t="s">
        <v>63</v>
      </c>
      <c r="C7903" s="9">
        <v>45717</v>
      </c>
      <c r="D7903">
        <v>51</v>
      </c>
      <c r="E7903" s="16" t="s">
        <v>141</v>
      </c>
      <c r="F7903" s="16" t="s">
        <v>81</v>
      </c>
      <c r="G7903" s="22">
        <v>2</v>
      </c>
      <c r="H7903" s="18">
        <v>6.48</v>
      </c>
      <c r="I7903" s="18">
        <v>3.24</v>
      </c>
      <c r="J7903" s="18">
        <v>3.24</v>
      </c>
      <c r="K7903" s="18">
        <v>3.24</v>
      </c>
      <c r="L7903" s="22">
        <v>1</v>
      </c>
    </row>
    <row r="7904" spans="1:12">
      <c r="A7904">
        <v>8</v>
      </c>
      <c r="B7904" s="16" t="s">
        <v>63</v>
      </c>
      <c r="C7904" s="9">
        <v>45748</v>
      </c>
      <c r="D7904">
        <v>51</v>
      </c>
      <c r="E7904" s="16" t="s">
        <v>141</v>
      </c>
      <c r="F7904" s="16" t="s">
        <v>81</v>
      </c>
      <c r="G7904" s="22">
        <v>2</v>
      </c>
      <c r="H7904" s="18">
        <v>6.54</v>
      </c>
      <c r="I7904" s="18">
        <v>3.27</v>
      </c>
      <c r="J7904" s="18">
        <v>3.27</v>
      </c>
      <c r="K7904" s="18">
        <v>3.27</v>
      </c>
      <c r="L7904" s="22">
        <v>1</v>
      </c>
    </row>
    <row r="7905" spans="1:12">
      <c r="A7905">
        <v>8</v>
      </c>
      <c r="B7905" s="16" t="s">
        <v>63</v>
      </c>
      <c r="C7905" s="9">
        <v>45778</v>
      </c>
      <c r="D7905">
        <v>51</v>
      </c>
      <c r="E7905" s="16" t="s">
        <v>141</v>
      </c>
      <c r="F7905" s="16" t="s">
        <v>81</v>
      </c>
      <c r="G7905" s="22">
        <v>2</v>
      </c>
      <c r="H7905" s="18">
        <v>6.54</v>
      </c>
      <c r="I7905" s="18">
        <v>3.27</v>
      </c>
      <c r="J7905" s="18">
        <v>3.27</v>
      </c>
      <c r="K7905" s="18">
        <v>3.27</v>
      </c>
      <c r="L7905" s="22">
        <v>1</v>
      </c>
    </row>
    <row r="7906" spans="1:12">
      <c r="A7906">
        <v>8</v>
      </c>
      <c r="B7906" s="16" t="s">
        <v>63</v>
      </c>
      <c r="C7906" s="9">
        <v>45809</v>
      </c>
      <c r="D7906">
        <v>51</v>
      </c>
      <c r="E7906" s="16" t="s">
        <v>141</v>
      </c>
      <c r="F7906" s="16" t="s">
        <v>81</v>
      </c>
      <c r="G7906" s="22">
        <v>2</v>
      </c>
      <c r="H7906" s="18">
        <v>6.7</v>
      </c>
      <c r="I7906" s="18">
        <v>3.35</v>
      </c>
      <c r="J7906" s="18">
        <v>3.35</v>
      </c>
      <c r="K7906" s="18">
        <v>3.35</v>
      </c>
      <c r="L7906" s="22">
        <v>1</v>
      </c>
    </row>
    <row r="7907" spans="1:12">
      <c r="A7907">
        <v>8</v>
      </c>
      <c r="B7907" s="16" t="s">
        <v>63</v>
      </c>
      <c r="C7907" s="9">
        <v>45839</v>
      </c>
      <c r="D7907">
        <v>51</v>
      </c>
      <c r="E7907" s="16" t="s">
        <v>141</v>
      </c>
      <c r="F7907" s="16" t="s">
        <v>81</v>
      </c>
      <c r="G7907" s="22">
        <v>2</v>
      </c>
      <c r="H7907" s="18">
        <v>6.32</v>
      </c>
      <c r="I7907" s="18">
        <v>3.16</v>
      </c>
      <c r="J7907" s="18">
        <v>3.16</v>
      </c>
      <c r="K7907" s="18">
        <v>3.16</v>
      </c>
      <c r="L7907" s="22">
        <v>1</v>
      </c>
    </row>
    <row r="7908" spans="1:12">
      <c r="A7908">
        <v>8</v>
      </c>
      <c r="B7908" s="16" t="s">
        <v>63</v>
      </c>
      <c r="C7908" s="9">
        <v>45870</v>
      </c>
      <c r="D7908">
        <v>51</v>
      </c>
      <c r="E7908" s="16" t="s">
        <v>141</v>
      </c>
      <c r="F7908" s="16" t="s">
        <v>81</v>
      </c>
      <c r="G7908" s="22">
        <v>2</v>
      </c>
      <c r="H7908" s="18">
        <v>6.36</v>
      </c>
      <c r="I7908" s="18">
        <v>3.18</v>
      </c>
      <c r="J7908" s="18">
        <v>3.18</v>
      </c>
      <c r="K7908" s="18">
        <v>3.18</v>
      </c>
      <c r="L7908" s="22">
        <v>1</v>
      </c>
    </row>
    <row r="7909" spans="1:12">
      <c r="A7909">
        <v>8</v>
      </c>
      <c r="B7909" s="16" t="s">
        <v>63</v>
      </c>
      <c r="C7909" s="9">
        <v>45901</v>
      </c>
      <c r="D7909">
        <v>51</v>
      </c>
      <c r="E7909" s="16" t="s">
        <v>141</v>
      </c>
      <c r="F7909" s="16" t="s">
        <v>81</v>
      </c>
      <c r="G7909" s="22">
        <v>2</v>
      </c>
      <c r="H7909" s="18">
        <v>6.58</v>
      </c>
      <c r="I7909" s="18">
        <v>3.29</v>
      </c>
      <c r="J7909" s="18">
        <v>3.29</v>
      </c>
      <c r="K7909" s="18">
        <v>3.29</v>
      </c>
      <c r="L7909" s="22">
        <v>1</v>
      </c>
    </row>
    <row r="7910" spans="1:12">
      <c r="A7910">
        <v>8</v>
      </c>
      <c r="B7910" s="16" t="s">
        <v>63</v>
      </c>
      <c r="C7910" s="9">
        <v>45931</v>
      </c>
      <c r="D7910">
        <v>51</v>
      </c>
      <c r="E7910" s="16" t="s">
        <v>141</v>
      </c>
      <c r="F7910" s="16" t="s">
        <v>81</v>
      </c>
      <c r="G7910" s="22">
        <v>2</v>
      </c>
      <c r="H7910" s="18">
        <v>6.38</v>
      </c>
      <c r="I7910" s="18">
        <v>3.19</v>
      </c>
      <c r="J7910" s="18">
        <v>3.19</v>
      </c>
      <c r="K7910" s="18">
        <v>3.19</v>
      </c>
      <c r="L7910" s="22">
        <v>1</v>
      </c>
    </row>
    <row r="7911" spans="1:12">
      <c r="A7911">
        <v>8</v>
      </c>
      <c r="B7911" s="16" t="s">
        <v>63</v>
      </c>
      <c r="C7911" s="9">
        <v>45962</v>
      </c>
      <c r="D7911">
        <v>51</v>
      </c>
      <c r="E7911" s="16" t="s">
        <v>141</v>
      </c>
      <c r="F7911" s="16" t="s">
        <v>81</v>
      </c>
      <c r="G7911" s="22">
        <v>2</v>
      </c>
      <c r="H7911" s="18">
        <v>6.36</v>
      </c>
      <c r="I7911" s="18">
        <v>3.18</v>
      </c>
      <c r="J7911" s="18">
        <v>3.18</v>
      </c>
      <c r="K7911" s="18">
        <v>3.18</v>
      </c>
      <c r="L7911" s="22">
        <v>1</v>
      </c>
    </row>
    <row r="7912" spans="1:12">
      <c r="A7912">
        <v>8</v>
      </c>
      <c r="B7912" s="16" t="s">
        <v>63</v>
      </c>
      <c r="C7912" s="9">
        <v>45992</v>
      </c>
      <c r="D7912">
        <v>51</v>
      </c>
      <c r="E7912" s="16" t="s">
        <v>141</v>
      </c>
      <c r="F7912" s="16" t="s">
        <v>81</v>
      </c>
      <c r="G7912" s="22">
        <v>2</v>
      </c>
      <c r="H7912" s="18">
        <v>6.32</v>
      </c>
      <c r="I7912" s="18">
        <v>3.16</v>
      </c>
      <c r="J7912" s="18">
        <v>3.16</v>
      </c>
      <c r="K7912" s="18">
        <v>3.16</v>
      </c>
      <c r="L7912" s="22">
        <v>1</v>
      </c>
    </row>
    <row r="7913" spans="1:12">
      <c r="A7913">
        <v>8</v>
      </c>
      <c r="B7913" s="16" t="s">
        <v>63</v>
      </c>
      <c r="C7913" s="9">
        <v>46023</v>
      </c>
      <c r="D7913">
        <v>51</v>
      </c>
      <c r="E7913" s="16" t="s">
        <v>141</v>
      </c>
      <c r="F7913" s="16" t="s">
        <v>81</v>
      </c>
      <c r="G7913" s="22">
        <v>2</v>
      </c>
      <c r="H7913" s="18">
        <v>6.46</v>
      </c>
      <c r="I7913" s="18">
        <v>3.23</v>
      </c>
      <c r="J7913" s="18">
        <v>3.23</v>
      </c>
      <c r="K7913" s="18">
        <v>3.23</v>
      </c>
      <c r="L7913" s="22">
        <v>1</v>
      </c>
    </row>
    <row r="7914" spans="1:12">
      <c r="A7914">
        <v>8</v>
      </c>
      <c r="B7914" s="16" t="s">
        <v>63</v>
      </c>
      <c r="C7914" s="9">
        <v>46054</v>
      </c>
      <c r="D7914">
        <v>51</v>
      </c>
      <c r="E7914" s="16" t="s">
        <v>141</v>
      </c>
      <c r="F7914" s="16" t="s">
        <v>81</v>
      </c>
      <c r="G7914" s="22">
        <v>2</v>
      </c>
      <c r="H7914" s="18">
        <v>6.46</v>
      </c>
      <c r="I7914" s="18">
        <v>3.23</v>
      </c>
      <c r="J7914" s="18">
        <v>3.23</v>
      </c>
      <c r="K7914" s="18">
        <v>3.23</v>
      </c>
      <c r="L7914" s="22">
        <v>1</v>
      </c>
    </row>
    <row r="7915" spans="1:12">
      <c r="A7915">
        <v>8</v>
      </c>
      <c r="B7915" s="16" t="s">
        <v>63</v>
      </c>
      <c r="C7915" s="9">
        <v>46082</v>
      </c>
      <c r="D7915">
        <v>51</v>
      </c>
      <c r="E7915" s="16" t="s">
        <v>141</v>
      </c>
      <c r="F7915" s="16" t="s">
        <v>81</v>
      </c>
      <c r="G7915" s="22">
        <v>2</v>
      </c>
      <c r="H7915" s="18">
        <v>6.38</v>
      </c>
      <c r="I7915" s="18">
        <v>3.19</v>
      </c>
      <c r="J7915" s="18">
        <v>3.19</v>
      </c>
      <c r="K7915" s="18">
        <v>3.19</v>
      </c>
      <c r="L7915" s="22">
        <v>1</v>
      </c>
    </row>
    <row r="7916" spans="1:12">
      <c r="A7916">
        <v>8</v>
      </c>
      <c r="B7916" s="16" t="s">
        <v>63</v>
      </c>
      <c r="C7916" s="9">
        <v>46113</v>
      </c>
      <c r="D7916">
        <v>51</v>
      </c>
      <c r="E7916" s="16" t="s">
        <v>141</v>
      </c>
      <c r="F7916" s="16" t="s">
        <v>81</v>
      </c>
      <c r="G7916" s="22">
        <v>2</v>
      </c>
      <c r="H7916" s="18">
        <v>6.54</v>
      </c>
      <c r="I7916" s="18">
        <v>3.27</v>
      </c>
      <c r="J7916" s="18">
        <v>3.27</v>
      </c>
      <c r="K7916" s="18">
        <v>3.27</v>
      </c>
      <c r="L7916" s="22">
        <v>1</v>
      </c>
    </row>
    <row r="7917" spans="1:12">
      <c r="A7917">
        <v>8</v>
      </c>
      <c r="B7917" s="16" t="s">
        <v>63</v>
      </c>
      <c r="C7917" s="9">
        <v>46143</v>
      </c>
      <c r="D7917">
        <v>51</v>
      </c>
      <c r="E7917" s="16" t="s">
        <v>141</v>
      </c>
      <c r="F7917" s="16" t="s">
        <v>81</v>
      </c>
      <c r="G7917" s="22">
        <v>2</v>
      </c>
      <c r="H7917" s="18">
        <v>6.5</v>
      </c>
      <c r="I7917" s="18">
        <v>3.25</v>
      </c>
      <c r="J7917" s="18">
        <v>3.25</v>
      </c>
      <c r="K7917" s="18">
        <v>3.25</v>
      </c>
      <c r="L7917" s="22">
        <v>1</v>
      </c>
    </row>
    <row r="7918" spans="1:12">
      <c r="A7918">
        <v>8</v>
      </c>
      <c r="B7918" s="16" t="s">
        <v>63</v>
      </c>
      <c r="C7918" s="9">
        <v>46174</v>
      </c>
      <c r="D7918">
        <v>51</v>
      </c>
      <c r="E7918" s="16" t="s">
        <v>141</v>
      </c>
      <c r="F7918" s="16" t="s">
        <v>81</v>
      </c>
      <c r="G7918" s="22">
        <v>2</v>
      </c>
      <c r="H7918" s="18">
        <v>6.56</v>
      </c>
      <c r="I7918" s="18">
        <v>3.28</v>
      </c>
      <c r="J7918" s="18">
        <v>3.28</v>
      </c>
      <c r="K7918" s="18">
        <v>3.28</v>
      </c>
      <c r="L7918" s="22">
        <v>1</v>
      </c>
    </row>
    <row r="7919" spans="1:12">
      <c r="A7919">
        <v>8</v>
      </c>
      <c r="B7919" s="16" t="s">
        <v>63</v>
      </c>
      <c r="C7919" s="9">
        <v>46235</v>
      </c>
      <c r="D7919">
        <v>51</v>
      </c>
      <c r="E7919" s="16" t="s">
        <v>141</v>
      </c>
      <c r="F7919" s="16" t="s">
        <v>81</v>
      </c>
      <c r="G7919" s="22">
        <v>2</v>
      </c>
      <c r="H7919" s="18">
        <v>6.38</v>
      </c>
      <c r="I7919" s="18">
        <v>3.19</v>
      </c>
      <c r="J7919" s="18">
        <v>3.19</v>
      </c>
      <c r="K7919" s="18">
        <v>3.19</v>
      </c>
      <c r="L7919" s="22">
        <v>1</v>
      </c>
    </row>
    <row r="7920" spans="1:12">
      <c r="A7920">
        <v>8</v>
      </c>
      <c r="B7920" s="16" t="s">
        <v>63</v>
      </c>
      <c r="C7920" s="9">
        <v>46266</v>
      </c>
      <c r="D7920">
        <v>51</v>
      </c>
      <c r="E7920" s="16" t="s">
        <v>141</v>
      </c>
      <c r="F7920" s="16" t="s">
        <v>81</v>
      </c>
      <c r="G7920" s="22">
        <v>2</v>
      </c>
      <c r="H7920" s="18">
        <v>6.56</v>
      </c>
      <c r="I7920" s="18">
        <v>3.28</v>
      </c>
      <c r="J7920" s="18">
        <v>3.28</v>
      </c>
      <c r="K7920" s="18">
        <v>3.28</v>
      </c>
      <c r="L7920" s="22">
        <v>1</v>
      </c>
    </row>
    <row r="7921" spans="1:12">
      <c r="A7921">
        <v>8</v>
      </c>
      <c r="B7921" s="16" t="s">
        <v>63</v>
      </c>
      <c r="C7921" s="9">
        <v>45717</v>
      </c>
      <c r="D7921">
        <v>52</v>
      </c>
      <c r="E7921" s="16" t="s">
        <v>142</v>
      </c>
      <c r="F7921" s="16" t="s">
        <v>108</v>
      </c>
      <c r="G7921" s="22">
        <v>3</v>
      </c>
      <c r="H7921" s="18">
        <v>3.84</v>
      </c>
      <c r="I7921" s="18">
        <v>1.28</v>
      </c>
      <c r="J7921" s="18">
        <v>1.28</v>
      </c>
      <c r="K7921" s="18">
        <v>1.28</v>
      </c>
      <c r="L7921" s="22">
        <v>1</v>
      </c>
    </row>
    <row r="7922" spans="1:12">
      <c r="A7922">
        <v>8</v>
      </c>
      <c r="B7922" s="16" t="s">
        <v>63</v>
      </c>
      <c r="C7922" s="9">
        <v>45748</v>
      </c>
      <c r="D7922">
        <v>52</v>
      </c>
      <c r="E7922" s="16" t="s">
        <v>142</v>
      </c>
      <c r="F7922" s="16" t="s">
        <v>108</v>
      </c>
      <c r="G7922" s="22">
        <v>6</v>
      </c>
      <c r="H7922" s="18">
        <v>7.5</v>
      </c>
      <c r="I7922" s="18">
        <v>1.25</v>
      </c>
      <c r="J7922" s="18">
        <v>1.27</v>
      </c>
      <c r="K7922" s="18">
        <v>1.23</v>
      </c>
      <c r="L7922" s="22">
        <v>2</v>
      </c>
    </row>
    <row r="7923" spans="1:12">
      <c r="A7923">
        <v>8</v>
      </c>
      <c r="B7923" s="16" t="s">
        <v>63</v>
      </c>
      <c r="C7923" s="9">
        <v>45778</v>
      </c>
      <c r="D7923">
        <v>52</v>
      </c>
      <c r="E7923" s="16" t="s">
        <v>142</v>
      </c>
      <c r="F7923" s="16" t="s">
        <v>108</v>
      </c>
      <c r="G7923" s="22">
        <v>3</v>
      </c>
      <c r="H7923" s="18">
        <v>3.75</v>
      </c>
      <c r="I7923" s="18">
        <v>1.25</v>
      </c>
      <c r="J7923" s="18">
        <v>1.25</v>
      </c>
      <c r="K7923" s="18">
        <v>1.25</v>
      </c>
      <c r="L7923" s="22">
        <v>1</v>
      </c>
    </row>
    <row r="7924" spans="1:12">
      <c r="A7924">
        <v>8</v>
      </c>
      <c r="B7924" s="16" t="s">
        <v>63</v>
      </c>
      <c r="C7924" s="9">
        <v>45809</v>
      </c>
      <c r="D7924">
        <v>52</v>
      </c>
      <c r="E7924" s="16" t="s">
        <v>142</v>
      </c>
      <c r="F7924" s="16" t="s">
        <v>108</v>
      </c>
      <c r="G7924" s="22">
        <v>3</v>
      </c>
      <c r="H7924" s="18">
        <v>3.75</v>
      </c>
      <c r="I7924" s="18">
        <v>1.25</v>
      </c>
      <c r="J7924" s="18">
        <v>1.25</v>
      </c>
      <c r="K7924" s="18">
        <v>1.25</v>
      </c>
      <c r="L7924" s="22">
        <v>1</v>
      </c>
    </row>
    <row r="7925" spans="1:12">
      <c r="A7925">
        <v>8</v>
      </c>
      <c r="B7925" s="16" t="s">
        <v>63</v>
      </c>
      <c r="C7925" s="9">
        <v>45839</v>
      </c>
      <c r="D7925">
        <v>52</v>
      </c>
      <c r="E7925" s="16" t="s">
        <v>142</v>
      </c>
      <c r="F7925" s="16" t="s">
        <v>108</v>
      </c>
      <c r="G7925" s="22">
        <v>3</v>
      </c>
      <c r="H7925" s="18">
        <v>3.78</v>
      </c>
      <c r="I7925" s="18">
        <v>1.26</v>
      </c>
      <c r="J7925" s="18">
        <v>1.26</v>
      </c>
      <c r="K7925" s="18">
        <v>1.26</v>
      </c>
      <c r="L7925" s="22">
        <v>1</v>
      </c>
    </row>
    <row r="7926" spans="1:12">
      <c r="A7926">
        <v>8</v>
      </c>
      <c r="B7926" s="16" t="s">
        <v>63</v>
      </c>
      <c r="C7926" s="9">
        <v>45870</v>
      </c>
      <c r="D7926">
        <v>52</v>
      </c>
      <c r="E7926" s="16" t="s">
        <v>142</v>
      </c>
      <c r="F7926" s="16" t="s">
        <v>108</v>
      </c>
      <c r="G7926" s="22">
        <v>3</v>
      </c>
      <c r="H7926" s="18">
        <v>3.75</v>
      </c>
      <c r="I7926" s="18">
        <v>1.25</v>
      </c>
      <c r="J7926" s="18">
        <v>1.25</v>
      </c>
      <c r="K7926" s="18">
        <v>1.25</v>
      </c>
      <c r="L7926" s="22">
        <v>1</v>
      </c>
    </row>
    <row r="7927" spans="1:12">
      <c r="A7927">
        <v>8</v>
      </c>
      <c r="B7927" s="16" t="s">
        <v>63</v>
      </c>
      <c r="C7927" s="9">
        <v>45901</v>
      </c>
      <c r="D7927">
        <v>52</v>
      </c>
      <c r="E7927" s="16" t="s">
        <v>142</v>
      </c>
      <c r="F7927" s="16" t="s">
        <v>108</v>
      </c>
      <c r="G7927" s="22">
        <v>3</v>
      </c>
      <c r="H7927" s="18">
        <v>3.75</v>
      </c>
      <c r="I7927" s="18">
        <v>1.25</v>
      </c>
      <c r="J7927" s="18">
        <v>1.25</v>
      </c>
      <c r="K7927" s="18">
        <v>1.25</v>
      </c>
      <c r="L7927" s="22">
        <v>1</v>
      </c>
    </row>
    <row r="7928" spans="1:12">
      <c r="A7928">
        <v>8</v>
      </c>
      <c r="B7928" s="16" t="s">
        <v>63</v>
      </c>
      <c r="C7928" s="9">
        <v>45931</v>
      </c>
      <c r="D7928">
        <v>52</v>
      </c>
      <c r="E7928" s="16" t="s">
        <v>142</v>
      </c>
      <c r="F7928" s="16" t="s">
        <v>108</v>
      </c>
      <c r="G7928" s="22">
        <v>3</v>
      </c>
      <c r="H7928" s="18">
        <v>3.81</v>
      </c>
      <c r="I7928" s="18">
        <v>1.27</v>
      </c>
      <c r="J7928" s="18">
        <v>1.27</v>
      </c>
      <c r="K7928" s="18">
        <v>1.27</v>
      </c>
      <c r="L7928" s="22">
        <v>1</v>
      </c>
    </row>
    <row r="7929" spans="1:12">
      <c r="A7929">
        <v>8</v>
      </c>
      <c r="B7929" s="16" t="s">
        <v>63</v>
      </c>
      <c r="C7929" s="9">
        <v>45962</v>
      </c>
      <c r="D7929">
        <v>52</v>
      </c>
      <c r="E7929" s="16" t="s">
        <v>142</v>
      </c>
      <c r="F7929" s="16" t="s">
        <v>108</v>
      </c>
      <c r="G7929" s="22">
        <v>3</v>
      </c>
      <c r="H7929" s="18">
        <v>3.87</v>
      </c>
      <c r="I7929" s="18">
        <v>1.29</v>
      </c>
      <c r="J7929" s="18">
        <v>1.29</v>
      </c>
      <c r="K7929" s="18">
        <v>1.29</v>
      </c>
      <c r="L7929" s="22">
        <v>1</v>
      </c>
    </row>
    <row r="7930" spans="1:12">
      <c r="A7930">
        <v>8</v>
      </c>
      <c r="B7930" s="16" t="s">
        <v>63</v>
      </c>
      <c r="C7930" s="9">
        <v>46023</v>
      </c>
      <c r="D7930">
        <v>52</v>
      </c>
      <c r="E7930" s="16" t="s">
        <v>142</v>
      </c>
      <c r="F7930" s="16" t="s">
        <v>108</v>
      </c>
      <c r="G7930" s="22">
        <v>3</v>
      </c>
      <c r="H7930" s="18">
        <v>3.84</v>
      </c>
      <c r="I7930" s="18">
        <v>1.28</v>
      </c>
      <c r="J7930" s="18">
        <v>1.28</v>
      </c>
      <c r="K7930" s="18">
        <v>1.28</v>
      </c>
      <c r="L7930" s="22">
        <v>1</v>
      </c>
    </row>
    <row r="7931" spans="1:12">
      <c r="A7931">
        <v>8</v>
      </c>
      <c r="B7931" s="16" t="s">
        <v>63</v>
      </c>
      <c r="C7931" s="9">
        <v>46054</v>
      </c>
      <c r="D7931">
        <v>52</v>
      </c>
      <c r="E7931" s="16" t="s">
        <v>142</v>
      </c>
      <c r="F7931" s="16" t="s">
        <v>108</v>
      </c>
      <c r="G7931" s="22">
        <v>3</v>
      </c>
      <c r="H7931" s="18">
        <v>3.93</v>
      </c>
      <c r="I7931" s="18">
        <v>1.31</v>
      </c>
      <c r="J7931" s="18">
        <v>1.31</v>
      </c>
      <c r="K7931" s="18">
        <v>1.31</v>
      </c>
      <c r="L7931" s="22">
        <v>1</v>
      </c>
    </row>
    <row r="7932" spans="1:12">
      <c r="A7932">
        <v>8</v>
      </c>
      <c r="B7932" s="16" t="s">
        <v>63</v>
      </c>
      <c r="C7932" s="9">
        <v>46082</v>
      </c>
      <c r="D7932">
        <v>52</v>
      </c>
      <c r="E7932" s="16" t="s">
        <v>142</v>
      </c>
      <c r="F7932" s="16" t="s">
        <v>108</v>
      </c>
      <c r="G7932" s="22">
        <v>6</v>
      </c>
      <c r="H7932" s="18">
        <v>7.68</v>
      </c>
      <c r="I7932" s="18">
        <v>1.28</v>
      </c>
      <c r="J7932" s="18">
        <v>1.29</v>
      </c>
      <c r="K7932" s="18">
        <v>1.27</v>
      </c>
      <c r="L7932" s="22">
        <v>2</v>
      </c>
    </row>
    <row r="7933" spans="1:12">
      <c r="A7933">
        <v>8</v>
      </c>
      <c r="B7933" s="16" t="s">
        <v>63</v>
      </c>
      <c r="C7933" s="9">
        <v>46113</v>
      </c>
      <c r="D7933">
        <v>52</v>
      </c>
      <c r="E7933" s="16" t="s">
        <v>142</v>
      </c>
      <c r="F7933" s="16" t="s">
        <v>108</v>
      </c>
      <c r="G7933" s="22">
        <v>3</v>
      </c>
      <c r="H7933" s="18">
        <v>3.96</v>
      </c>
      <c r="I7933" s="18">
        <v>1.32</v>
      </c>
      <c r="J7933" s="18">
        <v>1.32</v>
      </c>
      <c r="K7933" s="18">
        <v>1.32</v>
      </c>
      <c r="L7933" s="22">
        <v>1</v>
      </c>
    </row>
    <row r="7934" spans="1:12">
      <c r="A7934">
        <v>8</v>
      </c>
      <c r="B7934" s="16" t="s">
        <v>63</v>
      </c>
      <c r="C7934" s="9">
        <v>46174</v>
      </c>
      <c r="D7934">
        <v>52</v>
      </c>
      <c r="E7934" s="16" t="s">
        <v>142</v>
      </c>
      <c r="F7934" s="16" t="s">
        <v>108</v>
      </c>
      <c r="G7934" s="22">
        <v>3</v>
      </c>
      <c r="H7934" s="18">
        <v>3.84</v>
      </c>
      <c r="I7934" s="18">
        <v>1.28</v>
      </c>
      <c r="J7934" s="18">
        <v>1.28</v>
      </c>
      <c r="K7934" s="18">
        <v>1.28</v>
      </c>
      <c r="L7934" s="22">
        <v>1</v>
      </c>
    </row>
    <row r="7935" spans="1:12">
      <c r="A7935">
        <v>8</v>
      </c>
      <c r="B7935" s="16" t="s">
        <v>63</v>
      </c>
      <c r="C7935" s="9">
        <v>46204</v>
      </c>
      <c r="D7935">
        <v>52</v>
      </c>
      <c r="E7935" s="16" t="s">
        <v>142</v>
      </c>
      <c r="F7935" s="16" t="s">
        <v>108</v>
      </c>
      <c r="G7935" s="22">
        <v>3</v>
      </c>
      <c r="H7935" s="18">
        <v>3.78</v>
      </c>
      <c r="I7935" s="18">
        <v>1.26</v>
      </c>
      <c r="J7935" s="18">
        <v>1.26</v>
      </c>
      <c r="K7935" s="18">
        <v>1.26</v>
      </c>
      <c r="L7935" s="22">
        <v>1</v>
      </c>
    </row>
    <row r="7936" spans="1:12">
      <c r="A7936">
        <v>8</v>
      </c>
      <c r="B7936" s="16" t="s">
        <v>63</v>
      </c>
      <c r="C7936" s="9">
        <v>46235</v>
      </c>
      <c r="D7936">
        <v>52</v>
      </c>
      <c r="E7936" s="16" t="s">
        <v>142</v>
      </c>
      <c r="F7936" s="16" t="s">
        <v>108</v>
      </c>
      <c r="G7936" s="22">
        <v>3</v>
      </c>
      <c r="H7936" s="18">
        <v>3.87</v>
      </c>
      <c r="I7936" s="18">
        <v>1.29</v>
      </c>
      <c r="J7936" s="18">
        <v>1.29</v>
      </c>
      <c r="K7936" s="18">
        <v>1.29</v>
      </c>
      <c r="L7936" s="22">
        <v>1</v>
      </c>
    </row>
    <row r="7937" spans="1:12">
      <c r="A7937">
        <v>8</v>
      </c>
      <c r="B7937" s="16" t="s">
        <v>63</v>
      </c>
      <c r="C7937" s="9">
        <v>45689</v>
      </c>
      <c r="D7937">
        <v>53</v>
      </c>
      <c r="E7937" s="16" t="s">
        <v>143</v>
      </c>
      <c r="F7937" s="16" t="s">
        <v>103</v>
      </c>
      <c r="G7937" s="22">
        <v>4.5</v>
      </c>
      <c r="H7937" s="18">
        <v>39.24</v>
      </c>
      <c r="I7937" s="18">
        <v>8.7200000000000006</v>
      </c>
      <c r="J7937" s="18">
        <v>8.75</v>
      </c>
      <c r="K7937" s="18">
        <v>8.69</v>
      </c>
      <c r="L7937" s="22">
        <v>2</v>
      </c>
    </row>
    <row r="7938" spans="1:12">
      <c r="A7938">
        <v>8</v>
      </c>
      <c r="B7938" s="16" t="s">
        <v>63</v>
      </c>
      <c r="C7938" s="9">
        <v>45717</v>
      </c>
      <c r="D7938">
        <v>53</v>
      </c>
      <c r="E7938" s="16" t="s">
        <v>143</v>
      </c>
      <c r="F7938" s="16" t="s">
        <v>103</v>
      </c>
      <c r="G7938" s="22">
        <v>2.25</v>
      </c>
      <c r="H7938" s="18">
        <v>19.934999999999999</v>
      </c>
      <c r="I7938" s="18">
        <v>8.86</v>
      </c>
      <c r="J7938" s="18">
        <v>8.86</v>
      </c>
      <c r="K7938" s="18">
        <v>8.86</v>
      </c>
      <c r="L7938" s="22">
        <v>1</v>
      </c>
    </row>
    <row r="7939" spans="1:12">
      <c r="A7939">
        <v>8</v>
      </c>
      <c r="B7939" s="16" t="s">
        <v>63</v>
      </c>
      <c r="C7939" s="9">
        <v>45748</v>
      </c>
      <c r="D7939">
        <v>53</v>
      </c>
      <c r="E7939" s="16" t="s">
        <v>143</v>
      </c>
      <c r="F7939" s="16" t="s">
        <v>103</v>
      </c>
      <c r="G7939" s="22">
        <v>2.25</v>
      </c>
      <c r="H7939" s="18">
        <v>19.6875</v>
      </c>
      <c r="I7939" s="18">
        <v>8.75</v>
      </c>
      <c r="J7939" s="18">
        <v>8.75</v>
      </c>
      <c r="K7939" s="18">
        <v>8.75</v>
      </c>
      <c r="L7939" s="22">
        <v>1</v>
      </c>
    </row>
    <row r="7940" spans="1:12">
      <c r="A7940">
        <v>8</v>
      </c>
      <c r="B7940" s="16" t="s">
        <v>63</v>
      </c>
      <c r="C7940" s="9">
        <v>45778</v>
      </c>
      <c r="D7940">
        <v>53</v>
      </c>
      <c r="E7940" s="16" t="s">
        <v>143</v>
      </c>
      <c r="F7940" s="16" t="s">
        <v>103</v>
      </c>
      <c r="G7940" s="22">
        <v>4.5</v>
      </c>
      <c r="H7940" s="18">
        <v>39.465000000000003</v>
      </c>
      <c r="I7940" s="18">
        <v>8.77</v>
      </c>
      <c r="J7940" s="18">
        <v>8.7899999999999991</v>
      </c>
      <c r="K7940" s="18">
        <v>8.75</v>
      </c>
      <c r="L7940" s="22">
        <v>2</v>
      </c>
    </row>
    <row r="7941" spans="1:12">
      <c r="A7941">
        <v>8</v>
      </c>
      <c r="B7941" s="16" t="s">
        <v>63</v>
      </c>
      <c r="C7941" s="9">
        <v>45809</v>
      </c>
      <c r="D7941">
        <v>53</v>
      </c>
      <c r="E7941" s="16" t="s">
        <v>143</v>
      </c>
      <c r="F7941" s="16" t="s">
        <v>103</v>
      </c>
      <c r="G7941" s="22">
        <v>2.25</v>
      </c>
      <c r="H7941" s="18">
        <v>19.552499999999998</v>
      </c>
      <c r="I7941" s="18">
        <v>8.69</v>
      </c>
      <c r="J7941" s="18">
        <v>8.69</v>
      </c>
      <c r="K7941" s="18">
        <v>8.69</v>
      </c>
      <c r="L7941" s="22">
        <v>1</v>
      </c>
    </row>
    <row r="7942" spans="1:12">
      <c r="A7942">
        <v>8</v>
      </c>
      <c r="B7942" s="16" t="s">
        <v>63</v>
      </c>
      <c r="C7942" s="9">
        <v>45839</v>
      </c>
      <c r="D7942">
        <v>53</v>
      </c>
      <c r="E7942" s="16" t="s">
        <v>143</v>
      </c>
      <c r="F7942" s="16" t="s">
        <v>103</v>
      </c>
      <c r="G7942" s="22">
        <v>4.5</v>
      </c>
      <c r="H7942" s="18">
        <v>39.847499999999997</v>
      </c>
      <c r="I7942" s="18">
        <v>8.8550000000000004</v>
      </c>
      <c r="J7942" s="18">
        <v>8.9</v>
      </c>
      <c r="K7942" s="18">
        <v>8.81</v>
      </c>
      <c r="L7942" s="22">
        <v>2</v>
      </c>
    </row>
    <row r="7943" spans="1:12">
      <c r="A7943">
        <v>8</v>
      </c>
      <c r="B7943" s="16" t="s">
        <v>63</v>
      </c>
      <c r="C7943" s="9">
        <v>45870</v>
      </c>
      <c r="D7943">
        <v>53</v>
      </c>
      <c r="E7943" s="16" t="s">
        <v>143</v>
      </c>
      <c r="F7943" s="16" t="s">
        <v>103</v>
      </c>
      <c r="G7943" s="22">
        <v>4.5</v>
      </c>
      <c r="H7943" s="18">
        <v>38.924999999999997</v>
      </c>
      <c r="I7943" s="18">
        <v>8.65</v>
      </c>
      <c r="J7943" s="18">
        <v>8.66</v>
      </c>
      <c r="K7943" s="18">
        <v>8.64</v>
      </c>
      <c r="L7943" s="22">
        <v>2</v>
      </c>
    </row>
    <row r="7944" spans="1:12">
      <c r="A7944">
        <v>8</v>
      </c>
      <c r="B7944" s="16" t="s">
        <v>63</v>
      </c>
      <c r="C7944" s="9">
        <v>45901</v>
      </c>
      <c r="D7944">
        <v>53</v>
      </c>
      <c r="E7944" s="16" t="s">
        <v>143</v>
      </c>
      <c r="F7944" s="16" t="s">
        <v>103</v>
      </c>
      <c r="G7944" s="22">
        <v>2.25</v>
      </c>
      <c r="H7944" s="18">
        <v>20.07</v>
      </c>
      <c r="I7944" s="18">
        <v>8.92</v>
      </c>
      <c r="J7944" s="18">
        <v>8.92</v>
      </c>
      <c r="K7944" s="18">
        <v>8.92</v>
      </c>
      <c r="L7944" s="22">
        <v>1</v>
      </c>
    </row>
    <row r="7945" spans="1:12">
      <c r="A7945">
        <v>8</v>
      </c>
      <c r="B7945" s="16" t="s">
        <v>63</v>
      </c>
      <c r="C7945" s="9">
        <v>45931</v>
      </c>
      <c r="D7945">
        <v>53</v>
      </c>
      <c r="E7945" s="16" t="s">
        <v>143</v>
      </c>
      <c r="F7945" s="16" t="s">
        <v>103</v>
      </c>
      <c r="G7945" s="22">
        <v>2.25</v>
      </c>
      <c r="H7945" s="18">
        <v>20.204999999999998</v>
      </c>
      <c r="I7945" s="18">
        <v>8.98</v>
      </c>
      <c r="J7945" s="18">
        <v>8.98</v>
      </c>
      <c r="K7945" s="18">
        <v>8.98</v>
      </c>
      <c r="L7945" s="22">
        <v>1</v>
      </c>
    </row>
    <row r="7946" spans="1:12">
      <c r="A7946">
        <v>8</v>
      </c>
      <c r="B7946" s="16" t="s">
        <v>63</v>
      </c>
      <c r="C7946" s="9">
        <v>45962</v>
      </c>
      <c r="D7946">
        <v>53</v>
      </c>
      <c r="E7946" s="16" t="s">
        <v>143</v>
      </c>
      <c r="F7946" s="16" t="s">
        <v>103</v>
      </c>
      <c r="G7946" s="22">
        <v>4.5</v>
      </c>
      <c r="H7946" s="18">
        <v>40.207500000000003</v>
      </c>
      <c r="I7946" s="18">
        <v>8.9350000000000005</v>
      </c>
      <c r="J7946" s="18">
        <v>8.99</v>
      </c>
      <c r="K7946" s="18">
        <v>8.8800000000000008</v>
      </c>
      <c r="L7946" s="22">
        <v>2</v>
      </c>
    </row>
    <row r="7947" spans="1:12">
      <c r="A7947">
        <v>8</v>
      </c>
      <c r="B7947" s="16" t="s">
        <v>63</v>
      </c>
      <c r="C7947" s="9">
        <v>45992</v>
      </c>
      <c r="D7947">
        <v>53</v>
      </c>
      <c r="E7947" s="16" t="s">
        <v>143</v>
      </c>
      <c r="F7947" s="16" t="s">
        <v>103</v>
      </c>
      <c r="G7947" s="22">
        <v>4.5</v>
      </c>
      <c r="H7947" s="18">
        <v>39.69</v>
      </c>
      <c r="I7947" s="18">
        <v>8.82</v>
      </c>
      <c r="J7947" s="18">
        <v>8.85</v>
      </c>
      <c r="K7947" s="18">
        <v>8.7899999999999991</v>
      </c>
      <c r="L7947" s="22">
        <v>2</v>
      </c>
    </row>
    <row r="7948" spans="1:12">
      <c r="A7948">
        <v>8</v>
      </c>
      <c r="B7948" s="16" t="s">
        <v>63</v>
      </c>
      <c r="C7948" s="9">
        <v>46023</v>
      </c>
      <c r="D7948">
        <v>53</v>
      </c>
      <c r="E7948" s="16" t="s">
        <v>143</v>
      </c>
      <c r="F7948" s="16" t="s">
        <v>103</v>
      </c>
      <c r="G7948" s="22">
        <v>4.5</v>
      </c>
      <c r="H7948" s="18">
        <v>40.725000000000001</v>
      </c>
      <c r="I7948" s="18">
        <v>9.0500000000000007</v>
      </c>
      <c r="J7948" s="18">
        <v>9.06</v>
      </c>
      <c r="K7948" s="18">
        <v>9.0399999999999991</v>
      </c>
      <c r="L7948" s="22">
        <v>2</v>
      </c>
    </row>
    <row r="7949" spans="1:12">
      <c r="A7949">
        <v>8</v>
      </c>
      <c r="B7949" s="16" t="s">
        <v>63</v>
      </c>
      <c r="C7949" s="9">
        <v>46054</v>
      </c>
      <c r="D7949">
        <v>53</v>
      </c>
      <c r="E7949" s="16" t="s">
        <v>143</v>
      </c>
      <c r="F7949" s="16" t="s">
        <v>103</v>
      </c>
      <c r="G7949" s="22">
        <v>4.5</v>
      </c>
      <c r="H7949" s="18">
        <v>39.667499999999997</v>
      </c>
      <c r="I7949" s="18">
        <v>8.8149999999999995</v>
      </c>
      <c r="J7949" s="18">
        <v>8.82</v>
      </c>
      <c r="K7949" s="18">
        <v>8.81</v>
      </c>
      <c r="L7949" s="22">
        <v>2</v>
      </c>
    </row>
    <row r="7950" spans="1:12">
      <c r="A7950">
        <v>8</v>
      </c>
      <c r="B7950" s="16" t="s">
        <v>63</v>
      </c>
      <c r="C7950" s="9">
        <v>46082</v>
      </c>
      <c r="D7950">
        <v>53</v>
      </c>
      <c r="E7950" s="16" t="s">
        <v>143</v>
      </c>
      <c r="F7950" s="16" t="s">
        <v>103</v>
      </c>
      <c r="G7950" s="22">
        <v>2.25</v>
      </c>
      <c r="H7950" s="18">
        <v>19.9575</v>
      </c>
      <c r="I7950" s="18">
        <v>8.8699999999999992</v>
      </c>
      <c r="J7950" s="18">
        <v>8.8699999999999992</v>
      </c>
      <c r="K7950" s="18">
        <v>8.8699999999999992</v>
      </c>
      <c r="L7950" s="22">
        <v>1</v>
      </c>
    </row>
    <row r="7951" spans="1:12">
      <c r="A7951">
        <v>8</v>
      </c>
      <c r="B7951" s="16" t="s">
        <v>63</v>
      </c>
      <c r="C7951" s="9">
        <v>46113</v>
      </c>
      <c r="D7951">
        <v>53</v>
      </c>
      <c r="E7951" s="16" t="s">
        <v>143</v>
      </c>
      <c r="F7951" s="16" t="s">
        <v>103</v>
      </c>
      <c r="G7951" s="22">
        <v>4.5</v>
      </c>
      <c r="H7951" s="18">
        <v>39.307499999999997</v>
      </c>
      <c r="I7951" s="18">
        <v>8.7349999999999994</v>
      </c>
      <c r="J7951" s="18">
        <v>8.82</v>
      </c>
      <c r="K7951" s="18">
        <v>8.65</v>
      </c>
      <c r="L7951" s="22">
        <v>2</v>
      </c>
    </row>
    <row r="7952" spans="1:12">
      <c r="A7952">
        <v>8</v>
      </c>
      <c r="B7952" s="16" t="s">
        <v>63</v>
      </c>
      <c r="C7952" s="9">
        <v>46143</v>
      </c>
      <c r="D7952">
        <v>53</v>
      </c>
      <c r="E7952" s="16" t="s">
        <v>143</v>
      </c>
      <c r="F7952" s="16" t="s">
        <v>103</v>
      </c>
      <c r="G7952" s="22">
        <v>2.25</v>
      </c>
      <c r="H7952" s="18">
        <v>19.844999999999999</v>
      </c>
      <c r="I7952" s="18">
        <v>8.82</v>
      </c>
      <c r="J7952" s="18">
        <v>8.82</v>
      </c>
      <c r="K7952" s="18">
        <v>8.82</v>
      </c>
      <c r="L7952" s="22">
        <v>1</v>
      </c>
    </row>
    <row r="7953" spans="1:12">
      <c r="A7953">
        <v>8</v>
      </c>
      <c r="B7953" s="16" t="s">
        <v>63</v>
      </c>
      <c r="C7953" s="9">
        <v>46174</v>
      </c>
      <c r="D7953">
        <v>53</v>
      </c>
      <c r="E7953" s="16" t="s">
        <v>143</v>
      </c>
      <c r="F7953" s="16" t="s">
        <v>103</v>
      </c>
      <c r="G7953" s="22">
        <v>2.25</v>
      </c>
      <c r="H7953" s="18">
        <v>20.295000000000002</v>
      </c>
      <c r="I7953" s="18">
        <v>9.02</v>
      </c>
      <c r="J7953" s="18">
        <v>9.02</v>
      </c>
      <c r="K7953" s="18">
        <v>9.02</v>
      </c>
      <c r="L7953" s="22">
        <v>1</v>
      </c>
    </row>
    <row r="7954" spans="1:12">
      <c r="A7954">
        <v>8</v>
      </c>
      <c r="B7954" s="16" t="s">
        <v>63</v>
      </c>
      <c r="C7954" s="9">
        <v>46204</v>
      </c>
      <c r="D7954">
        <v>53</v>
      </c>
      <c r="E7954" s="16" t="s">
        <v>143</v>
      </c>
      <c r="F7954" s="16" t="s">
        <v>103</v>
      </c>
      <c r="G7954" s="22">
        <v>2.25</v>
      </c>
      <c r="H7954" s="18">
        <v>20.61</v>
      </c>
      <c r="I7954" s="18">
        <v>9.16</v>
      </c>
      <c r="J7954" s="18">
        <v>9.16</v>
      </c>
      <c r="K7954" s="18">
        <v>9.16</v>
      </c>
      <c r="L7954" s="22">
        <v>1</v>
      </c>
    </row>
    <row r="7955" spans="1:12">
      <c r="A7955">
        <v>8</v>
      </c>
      <c r="B7955" s="16" t="s">
        <v>63</v>
      </c>
      <c r="C7955" s="9">
        <v>46235</v>
      </c>
      <c r="D7955">
        <v>53</v>
      </c>
      <c r="E7955" s="16" t="s">
        <v>143</v>
      </c>
      <c r="F7955" s="16" t="s">
        <v>103</v>
      </c>
      <c r="G7955" s="22">
        <v>4.5</v>
      </c>
      <c r="H7955" s="18">
        <v>41.107500000000002</v>
      </c>
      <c r="I7955" s="18">
        <v>9.1349999999999998</v>
      </c>
      <c r="J7955" s="18">
        <v>9.18</v>
      </c>
      <c r="K7955" s="18">
        <v>9.09</v>
      </c>
      <c r="L7955" s="22">
        <v>2</v>
      </c>
    </row>
    <row r="7956" spans="1:12">
      <c r="A7956">
        <v>8</v>
      </c>
      <c r="B7956" s="16" t="s">
        <v>63</v>
      </c>
      <c r="C7956" s="9">
        <v>46266</v>
      </c>
      <c r="D7956">
        <v>53</v>
      </c>
      <c r="E7956" s="16" t="s">
        <v>143</v>
      </c>
      <c r="F7956" s="16" t="s">
        <v>103</v>
      </c>
      <c r="G7956" s="22">
        <v>2.25</v>
      </c>
      <c r="H7956" s="18">
        <v>20.61</v>
      </c>
      <c r="I7956" s="18">
        <v>9.16</v>
      </c>
      <c r="J7956" s="18">
        <v>9.16</v>
      </c>
      <c r="K7956" s="18">
        <v>9.16</v>
      </c>
      <c r="L7956" s="22">
        <v>1</v>
      </c>
    </row>
    <row r="7957" spans="1:12">
      <c r="A7957">
        <v>8</v>
      </c>
      <c r="B7957" s="16" t="s">
        <v>63</v>
      </c>
      <c r="C7957" s="9">
        <v>45689</v>
      </c>
      <c r="D7957">
        <v>54</v>
      </c>
      <c r="E7957" s="16" t="s">
        <v>144</v>
      </c>
      <c r="F7957" s="16" t="s">
        <v>103</v>
      </c>
      <c r="G7957" s="22">
        <v>2</v>
      </c>
      <c r="H7957" s="18">
        <v>19.75</v>
      </c>
      <c r="I7957" s="18">
        <v>9.875</v>
      </c>
      <c r="J7957" s="18">
        <v>9.9600000000000009</v>
      </c>
      <c r="K7957" s="18">
        <v>9.7899999999999991</v>
      </c>
      <c r="L7957" s="22">
        <v>2</v>
      </c>
    </row>
    <row r="7958" spans="1:12">
      <c r="A7958">
        <v>8</v>
      </c>
      <c r="B7958" s="16" t="s">
        <v>63</v>
      </c>
      <c r="C7958" s="9">
        <v>45717</v>
      </c>
      <c r="D7958">
        <v>54</v>
      </c>
      <c r="E7958" s="16" t="s">
        <v>144</v>
      </c>
      <c r="F7958" s="16" t="s">
        <v>103</v>
      </c>
      <c r="G7958" s="22">
        <v>1</v>
      </c>
      <c r="H7958" s="18">
        <v>10.01</v>
      </c>
      <c r="I7958" s="18">
        <v>10.01</v>
      </c>
      <c r="J7958" s="18">
        <v>10.01</v>
      </c>
      <c r="K7958" s="18">
        <v>10.01</v>
      </c>
      <c r="L7958" s="22">
        <v>1</v>
      </c>
    </row>
    <row r="7959" spans="1:12">
      <c r="A7959">
        <v>8</v>
      </c>
      <c r="B7959" s="16" t="s">
        <v>63</v>
      </c>
      <c r="C7959" s="9">
        <v>45748</v>
      </c>
      <c r="D7959">
        <v>54</v>
      </c>
      <c r="E7959" s="16" t="s">
        <v>144</v>
      </c>
      <c r="F7959" s="16" t="s">
        <v>103</v>
      </c>
      <c r="G7959" s="22">
        <v>2</v>
      </c>
      <c r="H7959" s="18">
        <v>20.059999999999999</v>
      </c>
      <c r="I7959" s="18">
        <v>10.029999999999999</v>
      </c>
      <c r="J7959" s="18">
        <v>10.11</v>
      </c>
      <c r="K7959" s="18">
        <v>9.9499999999999993</v>
      </c>
      <c r="L7959" s="22">
        <v>2</v>
      </c>
    </row>
    <row r="7960" spans="1:12">
      <c r="A7960">
        <v>8</v>
      </c>
      <c r="B7960" s="16" t="s">
        <v>63</v>
      </c>
      <c r="C7960" s="9">
        <v>45778</v>
      </c>
      <c r="D7960">
        <v>54</v>
      </c>
      <c r="E7960" s="16" t="s">
        <v>144</v>
      </c>
      <c r="F7960" s="16" t="s">
        <v>103</v>
      </c>
      <c r="G7960" s="22">
        <v>2</v>
      </c>
      <c r="H7960" s="18">
        <v>19.91</v>
      </c>
      <c r="I7960" s="18">
        <v>9.9550000000000001</v>
      </c>
      <c r="J7960" s="18">
        <v>10.07</v>
      </c>
      <c r="K7960" s="18">
        <v>9.84</v>
      </c>
      <c r="L7960" s="22">
        <v>2</v>
      </c>
    </row>
    <row r="7961" spans="1:12">
      <c r="A7961">
        <v>8</v>
      </c>
      <c r="B7961" s="16" t="s">
        <v>63</v>
      </c>
      <c r="C7961" s="9">
        <v>45809</v>
      </c>
      <c r="D7961">
        <v>54</v>
      </c>
      <c r="E7961" s="16" t="s">
        <v>144</v>
      </c>
      <c r="F7961" s="16" t="s">
        <v>103</v>
      </c>
      <c r="G7961" s="22">
        <v>2</v>
      </c>
      <c r="H7961" s="18">
        <v>19.940000000000001</v>
      </c>
      <c r="I7961" s="18">
        <v>9.9700000000000006</v>
      </c>
      <c r="J7961" s="18">
        <v>9.9700000000000006</v>
      </c>
      <c r="K7961" s="18">
        <v>9.9700000000000006</v>
      </c>
      <c r="L7961" s="22">
        <v>1</v>
      </c>
    </row>
    <row r="7962" spans="1:12">
      <c r="A7962">
        <v>8</v>
      </c>
      <c r="B7962" s="16" t="s">
        <v>63</v>
      </c>
      <c r="C7962" s="9">
        <v>45839</v>
      </c>
      <c r="D7962">
        <v>54</v>
      </c>
      <c r="E7962" s="16" t="s">
        <v>144</v>
      </c>
      <c r="F7962" s="16" t="s">
        <v>103</v>
      </c>
      <c r="G7962" s="22">
        <v>1</v>
      </c>
      <c r="H7962" s="18">
        <v>10.27</v>
      </c>
      <c r="I7962" s="18">
        <v>10.27</v>
      </c>
      <c r="J7962" s="18">
        <v>10.27</v>
      </c>
      <c r="K7962" s="18">
        <v>10.27</v>
      </c>
      <c r="L7962" s="22">
        <v>1</v>
      </c>
    </row>
    <row r="7963" spans="1:12">
      <c r="A7963">
        <v>8</v>
      </c>
      <c r="B7963" s="16" t="s">
        <v>63</v>
      </c>
      <c r="C7963" s="9">
        <v>45870</v>
      </c>
      <c r="D7963">
        <v>54</v>
      </c>
      <c r="E7963" s="16" t="s">
        <v>144</v>
      </c>
      <c r="F7963" s="16" t="s">
        <v>103</v>
      </c>
      <c r="G7963" s="22">
        <v>2</v>
      </c>
      <c r="H7963" s="18">
        <v>21</v>
      </c>
      <c r="I7963" s="18">
        <v>10.5</v>
      </c>
      <c r="J7963" s="18">
        <v>10.65</v>
      </c>
      <c r="K7963" s="18">
        <v>10.35</v>
      </c>
      <c r="L7963" s="22">
        <v>2</v>
      </c>
    </row>
    <row r="7964" spans="1:12">
      <c r="A7964">
        <v>8</v>
      </c>
      <c r="B7964" s="16" t="s">
        <v>63</v>
      </c>
      <c r="C7964" s="9">
        <v>45901</v>
      </c>
      <c r="D7964">
        <v>54</v>
      </c>
      <c r="E7964" s="16" t="s">
        <v>144</v>
      </c>
      <c r="F7964" s="16" t="s">
        <v>103</v>
      </c>
      <c r="G7964" s="22">
        <v>1</v>
      </c>
      <c r="H7964" s="18">
        <v>10.65</v>
      </c>
      <c r="I7964" s="18">
        <v>10.65</v>
      </c>
      <c r="J7964" s="18">
        <v>10.65</v>
      </c>
      <c r="K7964" s="18">
        <v>10.65</v>
      </c>
      <c r="L7964" s="22">
        <v>1</v>
      </c>
    </row>
    <row r="7965" spans="1:12">
      <c r="A7965">
        <v>8</v>
      </c>
      <c r="B7965" s="16" t="s">
        <v>63</v>
      </c>
      <c r="C7965" s="9">
        <v>45931</v>
      </c>
      <c r="D7965">
        <v>54</v>
      </c>
      <c r="E7965" s="16" t="s">
        <v>144</v>
      </c>
      <c r="F7965" s="16" t="s">
        <v>103</v>
      </c>
      <c r="G7965" s="22">
        <v>2</v>
      </c>
      <c r="H7965" s="18">
        <v>20.73</v>
      </c>
      <c r="I7965" s="18">
        <v>10.365</v>
      </c>
      <c r="J7965" s="18">
        <v>10.43</v>
      </c>
      <c r="K7965" s="18">
        <v>10.3</v>
      </c>
      <c r="L7965" s="22">
        <v>2</v>
      </c>
    </row>
    <row r="7966" spans="1:12">
      <c r="A7966">
        <v>8</v>
      </c>
      <c r="B7966" s="16" t="s">
        <v>63</v>
      </c>
      <c r="C7966" s="9">
        <v>45962</v>
      </c>
      <c r="D7966">
        <v>54</v>
      </c>
      <c r="E7966" s="16" t="s">
        <v>144</v>
      </c>
      <c r="F7966" s="16" t="s">
        <v>103</v>
      </c>
      <c r="G7966" s="22">
        <v>2</v>
      </c>
      <c r="H7966" s="18">
        <v>21.23</v>
      </c>
      <c r="I7966" s="18">
        <v>10.615</v>
      </c>
      <c r="J7966" s="18">
        <v>10.71</v>
      </c>
      <c r="K7966" s="18">
        <v>10.52</v>
      </c>
      <c r="L7966" s="22">
        <v>2</v>
      </c>
    </row>
    <row r="7967" spans="1:12">
      <c r="A7967">
        <v>8</v>
      </c>
      <c r="B7967" s="16" t="s">
        <v>63</v>
      </c>
      <c r="C7967" s="9">
        <v>45992</v>
      </c>
      <c r="D7967">
        <v>54</v>
      </c>
      <c r="E7967" s="16" t="s">
        <v>144</v>
      </c>
      <c r="F7967" s="16" t="s">
        <v>103</v>
      </c>
      <c r="G7967" s="22">
        <v>2</v>
      </c>
      <c r="H7967" s="18">
        <v>21.1</v>
      </c>
      <c r="I7967" s="18">
        <v>10.55</v>
      </c>
      <c r="J7967" s="18">
        <v>10.63</v>
      </c>
      <c r="K7967" s="18">
        <v>10.47</v>
      </c>
      <c r="L7967" s="22">
        <v>2</v>
      </c>
    </row>
    <row r="7968" spans="1:12">
      <c r="A7968">
        <v>8</v>
      </c>
      <c r="B7968" s="16" t="s">
        <v>63</v>
      </c>
      <c r="C7968" s="9">
        <v>46023</v>
      </c>
      <c r="D7968">
        <v>54</v>
      </c>
      <c r="E7968" s="16" t="s">
        <v>144</v>
      </c>
      <c r="F7968" s="16" t="s">
        <v>103</v>
      </c>
      <c r="G7968" s="22">
        <v>1</v>
      </c>
      <c r="H7968" s="18">
        <v>10.48</v>
      </c>
      <c r="I7968" s="18">
        <v>10.48</v>
      </c>
      <c r="J7968" s="18">
        <v>10.48</v>
      </c>
      <c r="K7968" s="18">
        <v>10.48</v>
      </c>
      <c r="L7968" s="22">
        <v>1</v>
      </c>
    </row>
    <row r="7969" spans="1:12">
      <c r="A7969">
        <v>8</v>
      </c>
      <c r="B7969" s="16" t="s">
        <v>63</v>
      </c>
      <c r="C7969" s="9">
        <v>46054</v>
      </c>
      <c r="D7969">
        <v>54</v>
      </c>
      <c r="E7969" s="16" t="s">
        <v>144</v>
      </c>
      <c r="F7969" s="16" t="s">
        <v>103</v>
      </c>
      <c r="G7969" s="22">
        <v>2</v>
      </c>
      <c r="H7969" s="18">
        <v>21.1</v>
      </c>
      <c r="I7969" s="18">
        <v>10.55</v>
      </c>
      <c r="J7969" s="18">
        <v>10.6</v>
      </c>
      <c r="K7969" s="18">
        <v>10.5</v>
      </c>
      <c r="L7969" s="22">
        <v>2</v>
      </c>
    </row>
    <row r="7970" spans="1:12">
      <c r="A7970">
        <v>8</v>
      </c>
      <c r="B7970" s="16" t="s">
        <v>63</v>
      </c>
      <c r="C7970" s="9">
        <v>46082</v>
      </c>
      <c r="D7970">
        <v>54</v>
      </c>
      <c r="E7970" s="16" t="s">
        <v>144</v>
      </c>
      <c r="F7970" s="16" t="s">
        <v>103</v>
      </c>
      <c r="G7970" s="22">
        <v>1</v>
      </c>
      <c r="H7970" s="18">
        <v>10.71</v>
      </c>
      <c r="I7970" s="18">
        <v>10.71</v>
      </c>
      <c r="J7970" s="18">
        <v>10.71</v>
      </c>
      <c r="K7970" s="18">
        <v>10.71</v>
      </c>
      <c r="L7970" s="22">
        <v>1</v>
      </c>
    </row>
    <row r="7971" spans="1:12">
      <c r="A7971">
        <v>8</v>
      </c>
      <c r="B7971" s="16" t="s">
        <v>63</v>
      </c>
      <c r="C7971" s="9">
        <v>46113</v>
      </c>
      <c r="D7971">
        <v>54</v>
      </c>
      <c r="E7971" s="16" t="s">
        <v>144</v>
      </c>
      <c r="F7971" s="16" t="s">
        <v>103</v>
      </c>
      <c r="G7971" s="22">
        <v>2</v>
      </c>
      <c r="H7971" s="18">
        <v>21.44</v>
      </c>
      <c r="I7971" s="18">
        <v>10.72</v>
      </c>
      <c r="J7971" s="18">
        <v>11.06</v>
      </c>
      <c r="K7971" s="18">
        <v>10.38</v>
      </c>
      <c r="L7971" s="22">
        <v>2</v>
      </c>
    </row>
    <row r="7972" spans="1:12">
      <c r="A7972">
        <v>8</v>
      </c>
      <c r="B7972" s="16" t="s">
        <v>63</v>
      </c>
      <c r="C7972" s="9">
        <v>46143</v>
      </c>
      <c r="D7972">
        <v>54</v>
      </c>
      <c r="E7972" s="16" t="s">
        <v>144</v>
      </c>
      <c r="F7972" s="16" t="s">
        <v>103</v>
      </c>
      <c r="G7972" s="22">
        <v>1</v>
      </c>
      <c r="H7972" s="18">
        <v>11.1</v>
      </c>
      <c r="I7972" s="18">
        <v>11.1</v>
      </c>
      <c r="J7972" s="18">
        <v>11.1</v>
      </c>
      <c r="K7972" s="18">
        <v>11.1</v>
      </c>
      <c r="L7972" s="22">
        <v>1</v>
      </c>
    </row>
    <row r="7973" spans="1:12">
      <c r="A7973">
        <v>8</v>
      </c>
      <c r="B7973" s="16" t="s">
        <v>63</v>
      </c>
      <c r="C7973" s="9">
        <v>46174</v>
      </c>
      <c r="D7973">
        <v>54</v>
      </c>
      <c r="E7973" s="16" t="s">
        <v>144</v>
      </c>
      <c r="F7973" s="16" t="s">
        <v>103</v>
      </c>
      <c r="G7973" s="22">
        <v>1</v>
      </c>
      <c r="H7973" s="18">
        <v>11.29</v>
      </c>
      <c r="I7973" s="18">
        <v>11.29</v>
      </c>
      <c r="J7973" s="18">
        <v>11.29</v>
      </c>
      <c r="K7973" s="18">
        <v>11.29</v>
      </c>
      <c r="L7973" s="22">
        <v>1</v>
      </c>
    </row>
    <row r="7974" spans="1:12">
      <c r="A7974">
        <v>8</v>
      </c>
      <c r="B7974" s="16" t="s">
        <v>63</v>
      </c>
      <c r="C7974" s="9">
        <v>46204</v>
      </c>
      <c r="D7974">
        <v>54</v>
      </c>
      <c r="E7974" s="16" t="s">
        <v>144</v>
      </c>
      <c r="F7974" s="16" t="s">
        <v>103</v>
      </c>
      <c r="G7974" s="22">
        <v>1</v>
      </c>
      <c r="H7974" s="18">
        <v>11.1</v>
      </c>
      <c r="I7974" s="18">
        <v>11.1</v>
      </c>
      <c r="J7974" s="18">
        <v>11.1</v>
      </c>
      <c r="K7974" s="18">
        <v>11.1</v>
      </c>
      <c r="L7974" s="22">
        <v>1</v>
      </c>
    </row>
    <row r="7975" spans="1:12">
      <c r="A7975">
        <v>8</v>
      </c>
      <c r="B7975" s="16" t="s">
        <v>63</v>
      </c>
      <c r="C7975" s="9">
        <v>46235</v>
      </c>
      <c r="D7975">
        <v>54</v>
      </c>
      <c r="E7975" s="16" t="s">
        <v>144</v>
      </c>
      <c r="F7975" s="16" t="s">
        <v>103</v>
      </c>
      <c r="G7975" s="22">
        <v>1</v>
      </c>
      <c r="H7975" s="18">
        <v>11.28</v>
      </c>
      <c r="I7975" s="18">
        <v>11.28</v>
      </c>
      <c r="J7975" s="18">
        <v>11.28</v>
      </c>
      <c r="K7975" s="18">
        <v>11.28</v>
      </c>
      <c r="L7975" s="22">
        <v>1</v>
      </c>
    </row>
    <row r="7976" spans="1:12">
      <c r="A7976">
        <v>8</v>
      </c>
      <c r="B7976" s="16" t="s">
        <v>63</v>
      </c>
      <c r="C7976" s="9">
        <v>46266</v>
      </c>
      <c r="D7976">
        <v>54</v>
      </c>
      <c r="E7976" s="16" t="s">
        <v>144</v>
      </c>
      <c r="F7976" s="16" t="s">
        <v>103</v>
      </c>
      <c r="G7976" s="22">
        <v>2</v>
      </c>
      <c r="H7976" s="18">
        <v>22.33</v>
      </c>
      <c r="I7976" s="18">
        <v>11.164999999999999</v>
      </c>
      <c r="J7976" s="18">
        <v>11.29</v>
      </c>
      <c r="K7976" s="18">
        <v>11.04</v>
      </c>
      <c r="L7976" s="22">
        <v>2</v>
      </c>
    </row>
    <row r="7977" spans="1:12">
      <c r="A7977">
        <v>8</v>
      </c>
      <c r="B7977" s="16" t="s">
        <v>63</v>
      </c>
      <c r="C7977" s="9">
        <v>45689</v>
      </c>
      <c r="D7977">
        <v>55</v>
      </c>
      <c r="E7977" s="16" t="s">
        <v>145</v>
      </c>
      <c r="F7977" s="16" t="s">
        <v>83</v>
      </c>
      <c r="G7977" s="22">
        <v>4.5</v>
      </c>
      <c r="H7977" s="18">
        <v>27.19</v>
      </c>
      <c r="I7977" s="18">
        <v>6.0422222220000004</v>
      </c>
      <c r="J7977" s="18">
        <v>6.09</v>
      </c>
      <c r="K7977" s="18">
        <v>5.96</v>
      </c>
      <c r="L7977" s="22">
        <v>8</v>
      </c>
    </row>
    <row r="7978" spans="1:12">
      <c r="A7978">
        <v>8</v>
      </c>
      <c r="B7978" s="16" t="s">
        <v>63</v>
      </c>
      <c r="C7978" s="9">
        <v>45717</v>
      </c>
      <c r="D7978">
        <v>55</v>
      </c>
      <c r="E7978" s="16" t="s">
        <v>145</v>
      </c>
      <c r="F7978" s="16" t="s">
        <v>83</v>
      </c>
      <c r="G7978" s="22">
        <v>4.5</v>
      </c>
      <c r="H7978" s="18">
        <v>27.21</v>
      </c>
      <c r="I7978" s="18">
        <v>6.0466666670000002</v>
      </c>
      <c r="J7978" s="18">
        <v>6.14</v>
      </c>
      <c r="K7978" s="18">
        <v>5.9</v>
      </c>
      <c r="L7978" s="22">
        <v>7</v>
      </c>
    </row>
    <row r="7979" spans="1:12">
      <c r="A7979">
        <v>8</v>
      </c>
      <c r="B7979" s="16" t="s">
        <v>63</v>
      </c>
      <c r="C7979" s="9">
        <v>45748</v>
      </c>
      <c r="D7979">
        <v>55</v>
      </c>
      <c r="E7979" s="16" t="s">
        <v>145</v>
      </c>
      <c r="F7979" s="16" t="s">
        <v>83</v>
      </c>
      <c r="G7979" s="22">
        <v>5.5</v>
      </c>
      <c r="H7979" s="18">
        <v>33.549999999999997</v>
      </c>
      <c r="I7979" s="18">
        <v>6.1</v>
      </c>
      <c r="J7979" s="18">
        <v>6.21</v>
      </c>
      <c r="K7979" s="18">
        <v>5.92</v>
      </c>
      <c r="L7979" s="22">
        <v>8</v>
      </c>
    </row>
    <row r="7980" spans="1:12">
      <c r="A7980">
        <v>8</v>
      </c>
      <c r="B7980" s="16" t="s">
        <v>63</v>
      </c>
      <c r="C7980" s="9">
        <v>45778</v>
      </c>
      <c r="D7980">
        <v>55</v>
      </c>
      <c r="E7980" s="16" t="s">
        <v>145</v>
      </c>
      <c r="F7980" s="16" t="s">
        <v>83</v>
      </c>
      <c r="G7980" s="22">
        <v>7.5</v>
      </c>
      <c r="H7980" s="18">
        <v>45.765000000000001</v>
      </c>
      <c r="I7980" s="18">
        <v>6.1020000000000003</v>
      </c>
      <c r="J7980" s="18">
        <v>6.25</v>
      </c>
      <c r="K7980" s="18">
        <v>5.93</v>
      </c>
      <c r="L7980" s="22">
        <v>9</v>
      </c>
    </row>
    <row r="7981" spans="1:12">
      <c r="A7981">
        <v>8</v>
      </c>
      <c r="B7981" s="16" t="s">
        <v>63</v>
      </c>
      <c r="C7981" s="9">
        <v>45809</v>
      </c>
      <c r="D7981">
        <v>55</v>
      </c>
      <c r="E7981" s="16" t="s">
        <v>145</v>
      </c>
      <c r="F7981" s="16" t="s">
        <v>83</v>
      </c>
      <c r="G7981" s="22">
        <v>7.5</v>
      </c>
      <c r="H7981" s="18">
        <v>45.85</v>
      </c>
      <c r="I7981" s="18">
        <v>6.1133333329999999</v>
      </c>
      <c r="J7981" s="18">
        <v>6.25</v>
      </c>
      <c r="K7981" s="18">
        <v>6.04</v>
      </c>
      <c r="L7981" s="22">
        <v>9</v>
      </c>
    </row>
    <row r="7982" spans="1:12">
      <c r="A7982">
        <v>8</v>
      </c>
      <c r="B7982" s="16" t="s">
        <v>63</v>
      </c>
      <c r="C7982" s="9">
        <v>45839</v>
      </c>
      <c r="D7982">
        <v>55</v>
      </c>
      <c r="E7982" s="16" t="s">
        <v>145</v>
      </c>
      <c r="F7982" s="16" t="s">
        <v>83</v>
      </c>
      <c r="G7982" s="22">
        <v>6</v>
      </c>
      <c r="H7982" s="18">
        <v>37.104999999999997</v>
      </c>
      <c r="I7982" s="18">
        <v>6.1841666670000004</v>
      </c>
      <c r="J7982" s="18">
        <v>6.31</v>
      </c>
      <c r="K7982" s="18">
        <v>6.05</v>
      </c>
      <c r="L7982" s="22">
        <v>7</v>
      </c>
    </row>
    <row r="7983" spans="1:12">
      <c r="A7983">
        <v>8</v>
      </c>
      <c r="B7983" s="16" t="s">
        <v>63</v>
      </c>
      <c r="C7983" s="9">
        <v>45870</v>
      </c>
      <c r="D7983">
        <v>55</v>
      </c>
      <c r="E7983" s="16" t="s">
        <v>145</v>
      </c>
      <c r="F7983" s="16" t="s">
        <v>83</v>
      </c>
      <c r="G7983" s="22">
        <v>7</v>
      </c>
      <c r="H7983" s="18">
        <v>44.18</v>
      </c>
      <c r="I7983" s="18">
        <v>6.3114285710000004</v>
      </c>
      <c r="J7983" s="18">
        <v>6.4</v>
      </c>
      <c r="K7983" s="18">
        <v>6.19</v>
      </c>
      <c r="L7983" s="22">
        <v>8</v>
      </c>
    </row>
    <row r="7984" spans="1:12">
      <c r="A7984">
        <v>8</v>
      </c>
      <c r="B7984" s="16" t="s">
        <v>63</v>
      </c>
      <c r="C7984" s="9">
        <v>45901</v>
      </c>
      <c r="D7984">
        <v>55</v>
      </c>
      <c r="E7984" s="16" t="s">
        <v>145</v>
      </c>
      <c r="F7984" s="16" t="s">
        <v>83</v>
      </c>
      <c r="G7984" s="22">
        <v>6</v>
      </c>
      <c r="H7984" s="18">
        <v>37.594999999999999</v>
      </c>
      <c r="I7984" s="18">
        <v>6.2658333329999998</v>
      </c>
      <c r="J7984" s="18">
        <v>6.38</v>
      </c>
      <c r="K7984" s="18">
        <v>6.16</v>
      </c>
      <c r="L7984" s="22">
        <v>8</v>
      </c>
    </row>
    <row r="7985" spans="1:12">
      <c r="A7985">
        <v>8</v>
      </c>
      <c r="B7985" s="16" t="s">
        <v>63</v>
      </c>
      <c r="C7985" s="9">
        <v>45931</v>
      </c>
      <c r="D7985">
        <v>55</v>
      </c>
      <c r="E7985" s="16" t="s">
        <v>145</v>
      </c>
      <c r="F7985" s="16" t="s">
        <v>83</v>
      </c>
      <c r="G7985" s="22">
        <v>7</v>
      </c>
      <c r="H7985" s="18">
        <v>44.24</v>
      </c>
      <c r="I7985" s="18">
        <v>6.32</v>
      </c>
      <c r="J7985" s="18">
        <v>6.39</v>
      </c>
      <c r="K7985" s="18">
        <v>6.23</v>
      </c>
      <c r="L7985" s="22">
        <v>9</v>
      </c>
    </row>
    <row r="7986" spans="1:12">
      <c r="A7986">
        <v>8</v>
      </c>
      <c r="B7986" s="16" t="s">
        <v>63</v>
      </c>
      <c r="C7986" s="9">
        <v>45962</v>
      </c>
      <c r="D7986">
        <v>55</v>
      </c>
      <c r="E7986" s="16" t="s">
        <v>145</v>
      </c>
      <c r="F7986" s="16" t="s">
        <v>83</v>
      </c>
      <c r="G7986" s="22">
        <v>4.5</v>
      </c>
      <c r="H7986" s="18">
        <v>28.614999999999998</v>
      </c>
      <c r="I7986" s="18">
        <v>6.3588888890000002</v>
      </c>
      <c r="J7986" s="18">
        <v>6.47</v>
      </c>
      <c r="K7986" s="18">
        <v>6.17</v>
      </c>
      <c r="L7986" s="22">
        <v>7</v>
      </c>
    </row>
    <row r="7987" spans="1:12">
      <c r="A7987">
        <v>8</v>
      </c>
      <c r="B7987" s="16" t="s">
        <v>63</v>
      </c>
      <c r="C7987" s="9">
        <v>45992</v>
      </c>
      <c r="D7987">
        <v>55</v>
      </c>
      <c r="E7987" s="16" t="s">
        <v>145</v>
      </c>
      <c r="F7987" s="16" t="s">
        <v>83</v>
      </c>
      <c r="G7987" s="22">
        <v>5</v>
      </c>
      <c r="H7987" s="18">
        <v>31.74</v>
      </c>
      <c r="I7987" s="18">
        <v>6.3479999999999999</v>
      </c>
      <c r="J7987" s="18">
        <v>6.41</v>
      </c>
      <c r="K7987" s="18">
        <v>6.26</v>
      </c>
      <c r="L7987" s="22">
        <v>8</v>
      </c>
    </row>
    <row r="7988" spans="1:12">
      <c r="A7988">
        <v>8</v>
      </c>
      <c r="B7988" s="16" t="s">
        <v>63</v>
      </c>
      <c r="C7988" s="9">
        <v>46023</v>
      </c>
      <c r="D7988">
        <v>55</v>
      </c>
      <c r="E7988" s="16" t="s">
        <v>145</v>
      </c>
      <c r="F7988" s="16" t="s">
        <v>83</v>
      </c>
      <c r="G7988" s="22">
        <v>5.5</v>
      </c>
      <c r="H7988" s="18">
        <v>34.71</v>
      </c>
      <c r="I7988" s="18">
        <v>6.3109090910000001</v>
      </c>
      <c r="J7988" s="18">
        <v>6.42</v>
      </c>
      <c r="K7988" s="18">
        <v>6.19</v>
      </c>
      <c r="L7988" s="22">
        <v>9</v>
      </c>
    </row>
    <row r="7989" spans="1:12">
      <c r="A7989">
        <v>8</v>
      </c>
      <c r="B7989" s="16" t="s">
        <v>63</v>
      </c>
      <c r="C7989" s="9">
        <v>46054</v>
      </c>
      <c r="D7989">
        <v>55</v>
      </c>
      <c r="E7989" s="16" t="s">
        <v>145</v>
      </c>
      <c r="F7989" s="16" t="s">
        <v>83</v>
      </c>
      <c r="G7989" s="22">
        <v>3.5</v>
      </c>
      <c r="H7989" s="18">
        <v>22.204999999999998</v>
      </c>
      <c r="I7989" s="18">
        <v>6.3442857139999997</v>
      </c>
      <c r="J7989" s="18">
        <v>6.42</v>
      </c>
      <c r="K7989" s="18">
        <v>6.26</v>
      </c>
      <c r="L7989" s="22">
        <v>6</v>
      </c>
    </row>
    <row r="7990" spans="1:12">
      <c r="A7990">
        <v>8</v>
      </c>
      <c r="B7990" s="16" t="s">
        <v>63</v>
      </c>
      <c r="C7990" s="9">
        <v>46082</v>
      </c>
      <c r="D7990">
        <v>55</v>
      </c>
      <c r="E7990" s="16" t="s">
        <v>145</v>
      </c>
      <c r="F7990" s="16" t="s">
        <v>83</v>
      </c>
      <c r="G7990" s="22">
        <v>5.5</v>
      </c>
      <c r="H7990" s="18">
        <v>35.225000000000001</v>
      </c>
      <c r="I7990" s="18">
        <v>6.4045454550000001</v>
      </c>
      <c r="J7990" s="18">
        <v>6.47</v>
      </c>
      <c r="K7990" s="18">
        <v>6.32</v>
      </c>
      <c r="L7990" s="22">
        <v>8</v>
      </c>
    </row>
    <row r="7991" spans="1:12">
      <c r="A7991">
        <v>8</v>
      </c>
      <c r="B7991" s="16" t="s">
        <v>63</v>
      </c>
      <c r="C7991" s="9">
        <v>46113</v>
      </c>
      <c r="D7991">
        <v>55</v>
      </c>
      <c r="E7991" s="16" t="s">
        <v>145</v>
      </c>
      <c r="F7991" s="16" t="s">
        <v>83</v>
      </c>
      <c r="G7991" s="22">
        <v>5.5</v>
      </c>
      <c r="H7991" s="18">
        <v>34.765000000000001</v>
      </c>
      <c r="I7991" s="18">
        <v>6.3209090909999999</v>
      </c>
      <c r="J7991" s="18">
        <v>6.43</v>
      </c>
      <c r="K7991" s="18">
        <v>6.22</v>
      </c>
      <c r="L7991" s="22">
        <v>9</v>
      </c>
    </row>
    <row r="7992" spans="1:12">
      <c r="A7992">
        <v>8</v>
      </c>
      <c r="B7992" s="16" t="s">
        <v>63</v>
      </c>
      <c r="C7992" s="9">
        <v>46143</v>
      </c>
      <c r="D7992">
        <v>55</v>
      </c>
      <c r="E7992" s="16" t="s">
        <v>145</v>
      </c>
      <c r="F7992" s="16" t="s">
        <v>83</v>
      </c>
      <c r="G7992" s="22">
        <v>4.5</v>
      </c>
      <c r="H7992" s="18">
        <v>28.524999999999999</v>
      </c>
      <c r="I7992" s="18">
        <v>6.3388888889999997</v>
      </c>
      <c r="J7992" s="18">
        <v>6.44</v>
      </c>
      <c r="K7992" s="18">
        <v>6.22</v>
      </c>
      <c r="L7992" s="22">
        <v>7</v>
      </c>
    </row>
    <row r="7993" spans="1:12">
      <c r="A7993">
        <v>8</v>
      </c>
      <c r="B7993" s="16" t="s">
        <v>63</v>
      </c>
      <c r="C7993" s="9">
        <v>46174</v>
      </c>
      <c r="D7993">
        <v>55</v>
      </c>
      <c r="E7993" s="16" t="s">
        <v>145</v>
      </c>
      <c r="F7993" s="16" t="s">
        <v>83</v>
      </c>
      <c r="G7993" s="22">
        <v>6</v>
      </c>
      <c r="H7993" s="18">
        <v>38.204999999999998</v>
      </c>
      <c r="I7993" s="18">
        <v>6.3674999999999997</v>
      </c>
      <c r="J7993" s="18">
        <v>6.5</v>
      </c>
      <c r="K7993" s="18">
        <v>6.24</v>
      </c>
      <c r="L7993" s="22">
        <v>9</v>
      </c>
    </row>
    <row r="7994" spans="1:12">
      <c r="A7994">
        <v>8</v>
      </c>
      <c r="B7994" s="16" t="s">
        <v>63</v>
      </c>
      <c r="C7994" s="9">
        <v>46204</v>
      </c>
      <c r="D7994">
        <v>55</v>
      </c>
      <c r="E7994" s="16" t="s">
        <v>145</v>
      </c>
      <c r="F7994" s="16" t="s">
        <v>83</v>
      </c>
      <c r="G7994" s="22">
        <v>6.5</v>
      </c>
      <c r="H7994" s="18">
        <v>40.99</v>
      </c>
      <c r="I7994" s="18">
        <v>6.306153846</v>
      </c>
      <c r="J7994" s="18">
        <v>6.54</v>
      </c>
      <c r="K7994" s="18">
        <v>6.14</v>
      </c>
      <c r="L7994" s="22">
        <v>9</v>
      </c>
    </row>
    <row r="7995" spans="1:12">
      <c r="A7995">
        <v>8</v>
      </c>
      <c r="B7995" s="16" t="s">
        <v>63</v>
      </c>
      <c r="C7995" s="9">
        <v>46235</v>
      </c>
      <c r="D7995">
        <v>55</v>
      </c>
      <c r="E7995" s="16" t="s">
        <v>145</v>
      </c>
      <c r="F7995" s="16" t="s">
        <v>83</v>
      </c>
      <c r="G7995" s="22">
        <v>5.5</v>
      </c>
      <c r="H7995" s="18">
        <v>34.17</v>
      </c>
      <c r="I7995" s="18">
        <v>6.2127272729999996</v>
      </c>
      <c r="J7995" s="18">
        <v>6.29</v>
      </c>
      <c r="K7995" s="18">
        <v>6.1</v>
      </c>
      <c r="L7995" s="22">
        <v>7</v>
      </c>
    </row>
    <row r="7996" spans="1:12">
      <c r="A7996">
        <v>8</v>
      </c>
      <c r="B7996" s="16" t="s">
        <v>63</v>
      </c>
      <c r="C7996" s="9">
        <v>46266</v>
      </c>
      <c r="D7996">
        <v>55</v>
      </c>
      <c r="E7996" s="16" t="s">
        <v>145</v>
      </c>
      <c r="F7996" s="16" t="s">
        <v>83</v>
      </c>
      <c r="G7996" s="22">
        <v>5</v>
      </c>
      <c r="H7996" s="18">
        <v>31.445</v>
      </c>
      <c r="I7996" s="18">
        <v>6.2889999999999997</v>
      </c>
      <c r="J7996" s="18">
        <v>6.45</v>
      </c>
      <c r="K7996" s="18">
        <v>6.15</v>
      </c>
      <c r="L7996" s="22">
        <v>7</v>
      </c>
    </row>
    <row r="7997" spans="1:12">
      <c r="A7997">
        <v>8</v>
      </c>
      <c r="B7997" s="16" t="s">
        <v>63</v>
      </c>
      <c r="C7997" s="9">
        <v>45689</v>
      </c>
      <c r="D7997">
        <v>56</v>
      </c>
      <c r="E7997" s="16" t="s">
        <v>146</v>
      </c>
      <c r="F7997" s="16" t="s">
        <v>138</v>
      </c>
      <c r="G7997" s="22">
        <v>6</v>
      </c>
      <c r="H7997" s="18">
        <v>51.112499999999997</v>
      </c>
      <c r="I7997" s="18">
        <v>8.5187500000000007</v>
      </c>
      <c r="J7997" s="18">
        <v>8.57</v>
      </c>
      <c r="K7997" s="18">
        <v>8.3800000000000008</v>
      </c>
      <c r="L7997" s="22">
        <v>6</v>
      </c>
    </row>
    <row r="7998" spans="1:12">
      <c r="A7998">
        <v>8</v>
      </c>
      <c r="B7998" s="16" t="s">
        <v>63</v>
      </c>
      <c r="C7998" s="9">
        <v>45717</v>
      </c>
      <c r="D7998">
        <v>56</v>
      </c>
      <c r="E7998" s="16" t="s">
        <v>146</v>
      </c>
      <c r="F7998" s="16" t="s">
        <v>138</v>
      </c>
      <c r="G7998" s="22">
        <v>5.75</v>
      </c>
      <c r="H7998" s="18">
        <v>48.402500000000003</v>
      </c>
      <c r="I7998" s="18">
        <v>8.4178260869999999</v>
      </c>
      <c r="J7998" s="18">
        <v>8.5500000000000007</v>
      </c>
      <c r="K7998" s="18">
        <v>8.31</v>
      </c>
      <c r="L7998" s="22">
        <v>5</v>
      </c>
    </row>
    <row r="7999" spans="1:12">
      <c r="A7999">
        <v>8</v>
      </c>
      <c r="B7999" s="16" t="s">
        <v>63</v>
      </c>
      <c r="C7999" s="9">
        <v>45748</v>
      </c>
      <c r="D7999">
        <v>56</v>
      </c>
      <c r="E7999" s="16" t="s">
        <v>146</v>
      </c>
      <c r="F7999" s="16" t="s">
        <v>138</v>
      </c>
      <c r="G7999" s="22">
        <v>7.75</v>
      </c>
      <c r="H7999" s="18">
        <v>65.069999999999993</v>
      </c>
      <c r="I7999" s="18">
        <v>8.3961290319999993</v>
      </c>
      <c r="J7999" s="18">
        <v>8.68</v>
      </c>
      <c r="K7999" s="18">
        <v>8.06</v>
      </c>
      <c r="L7999" s="22">
        <v>9</v>
      </c>
    </row>
    <row r="8000" spans="1:12">
      <c r="A8000">
        <v>8</v>
      </c>
      <c r="B8000" s="16" t="s">
        <v>63</v>
      </c>
      <c r="C8000" s="9">
        <v>45778</v>
      </c>
      <c r="D8000">
        <v>56</v>
      </c>
      <c r="E8000" s="16" t="s">
        <v>146</v>
      </c>
      <c r="F8000" s="16" t="s">
        <v>138</v>
      </c>
      <c r="G8000" s="22">
        <v>13.5</v>
      </c>
      <c r="H8000" s="18">
        <v>111.29</v>
      </c>
      <c r="I8000" s="18">
        <v>8.2437037039999996</v>
      </c>
      <c r="J8000" s="18">
        <v>8.41</v>
      </c>
      <c r="K8000" s="18">
        <v>8.18</v>
      </c>
      <c r="L8000" s="22">
        <v>9</v>
      </c>
    </row>
    <row r="8001" spans="1:12">
      <c r="A8001">
        <v>8</v>
      </c>
      <c r="B8001" s="16" t="s">
        <v>63</v>
      </c>
      <c r="C8001" s="9">
        <v>45809</v>
      </c>
      <c r="D8001">
        <v>56</v>
      </c>
      <c r="E8001" s="16" t="s">
        <v>146</v>
      </c>
      <c r="F8001" s="16" t="s">
        <v>138</v>
      </c>
      <c r="G8001" s="22">
        <v>12.75</v>
      </c>
      <c r="H8001" s="18">
        <v>105.63249999999999</v>
      </c>
      <c r="I8001" s="18">
        <v>8.2849019609999992</v>
      </c>
      <c r="J8001" s="18">
        <v>8.48</v>
      </c>
      <c r="K8001" s="18">
        <v>8.11</v>
      </c>
      <c r="L8001" s="22">
        <v>8</v>
      </c>
    </row>
    <row r="8002" spans="1:12">
      <c r="A8002">
        <v>8</v>
      </c>
      <c r="B8002" s="16" t="s">
        <v>63</v>
      </c>
      <c r="C8002" s="9">
        <v>45839</v>
      </c>
      <c r="D8002">
        <v>56</v>
      </c>
      <c r="E8002" s="16" t="s">
        <v>146</v>
      </c>
      <c r="F8002" s="16" t="s">
        <v>138</v>
      </c>
      <c r="G8002" s="22">
        <v>13</v>
      </c>
      <c r="H8002" s="18">
        <v>106.795</v>
      </c>
      <c r="I8002" s="18">
        <v>8.2149999999999999</v>
      </c>
      <c r="J8002" s="18">
        <v>8.32</v>
      </c>
      <c r="K8002" s="18">
        <v>8</v>
      </c>
      <c r="L8002" s="22">
        <v>10</v>
      </c>
    </row>
    <row r="8003" spans="1:12">
      <c r="A8003">
        <v>8</v>
      </c>
      <c r="B8003" s="16" t="s">
        <v>63</v>
      </c>
      <c r="C8003" s="9">
        <v>45870</v>
      </c>
      <c r="D8003">
        <v>56</v>
      </c>
      <c r="E8003" s="16" t="s">
        <v>146</v>
      </c>
      <c r="F8003" s="16" t="s">
        <v>138</v>
      </c>
      <c r="G8003" s="22">
        <v>13</v>
      </c>
      <c r="H8003" s="18">
        <v>107.74250000000001</v>
      </c>
      <c r="I8003" s="18">
        <v>8.2878846149999994</v>
      </c>
      <c r="J8003" s="18">
        <v>8.6999999999999993</v>
      </c>
      <c r="K8003" s="18">
        <v>8.1</v>
      </c>
      <c r="L8003" s="22">
        <v>7</v>
      </c>
    </row>
    <row r="8004" spans="1:12">
      <c r="A8004">
        <v>8</v>
      </c>
      <c r="B8004" s="16" t="s">
        <v>63</v>
      </c>
      <c r="C8004" s="9">
        <v>45901</v>
      </c>
      <c r="D8004">
        <v>56</v>
      </c>
      <c r="E8004" s="16" t="s">
        <v>146</v>
      </c>
      <c r="F8004" s="16" t="s">
        <v>138</v>
      </c>
      <c r="G8004" s="22">
        <v>11</v>
      </c>
      <c r="H8004" s="18">
        <v>89.71</v>
      </c>
      <c r="I8004" s="18">
        <v>8.1554545449999996</v>
      </c>
      <c r="J8004" s="18">
        <v>8.34</v>
      </c>
      <c r="K8004" s="18">
        <v>8.0399999999999991</v>
      </c>
      <c r="L8004" s="22">
        <v>8</v>
      </c>
    </row>
    <row r="8005" spans="1:12">
      <c r="A8005">
        <v>8</v>
      </c>
      <c r="B8005" s="16" t="s">
        <v>63</v>
      </c>
      <c r="C8005" s="9">
        <v>45931</v>
      </c>
      <c r="D8005">
        <v>56</v>
      </c>
      <c r="E8005" s="16" t="s">
        <v>146</v>
      </c>
      <c r="F8005" s="16" t="s">
        <v>138</v>
      </c>
      <c r="G8005" s="22">
        <v>9.5</v>
      </c>
      <c r="H8005" s="18">
        <v>77.987499999999997</v>
      </c>
      <c r="I8005" s="18">
        <v>8.2092105259999997</v>
      </c>
      <c r="J8005" s="18">
        <v>8.36</v>
      </c>
      <c r="K8005" s="18">
        <v>8.06</v>
      </c>
      <c r="L8005" s="22">
        <v>8</v>
      </c>
    </row>
    <row r="8006" spans="1:12">
      <c r="A8006">
        <v>8</v>
      </c>
      <c r="B8006" s="16" t="s">
        <v>63</v>
      </c>
      <c r="C8006" s="9">
        <v>45962</v>
      </c>
      <c r="D8006">
        <v>56</v>
      </c>
      <c r="E8006" s="16" t="s">
        <v>146</v>
      </c>
      <c r="F8006" s="16" t="s">
        <v>138</v>
      </c>
      <c r="G8006" s="22">
        <v>5.5</v>
      </c>
      <c r="H8006" s="18">
        <v>47.594999999999999</v>
      </c>
      <c r="I8006" s="18">
        <v>8.6536363640000005</v>
      </c>
      <c r="J8006" s="18">
        <v>9.2799999999999994</v>
      </c>
      <c r="K8006" s="18">
        <v>8.18</v>
      </c>
      <c r="L8006" s="22">
        <v>6</v>
      </c>
    </row>
    <row r="8007" spans="1:12">
      <c r="A8007">
        <v>8</v>
      </c>
      <c r="B8007" s="16" t="s">
        <v>63</v>
      </c>
      <c r="C8007" s="9">
        <v>45992</v>
      </c>
      <c r="D8007">
        <v>56</v>
      </c>
      <c r="E8007" s="16" t="s">
        <v>146</v>
      </c>
      <c r="F8007" s="16" t="s">
        <v>138</v>
      </c>
      <c r="G8007" s="22">
        <v>5.75</v>
      </c>
      <c r="H8007" s="18">
        <v>52.8125</v>
      </c>
      <c r="I8007" s="18">
        <v>9.1847826090000009</v>
      </c>
      <c r="J8007" s="18">
        <v>9.3000000000000007</v>
      </c>
      <c r="K8007" s="18">
        <v>8.92</v>
      </c>
      <c r="L8007" s="22">
        <v>9</v>
      </c>
    </row>
    <row r="8008" spans="1:12">
      <c r="A8008">
        <v>8</v>
      </c>
      <c r="B8008" s="16" t="s">
        <v>63</v>
      </c>
      <c r="C8008" s="9">
        <v>46023</v>
      </c>
      <c r="D8008">
        <v>56</v>
      </c>
      <c r="E8008" s="16" t="s">
        <v>146</v>
      </c>
      <c r="F8008" s="16" t="s">
        <v>138</v>
      </c>
      <c r="G8008" s="22">
        <v>5.5</v>
      </c>
      <c r="H8008" s="18">
        <v>45.167499999999997</v>
      </c>
      <c r="I8008" s="18">
        <v>8.2122727270000002</v>
      </c>
      <c r="J8008" s="18">
        <v>8.32</v>
      </c>
      <c r="K8008" s="18">
        <v>8.0500000000000007</v>
      </c>
      <c r="L8008" s="22">
        <v>7</v>
      </c>
    </row>
    <row r="8009" spans="1:12">
      <c r="A8009">
        <v>8</v>
      </c>
      <c r="B8009" s="16" t="s">
        <v>63</v>
      </c>
      <c r="C8009" s="9">
        <v>46054</v>
      </c>
      <c r="D8009">
        <v>56</v>
      </c>
      <c r="E8009" s="16" t="s">
        <v>146</v>
      </c>
      <c r="F8009" s="16" t="s">
        <v>138</v>
      </c>
      <c r="G8009" s="22">
        <v>3.75</v>
      </c>
      <c r="H8009" s="18">
        <v>30.612500000000001</v>
      </c>
      <c r="I8009" s="18">
        <v>8.1633333330000006</v>
      </c>
      <c r="J8009" s="18">
        <v>8.23</v>
      </c>
      <c r="K8009" s="18">
        <v>7.95</v>
      </c>
      <c r="L8009" s="22">
        <v>6</v>
      </c>
    </row>
    <row r="8010" spans="1:12">
      <c r="A8010">
        <v>8</v>
      </c>
      <c r="B8010" s="16" t="s">
        <v>63</v>
      </c>
      <c r="C8010" s="9">
        <v>46082</v>
      </c>
      <c r="D8010">
        <v>56</v>
      </c>
      <c r="E8010" s="16" t="s">
        <v>146</v>
      </c>
      <c r="F8010" s="16" t="s">
        <v>138</v>
      </c>
      <c r="G8010" s="22">
        <v>6</v>
      </c>
      <c r="H8010" s="18">
        <v>49.42</v>
      </c>
      <c r="I8010" s="18">
        <v>8.2366666669999997</v>
      </c>
      <c r="J8010" s="18">
        <v>8.3699999999999992</v>
      </c>
      <c r="K8010" s="18">
        <v>8.08</v>
      </c>
      <c r="L8010" s="22">
        <v>7</v>
      </c>
    </row>
    <row r="8011" spans="1:12">
      <c r="A8011">
        <v>8</v>
      </c>
      <c r="B8011" s="16" t="s">
        <v>63</v>
      </c>
      <c r="C8011" s="9">
        <v>46113</v>
      </c>
      <c r="D8011">
        <v>56</v>
      </c>
      <c r="E8011" s="16" t="s">
        <v>146</v>
      </c>
      <c r="F8011" s="16" t="s">
        <v>138</v>
      </c>
      <c r="G8011" s="22">
        <v>6.25</v>
      </c>
      <c r="H8011" s="18">
        <v>51.5075</v>
      </c>
      <c r="I8011" s="18">
        <v>8.2411999999999992</v>
      </c>
      <c r="J8011" s="18">
        <v>8.6300000000000008</v>
      </c>
      <c r="K8011" s="18">
        <v>8.06</v>
      </c>
      <c r="L8011" s="22">
        <v>8</v>
      </c>
    </row>
    <row r="8012" spans="1:12">
      <c r="A8012">
        <v>8</v>
      </c>
      <c r="B8012" s="16" t="s">
        <v>63</v>
      </c>
      <c r="C8012" s="9">
        <v>46143</v>
      </c>
      <c r="D8012">
        <v>56</v>
      </c>
      <c r="E8012" s="16" t="s">
        <v>146</v>
      </c>
      <c r="F8012" s="16" t="s">
        <v>138</v>
      </c>
      <c r="G8012" s="22">
        <v>8</v>
      </c>
      <c r="H8012" s="18">
        <v>66.87</v>
      </c>
      <c r="I8012" s="18">
        <v>8.3587500000000006</v>
      </c>
      <c r="J8012" s="18">
        <v>8.83</v>
      </c>
      <c r="K8012" s="18">
        <v>8.1</v>
      </c>
      <c r="L8012" s="22">
        <v>8</v>
      </c>
    </row>
    <row r="8013" spans="1:12">
      <c r="A8013">
        <v>8</v>
      </c>
      <c r="B8013" s="16" t="s">
        <v>63</v>
      </c>
      <c r="C8013" s="9">
        <v>46174</v>
      </c>
      <c r="D8013">
        <v>56</v>
      </c>
      <c r="E8013" s="16" t="s">
        <v>146</v>
      </c>
      <c r="F8013" s="16" t="s">
        <v>138</v>
      </c>
      <c r="G8013" s="22">
        <v>11.75</v>
      </c>
      <c r="H8013" s="18">
        <v>96.45</v>
      </c>
      <c r="I8013" s="18">
        <v>8.2085106379999999</v>
      </c>
      <c r="J8013" s="18">
        <v>8.27</v>
      </c>
      <c r="K8013" s="18">
        <v>8.1300000000000008</v>
      </c>
      <c r="L8013" s="22">
        <v>8</v>
      </c>
    </row>
    <row r="8014" spans="1:12">
      <c r="A8014">
        <v>8</v>
      </c>
      <c r="B8014" s="16" t="s">
        <v>63</v>
      </c>
      <c r="C8014" s="9">
        <v>46204</v>
      </c>
      <c r="D8014">
        <v>56</v>
      </c>
      <c r="E8014" s="16" t="s">
        <v>146</v>
      </c>
      <c r="F8014" s="16" t="s">
        <v>138</v>
      </c>
      <c r="G8014" s="22">
        <v>9.5</v>
      </c>
      <c r="H8014" s="18">
        <v>77.930000000000007</v>
      </c>
      <c r="I8014" s="18">
        <v>8.2031578950000004</v>
      </c>
      <c r="J8014" s="18">
        <v>8.34</v>
      </c>
      <c r="K8014" s="18">
        <v>7.97</v>
      </c>
      <c r="L8014" s="22">
        <v>8</v>
      </c>
    </row>
    <row r="8015" spans="1:12">
      <c r="A8015">
        <v>8</v>
      </c>
      <c r="B8015" s="16" t="s">
        <v>63</v>
      </c>
      <c r="C8015" s="9">
        <v>46235</v>
      </c>
      <c r="D8015">
        <v>56</v>
      </c>
      <c r="E8015" s="16" t="s">
        <v>146</v>
      </c>
      <c r="F8015" s="16" t="s">
        <v>138</v>
      </c>
      <c r="G8015" s="22">
        <v>9.75</v>
      </c>
      <c r="H8015" s="18">
        <v>79.915000000000006</v>
      </c>
      <c r="I8015" s="18">
        <v>8.1964102560000001</v>
      </c>
      <c r="J8015" s="18">
        <v>8.59</v>
      </c>
      <c r="K8015" s="18">
        <v>8.1300000000000008</v>
      </c>
      <c r="L8015" s="22">
        <v>8</v>
      </c>
    </row>
    <row r="8016" spans="1:12">
      <c r="A8016">
        <v>8</v>
      </c>
      <c r="B8016" s="16" t="s">
        <v>63</v>
      </c>
      <c r="C8016" s="9">
        <v>46266</v>
      </c>
      <c r="D8016">
        <v>56</v>
      </c>
      <c r="E8016" s="16" t="s">
        <v>146</v>
      </c>
      <c r="F8016" s="16" t="s">
        <v>138</v>
      </c>
      <c r="G8016" s="22">
        <v>8.5</v>
      </c>
      <c r="H8016" s="18">
        <v>68.935000000000002</v>
      </c>
      <c r="I8016" s="18">
        <v>8.11</v>
      </c>
      <c r="J8016" s="18">
        <v>8.26</v>
      </c>
      <c r="K8016" s="18">
        <v>8</v>
      </c>
      <c r="L8016" s="22">
        <v>7</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7242-54E0-A64E-A96B-C9806BC18CFB}">
  <dimension ref="A1:S164"/>
  <sheetViews>
    <sheetView workbookViewId="0">
      <pane ySplit="1" topLeftCell="A2" activePane="bottomLeft" state="frozen"/>
      <selection pane="bottomLeft" activeCell="S2" sqref="S2"/>
    </sheetView>
  </sheetViews>
  <sheetFormatPr baseColWidth="10" defaultRowHeight="16"/>
  <cols>
    <col min="1" max="1" width="10.1640625" bestFit="1" customWidth="1"/>
    <col min="2" max="2" width="19.33203125" style="16" bestFit="1" customWidth="1"/>
    <col min="3" max="3" width="11.33203125" style="9" bestFit="1" customWidth="1"/>
    <col min="4" max="4" width="18.33203125" style="18" bestFit="1" customWidth="1"/>
    <col min="5" max="5" width="24" style="20" bestFit="1" customWidth="1"/>
    <col min="6" max="6" width="7" style="22" bestFit="1" customWidth="1"/>
    <col min="7" max="7" width="20" style="18" bestFit="1" customWidth="1"/>
    <col min="8" max="8" width="22.1640625" style="18" bestFit="1" customWidth="1"/>
    <col min="9" max="9" width="19" style="20" bestFit="1" customWidth="1"/>
    <col min="10" max="10" width="26" style="18" bestFit="1" customWidth="1"/>
    <col min="11" max="11" width="23" style="20" bestFit="1" customWidth="1"/>
    <col min="12" max="12" width="24.6640625" style="18" bestFit="1" customWidth="1"/>
    <col min="13" max="13" width="21.6640625" style="20" bestFit="1" customWidth="1"/>
    <col min="14" max="14" width="24" style="18" bestFit="1" customWidth="1"/>
    <col min="15" max="15" width="20.83203125" style="20" bestFit="1" customWidth="1"/>
    <col min="16" max="16" width="21.5" style="18" bestFit="1" customWidth="1"/>
    <col min="17" max="17" width="18.33203125" style="20" bestFit="1" customWidth="1"/>
    <col min="18" max="18" width="29.83203125" style="22" bestFit="1" customWidth="1"/>
    <col min="19" max="19" width="23.1640625" style="22" bestFit="1" customWidth="1"/>
    <col min="20" max="20" width="2.83203125" customWidth="1"/>
    <col min="21" max="21" width="9.6640625" customWidth="1"/>
  </cols>
  <sheetData>
    <row r="1" spans="1:19" s="10" customFormat="1">
      <c r="A1" s="10" t="s">
        <v>28</v>
      </c>
      <c r="B1" s="15" t="s">
        <v>29</v>
      </c>
      <c r="C1" s="10" t="s">
        <v>64</v>
      </c>
      <c r="D1" s="17" t="s">
        <v>147</v>
      </c>
      <c r="E1" s="19" t="s">
        <v>148</v>
      </c>
      <c r="F1" s="21" t="s">
        <v>149</v>
      </c>
      <c r="G1" s="17" t="s">
        <v>150</v>
      </c>
      <c r="H1" s="17" t="s">
        <v>151</v>
      </c>
      <c r="I1" s="19" t="s">
        <v>152</v>
      </c>
      <c r="J1" s="17" t="s">
        <v>153</v>
      </c>
      <c r="K1" s="19" t="s">
        <v>154</v>
      </c>
      <c r="L1" s="17" t="s">
        <v>155</v>
      </c>
      <c r="M1" s="19" t="s">
        <v>156</v>
      </c>
      <c r="N1" s="17" t="s">
        <v>157</v>
      </c>
      <c r="O1" s="19" t="s">
        <v>158</v>
      </c>
      <c r="P1" s="17" t="s">
        <v>159</v>
      </c>
      <c r="Q1" s="19" t="s">
        <v>160</v>
      </c>
      <c r="R1" s="21" t="s">
        <v>161</v>
      </c>
      <c r="S1" s="21" t="s">
        <v>162</v>
      </c>
    </row>
    <row r="2" spans="1:19">
      <c r="A2">
        <v>1</v>
      </c>
      <c r="B2" s="16" t="s">
        <v>37</v>
      </c>
      <c r="C2" s="9">
        <v>45689</v>
      </c>
      <c r="D2" s="18">
        <v>49254</v>
      </c>
      <c r="E2" s="14"/>
      <c r="F2" s="22">
        <v>611</v>
      </c>
      <c r="G2" s="18">
        <v>80.61</v>
      </c>
      <c r="H2" s="18">
        <v>11763.33</v>
      </c>
      <c r="I2" s="20">
        <v>23.88</v>
      </c>
      <c r="J2" s="18">
        <v>10291.530000000001</v>
      </c>
      <c r="K2" s="20">
        <v>20.89</v>
      </c>
      <c r="L2" s="18">
        <v>11208.65</v>
      </c>
      <c r="M2" s="20">
        <v>22.76</v>
      </c>
      <c r="N2" s="18">
        <v>917.13</v>
      </c>
      <c r="O2" s="20">
        <v>1.86</v>
      </c>
      <c r="P2" s="18">
        <v>1471.81</v>
      </c>
      <c r="Q2" s="20">
        <v>2.99</v>
      </c>
      <c r="R2" s="22">
        <v>4</v>
      </c>
      <c r="S2" s="22">
        <v>0</v>
      </c>
    </row>
    <row r="3" spans="1:19">
      <c r="A3">
        <v>1</v>
      </c>
      <c r="B3" s="16" t="s">
        <v>37</v>
      </c>
      <c r="C3" s="9">
        <v>45717</v>
      </c>
      <c r="D3" s="18">
        <v>55987.5</v>
      </c>
      <c r="E3" s="13"/>
      <c r="F3" s="22">
        <v>749</v>
      </c>
      <c r="G3" s="18">
        <v>74.75</v>
      </c>
      <c r="H3" s="18">
        <v>12966.7</v>
      </c>
      <c r="I3" s="20">
        <v>23.16</v>
      </c>
      <c r="J3" s="18">
        <v>11511.52</v>
      </c>
      <c r="K3" s="20">
        <v>20.56</v>
      </c>
      <c r="L3" s="18">
        <v>12631.34</v>
      </c>
      <c r="M3" s="20">
        <v>22.56</v>
      </c>
      <c r="N3" s="18">
        <v>1119.82</v>
      </c>
      <c r="O3" s="20">
        <v>2</v>
      </c>
      <c r="P3" s="18">
        <v>1455.18</v>
      </c>
      <c r="Q3" s="20">
        <v>2.6</v>
      </c>
      <c r="R3" s="22">
        <v>1</v>
      </c>
      <c r="S3" s="22">
        <v>0</v>
      </c>
    </row>
    <row r="4" spans="1:19">
      <c r="A4">
        <v>1</v>
      </c>
      <c r="B4" s="16" t="s">
        <v>37</v>
      </c>
      <c r="C4" s="9">
        <v>45748</v>
      </c>
      <c r="D4" s="18">
        <v>59708.5</v>
      </c>
      <c r="F4" s="22">
        <v>793</v>
      </c>
      <c r="G4" s="18">
        <v>75.290000000000006</v>
      </c>
      <c r="H4" s="18">
        <v>13752.14</v>
      </c>
      <c r="I4" s="20">
        <v>23.03</v>
      </c>
      <c r="J4" s="18">
        <v>12273.84</v>
      </c>
      <c r="K4" s="20">
        <v>20.56</v>
      </c>
      <c r="L4" s="18">
        <v>13757.3</v>
      </c>
      <c r="M4" s="20">
        <v>23.04</v>
      </c>
      <c r="N4" s="18">
        <v>1483.46</v>
      </c>
      <c r="O4" s="20">
        <v>2.48</v>
      </c>
      <c r="P4" s="18">
        <v>1478.31</v>
      </c>
      <c r="Q4" s="20">
        <v>2.48</v>
      </c>
      <c r="R4" s="22">
        <v>2</v>
      </c>
      <c r="S4" s="22">
        <v>0</v>
      </c>
    </row>
    <row r="5" spans="1:19">
      <c r="A5">
        <v>1</v>
      </c>
      <c r="B5" s="16" t="s">
        <v>37</v>
      </c>
      <c r="C5" s="9">
        <v>45778</v>
      </c>
      <c r="D5" s="18">
        <v>65097.5</v>
      </c>
      <c r="F5" s="22">
        <v>815</v>
      </c>
      <c r="G5" s="18">
        <v>79.87</v>
      </c>
      <c r="H5" s="18">
        <v>15118.72</v>
      </c>
      <c r="I5" s="20">
        <v>23.22</v>
      </c>
      <c r="J5" s="18">
        <v>13503.85</v>
      </c>
      <c r="K5" s="20">
        <v>20.74</v>
      </c>
      <c r="L5" s="18">
        <v>15222.96</v>
      </c>
      <c r="M5" s="20">
        <v>23.38</v>
      </c>
      <c r="N5" s="18">
        <v>1719.11</v>
      </c>
      <c r="O5" s="20">
        <v>2.64</v>
      </c>
      <c r="P5" s="18">
        <v>1614.87</v>
      </c>
      <c r="Q5" s="20">
        <v>2.48</v>
      </c>
      <c r="R5" s="22">
        <v>2</v>
      </c>
      <c r="S5" s="22">
        <v>0</v>
      </c>
    </row>
    <row r="6" spans="1:19">
      <c r="A6">
        <v>1</v>
      </c>
      <c r="B6" s="16" t="s">
        <v>37</v>
      </c>
      <c r="C6" s="9">
        <v>45809</v>
      </c>
      <c r="D6" s="18">
        <v>60096</v>
      </c>
      <c r="F6" s="22">
        <v>759</v>
      </c>
      <c r="G6" s="18">
        <v>79.180000000000007</v>
      </c>
      <c r="H6" s="18">
        <v>13735.01</v>
      </c>
      <c r="I6" s="20">
        <v>22.86</v>
      </c>
      <c r="J6" s="18">
        <v>12142.06</v>
      </c>
      <c r="K6" s="20">
        <v>20.2</v>
      </c>
      <c r="L6" s="18">
        <v>13590.71</v>
      </c>
      <c r="M6" s="20">
        <v>22.62</v>
      </c>
      <c r="N6" s="18">
        <v>1448.65</v>
      </c>
      <c r="O6" s="20">
        <v>2.41</v>
      </c>
      <c r="P6" s="18">
        <v>1592.94</v>
      </c>
      <c r="Q6" s="20">
        <v>2.65</v>
      </c>
      <c r="R6" s="22">
        <v>1</v>
      </c>
      <c r="S6" s="22">
        <v>0</v>
      </c>
    </row>
    <row r="7" spans="1:19">
      <c r="A7">
        <v>1</v>
      </c>
      <c r="B7" s="16" t="s">
        <v>37</v>
      </c>
      <c r="C7" s="9">
        <v>45839</v>
      </c>
      <c r="D7" s="18">
        <v>54374.5</v>
      </c>
      <c r="F7" s="22">
        <v>677</v>
      </c>
      <c r="G7" s="18">
        <v>80.319999999999993</v>
      </c>
      <c r="H7" s="18">
        <v>12475.7</v>
      </c>
      <c r="I7" s="20">
        <v>22.94</v>
      </c>
      <c r="J7" s="18">
        <v>11014.68</v>
      </c>
      <c r="K7" s="20">
        <v>20.260000000000002</v>
      </c>
      <c r="L7" s="18">
        <v>12645.39</v>
      </c>
      <c r="M7" s="20">
        <v>23.26</v>
      </c>
      <c r="N7" s="18">
        <v>1630.71</v>
      </c>
      <c r="O7" s="20">
        <v>3</v>
      </c>
      <c r="P7" s="18">
        <v>1461.02</v>
      </c>
      <c r="Q7" s="20">
        <v>2.69</v>
      </c>
      <c r="R7" s="22">
        <v>1</v>
      </c>
      <c r="S7" s="22">
        <v>0</v>
      </c>
    </row>
    <row r="8" spans="1:19">
      <c r="A8">
        <v>1</v>
      </c>
      <c r="B8" s="16" t="s">
        <v>37</v>
      </c>
      <c r="C8" s="9">
        <v>45870</v>
      </c>
      <c r="D8" s="18">
        <v>51673.5</v>
      </c>
      <c r="F8" s="22">
        <v>645</v>
      </c>
      <c r="G8" s="18">
        <v>80.11</v>
      </c>
      <c r="H8" s="18">
        <v>11989.13</v>
      </c>
      <c r="I8" s="20">
        <v>23.2</v>
      </c>
      <c r="J8" s="18">
        <v>10674.96</v>
      </c>
      <c r="K8" s="20">
        <v>20.66</v>
      </c>
      <c r="L8" s="18">
        <v>11316.42</v>
      </c>
      <c r="M8" s="20">
        <v>21.9</v>
      </c>
      <c r="N8" s="18">
        <v>641.46</v>
      </c>
      <c r="O8" s="20">
        <v>1.24</v>
      </c>
      <c r="P8" s="18">
        <v>1314.17</v>
      </c>
      <c r="Q8" s="20">
        <v>2.54</v>
      </c>
      <c r="R8" s="22">
        <v>3</v>
      </c>
      <c r="S8" s="22">
        <v>0</v>
      </c>
    </row>
    <row r="9" spans="1:19">
      <c r="A9">
        <v>1</v>
      </c>
      <c r="B9" s="16" t="s">
        <v>37</v>
      </c>
      <c r="C9" s="9">
        <v>45901</v>
      </c>
      <c r="D9" s="18">
        <v>64414.5</v>
      </c>
      <c r="F9" s="22">
        <v>817</v>
      </c>
      <c r="G9" s="18">
        <v>78.84</v>
      </c>
      <c r="H9" s="18">
        <v>15054.16</v>
      </c>
      <c r="I9" s="20">
        <v>23.37</v>
      </c>
      <c r="J9" s="18">
        <v>13438.58</v>
      </c>
      <c r="K9" s="20">
        <v>20.86</v>
      </c>
      <c r="L9" s="18">
        <v>15358</v>
      </c>
      <c r="M9" s="20">
        <v>23.84</v>
      </c>
      <c r="N9" s="18">
        <v>1919.42</v>
      </c>
      <c r="O9" s="20">
        <v>2.98</v>
      </c>
      <c r="P9" s="18">
        <v>1615.58</v>
      </c>
      <c r="Q9" s="20">
        <v>2.5099999999999998</v>
      </c>
      <c r="R9" s="22">
        <v>1</v>
      </c>
      <c r="S9" s="22">
        <v>0</v>
      </c>
    </row>
    <row r="10" spans="1:19">
      <c r="A10">
        <v>1</v>
      </c>
      <c r="B10" s="16" t="s">
        <v>37</v>
      </c>
      <c r="C10" s="9">
        <v>45931</v>
      </c>
      <c r="D10" s="18">
        <v>72104.5</v>
      </c>
      <c r="F10" s="22">
        <v>900</v>
      </c>
      <c r="G10" s="18">
        <v>80.12</v>
      </c>
      <c r="H10" s="18">
        <v>16981.66</v>
      </c>
      <c r="I10" s="20">
        <v>23.55</v>
      </c>
      <c r="J10" s="18">
        <v>15153.85</v>
      </c>
      <c r="K10" s="20">
        <v>21.02</v>
      </c>
      <c r="L10" s="18">
        <v>17995.84</v>
      </c>
      <c r="M10" s="20">
        <v>24.96</v>
      </c>
      <c r="N10" s="18">
        <v>2841.99</v>
      </c>
      <c r="O10" s="20">
        <v>3.94</v>
      </c>
      <c r="P10" s="18">
        <v>1827.81</v>
      </c>
      <c r="Q10" s="20">
        <v>2.5299999999999998</v>
      </c>
      <c r="R10" s="22">
        <v>1</v>
      </c>
      <c r="S10" s="22">
        <v>0</v>
      </c>
    </row>
    <row r="11" spans="1:19">
      <c r="A11">
        <v>1</v>
      </c>
      <c r="B11" s="16" t="s">
        <v>37</v>
      </c>
      <c r="C11" s="9">
        <v>45962</v>
      </c>
      <c r="D11" s="18">
        <v>67997.5</v>
      </c>
      <c r="F11" s="22">
        <v>868</v>
      </c>
      <c r="G11" s="18">
        <v>78.34</v>
      </c>
      <c r="H11" s="18">
        <v>15864.01</v>
      </c>
      <c r="I11" s="20">
        <v>23.33</v>
      </c>
      <c r="J11" s="18">
        <v>14290.31</v>
      </c>
      <c r="K11" s="20">
        <v>21.02</v>
      </c>
      <c r="L11" s="18">
        <v>14707.44</v>
      </c>
      <c r="M11" s="20">
        <v>21.63</v>
      </c>
      <c r="N11" s="18">
        <v>417.13</v>
      </c>
      <c r="O11" s="20">
        <v>0.61</v>
      </c>
      <c r="P11" s="18">
        <v>1573.71</v>
      </c>
      <c r="Q11" s="20">
        <v>2.31</v>
      </c>
      <c r="R11" s="22">
        <v>0</v>
      </c>
      <c r="S11" s="22">
        <v>0</v>
      </c>
    </row>
    <row r="12" spans="1:19">
      <c r="A12">
        <v>1</v>
      </c>
      <c r="B12" s="16" t="s">
        <v>37</v>
      </c>
      <c r="C12" s="9">
        <v>45992</v>
      </c>
      <c r="D12" s="18">
        <v>78386.5</v>
      </c>
      <c r="F12" s="22">
        <v>968</v>
      </c>
      <c r="G12" s="18">
        <v>80.98</v>
      </c>
      <c r="H12" s="18">
        <v>18815.57</v>
      </c>
      <c r="I12" s="20">
        <v>24</v>
      </c>
      <c r="J12" s="18">
        <v>16905.2</v>
      </c>
      <c r="K12" s="20">
        <v>21.57</v>
      </c>
      <c r="L12" s="18">
        <v>19199.96</v>
      </c>
      <c r="M12" s="20">
        <v>24.49</v>
      </c>
      <c r="N12" s="18">
        <v>2294.7600000000002</v>
      </c>
      <c r="O12" s="20">
        <v>2.93</v>
      </c>
      <c r="P12" s="18">
        <v>1910.37</v>
      </c>
      <c r="Q12" s="20">
        <v>2.44</v>
      </c>
      <c r="R12" s="22">
        <v>3</v>
      </c>
      <c r="S12" s="22">
        <v>0</v>
      </c>
    </row>
    <row r="13" spans="1:19">
      <c r="A13">
        <v>1</v>
      </c>
      <c r="B13" s="16" t="s">
        <v>37</v>
      </c>
      <c r="C13" s="9">
        <v>46023</v>
      </c>
      <c r="D13" s="18">
        <v>62928</v>
      </c>
      <c r="E13" s="20">
        <v>23.3</v>
      </c>
      <c r="F13" s="22">
        <v>781</v>
      </c>
      <c r="G13" s="18">
        <v>80.569999999999993</v>
      </c>
      <c r="H13" s="18">
        <v>15450.65</v>
      </c>
      <c r="I13" s="20">
        <v>24.55</v>
      </c>
      <c r="J13" s="18">
        <v>13837.74</v>
      </c>
      <c r="K13" s="20">
        <v>21.99</v>
      </c>
      <c r="L13" s="18">
        <v>15117.57</v>
      </c>
      <c r="M13" s="20">
        <v>24.02</v>
      </c>
      <c r="N13" s="18">
        <v>1279.83</v>
      </c>
      <c r="O13" s="20">
        <v>2.0299999999999998</v>
      </c>
      <c r="P13" s="18">
        <v>1612.91</v>
      </c>
      <c r="Q13" s="20">
        <v>2.56</v>
      </c>
      <c r="R13" s="22">
        <v>2</v>
      </c>
      <c r="S13" s="22">
        <v>0</v>
      </c>
    </row>
    <row r="14" spans="1:19">
      <c r="A14">
        <v>1</v>
      </c>
      <c r="B14" s="16" t="s">
        <v>37</v>
      </c>
      <c r="C14" s="9">
        <v>46054</v>
      </c>
      <c r="D14" s="18">
        <v>56263</v>
      </c>
      <c r="E14" s="20">
        <v>14.23</v>
      </c>
      <c r="F14" s="22">
        <v>706</v>
      </c>
      <c r="G14" s="18">
        <v>79.69</v>
      </c>
      <c r="H14" s="18">
        <v>13741.81</v>
      </c>
      <c r="I14" s="20">
        <v>24.42</v>
      </c>
      <c r="J14" s="18">
        <v>12245.66</v>
      </c>
      <c r="K14" s="20">
        <v>21.77</v>
      </c>
      <c r="L14" s="18">
        <v>13692.04</v>
      </c>
      <c r="M14" s="20">
        <v>24.34</v>
      </c>
      <c r="N14" s="18">
        <v>1446.38</v>
      </c>
      <c r="O14" s="20">
        <v>2.57</v>
      </c>
      <c r="P14" s="18">
        <v>1496.15</v>
      </c>
      <c r="Q14" s="20">
        <v>2.66</v>
      </c>
      <c r="R14" s="22">
        <v>3</v>
      </c>
      <c r="S14" s="22">
        <v>0</v>
      </c>
    </row>
    <row r="15" spans="1:19">
      <c r="A15">
        <v>1</v>
      </c>
      <c r="B15" s="16" t="s">
        <v>37</v>
      </c>
      <c r="C15" s="9">
        <v>46082</v>
      </c>
      <c r="D15" s="18">
        <v>61849.5</v>
      </c>
      <c r="E15" s="20">
        <v>10.47</v>
      </c>
      <c r="F15" s="22">
        <v>807</v>
      </c>
      <c r="G15" s="18">
        <v>76.64</v>
      </c>
      <c r="H15" s="18">
        <v>14915.88</v>
      </c>
      <c r="I15" s="20">
        <v>24.12</v>
      </c>
      <c r="J15" s="18">
        <v>13281.88</v>
      </c>
      <c r="K15" s="20">
        <v>21.47</v>
      </c>
      <c r="L15" s="18">
        <v>14923.54</v>
      </c>
      <c r="M15" s="20">
        <v>24.13</v>
      </c>
      <c r="N15" s="18">
        <v>1641.66</v>
      </c>
      <c r="O15" s="20">
        <v>2.65</v>
      </c>
      <c r="P15" s="18">
        <v>1634</v>
      </c>
      <c r="Q15" s="20">
        <v>2.64</v>
      </c>
      <c r="R15" s="22">
        <v>2</v>
      </c>
      <c r="S15" s="22">
        <v>0</v>
      </c>
    </row>
    <row r="16" spans="1:19">
      <c r="A16">
        <v>1</v>
      </c>
      <c r="B16" s="16" t="s">
        <v>37</v>
      </c>
      <c r="C16" s="9">
        <v>46113</v>
      </c>
      <c r="D16" s="18">
        <v>64302.5</v>
      </c>
      <c r="E16" s="20">
        <v>7.69</v>
      </c>
      <c r="F16" s="22">
        <v>815</v>
      </c>
      <c r="G16" s="18">
        <v>78.900000000000006</v>
      </c>
      <c r="H16" s="18">
        <v>15824.33</v>
      </c>
      <c r="I16" s="20">
        <v>24.61</v>
      </c>
      <c r="J16" s="18">
        <v>14102.56</v>
      </c>
      <c r="K16" s="20">
        <v>21.93</v>
      </c>
      <c r="L16" s="18">
        <v>16906.28</v>
      </c>
      <c r="M16" s="20">
        <v>26.29</v>
      </c>
      <c r="N16" s="18">
        <v>2803.71</v>
      </c>
      <c r="O16" s="20">
        <v>4.3600000000000003</v>
      </c>
      <c r="P16" s="18">
        <v>1721.77</v>
      </c>
      <c r="Q16" s="20">
        <v>2.68</v>
      </c>
      <c r="R16" s="22">
        <v>4</v>
      </c>
      <c r="S16" s="22">
        <v>0</v>
      </c>
    </row>
    <row r="17" spans="1:19">
      <c r="A17">
        <v>1</v>
      </c>
      <c r="B17" s="16" t="s">
        <v>37</v>
      </c>
      <c r="C17" s="9">
        <v>46143</v>
      </c>
      <c r="D17" s="18">
        <v>69053</v>
      </c>
      <c r="E17" s="20">
        <v>6.08</v>
      </c>
      <c r="F17" s="22">
        <v>852</v>
      </c>
      <c r="G17" s="18">
        <v>81.05</v>
      </c>
      <c r="H17" s="18">
        <v>16207.64</v>
      </c>
      <c r="I17" s="20">
        <v>23.47</v>
      </c>
      <c r="J17" s="18">
        <v>14778.05</v>
      </c>
      <c r="K17" s="20">
        <v>21.4</v>
      </c>
      <c r="L17" s="18">
        <v>14939.31</v>
      </c>
      <c r="M17" s="20">
        <v>21.63</v>
      </c>
      <c r="N17" s="18">
        <v>161.26</v>
      </c>
      <c r="O17" s="20">
        <v>0.23</v>
      </c>
      <c r="P17" s="18">
        <v>1429.59</v>
      </c>
      <c r="Q17" s="20">
        <v>2.0699999999999998</v>
      </c>
      <c r="R17" s="22">
        <v>3</v>
      </c>
      <c r="S17" s="22">
        <v>0</v>
      </c>
    </row>
    <row r="18" spans="1:19">
      <c r="A18">
        <v>1</v>
      </c>
      <c r="B18" s="16" t="s">
        <v>37</v>
      </c>
      <c r="C18" s="9">
        <v>46174</v>
      </c>
      <c r="D18" s="18">
        <v>60402.5</v>
      </c>
      <c r="E18" s="20">
        <v>0.51</v>
      </c>
      <c r="F18" s="22">
        <v>779</v>
      </c>
      <c r="G18" s="18">
        <v>77.540000000000006</v>
      </c>
      <c r="H18" s="18">
        <v>14171.37</v>
      </c>
      <c r="I18" s="20">
        <v>23.46</v>
      </c>
      <c r="J18" s="18">
        <v>12596.94</v>
      </c>
      <c r="K18" s="20">
        <v>20.85</v>
      </c>
      <c r="L18" s="18">
        <v>14570.21</v>
      </c>
      <c r="M18" s="20">
        <v>24.12</v>
      </c>
      <c r="N18" s="18">
        <v>1973.27</v>
      </c>
      <c r="O18" s="20">
        <v>3.27</v>
      </c>
      <c r="P18" s="18">
        <v>1574.43</v>
      </c>
      <c r="Q18" s="20">
        <v>2.61</v>
      </c>
      <c r="R18" s="22">
        <v>4</v>
      </c>
      <c r="S18" s="22">
        <v>0</v>
      </c>
    </row>
    <row r="19" spans="1:19">
      <c r="A19">
        <v>1</v>
      </c>
      <c r="B19" s="16" t="s">
        <v>37</v>
      </c>
      <c r="C19" s="9">
        <v>46204</v>
      </c>
      <c r="D19" s="18">
        <v>67602.5</v>
      </c>
      <c r="E19" s="20">
        <v>24.33</v>
      </c>
      <c r="F19" s="22">
        <v>876</v>
      </c>
      <c r="G19" s="18">
        <v>77.17</v>
      </c>
      <c r="H19" s="18">
        <v>15893.5</v>
      </c>
      <c r="I19" s="20">
        <v>23.51</v>
      </c>
      <c r="J19" s="18">
        <v>14261.21</v>
      </c>
      <c r="K19" s="20">
        <v>21.1</v>
      </c>
      <c r="L19" s="18">
        <v>16373.2</v>
      </c>
      <c r="M19" s="20">
        <v>24.22</v>
      </c>
      <c r="N19" s="18">
        <v>2111.9899999999998</v>
      </c>
      <c r="O19" s="20">
        <v>3.12</v>
      </c>
      <c r="P19" s="18">
        <v>1632.29</v>
      </c>
      <c r="Q19" s="20">
        <v>2.41</v>
      </c>
      <c r="R19" s="22">
        <v>3</v>
      </c>
      <c r="S19" s="22">
        <v>0</v>
      </c>
    </row>
    <row r="20" spans="1:19">
      <c r="A20">
        <v>1</v>
      </c>
      <c r="B20" s="16" t="s">
        <v>37</v>
      </c>
      <c r="C20" s="9">
        <v>46235</v>
      </c>
      <c r="D20" s="18">
        <v>61127</v>
      </c>
      <c r="E20" s="20">
        <v>18.29</v>
      </c>
      <c r="F20" s="22">
        <v>795</v>
      </c>
      <c r="G20" s="18">
        <v>76.89</v>
      </c>
      <c r="H20" s="18">
        <v>14342.03</v>
      </c>
      <c r="I20" s="20">
        <v>23.46</v>
      </c>
      <c r="J20" s="18">
        <v>12774.12</v>
      </c>
      <c r="K20" s="20">
        <v>20.9</v>
      </c>
      <c r="L20" s="18">
        <v>13824.08</v>
      </c>
      <c r="M20" s="20">
        <v>22.62</v>
      </c>
      <c r="N20" s="18">
        <v>1049.95</v>
      </c>
      <c r="O20" s="20">
        <v>1.72</v>
      </c>
      <c r="P20" s="18">
        <v>1567.91</v>
      </c>
      <c r="Q20" s="20">
        <v>2.57</v>
      </c>
      <c r="R20" s="22">
        <v>3</v>
      </c>
      <c r="S20" s="22">
        <v>0</v>
      </c>
    </row>
    <row r="21" spans="1:19">
      <c r="A21">
        <v>1</v>
      </c>
      <c r="B21" s="16" t="s">
        <v>37</v>
      </c>
      <c r="C21" s="9">
        <v>46266</v>
      </c>
      <c r="D21" s="18">
        <v>68816.5</v>
      </c>
      <c r="E21" s="20">
        <v>6.83</v>
      </c>
      <c r="F21" s="22">
        <v>881</v>
      </c>
      <c r="G21" s="18">
        <v>78.11</v>
      </c>
      <c r="H21" s="18">
        <v>16360.06</v>
      </c>
      <c r="I21" s="20">
        <v>23.77</v>
      </c>
      <c r="J21" s="18">
        <v>14710.96</v>
      </c>
      <c r="K21" s="20">
        <v>21.38</v>
      </c>
      <c r="L21" s="18">
        <v>16203.92</v>
      </c>
      <c r="M21" s="20">
        <v>23.55</v>
      </c>
      <c r="N21" s="18">
        <v>1492.96</v>
      </c>
      <c r="O21" s="20">
        <v>2.17</v>
      </c>
      <c r="P21" s="18">
        <v>1649.1</v>
      </c>
      <c r="Q21" s="20">
        <v>2.4</v>
      </c>
      <c r="R21" s="22">
        <v>3</v>
      </c>
      <c r="S21" s="22">
        <v>0</v>
      </c>
    </row>
    <row r="22" spans="1:19">
      <c r="A22">
        <v>2</v>
      </c>
      <c r="B22" s="16" t="s">
        <v>56</v>
      </c>
      <c r="C22" s="9">
        <v>45689</v>
      </c>
      <c r="D22" s="18">
        <v>40025</v>
      </c>
      <c r="F22" s="22">
        <v>541</v>
      </c>
      <c r="G22" s="18">
        <v>73.98</v>
      </c>
      <c r="H22" s="18">
        <v>8547.52</v>
      </c>
      <c r="I22" s="20">
        <v>21.36</v>
      </c>
      <c r="J22" s="18">
        <v>7390.14</v>
      </c>
      <c r="K22" s="20">
        <v>18.46</v>
      </c>
      <c r="L22" s="18">
        <v>8462.76</v>
      </c>
      <c r="M22" s="20">
        <v>21.14</v>
      </c>
      <c r="N22" s="18">
        <v>1072.6199999999999</v>
      </c>
      <c r="O22" s="20">
        <v>2.68</v>
      </c>
      <c r="P22" s="18">
        <v>1157.3900000000001</v>
      </c>
      <c r="Q22" s="20">
        <v>2.89</v>
      </c>
      <c r="R22" s="22">
        <v>2</v>
      </c>
      <c r="S22" s="22">
        <v>0</v>
      </c>
    </row>
    <row r="23" spans="1:19">
      <c r="A23">
        <v>2</v>
      </c>
      <c r="B23" s="16" t="s">
        <v>56</v>
      </c>
      <c r="C23" s="9">
        <v>45717</v>
      </c>
      <c r="D23" s="18">
        <v>48895</v>
      </c>
      <c r="F23" s="22">
        <v>661</v>
      </c>
      <c r="G23" s="18">
        <v>73.97</v>
      </c>
      <c r="H23" s="18">
        <v>10424.32</v>
      </c>
      <c r="I23" s="20">
        <v>21.32</v>
      </c>
      <c r="J23" s="18">
        <v>9110.58</v>
      </c>
      <c r="K23" s="20">
        <v>18.63</v>
      </c>
      <c r="L23" s="18">
        <v>9758.5400000000009</v>
      </c>
      <c r="M23" s="20">
        <v>19.96</v>
      </c>
      <c r="N23" s="18">
        <v>647.95000000000005</v>
      </c>
      <c r="O23" s="20">
        <v>1.33</v>
      </c>
      <c r="P23" s="18">
        <v>1313.73</v>
      </c>
      <c r="Q23" s="20">
        <v>2.69</v>
      </c>
      <c r="R23" s="22">
        <v>1</v>
      </c>
      <c r="S23" s="22">
        <v>0</v>
      </c>
    </row>
    <row r="24" spans="1:19">
      <c r="A24">
        <v>2</v>
      </c>
      <c r="B24" s="16" t="s">
        <v>56</v>
      </c>
      <c r="C24" s="9">
        <v>45748</v>
      </c>
      <c r="D24" s="18">
        <v>48671</v>
      </c>
      <c r="F24" s="22">
        <v>638</v>
      </c>
      <c r="G24" s="18">
        <v>76.290000000000006</v>
      </c>
      <c r="H24" s="18">
        <v>10240.1</v>
      </c>
      <c r="I24" s="20">
        <v>21.04</v>
      </c>
      <c r="J24" s="18">
        <v>9078.7900000000009</v>
      </c>
      <c r="K24" s="20">
        <v>18.649999999999999</v>
      </c>
      <c r="L24" s="18">
        <v>10066.48</v>
      </c>
      <c r="M24" s="20">
        <v>20.68</v>
      </c>
      <c r="N24" s="18">
        <v>987.69</v>
      </c>
      <c r="O24" s="20">
        <v>2.0299999999999998</v>
      </c>
      <c r="P24" s="18">
        <v>1161.32</v>
      </c>
      <c r="Q24" s="20">
        <v>2.39</v>
      </c>
      <c r="R24" s="22">
        <v>1</v>
      </c>
      <c r="S24" s="22">
        <v>0</v>
      </c>
    </row>
    <row r="25" spans="1:19">
      <c r="A25">
        <v>2</v>
      </c>
      <c r="B25" s="16" t="s">
        <v>56</v>
      </c>
      <c r="C25" s="9">
        <v>45778</v>
      </c>
      <c r="D25" s="18">
        <v>51977</v>
      </c>
      <c r="F25" s="22">
        <v>682</v>
      </c>
      <c r="G25" s="18">
        <v>76.209999999999994</v>
      </c>
      <c r="H25" s="18">
        <v>10995.69</v>
      </c>
      <c r="I25" s="20">
        <v>21.15</v>
      </c>
      <c r="J25" s="18">
        <v>9668.33</v>
      </c>
      <c r="K25" s="20">
        <v>18.600000000000001</v>
      </c>
      <c r="L25" s="18">
        <v>11153.95</v>
      </c>
      <c r="M25" s="20">
        <v>21.46</v>
      </c>
      <c r="N25" s="18">
        <v>1485.62</v>
      </c>
      <c r="O25" s="20">
        <v>2.86</v>
      </c>
      <c r="P25" s="18">
        <v>1327.36</v>
      </c>
      <c r="Q25" s="20">
        <v>2.5499999999999998</v>
      </c>
      <c r="R25" s="22">
        <v>1</v>
      </c>
      <c r="S25" s="22">
        <v>0</v>
      </c>
    </row>
    <row r="26" spans="1:19">
      <c r="A26">
        <v>2</v>
      </c>
      <c r="B26" s="16" t="s">
        <v>56</v>
      </c>
      <c r="C26" s="9">
        <v>45809</v>
      </c>
      <c r="D26" s="18">
        <v>44897</v>
      </c>
      <c r="F26" s="22">
        <v>603</v>
      </c>
      <c r="G26" s="18">
        <v>74.459999999999994</v>
      </c>
      <c r="H26" s="18">
        <v>9352.8799999999992</v>
      </c>
      <c r="I26" s="20">
        <v>20.83</v>
      </c>
      <c r="J26" s="18">
        <v>8231.6299999999992</v>
      </c>
      <c r="K26" s="20">
        <v>18.329999999999998</v>
      </c>
      <c r="L26" s="18">
        <v>8932.5300000000007</v>
      </c>
      <c r="M26" s="20">
        <v>19.899999999999999</v>
      </c>
      <c r="N26" s="18">
        <v>700.91</v>
      </c>
      <c r="O26" s="20">
        <v>1.56</v>
      </c>
      <c r="P26" s="18">
        <v>1121.25</v>
      </c>
      <c r="Q26" s="20">
        <v>2.5</v>
      </c>
      <c r="R26" s="22">
        <v>1</v>
      </c>
      <c r="S26" s="22">
        <v>0</v>
      </c>
    </row>
    <row r="27" spans="1:19">
      <c r="A27">
        <v>2</v>
      </c>
      <c r="B27" s="16" t="s">
        <v>56</v>
      </c>
      <c r="C27" s="9">
        <v>45839</v>
      </c>
      <c r="D27" s="18">
        <v>39767</v>
      </c>
      <c r="F27" s="22">
        <v>535</v>
      </c>
      <c r="G27" s="18">
        <v>74.33</v>
      </c>
      <c r="H27" s="18">
        <v>8450.39</v>
      </c>
      <c r="I27" s="20">
        <v>21.25</v>
      </c>
      <c r="J27" s="18">
        <v>7308.33</v>
      </c>
      <c r="K27" s="20">
        <v>18.38</v>
      </c>
      <c r="L27" s="18">
        <v>9252.0300000000007</v>
      </c>
      <c r="M27" s="20">
        <v>23.27</v>
      </c>
      <c r="N27" s="18">
        <v>1943.7</v>
      </c>
      <c r="O27" s="20">
        <v>4.8899999999999997</v>
      </c>
      <c r="P27" s="18">
        <v>1142.07</v>
      </c>
      <c r="Q27" s="20">
        <v>2.87</v>
      </c>
      <c r="R27" s="22">
        <v>2</v>
      </c>
      <c r="S27" s="22">
        <v>0</v>
      </c>
    </row>
    <row r="28" spans="1:19">
      <c r="A28">
        <v>2</v>
      </c>
      <c r="B28" s="16" t="s">
        <v>56</v>
      </c>
      <c r="C28" s="9">
        <v>45870</v>
      </c>
      <c r="D28" s="18">
        <v>43448.5</v>
      </c>
      <c r="F28" s="22">
        <v>576</v>
      </c>
      <c r="G28" s="18">
        <v>75.430000000000007</v>
      </c>
      <c r="H28" s="18">
        <v>8897.83</v>
      </c>
      <c r="I28" s="20">
        <v>20.48</v>
      </c>
      <c r="J28" s="18">
        <v>7891.46</v>
      </c>
      <c r="K28" s="20">
        <v>18.16</v>
      </c>
      <c r="L28" s="18">
        <v>8293.2999999999993</v>
      </c>
      <c r="M28" s="20">
        <v>19.09</v>
      </c>
      <c r="N28" s="18">
        <v>401.83</v>
      </c>
      <c r="O28" s="20">
        <v>0.92</v>
      </c>
      <c r="P28" s="18">
        <v>1006.37</v>
      </c>
      <c r="Q28" s="20">
        <v>2.3199999999999998</v>
      </c>
      <c r="R28" s="22">
        <v>4</v>
      </c>
      <c r="S28" s="22">
        <v>0</v>
      </c>
    </row>
    <row r="29" spans="1:19">
      <c r="A29">
        <v>2</v>
      </c>
      <c r="B29" s="16" t="s">
        <v>56</v>
      </c>
      <c r="C29" s="9">
        <v>45901</v>
      </c>
      <c r="D29" s="18">
        <v>46287.5</v>
      </c>
      <c r="F29" s="22">
        <v>623</v>
      </c>
      <c r="G29" s="18">
        <v>74.3</v>
      </c>
      <c r="H29" s="18">
        <v>9586.01</v>
      </c>
      <c r="I29" s="20">
        <v>20.71</v>
      </c>
      <c r="J29" s="18">
        <v>8520.7000000000007</v>
      </c>
      <c r="K29" s="20">
        <v>18.41</v>
      </c>
      <c r="L29" s="18">
        <v>9781.7900000000009</v>
      </c>
      <c r="M29" s="20">
        <v>21.13</v>
      </c>
      <c r="N29" s="18">
        <v>1261.0899999999999</v>
      </c>
      <c r="O29" s="20">
        <v>2.72</v>
      </c>
      <c r="P29" s="18">
        <v>1065.31</v>
      </c>
      <c r="Q29" s="20">
        <v>2.2999999999999998</v>
      </c>
      <c r="R29" s="22">
        <v>3</v>
      </c>
      <c r="S29" s="22">
        <v>0</v>
      </c>
    </row>
    <row r="30" spans="1:19">
      <c r="A30">
        <v>2</v>
      </c>
      <c r="B30" s="16" t="s">
        <v>56</v>
      </c>
      <c r="C30" s="9">
        <v>45931</v>
      </c>
      <c r="D30" s="18">
        <v>49617.5</v>
      </c>
      <c r="F30" s="22">
        <v>669</v>
      </c>
      <c r="G30" s="18">
        <v>74.17</v>
      </c>
      <c r="H30" s="18">
        <v>10288.91</v>
      </c>
      <c r="I30" s="20">
        <v>20.74</v>
      </c>
      <c r="J30" s="18">
        <v>9168.5</v>
      </c>
      <c r="K30" s="20">
        <v>18.48</v>
      </c>
      <c r="L30" s="18">
        <v>10717.02</v>
      </c>
      <c r="M30" s="20">
        <v>21.6</v>
      </c>
      <c r="N30" s="18">
        <v>1548.52</v>
      </c>
      <c r="O30" s="20">
        <v>3.12</v>
      </c>
      <c r="P30" s="18">
        <v>1120.4100000000001</v>
      </c>
      <c r="Q30" s="20">
        <v>2.2599999999999998</v>
      </c>
      <c r="R30" s="22">
        <v>3</v>
      </c>
      <c r="S30" s="22">
        <v>0</v>
      </c>
    </row>
    <row r="31" spans="1:19">
      <c r="A31">
        <v>2</v>
      </c>
      <c r="B31" s="16" t="s">
        <v>56</v>
      </c>
      <c r="C31" s="9">
        <v>45962</v>
      </c>
      <c r="D31" s="18">
        <v>47047.5</v>
      </c>
      <c r="F31" s="22">
        <v>642</v>
      </c>
      <c r="G31" s="18">
        <v>73.28</v>
      </c>
      <c r="H31" s="18">
        <v>9918.98</v>
      </c>
      <c r="I31" s="20">
        <v>21.08</v>
      </c>
      <c r="J31" s="18">
        <v>8812.23</v>
      </c>
      <c r="K31" s="20">
        <v>18.73</v>
      </c>
      <c r="L31" s="18">
        <v>8792.39</v>
      </c>
      <c r="M31" s="20">
        <v>18.690000000000001</v>
      </c>
      <c r="N31" s="18">
        <v>-19.850000000000001</v>
      </c>
      <c r="O31" s="20">
        <v>-0.04</v>
      </c>
      <c r="P31" s="18">
        <v>1106.74</v>
      </c>
      <c r="Q31" s="20">
        <v>2.35</v>
      </c>
      <c r="R31" s="22">
        <v>4</v>
      </c>
      <c r="S31" s="22">
        <v>0</v>
      </c>
    </row>
    <row r="32" spans="1:19">
      <c r="A32">
        <v>2</v>
      </c>
      <c r="B32" s="16" t="s">
        <v>56</v>
      </c>
      <c r="C32" s="9">
        <v>45992</v>
      </c>
      <c r="D32" s="18">
        <v>59628.5</v>
      </c>
      <c r="F32" s="22">
        <v>776</v>
      </c>
      <c r="G32" s="18">
        <v>76.84</v>
      </c>
      <c r="H32" s="18">
        <v>12315.12</v>
      </c>
      <c r="I32" s="20">
        <v>20.65</v>
      </c>
      <c r="J32" s="18">
        <v>11061.44</v>
      </c>
      <c r="K32" s="20">
        <v>18.55</v>
      </c>
      <c r="L32" s="18">
        <v>13016.27</v>
      </c>
      <c r="M32" s="20">
        <v>21.83</v>
      </c>
      <c r="N32" s="18">
        <v>1954.83</v>
      </c>
      <c r="O32" s="20">
        <v>3.28</v>
      </c>
      <c r="P32" s="18">
        <v>1253.68</v>
      </c>
      <c r="Q32" s="20">
        <v>2.1</v>
      </c>
      <c r="R32" s="22">
        <v>2</v>
      </c>
      <c r="S32" s="22">
        <v>0</v>
      </c>
    </row>
    <row r="33" spans="1:19">
      <c r="A33">
        <v>2</v>
      </c>
      <c r="B33" s="16" t="s">
        <v>56</v>
      </c>
      <c r="C33" s="9">
        <v>46023</v>
      </c>
      <c r="D33" s="18">
        <v>37474</v>
      </c>
      <c r="E33" s="20">
        <v>-14.45</v>
      </c>
      <c r="F33" s="22">
        <v>503</v>
      </c>
      <c r="G33" s="18">
        <v>74.5</v>
      </c>
      <c r="H33" s="18">
        <v>8084.08</v>
      </c>
      <c r="I33" s="20">
        <v>21.57</v>
      </c>
      <c r="J33" s="18">
        <v>7058.05</v>
      </c>
      <c r="K33" s="20">
        <v>18.829999999999998</v>
      </c>
      <c r="L33" s="18">
        <v>8114.76</v>
      </c>
      <c r="M33" s="20">
        <v>21.65</v>
      </c>
      <c r="N33" s="18">
        <v>1056.7</v>
      </c>
      <c r="O33" s="20">
        <v>2.82</v>
      </c>
      <c r="P33" s="18">
        <v>1026.03</v>
      </c>
      <c r="Q33" s="20">
        <v>2.74</v>
      </c>
      <c r="R33" s="22">
        <v>5</v>
      </c>
      <c r="S33" s="22">
        <v>0</v>
      </c>
    </row>
    <row r="34" spans="1:19">
      <c r="A34">
        <v>2</v>
      </c>
      <c r="B34" s="16" t="s">
        <v>56</v>
      </c>
      <c r="C34" s="9">
        <v>46054</v>
      </c>
      <c r="D34" s="18">
        <v>40173.5</v>
      </c>
      <c r="E34" s="20">
        <v>0.37</v>
      </c>
      <c r="F34" s="22">
        <v>540</v>
      </c>
      <c r="G34" s="18">
        <v>74.400000000000006</v>
      </c>
      <c r="H34" s="18">
        <v>8580.81</v>
      </c>
      <c r="I34" s="20">
        <v>21.36</v>
      </c>
      <c r="J34" s="18">
        <v>7584.7</v>
      </c>
      <c r="K34" s="20">
        <v>18.88</v>
      </c>
      <c r="L34" s="18">
        <v>8647.48</v>
      </c>
      <c r="M34" s="20">
        <v>21.53</v>
      </c>
      <c r="N34" s="18">
        <v>1062.78</v>
      </c>
      <c r="O34" s="20">
        <v>2.65</v>
      </c>
      <c r="P34" s="18">
        <v>996.11</v>
      </c>
      <c r="Q34" s="20">
        <v>2.48</v>
      </c>
      <c r="R34" s="22">
        <v>3</v>
      </c>
      <c r="S34" s="22">
        <v>0</v>
      </c>
    </row>
    <row r="35" spans="1:19">
      <c r="A35">
        <v>2</v>
      </c>
      <c r="B35" s="16" t="s">
        <v>56</v>
      </c>
      <c r="C35" s="9">
        <v>46082</v>
      </c>
      <c r="D35" s="18">
        <v>46573</v>
      </c>
      <c r="E35" s="20">
        <v>-4.75</v>
      </c>
      <c r="F35" s="22">
        <v>618</v>
      </c>
      <c r="G35" s="18">
        <v>75.36</v>
      </c>
      <c r="H35" s="18">
        <v>9770.64</v>
      </c>
      <c r="I35" s="20">
        <v>20.98</v>
      </c>
      <c r="J35" s="18">
        <v>8662.94</v>
      </c>
      <c r="K35" s="20">
        <v>18.600000000000001</v>
      </c>
      <c r="L35" s="18">
        <v>9550.1</v>
      </c>
      <c r="M35" s="20">
        <v>20.51</v>
      </c>
      <c r="N35" s="18">
        <v>887.16</v>
      </c>
      <c r="O35" s="20">
        <v>1.9</v>
      </c>
      <c r="P35" s="18">
        <v>1107.7</v>
      </c>
      <c r="Q35" s="20">
        <v>2.38</v>
      </c>
      <c r="R35" s="22">
        <v>2</v>
      </c>
      <c r="S35" s="22">
        <v>0</v>
      </c>
    </row>
    <row r="36" spans="1:19">
      <c r="A36">
        <v>2</v>
      </c>
      <c r="B36" s="16" t="s">
        <v>56</v>
      </c>
      <c r="C36" s="9">
        <v>46113</v>
      </c>
      <c r="D36" s="18">
        <v>50226.5</v>
      </c>
      <c r="E36" s="20">
        <v>3.2</v>
      </c>
      <c r="F36" s="22">
        <v>666</v>
      </c>
      <c r="G36" s="18">
        <v>75.42</v>
      </c>
      <c r="H36" s="18">
        <v>10560.08</v>
      </c>
      <c r="I36" s="20">
        <v>21.02</v>
      </c>
      <c r="J36" s="18">
        <v>9471.31</v>
      </c>
      <c r="K36" s="20">
        <v>18.86</v>
      </c>
      <c r="L36" s="18">
        <v>10962.01</v>
      </c>
      <c r="M36" s="20">
        <v>21.83</v>
      </c>
      <c r="N36" s="18">
        <v>1490.7</v>
      </c>
      <c r="O36" s="20">
        <v>2.97</v>
      </c>
      <c r="P36" s="18">
        <v>1088.77</v>
      </c>
      <c r="Q36" s="20">
        <v>2.17</v>
      </c>
      <c r="R36" s="22">
        <v>4</v>
      </c>
      <c r="S36" s="22">
        <v>0</v>
      </c>
    </row>
    <row r="37" spans="1:19">
      <c r="A37">
        <v>2</v>
      </c>
      <c r="B37" s="16" t="s">
        <v>56</v>
      </c>
      <c r="C37" s="9">
        <v>46143</v>
      </c>
      <c r="D37" s="18">
        <v>57828</v>
      </c>
      <c r="E37" s="20">
        <v>11.26</v>
      </c>
      <c r="F37" s="22">
        <v>795</v>
      </c>
      <c r="G37" s="18">
        <v>72.739999999999995</v>
      </c>
      <c r="H37" s="18">
        <v>12097.16</v>
      </c>
      <c r="I37" s="20">
        <v>20.92</v>
      </c>
      <c r="J37" s="18">
        <v>10898.17</v>
      </c>
      <c r="K37" s="20">
        <v>18.850000000000001</v>
      </c>
      <c r="L37" s="18">
        <v>11165.37</v>
      </c>
      <c r="M37" s="20">
        <v>19.309999999999999</v>
      </c>
      <c r="N37" s="18">
        <v>267.2</v>
      </c>
      <c r="O37" s="20">
        <v>0.46</v>
      </c>
      <c r="P37" s="18">
        <v>1198.99</v>
      </c>
      <c r="Q37" s="20">
        <v>2.0699999999999998</v>
      </c>
      <c r="R37" s="22">
        <v>4</v>
      </c>
      <c r="S37" s="22">
        <v>0</v>
      </c>
    </row>
    <row r="38" spans="1:19">
      <c r="A38">
        <v>2</v>
      </c>
      <c r="B38" s="16" t="s">
        <v>56</v>
      </c>
      <c r="C38" s="9">
        <v>46174</v>
      </c>
      <c r="D38" s="18">
        <v>48546</v>
      </c>
      <c r="E38" s="20">
        <v>8.1300000000000008</v>
      </c>
      <c r="F38" s="22">
        <v>652</v>
      </c>
      <c r="G38" s="18">
        <v>74.459999999999994</v>
      </c>
      <c r="H38" s="18">
        <v>10229.040000000001</v>
      </c>
      <c r="I38" s="20">
        <v>21.07</v>
      </c>
      <c r="J38" s="18">
        <v>9064.81</v>
      </c>
      <c r="K38" s="20">
        <v>18.670000000000002</v>
      </c>
      <c r="L38" s="18">
        <v>10579.33</v>
      </c>
      <c r="M38" s="20">
        <v>21.79</v>
      </c>
      <c r="N38" s="18">
        <v>1514.52</v>
      </c>
      <c r="O38" s="20">
        <v>3.12</v>
      </c>
      <c r="P38" s="18">
        <v>1164.23</v>
      </c>
      <c r="Q38" s="20">
        <v>2.4</v>
      </c>
      <c r="R38" s="22">
        <v>2</v>
      </c>
      <c r="S38" s="22">
        <v>0</v>
      </c>
    </row>
    <row r="39" spans="1:19">
      <c r="A39">
        <v>2</v>
      </c>
      <c r="B39" s="16" t="s">
        <v>56</v>
      </c>
      <c r="C39" s="9">
        <v>46204</v>
      </c>
      <c r="D39" s="18">
        <v>49015</v>
      </c>
      <c r="E39" s="20">
        <v>23.26</v>
      </c>
      <c r="F39" s="22">
        <v>665</v>
      </c>
      <c r="G39" s="18">
        <v>73.709999999999994</v>
      </c>
      <c r="H39" s="18">
        <v>10341.32</v>
      </c>
      <c r="I39" s="20">
        <v>21.1</v>
      </c>
      <c r="J39" s="18">
        <v>9174.93</v>
      </c>
      <c r="K39" s="20">
        <v>18.72</v>
      </c>
      <c r="L39" s="18">
        <v>10957.28</v>
      </c>
      <c r="M39" s="20">
        <v>22.35</v>
      </c>
      <c r="N39" s="18">
        <v>1782.34</v>
      </c>
      <c r="O39" s="20">
        <v>3.64</v>
      </c>
      <c r="P39" s="18">
        <v>1166.3900000000001</v>
      </c>
      <c r="Q39" s="20">
        <v>2.38</v>
      </c>
      <c r="R39" s="22">
        <v>5</v>
      </c>
      <c r="S39" s="22">
        <v>0</v>
      </c>
    </row>
    <row r="40" spans="1:19">
      <c r="A40">
        <v>2</v>
      </c>
      <c r="B40" s="16" t="s">
        <v>56</v>
      </c>
      <c r="C40" s="9">
        <v>46235</v>
      </c>
      <c r="D40" s="18">
        <v>45134.5</v>
      </c>
      <c r="E40" s="20">
        <v>3.88</v>
      </c>
      <c r="F40" s="22">
        <v>623</v>
      </c>
      <c r="G40" s="18">
        <v>72.45</v>
      </c>
      <c r="H40" s="18">
        <v>9650.83</v>
      </c>
      <c r="I40" s="20">
        <v>21.38</v>
      </c>
      <c r="J40" s="18">
        <v>8565.4599999999991</v>
      </c>
      <c r="K40" s="20">
        <v>18.98</v>
      </c>
      <c r="L40" s="18">
        <v>9102.77</v>
      </c>
      <c r="M40" s="20">
        <v>20.170000000000002</v>
      </c>
      <c r="N40" s="18">
        <v>537.30999999999995</v>
      </c>
      <c r="O40" s="20">
        <v>1.19</v>
      </c>
      <c r="P40" s="18">
        <v>1085.3699999999999</v>
      </c>
      <c r="Q40" s="20">
        <v>2.4</v>
      </c>
      <c r="R40" s="22">
        <v>4</v>
      </c>
      <c r="S40" s="22">
        <v>0</v>
      </c>
    </row>
    <row r="41" spans="1:19">
      <c r="A41">
        <v>2</v>
      </c>
      <c r="B41" s="16" t="s">
        <v>56</v>
      </c>
      <c r="C41" s="9">
        <v>46266</v>
      </c>
      <c r="D41" s="18">
        <v>40805</v>
      </c>
      <c r="E41" s="20">
        <v>-11.84</v>
      </c>
      <c r="F41" s="22">
        <v>558</v>
      </c>
      <c r="G41" s="18">
        <v>73.13</v>
      </c>
      <c r="H41" s="18">
        <v>8771.49</v>
      </c>
      <c r="I41" s="20">
        <v>21.5</v>
      </c>
      <c r="J41" s="18">
        <v>7784.23</v>
      </c>
      <c r="K41" s="20">
        <v>19.079999999999998</v>
      </c>
      <c r="L41" s="18">
        <v>8552.2199999999993</v>
      </c>
      <c r="M41" s="20">
        <v>20.96</v>
      </c>
      <c r="N41" s="18">
        <v>767.99</v>
      </c>
      <c r="O41" s="20">
        <v>1.88</v>
      </c>
      <c r="P41" s="18">
        <v>987.26</v>
      </c>
      <c r="Q41" s="20">
        <v>2.42</v>
      </c>
      <c r="R41" s="22">
        <v>3</v>
      </c>
      <c r="S41" s="22">
        <v>0</v>
      </c>
    </row>
    <row r="42" spans="1:19">
      <c r="A42">
        <v>3</v>
      </c>
      <c r="B42" s="16" t="s">
        <v>58</v>
      </c>
      <c r="C42" s="9">
        <v>45689</v>
      </c>
      <c r="D42" s="18">
        <v>28098.5</v>
      </c>
      <c r="F42" s="22">
        <v>352</v>
      </c>
      <c r="G42" s="18">
        <v>79.83</v>
      </c>
      <c r="H42" s="18">
        <v>7886.37</v>
      </c>
      <c r="I42" s="20">
        <v>28.07</v>
      </c>
      <c r="J42" s="18">
        <v>6752.52</v>
      </c>
      <c r="K42" s="20">
        <v>24.03</v>
      </c>
      <c r="L42" s="18">
        <v>8119.36</v>
      </c>
      <c r="M42" s="20">
        <v>28.9</v>
      </c>
      <c r="N42" s="18">
        <v>1366.83</v>
      </c>
      <c r="O42" s="20">
        <v>4.8600000000000003</v>
      </c>
      <c r="P42" s="18">
        <v>1133.8499999999999</v>
      </c>
      <c r="Q42" s="20">
        <v>4.04</v>
      </c>
      <c r="R42" s="22">
        <v>3</v>
      </c>
      <c r="S42" s="22">
        <v>0</v>
      </c>
    </row>
    <row r="43" spans="1:19">
      <c r="A43">
        <v>3</v>
      </c>
      <c r="B43" s="16" t="s">
        <v>58</v>
      </c>
      <c r="C43" s="9">
        <v>45717</v>
      </c>
      <c r="D43" s="18">
        <v>31117.5</v>
      </c>
      <c r="F43" s="22">
        <v>409</v>
      </c>
      <c r="G43" s="18">
        <v>76.08</v>
      </c>
      <c r="H43" s="18">
        <v>8484.9</v>
      </c>
      <c r="I43" s="20">
        <v>27.27</v>
      </c>
      <c r="J43" s="18">
        <v>7239.2</v>
      </c>
      <c r="K43" s="20">
        <v>23.26</v>
      </c>
      <c r="L43" s="18">
        <v>7615.63</v>
      </c>
      <c r="M43" s="20">
        <v>24.47</v>
      </c>
      <c r="N43" s="18">
        <v>376.43</v>
      </c>
      <c r="O43" s="20">
        <v>1.21</v>
      </c>
      <c r="P43" s="18">
        <v>1245.7</v>
      </c>
      <c r="Q43" s="20">
        <v>4</v>
      </c>
      <c r="R43" s="22">
        <v>1</v>
      </c>
      <c r="S43" s="22">
        <v>0</v>
      </c>
    </row>
    <row r="44" spans="1:19">
      <c r="A44">
        <v>3</v>
      </c>
      <c r="B44" s="16" t="s">
        <v>58</v>
      </c>
      <c r="C44" s="9">
        <v>45748</v>
      </c>
      <c r="D44" s="18">
        <v>39129.5</v>
      </c>
      <c r="F44" s="22">
        <v>497</v>
      </c>
      <c r="G44" s="18">
        <v>78.73</v>
      </c>
      <c r="H44" s="18">
        <v>10483.08</v>
      </c>
      <c r="I44" s="20">
        <v>26.79</v>
      </c>
      <c r="J44" s="18">
        <v>9105.0300000000007</v>
      </c>
      <c r="K44" s="20">
        <v>23.27</v>
      </c>
      <c r="L44" s="18">
        <v>10475.370000000001</v>
      </c>
      <c r="M44" s="20">
        <v>26.77</v>
      </c>
      <c r="N44" s="18">
        <v>1370.34</v>
      </c>
      <c r="O44" s="20">
        <v>3.5</v>
      </c>
      <c r="P44" s="18">
        <v>1378.05</v>
      </c>
      <c r="Q44" s="20">
        <v>3.52</v>
      </c>
      <c r="R44" s="22">
        <v>0</v>
      </c>
      <c r="S44" s="22">
        <v>0</v>
      </c>
    </row>
    <row r="45" spans="1:19">
      <c r="A45">
        <v>3</v>
      </c>
      <c r="B45" s="16" t="s">
        <v>58</v>
      </c>
      <c r="C45" s="9">
        <v>45778</v>
      </c>
      <c r="D45" s="18">
        <v>36253</v>
      </c>
      <c r="F45" s="22">
        <v>488</v>
      </c>
      <c r="G45" s="18">
        <v>74.290000000000006</v>
      </c>
      <c r="H45" s="18">
        <v>9681.16</v>
      </c>
      <c r="I45" s="20">
        <v>26.7</v>
      </c>
      <c r="J45" s="18">
        <v>8289.23</v>
      </c>
      <c r="K45" s="20">
        <v>22.86</v>
      </c>
      <c r="L45" s="18">
        <v>10022.9</v>
      </c>
      <c r="M45" s="20">
        <v>27.65</v>
      </c>
      <c r="N45" s="18">
        <v>1733.67</v>
      </c>
      <c r="O45" s="20">
        <v>4.78</v>
      </c>
      <c r="P45" s="18">
        <v>1391.92</v>
      </c>
      <c r="Q45" s="20">
        <v>3.84</v>
      </c>
      <c r="R45" s="22">
        <v>1</v>
      </c>
      <c r="S45" s="22">
        <v>0</v>
      </c>
    </row>
    <row r="46" spans="1:19">
      <c r="A46">
        <v>3</v>
      </c>
      <c r="B46" s="16" t="s">
        <v>58</v>
      </c>
      <c r="C46" s="9">
        <v>45809</v>
      </c>
      <c r="D46" s="18">
        <v>34247</v>
      </c>
      <c r="F46" s="22">
        <v>458</v>
      </c>
      <c r="G46" s="18">
        <v>74.78</v>
      </c>
      <c r="H46" s="18">
        <v>9052.25</v>
      </c>
      <c r="I46" s="20">
        <v>26.43</v>
      </c>
      <c r="J46" s="18">
        <v>7842.53</v>
      </c>
      <c r="K46" s="20">
        <v>22.9</v>
      </c>
      <c r="L46" s="18">
        <v>8539.32</v>
      </c>
      <c r="M46" s="20">
        <v>24.93</v>
      </c>
      <c r="N46" s="18">
        <v>696.79</v>
      </c>
      <c r="O46" s="20">
        <v>2.0299999999999998</v>
      </c>
      <c r="P46" s="18">
        <v>1209.72</v>
      </c>
      <c r="Q46" s="20">
        <v>3.53</v>
      </c>
      <c r="R46" s="22">
        <v>0</v>
      </c>
      <c r="S46" s="22">
        <v>0</v>
      </c>
    </row>
    <row r="47" spans="1:19">
      <c r="A47">
        <v>3</v>
      </c>
      <c r="B47" s="16" t="s">
        <v>58</v>
      </c>
      <c r="C47" s="9">
        <v>45839</v>
      </c>
      <c r="D47" s="18">
        <v>35984</v>
      </c>
      <c r="F47" s="22">
        <v>482</v>
      </c>
      <c r="G47" s="18">
        <v>74.66</v>
      </c>
      <c r="H47" s="18">
        <v>9561.6200000000008</v>
      </c>
      <c r="I47" s="20">
        <v>26.57</v>
      </c>
      <c r="J47" s="18">
        <v>8229.75</v>
      </c>
      <c r="K47" s="20">
        <v>22.87</v>
      </c>
      <c r="L47" s="18">
        <v>10600.31</v>
      </c>
      <c r="M47" s="20">
        <v>29.46</v>
      </c>
      <c r="N47" s="18">
        <v>2370.56</v>
      </c>
      <c r="O47" s="20">
        <v>6.59</v>
      </c>
      <c r="P47" s="18">
        <v>1331.87</v>
      </c>
      <c r="Q47" s="20">
        <v>3.7</v>
      </c>
      <c r="R47" s="22">
        <v>1</v>
      </c>
      <c r="S47" s="22">
        <v>0</v>
      </c>
    </row>
    <row r="48" spans="1:19">
      <c r="A48">
        <v>3</v>
      </c>
      <c r="B48" s="16" t="s">
        <v>58</v>
      </c>
      <c r="C48" s="9">
        <v>45870</v>
      </c>
      <c r="D48" s="18">
        <v>38332</v>
      </c>
      <c r="F48" s="22">
        <v>485</v>
      </c>
      <c r="G48" s="18">
        <v>79.040000000000006</v>
      </c>
      <c r="H48" s="18">
        <v>10071.700000000001</v>
      </c>
      <c r="I48" s="20">
        <v>26.27</v>
      </c>
      <c r="J48" s="18">
        <v>8723.27</v>
      </c>
      <c r="K48" s="20">
        <v>22.76</v>
      </c>
      <c r="L48" s="18">
        <v>8969.4500000000007</v>
      </c>
      <c r="M48" s="20">
        <v>23.4</v>
      </c>
      <c r="N48" s="18">
        <v>246.18</v>
      </c>
      <c r="O48" s="20">
        <v>0.64</v>
      </c>
      <c r="P48" s="18">
        <v>1348.43</v>
      </c>
      <c r="Q48" s="20">
        <v>3.52</v>
      </c>
      <c r="R48" s="22">
        <v>1</v>
      </c>
      <c r="S48" s="22">
        <v>0</v>
      </c>
    </row>
    <row r="49" spans="1:19">
      <c r="A49">
        <v>3</v>
      </c>
      <c r="B49" s="16" t="s">
        <v>58</v>
      </c>
      <c r="C49" s="9">
        <v>45901</v>
      </c>
      <c r="D49" s="18">
        <v>33787.5</v>
      </c>
      <c r="F49" s="22">
        <v>437</v>
      </c>
      <c r="G49" s="18">
        <v>77.319999999999993</v>
      </c>
      <c r="H49" s="18">
        <v>9070.98</v>
      </c>
      <c r="I49" s="20">
        <v>26.85</v>
      </c>
      <c r="J49" s="18">
        <v>7793.89</v>
      </c>
      <c r="K49" s="20">
        <v>23.07</v>
      </c>
      <c r="L49" s="18">
        <v>9189.98</v>
      </c>
      <c r="M49" s="20">
        <v>27.2</v>
      </c>
      <c r="N49" s="18">
        <v>1396.09</v>
      </c>
      <c r="O49" s="20">
        <v>4.13</v>
      </c>
      <c r="P49" s="18">
        <v>1277.0899999999999</v>
      </c>
      <c r="Q49" s="20">
        <v>3.78</v>
      </c>
      <c r="R49" s="22">
        <v>1</v>
      </c>
      <c r="S49" s="22">
        <v>0</v>
      </c>
    </row>
    <row r="50" spans="1:19">
      <c r="A50">
        <v>3</v>
      </c>
      <c r="B50" s="16" t="s">
        <v>58</v>
      </c>
      <c r="C50" s="9">
        <v>45931</v>
      </c>
      <c r="D50" s="18">
        <v>30999.5</v>
      </c>
      <c r="F50" s="22">
        <v>411</v>
      </c>
      <c r="G50" s="18">
        <v>75.42</v>
      </c>
      <c r="H50" s="18">
        <v>8571.36</v>
      </c>
      <c r="I50" s="20">
        <v>27.65</v>
      </c>
      <c r="J50" s="18">
        <v>7336.94</v>
      </c>
      <c r="K50" s="20">
        <v>23.67</v>
      </c>
      <c r="L50" s="18">
        <v>8875.02</v>
      </c>
      <c r="M50" s="20">
        <v>28.63</v>
      </c>
      <c r="N50" s="18">
        <v>1538.08</v>
      </c>
      <c r="O50" s="20">
        <v>4.96</v>
      </c>
      <c r="P50" s="18">
        <v>1234.42</v>
      </c>
      <c r="Q50" s="20">
        <v>3.98</v>
      </c>
      <c r="R50" s="22">
        <v>1</v>
      </c>
      <c r="S50" s="22">
        <v>0</v>
      </c>
    </row>
    <row r="51" spans="1:19">
      <c r="A51">
        <v>3</v>
      </c>
      <c r="B51" s="16" t="s">
        <v>58</v>
      </c>
      <c r="C51" s="9">
        <v>45962</v>
      </c>
      <c r="D51" s="18">
        <v>30215.5</v>
      </c>
      <c r="F51" s="22">
        <v>391</v>
      </c>
      <c r="G51" s="18">
        <v>77.28</v>
      </c>
      <c r="H51" s="18">
        <v>8199.76</v>
      </c>
      <c r="I51" s="20">
        <v>27.14</v>
      </c>
      <c r="J51" s="18">
        <v>7223.22</v>
      </c>
      <c r="K51" s="20">
        <v>23.91</v>
      </c>
      <c r="L51" s="18">
        <v>7649.43</v>
      </c>
      <c r="M51" s="20">
        <v>25.32</v>
      </c>
      <c r="N51" s="18">
        <v>426.21</v>
      </c>
      <c r="O51" s="20">
        <v>1.41</v>
      </c>
      <c r="P51" s="18">
        <v>976.54</v>
      </c>
      <c r="Q51" s="20">
        <v>3.23</v>
      </c>
      <c r="R51" s="22">
        <v>1</v>
      </c>
      <c r="S51" s="22">
        <v>0</v>
      </c>
    </row>
    <row r="52" spans="1:19">
      <c r="A52">
        <v>3</v>
      </c>
      <c r="B52" s="16" t="s">
        <v>58</v>
      </c>
      <c r="C52" s="9">
        <v>45992</v>
      </c>
      <c r="D52" s="18">
        <v>34013.5</v>
      </c>
      <c r="F52" s="22">
        <v>420</v>
      </c>
      <c r="G52" s="18">
        <v>80.98</v>
      </c>
      <c r="H52" s="18">
        <v>9764.32</v>
      </c>
      <c r="I52" s="20">
        <v>28.71</v>
      </c>
      <c r="J52" s="18">
        <v>8360.1200000000008</v>
      </c>
      <c r="K52" s="20">
        <v>24.58</v>
      </c>
      <c r="L52" s="18">
        <v>9989.92</v>
      </c>
      <c r="M52" s="20">
        <v>29.37</v>
      </c>
      <c r="N52" s="18">
        <v>1629.81</v>
      </c>
      <c r="O52" s="20">
        <v>4.79</v>
      </c>
      <c r="P52" s="18">
        <v>1404.2</v>
      </c>
      <c r="Q52" s="20">
        <v>4.13</v>
      </c>
      <c r="R52" s="22">
        <v>0</v>
      </c>
      <c r="S52" s="22">
        <v>0</v>
      </c>
    </row>
    <row r="53" spans="1:19">
      <c r="A53">
        <v>3</v>
      </c>
      <c r="B53" s="16" t="s">
        <v>58</v>
      </c>
      <c r="C53" s="9">
        <v>46023</v>
      </c>
      <c r="D53" s="18">
        <v>32684</v>
      </c>
      <c r="E53" s="20">
        <v>9.52</v>
      </c>
      <c r="F53" s="22">
        <v>402</v>
      </c>
      <c r="G53" s="18">
        <v>81.3</v>
      </c>
      <c r="H53" s="18">
        <v>9409.68</v>
      </c>
      <c r="I53" s="20">
        <v>28.79</v>
      </c>
      <c r="J53" s="18">
        <v>8139.81</v>
      </c>
      <c r="K53" s="20">
        <v>24.9</v>
      </c>
      <c r="L53" s="18">
        <v>9834.83</v>
      </c>
      <c r="M53" s="20">
        <v>30.09</v>
      </c>
      <c r="N53" s="18">
        <v>1695.02</v>
      </c>
      <c r="O53" s="20">
        <v>5.19</v>
      </c>
      <c r="P53" s="18">
        <v>1269.8599999999999</v>
      </c>
      <c r="Q53" s="20">
        <v>3.89</v>
      </c>
      <c r="R53" s="22">
        <v>0</v>
      </c>
      <c r="S53" s="22">
        <v>0</v>
      </c>
    </row>
    <row r="54" spans="1:19">
      <c r="A54">
        <v>3</v>
      </c>
      <c r="B54" s="16" t="s">
        <v>58</v>
      </c>
      <c r="C54" s="9">
        <v>46054</v>
      </c>
      <c r="D54" s="18">
        <v>30474</v>
      </c>
      <c r="E54" s="20">
        <v>8.4499999999999993</v>
      </c>
      <c r="F54" s="22">
        <v>387</v>
      </c>
      <c r="G54" s="18">
        <v>78.739999999999995</v>
      </c>
      <c r="H54" s="18">
        <v>8675.6</v>
      </c>
      <c r="I54" s="20">
        <v>28.47</v>
      </c>
      <c r="J54" s="18">
        <v>7447.32</v>
      </c>
      <c r="K54" s="20">
        <v>24.44</v>
      </c>
      <c r="L54" s="18">
        <v>8319.52</v>
      </c>
      <c r="M54" s="20">
        <v>27.3</v>
      </c>
      <c r="N54" s="18">
        <v>872.2</v>
      </c>
      <c r="O54" s="20">
        <v>2.86</v>
      </c>
      <c r="P54" s="18">
        <v>1228.28</v>
      </c>
      <c r="Q54" s="20">
        <v>4.03</v>
      </c>
      <c r="R54" s="22">
        <v>3</v>
      </c>
      <c r="S54" s="22">
        <v>0</v>
      </c>
    </row>
    <row r="55" spans="1:19">
      <c r="A55">
        <v>3</v>
      </c>
      <c r="B55" s="16" t="s">
        <v>58</v>
      </c>
      <c r="C55" s="9">
        <v>46082</v>
      </c>
      <c r="D55" s="18">
        <v>32492.5</v>
      </c>
      <c r="E55" s="20">
        <v>4.42</v>
      </c>
      <c r="F55" s="22">
        <v>410</v>
      </c>
      <c r="G55" s="18">
        <v>79.25</v>
      </c>
      <c r="H55" s="18">
        <v>9135.25</v>
      </c>
      <c r="I55" s="20">
        <v>28.11</v>
      </c>
      <c r="J55" s="18">
        <v>7823.08</v>
      </c>
      <c r="K55" s="20">
        <v>24.08</v>
      </c>
      <c r="L55" s="18">
        <v>8994.42</v>
      </c>
      <c r="M55" s="20">
        <v>27.68</v>
      </c>
      <c r="N55" s="18">
        <v>1171.3399999999999</v>
      </c>
      <c r="O55" s="20">
        <v>3.6</v>
      </c>
      <c r="P55" s="18">
        <v>1312.17</v>
      </c>
      <c r="Q55" s="20">
        <v>4.04</v>
      </c>
      <c r="R55" s="22">
        <v>0</v>
      </c>
      <c r="S55" s="22">
        <v>0</v>
      </c>
    </row>
    <row r="56" spans="1:19">
      <c r="A56">
        <v>3</v>
      </c>
      <c r="B56" s="16" t="s">
        <v>58</v>
      </c>
      <c r="C56" s="9">
        <v>46113</v>
      </c>
      <c r="D56" s="18">
        <v>34524.5</v>
      </c>
      <c r="E56" s="20">
        <v>-11.77</v>
      </c>
      <c r="F56" s="22">
        <v>448</v>
      </c>
      <c r="G56" s="18">
        <v>77.06</v>
      </c>
      <c r="H56" s="18">
        <v>9618.1</v>
      </c>
      <c r="I56" s="20">
        <v>27.86</v>
      </c>
      <c r="J56" s="18">
        <v>8315.85</v>
      </c>
      <c r="K56" s="20">
        <v>24.09</v>
      </c>
      <c r="L56" s="18">
        <v>10109.51</v>
      </c>
      <c r="M56" s="20">
        <v>29.28</v>
      </c>
      <c r="N56" s="18">
        <v>1793.66</v>
      </c>
      <c r="O56" s="20">
        <v>5.2</v>
      </c>
      <c r="P56" s="18">
        <v>1302.25</v>
      </c>
      <c r="Q56" s="20">
        <v>3.77</v>
      </c>
      <c r="R56" s="22">
        <v>1</v>
      </c>
      <c r="S56" s="22">
        <v>0</v>
      </c>
    </row>
    <row r="57" spans="1:19">
      <c r="A57">
        <v>3</v>
      </c>
      <c r="B57" s="16" t="s">
        <v>58</v>
      </c>
      <c r="C57" s="9">
        <v>46143</v>
      </c>
      <c r="D57" s="18">
        <v>36077.5</v>
      </c>
      <c r="E57" s="20">
        <v>-0.48</v>
      </c>
      <c r="F57" s="22">
        <v>477</v>
      </c>
      <c r="G57" s="18">
        <v>75.63</v>
      </c>
      <c r="H57" s="18">
        <v>9704.34</v>
      </c>
      <c r="I57" s="20">
        <v>26.9</v>
      </c>
      <c r="J57" s="18">
        <v>8436.11</v>
      </c>
      <c r="K57" s="20">
        <v>23.38</v>
      </c>
      <c r="L57" s="18">
        <v>9184.69</v>
      </c>
      <c r="M57" s="20">
        <v>25.46</v>
      </c>
      <c r="N57" s="18">
        <v>748.58</v>
      </c>
      <c r="O57" s="20">
        <v>2.0699999999999998</v>
      </c>
      <c r="P57" s="18">
        <v>1268.23</v>
      </c>
      <c r="Q57" s="20">
        <v>3.52</v>
      </c>
      <c r="R57" s="22">
        <v>1</v>
      </c>
      <c r="S57" s="22">
        <v>0</v>
      </c>
    </row>
    <row r="58" spans="1:19">
      <c r="A58">
        <v>3</v>
      </c>
      <c r="B58" s="16" t="s">
        <v>58</v>
      </c>
      <c r="C58" s="9">
        <v>46174</v>
      </c>
      <c r="D58" s="18">
        <v>37248</v>
      </c>
      <c r="E58" s="20">
        <v>8.76</v>
      </c>
      <c r="F58" s="22">
        <v>500</v>
      </c>
      <c r="G58" s="18">
        <v>74.5</v>
      </c>
      <c r="H58" s="18">
        <v>10040.31</v>
      </c>
      <c r="I58" s="20">
        <v>26.96</v>
      </c>
      <c r="J58" s="18">
        <v>8720.6299999999992</v>
      </c>
      <c r="K58" s="20">
        <v>23.41</v>
      </c>
      <c r="L58" s="18">
        <v>10445.4</v>
      </c>
      <c r="M58" s="20">
        <v>28.04</v>
      </c>
      <c r="N58" s="18">
        <v>1724.77</v>
      </c>
      <c r="O58" s="20">
        <v>4.63</v>
      </c>
      <c r="P58" s="18">
        <v>1319.68</v>
      </c>
      <c r="Q58" s="20">
        <v>3.54</v>
      </c>
      <c r="R58" s="22">
        <v>1</v>
      </c>
      <c r="S58" s="22">
        <v>0</v>
      </c>
    </row>
    <row r="59" spans="1:19">
      <c r="A59">
        <v>3</v>
      </c>
      <c r="B59" s="16" t="s">
        <v>58</v>
      </c>
      <c r="C59" s="9">
        <v>46204</v>
      </c>
      <c r="D59" s="18">
        <v>35492</v>
      </c>
      <c r="E59" s="20">
        <v>-1.37</v>
      </c>
      <c r="F59" s="22">
        <v>480</v>
      </c>
      <c r="G59" s="18">
        <v>73.94</v>
      </c>
      <c r="H59" s="18">
        <v>9454.1200000000008</v>
      </c>
      <c r="I59" s="20">
        <v>26.64</v>
      </c>
      <c r="J59" s="18">
        <v>8194.2099999999991</v>
      </c>
      <c r="K59" s="20">
        <v>23.09</v>
      </c>
      <c r="L59" s="18">
        <v>9811.18</v>
      </c>
      <c r="M59" s="20">
        <v>27.64</v>
      </c>
      <c r="N59" s="18">
        <v>1616.97</v>
      </c>
      <c r="O59" s="20">
        <v>4.5599999999999996</v>
      </c>
      <c r="P59" s="18">
        <v>1259.9100000000001</v>
      </c>
      <c r="Q59" s="20">
        <v>3.55</v>
      </c>
      <c r="R59" s="22">
        <v>0</v>
      </c>
      <c r="S59" s="22">
        <v>0</v>
      </c>
    </row>
    <row r="60" spans="1:19">
      <c r="A60">
        <v>3</v>
      </c>
      <c r="B60" s="16" t="s">
        <v>58</v>
      </c>
      <c r="C60" s="9">
        <v>46235</v>
      </c>
      <c r="D60" s="18">
        <v>33061.5</v>
      </c>
      <c r="E60" s="20">
        <v>-13.75</v>
      </c>
      <c r="F60" s="22">
        <v>421</v>
      </c>
      <c r="G60" s="18">
        <v>78.53</v>
      </c>
      <c r="H60" s="18">
        <v>8761.57</v>
      </c>
      <c r="I60" s="20">
        <v>26.5</v>
      </c>
      <c r="J60" s="18">
        <v>7640.73</v>
      </c>
      <c r="K60" s="20">
        <v>23.11</v>
      </c>
      <c r="L60" s="18">
        <v>8030.2</v>
      </c>
      <c r="M60" s="20">
        <v>24.29</v>
      </c>
      <c r="N60" s="18">
        <v>389.47</v>
      </c>
      <c r="O60" s="20">
        <v>1.18</v>
      </c>
      <c r="P60" s="18">
        <v>1120.8399999999999</v>
      </c>
      <c r="Q60" s="20">
        <v>3.39</v>
      </c>
      <c r="R60" s="22">
        <v>2</v>
      </c>
      <c r="S60" s="22">
        <v>0</v>
      </c>
    </row>
    <row r="61" spans="1:19">
      <c r="A61">
        <v>3</v>
      </c>
      <c r="B61" s="16" t="s">
        <v>58</v>
      </c>
      <c r="C61" s="9">
        <v>46266</v>
      </c>
      <c r="D61" s="18">
        <v>29981.5</v>
      </c>
      <c r="E61" s="20">
        <v>-11.26</v>
      </c>
      <c r="F61" s="22">
        <v>394</v>
      </c>
      <c r="G61" s="18">
        <v>76.099999999999994</v>
      </c>
      <c r="H61" s="18">
        <v>8359.43</v>
      </c>
      <c r="I61" s="20">
        <v>27.88</v>
      </c>
      <c r="J61" s="18">
        <v>7199.92</v>
      </c>
      <c r="K61" s="20">
        <v>24.01</v>
      </c>
      <c r="L61" s="18">
        <v>8163.89</v>
      </c>
      <c r="M61" s="20">
        <v>27.23</v>
      </c>
      <c r="N61" s="18">
        <v>963.97</v>
      </c>
      <c r="O61" s="20">
        <v>3.22</v>
      </c>
      <c r="P61" s="18">
        <v>1159.51</v>
      </c>
      <c r="Q61" s="20">
        <v>3.87</v>
      </c>
      <c r="R61" s="22">
        <v>2</v>
      </c>
      <c r="S61" s="22">
        <v>0</v>
      </c>
    </row>
    <row r="62" spans="1:19">
      <c r="A62">
        <v>4</v>
      </c>
      <c r="B62" s="16" t="s">
        <v>59</v>
      </c>
      <c r="C62" s="9">
        <v>45689</v>
      </c>
      <c r="D62" s="18">
        <v>30412</v>
      </c>
      <c r="F62" s="22">
        <v>391</v>
      </c>
      <c r="G62" s="18">
        <v>77.78</v>
      </c>
      <c r="H62" s="18">
        <v>6917.79</v>
      </c>
      <c r="I62" s="20">
        <v>22.75</v>
      </c>
      <c r="J62" s="18">
        <v>5937.63</v>
      </c>
      <c r="K62" s="20">
        <v>19.52</v>
      </c>
      <c r="L62" s="18">
        <v>6495.73</v>
      </c>
      <c r="M62" s="20">
        <v>21.36</v>
      </c>
      <c r="N62" s="18">
        <v>558.1</v>
      </c>
      <c r="O62" s="20">
        <v>1.84</v>
      </c>
      <c r="P62" s="18">
        <v>980.17</v>
      </c>
      <c r="Q62" s="20">
        <v>3.22</v>
      </c>
      <c r="R62" s="22">
        <v>2</v>
      </c>
      <c r="S62" s="22">
        <v>0</v>
      </c>
    </row>
    <row r="63" spans="1:19">
      <c r="A63">
        <v>4</v>
      </c>
      <c r="B63" s="16" t="s">
        <v>59</v>
      </c>
      <c r="C63" s="9">
        <v>45717</v>
      </c>
      <c r="D63" s="18">
        <v>28667.5</v>
      </c>
      <c r="F63" s="22">
        <v>398</v>
      </c>
      <c r="G63" s="18">
        <v>72.03</v>
      </c>
      <c r="H63" s="18">
        <v>6248.03</v>
      </c>
      <c r="I63" s="20">
        <v>21.79</v>
      </c>
      <c r="J63" s="18">
        <v>5418.21</v>
      </c>
      <c r="K63" s="20">
        <v>18.899999999999999</v>
      </c>
      <c r="L63" s="18">
        <v>5963.11</v>
      </c>
      <c r="M63" s="20">
        <v>20.8</v>
      </c>
      <c r="N63" s="18">
        <v>544.9</v>
      </c>
      <c r="O63" s="20">
        <v>1.9</v>
      </c>
      <c r="P63" s="18">
        <v>829.82</v>
      </c>
      <c r="Q63" s="20">
        <v>2.89</v>
      </c>
      <c r="R63" s="22">
        <v>3</v>
      </c>
      <c r="S63" s="22">
        <v>0</v>
      </c>
    </row>
    <row r="64" spans="1:19">
      <c r="A64">
        <v>4</v>
      </c>
      <c r="B64" s="16" t="s">
        <v>59</v>
      </c>
      <c r="C64" s="9">
        <v>45748</v>
      </c>
      <c r="D64" s="18">
        <v>33406</v>
      </c>
      <c r="F64" s="22">
        <v>442</v>
      </c>
      <c r="G64" s="18">
        <v>75.58</v>
      </c>
      <c r="H64" s="18">
        <v>7505.76</v>
      </c>
      <c r="I64" s="20">
        <v>22.47</v>
      </c>
      <c r="J64" s="18">
        <v>6510.89</v>
      </c>
      <c r="K64" s="20">
        <v>19.489999999999998</v>
      </c>
      <c r="L64" s="18">
        <v>7799.27</v>
      </c>
      <c r="M64" s="20">
        <v>23.35</v>
      </c>
      <c r="N64" s="18">
        <v>1288.3800000000001</v>
      </c>
      <c r="O64" s="20">
        <v>3.86</v>
      </c>
      <c r="P64" s="18">
        <v>994.87</v>
      </c>
      <c r="Q64" s="20">
        <v>2.98</v>
      </c>
      <c r="R64" s="22">
        <v>1</v>
      </c>
      <c r="S64" s="22">
        <v>0</v>
      </c>
    </row>
    <row r="65" spans="1:19">
      <c r="A65">
        <v>4</v>
      </c>
      <c r="B65" s="16" t="s">
        <v>59</v>
      </c>
      <c r="C65" s="9">
        <v>45778</v>
      </c>
      <c r="D65" s="18">
        <v>38775.5</v>
      </c>
      <c r="F65" s="22">
        <v>519</v>
      </c>
      <c r="G65" s="18">
        <v>74.709999999999994</v>
      </c>
      <c r="H65" s="18">
        <v>8471.14</v>
      </c>
      <c r="I65" s="20">
        <v>21.85</v>
      </c>
      <c r="J65" s="18">
        <v>7437.78</v>
      </c>
      <c r="K65" s="20">
        <v>19.18</v>
      </c>
      <c r="L65" s="18">
        <v>8424.8799999999992</v>
      </c>
      <c r="M65" s="20">
        <v>21.73</v>
      </c>
      <c r="N65" s="18">
        <v>987.1</v>
      </c>
      <c r="O65" s="20">
        <v>2.5499999999999998</v>
      </c>
      <c r="P65" s="18">
        <v>1033.3699999999999</v>
      </c>
      <c r="Q65" s="20">
        <v>2.66</v>
      </c>
      <c r="R65" s="22">
        <v>1</v>
      </c>
      <c r="S65" s="22">
        <v>0</v>
      </c>
    </row>
    <row r="66" spans="1:19">
      <c r="A66">
        <v>4</v>
      </c>
      <c r="B66" s="16" t="s">
        <v>59</v>
      </c>
      <c r="C66" s="9">
        <v>45809</v>
      </c>
      <c r="D66" s="18">
        <v>37323.5</v>
      </c>
      <c r="F66" s="22">
        <v>490</v>
      </c>
      <c r="G66" s="18">
        <v>76.17</v>
      </c>
      <c r="H66" s="18">
        <v>7965.51</v>
      </c>
      <c r="I66" s="20">
        <v>21.34</v>
      </c>
      <c r="J66" s="18">
        <v>7024.99</v>
      </c>
      <c r="K66" s="20">
        <v>18.82</v>
      </c>
      <c r="L66" s="18">
        <v>7490.7</v>
      </c>
      <c r="M66" s="20">
        <v>20.07</v>
      </c>
      <c r="N66" s="18">
        <v>465.7</v>
      </c>
      <c r="O66" s="20">
        <v>1.25</v>
      </c>
      <c r="P66" s="18">
        <v>940.52</v>
      </c>
      <c r="Q66" s="20">
        <v>2.52</v>
      </c>
      <c r="R66" s="22">
        <v>2</v>
      </c>
      <c r="S66" s="22">
        <v>0</v>
      </c>
    </row>
    <row r="67" spans="1:19">
      <c r="A67">
        <v>4</v>
      </c>
      <c r="B67" s="16" t="s">
        <v>59</v>
      </c>
      <c r="C67" s="9">
        <v>45839</v>
      </c>
      <c r="D67" s="18">
        <v>33780.5</v>
      </c>
      <c r="F67" s="22">
        <v>459</v>
      </c>
      <c r="G67" s="18">
        <v>73.599999999999994</v>
      </c>
      <c r="H67" s="18">
        <v>7759.71</v>
      </c>
      <c r="I67" s="20">
        <v>22.97</v>
      </c>
      <c r="J67" s="18">
        <v>6383.05</v>
      </c>
      <c r="K67" s="20">
        <v>18.899999999999999</v>
      </c>
      <c r="L67" s="18">
        <v>8437.43</v>
      </c>
      <c r="M67" s="20">
        <v>24.98</v>
      </c>
      <c r="N67" s="18">
        <v>2054.38</v>
      </c>
      <c r="O67" s="20">
        <v>6.08</v>
      </c>
      <c r="P67" s="18">
        <v>1376.65</v>
      </c>
      <c r="Q67" s="20">
        <v>4.08</v>
      </c>
      <c r="R67" s="22">
        <v>1</v>
      </c>
      <c r="S67" s="22">
        <v>0</v>
      </c>
    </row>
    <row r="68" spans="1:19">
      <c r="A68">
        <v>4</v>
      </c>
      <c r="B68" s="16" t="s">
        <v>59</v>
      </c>
      <c r="C68" s="9">
        <v>45870</v>
      </c>
      <c r="D68" s="18">
        <v>42003.5</v>
      </c>
      <c r="F68" s="22">
        <v>548</v>
      </c>
      <c r="G68" s="18">
        <v>76.650000000000006</v>
      </c>
      <c r="H68" s="18">
        <v>8953.34</v>
      </c>
      <c r="I68" s="20">
        <v>21.32</v>
      </c>
      <c r="J68" s="18">
        <v>7936.14</v>
      </c>
      <c r="K68" s="20">
        <v>18.89</v>
      </c>
      <c r="L68" s="18">
        <v>8386.73</v>
      </c>
      <c r="M68" s="20">
        <v>19.97</v>
      </c>
      <c r="N68" s="18">
        <v>450.59</v>
      </c>
      <c r="O68" s="20">
        <v>1.07</v>
      </c>
      <c r="P68" s="18">
        <v>1017.2</v>
      </c>
      <c r="Q68" s="20">
        <v>2.42</v>
      </c>
      <c r="R68" s="22">
        <v>1</v>
      </c>
      <c r="S68" s="22">
        <v>0</v>
      </c>
    </row>
    <row r="69" spans="1:19">
      <c r="A69">
        <v>4</v>
      </c>
      <c r="B69" s="16" t="s">
        <v>59</v>
      </c>
      <c r="C69" s="9">
        <v>45901</v>
      </c>
      <c r="D69" s="18">
        <v>36617.5</v>
      </c>
      <c r="F69" s="22">
        <v>474</v>
      </c>
      <c r="G69" s="18">
        <v>77.25</v>
      </c>
      <c r="H69" s="18">
        <v>8144.06</v>
      </c>
      <c r="I69" s="20">
        <v>22.24</v>
      </c>
      <c r="J69" s="18">
        <v>7096.36</v>
      </c>
      <c r="K69" s="20">
        <v>19.38</v>
      </c>
      <c r="L69" s="18">
        <v>8296.23</v>
      </c>
      <c r="M69" s="20">
        <v>22.66</v>
      </c>
      <c r="N69" s="18">
        <v>1199.8699999999999</v>
      </c>
      <c r="O69" s="20">
        <v>3.28</v>
      </c>
      <c r="P69" s="18">
        <v>1047.69</v>
      </c>
      <c r="Q69" s="20">
        <v>2.86</v>
      </c>
      <c r="R69" s="22">
        <v>3</v>
      </c>
      <c r="S69" s="22">
        <v>0</v>
      </c>
    </row>
    <row r="70" spans="1:19">
      <c r="A70">
        <v>4</v>
      </c>
      <c r="B70" s="16" t="s">
        <v>59</v>
      </c>
      <c r="C70" s="9">
        <v>45931</v>
      </c>
      <c r="D70" s="18">
        <v>35802.5</v>
      </c>
      <c r="F70" s="22">
        <v>472</v>
      </c>
      <c r="G70" s="18">
        <v>75.849999999999994</v>
      </c>
      <c r="H70" s="18">
        <v>7948.29</v>
      </c>
      <c r="I70" s="20">
        <v>22.2</v>
      </c>
      <c r="J70" s="18">
        <v>6935.51</v>
      </c>
      <c r="K70" s="20">
        <v>19.37</v>
      </c>
      <c r="L70" s="18">
        <v>8382.06</v>
      </c>
      <c r="M70" s="20">
        <v>23.41</v>
      </c>
      <c r="N70" s="18">
        <v>1446.55</v>
      </c>
      <c r="O70" s="20">
        <v>4.04</v>
      </c>
      <c r="P70" s="18">
        <v>1012.78</v>
      </c>
      <c r="Q70" s="20">
        <v>2.83</v>
      </c>
      <c r="R70" s="22">
        <v>0</v>
      </c>
      <c r="S70" s="22">
        <v>0</v>
      </c>
    </row>
    <row r="71" spans="1:19">
      <c r="A71">
        <v>4</v>
      </c>
      <c r="B71" s="16" t="s">
        <v>59</v>
      </c>
      <c r="C71" s="9">
        <v>45962</v>
      </c>
      <c r="D71" s="18">
        <v>32846.5</v>
      </c>
      <c r="F71" s="22">
        <v>430</v>
      </c>
      <c r="G71" s="18">
        <v>76.39</v>
      </c>
      <c r="H71" s="18">
        <v>7303.27</v>
      </c>
      <c r="I71" s="20">
        <v>22.23</v>
      </c>
      <c r="J71" s="18">
        <v>6363.32</v>
      </c>
      <c r="K71" s="20">
        <v>19.37</v>
      </c>
      <c r="L71" s="18">
        <v>6676.09</v>
      </c>
      <c r="M71" s="20">
        <v>20.329999999999998</v>
      </c>
      <c r="N71" s="18">
        <v>312.77</v>
      </c>
      <c r="O71" s="20">
        <v>0.95</v>
      </c>
      <c r="P71" s="18">
        <v>939.95</v>
      </c>
      <c r="Q71" s="20">
        <v>2.86</v>
      </c>
      <c r="R71" s="22">
        <v>2</v>
      </c>
      <c r="S71" s="22">
        <v>0</v>
      </c>
    </row>
    <row r="72" spans="1:19">
      <c r="A72">
        <v>4</v>
      </c>
      <c r="B72" s="16" t="s">
        <v>59</v>
      </c>
      <c r="C72" s="9">
        <v>45992</v>
      </c>
      <c r="D72" s="18">
        <v>41070.5</v>
      </c>
      <c r="F72" s="22">
        <v>544</v>
      </c>
      <c r="G72" s="18">
        <v>75.5</v>
      </c>
      <c r="H72" s="18">
        <v>9185.24</v>
      </c>
      <c r="I72" s="20">
        <v>22.36</v>
      </c>
      <c r="J72" s="18">
        <v>8098.24</v>
      </c>
      <c r="K72" s="20">
        <v>19.72</v>
      </c>
      <c r="L72" s="18">
        <v>9360.7000000000007</v>
      </c>
      <c r="M72" s="20">
        <v>22.79</v>
      </c>
      <c r="N72" s="18">
        <v>1262.46</v>
      </c>
      <c r="O72" s="20">
        <v>3.07</v>
      </c>
      <c r="P72" s="18">
        <v>1087</v>
      </c>
      <c r="Q72" s="20">
        <v>2.65</v>
      </c>
      <c r="R72" s="22">
        <v>0</v>
      </c>
      <c r="S72" s="22">
        <v>0</v>
      </c>
    </row>
    <row r="73" spans="1:19">
      <c r="A73">
        <v>4</v>
      </c>
      <c r="B73" s="16" t="s">
        <v>59</v>
      </c>
      <c r="C73" s="9">
        <v>46023</v>
      </c>
      <c r="D73" s="18">
        <v>29314</v>
      </c>
      <c r="E73" s="20">
        <v>2.2799999999999998</v>
      </c>
      <c r="F73" s="22">
        <v>372</v>
      </c>
      <c r="G73" s="18">
        <v>78.8</v>
      </c>
      <c r="H73" s="18">
        <v>6648.39</v>
      </c>
      <c r="I73" s="20">
        <v>22.68</v>
      </c>
      <c r="J73" s="18">
        <v>5783.44</v>
      </c>
      <c r="K73" s="20">
        <v>19.73</v>
      </c>
      <c r="L73" s="18">
        <v>6498.8</v>
      </c>
      <c r="M73" s="20">
        <v>22.17</v>
      </c>
      <c r="N73" s="18">
        <v>715.36</v>
      </c>
      <c r="O73" s="20">
        <v>2.44</v>
      </c>
      <c r="P73" s="18">
        <v>864.95</v>
      </c>
      <c r="Q73" s="20">
        <v>2.95</v>
      </c>
      <c r="R73" s="22">
        <v>3</v>
      </c>
      <c r="S73" s="22">
        <v>0</v>
      </c>
    </row>
    <row r="74" spans="1:19">
      <c r="A74">
        <v>4</v>
      </c>
      <c r="B74" s="16" t="s">
        <v>59</v>
      </c>
      <c r="C74" s="9">
        <v>46054</v>
      </c>
      <c r="D74" s="18">
        <v>29274</v>
      </c>
      <c r="E74" s="20">
        <v>-3.74</v>
      </c>
      <c r="F74" s="22">
        <v>382</v>
      </c>
      <c r="G74" s="18">
        <v>76.63</v>
      </c>
      <c r="H74" s="18">
        <v>6724.39</v>
      </c>
      <c r="I74" s="20">
        <v>22.97</v>
      </c>
      <c r="J74" s="18">
        <v>5847.51</v>
      </c>
      <c r="K74" s="20">
        <v>19.98</v>
      </c>
      <c r="L74" s="18">
        <v>6770.36</v>
      </c>
      <c r="M74" s="20">
        <v>23.13</v>
      </c>
      <c r="N74" s="18">
        <v>922.85</v>
      </c>
      <c r="O74" s="20">
        <v>3.15</v>
      </c>
      <c r="P74" s="18">
        <v>876.88</v>
      </c>
      <c r="Q74" s="20">
        <v>3</v>
      </c>
      <c r="R74" s="22">
        <v>2</v>
      </c>
      <c r="S74" s="22">
        <v>0</v>
      </c>
    </row>
    <row r="75" spans="1:19">
      <c r="A75">
        <v>4</v>
      </c>
      <c r="B75" s="16" t="s">
        <v>59</v>
      </c>
      <c r="C75" s="9">
        <v>46082</v>
      </c>
      <c r="D75" s="18">
        <v>30581.5</v>
      </c>
      <c r="E75" s="20">
        <v>6.68</v>
      </c>
      <c r="F75" s="22">
        <v>410</v>
      </c>
      <c r="G75" s="18">
        <v>74.59</v>
      </c>
      <c r="H75" s="18">
        <v>6964.81</v>
      </c>
      <c r="I75" s="20">
        <v>22.77</v>
      </c>
      <c r="J75" s="18">
        <v>5988.67</v>
      </c>
      <c r="K75" s="20">
        <v>19.579999999999998</v>
      </c>
      <c r="L75" s="18">
        <v>6969.08</v>
      </c>
      <c r="M75" s="20">
        <v>22.79</v>
      </c>
      <c r="N75" s="18">
        <v>980.41</v>
      </c>
      <c r="O75" s="20">
        <v>3.21</v>
      </c>
      <c r="P75" s="18">
        <v>976.14</v>
      </c>
      <c r="Q75" s="20">
        <v>3.19</v>
      </c>
      <c r="R75" s="22">
        <v>3</v>
      </c>
      <c r="S75" s="22">
        <v>0</v>
      </c>
    </row>
    <row r="76" spans="1:19">
      <c r="A76">
        <v>4</v>
      </c>
      <c r="B76" s="16" t="s">
        <v>59</v>
      </c>
      <c r="C76" s="9">
        <v>46113</v>
      </c>
      <c r="D76" s="18">
        <v>32512.5</v>
      </c>
      <c r="E76" s="20">
        <v>-2.67</v>
      </c>
      <c r="F76" s="22">
        <v>427</v>
      </c>
      <c r="G76" s="18">
        <v>76.14</v>
      </c>
      <c r="H76" s="18">
        <v>7186.87</v>
      </c>
      <c r="I76" s="20">
        <v>22.1</v>
      </c>
      <c r="J76" s="18">
        <v>6285.7</v>
      </c>
      <c r="K76" s="20">
        <v>19.329999999999998</v>
      </c>
      <c r="L76" s="18">
        <v>7681.18</v>
      </c>
      <c r="M76" s="20">
        <v>23.63</v>
      </c>
      <c r="N76" s="18">
        <v>1395.48</v>
      </c>
      <c r="O76" s="20">
        <v>4.29</v>
      </c>
      <c r="P76" s="18">
        <v>901.17</v>
      </c>
      <c r="Q76" s="20">
        <v>2.77</v>
      </c>
      <c r="R76" s="22">
        <v>2</v>
      </c>
      <c r="S76" s="22">
        <v>0</v>
      </c>
    </row>
    <row r="77" spans="1:19">
      <c r="A77">
        <v>4</v>
      </c>
      <c r="B77" s="16" t="s">
        <v>59</v>
      </c>
      <c r="C77" s="9">
        <v>46143</v>
      </c>
      <c r="D77" s="18">
        <v>40205.5</v>
      </c>
      <c r="E77" s="20">
        <v>3.69</v>
      </c>
      <c r="F77" s="22">
        <v>523</v>
      </c>
      <c r="G77" s="18">
        <v>76.87</v>
      </c>
      <c r="H77" s="18">
        <v>8750.42</v>
      </c>
      <c r="I77" s="20">
        <v>21.76</v>
      </c>
      <c r="J77" s="18">
        <v>7705.07</v>
      </c>
      <c r="K77" s="20">
        <v>19.16</v>
      </c>
      <c r="L77" s="18">
        <v>8028.08</v>
      </c>
      <c r="M77" s="20">
        <v>19.97</v>
      </c>
      <c r="N77" s="18">
        <v>323</v>
      </c>
      <c r="O77" s="20">
        <v>0.8</v>
      </c>
      <c r="P77" s="18">
        <v>1045.3499999999999</v>
      </c>
      <c r="Q77" s="20">
        <v>2.6</v>
      </c>
      <c r="R77" s="22">
        <v>1</v>
      </c>
      <c r="S77" s="22">
        <v>0</v>
      </c>
    </row>
    <row r="78" spans="1:19">
      <c r="A78">
        <v>4</v>
      </c>
      <c r="B78" s="16" t="s">
        <v>59</v>
      </c>
      <c r="C78" s="9">
        <v>46174</v>
      </c>
      <c r="D78" s="18">
        <v>37094</v>
      </c>
      <c r="E78" s="20">
        <v>-0.61</v>
      </c>
      <c r="F78" s="22">
        <v>489</v>
      </c>
      <c r="G78" s="18">
        <v>75.86</v>
      </c>
      <c r="H78" s="18">
        <v>8155.78</v>
      </c>
      <c r="I78" s="20">
        <v>21.99</v>
      </c>
      <c r="J78" s="18">
        <v>7152.21</v>
      </c>
      <c r="K78" s="20">
        <v>19.28</v>
      </c>
      <c r="L78" s="18">
        <v>8586.9</v>
      </c>
      <c r="M78" s="20">
        <v>23.15</v>
      </c>
      <c r="N78" s="18">
        <v>1434.69</v>
      </c>
      <c r="O78" s="20">
        <v>3.87</v>
      </c>
      <c r="P78" s="18">
        <v>1003.57</v>
      </c>
      <c r="Q78" s="20">
        <v>2.71</v>
      </c>
      <c r="R78" s="22">
        <v>2</v>
      </c>
      <c r="S78" s="22">
        <v>0</v>
      </c>
    </row>
    <row r="79" spans="1:19">
      <c r="A79">
        <v>4</v>
      </c>
      <c r="B79" s="16" t="s">
        <v>59</v>
      </c>
      <c r="C79" s="9">
        <v>46204</v>
      </c>
      <c r="D79" s="18">
        <v>41358</v>
      </c>
      <c r="E79" s="20">
        <v>22.43</v>
      </c>
      <c r="F79" s="22">
        <v>559</v>
      </c>
      <c r="G79" s="18">
        <v>73.989999999999995</v>
      </c>
      <c r="H79" s="18">
        <v>9447.07</v>
      </c>
      <c r="I79" s="20">
        <v>22.84</v>
      </c>
      <c r="J79" s="18">
        <v>7966.08</v>
      </c>
      <c r="K79" s="20">
        <v>19.260000000000002</v>
      </c>
      <c r="L79" s="18">
        <v>9525.2000000000007</v>
      </c>
      <c r="M79" s="20">
        <v>23.03</v>
      </c>
      <c r="N79" s="18">
        <v>1559.12</v>
      </c>
      <c r="O79" s="20">
        <v>3.77</v>
      </c>
      <c r="P79" s="18">
        <v>1480.99</v>
      </c>
      <c r="Q79" s="20">
        <v>3.58</v>
      </c>
      <c r="R79" s="22">
        <v>1</v>
      </c>
      <c r="S79" s="22">
        <v>0</v>
      </c>
    </row>
    <row r="80" spans="1:19">
      <c r="A80">
        <v>4</v>
      </c>
      <c r="B80" s="16" t="s">
        <v>59</v>
      </c>
      <c r="C80" s="9">
        <v>46235</v>
      </c>
      <c r="D80" s="18">
        <v>34496</v>
      </c>
      <c r="E80" s="20">
        <v>-17.87</v>
      </c>
      <c r="F80" s="22">
        <v>447</v>
      </c>
      <c r="G80" s="18">
        <v>77.17</v>
      </c>
      <c r="H80" s="18">
        <v>7561.29</v>
      </c>
      <c r="I80" s="20">
        <v>21.92</v>
      </c>
      <c r="J80" s="18">
        <v>6653.23</v>
      </c>
      <c r="K80" s="20">
        <v>19.29</v>
      </c>
      <c r="L80" s="18">
        <v>7112.9</v>
      </c>
      <c r="M80" s="20">
        <v>20.62</v>
      </c>
      <c r="N80" s="18">
        <v>459.67</v>
      </c>
      <c r="O80" s="20">
        <v>1.33</v>
      </c>
      <c r="P80" s="18">
        <v>908.06</v>
      </c>
      <c r="Q80" s="20">
        <v>2.63</v>
      </c>
      <c r="R80" s="22">
        <v>2</v>
      </c>
      <c r="S80" s="22">
        <v>0</v>
      </c>
    </row>
    <row r="81" spans="1:19">
      <c r="A81">
        <v>4</v>
      </c>
      <c r="B81" s="16" t="s">
        <v>59</v>
      </c>
      <c r="C81" s="9">
        <v>46266</v>
      </c>
      <c r="D81" s="18">
        <v>34809</v>
      </c>
      <c r="E81" s="20">
        <v>-4.9400000000000004</v>
      </c>
      <c r="F81" s="22">
        <v>440</v>
      </c>
      <c r="G81" s="18">
        <v>79.11</v>
      </c>
      <c r="H81" s="18">
        <v>7893.17</v>
      </c>
      <c r="I81" s="20">
        <v>22.68</v>
      </c>
      <c r="J81" s="18">
        <v>6904.17</v>
      </c>
      <c r="K81" s="20">
        <v>19.829999999999998</v>
      </c>
      <c r="L81" s="18">
        <v>7800.82</v>
      </c>
      <c r="M81" s="20">
        <v>22.41</v>
      </c>
      <c r="N81" s="18">
        <v>896.65</v>
      </c>
      <c r="O81" s="20">
        <v>2.58</v>
      </c>
      <c r="P81" s="18">
        <v>989</v>
      </c>
      <c r="Q81" s="20">
        <v>2.84</v>
      </c>
      <c r="R81" s="22">
        <v>3</v>
      </c>
      <c r="S81" s="22">
        <v>0</v>
      </c>
    </row>
    <row r="82" spans="1:19">
      <c r="A82">
        <v>5</v>
      </c>
      <c r="B82" s="16" t="s">
        <v>60</v>
      </c>
      <c r="C82" s="9">
        <v>45689</v>
      </c>
      <c r="D82" s="18">
        <v>30562</v>
      </c>
      <c r="F82" s="22">
        <v>402</v>
      </c>
      <c r="G82" s="18">
        <v>76.02</v>
      </c>
      <c r="H82" s="18">
        <v>7151.88</v>
      </c>
      <c r="I82" s="20">
        <v>23.4</v>
      </c>
      <c r="J82" s="18">
        <v>6126.85</v>
      </c>
      <c r="K82" s="20">
        <v>20.05</v>
      </c>
      <c r="L82" s="18">
        <v>7136.06</v>
      </c>
      <c r="M82" s="20">
        <v>23.35</v>
      </c>
      <c r="N82" s="18">
        <v>1009.21</v>
      </c>
      <c r="O82" s="20">
        <v>3.3</v>
      </c>
      <c r="P82" s="18">
        <v>1025.03</v>
      </c>
      <c r="Q82" s="20">
        <v>3.35</v>
      </c>
      <c r="R82" s="22">
        <v>3</v>
      </c>
      <c r="S82" s="22">
        <v>0</v>
      </c>
    </row>
    <row r="83" spans="1:19">
      <c r="A83">
        <v>5</v>
      </c>
      <c r="B83" s="16" t="s">
        <v>60</v>
      </c>
      <c r="C83" s="9">
        <v>45717</v>
      </c>
      <c r="D83" s="18">
        <v>27899</v>
      </c>
      <c r="F83" s="22">
        <v>368</v>
      </c>
      <c r="G83" s="18">
        <v>75.81</v>
      </c>
      <c r="H83" s="18">
        <v>6532.43</v>
      </c>
      <c r="I83" s="20">
        <v>23.41</v>
      </c>
      <c r="J83" s="18">
        <v>5524.57</v>
      </c>
      <c r="K83" s="20">
        <v>19.8</v>
      </c>
      <c r="L83" s="18">
        <v>6050.06</v>
      </c>
      <c r="M83" s="20">
        <v>21.69</v>
      </c>
      <c r="N83" s="18">
        <v>525.5</v>
      </c>
      <c r="O83" s="20">
        <v>1.88</v>
      </c>
      <c r="P83" s="18">
        <v>1007.86</v>
      </c>
      <c r="Q83" s="20">
        <v>3.61</v>
      </c>
      <c r="R83" s="22">
        <v>2</v>
      </c>
      <c r="S83" s="22">
        <v>0</v>
      </c>
    </row>
    <row r="84" spans="1:19">
      <c r="A84">
        <v>5</v>
      </c>
      <c r="B84" s="16" t="s">
        <v>60</v>
      </c>
      <c r="C84" s="9">
        <v>45748</v>
      </c>
      <c r="D84" s="18">
        <v>30266.5</v>
      </c>
      <c r="F84" s="22">
        <v>398</v>
      </c>
      <c r="G84" s="18">
        <v>76.05</v>
      </c>
      <c r="H84" s="18">
        <v>7056.1</v>
      </c>
      <c r="I84" s="20">
        <v>23.31</v>
      </c>
      <c r="J84" s="18">
        <v>6034.78</v>
      </c>
      <c r="K84" s="20">
        <v>19.940000000000001</v>
      </c>
      <c r="L84" s="18">
        <v>7154.66</v>
      </c>
      <c r="M84" s="20">
        <v>23.64</v>
      </c>
      <c r="N84" s="18">
        <v>1119.8800000000001</v>
      </c>
      <c r="O84" s="20">
        <v>3.7</v>
      </c>
      <c r="P84" s="18">
        <v>1021.32</v>
      </c>
      <c r="Q84" s="20">
        <v>3.37</v>
      </c>
      <c r="R84" s="22">
        <v>1</v>
      </c>
      <c r="S84" s="22">
        <v>0</v>
      </c>
    </row>
    <row r="85" spans="1:19">
      <c r="A85">
        <v>5</v>
      </c>
      <c r="B85" s="16" t="s">
        <v>60</v>
      </c>
      <c r="C85" s="9">
        <v>45778</v>
      </c>
      <c r="D85" s="18">
        <v>34315.5</v>
      </c>
      <c r="F85" s="22">
        <v>470</v>
      </c>
      <c r="G85" s="18">
        <v>73.010000000000005</v>
      </c>
      <c r="H85" s="18">
        <v>7940.13</v>
      </c>
      <c r="I85" s="20">
        <v>23.14</v>
      </c>
      <c r="J85" s="18">
        <v>6869.31</v>
      </c>
      <c r="K85" s="20">
        <v>20.02</v>
      </c>
      <c r="L85" s="18">
        <v>7948</v>
      </c>
      <c r="M85" s="20">
        <v>23.16</v>
      </c>
      <c r="N85" s="18">
        <v>1078.68</v>
      </c>
      <c r="O85" s="20">
        <v>3.14</v>
      </c>
      <c r="P85" s="18">
        <v>1070.82</v>
      </c>
      <c r="Q85" s="20">
        <v>3.12</v>
      </c>
      <c r="R85" s="22">
        <v>3</v>
      </c>
      <c r="S85" s="22">
        <v>0</v>
      </c>
    </row>
    <row r="86" spans="1:19">
      <c r="A86">
        <v>5</v>
      </c>
      <c r="B86" s="16" t="s">
        <v>60</v>
      </c>
      <c r="C86" s="9">
        <v>45809</v>
      </c>
      <c r="D86" s="18">
        <v>30663</v>
      </c>
      <c r="F86" s="22">
        <v>402</v>
      </c>
      <c r="G86" s="18">
        <v>76.28</v>
      </c>
      <c r="H86" s="18">
        <v>7291.96</v>
      </c>
      <c r="I86" s="20">
        <v>23.78</v>
      </c>
      <c r="J86" s="18">
        <v>6309.05</v>
      </c>
      <c r="K86" s="20">
        <v>20.58</v>
      </c>
      <c r="L86" s="18">
        <v>7077.37</v>
      </c>
      <c r="M86" s="20">
        <v>23.08</v>
      </c>
      <c r="N86" s="18">
        <v>768.31</v>
      </c>
      <c r="O86" s="20">
        <v>2.5099999999999998</v>
      </c>
      <c r="P86" s="18">
        <v>982.91</v>
      </c>
      <c r="Q86" s="20">
        <v>3.21</v>
      </c>
      <c r="R86" s="22">
        <v>2</v>
      </c>
      <c r="S86" s="22">
        <v>0</v>
      </c>
    </row>
    <row r="87" spans="1:19">
      <c r="A87">
        <v>5</v>
      </c>
      <c r="B87" s="16" t="s">
        <v>60</v>
      </c>
      <c r="C87" s="9">
        <v>45839</v>
      </c>
      <c r="D87" s="18">
        <v>33628</v>
      </c>
      <c r="F87" s="22">
        <v>448</v>
      </c>
      <c r="G87" s="18">
        <v>75.06</v>
      </c>
      <c r="H87" s="18">
        <v>7779.85</v>
      </c>
      <c r="I87" s="20">
        <v>23.14</v>
      </c>
      <c r="J87" s="18">
        <v>6768.73</v>
      </c>
      <c r="K87" s="20">
        <v>20.13</v>
      </c>
      <c r="L87" s="18">
        <v>8778.44</v>
      </c>
      <c r="M87" s="20">
        <v>26.1</v>
      </c>
      <c r="N87" s="18">
        <v>2009.7</v>
      </c>
      <c r="O87" s="20">
        <v>5.98</v>
      </c>
      <c r="P87" s="18">
        <v>1011.12</v>
      </c>
      <c r="Q87" s="20">
        <v>3.01</v>
      </c>
      <c r="R87" s="22">
        <v>2</v>
      </c>
      <c r="S87" s="22">
        <v>0</v>
      </c>
    </row>
    <row r="88" spans="1:19">
      <c r="A88">
        <v>5</v>
      </c>
      <c r="B88" s="16" t="s">
        <v>60</v>
      </c>
      <c r="C88" s="9">
        <v>45870</v>
      </c>
      <c r="D88" s="18">
        <v>35619</v>
      </c>
      <c r="F88" s="22">
        <v>483</v>
      </c>
      <c r="G88" s="18">
        <v>73.75</v>
      </c>
      <c r="H88" s="18">
        <v>8240.48</v>
      </c>
      <c r="I88" s="20">
        <v>23.14</v>
      </c>
      <c r="J88" s="18">
        <v>7126.47</v>
      </c>
      <c r="K88" s="20">
        <v>20.010000000000002</v>
      </c>
      <c r="L88" s="18">
        <v>7165.16</v>
      </c>
      <c r="M88" s="20">
        <v>20.12</v>
      </c>
      <c r="N88" s="18">
        <v>38.69</v>
      </c>
      <c r="O88" s="20">
        <v>0.11</v>
      </c>
      <c r="P88" s="18">
        <v>1114.01</v>
      </c>
      <c r="Q88" s="20">
        <v>3.13</v>
      </c>
      <c r="R88" s="22">
        <v>0</v>
      </c>
      <c r="S88" s="22">
        <v>0</v>
      </c>
    </row>
    <row r="89" spans="1:19">
      <c r="A89">
        <v>5</v>
      </c>
      <c r="B89" s="16" t="s">
        <v>60</v>
      </c>
      <c r="C89" s="9">
        <v>45901</v>
      </c>
      <c r="D89" s="18">
        <v>23115</v>
      </c>
      <c r="F89" s="22">
        <v>319</v>
      </c>
      <c r="G89" s="18">
        <v>72.459999999999994</v>
      </c>
      <c r="H89" s="18">
        <v>5621.78</v>
      </c>
      <c r="I89" s="20">
        <v>24.32</v>
      </c>
      <c r="J89" s="18">
        <v>4697.66</v>
      </c>
      <c r="K89" s="20">
        <v>20.32</v>
      </c>
      <c r="L89" s="18">
        <v>5597.77</v>
      </c>
      <c r="M89" s="20">
        <v>24.22</v>
      </c>
      <c r="N89" s="18">
        <v>900.12</v>
      </c>
      <c r="O89" s="20">
        <v>3.89</v>
      </c>
      <c r="P89" s="18">
        <v>924.12</v>
      </c>
      <c r="Q89" s="20">
        <v>4</v>
      </c>
      <c r="R89" s="22">
        <v>4</v>
      </c>
      <c r="S89" s="22">
        <v>0</v>
      </c>
    </row>
    <row r="90" spans="1:19">
      <c r="A90">
        <v>5</v>
      </c>
      <c r="B90" s="16" t="s">
        <v>60</v>
      </c>
      <c r="C90" s="9">
        <v>45931</v>
      </c>
      <c r="D90" s="18">
        <v>33480.5</v>
      </c>
      <c r="F90" s="22">
        <v>441</v>
      </c>
      <c r="G90" s="18">
        <v>75.92</v>
      </c>
      <c r="H90" s="18">
        <v>7796.93</v>
      </c>
      <c r="I90" s="20">
        <v>23.29</v>
      </c>
      <c r="J90" s="18">
        <v>6721.28</v>
      </c>
      <c r="K90" s="20">
        <v>20.079999999999998</v>
      </c>
      <c r="L90" s="18">
        <v>8253.2900000000009</v>
      </c>
      <c r="M90" s="20">
        <v>24.65</v>
      </c>
      <c r="N90" s="18">
        <v>1532.01</v>
      </c>
      <c r="O90" s="20">
        <v>4.58</v>
      </c>
      <c r="P90" s="18">
        <v>1075.6500000000001</v>
      </c>
      <c r="Q90" s="20">
        <v>3.21</v>
      </c>
      <c r="R90" s="22">
        <v>1</v>
      </c>
      <c r="S90" s="22">
        <v>0</v>
      </c>
    </row>
    <row r="91" spans="1:19">
      <c r="A91">
        <v>5</v>
      </c>
      <c r="B91" s="16" t="s">
        <v>60</v>
      </c>
      <c r="C91" s="9">
        <v>45962</v>
      </c>
      <c r="D91" s="18">
        <v>31070</v>
      </c>
      <c r="F91" s="22">
        <v>421</v>
      </c>
      <c r="G91" s="18">
        <v>73.8</v>
      </c>
      <c r="H91" s="18">
        <v>7352.32</v>
      </c>
      <c r="I91" s="20">
        <v>23.66</v>
      </c>
      <c r="J91" s="18">
        <v>6377.32</v>
      </c>
      <c r="K91" s="20">
        <v>20.53</v>
      </c>
      <c r="L91" s="18">
        <v>6948.02</v>
      </c>
      <c r="M91" s="20">
        <v>22.36</v>
      </c>
      <c r="N91" s="18">
        <v>570.70000000000005</v>
      </c>
      <c r="O91" s="20">
        <v>1.84</v>
      </c>
      <c r="P91" s="18">
        <v>975</v>
      </c>
      <c r="Q91" s="20">
        <v>3.14</v>
      </c>
      <c r="R91" s="22">
        <v>1</v>
      </c>
      <c r="S91" s="22">
        <v>0</v>
      </c>
    </row>
    <row r="92" spans="1:19">
      <c r="A92">
        <v>5</v>
      </c>
      <c r="B92" s="16" t="s">
        <v>60</v>
      </c>
      <c r="C92" s="9">
        <v>45992</v>
      </c>
      <c r="D92" s="18">
        <v>28129.5</v>
      </c>
      <c r="F92" s="22">
        <v>376</v>
      </c>
      <c r="G92" s="18">
        <v>74.81</v>
      </c>
      <c r="H92" s="18">
        <v>6669.17</v>
      </c>
      <c r="I92" s="20">
        <v>23.71</v>
      </c>
      <c r="J92" s="18">
        <v>5695.29</v>
      </c>
      <c r="K92" s="20">
        <v>20.25</v>
      </c>
      <c r="L92" s="18">
        <v>6585.91</v>
      </c>
      <c r="M92" s="20">
        <v>23.41</v>
      </c>
      <c r="N92" s="18">
        <v>890.62</v>
      </c>
      <c r="O92" s="20">
        <v>3.17</v>
      </c>
      <c r="P92" s="18">
        <v>973.88</v>
      </c>
      <c r="Q92" s="20">
        <v>3.46</v>
      </c>
      <c r="R92" s="22">
        <v>2</v>
      </c>
      <c r="S92" s="22">
        <v>0</v>
      </c>
    </row>
    <row r="93" spans="1:19">
      <c r="A93">
        <v>5</v>
      </c>
      <c r="B93" s="16" t="s">
        <v>60</v>
      </c>
      <c r="C93" s="9">
        <v>46023</v>
      </c>
      <c r="D93" s="18">
        <v>27932</v>
      </c>
      <c r="E93" s="20">
        <v>-7.62</v>
      </c>
      <c r="F93" s="22">
        <v>381</v>
      </c>
      <c r="G93" s="18">
        <v>73.31</v>
      </c>
      <c r="H93" s="18">
        <v>6688.85</v>
      </c>
      <c r="I93" s="20">
        <v>23.95</v>
      </c>
      <c r="J93" s="18">
        <v>5757.4</v>
      </c>
      <c r="K93" s="20">
        <v>20.61</v>
      </c>
      <c r="L93" s="18">
        <v>7020.25</v>
      </c>
      <c r="M93" s="20">
        <v>25.13</v>
      </c>
      <c r="N93" s="18">
        <v>1262.8499999999999</v>
      </c>
      <c r="O93" s="20">
        <v>4.5199999999999996</v>
      </c>
      <c r="P93" s="18">
        <v>931.46</v>
      </c>
      <c r="Q93" s="20">
        <v>3.33</v>
      </c>
      <c r="R93" s="22">
        <v>2</v>
      </c>
      <c r="S93" s="22">
        <v>0</v>
      </c>
    </row>
    <row r="94" spans="1:19">
      <c r="A94">
        <v>5</v>
      </c>
      <c r="B94" s="16" t="s">
        <v>60</v>
      </c>
      <c r="C94" s="9">
        <v>46054</v>
      </c>
      <c r="D94" s="18">
        <v>30821</v>
      </c>
      <c r="E94" s="20">
        <v>0.85</v>
      </c>
      <c r="F94" s="22">
        <v>414</v>
      </c>
      <c r="G94" s="18">
        <v>74.45</v>
      </c>
      <c r="H94" s="18">
        <v>7310.28</v>
      </c>
      <c r="I94" s="20">
        <v>23.72</v>
      </c>
      <c r="J94" s="18">
        <v>6254.26</v>
      </c>
      <c r="K94" s="20">
        <v>20.29</v>
      </c>
      <c r="L94" s="18">
        <v>7285.81</v>
      </c>
      <c r="M94" s="20">
        <v>23.64</v>
      </c>
      <c r="N94" s="18">
        <v>1031.54</v>
      </c>
      <c r="O94" s="20">
        <v>3.35</v>
      </c>
      <c r="P94" s="18">
        <v>1056.02</v>
      </c>
      <c r="Q94" s="20">
        <v>3.43</v>
      </c>
      <c r="R94" s="22">
        <v>1</v>
      </c>
      <c r="S94" s="22">
        <v>0</v>
      </c>
    </row>
    <row r="95" spans="1:19">
      <c r="A95">
        <v>5</v>
      </c>
      <c r="B95" s="16" t="s">
        <v>60</v>
      </c>
      <c r="C95" s="9">
        <v>46082</v>
      </c>
      <c r="D95" s="18">
        <v>32931</v>
      </c>
      <c r="E95" s="20">
        <v>18.04</v>
      </c>
      <c r="F95" s="22">
        <v>457</v>
      </c>
      <c r="G95" s="18">
        <v>72.06</v>
      </c>
      <c r="H95" s="18">
        <v>7743.52</v>
      </c>
      <c r="I95" s="20">
        <v>23.51</v>
      </c>
      <c r="J95" s="18">
        <v>6668.93</v>
      </c>
      <c r="K95" s="20">
        <v>20.25</v>
      </c>
      <c r="L95" s="18">
        <v>7267.47</v>
      </c>
      <c r="M95" s="20">
        <v>22.07</v>
      </c>
      <c r="N95" s="18">
        <v>598.54</v>
      </c>
      <c r="O95" s="20">
        <v>1.82</v>
      </c>
      <c r="P95" s="18">
        <v>1074.58</v>
      </c>
      <c r="Q95" s="20">
        <v>3.26</v>
      </c>
      <c r="R95" s="22">
        <v>4</v>
      </c>
      <c r="S95" s="22">
        <v>0</v>
      </c>
    </row>
    <row r="96" spans="1:19">
      <c r="A96">
        <v>5</v>
      </c>
      <c r="B96" s="16" t="s">
        <v>60</v>
      </c>
      <c r="C96" s="9">
        <v>46113</v>
      </c>
      <c r="D96" s="18">
        <v>29956</v>
      </c>
      <c r="E96" s="20">
        <v>-1.03</v>
      </c>
      <c r="F96" s="22">
        <v>409</v>
      </c>
      <c r="G96" s="18">
        <v>73.239999999999995</v>
      </c>
      <c r="H96" s="18">
        <v>7369.15</v>
      </c>
      <c r="I96" s="20">
        <v>24.6</v>
      </c>
      <c r="J96" s="18">
        <v>6245.41</v>
      </c>
      <c r="K96" s="20">
        <v>20.85</v>
      </c>
      <c r="L96" s="18">
        <v>8337.5400000000009</v>
      </c>
      <c r="M96" s="20">
        <v>27.83</v>
      </c>
      <c r="N96" s="18">
        <v>2092.13</v>
      </c>
      <c r="O96" s="20">
        <v>6.98</v>
      </c>
      <c r="P96" s="18">
        <v>1123.74</v>
      </c>
      <c r="Q96" s="20">
        <v>3.75</v>
      </c>
      <c r="R96" s="22">
        <v>2</v>
      </c>
      <c r="S96" s="22">
        <v>0</v>
      </c>
    </row>
    <row r="97" spans="1:19">
      <c r="A97">
        <v>5</v>
      </c>
      <c r="B97" s="16" t="s">
        <v>60</v>
      </c>
      <c r="C97" s="9">
        <v>46143</v>
      </c>
      <c r="D97" s="18">
        <v>35183</v>
      </c>
      <c r="E97" s="20">
        <v>2.5299999999999998</v>
      </c>
      <c r="F97" s="22">
        <v>482</v>
      </c>
      <c r="G97" s="18">
        <v>72.989999999999995</v>
      </c>
      <c r="H97" s="18">
        <v>8225.2099999999991</v>
      </c>
      <c r="I97" s="20">
        <v>23.38</v>
      </c>
      <c r="J97" s="18">
        <v>7306.62</v>
      </c>
      <c r="K97" s="20">
        <v>20.77</v>
      </c>
      <c r="L97" s="18">
        <v>7362.21</v>
      </c>
      <c r="M97" s="20">
        <v>20.93</v>
      </c>
      <c r="N97" s="18">
        <v>55.58</v>
      </c>
      <c r="O97" s="20">
        <v>0.16</v>
      </c>
      <c r="P97" s="18">
        <v>918.58</v>
      </c>
      <c r="Q97" s="20">
        <v>2.61</v>
      </c>
      <c r="R97" s="22">
        <v>2</v>
      </c>
      <c r="S97" s="22">
        <v>0</v>
      </c>
    </row>
    <row r="98" spans="1:19">
      <c r="A98">
        <v>5</v>
      </c>
      <c r="B98" s="16" t="s">
        <v>60</v>
      </c>
      <c r="C98" s="9">
        <v>46174</v>
      </c>
      <c r="D98" s="18">
        <v>30982</v>
      </c>
      <c r="E98" s="20">
        <v>1.04</v>
      </c>
      <c r="F98" s="22">
        <v>406</v>
      </c>
      <c r="G98" s="18">
        <v>76.31</v>
      </c>
      <c r="H98" s="18">
        <v>7449.76</v>
      </c>
      <c r="I98" s="20">
        <v>24.05</v>
      </c>
      <c r="J98" s="18">
        <v>6373.57</v>
      </c>
      <c r="K98" s="20">
        <v>20.57</v>
      </c>
      <c r="L98" s="18">
        <v>7593.29</v>
      </c>
      <c r="M98" s="20">
        <v>24.51</v>
      </c>
      <c r="N98" s="18">
        <v>1219.71</v>
      </c>
      <c r="O98" s="20">
        <v>3.94</v>
      </c>
      <c r="P98" s="18">
        <v>1076.19</v>
      </c>
      <c r="Q98" s="20">
        <v>3.47</v>
      </c>
      <c r="R98" s="22">
        <v>1</v>
      </c>
      <c r="S98" s="22">
        <v>0</v>
      </c>
    </row>
    <row r="99" spans="1:19">
      <c r="A99">
        <v>5</v>
      </c>
      <c r="B99" s="16" t="s">
        <v>60</v>
      </c>
      <c r="C99" s="9">
        <v>46204</v>
      </c>
      <c r="D99" s="18">
        <v>34093</v>
      </c>
      <c r="E99" s="20">
        <v>1.38</v>
      </c>
      <c r="F99" s="22">
        <v>446</v>
      </c>
      <c r="G99" s="18">
        <v>76.44</v>
      </c>
      <c r="H99" s="18">
        <v>8248.1200000000008</v>
      </c>
      <c r="I99" s="20">
        <v>24.19</v>
      </c>
      <c r="J99" s="18">
        <v>7141.38</v>
      </c>
      <c r="K99" s="20">
        <v>20.95</v>
      </c>
      <c r="L99" s="18">
        <v>8715.01</v>
      </c>
      <c r="M99" s="20">
        <v>25.56</v>
      </c>
      <c r="N99" s="18">
        <v>1573.62</v>
      </c>
      <c r="O99" s="20">
        <v>4.62</v>
      </c>
      <c r="P99" s="18">
        <v>1106.74</v>
      </c>
      <c r="Q99" s="20">
        <v>3.25</v>
      </c>
      <c r="R99" s="22">
        <v>2</v>
      </c>
      <c r="S99" s="22">
        <v>0</v>
      </c>
    </row>
    <row r="100" spans="1:19">
      <c r="A100">
        <v>5</v>
      </c>
      <c r="B100" s="16" t="s">
        <v>60</v>
      </c>
      <c r="C100" s="9">
        <v>46235</v>
      </c>
      <c r="D100" s="18">
        <v>30435</v>
      </c>
      <c r="E100" s="20">
        <v>-14.55</v>
      </c>
      <c r="F100" s="22">
        <v>419</v>
      </c>
      <c r="G100" s="18">
        <v>72.64</v>
      </c>
      <c r="H100" s="18">
        <v>7151.7</v>
      </c>
      <c r="I100" s="20">
        <v>23.5</v>
      </c>
      <c r="J100" s="18">
        <v>6272.49</v>
      </c>
      <c r="K100" s="20">
        <v>20.61</v>
      </c>
      <c r="L100" s="18">
        <v>6458.88</v>
      </c>
      <c r="M100" s="20">
        <v>21.22</v>
      </c>
      <c r="N100" s="18">
        <v>186.39</v>
      </c>
      <c r="O100" s="20">
        <v>0.61</v>
      </c>
      <c r="P100" s="18">
        <v>879.21</v>
      </c>
      <c r="Q100" s="20">
        <v>2.89</v>
      </c>
      <c r="R100" s="22">
        <v>3</v>
      </c>
      <c r="S100" s="22">
        <v>0</v>
      </c>
    </row>
    <row r="101" spans="1:19">
      <c r="A101">
        <v>5</v>
      </c>
      <c r="B101" s="16" t="s">
        <v>60</v>
      </c>
      <c r="C101" s="9">
        <v>46266</v>
      </c>
      <c r="D101" s="18">
        <v>24915.5</v>
      </c>
      <c r="E101" s="20">
        <v>7.79</v>
      </c>
      <c r="F101" s="22">
        <v>358</v>
      </c>
      <c r="G101" s="18">
        <v>69.599999999999994</v>
      </c>
      <c r="H101" s="18">
        <v>6192.63</v>
      </c>
      <c r="I101" s="20">
        <v>24.85</v>
      </c>
      <c r="J101" s="18">
        <v>5167.5</v>
      </c>
      <c r="K101" s="20">
        <v>20.74</v>
      </c>
      <c r="L101" s="18">
        <v>6230.26</v>
      </c>
      <c r="M101" s="20">
        <v>25.01</v>
      </c>
      <c r="N101" s="18">
        <v>1062.76</v>
      </c>
      <c r="O101" s="20">
        <v>4.2699999999999996</v>
      </c>
      <c r="P101" s="18">
        <v>1025.1300000000001</v>
      </c>
      <c r="Q101" s="20">
        <v>4.1100000000000003</v>
      </c>
      <c r="R101" s="22">
        <v>3</v>
      </c>
      <c r="S101" s="22">
        <v>0</v>
      </c>
    </row>
    <row r="102" spans="1:19">
      <c r="A102">
        <v>6</v>
      </c>
      <c r="B102" s="16" t="s">
        <v>61</v>
      </c>
      <c r="C102" s="9">
        <v>45689</v>
      </c>
      <c r="D102" s="18">
        <v>59722</v>
      </c>
      <c r="F102" s="22">
        <v>622</v>
      </c>
      <c r="G102" s="18">
        <v>96.02</v>
      </c>
      <c r="H102" s="18">
        <v>15330.75</v>
      </c>
      <c r="I102" s="20">
        <v>25.67</v>
      </c>
      <c r="J102" s="18">
        <v>13287.47</v>
      </c>
      <c r="K102" s="20">
        <v>22.25</v>
      </c>
      <c r="L102" s="18">
        <v>15245.95</v>
      </c>
      <c r="M102" s="20">
        <v>25.53</v>
      </c>
      <c r="N102" s="18">
        <v>1958.48</v>
      </c>
      <c r="O102" s="20">
        <v>3.28</v>
      </c>
      <c r="P102" s="18">
        <v>2043.28</v>
      </c>
      <c r="Q102" s="20">
        <v>3.42</v>
      </c>
      <c r="R102" s="22">
        <v>1</v>
      </c>
      <c r="S102" s="22">
        <v>0</v>
      </c>
    </row>
    <row r="103" spans="1:19">
      <c r="A103">
        <v>6</v>
      </c>
      <c r="B103" s="16" t="s">
        <v>61</v>
      </c>
      <c r="C103" s="9">
        <v>45717</v>
      </c>
      <c r="D103" s="18">
        <v>58491.5</v>
      </c>
      <c r="F103" s="22">
        <v>617</v>
      </c>
      <c r="G103" s="18">
        <v>94.8</v>
      </c>
      <c r="H103" s="18">
        <v>15399.34</v>
      </c>
      <c r="I103" s="20">
        <v>26.33</v>
      </c>
      <c r="J103" s="18">
        <v>13342.1</v>
      </c>
      <c r="K103" s="20">
        <v>22.81</v>
      </c>
      <c r="L103" s="18">
        <v>14832.22</v>
      </c>
      <c r="M103" s="20">
        <v>25.36</v>
      </c>
      <c r="N103" s="18">
        <v>1490.12</v>
      </c>
      <c r="O103" s="20">
        <v>2.5499999999999998</v>
      </c>
      <c r="P103" s="18">
        <v>2057.2399999999998</v>
      </c>
      <c r="Q103" s="20">
        <v>3.52</v>
      </c>
      <c r="R103" s="22">
        <v>2</v>
      </c>
      <c r="S103" s="22">
        <v>0</v>
      </c>
    </row>
    <row r="104" spans="1:19">
      <c r="A104">
        <v>6</v>
      </c>
      <c r="B104" s="16" t="s">
        <v>61</v>
      </c>
      <c r="C104" s="9">
        <v>45748</v>
      </c>
      <c r="D104" s="18">
        <v>68786</v>
      </c>
      <c r="F104" s="22">
        <v>728</v>
      </c>
      <c r="G104" s="18">
        <v>94.49</v>
      </c>
      <c r="H104" s="18">
        <v>17533.86</v>
      </c>
      <c r="I104" s="20">
        <v>25.49</v>
      </c>
      <c r="J104" s="18">
        <v>15283.14</v>
      </c>
      <c r="K104" s="20">
        <v>22.22</v>
      </c>
      <c r="L104" s="18">
        <v>17386.73</v>
      </c>
      <c r="M104" s="20">
        <v>25.28</v>
      </c>
      <c r="N104" s="18">
        <v>2103.59</v>
      </c>
      <c r="O104" s="20">
        <v>3.06</v>
      </c>
      <c r="P104" s="18">
        <v>2250.7199999999998</v>
      </c>
      <c r="Q104" s="20">
        <v>3.27</v>
      </c>
      <c r="R104" s="22">
        <v>1</v>
      </c>
      <c r="S104" s="22">
        <v>0</v>
      </c>
    </row>
    <row r="105" spans="1:19">
      <c r="A105">
        <v>6</v>
      </c>
      <c r="B105" s="16" t="s">
        <v>61</v>
      </c>
      <c r="C105" s="9">
        <v>45778</v>
      </c>
      <c r="D105" s="18">
        <v>66469.5</v>
      </c>
      <c r="F105" s="22">
        <v>730</v>
      </c>
      <c r="G105" s="18">
        <v>91.05</v>
      </c>
      <c r="H105" s="18">
        <v>16646.72</v>
      </c>
      <c r="I105" s="20">
        <v>25.04</v>
      </c>
      <c r="J105" s="18">
        <v>14512.96</v>
      </c>
      <c r="K105" s="20">
        <v>21.83</v>
      </c>
      <c r="L105" s="18">
        <v>16442.919999999998</v>
      </c>
      <c r="M105" s="20">
        <v>24.74</v>
      </c>
      <c r="N105" s="18">
        <v>1929.96</v>
      </c>
      <c r="O105" s="20">
        <v>2.9</v>
      </c>
      <c r="P105" s="18">
        <v>2133.77</v>
      </c>
      <c r="Q105" s="20">
        <v>3.21</v>
      </c>
      <c r="R105" s="22">
        <v>2</v>
      </c>
      <c r="S105" s="22">
        <v>0</v>
      </c>
    </row>
    <row r="106" spans="1:19">
      <c r="A106">
        <v>6</v>
      </c>
      <c r="B106" s="16" t="s">
        <v>61</v>
      </c>
      <c r="C106" s="9">
        <v>45809</v>
      </c>
      <c r="D106" s="18">
        <v>57788.5</v>
      </c>
      <c r="F106" s="22">
        <v>607</v>
      </c>
      <c r="G106" s="18">
        <v>95.2</v>
      </c>
      <c r="H106" s="18">
        <v>14479.32</v>
      </c>
      <c r="I106" s="20">
        <v>25.06</v>
      </c>
      <c r="J106" s="18">
        <v>12594.98</v>
      </c>
      <c r="K106" s="20">
        <v>21.79</v>
      </c>
      <c r="L106" s="18">
        <v>14389.58</v>
      </c>
      <c r="M106" s="20">
        <v>24.9</v>
      </c>
      <c r="N106" s="18">
        <v>1794.6</v>
      </c>
      <c r="O106" s="20">
        <v>3.11</v>
      </c>
      <c r="P106" s="18">
        <v>1884.34</v>
      </c>
      <c r="Q106" s="20">
        <v>3.26</v>
      </c>
      <c r="R106" s="22">
        <v>1</v>
      </c>
      <c r="S106" s="22">
        <v>0</v>
      </c>
    </row>
    <row r="107" spans="1:19">
      <c r="A107">
        <v>6</v>
      </c>
      <c r="B107" s="16" t="s">
        <v>61</v>
      </c>
      <c r="C107" s="9">
        <v>45839</v>
      </c>
      <c r="D107" s="18">
        <v>50596.5</v>
      </c>
      <c r="F107" s="22">
        <v>527</v>
      </c>
      <c r="G107" s="18">
        <v>96.01</v>
      </c>
      <c r="H107" s="18">
        <v>13000.69</v>
      </c>
      <c r="I107" s="20">
        <v>25.69</v>
      </c>
      <c r="J107" s="18">
        <v>11045.05</v>
      </c>
      <c r="K107" s="20">
        <v>21.83</v>
      </c>
      <c r="L107" s="18">
        <v>13369.82</v>
      </c>
      <c r="M107" s="20">
        <v>26.42</v>
      </c>
      <c r="N107" s="18">
        <v>2324.77</v>
      </c>
      <c r="O107" s="20">
        <v>4.59</v>
      </c>
      <c r="P107" s="18">
        <v>1955.64</v>
      </c>
      <c r="Q107" s="20">
        <v>3.87</v>
      </c>
      <c r="R107" s="22">
        <v>2</v>
      </c>
      <c r="S107" s="22">
        <v>0</v>
      </c>
    </row>
    <row r="108" spans="1:19">
      <c r="A108">
        <v>6</v>
      </c>
      <c r="B108" s="16" t="s">
        <v>61</v>
      </c>
      <c r="C108" s="9">
        <v>45870</v>
      </c>
      <c r="D108" s="18">
        <v>50637.5</v>
      </c>
      <c r="F108" s="22">
        <v>568</v>
      </c>
      <c r="G108" s="18">
        <v>89.15</v>
      </c>
      <c r="H108" s="18">
        <v>12692.88</v>
      </c>
      <c r="I108" s="20">
        <v>25.07</v>
      </c>
      <c r="J108" s="18">
        <v>11061.66</v>
      </c>
      <c r="K108" s="20">
        <v>21.84</v>
      </c>
      <c r="L108" s="18">
        <v>12052.76</v>
      </c>
      <c r="M108" s="20">
        <v>23.8</v>
      </c>
      <c r="N108" s="18">
        <v>991.09</v>
      </c>
      <c r="O108" s="20">
        <v>1.96</v>
      </c>
      <c r="P108" s="18">
        <v>1631.22</v>
      </c>
      <c r="Q108" s="20">
        <v>3.22</v>
      </c>
      <c r="R108" s="22">
        <v>1</v>
      </c>
      <c r="S108" s="22">
        <v>0</v>
      </c>
    </row>
    <row r="109" spans="1:19">
      <c r="A109">
        <v>6</v>
      </c>
      <c r="B109" s="16" t="s">
        <v>61</v>
      </c>
      <c r="C109" s="9">
        <v>45901</v>
      </c>
      <c r="D109" s="18">
        <v>55213</v>
      </c>
      <c r="F109" s="22">
        <v>597</v>
      </c>
      <c r="G109" s="18">
        <v>92.48</v>
      </c>
      <c r="H109" s="18">
        <v>14224.03</v>
      </c>
      <c r="I109" s="20">
        <v>25.76</v>
      </c>
      <c r="J109" s="18">
        <v>12274.89</v>
      </c>
      <c r="K109" s="20">
        <v>22.23</v>
      </c>
      <c r="L109" s="18">
        <v>14318.75</v>
      </c>
      <c r="M109" s="20">
        <v>25.93</v>
      </c>
      <c r="N109" s="18">
        <v>2043.86</v>
      </c>
      <c r="O109" s="20">
        <v>3.7</v>
      </c>
      <c r="P109" s="18">
        <v>1949.14</v>
      </c>
      <c r="Q109" s="20">
        <v>3.53</v>
      </c>
      <c r="R109" s="22">
        <v>3</v>
      </c>
      <c r="S109" s="22">
        <v>0</v>
      </c>
    </row>
    <row r="110" spans="1:19">
      <c r="A110">
        <v>6</v>
      </c>
      <c r="B110" s="16" t="s">
        <v>61</v>
      </c>
      <c r="C110" s="9">
        <v>45931</v>
      </c>
      <c r="D110" s="18">
        <v>70115.5</v>
      </c>
      <c r="F110" s="22">
        <v>758</v>
      </c>
      <c r="G110" s="18">
        <v>92.5</v>
      </c>
      <c r="H110" s="18">
        <v>17976.72</v>
      </c>
      <c r="I110" s="20">
        <v>25.64</v>
      </c>
      <c r="J110" s="18">
        <v>15701.57</v>
      </c>
      <c r="K110" s="20">
        <v>22.39</v>
      </c>
      <c r="L110" s="18">
        <v>19159.43</v>
      </c>
      <c r="M110" s="20">
        <v>27.33</v>
      </c>
      <c r="N110" s="18">
        <v>3457.86</v>
      </c>
      <c r="O110" s="20">
        <v>4.93</v>
      </c>
      <c r="P110" s="18">
        <v>2275.15</v>
      </c>
      <c r="Q110" s="20">
        <v>3.24</v>
      </c>
      <c r="R110" s="22">
        <v>1</v>
      </c>
      <c r="S110" s="22">
        <v>0</v>
      </c>
    </row>
    <row r="111" spans="1:19">
      <c r="A111">
        <v>6</v>
      </c>
      <c r="B111" s="16" t="s">
        <v>61</v>
      </c>
      <c r="C111" s="9">
        <v>45962</v>
      </c>
      <c r="D111" s="18">
        <v>58348</v>
      </c>
      <c r="F111" s="22">
        <v>636</v>
      </c>
      <c r="G111" s="18">
        <v>91.74</v>
      </c>
      <c r="H111" s="18">
        <v>15025.25</v>
      </c>
      <c r="I111" s="20">
        <v>25.75</v>
      </c>
      <c r="J111" s="18">
        <v>13131.45</v>
      </c>
      <c r="K111" s="20">
        <v>22.51</v>
      </c>
      <c r="L111" s="18">
        <v>13650.74</v>
      </c>
      <c r="M111" s="20">
        <v>23.4</v>
      </c>
      <c r="N111" s="18">
        <v>519.29</v>
      </c>
      <c r="O111" s="20">
        <v>0.89</v>
      </c>
      <c r="P111" s="18">
        <v>1893.8</v>
      </c>
      <c r="Q111" s="20">
        <v>3.25</v>
      </c>
      <c r="R111" s="22">
        <v>2</v>
      </c>
      <c r="S111" s="22">
        <v>0</v>
      </c>
    </row>
    <row r="112" spans="1:19">
      <c r="A112">
        <v>6</v>
      </c>
      <c r="B112" s="16" t="s">
        <v>61</v>
      </c>
      <c r="C112" s="9">
        <v>45992</v>
      </c>
      <c r="D112" s="18">
        <v>51451.5</v>
      </c>
      <c r="F112" s="22">
        <v>538</v>
      </c>
      <c r="G112" s="18">
        <v>95.63</v>
      </c>
      <c r="H112" s="18">
        <v>13504.85</v>
      </c>
      <c r="I112" s="20">
        <v>26.25</v>
      </c>
      <c r="J112" s="18">
        <v>11606.84</v>
      </c>
      <c r="K112" s="20">
        <v>22.56</v>
      </c>
      <c r="L112" s="18">
        <v>13741.67</v>
      </c>
      <c r="M112" s="20">
        <v>26.71</v>
      </c>
      <c r="N112" s="18">
        <v>2134.83</v>
      </c>
      <c r="O112" s="20">
        <v>4.1500000000000004</v>
      </c>
      <c r="P112" s="18">
        <v>1898.01</v>
      </c>
      <c r="Q112" s="20">
        <v>3.69</v>
      </c>
      <c r="R112" s="22">
        <v>1</v>
      </c>
      <c r="S112" s="22">
        <v>0</v>
      </c>
    </row>
    <row r="113" spans="1:19">
      <c r="A113">
        <v>6</v>
      </c>
      <c r="B113" s="16" t="s">
        <v>61</v>
      </c>
      <c r="C113" s="9">
        <v>46023</v>
      </c>
      <c r="D113" s="18">
        <v>63172.5</v>
      </c>
      <c r="E113" s="20">
        <v>10.78</v>
      </c>
      <c r="F113" s="22">
        <v>672</v>
      </c>
      <c r="G113" s="18">
        <v>94.01</v>
      </c>
      <c r="H113" s="18">
        <v>16269.22</v>
      </c>
      <c r="I113" s="20">
        <v>25.75</v>
      </c>
      <c r="J113" s="18">
        <v>14248.03</v>
      </c>
      <c r="K113" s="20">
        <v>22.55</v>
      </c>
      <c r="L113" s="18">
        <v>16368.04</v>
      </c>
      <c r="M113" s="20">
        <v>25.91</v>
      </c>
      <c r="N113" s="18">
        <v>2120</v>
      </c>
      <c r="O113" s="20">
        <v>3.36</v>
      </c>
      <c r="P113" s="18">
        <v>2021.19</v>
      </c>
      <c r="Q113" s="20">
        <v>3.2</v>
      </c>
      <c r="R113" s="22">
        <v>1</v>
      </c>
      <c r="S113" s="22">
        <v>0</v>
      </c>
    </row>
    <row r="114" spans="1:19">
      <c r="A114">
        <v>6</v>
      </c>
      <c r="B114" s="16" t="s">
        <v>61</v>
      </c>
      <c r="C114" s="9">
        <v>46054</v>
      </c>
      <c r="D114" s="18">
        <v>55927</v>
      </c>
      <c r="E114" s="20">
        <v>-6.35</v>
      </c>
      <c r="F114" s="22">
        <v>597</v>
      </c>
      <c r="G114" s="18">
        <v>93.68</v>
      </c>
      <c r="H114" s="18">
        <v>14702.72</v>
      </c>
      <c r="I114" s="20">
        <v>26.29</v>
      </c>
      <c r="J114" s="18">
        <v>12785.89</v>
      </c>
      <c r="K114" s="20">
        <v>22.86</v>
      </c>
      <c r="L114" s="18">
        <v>14642.07</v>
      </c>
      <c r="M114" s="20">
        <v>26.18</v>
      </c>
      <c r="N114" s="18">
        <v>1856.17</v>
      </c>
      <c r="O114" s="20">
        <v>3.32</v>
      </c>
      <c r="P114" s="18">
        <v>1916.82</v>
      </c>
      <c r="Q114" s="20">
        <v>3.43</v>
      </c>
      <c r="R114" s="22">
        <v>4</v>
      </c>
      <c r="S114" s="22">
        <v>0</v>
      </c>
    </row>
    <row r="115" spans="1:19">
      <c r="A115">
        <v>6</v>
      </c>
      <c r="B115" s="16" t="s">
        <v>61</v>
      </c>
      <c r="C115" s="9">
        <v>46082</v>
      </c>
      <c r="D115" s="18">
        <v>57938</v>
      </c>
      <c r="E115" s="20">
        <v>-0.95</v>
      </c>
      <c r="F115" s="22">
        <v>634</v>
      </c>
      <c r="G115" s="18">
        <v>91.38</v>
      </c>
      <c r="H115" s="18">
        <v>18298.759999999998</v>
      </c>
      <c r="I115" s="20">
        <v>31.58</v>
      </c>
      <c r="J115" s="18">
        <v>13060.49</v>
      </c>
      <c r="K115" s="20">
        <v>22.54</v>
      </c>
      <c r="L115" s="18">
        <v>20157.580000000002</v>
      </c>
      <c r="M115" s="20">
        <v>34.79</v>
      </c>
      <c r="N115" s="18">
        <v>7097.1</v>
      </c>
      <c r="O115" s="20">
        <v>12.25</v>
      </c>
      <c r="P115" s="18">
        <v>5238.28</v>
      </c>
      <c r="Q115" s="20">
        <v>9.0399999999999991</v>
      </c>
      <c r="R115" s="22">
        <v>0</v>
      </c>
      <c r="S115" s="22">
        <v>0</v>
      </c>
    </row>
    <row r="116" spans="1:19">
      <c r="A116">
        <v>6</v>
      </c>
      <c r="B116" s="16" t="s">
        <v>61</v>
      </c>
      <c r="C116" s="9">
        <v>46113</v>
      </c>
      <c r="D116" s="18">
        <v>53761</v>
      </c>
      <c r="E116" s="20">
        <v>-21.84</v>
      </c>
      <c r="F116" s="22">
        <v>566</v>
      </c>
      <c r="G116" s="18">
        <v>94.98</v>
      </c>
      <c r="H116" s="18">
        <v>18013.990000000002</v>
      </c>
      <c r="I116" s="20">
        <v>33.51</v>
      </c>
      <c r="J116" s="18">
        <v>12297.83</v>
      </c>
      <c r="K116" s="20">
        <v>22.87</v>
      </c>
      <c r="L116" s="18">
        <v>19596.09</v>
      </c>
      <c r="M116" s="20">
        <v>36.450000000000003</v>
      </c>
      <c r="N116" s="18">
        <v>7298.26</v>
      </c>
      <c r="O116" s="20">
        <v>13.58</v>
      </c>
      <c r="P116" s="18">
        <v>5716.16</v>
      </c>
      <c r="Q116" s="20">
        <v>10.63</v>
      </c>
      <c r="R116" s="22">
        <v>0</v>
      </c>
      <c r="S116" s="22">
        <v>0</v>
      </c>
    </row>
    <row r="117" spans="1:19">
      <c r="A117">
        <v>6</v>
      </c>
      <c r="B117" s="16" t="s">
        <v>61</v>
      </c>
      <c r="C117" s="9">
        <v>46143</v>
      </c>
      <c r="D117" s="18">
        <v>59543.5</v>
      </c>
      <c r="E117" s="20">
        <v>-10.42</v>
      </c>
      <c r="F117" s="22">
        <v>634</v>
      </c>
      <c r="G117" s="18">
        <v>93.92</v>
      </c>
      <c r="H117" s="18">
        <v>18884.419999999998</v>
      </c>
      <c r="I117" s="20">
        <v>31.72</v>
      </c>
      <c r="J117" s="18">
        <v>13342.22</v>
      </c>
      <c r="K117" s="20">
        <v>22.41</v>
      </c>
      <c r="L117" s="18">
        <v>17474.37</v>
      </c>
      <c r="M117" s="20">
        <v>29.35</v>
      </c>
      <c r="N117" s="18">
        <v>4132.1499999999996</v>
      </c>
      <c r="O117" s="20">
        <v>6.94</v>
      </c>
      <c r="P117" s="18">
        <v>5542.2</v>
      </c>
      <c r="Q117" s="20">
        <v>9.31</v>
      </c>
      <c r="R117" s="22">
        <v>2</v>
      </c>
      <c r="S117" s="22">
        <v>0</v>
      </c>
    </row>
    <row r="118" spans="1:19">
      <c r="A118">
        <v>6</v>
      </c>
      <c r="B118" s="16" t="s">
        <v>61</v>
      </c>
      <c r="C118" s="9">
        <v>46174</v>
      </c>
      <c r="D118" s="18">
        <v>49536.5</v>
      </c>
      <c r="E118" s="20">
        <v>-14.28</v>
      </c>
      <c r="F118" s="22">
        <v>533</v>
      </c>
      <c r="G118" s="18">
        <v>92.94</v>
      </c>
      <c r="H118" s="18">
        <v>16616.82</v>
      </c>
      <c r="I118" s="20">
        <v>33.54</v>
      </c>
      <c r="J118" s="18">
        <v>11009.28</v>
      </c>
      <c r="K118" s="20">
        <v>22.22</v>
      </c>
      <c r="L118" s="18">
        <v>16345.66</v>
      </c>
      <c r="M118" s="20">
        <v>33</v>
      </c>
      <c r="N118" s="18">
        <v>5336.38</v>
      </c>
      <c r="O118" s="20">
        <v>10.77</v>
      </c>
      <c r="P118" s="18">
        <v>5607.54</v>
      </c>
      <c r="Q118" s="20">
        <v>11.32</v>
      </c>
      <c r="R118" s="22">
        <v>4</v>
      </c>
      <c r="S118" s="22">
        <v>0</v>
      </c>
    </row>
    <row r="119" spans="1:19">
      <c r="A119">
        <v>6</v>
      </c>
      <c r="B119" s="16" t="s">
        <v>61</v>
      </c>
      <c r="C119" s="9">
        <v>46204</v>
      </c>
      <c r="D119" s="18">
        <v>46743.5</v>
      </c>
      <c r="E119" s="20">
        <v>-7.62</v>
      </c>
      <c r="F119" s="22">
        <v>497</v>
      </c>
      <c r="G119" s="18">
        <v>94.05</v>
      </c>
      <c r="H119" s="18">
        <v>16024.15</v>
      </c>
      <c r="I119" s="20">
        <v>34.28</v>
      </c>
      <c r="J119" s="18">
        <v>10454.08</v>
      </c>
      <c r="K119" s="20">
        <v>22.36</v>
      </c>
      <c r="L119" s="18">
        <v>17162.900000000001</v>
      </c>
      <c r="M119" s="20">
        <v>36.72</v>
      </c>
      <c r="N119" s="18">
        <v>6708.81</v>
      </c>
      <c r="O119" s="20">
        <v>14.35</v>
      </c>
      <c r="P119" s="18">
        <v>5570.06</v>
      </c>
      <c r="Q119" s="20">
        <v>11.92</v>
      </c>
      <c r="R119" s="22">
        <v>1</v>
      </c>
      <c r="S119" s="22">
        <v>0</v>
      </c>
    </row>
    <row r="120" spans="1:19">
      <c r="A120">
        <v>6</v>
      </c>
      <c r="B120" s="16" t="s">
        <v>61</v>
      </c>
      <c r="C120" s="9">
        <v>46235</v>
      </c>
      <c r="D120" s="18">
        <v>42020</v>
      </c>
      <c r="E120" s="20">
        <v>-17.02</v>
      </c>
      <c r="F120" s="22">
        <v>463</v>
      </c>
      <c r="G120" s="18">
        <v>90.76</v>
      </c>
      <c r="H120" s="18">
        <v>14822.17</v>
      </c>
      <c r="I120" s="20">
        <v>35.270000000000003</v>
      </c>
      <c r="J120" s="18">
        <v>9606.1200000000008</v>
      </c>
      <c r="K120" s="20">
        <v>22.86</v>
      </c>
      <c r="L120" s="18">
        <v>14088.8</v>
      </c>
      <c r="M120" s="20">
        <v>33.53</v>
      </c>
      <c r="N120" s="18">
        <v>4482.6899999999996</v>
      </c>
      <c r="O120" s="20">
        <v>10.67</v>
      </c>
      <c r="P120" s="18">
        <v>5216.0600000000004</v>
      </c>
      <c r="Q120" s="20">
        <v>12.41</v>
      </c>
      <c r="R120" s="22">
        <v>4</v>
      </c>
      <c r="S120" s="22">
        <v>0</v>
      </c>
    </row>
    <row r="121" spans="1:19">
      <c r="A121">
        <v>6</v>
      </c>
      <c r="B121" s="16" t="s">
        <v>61</v>
      </c>
      <c r="C121" s="9">
        <v>46266</v>
      </c>
      <c r="D121" s="18">
        <v>52630</v>
      </c>
      <c r="E121" s="20">
        <v>-4.68</v>
      </c>
      <c r="F121" s="22">
        <v>559</v>
      </c>
      <c r="G121" s="18">
        <v>94.15</v>
      </c>
      <c r="H121" s="18">
        <v>17595.38</v>
      </c>
      <c r="I121" s="20">
        <v>33.43</v>
      </c>
      <c r="J121" s="18">
        <v>11887.92</v>
      </c>
      <c r="K121" s="20">
        <v>22.59</v>
      </c>
      <c r="L121" s="18">
        <v>17471.68</v>
      </c>
      <c r="M121" s="20">
        <v>33.200000000000003</v>
      </c>
      <c r="N121" s="18">
        <v>5583.76</v>
      </c>
      <c r="O121" s="20">
        <v>10.61</v>
      </c>
      <c r="P121" s="18">
        <v>5707.46</v>
      </c>
      <c r="Q121" s="20">
        <v>10.84</v>
      </c>
      <c r="R121" s="22">
        <v>1</v>
      </c>
      <c r="S121" s="22">
        <v>0</v>
      </c>
    </row>
    <row r="122" spans="1:19">
      <c r="A122">
        <v>7</v>
      </c>
      <c r="B122" s="16" t="s">
        <v>62</v>
      </c>
      <c r="C122" s="9">
        <v>45689</v>
      </c>
      <c r="D122" s="18">
        <v>17919.5</v>
      </c>
      <c r="F122" s="22">
        <v>245</v>
      </c>
      <c r="G122" s="18">
        <v>73.14</v>
      </c>
      <c r="H122" s="18">
        <v>6564.01</v>
      </c>
      <c r="I122" s="20">
        <v>36.630000000000003</v>
      </c>
      <c r="J122" s="18">
        <v>4063.86</v>
      </c>
      <c r="K122" s="20">
        <v>22.68</v>
      </c>
      <c r="L122" s="18">
        <v>6630.89</v>
      </c>
      <c r="M122" s="20">
        <v>37</v>
      </c>
      <c r="N122" s="18">
        <v>2567.0300000000002</v>
      </c>
      <c r="O122" s="20">
        <v>14.33</v>
      </c>
      <c r="P122" s="18">
        <v>2500.15</v>
      </c>
      <c r="Q122" s="20">
        <v>13.95</v>
      </c>
      <c r="R122" s="22">
        <v>2</v>
      </c>
      <c r="S122" s="22">
        <v>0</v>
      </c>
    </row>
    <row r="123" spans="1:19">
      <c r="A123">
        <v>7</v>
      </c>
      <c r="B123" s="16" t="s">
        <v>62</v>
      </c>
      <c r="C123" s="9">
        <v>45717</v>
      </c>
      <c r="D123" s="18">
        <v>26674.5</v>
      </c>
      <c r="F123" s="22">
        <v>360</v>
      </c>
      <c r="G123" s="18">
        <v>74.099999999999994</v>
      </c>
      <c r="H123" s="18">
        <v>9181.9599999999991</v>
      </c>
      <c r="I123" s="20">
        <v>34.42</v>
      </c>
      <c r="J123" s="18">
        <v>6151.38</v>
      </c>
      <c r="K123" s="20">
        <v>23.06</v>
      </c>
      <c r="L123" s="18">
        <v>8460.1299999999992</v>
      </c>
      <c r="M123" s="20">
        <v>31.72</v>
      </c>
      <c r="N123" s="18">
        <v>2308.75</v>
      </c>
      <c r="O123" s="20">
        <v>8.66</v>
      </c>
      <c r="P123" s="18">
        <v>3030.59</v>
      </c>
      <c r="Q123" s="20">
        <v>11.36</v>
      </c>
      <c r="R123" s="22">
        <v>4</v>
      </c>
      <c r="S123" s="22">
        <v>0</v>
      </c>
    </row>
    <row r="124" spans="1:19">
      <c r="A124">
        <v>7</v>
      </c>
      <c r="B124" s="16" t="s">
        <v>62</v>
      </c>
      <c r="C124" s="9">
        <v>45748</v>
      </c>
      <c r="D124" s="18">
        <v>27096</v>
      </c>
      <c r="F124" s="22">
        <v>381</v>
      </c>
      <c r="G124" s="18">
        <v>71.12</v>
      </c>
      <c r="H124" s="18">
        <v>9259.81</v>
      </c>
      <c r="I124" s="20">
        <v>34.17</v>
      </c>
      <c r="J124" s="18">
        <v>6128.61</v>
      </c>
      <c r="K124" s="20">
        <v>22.62</v>
      </c>
      <c r="L124" s="18">
        <v>9117.41</v>
      </c>
      <c r="M124" s="20">
        <v>33.65</v>
      </c>
      <c r="N124" s="18">
        <v>2988.79</v>
      </c>
      <c r="O124" s="20">
        <v>11.03</v>
      </c>
      <c r="P124" s="18">
        <v>3131.2</v>
      </c>
      <c r="Q124" s="20">
        <v>11.56</v>
      </c>
      <c r="R124" s="22">
        <v>0</v>
      </c>
      <c r="S124" s="22">
        <v>0</v>
      </c>
    </row>
    <row r="125" spans="1:19">
      <c r="A125">
        <v>7</v>
      </c>
      <c r="B125" s="16" t="s">
        <v>62</v>
      </c>
      <c r="C125" s="9">
        <v>45778</v>
      </c>
      <c r="D125" s="18">
        <v>26569</v>
      </c>
      <c r="F125" s="22">
        <v>371</v>
      </c>
      <c r="G125" s="18">
        <v>71.61</v>
      </c>
      <c r="H125" s="18">
        <v>9299.74</v>
      </c>
      <c r="I125" s="20">
        <v>35</v>
      </c>
      <c r="J125" s="18">
        <v>6033.59</v>
      </c>
      <c r="K125" s="20">
        <v>22.71</v>
      </c>
      <c r="L125" s="18">
        <v>9445.2000000000007</v>
      </c>
      <c r="M125" s="20">
        <v>35.549999999999997</v>
      </c>
      <c r="N125" s="18">
        <v>3411.61</v>
      </c>
      <c r="O125" s="20">
        <v>12.84</v>
      </c>
      <c r="P125" s="18">
        <v>3266.15</v>
      </c>
      <c r="Q125" s="20">
        <v>12.29</v>
      </c>
      <c r="R125" s="22">
        <v>4</v>
      </c>
      <c r="S125" s="22">
        <v>0</v>
      </c>
    </row>
    <row r="126" spans="1:19">
      <c r="A126">
        <v>7</v>
      </c>
      <c r="B126" s="16" t="s">
        <v>62</v>
      </c>
      <c r="C126" s="9">
        <v>45809</v>
      </c>
      <c r="D126" s="18">
        <v>22144</v>
      </c>
      <c r="F126" s="22">
        <v>319</v>
      </c>
      <c r="G126" s="18">
        <v>69.42</v>
      </c>
      <c r="H126" s="18">
        <v>7735.49</v>
      </c>
      <c r="I126" s="20">
        <v>34.93</v>
      </c>
      <c r="J126" s="18">
        <v>4948.2299999999996</v>
      </c>
      <c r="K126" s="20">
        <v>22.35</v>
      </c>
      <c r="L126" s="18">
        <v>7556.69</v>
      </c>
      <c r="M126" s="20">
        <v>34.130000000000003</v>
      </c>
      <c r="N126" s="18">
        <v>2608.46</v>
      </c>
      <c r="O126" s="20">
        <v>11.78</v>
      </c>
      <c r="P126" s="18">
        <v>2787.26</v>
      </c>
      <c r="Q126" s="20">
        <v>12.59</v>
      </c>
      <c r="R126" s="22">
        <v>3</v>
      </c>
      <c r="S126" s="22">
        <v>0</v>
      </c>
    </row>
    <row r="127" spans="1:19">
      <c r="A127">
        <v>7</v>
      </c>
      <c r="B127" s="16" t="s">
        <v>62</v>
      </c>
      <c r="C127" s="9">
        <v>45839</v>
      </c>
      <c r="D127" s="18">
        <v>22211.5</v>
      </c>
      <c r="F127" s="22">
        <v>307</v>
      </c>
      <c r="G127" s="18">
        <v>72.349999999999994</v>
      </c>
      <c r="H127" s="18">
        <v>7726.82</v>
      </c>
      <c r="I127" s="20">
        <v>34.79</v>
      </c>
      <c r="J127" s="18">
        <v>4901.01</v>
      </c>
      <c r="K127" s="20">
        <v>22.07</v>
      </c>
      <c r="L127" s="18">
        <v>8253.01</v>
      </c>
      <c r="M127" s="20">
        <v>37.159999999999997</v>
      </c>
      <c r="N127" s="18">
        <v>3352</v>
      </c>
      <c r="O127" s="20">
        <v>15.09</v>
      </c>
      <c r="P127" s="18">
        <v>2825.81</v>
      </c>
      <c r="Q127" s="20">
        <v>12.72</v>
      </c>
      <c r="R127" s="22">
        <v>3</v>
      </c>
      <c r="S127" s="22">
        <v>0</v>
      </c>
    </row>
    <row r="128" spans="1:19">
      <c r="A128">
        <v>7</v>
      </c>
      <c r="B128" s="16" t="s">
        <v>62</v>
      </c>
      <c r="C128" s="9">
        <v>45870</v>
      </c>
      <c r="D128" s="18">
        <v>27154</v>
      </c>
      <c r="F128" s="22">
        <v>365</v>
      </c>
      <c r="G128" s="18">
        <v>74.39</v>
      </c>
      <c r="H128" s="18">
        <v>8767.9599999999991</v>
      </c>
      <c r="I128" s="20">
        <v>32.29</v>
      </c>
      <c r="J128" s="18">
        <v>6097.93</v>
      </c>
      <c r="K128" s="20">
        <v>22.46</v>
      </c>
      <c r="L128" s="18">
        <v>8159.89</v>
      </c>
      <c r="M128" s="20">
        <v>30.05</v>
      </c>
      <c r="N128" s="18">
        <v>2061.9499999999998</v>
      </c>
      <c r="O128" s="20">
        <v>7.59</v>
      </c>
      <c r="P128" s="18">
        <v>2670.03</v>
      </c>
      <c r="Q128" s="20">
        <v>9.83</v>
      </c>
      <c r="R128" s="22">
        <v>2</v>
      </c>
      <c r="S128" s="22">
        <v>0</v>
      </c>
    </row>
    <row r="129" spans="1:19">
      <c r="A129">
        <v>7</v>
      </c>
      <c r="B129" s="16" t="s">
        <v>62</v>
      </c>
      <c r="C129" s="9">
        <v>45901</v>
      </c>
      <c r="D129" s="18">
        <v>25749</v>
      </c>
      <c r="F129" s="22">
        <v>355</v>
      </c>
      <c r="G129" s="18">
        <v>72.53</v>
      </c>
      <c r="H129" s="18">
        <v>8889.8700000000008</v>
      </c>
      <c r="I129" s="20">
        <v>34.53</v>
      </c>
      <c r="J129" s="18">
        <v>5921.9</v>
      </c>
      <c r="K129" s="20">
        <v>23</v>
      </c>
      <c r="L129" s="18">
        <v>8955.65</v>
      </c>
      <c r="M129" s="20">
        <v>34.78</v>
      </c>
      <c r="N129" s="18">
        <v>3033.74</v>
      </c>
      <c r="O129" s="20">
        <v>11.78</v>
      </c>
      <c r="P129" s="18">
        <v>2967.97</v>
      </c>
      <c r="Q129" s="20">
        <v>11.53</v>
      </c>
      <c r="R129" s="22">
        <v>1</v>
      </c>
      <c r="S129" s="22">
        <v>0</v>
      </c>
    </row>
    <row r="130" spans="1:19">
      <c r="A130">
        <v>7</v>
      </c>
      <c r="B130" s="16" t="s">
        <v>62</v>
      </c>
      <c r="C130" s="9">
        <v>45931</v>
      </c>
      <c r="D130" s="18">
        <v>28933</v>
      </c>
      <c r="F130" s="22">
        <v>400</v>
      </c>
      <c r="G130" s="18">
        <v>72.33</v>
      </c>
      <c r="H130" s="18">
        <v>9776.98</v>
      </c>
      <c r="I130" s="20">
        <v>33.79</v>
      </c>
      <c r="J130" s="18">
        <v>6697.62</v>
      </c>
      <c r="K130" s="20">
        <v>23.15</v>
      </c>
      <c r="L130" s="18">
        <v>10313.32</v>
      </c>
      <c r="M130" s="20">
        <v>35.65</v>
      </c>
      <c r="N130" s="18">
        <v>3615.69</v>
      </c>
      <c r="O130" s="20">
        <v>12.5</v>
      </c>
      <c r="P130" s="18">
        <v>3079.35</v>
      </c>
      <c r="Q130" s="20">
        <v>10.64</v>
      </c>
      <c r="R130" s="22">
        <v>4</v>
      </c>
      <c r="S130" s="22">
        <v>0</v>
      </c>
    </row>
    <row r="131" spans="1:19">
      <c r="A131">
        <v>7</v>
      </c>
      <c r="B131" s="16" t="s">
        <v>62</v>
      </c>
      <c r="C131" s="9">
        <v>45962</v>
      </c>
      <c r="D131" s="18">
        <v>27685.5</v>
      </c>
      <c r="F131" s="22">
        <v>388</v>
      </c>
      <c r="G131" s="18">
        <v>71.349999999999994</v>
      </c>
      <c r="H131" s="18">
        <v>9429.68</v>
      </c>
      <c r="I131" s="20">
        <v>34.06</v>
      </c>
      <c r="J131" s="18">
        <v>6576.03</v>
      </c>
      <c r="K131" s="20">
        <v>23.75</v>
      </c>
      <c r="L131" s="18">
        <v>8784.4599999999991</v>
      </c>
      <c r="M131" s="20">
        <v>31.73</v>
      </c>
      <c r="N131" s="18">
        <v>2208.4299999999998</v>
      </c>
      <c r="O131" s="20">
        <v>7.98</v>
      </c>
      <c r="P131" s="18">
        <v>2853.65</v>
      </c>
      <c r="Q131" s="20">
        <v>10.31</v>
      </c>
      <c r="R131" s="22">
        <v>1</v>
      </c>
      <c r="S131" s="22">
        <v>0</v>
      </c>
    </row>
    <row r="132" spans="1:19">
      <c r="A132">
        <v>7</v>
      </c>
      <c r="B132" s="16" t="s">
        <v>62</v>
      </c>
      <c r="C132" s="9">
        <v>45992</v>
      </c>
      <c r="D132" s="18">
        <v>26750</v>
      </c>
      <c r="F132" s="22">
        <v>371</v>
      </c>
      <c r="G132" s="18">
        <v>72.099999999999994</v>
      </c>
      <c r="H132" s="18">
        <v>9342.2099999999991</v>
      </c>
      <c r="I132" s="20">
        <v>34.92</v>
      </c>
      <c r="J132" s="18">
        <v>6285.87</v>
      </c>
      <c r="K132" s="20">
        <v>23.5</v>
      </c>
      <c r="L132" s="18">
        <v>9215.42</v>
      </c>
      <c r="M132" s="20">
        <v>34.450000000000003</v>
      </c>
      <c r="N132" s="18">
        <v>2929.55</v>
      </c>
      <c r="O132" s="20">
        <v>10.95</v>
      </c>
      <c r="P132" s="18">
        <v>3056.34</v>
      </c>
      <c r="Q132" s="20">
        <v>11.43</v>
      </c>
      <c r="R132" s="22">
        <v>3</v>
      </c>
      <c r="S132" s="22">
        <v>0</v>
      </c>
    </row>
    <row r="133" spans="1:19">
      <c r="A133">
        <v>7</v>
      </c>
      <c r="B133" s="16" t="s">
        <v>62</v>
      </c>
      <c r="C133" s="9">
        <v>46023</v>
      </c>
      <c r="D133" s="18">
        <v>24898</v>
      </c>
      <c r="E133" s="20">
        <v>19.03</v>
      </c>
      <c r="F133" s="22">
        <v>333</v>
      </c>
      <c r="G133" s="18">
        <v>74.77</v>
      </c>
      <c r="H133" s="18">
        <v>8790.35</v>
      </c>
      <c r="I133" s="20">
        <v>35.31</v>
      </c>
      <c r="J133" s="18">
        <v>5808.32</v>
      </c>
      <c r="K133" s="20">
        <v>23.33</v>
      </c>
      <c r="L133" s="18">
        <v>9084.7099999999991</v>
      </c>
      <c r="M133" s="20">
        <v>36.49</v>
      </c>
      <c r="N133" s="18">
        <v>3276.4</v>
      </c>
      <c r="O133" s="20">
        <v>13.16</v>
      </c>
      <c r="P133" s="18">
        <v>2982.03</v>
      </c>
      <c r="Q133" s="20">
        <v>11.98</v>
      </c>
      <c r="R133" s="22">
        <v>1</v>
      </c>
      <c r="S133" s="22">
        <v>0</v>
      </c>
    </row>
    <row r="134" spans="1:19">
      <c r="A134">
        <v>7</v>
      </c>
      <c r="B134" s="16" t="s">
        <v>62</v>
      </c>
      <c r="C134" s="9">
        <v>46054</v>
      </c>
      <c r="D134" s="18">
        <v>26522</v>
      </c>
      <c r="E134" s="20">
        <v>48.01</v>
      </c>
      <c r="F134" s="22">
        <v>356</v>
      </c>
      <c r="G134" s="18">
        <v>74.5</v>
      </c>
      <c r="H134" s="18">
        <v>8941.02</v>
      </c>
      <c r="I134" s="20">
        <v>33.71</v>
      </c>
      <c r="J134" s="18">
        <v>6211.95</v>
      </c>
      <c r="K134" s="20">
        <v>23.42</v>
      </c>
      <c r="L134" s="18">
        <v>8942.2900000000009</v>
      </c>
      <c r="M134" s="20">
        <v>33.72</v>
      </c>
      <c r="N134" s="18">
        <v>2730.34</v>
      </c>
      <c r="O134" s="20">
        <v>10.29</v>
      </c>
      <c r="P134" s="18">
        <v>2729.07</v>
      </c>
      <c r="Q134" s="20">
        <v>10.29</v>
      </c>
      <c r="R134" s="22">
        <v>2</v>
      </c>
      <c r="S134" s="22">
        <v>0</v>
      </c>
    </row>
    <row r="135" spans="1:19">
      <c r="A135">
        <v>7</v>
      </c>
      <c r="B135" s="16" t="s">
        <v>62</v>
      </c>
      <c r="C135" s="9">
        <v>46082</v>
      </c>
      <c r="D135" s="18">
        <v>31011.5</v>
      </c>
      <c r="E135" s="20">
        <v>16.260000000000002</v>
      </c>
      <c r="F135" s="22">
        <v>421</v>
      </c>
      <c r="G135" s="18">
        <v>73.66</v>
      </c>
      <c r="H135" s="18">
        <v>10473.370000000001</v>
      </c>
      <c r="I135" s="20">
        <v>33.770000000000003</v>
      </c>
      <c r="J135" s="18">
        <v>7243.54</v>
      </c>
      <c r="K135" s="20">
        <v>23.36</v>
      </c>
      <c r="L135" s="18">
        <v>10376.950000000001</v>
      </c>
      <c r="M135" s="20">
        <v>33.46</v>
      </c>
      <c r="N135" s="18">
        <v>3133.41</v>
      </c>
      <c r="O135" s="20">
        <v>10.1</v>
      </c>
      <c r="P135" s="18">
        <v>3229.83</v>
      </c>
      <c r="Q135" s="20">
        <v>10.41</v>
      </c>
      <c r="R135" s="22">
        <v>3</v>
      </c>
      <c r="S135" s="22">
        <v>0</v>
      </c>
    </row>
    <row r="136" spans="1:19">
      <c r="A136">
        <v>7</v>
      </c>
      <c r="B136" s="16" t="s">
        <v>62</v>
      </c>
      <c r="C136" s="9">
        <v>46113</v>
      </c>
      <c r="D136" s="18">
        <v>28192</v>
      </c>
      <c r="E136" s="20">
        <v>4.04</v>
      </c>
      <c r="F136" s="22">
        <v>390</v>
      </c>
      <c r="G136" s="18">
        <v>72.290000000000006</v>
      </c>
      <c r="H136" s="18">
        <v>9906.73</v>
      </c>
      <c r="I136" s="20">
        <v>35.14</v>
      </c>
      <c r="J136" s="18">
        <v>6583.3</v>
      </c>
      <c r="K136" s="20">
        <v>23.35</v>
      </c>
      <c r="L136" s="18">
        <v>10413.16</v>
      </c>
      <c r="M136" s="20">
        <v>36.94</v>
      </c>
      <c r="N136" s="18">
        <v>3829.85</v>
      </c>
      <c r="O136" s="20">
        <v>13.58</v>
      </c>
      <c r="P136" s="18">
        <v>3323.43</v>
      </c>
      <c r="Q136" s="20">
        <v>11.79</v>
      </c>
      <c r="R136" s="22">
        <v>0</v>
      </c>
      <c r="S136" s="22">
        <v>0</v>
      </c>
    </row>
    <row r="137" spans="1:19">
      <c r="A137">
        <v>7</v>
      </c>
      <c r="B137" s="16" t="s">
        <v>62</v>
      </c>
      <c r="C137" s="9">
        <v>46143</v>
      </c>
      <c r="D137" s="18">
        <v>32748.5</v>
      </c>
      <c r="E137" s="20">
        <v>23.26</v>
      </c>
      <c r="F137" s="22">
        <v>448</v>
      </c>
      <c r="G137" s="18">
        <v>73.099999999999994</v>
      </c>
      <c r="H137" s="18">
        <v>10929.13</v>
      </c>
      <c r="I137" s="20">
        <v>33.369999999999997</v>
      </c>
      <c r="J137" s="18">
        <v>7640.25</v>
      </c>
      <c r="K137" s="20">
        <v>23.33</v>
      </c>
      <c r="L137" s="18">
        <v>10334.91</v>
      </c>
      <c r="M137" s="20">
        <v>31.56</v>
      </c>
      <c r="N137" s="18">
        <v>2694.66</v>
      </c>
      <c r="O137" s="20">
        <v>8.23</v>
      </c>
      <c r="P137" s="18">
        <v>3288.88</v>
      </c>
      <c r="Q137" s="20">
        <v>10.039999999999999</v>
      </c>
      <c r="R137" s="22">
        <v>2</v>
      </c>
      <c r="S137" s="22">
        <v>0</v>
      </c>
    </row>
    <row r="138" spans="1:19">
      <c r="A138">
        <v>7</v>
      </c>
      <c r="B138" s="16" t="s">
        <v>62</v>
      </c>
      <c r="C138" s="9">
        <v>46174</v>
      </c>
      <c r="D138" s="18">
        <v>27223.5</v>
      </c>
      <c r="E138" s="20">
        <v>22.94</v>
      </c>
      <c r="F138" s="22">
        <v>386</v>
      </c>
      <c r="G138" s="18">
        <v>70.53</v>
      </c>
      <c r="H138" s="18">
        <v>9527.7999999999993</v>
      </c>
      <c r="I138" s="20">
        <v>35</v>
      </c>
      <c r="J138" s="18">
        <v>6149.76</v>
      </c>
      <c r="K138" s="20">
        <v>22.59</v>
      </c>
      <c r="L138" s="18">
        <v>9413.0300000000007</v>
      </c>
      <c r="M138" s="20">
        <v>34.58</v>
      </c>
      <c r="N138" s="18">
        <v>3263.27</v>
      </c>
      <c r="O138" s="20">
        <v>11.99</v>
      </c>
      <c r="P138" s="18">
        <v>3378.04</v>
      </c>
      <c r="Q138" s="20">
        <v>12.41</v>
      </c>
      <c r="R138" s="22">
        <v>2</v>
      </c>
      <c r="S138" s="22">
        <v>0</v>
      </c>
    </row>
    <row r="139" spans="1:19">
      <c r="A139">
        <v>7</v>
      </c>
      <c r="B139" s="16" t="s">
        <v>62</v>
      </c>
      <c r="C139" s="9">
        <v>46204</v>
      </c>
      <c r="D139" s="18">
        <v>27533</v>
      </c>
      <c r="E139" s="20">
        <v>23.96</v>
      </c>
      <c r="F139" s="22">
        <v>374</v>
      </c>
      <c r="G139" s="18">
        <v>73.62</v>
      </c>
      <c r="H139" s="18">
        <v>9158.1</v>
      </c>
      <c r="I139" s="20">
        <v>33.26</v>
      </c>
      <c r="J139" s="18">
        <v>6197.65</v>
      </c>
      <c r="K139" s="20">
        <v>22.51</v>
      </c>
      <c r="L139" s="18">
        <v>9702.9500000000007</v>
      </c>
      <c r="M139" s="20">
        <v>35.24</v>
      </c>
      <c r="N139" s="18">
        <v>3505.3</v>
      </c>
      <c r="O139" s="20">
        <v>12.73</v>
      </c>
      <c r="P139" s="18">
        <v>2960.45</v>
      </c>
      <c r="Q139" s="20">
        <v>10.75</v>
      </c>
      <c r="R139" s="22">
        <v>3</v>
      </c>
      <c r="S139" s="22">
        <v>0</v>
      </c>
    </row>
    <row r="140" spans="1:19">
      <c r="A140">
        <v>7</v>
      </c>
      <c r="B140" s="16" t="s">
        <v>62</v>
      </c>
      <c r="C140" s="9">
        <v>46235</v>
      </c>
      <c r="D140" s="18">
        <v>31088</v>
      </c>
      <c r="E140" s="20">
        <v>14.49</v>
      </c>
      <c r="F140" s="22">
        <v>429</v>
      </c>
      <c r="G140" s="18">
        <v>72.47</v>
      </c>
      <c r="H140" s="18">
        <v>9796.1</v>
      </c>
      <c r="I140" s="20">
        <v>31.51</v>
      </c>
      <c r="J140" s="18">
        <v>6934.17</v>
      </c>
      <c r="K140" s="20">
        <v>22.3</v>
      </c>
      <c r="L140" s="18">
        <v>9215.31</v>
      </c>
      <c r="M140" s="20">
        <v>29.64</v>
      </c>
      <c r="N140" s="18">
        <v>2281.14</v>
      </c>
      <c r="O140" s="20">
        <v>7.34</v>
      </c>
      <c r="P140" s="18">
        <v>2861.92</v>
      </c>
      <c r="Q140" s="20">
        <v>9.2100000000000009</v>
      </c>
      <c r="R140" s="22">
        <v>2</v>
      </c>
      <c r="S140" s="22">
        <v>0</v>
      </c>
    </row>
    <row r="141" spans="1:19">
      <c r="A141">
        <v>7</v>
      </c>
      <c r="B141" s="16" t="s">
        <v>62</v>
      </c>
      <c r="C141" s="9">
        <v>46266</v>
      </c>
      <c r="D141" s="18">
        <v>29962.5</v>
      </c>
      <c r="E141" s="20">
        <v>16.36</v>
      </c>
      <c r="F141" s="22">
        <v>410</v>
      </c>
      <c r="G141" s="18">
        <v>73.08</v>
      </c>
      <c r="H141" s="18">
        <v>9984.4</v>
      </c>
      <c r="I141" s="20">
        <v>33.32</v>
      </c>
      <c r="J141" s="18">
        <v>7014.07</v>
      </c>
      <c r="K141" s="20">
        <v>23.41</v>
      </c>
      <c r="L141" s="18">
        <v>9760.8700000000008</v>
      </c>
      <c r="M141" s="20">
        <v>32.58</v>
      </c>
      <c r="N141" s="18">
        <v>2746.8</v>
      </c>
      <c r="O141" s="20">
        <v>9.17</v>
      </c>
      <c r="P141" s="18">
        <v>2970.33</v>
      </c>
      <c r="Q141" s="20">
        <v>9.91</v>
      </c>
      <c r="R141" s="22">
        <v>2</v>
      </c>
      <c r="S141" s="22">
        <v>0</v>
      </c>
    </row>
    <row r="142" spans="1:19">
      <c r="A142">
        <v>8</v>
      </c>
      <c r="B142" s="16" t="s">
        <v>63</v>
      </c>
      <c r="C142" s="9">
        <v>45689</v>
      </c>
      <c r="D142" s="18">
        <v>18001</v>
      </c>
      <c r="F142" s="22">
        <v>250</v>
      </c>
      <c r="G142" s="18">
        <v>72</v>
      </c>
      <c r="H142" s="18">
        <v>4871.45</v>
      </c>
      <c r="I142" s="20">
        <v>27.06</v>
      </c>
      <c r="J142" s="18">
        <v>4115.9399999999996</v>
      </c>
      <c r="K142" s="20">
        <v>22.87</v>
      </c>
      <c r="L142" s="18">
        <v>4784.3</v>
      </c>
      <c r="M142" s="20">
        <v>26.58</v>
      </c>
      <c r="N142" s="18">
        <v>668.36</v>
      </c>
      <c r="O142" s="20">
        <v>3.71</v>
      </c>
      <c r="P142" s="18">
        <v>755.51</v>
      </c>
      <c r="Q142" s="20">
        <v>4.2</v>
      </c>
      <c r="R142" s="22">
        <v>3</v>
      </c>
      <c r="S142" s="22">
        <v>0</v>
      </c>
    </row>
    <row r="143" spans="1:19">
      <c r="A143">
        <v>8</v>
      </c>
      <c r="B143" s="16" t="s">
        <v>63</v>
      </c>
      <c r="C143" s="9">
        <v>45717</v>
      </c>
      <c r="D143" s="18">
        <v>19782.5</v>
      </c>
      <c r="F143" s="22">
        <v>276</v>
      </c>
      <c r="G143" s="18">
        <v>71.680000000000007</v>
      </c>
      <c r="H143" s="18">
        <v>5244.58</v>
      </c>
      <c r="I143" s="20">
        <v>26.51</v>
      </c>
      <c r="J143" s="18">
        <v>4405.38</v>
      </c>
      <c r="K143" s="20">
        <v>22.27</v>
      </c>
      <c r="L143" s="18">
        <v>4877.71</v>
      </c>
      <c r="M143" s="20">
        <v>24.66</v>
      </c>
      <c r="N143" s="18">
        <v>472.33</v>
      </c>
      <c r="O143" s="20">
        <v>2.39</v>
      </c>
      <c r="P143" s="18">
        <v>839.2</v>
      </c>
      <c r="Q143" s="20">
        <v>4.24</v>
      </c>
      <c r="R143" s="22">
        <v>4</v>
      </c>
      <c r="S143" s="22">
        <v>0</v>
      </c>
    </row>
    <row r="144" spans="1:19">
      <c r="A144">
        <v>8</v>
      </c>
      <c r="B144" s="16" t="s">
        <v>63</v>
      </c>
      <c r="C144" s="9">
        <v>45748</v>
      </c>
      <c r="D144" s="18">
        <v>19667.5</v>
      </c>
      <c r="F144" s="22">
        <v>278</v>
      </c>
      <c r="G144" s="18">
        <v>70.75</v>
      </c>
      <c r="H144" s="18">
        <v>5238.1400000000003</v>
      </c>
      <c r="I144" s="20">
        <v>26.63</v>
      </c>
      <c r="J144" s="18">
        <v>4528.47</v>
      </c>
      <c r="K144" s="20">
        <v>23.03</v>
      </c>
      <c r="L144" s="18">
        <v>5090.12</v>
      </c>
      <c r="M144" s="20">
        <v>25.88</v>
      </c>
      <c r="N144" s="18">
        <v>561.66</v>
      </c>
      <c r="O144" s="20">
        <v>2.86</v>
      </c>
      <c r="P144" s="18">
        <v>709.67</v>
      </c>
      <c r="Q144" s="20">
        <v>3.61</v>
      </c>
      <c r="R144" s="22">
        <v>4</v>
      </c>
      <c r="S144" s="22">
        <v>0</v>
      </c>
    </row>
    <row r="145" spans="1:19">
      <c r="A145">
        <v>8</v>
      </c>
      <c r="B145" s="16" t="s">
        <v>63</v>
      </c>
      <c r="C145" s="9">
        <v>45778</v>
      </c>
      <c r="D145" s="18">
        <v>24474.5</v>
      </c>
      <c r="F145" s="22">
        <v>323</v>
      </c>
      <c r="G145" s="18">
        <v>75.77</v>
      </c>
      <c r="H145" s="18">
        <v>6417.31</v>
      </c>
      <c r="I145" s="20">
        <v>26.22</v>
      </c>
      <c r="J145" s="18">
        <v>5477.69</v>
      </c>
      <c r="K145" s="20">
        <v>22.38</v>
      </c>
      <c r="L145" s="18">
        <v>6740.39</v>
      </c>
      <c r="M145" s="20">
        <v>27.54</v>
      </c>
      <c r="N145" s="18">
        <v>1262.69</v>
      </c>
      <c r="O145" s="20">
        <v>5.16</v>
      </c>
      <c r="P145" s="18">
        <v>939.61</v>
      </c>
      <c r="Q145" s="20">
        <v>3.84</v>
      </c>
      <c r="R145" s="22">
        <v>1</v>
      </c>
      <c r="S145" s="22">
        <v>0</v>
      </c>
    </row>
    <row r="146" spans="1:19">
      <c r="A146">
        <v>8</v>
      </c>
      <c r="B146" s="16" t="s">
        <v>63</v>
      </c>
      <c r="C146" s="9">
        <v>45809</v>
      </c>
      <c r="D146" s="18">
        <v>23705.5</v>
      </c>
      <c r="F146" s="22">
        <v>311</v>
      </c>
      <c r="G146" s="18">
        <v>76.22</v>
      </c>
      <c r="H146" s="18">
        <v>6189.74</v>
      </c>
      <c r="I146" s="20">
        <v>26.11</v>
      </c>
      <c r="J146" s="18">
        <v>5268.17</v>
      </c>
      <c r="K146" s="20">
        <v>22.22</v>
      </c>
      <c r="L146" s="18">
        <v>5891.84</v>
      </c>
      <c r="M146" s="20">
        <v>24.85</v>
      </c>
      <c r="N146" s="18">
        <v>623.66999999999996</v>
      </c>
      <c r="O146" s="20">
        <v>2.63</v>
      </c>
      <c r="P146" s="18">
        <v>921.57</v>
      </c>
      <c r="Q146" s="20">
        <v>3.89</v>
      </c>
      <c r="R146" s="22">
        <v>4</v>
      </c>
      <c r="S146" s="22">
        <v>0</v>
      </c>
    </row>
    <row r="147" spans="1:19">
      <c r="A147">
        <v>8</v>
      </c>
      <c r="B147" s="16" t="s">
        <v>63</v>
      </c>
      <c r="C147" s="9">
        <v>45839</v>
      </c>
      <c r="D147" s="18">
        <v>17445</v>
      </c>
      <c r="F147" s="22">
        <v>259</v>
      </c>
      <c r="G147" s="18">
        <v>67.36</v>
      </c>
      <c r="H147" s="18">
        <v>4493.3100000000004</v>
      </c>
      <c r="I147" s="20">
        <v>25.76</v>
      </c>
      <c r="J147" s="18">
        <v>3763.07</v>
      </c>
      <c r="K147" s="20">
        <v>21.57</v>
      </c>
      <c r="L147" s="18">
        <v>5088.72</v>
      </c>
      <c r="M147" s="20">
        <v>29.17</v>
      </c>
      <c r="N147" s="18">
        <v>1325.65</v>
      </c>
      <c r="O147" s="20">
        <v>7.6</v>
      </c>
      <c r="P147" s="18">
        <v>730.25</v>
      </c>
      <c r="Q147" s="20">
        <v>4.1900000000000004</v>
      </c>
      <c r="R147" s="22">
        <v>2</v>
      </c>
      <c r="S147" s="22">
        <v>0</v>
      </c>
    </row>
    <row r="148" spans="1:19">
      <c r="A148">
        <v>8</v>
      </c>
      <c r="B148" s="16" t="s">
        <v>63</v>
      </c>
      <c r="C148" s="9">
        <v>45870</v>
      </c>
      <c r="D148" s="18">
        <v>22716.5</v>
      </c>
      <c r="F148" s="22">
        <v>294</v>
      </c>
      <c r="G148" s="18">
        <v>77.27</v>
      </c>
      <c r="H148" s="18">
        <v>5833.86</v>
      </c>
      <c r="I148" s="20">
        <v>25.68</v>
      </c>
      <c r="J148" s="18">
        <v>5025.93</v>
      </c>
      <c r="K148" s="20">
        <v>22.12</v>
      </c>
      <c r="L148" s="18">
        <v>5303.98</v>
      </c>
      <c r="M148" s="20">
        <v>23.35</v>
      </c>
      <c r="N148" s="18">
        <v>278.05</v>
      </c>
      <c r="O148" s="20">
        <v>1.22</v>
      </c>
      <c r="P148" s="18">
        <v>807.94</v>
      </c>
      <c r="Q148" s="20">
        <v>3.56</v>
      </c>
      <c r="R148" s="22">
        <v>4</v>
      </c>
      <c r="S148" s="22">
        <v>0</v>
      </c>
    </row>
    <row r="149" spans="1:19">
      <c r="A149">
        <v>8</v>
      </c>
      <c r="B149" s="16" t="s">
        <v>63</v>
      </c>
      <c r="C149" s="9">
        <v>45901</v>
      </c>
      <c r="D149" s="18">
        <v>20272</v>
      </c>
      <c r="F149" s="22">
        <v>264</v>
      </c>
      <c r="G149" s="18">
        <v>76.790000000000006</v>
      </c>
      <c r="H149" s="18">
        <v>5384.74</v>
      </c>
      <c r="I149" s="20">
        <v>26.56</v>
      </c>
      <c r="J149" s="18">
        <v>4551.99</v>
      </c>
      <c r="K149" s="20">
        <v>22.45</v>
      </c>
      <c r="L149" s="18">
        <v>5270.23</v>
      </c>
      <c r="M149" s="20">
        <v>26</v>
      </c>
      <c r="N149" s="18">
        <v>718.25</v>
      </c>
      <c r="O149" s="20">
        <v>3.54</v>
      </c>
      <c r="P149" s="18">
        <v>832.76</v>
      </c>
      <c r="Q149" s="20">
        <v>4.1100000000000003</v>
      </c>
      <c r="R149" s="22">
        <v>3</v>
      </c>
      <c r="S149" s="22">
        <v>0</v>
      </c>
    </row>
    <row r="150" spans="1:19">
      <c r="A150">
        <v>8</v>
      </c>
      <c r="B150" s="16" t="s">
        <v>63</v>
      </c>
      <c r="C150" s="9">
        <v>45931</v>
      </c>
      <c r="D150" s="18">
        <v>20684.5</v>
      </c>
      <c r="F150" s="22">
        <v>284</v>
      </c>
      <c r="G150" s="18">
        <v>72.83</v>
      </c>
      <c r="H150" s="18">
        <v>5576.31</v>
      </c>
      <c r="I150" s="20">
        <v>26.96</v>
      </c>
      <c r="J150" s="18">
        <v>4757.22</v>
      </c>
      <c r="K150" s="20">
        <v>23</v>
      </c>
      <c r="L150" s="18">
        <v>5969.32</v>
      </c>
      <c r="M150" s="20">
        <v>28.86</v>
      </c>
      <c r="N150" s="18">
        <v>1212.0999999999999</v>
      </c>
      <c r="O150" s="20">
        <v>5.86</v>
      </c>
      <c r="P150" s="18">
        <v>819.09</v>
      </c>
      <c r="Q150" s="20">
        <v>3.96</v>
      </c>
      <c r="R150" s="22">
        <v>2</v>
      </c>
      <c r="S150" s="22">
        <v>0</v>
      </c>
    </row>
    <row r="151" spans="1:19">
      <c r="A151">
        <v>8</v>
      </c>
      <c r="B151" s="16" t="s">
        <v>63</v>
      </c>
      <c r="C151" s="9">
        <v>45962</v>
      </c>
      <c r="D151" s="18">
        <v>21230</v>
      </c>
      <c r="F151" s="22">
        <v>282</v>
      </c>
      <c r="G151" s="18">
        <v>75.28</v>
      </c>
      <c r="H151" s="18">
        <v>5717.87</v>
      </c>
      <c r="I151" s="20">
        <v>26.93</v>
      </c>
      <c r="J151" s="18">
        <v>4921.8500000000004</v>
      </c>
      <c r="K151" s="20">
        <v>23.18</v>
      </c>
      <c r="L151" s="18">
        <v>5321.54</v>
      </c>
      <c r="M151" s="20">
        <v>25.07</v>
      </c>
      <c r="N151" s="18">
        <v>399.69</v>
      </c>
      <c r="O151" s="20">
        <v>1.88</v>
      </c>
      <c r="P151" s="18">
        <v>796.01</v>
      </c>
      <c r="Q151" s="20">
        <v>3.75</v>
      </c>
      <c r="R151" s="22">
        <v>4</v>
      </c>
      <c r="S151" s="22">
        <v>0</v>
      </c>
    </row>
    <row r="152" spans="1:19">
      <c r="A152">
        <v>8</v>
      </c>
      <c r="B152" s="16" t="s">
        <v>63</v>
      </c>
      <c r="C152" s="9">
        <v>45992</v>
      </c>
      <c r="D152" s="18">
        <v>20117.5</v>
      </c>
      <c r="F152" s="22">
        <v>268</v>
      </c>
      <c r="G152" s="18">
        <v>75.069999999999993</v>
      </c>
      <c r="H152" s="18">
        <v>5612.14</v>
      </c>
      <c r="I152" s="20">
        <v>27.9</v>
      </c>
      <c r="J152" s="18">
        <v>4708.2299999999996</v>
      </c>
      <c r="K152" s="20">
        <v>23.4</v>
      </c>
      <c r="L152" s="18">
        <v>5654.62</v>
      </c>
      <c r="M152" s="20">
        <v>28.11</v>
      </c>
      <c r="N152" s="18">
        <v>946.39</v>
      </c>
      <c r="O152" s="20">
        <v>4.7</v>
      </c>
      <c r="P152" s="18">
        <v>903.91</v>
      </c>
      <c r="Q152" s="20">
        <v>4.49</v>
      </c>
      <c r="R152" s="22">
        <v>3</v>
      </c>
      <c r="S152" s="22">
        <v>0</v>
      </c>
    </row>
    <row r="153" spans="1:19">
      <c r="A153">
        <v>8</v>
      </c>
      <c r="B153" s="16" t="s">
        <v>63</v>
      </c>
      <c r="C153" s="9">
        <v>46023</v>
      </c>
      <c r="D153" s="18">
        <v>19556</v>
      </c>
      <c r="E153" s="20">
        <v>-0.93</v>
      </c>
      <c r="F153" s="22">
        <v>258</v>
      </c>
      <c r="G153" s="18">
        <v>75.8</v>
      </c>
      <c r="H153" s="18">
        <v>5300.89</v>
      </c>
      <c r="I153" s="20">
        <v>27.11</v>
      </c>
      <c r="J153" s="18">
        <v>4511.1000000000004</v>
      </c>
      <c r="K153" s="20">
        <v>23.07</v>
      </c>
      <c r="L153" s="18">
        <v>5423.14</v>
      </c>
      <c r="M153" s="20">
        <v>27.73</v>
      </c>
      <c r="N153" s="18">
        <v>912.04</v>
      </c>
      <c r="O153" s="20">
        <v>4.66</v>
      </c>
      <c r="P153" s="18">
        <v>789.79</v>
      </c>
      <c r="Q153" s="20">
        <v>4.04</v>
      </c>
      <c r="R153" s="22">
        <v>3</v>
      </c>
      <c r="S153" s="22">
        <v>0</v>
      </c>
    </row>
    <row r="154" spans="1:19">
      <c r="A154">
        <v>8</v>
      </c>
      <c r="B154" s="16" t="s">
        <v>63</v>
      </c>
      <c r="C154" s="9">
        <v>46054</v>
      </c>
      <c r="D154" s="18">
        <v>21146</v>
      </c>
      <c r="E154" s="20">
        <v>17.47</v>
      </c>
      <c r="F154" s="22">
        <v>280</v>
      </c>
      <c r="G154" s="18">
        <v>75.52</v>
      </c>
      <c r="H154" s="18">
        <v>5771.1</v>
      </c>
      <c r="I154" s="20">
        <v>27.29</v>
      </c>
      <c r="J154" s="18">
        <v>4962.59</v>
      </c>
      <c r="K154" s="20">
        <v>23.47</v>
      </c>
      <c r="L154" s="18">
        <v>5589.67</v>
      </c>
      <c r="M154" s="20">
        <v>26.43</v>
      </c>
      <c r="N154" s="18">
        <v>627.07000000000005</v>
      </c>
      <c r="O154" s="20">
        <v>2.97</v>
      </c>
      <c r="P154" s="18">
        <v>808.51</v>
      </c>
      <c r="Q154" s="20">
        <v>3.82</v>
      </c>
      <c r="R154" s="22">
        <v>1</v>
      </c>
      <c r="S154" s="22">
        <v>0</v>
      </c>
    </row>
    <row r="155" spans="1:19">
      <c r="A155">
        <v>8</v>
      </c>
      <c r="B155" s="16" t="s">
        <v>63</v>
      </c>
      <c r="C155" s="9">
        <v>46082</v>
      </c>
      <c r="D155" s="18">
        <v>18768</v>
      </c>
      <c r="E155" s="20">
        <v>-5.13</v>
      </c>
      <c r="F155" s="22">
        <v>245</v>
      </c>
      <c r="G155" s="18">
        <v>76.599999999999994</v>
      </c>
      <c r="H155" s="18">
        <v>5332.97</v>
      </c>
      <c r="I155" s="20">
        <v>28.42</v>
      </c>
      <c r="J155" s="18">
        <v>4505.8</v>
      </c>
      <c r="K155" s="20">
        <v>24.01</v>
      </c>
      <c r="L155" s="18">
        <v>5326.34</v>
      </c>
      <c r="M155" s="20">
        <v>28.38</v>
      </c>
      <c r="N155" s="18">
        <v>820.54</v>
      </c>
      <c r="O155" s="20">
        <v>4.37</v>
      </c>
      <c r="P155" s="18">
        <v>827.18</v>
      </c>
      <c r="Q155" s="20">
        <v>4.41</v>
      </c>
      <c r="R155" s="22">
        <v>5</v>
      </c>
      <c r="S155" s="22">
        <v>0</v>
      </c>
    </row>
    <row r="156" spans="1:19">
      <c r="A156">
        <v>8</v>
      </c>
      <c r="B156" s="16" t="s">
        <v>63</v>
      </c>
      <c r="C156" s="9">
        <v>46113</v>
      </c>
      <c r="D156" s="18">
        <v>17738</v>
      </c>
      <c r="E156" s="20">
        <v>-9.81</v>
      </c>
      <c r="F156" s="22">
        <v>230</v>
      </c>
      <c r="G156" s="18">
        <v>77.12</v>
      </c>
      <c r="H156" s="18">
        <v>4932.05</v>
      </c>
      <c r="I156" s="20">
        <v>27.8</v>
      </c>
      <c r="J156" s="18">
        <v>4150.26</v>
      </c>
      <c r="K156" s="20">
        <v>23.4</v>
      </c>
      <c r="L156" s="18">
        <v>5377.37</v>
      </c>
      <c r="M156" s="20">
        <v>30.32</v>
      </c>
      <c r="N156" s="18">
        <v>1227.1099999999999</v>
      </c>
      <c r="O156" s="20">
        <v>6.92</v>
      </c>
      <c r="P156" s="18">
        <v>781.79</v>
      </c>
      <c r="Q156" s="20">
        <v>4.41</v>
      </c>
      <c r="R156" s="22">
        <v>3</v>
      </c>
      <c r="S156" s="22">
        <v>0</v>
      </c>
    </row>
    <row r="157" spans="1:19">
      <c r="A157">
        <v>8</v>
      </c>
      <c r="B157" s="16" t="s">
        <v>63</v>
      </c>
      <c r="C157" s="9">
        <v>46143</v>
      </c>
      <c r="D157" s="18">
        <v>18872.5</v>
      </c>
      <c r="E157" s="20">
        <v>-22.89</v>
      </c>
      <c r="F157" s="22">
        <v>252</v>
      </c>
      <c r="G157" s="18">
        <v>74.89</v>
      </c>
      <c r="H157" s="18">
        <v>5120.78</v>
      </c>
      <c r="I157" s="20">
        <v>27.13</v>
      </c>
      <c r="J157" s="18">
        <v>4345.3500000000004</v>
      </c>
      <c r="K157" s="20">
        <v>23.02</v>
      </c>
      <c r="L157" s="18">
        <v>4481.3999999999996</v>
      </c>
      <c r="M157" s="20">
        <v>23.75</v>
      </c>
      <c r="N157" s="18">
        <v>136.04</v>
      </c>
      <c r="O157" s="20">
        <v>0.72</v>
      </c>
      <c r="P157" s="18">
        <v>775.43</v>
      </c>
      <c r="Q157" s="20">
        <v>4.1100000000000003</v>
      </c>
      <c r="R157" s="22">
        <v>4</v>
      </c>
      <c r="S157" s="22">
        <v>0</v>
      </c>
    </row>
    <row r="158" spans="1:19">
      <c r="A158">
        <v>8</v>
      </c>
      <c r="B158" s="16" t="s">
        <v>63</v>
      </c>
      <c r="C158" s="9">
        <v>46174</v>
      </c>
      <c r="D158" s="18">
        <v>15762.5</v>
      </c>
      <c r="E158" s="20">
        <v>-33.51</v>
      </c>
      <c r="F158" s="22">
        <v>218</v>
      </c>
      <c r="G158" s="18">
        <v>72.31</v>
      </c>
      <c r="H158" s="18">
        <v>4257.09</v>
      </c>
      <c r="I158" s="20">
        <v>27.01</v>
      </c>
      <c r="J158" s="18">
        <v>3578.98</v>
      </c>
      <c r="K158" s="20">
        <v>22.71</v>
      </c>
      <c r="L158" s="18">
        <v>4510.41</v>
      </c>
      <c r="M158" s="20">
        <v>28.61</v>
      </c>
      <c r="N158" s="18">
        <v>931.42</v>
      </c>
      <c r="O158" s="20">
        <v>5.91</v>
      </c>
      <c r="P158" s="18">
        <v>678.11</v>
      </c>
      <c r="Q158" s="20">
        <v>4.3</v>
      </c>
      <c r="R158" s="22">
        <v>5</v>
      </c>
      <c r="S158" s="22">
        <v>0</v>
      </c>
    </row>
    <row r="159" spans="1:19">
      <c r="A159">
        <v>8</v>
      </c>
      <c r="B159" s="16" t="s">
        <v>63</v>
      </c>
      <c r="C159" s="9">
        <v>46204</v>
      </c>
      <c r="D159" s="18">
        <v>17949</v>
      </c>
      <c r="E159" s="20">
        <v>2.89</v>
      </c>
      <c r="F159" s="22">
        <v>244</v>
      </c>
      <c r="G159" s="18">
        <v>73.56</v>
      </c>
      <c r="H159" s="18">
        <v>4667.2299999999996</v>
      </c>
      <c r="I159" s="20">
        <v>26</v>
      </c>
      <c r="J159" s="18">
        <v>3931.29</v>
      </c>
      <c r="K159" s="20">
        <v>21.9</v>
      </c>
      <c r="L159" s="18">
        <v>4912.5200000000004</v>
      </c>
      <c r="M159" s="20">
        <v>27.37</v>
      </c>
      <c r="N159" s="18">
        <v>981.23</v>
      </c>
      <c r="O159" s="20">
        <v>5.47</v>
      </c>
      <c r="P159" s="18">
        <v>735.94</v>
      </c>
      <c r="Q159" s="20">
        <v>4.0999999999999996</v>
      </c>
      <c r="R159" s="22">
        <v>4</v>
      </c>
      <c r="S159" s="22">
        <v>0</v>
      </c>
    </row>
    <row r="160" spans="1:19">
      <c r="A160">
        <v>8</v>
      </c>
      <c r="B160" s="16" t="s">
        <v>63</v>
      </c>
      <c r="C160" s="9">
        <v>46235</v>
      </c>
      <c r="D160" s="18">
        <v>17836.5</v>
      </c>
      <c r="E160" s="20">
        <v>-21.48</v>
      </c>
      <c r="F160" s="22">
        <v>252</v>
      </c>
      <c r="G160" s="18">
        <v>70.78</v>
      </c>
      <c r="H160" s="18">
        <v>4709.93</v>
      </c>
      <c r="I160" s="20">
        <v>26.41</v>
      </c>
      <c r="J160" s="18">
        <v>4012.31</v>
      </c>
      <c r="K160" s="20">
        <v>22.49</v>
      </c>
      <c r="L160" s="18">
        <v>4302.8100000000004</v>
      </c>
      <c r="M160" s="20">
        <v>24.12</v>
      </c>
      <c r="N160" s="18">
        <v>290.5</v>
      </c>
      <c r="O160" s="20">
        <v>1.63</v>
      </c>
      <c r="P160" s="18">
        <v>697.62</v>
      </c>
      <c r="Q160" s="20">
        <v>3.91</v>
      </c>
      <c r="R160" s="22">
        <v>6</v>
      </c>
      <c r="S160" s="22">
        <v>0</v>
      </c>
    </row>
    <row r="161" spans="1:19">
      <c r="A161">
        <v>8</v>
      </c>
      <c r="B161" s="16" t="s">
        <v>63</v>
      </c>
      <c r="C161" s="9">
        <v>46266</v>
      </c>
      <c r="D161" s="18">
        <v>17578.5</v>
      </c>
      <c r="E161" s="20">
        <v>-13.29</v>
      </c>
      <c r="F161" s="22">
        <v>236</v>
      </c>
      <c r="G161" s="18">
        <v>74.489999999999995</v>
      </c>
      <c r="H161" s="18">
        <v>4810.83</v>
      </c>
      <c r="I161" s="20">
        <v>27.37</v>
      </c>
      <c r="J161" s="18">
        <v>4097.3100000000004</v>
      </c>
      <c r="K161" s="20">
        <v>23.31</v>
      </c>
      <c r="L161" s="18">
        <v>4757.3999999999996</v>
      </c>
      <c r="M161" s="20">
        <v>27.06</v>
      </c>
      <c r="N161" s="18">
        <v>660.09</v>
      </c>
      <c r="O161" s="20">
        <v>3.76</v>
      </c>
      <c r="P161" s="18">
        <v>713.53</v>
      </c>
      <c r="Q161" s="20">
        <v>4.0599999999999996</v>
      </c>
      <c r="R161" s="22">
        <v>4</v>
      </c>
      <c r="S161" s="22">
        <v>0</v>
      </c>
    </row>
    <row r="163" spans="1:19">
      <c r="D163" s="17" t="s">
        <v>183</v>
      </c>
    </row>
    <row r="164" spans="1:19">
      <c r="D164" s="33">
        <f>SUM(D2:D161)</f>
        <v>6238295.5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Overview</vt:lpstr>
      <vt:lpstr>Lists</vt:lpstr>
      <vt:lpstr>Findings</vt:lpstr>
      <vt:lpstr>RPM</vt:lpstr>
      <vt:lpstr>Menu_Performance</vt:lpstr>
      <vt:lpstr>Ingredient_Cost</vt:lpstr>
      <vt:lpstr>KPI_Reporting</vt:lpstr>
      <vt:lpstr>Export_Log</vt:lpstr>
      <vt:lpstr>raw_menu_profitability</vt:lpstr>
      <vt:lpstr>raw_menu_engineering</vt:lpstr>
      <vt:lpstr>raw_location_price_variance</vt:lpstr>
      <vt:lpstr>raw_location_month_performance</vt:lpstr>
      <vt:lpstr>Lists!location</vt:lpstr>
      <vt:lpstr>raw_location_price_variance!location_price_variance</vt:lpstr>
      <vt:lpstr>raw_menu_engineering!menu_engineering</vt:lpstr>
      <vt:lpstr>raw_menu_profitability!menu_profitability_by_location</vt:lpstr>
      <vt:lpstr>raw_menu_profitability!menu_profitability_by_location_1</vt:lpstr>
      <vt:lpstr>raw_menu_profitability!menu_profitability_by_location_2</vt:lpstr>
      <vt:lpstr>Menu_Performance!Print_Area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Covelli</dc:creator>
  <cp:lastModifiedBy>Michael Covelli</cp:lastModifiedBy>
  <cp:lastPrinted>2026-10-29T15:41:45Z</cp:lastPrinted>
  <dcterms:created xsi:type="dcterms:W3CDTF">2026-10-17T16:03:49Z</dcterms:created>
  <dcterms:modified xsi:type="dcterms:W3CDTF">2026-10-29T23:10:17Z</dcterms:modified>
</cp:coreProperties>
</file>